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30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5.xml.rels" ContentType="application/vnd.openxmlformats-package.relationships+xml"/>
  <Override PartName="/xl/worksheets/_rels/sheet5.xml.rels" ContentType="application/vnd.openxmlformats-package.relationships+xml"/>
  <Override PartName="/xl/worksheets/_rels/sheet32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4.xml.rels" ContentType="application/vnd.openxmlformats-package.relationships+xml"/>
  <Override PartName="/xl/worksheets/_rels/sheet30.xml.rels" ContentType="application/vnd.openxmlformats-package.relationships+xml"/>
  <Override PartName="/xl/worksheets/_rels/sheet13.xml.rels" ContentType="application/vnd.openxmlformats-package.relationships+xml"/>
  <Override PartName="/xl/worksheets/_rels/sheet2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comments32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3.xml" ContentType="application/vnd.openxmlformats-officedocument.spreadsheetml.comments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Management Interviews" sheetId="2" state="visible" r:id="rId4"/>
    <sheet name="Industry Overview" sheetId="3" state="visible" r:id="rId5"/>
    <sheet name="Competitive Analysis" sheetId="4" state="visible" r:id="rId6"/>
    <sheet name="PESTEL" sheetId="5" state="visible" r:id="rId7"/>
    <sheet name="Five Forces" sheetId="6" state="visible" r:id="rId8"/>
    <sheet name="Trending Factors" sheetId="7" state="visible" r:id="rId9"/>
    <sheet name="KSF Scorecard" sheetId="8" state="visible" r:id="rId10"/>
    <sheet name="Strategic Mapping" sheetId="9" state="visible" r:id="rId11"/>
    <sheet name="Value Chain" sheetId="10" state="visible" r:id="rId12"/>
    <sheet name="Unit Economics" sheetId="11" state="visible" r:id="rId13"/>
    <sheet name="Resources &amp; Capabilities" sheetId="12" state="visible" r:id="rId14"/>
    <sheet name="VRIO" sheetId="13" state="visible" r:id="rId15"/>
    <sheet name="Full Potential" sheetId="14" state="visible" r:id="rId16"/>
    <sheet name="Growth Barriers" sheetId="15" state="visible" r:id="rId17"/>
    <sheet name="SWOT-TOWS" sheetId="16" state="visible" r:id="rId18"/>
    <sheet name="Positioning" sheetId="17" state="visible" r:id="rId19"/>
    <sheet name="Strategic Options" sheetId="18" state="visible" r:id="rId20"/>
    <sheet name="Decision Matrix" sheetId="19" state="visible" r:id="rId21"/>
    <sheet name="Business Case" sheetId="20" state="visible" r:id="rId22"/>
    <sheet name="Expected Value" sheetId="21" state="visible" r:id="rId23"/>
    <sheet name="Risk Analysis" sheetId="22" state="visible" r:id="rId24"/>
    <sheet name="Pricing" sheetId="23" state="visible" r:id="rId25"/>
    <sheet name="Stress Test" sheetId="24" state="visible" r:id="rId26"/>
    <sheet name="Go-to-Market" sheetId="25" state="visible" r:id="rId27"/>
    <sheet name="Initiatives" sheetId="26" state="visible" r:id="rId28"/>
    <sheet name="Operating Model" sheetId="27" state="visible" r:id="rId29"/>
    <sheet name="Execution Roadmap" sheetId="28" state="visible" r:id="rId30"/>
    <sheet name="Balanced Scorecard" sheetId="29" state="visible" r:id="rId31"/>
    <sheet name="Strategy Map" sheetId="30" state="visible" r:id="rId32"/>
    <sheet name="GLO-BUS CIR" sheetId="31" state="visible" r:id="rId33"/>
    <sheet name="GLO-BUS Planner" sheetId="32" state="visible" r:id="rId34"/>
    <sheet name="Season by Year" sheetId="33" state="visible" r:id="rId35"/>
    <sheet name="Competition by Year" sheetId="34" state="visible" r:id="rId36"/>
    <sheet name="KPI Charts" sheetId="35" state="visible" r:id="rId37"/>
    <sheet name="Findings &amp; Questions" sheetId="36" state="visible" r:id="rId38"/>
    <sheet name="_ledger_map" sheetId="37" state="hidden" r:id="rId39"/>
  </sheets>
  <definedNames>
    <definedName function="false" hidden="false" name="CreditScale" vbProcedure="false">'Season by Year'!$R$6:$R$26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Green = strategic focus (16+), amber = scenario-plan (9-15), red = monitor.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Competence trap: passes V, R and I but delivers a KSF weighted under 10% — rare and hard to copy, but not what this industry rewards.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Every objective except financial ones should drive one above it; every objective except learning-and-growth ones should be driven by one below it.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Course guardrail: incremental changes, one direction at a time. Moves bigger than this are flagged below.</t>
        </r>
      </text>
    </comment>
  </commentList>
</comments>
</file>

<file path=xl/sharedStrings.xml><?xml version="1.0" encoding="utf-8"?>
<sst xmlns="http://schemas.openxmlformats.org/spreadsheetml/2006/main" count="16330" uniqueCount="5855">
  <si>
    <t xml:space="preserve">Strat-IQ Workbook</t>
  </si>
  <si>
    <t xml:space="preserve">Global electric vehicles (passenger BEV and PHEV) · base company BYD</t>
  </si>
  <si>
    <t xml:space="preserve">Pre-filled from the Strat-IQ ledger (global-ev-demo-2026, as of 2026-10-01).</t>
  </si>
  <si>
    <t xml:space="preserve">How to use</t>
  </si>
  <si>
    <t xml:space="preserve">Each sheet is one Strat-IQ step, in process order. Type only in the cream cells (blue text). Grey cells are formulas: they score, rank and flag automatically. Every finding should name its evidence, the same rule Strat-IQ follows.</t>
  </si>
  <si>
    <t xml:space="preserve">Colour key</t>
  </si>
  <si>
    <t xml:space="preserve">Blue on cream = input · black on grey = formula · green / amber / red = status.</t>
  </si>
  <si>
    <t xml:space="preserve">Management Interviews</t>
  </si>
  <si>
    <t xml:space="preserve">Start here. What management told you: the decisions they need made, the goals you must reach, the questions they need answered, nine questions every team answers, your own questions, and the takeaways you hold yourselves to.</t>
  </si>
  <si>
    <t xml:space="preserve">PART 1 · THE INDUSTRY</t>
  </si>
  <si>
    <t xml:space="preserve">Industry Overview</t>
  </si>
  <si>
    <t xml:space="preserve">Setup (scope, competitors, base company) and the industry introduction: market size side by side, a CAGR calculator, segments, top-4 share and HHI, history, life-cycle stage.</t>
  </si>
  <si>
    <t xml:space="preserve">Competitive Analysis</t>
  </si>
  <si>
    <t xml:space="preserve">Each competitor's financials and moat against the peer median, margin rank, moat score, signals, and annual-report seeds for PESTEL.</t>
  </si>
  <si>
    <t xml:space="preserve">PESTEL</t>
  </si>
  <si>
    <t xml:space="preserve">Macro findings with impact × certainty priority and the P&amp;L line each one hits.</t>
  </si>
  <si>
    <t xml:space="preserve">Five Forces</t>
  </si>
  <si>
    <t xml:space="preserve">Sub-factor scores roll up to each force and to an industry attractiveness score.</t>
  </si>
  <si>
    <t xml:space="preserve">Trending Factors</t>
  </si>
  <si>
    <t xml:space="preserve">Candidate drivers through the four tests; Driver or Demoted, and a 3-5 driver check.</t>
  </si>
  <si>
    <t xml:space="preserve">KSF Scorecard</t>
  </si>
  <si>
    <t xml:space="preserve">Weighted KSFs, every competitor scored, totals and rank; weights must sum to 100%.</t>
  </si>
  <si>
    <t xml:space="preserve">Strategic Mapping</t>
  </si>
  <si>
    <t xml:space="preserve">Every company scored on two vectors, plotted on a map, and the white-space candidates with ERRC and a capability stamp.</t>
  </si>
  <si>
    <t xml:space="preserve">PART 2 · THE COMPANY</t>
  </si>
  <si>
    <t xml:space="preserve">Value Chain</t>
  </si>
  <si>
    <t xml:space="preserve">Activities by cost share and value share; value minus cost reads as differentiating engine, in balance or value trap.</t>
  </si>
  <si>
    <t xml:space="preserve">Unit Economics</t>
  </si>
  <si>
    <t xml:space="preserve">Contribution, break-even, margin of safety, LTV, LTV/CAC, CAC payback and a sensitivity table (J-1).</t>
  </si>
  <si>
    <t xml:space="preserve">Resources &amp; Capabilities</t>
  </si>
  <si>
    <t xml:space="preserve">Resources, capabilities (threshold or distinctive) and core competencies.</t>
  </si>
  <si>
    <t xml:space="preserve">VRIO</t>
  </si>
  <si>
    <t xml:space="preserve">Yes / No / ? for each test; the verdict and the KSF reality check are calculated.</t>
  </si>
  <si>
    <t xml:space="preserve">Full Potential</t>
  </si>
  <si>
    <t xml:space="preserve">The profit gap to benchmark, driver by driver in sequence, with a bridge chart (K-1).</t>
  </si>
  <si>
    <t xml:space="preserve">Growth Barriers</t>
  </si>
  <si>
    <t xml:space="preserve">Six barriers marked binding, tight or slack; the binding constraint is named (K-2).</t>
  </si>
  <si>
    <t xml:space="preserve">SWOT-TOWS</t>
  </si>
  <si>
    <t xml:space="preserve">Four traced lists and the TOWS options that pair them.</t>
  </si>
  <si>
    <t xml:space="preserve">PART 3 · THE STRATEGY</t>
  </si>
  <si>
    <t xml:space="preserve">Positioning</t>
  </si>
  <si>
    <t xml:space="preserve">The strategy you chose, in your words, and five fit tests including management fit.</t>
  </si>
  <si>
    <t xml:space="preserve">Strategic Options</t>
  </si>
  <si>
    <t xml:space="preserve">SCQ framing and three or more options plus do nothing, each staged with a gate (P).</t>
  </si>
  <si>
    <t xml:space="preserve">Decision Matrix</t>
  </si>
  <si>
    <t xml:space="preserve">Criteria weights × option scores, with a weighted total and rank; do nothing included.</t>
  </si>
  <si>
    <t xml:space="preserve">Business Case</t>
  </si>
  <si>
    <t xml:space="preserve">Driver-based cash flows, NPV, IRR and cumulative cash (Q-1).</t>
  </si>
  <si>
    <t xml:space="preserve">Expected Value</t>
  </si>
  <si>
    <t xml:space="preserve">Scenario probabilities × NPVs, expected NPV, worst case, maximin, value of information, and a Bayes' rule pilot check (Q-2).</t>
  </si>
  <si>
    <t xml:space="preserve">Risk Analysis</t>
  </si>
  <si>
    <t xml:space="preserve">A tornado chart and a 1,000-run Monte Carlo simulation over your low / likely / high ranges (Q-3).</t>
  </si>
  <si>
    <t xml:space="preserve">Pricing</t>
  </si>
  <si>
    <t xml:space="preserve">Optional: price points against expected volume; the profit-maximising price inside the acceptable range.</t>
  </si>
  <si>
    <t xml:space="preserve">Stress Test</t>
  </si>
  <si>
    <t xml:space="preserve">Assumption audit with headroom, competitor war-game, and a risk register with owners and triggers (R).</t>
  </si>
  <si>
    <t xml:space="preserve">Go-to-Market</t>
  </si>
  <si>
    <t xml:space="preserve">Beachhead, ICP, a channel funnel worked back to CAC, CAC checked against LTV, launch phases (T).</t>
  </si>
  <si>
    <t xml:space="preserve">Initiatives</t>
  </si>
  <si>
    <t xml:space="preserve">RICE scores and rank; every initiative traces to a finding (S).</t>
  </si>
  <si>
    <t xml:space="preserve">Operating Model</t>
  </si>
  <si>
    <t xml:space="preserve">Decision rights (RAPID) and a stakeholder power-interest map.</t>
  </si>
  <si>
    <t xml:space="preserve">Execution Roadmap</t>
  </si>
  <si>
    <t xml:space="preserve">First 100 days as bars by week, milestones and stage gates (S).</t>
  </si>
  <si>
    <t xml:space="preserve">Balanced Scorecard</t>
  </si>
  <si>
    <t xml:space="preserve">Objectives and measures in four perspectives, leading vs lagging, status vs target, balance check (U).</t>
  </si>
  <si>
    <t xml:space="preserve">Strategy Map</t>
  </si>
  <si>
    <t xml:space="preserve">Objectives by perspective and their cause-and-effect links (U).</t>
  </si>
  <si>
    <t xml:space="preserve">GLO-BUS</t>
  </si>
  <si>
    <t xml:space="preserve">GLO-BUS CIR</t>
  </si>
  <si>
    <t xml:space="preserve">Paste the CIR figures; each company is placed in a strategic group automatically.</t>
  </si>
  <si>
    <t xml:space="preserve">GLO-BUS Planner</t>
  </si>
  <si>
    <t xml:space="preserve">Plan every decision for each year in screen order; flags big changes and years where price and advertising are both cut. You enter the decisions in GLO-BUS yourself.</t>
  </si>
  <si>
    <t xml:space="preserve">Season by Year</t>
  </si>
  <si>
    <t xml:space="preserve">All years on one tab: every decision entered (top) and every result (below), each year followed by its change (▲ ▼, green = better). The first columns stay put as you scroll.</t>
  </si>
  <si>
    <t xml:space="preserve">Competition by Year</t>
  </si>
  <si>
    <t xml:space="preserve">Every company's score, rank, KPIs, price, P/Q and share by year with the change, from the class-wide reports only, plus your rank on each measure.</t>
  </si>
  <si>
    <t xml:space="preserve">KPI Charts</t>
  </si>
  <si>
    <t xml:space="preserve">Graphs of how you're doing: KPIs vs investor expectations, score by company, rank, share, cost per unit and position vs the industry, revenue, profit and margins.</t>
  </si>
  <si>
    <t xml:space="preserve">Findings &amp; Questions</t>
  </si>
  <si>
    <t xml:space="preserve">Findings, watch items and questions to consider, year by year (filled from the weekly review), with the team's response and status.</t>
  </si>
  <si>
    <t xml:space="preserve">Your work stays yours</t>
  </si>
  <si>
    <t xml:space="preserve">In graded work, the inputs, choices and every Impact Summary are the student's. The workbook calculates; it never decides.</t>
  </si>
  <si>
    <t xml:space="preserve">© 2026 Brad Scheller · Strat-IQ Toolkit · free for noncommercial use (PolyForm NC / CC BY-NC) · commercial licences BScheller@ToolsIQ.ai</t>
  </si>
  <si>
    <t xml:space="preserve">What management told you, in their words. It sets up everything after it: the memo's Key Issues and Exhibit B, the decision criteria, the strategy you choose, and the weekly check.</t>
  </si>
  <si>
    <t xml:space="preserve">Pre-filled from your Strat-IQ ledger. Blue text on cream = inputs you can change.  Black on grey = formulas (do not type over them).</t>
  </si>
  <si>
    <t xml:space="preserve">1. Key issues from the interview  (these become your memo's Key Issues and Exhibit B)</t>
  </si>
  <si>
    <t xml:space="preserve">Central problem: the decision management needs made</t>
  </si>
  <si>
    <t xml:space="preserve">How should Company C position cameras and drones to beat investor expectations every year while protecting its credit rating?</t>
  </si>
  <si>
    <t xml:space="preserve">#</t>
  </si>
  <si>
    <t xml:space="preserve">Decisions management needs us to make</t>
  </si>
  <si>
    <t xml:space="preserve">By when</t>
  </si>
  <si>
    <t xml:space="preserve">Notes</t>
  </si>
  <si>
    <t xml:space="preserve">D1</t>
  </si>
  <si>
    <t xml:space="preserve">Choose a competitive strategy for cameras and for drones</t>
  </si>
  <si>
    <t xml:space="preserve">Before Year 6</t>
  </si>
  <si>
    <t xml:space="preserve">D2</t>
  </si>
  <si>
    <t xml:space="preserve">Set the yearly price, quality and marketing plan</t>
  </si>
  <si>
    <t xml:space="preserve">Every round</t>
  </si>
  <si>
    <t xml:space="preserve">D3</t>
  </si>
  <si>
    <t xml:space="preserve">D4</t>
  </si>
  <si>
    <t xml:space="preserve">D5</t>
  </si>
  <si>
    <t xml:space="preserve">Required goals (the decision criteria come from these)</t>
  </si>
  <si>
    <t xml:space="preserve">Measure / KPI</t>
  </si>
  <si>
    <t xml:space="preserve">Target</t>
  </si>
  <si>
    <t xml:space="preserve">B1</t>
  </si>
  <si>
    <t xml:space="preserve">Beat investor expectations for EPS</t>
  </si>
  <si>
    <t xml:space="preserve">EPS</t>
  </si>
  <si>
    <t xml:space="preserve">Every year</t>
  </si>
  <si>
    <t xml:space="preserve">B2</t>
  </si>
  <si>
    <t xml:space="preserve">Hold a credit rating of BB or better</t>
  </si>
  <si>
    <t xml:space="preserve">Credit rating</t>
  </si>
  <si>
    <t xml:space="preserve">BB</t>
  </si>
  <si>
    <t xml:space="preserve">B3</t>
  </si>
  <si>
    <t xml:space="preserve">Keep the image rating at or above expectations</t>
  </si>
  <si>
    <t xml:space="preserve">Image rating</t>
  </si>
  <si>
    <t xml:space="preserve">From Year 7</t>
  </si>
  <si>
    <t xml:space="preserve">B4</t>
  </si>
  <si>
    <t xml:space="preserve">B5</t>
  </si>
  <si>
    <t xml:space="preserve">Questions management needs answered</t>
  </si>
  <si>
    <t xml:space="preserve">Why it matters to them</t>
  </si>
  <si>
    <t xml:space="preserve">Q1</t>
  </si>
  <si>
    <t xml:space="preserve">Can we grow drone share without hurting the credit rating?</t>
  </si>
  <si>
    <t xml:space="preserve">Debt worries the board</t>
  </si>
  <si>
    <t xml:space="preserve">Q2</t>
  </si>
  <si>
    <t xml:space="preserve">Q3</t>
  </si>
  <si>
    <t xml:space="preserve">Q4</t>
  </si>
  <si>
    <t xml:space="preserve">Q5</t>
  </si>
  <si>
    <t xml:space="preserve">2. Questions every team must answer</t>
  </si>
  <si>
    <t xml:space="preserve">Area</t>
  </si>
  <si>
    <t xml:space="preserve">Question</t>
  </si>
  <si>
    <t xml:space="preserve">What management said</t>
  </si>
  <si>
    <t xml:space="preserve">Their words (quote)</t>
  </si>
  <si>
    <t xml:space="preserve">What it means for our strategy</t>
  </si>
  <si>
    <t xml:space="preserve">Touches</t>
  </si>
  <si>
    <t xml:space="preserve">How sure</t>
  </si>
  <si>
    <t xml:space="preserve">Follow-up question</t>
  </si>
  <si>
    <t xml:space="preserve">M1</t>
  </si>
  <si>
    <t xml:space="preserve">Goals</t>
  </si>
  <si>
    <t xml:space="preserve">Which scored measures matter most to management: EPS, ROE, stock price, credit rating or image rating?</t>
  </si>
  <si>
    <t xml:space="preserve">EPS first, then the credit rating</t>
  </si>
  <si>
    <t xml:space="preserve">We will not take on debt that risks our rating.</t>
  </si>
  <si>
    <t xml:space="preserve">Growth funded mostly from earnings</t>
  </si>
  <si>
    <t xml:space="preserve">Stated</t>
  </si>
  <si>
    <t xml:space="preserve">M2</t>
  </si>
  <si>
    <t xml:space="preserve">What would management call a successful season, and what would be a failure?</t>
  </si>
  <si>
    <t xml:space="preserve">M3</t>
  </si>
  <si>
    <t xml:space="preserve">Strategy</t>
  </si>
  <si>
    <t xml:space="preserve">What strategy does management favour for cameras, and for drones? Why?</t>
  </si>
  <si>
    <t xml:space="preserve">Value for money in cameras; premium in drones</t>
  </si>
  <si>
    <t xml:space="preserve">Best-cost cameras, differentiated drones</t>
  </si>
  <si>
    <t xml:space="preserve">Whole strategy</t>
  </si>
  <si>
    <t xml:space="preserve">Implied</t>
  </si>
  <si>
    <t xml:space="preserve">M4</t>
  </si>
  <si>
    <t xml:space="preserve">Markets</t>
  </si>
  <si>
    <t xml:space="preserve">Are there regions or segments management wants to lead in, or to avoid?</t>
  </si>
  <si>
    <t xml:space="preserve">M5</t>
  </si>
  <si>
    <t xml:space="preserve">Risk</t>
  </si>
  <si>
    <t xml:space="preserve">How much risk will management accept: debt, issuing stock, dividends, the lowest credit rating it will tolerate?</t>
  </si>
  <si>
    <t xml:space="preserve">No new debt beyond current levels</t>
  </si>
  <si>
    <t xml:space="preserve">Little room for big capacity bets</t>
  </si>
  <si>
    <t xml:space="preserve">Finance</t>
  </si>
  <si>
    <t xml:space="preserve">M6</t>
  </si>
  <si>
    <t xml:space="preserve">Brand</t>
  </si>
  <si>
    <t xml:space="preserve">Are there minimum quality, warranty, image or CSR standards the company must keep?</t>
  </si>
  <si>
    <t xml:space="preserve">M7</t>
  </si>
  <si>
    <t xml:space="preserve">Operations</t>
  </si>
  <si>
    <t xml:space="preserve">What are management's views on capacity, workforce and pay?</t>
  </si>
  <si>
    <t xml:space="preserve">M8</t>
  </si>
  <si>
    <t xml:space="preserve">Rivals</t>
  </si>
  <si>
    <t xml:space="preserve">What does management expect competitors to do?</t>
  </si>
  <si>
    <t xml:space="preserve">M9</t>
  </si>
  <si>
    <t xml:space="preserve">Decision rights</t>
  </si>
  <si>
    <t xml:space="preserve">Which decisions must the team check with management before entering them?</t>
  </si>
  <si>
    <t xml:space="preserve">3. Our own questions  (anything else the team asked)</t>
  </si>
  <si>
    <t xml:space="preserve">T1</t>
  </si>
  <si>
    <t xml:space="preserve">Is Latin America worth defending?</t>
  </si>
  <si>
    <t xml:space="preserve">Only if it pays its way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</si>
  <si>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</si>
  <si>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</si>
  <si>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</si>
  <si>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</si>
  <si>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</si>
  <si>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</si>
  <si>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</si>
  <si>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4. Management brief: the takeaways we hold ourselves to</t>
  </si>
  <si>
    <t xml:space="preserve">Takeaway</t>
  </si>
  <si>
    <t xml:space="preserve">From (row)</t>
  </si>
  <si>
    <t xml:space="preserve">How we'll check it each round</t>
  </si>
  <si>
    <t xml:space="preserve">K1</t>
  </si>
  <si>
    <t xml:space="preserve">Protect the credit rating: no growth that needs new debt</t>
  </si>
  <si>
    <t xml:space="preserve">Credit rating each round</t>
  </si>
  <si>
    <t xml:space="preserve">K2</t>
  </si>
  <si>
    <t xml:space="preserve">Cameras compete on value, drones on quality</t>
  </si>
  <si>
    <t xml:space="preserve">Position in the weekly report</t>
  </si>
  <si>
    <t xml:space="preserve">K3</t>
  </si>
  <si>
    <t xml:space="preserve">K4</t>
  </si>
  <si>
    <t xml:space="preserve">K5</t>
  </si>
  <si>
    <t xml:space="preserve">Completeness</t>
  </si>
  <si>
    <t xml:space="preserve">Record what management said, not what you hoped they meant. Mark anything you are inferring as 'Our interpretation'. This sheet stays with your team.</t>
  </si>
  <si>
    <t xml:space="preserve">Setup and Industry Overview</t>
  </si>
  <si>
    <t xml:space="preserve">Part 1, steps 1-2. The scope every later step uses, and the business-plan-style introduction to the industry. Cite a source for every figure.</t>
  </si>
  <si>
    <t xml:space="preserve">Scope (from setup)</t>
  </si>
  <si>
    <t xml:space="preserve">Industry</t>
  </si>
  <si>
    <t xml:space="preserve">Global electric vehicles (passenger BEV and PHEV)</t>
  </si>
  <si>
    <t xml:space="preserve">In scope / out of scope</t>
  </si>
  <si>
    <t xml:space="preserve">Passenger BEV + PHEV cars; excludes two-wheelers, buses and trucks</t>
  </si>
  <si>
    <t xml:space="preserve">Geography</t>
  </si>
  <si>
    <t xml:space="preserve">Global, with the EU as the decision market</t>
  </si>
  <si>
    <t xml:space="preserve">Horizon</t>
  </si>
  <si>
    <t xml:space="preserve">2026-2030</t>
  </si>
  <si>
    <t xml:space="preserve">Competitor set</t>
  </si>
  <si>
    <t xml:space="preserve">BYD, Tesla, Volkswagen Group, Geely, Xiaomi, Stellantis</t>
  </si>
  <si>
    <t xml:space="preserve">Base company</t>
  </si>
  <si>
    <t xml:space="preserve">BYD</t>
  </si>
  <si>
    <t xml:space="preserve">Market size (estimates differ by definition: show them side by side)</t>
  </si>
  <si>
    <t xml:space="preserve">Value</t>
  </si>
  <si>
    <t xml:space="preserve">Unit</t>
  </si>
  <si>
    <t xml:space="preserve">Year</t>
  </si>
  <si>
    <t xml:space="preserve">Publisher</t>
  </si>
  <si>
    <t xml:space="preserve">Definition</t>
  </si>
  <si>
    <t xml:space="preserve">Matches scope?</t>
  </si>
  <si>
    <t xml:space="preserve">million units</t>
  </si>
  <si>
    <t xml:space="preserve">Demo source A</t>
  </si>
  <si>
    <t xml:space="preserve">BEV + PHEV passenger cars</t>
  </si>
  <si>
    <t xml:space="preserve">Yes</t>
  </si>
  <si>
    <t xml:space="preserve">Demo source B</t>
  </si>
  <si>
    <t xml:space="preserve">BEV only</t>
  </si>
  <si>
    <t xml:space="preserve">No</t>
  </si>
  <si>
    <t xml:space="preserve">Growth: compound annual growth rate calculator</t>
  </si>
  <si>
    <t xml:space="preserve">Start value</t>
  </si>
  <si>
    <t xml:space="preserve">End value</t>
  </si>
  <si>
    <t xml:space="preserve">Number of years</t>
  </si>
  <si>
    <t xml:space="preserve">CAGR</t>
  </si>
  <si>
    <t xml:space="preserve">Forecast: publisher</t>
  </si>
  <si>
    <t xml:space="preserve">To year</t>
  </si>
  <si>
    <t xml:space="preserve">Published</t>
  </si>
  <si>
    <t xml:space="preserve">2026</t>
  </si>
  <si>
    <t xml:space="preserve">Demo source C</t>
  </si>
  <si>
    <t xml:space="preserve">Segments and customers</t>
  </si>
  <si>
    <t xml:space="preserve">Segment</t>
  </si>
  <si>
    <t xml:space="preserve">Share</t>
  </si>
  <si>
    <t xml:space="preserve">Growth</t>
  </si>
  <si>
    <t xml:space="preserve">Who buys, and why</t>
  </si>
  <si>
    <t xml:space="preserve">Compact / city</t>
  </si>
  <si>
    <t xml:space="preserve">fast</t>
  </si>
  <si>
    <t xml:space="preserve">Urban households; price first</t>
  </si>
  <si>
    <t xml:space="preserve">Mid-size SUV</t>
  </si>
  <si>
    <t xml:space="preserve">steady</t>
  </si>
  <si>
    <t xml:space="preserve">Families; range and space</t>
  </si>
  <si>
    <t xml:space="preserve">Premium</t>
  </si>
  <si>
    <t xml:space="preserve">slowing</t>
  </si>
  <si>
    <t xml:space="preserve">Tech-first buyers; software and brand</t>
  </si>
  <si>
    <t xml:space="preserve">Fleet</t>
  </si>
  <si>
    <t xml:space="preserve">Companies; total cost of ownership</t>
  </si>
  <si>
    <t xml:space="preserve">Key players and concentration</t>
  </si>
  <si>
    <t xml:space="preserve">Company</t>
  </si>
  <si>
    <t xml:space="preserve">Market share</t>
  </si>
  <si>
    <t xml:space="preserve">Top-4 share</t>
  </si>
  <si>
    <t xml:space="preserve">Tesla</t>
  </si>
  <si>
    <t xml:space="preserve">HHI (shares listed)</t>
  </si>
  <si>
    <t xml:space="preserve">Geely</t>
  </si>
  <si>
    <t xml:space="preserve">Below 1,500 unconcentrated; above 2,500 highly concentrated.</t>
  </si>
  <si>
    <t xml:space="preserve">Volkswagen Group</t>
  </si>
  <si>
    <t xml:space="preserve">Stellantis</t>
  </si>
  <si>
    <t xml:space="preserve">Xiaomi</t>
  </si>
  <si>
    <t xml:space="preserve">Recent history: the events that explain today's structure</t>
  </si>
  <si>
    <t xml:space="preserve">Event</t>
  </si>
  <si>
    <t xml:space="preserve">Why it mattered</t>
  </si>
  <si>
    <t xml:space="preserve">LFP cells return to mainstream cars</t>
  </si>
  <si>
    <t xml:space="preserve">Cut pack cost and opened the budget segment</t>
  </si>
  <si>
    <t xml:space="preserve">China price war begins</t>
  </si>
  <si>
    <t xml:space="preserve">Margins compressed; scale became decisive</t>
  </si>
  <si>
    <t xml:space="preserve">EU duties on China-built BEVs</t>
  </si>
  <si>
    <t xml:space="preserve">Local production became a KSF in Europe</t>
  </si>
  <si>
    <t xml:space="preserve">Software-defined vehicles go mainstream</t>
  </si>
  <si>
    <t xml:space="preserve">OTA and apps became a buying criterion</t>
  </si>
  <si>
    <t xml:space="preserve">Life-cycle stage</t>
  </si>
  <si>
    <t xml:space="preserve">Stage</t>
  </si>
  <si>
    <t xml:space="preserve">growth</t>
  </si>
  <si>
    <t xml:space="preserve">What it implies</t>
  </si>
  <si>
    <t xml:space="preserve">Share is still being won; invest ahead of demand but expect a shakeout among weak players</t>
  </si>
  <si>
    <t xml:space="preserve">Part 1, step 3. Each competitor's financials, moat and signals, benchmarked against the peer median. Same fiscal year for all; note the currency.</t>
  </si>
  <si>
    <t xml:space="preserve">Financial benchmark and moat</t>
  </si>
  <si>
    <t xml:space="preserve">Fiscal year</t>
  </si>
  <si>
    <t xml:space="preserve">Currency</t>
  </si>
  <si>
    <t xml:space="preserve">Revenue (m)</t>
  </si>
  <si>
    <t xml:space="preserve">Gross margin</t>
  </si>
  <si>
    <t xml:space="preserve">Op. margin</t>
  </si>
  <si>
    <t xml:space="preserve">R&amp;D % rev.</t>
  </si>
  <si>
    <t xml:space="preserve">Moat: network</t>
  </si>
  <si>
    <t xml:space="preserve">Moat: switching</t>
  </si>
  <si>
    <t xml:space="preserve">Moat: scale</t>
  </si>
  <si>
    <t xml:space="preserve">Moat: intangibles</t>
  </si>
  <si>
    <t xml:space="preserve">Apparent strategy</t>
  </si>
  <si>
    <t xml:space="preserve">FY2025</t>
  </si>
  <si>
    <t xml:space="preserve">USD</t>
  </si>
  <si>
    <t xml:space="preserve">weak</t>
  </si>
  <si>
    <t xml:space="preserve">moderate</t>
  </si>
  <si>
    <t xml:space="preserve">strong</t>
  </si>
  <si>
    <t xml:space="preserve">Cost leader at scale; vertical integration</t>
  </si>
  <si>
    <t xml:space="preserve">Premium tech brand; software and charging</t>
  </si>
  <si>
    <t xml:space="preserve">Broad multi-brand; transitioning from ICE</t>
  </si>
  <si>
    <t xml:space="preserve">Multi-brand value; platform sharing</t>
  </si>
  <si>
    <t xml:space="preserve">Ecosystem differentiator; phone-car link</t>
  </si>
  <si>
    <t xml:space="preserve">Regional brands; cost discipline</t>
  </si>
  <si>
    <t xml:space="preserve">Peer median</t>
  </si>
  <si>
    <t xml:space="preserve">Op. margin vs median</t>
  </si>
  <si>
    <t xml:space="preserve">Margin rank</t>
  </si>
  <si>
    <t xml:space="preserve">Moat score (0-8)</t>
  </si>
  <si>
    <t xml:space="preserve">Signals: what competitors are doing (hiring, patents, launches, capex, pricing)</t>
  </si>
  <si>
    <t xml:space="preserve">Kind</t>
  </si>
  <si>
    <t xml:space="preserve">Observation</t>
  </si>
  <si>
    <t xml:space="preserve">What it suggests</t>
  </si>
  <si>
    <t xml:space="preserve">capex</t>
  </si>
  <si>
    <t xml:space="preserve">Hungary plant construction on schedule</t>
  </si>
  <si>
    <t xml:space="preserve">Local EU production from 2026 to avoid duties</t>
  </si>
  <si>
    <t xml:space="preserve">pricing</t>
  </si>
  <si>
    <t xml:space="preserve">Model Y price cut 5% in Europe</t>
  </si>
  <si>
    <t xml:space="preserve">Defending share against cheaper entrants</t>
  </si>
  <si>
    <t xml:space="preserve">partnership</t>
  </si>
  <si>
    <t xml:space="preserve">Software joint venture with a US EV maker</t>
  </si>
  <si>
    <t xml:space="preserve">Buying software depth it lacks</t>
  </si>
  <si>
    <t xml:space="preserve">hiring</t>
  </si>
  <si>
    <t xml:space="preserve">Hiring EU homologation engineers</t>
  </si>
  <si>
    <t xml:space="preserve">Preparing an EU launch within two years</t>
  </si>
  <si>
    <t xml:space="preserve">Annual-report seeds for PESTEL (risk factors and management discussion)</t>
  </si>
  <si>
    <t xml:space="preserve">Text</t>
  </si>
  <si>
    <t xml:space="preserve">P&amp;L line</t>
  </si>
  <si>
    <t xml:space="preserve">Firms citing it</t>
  </si>
  <si>
    <t xml:space="preserve">PESTEL Analysis</t>
  </si>
  <si>
    <t xml:space="preserve">Macro findings, each tied to a P&amp;L line. Priority = impact × certainty (1-25).</t>
  </si>
  <si>
    <t xml:space="preserve">ID</t>
  </si>
  <si>
    <t xml:space="preserve">Dimension</t>
  </si>
  <si>
    <t xml:space="preserve">Finding</t>
  </si>
  <si>
    <t xml:space="preserve">Direction (+ / - / ±)</t>
  </si>
  <si>
    <t xml:space="preserve">Impact 1-5</t>
  </si>
  <si>
    <t xml:space="preserve">Certainty 1-5</t>
  </si>
  <si>
    <t xml:space="preserve">Priority</t>
  </si>
  <si>
    <t xml:space="preserve">Source / evidence</t>
  </si>
  <si>
    <t xml:space="preserve">P1</t>
  </si>
  <si>
    <t xml:space="preserve">Economic</t>
  </si>
  <si>
    <t xml:space="preserve">Battery cell prices keep falling</t>
  </si>
  <si>
    <t xml:space="preserve">+</t>
  </si>
  <si>
    <t xml:space="preserve">cogs.inputs</t>
  </si>
  <si>
    <t xml:space="preserve">E003</t>
  </si>
  <si>
    <t xml:space="preserve">P2</t>
  </si>
  <si>
    <t xml:space="preserve">Political</t>
  </si>
  <si>
    <t xml:space="preserve">EU tariffs on China-built BEVs</t>
  </si>
  <si>
    <t xml:space="preserve">-</t>
  </si>
  <si>
    <t xml:space="preserve">tax_and_levies</t>
  </si>
  <si>
    <t xml:space="preserve">E002</t>
  </si>
  <si>
    <t xml:space="preserve">P3</t>
  </si>
  <si>
    <t xml:space="preserve">Technological</t>
  </si>
  <si>
    <t xml:space="preserve">Software-defined vehicles shift value to features</t>
  </si>
  <si>
    <t xml:space="preserve">revenue.mix</t>
  </si>
  <si>
    <t xml:space="preserve">E008</t>
  </si>
  <si>
    <t xml:space="preserve">P4</t>
  </si>
  <si>
    <t xml:space="preserve">Social</t>
  </si>
  <si>
    <t xml:space="preserve">Range and charging anxiety slow mass-market adoption</t>
  </si>
  <si>
    <t xml:space="preserve">revenue.volume</t>
  </si>
  <si>
    <t xml:space="preserve">E007</t>
  </si>
  <si>
    <t xml:space="preserve">P5</t>
  </si>
  <si>
    <t xml:space="preserve">Env</t>
  </si>
  <si>
    <t xml:space="preserve">Fleet CO2 targets push OEMs to sell more BEVs</t>
  </si>
  <si>
    <t xml:space="preserve">E005</t>
  </si>
  <si>
    <t xml:space="preserve">P6</t>
  </si>
  <si>
    <t xml:space="preserve">Legal</t>
  </si>
  <si>
    <t xml:space="preserve">Local-content rules for EU incentives</t>
  </si>
  <si>
    <t xml:space="preserve">revenue.price</t>
  </si>
  <si>
    <t xml:space="preserve">Findings</t>
  </si>
  <si>
    <t xml:space="preserve">High priority (≥16)</t>
  </si>
  <si>
    <t xml:space="preserve">Missing a source</t>
  </si>
  <si>
    <t xml:space="preserve">Porter's Five Forces</t>
  </si>
  <si>
    <t xml:space="preserve">Score each sub-factor 1 (weak force, good for profit) to 5 (strong force). A force score you enter overrides the sub-factor average.</t>
  </si>
  <si>
    <t xml:space="preserve">Force</t>
  </si>
  <si>
    <t xml:space="preserve">Sub-factor</t>
  </si>
  <si>
    <t xml:space="preserve">Score 1-5</t>
  </si>
  <si>
    <t xml:space="preserve">Evidence / source</t>
  </si>
  <si>
    <t xml:space="preserve">Competitive rivalry</t>
  </si>
  <si>
    <t xml:space="preserve">Current competition</t>
  </si>
  <si>
    <t xml:space="preserve">Market growth</t>
  </si>
  <si>
    <t xml:space="preserve">Exit barriers</t>
  </si>
  <si>
    <t xml:space="preserve">Differentiation</t>
  </si>
  <si>
    <t xml:space="preserve">Supplier power</t>
  </si>
  <si>
    <t xml:space="preserve">Supplier concentration</t>
  </si>
  <si>
    <t xml:space="preserve">Switching costs</t>
  </si>
  <si>
    <t xml:space="preserve">Forward integration</t>
  </si>
  <si>
    <t xml:space="preserve">Input uniqueness</t>
  </si>
  <si>
    <t xml:space="preserve">Buyer power</t>
  </si>
  <si>
    <t xml:space="preserve">Buyer concentration</t>
  </si>
  <si>
    <t xml:space="preserve">Purchase volume</t>
  </si>
  <si>
    <t xml:space="preserve">Price sensitivity</t>
  </si>
  <si>
    <t xml:space="preserve">Threat of new entrants</t>
  </si>
  <si>
    <t xml:space="preserve">Entry barriers</t>
  </si>
  <si>
    <t xml:space="preserve">Capital requirements</t>
  </si>
  <si>
    <t xml:space="preserve">Scale economies</t>
  </si>
  <si>
    <t xml:space="preserve">Distribution access</t>
  </si>
  <si>
    <t xml:space="preserve">Threat of substitutes</t>
  </si>
  <si>
    <t xml:space="preserve">Available substitutes</t>
  </si>
  <si>
    <t xml:space="preserve">Price-performance</t>
  </si>
  <si>
    <t xml:space="preserve">Buyer propensity</t>
  </si>
  <si>
    <t xml:space="preserve">Sub-factor average</t>
  </si>
  <si>
    <t xml:space="preserve">Your force score (optional)</t>
  </si>
  <si>
    <t xml:space="preserve">Score used</t>
  </si>
  <si>
    <t xml:space="preserve">Strength</t>
  </si>
  <si>
    <t xml:space="preserve">Horizon score (optional)</t>
  </si>
  <si>
    <t xml:space="preserve">Industry attractiveness (1-5)</t>
  </si>
  <si>
    <t xml:space="preserve">At the horizon</t>
  </si>
  <si>
    <t xml:space="preserve">Attractiveness = 6 minus the average force score (1-5; higher is more attractive).</t>
  </si>
  <si>
    <t xml:space="preserve">The horizon score appears once all five horizon scores are entered.</t>
  </si>
  <si>
    <t xml:space="preserve">Trending Influence Factors</t>
  </si>
  <si>
    <t xml:space="preserve">Part 1, step 6. Candidates from PESTEL and Competitive Analysis; a driver must pass all four tests. Keep 3-5.</t>
  </si>
  <si>
    <t xml:space="preserve">Candidate driver</t>
  </si>
  <si>
    <t xml:space="preserve">From (PESTEL / CI ids)</t>
  </si>
  <si>
    <t xml:space="preserve">Mechanism → P&amp;L</t>
  </si>
  <si>
    <t xml:space="preserve">Forces moved</t>
  </si>
  <si>
    <t xml:space="preserve">Moves a force ≥1 pt?</t>
  </si>
  <si>
    <t xml:space="preserve">Moves P&amp;L for most firms?</t>
  </si>
  <si>
    <t xml:space="preserve">Acts within horizon?</t>
  </si>
  <si>
    <t xml:space="preserve">Two source types?</t>
  </si>
  <si>
    <t xml:space="preserve">Verdict</t>
  </si>
  <si>
    <t xml:space="preserve">Profit pool</t>
  </si>
  <si>
    <t xml:space="preserve">Cell cost curve</t>
  </si>
  <si>
    <t xml:space="preserve">Cheaper cells → lower input cost → lower price points</t>
  </si>
  <si>
    <t xml:space="preserve">suppliers, entrants</t>
  </si>
  <si>
    <t xml:space="preserve">redistributing</t>
  </si>
  <si>
    <t xml:space="preserve">Trade barriers</t>
  </si>
  <si>
    <t xml:space="preserve">P2, P6</t>
  </si>
  <si>
    <t xml:space="preserve">Software value shift</t>
  </si>
  <si>
    <t xml:space="preserve">Drivers kept</t>
  </si>
  <si>
    <t xml:space="preserve">Key Success Factors Scorecard</t>
  </si>
  <si>
    <t xml:space="preserve">Weights are fractions that must sum to 100%. Score each competitor 1 (weak) to 5 (strong) on each KSF.</t>
  </si>
  <si>
    <t xml:space="preserve">Key success factor</t>
  </si>
  <si>
    <t xml:space="preserve">Weight</t>
  </si>
  <si>
    <t xml:space="preserve">Traces to (force / driver)</t>
  </si>
  <si>
    <t xml:space="preserve">Battery cost and supply</t>
  </si>
  <si>
    <t xml:space="preserve">suppliers, D1</t>
  </si>
  <si>
    <t xml:space="preserve">Software and UX</t>
  </si>
  <si>
    <t xml:space="preserve">rivalry, D3</t>
  </si>
  <si>
    <t xml:space="preserve">Local production footprint</t>
  </si>
  <si>
    <t xml:space="preserve">Brand trust in Europe</t>
  </si>
  <si>
    <t xml:space="preserve">buyers</t>
  </si>
  <si>
    <t xml:space="preserve">Charging and service network</t>
  </si>
  <si>
    <t xml:space="preserve">Weight check (must be 100%)</t>
  </si>
  <si>
    <t xml:space="preserve">Weighted score (out of 5)</t>
  </si>
  <si>
    <t xml:space="preserve">Rank</t>
  </si>
  <si>
    <t xml:space="preserve">Part 1, step 8. Score each company on two vectors (0-10), see the map, then list the white space and stamp each candidate after VRIO.</t>
  </si>
  <si>
    <t xml:space="preserve">Horizontal axis (vector)</t>
  </si>
  <si>
    <t xml:space="preserve">Price position (low → high)</t>
  </si>
  <si>
    <t xml:space="preserve">Vertical axis (vector)</t>
  </si>
  <si>
    <t xml:space="preserve">Software depth (low → high)</t>
  </si>
  <si>
    <t xml:space="preserve">X score (0-10)</t>
  </si>
  <si>
    <t xml:space="preserve">Y score (0-10)</t>
  </si>
  <si>
    <t xml:space="preserve">Size (share or revenue)</t>
  </si>
  <si>
    <t xml:space="preserve">White space and blue-ocean candidates</t>
  </si>
  <si>
    <t xml:space="preserve">X</t>
  </si>
  <si>
    <t xml:space="preserve">Y</t>
  </si>
  <si>
    <t xml:space="preserve">Demand</t>
  </si>
  <si>
    <t xml:space="preserve">Thesis</t>
  </si>
  <si>
    <t xml:space="preserve">Eliminate</t>
  </si>
  <si>
    <t xml:space="preserve">Reduce</t>
  </si>
  <si>
    <t xml:space="preserve">Raise</t>
  </si>
  <si>
    <t xml:space="preserve">Create</t>
  </si>
  <si>
    <t xml:space="preserve">Capability (after VRIO)</t>
  </si>
  <si>
    <t xml:space="preserve">evidence of demand</t>
  </si>
  <si>
    <t xml:space="preserve">Sub-EUR 25k EU compact with good software</t>
  </si>
  <si>
    <t xml:space="preserve">Dealer upsell</t>
  </si>
  <si>
    <t xml:space="preserve">Trim levels</t>
  </si>
  <si>
    <t xml:space="preserve">Software UX</t>
  </si>
  <si>
    <t xml:space="preserve">Battery-backed resale guarantee</t>
  </si>
  <si>
    <t xml:space="preserve">supported</t>
  </si>
  <si>
    <t xml:space="preserve">unpriced</t>
  </si>
  <si>
    <t xml:space="preserve">Premium software subscription layer</t>
  </si>
  <si>
    <t xml:space="preserve">Hardware variety</t>
  </si>
  <si>
    <t xml:space="preserve">App ecosystem</t>
  </si>
  <si>
    <t xml:space="preserve">Paid feature store</t>
  </si>
  <si>
    <t xml:space="preserve">gap</t>
  </si>
  <si>
    <t xml:space="preserve">Part 2, step 9. Each activity's share of cost and of the value customers pay for. Value minus cost shows where the firm earns its margin.</t>
  </si>
  <si>
    <t xml:space="preserve">Activity</t>
  </si>
  <si>
    <t xml:space="preserve">Porter category</t>
  </si>
  <si>
    <t xml:space="preserve">Sourcing</t>
  </si>
  <si>
    <t xml:space="preserve">Cost share</t>
  </si>
  <si>
    <t xml:space="preserve">Value share</t>
  </si>
  <si>
    <t xml:space="preserve">Value − cost</t>
  </si>
  <si>
    <t xml:space="preserve">Reading</t>
  </si>
  <si>
    <t xml:space="preserve">Delivers KSF</t>
  </si>
  <si>
    <t xml:space="preserve">A1</t>
  </si>
  <si>
    <t xml:space="preserve">Battery cells and packs</t>
  </si>
  <si>
    <t xml:space="preserve">product</t>
  </si>
  <si>
    <t xml:space="preserve">in-house</t>
  </si>
  <si>
    <t xml:space="preserve">A2</t>
  </si>
  <si>
    <t xml:space="preserve">Vehicle assembly</t>
  </si>
  <si>
    <t xml:space="preserve">commodity</t>
  </si>
  <si>
    <t xml:space="preserve">A3</t>
  </si>
  <si>
    <t xml:space="preserve">Software and connected services</t>
  </si>
  <si>
    <t xml:space="preserve">Technology</t>
  </si>
  <si>
    <t xml:space="preserve">custom</t>
  </si>
  <si>
    <t xml:space="preserve">mixed</t>
  </si>
  <si>
    <t xml:space="preserve">A4</t>
  </si>
  <si>
    <t xml:space="preserve">Design and engineering</t>
  </si>
  <si>
    <t xml:space="preserve">K2, K5</t>
  </si>
  <si>
    <t xml:space="preserve">A5</t>
  </si>
  <si>
    <t xml:space="preserve">Logistics and import</t>
  </si>
  <si>
    <t xml:space="preserve">Outbound logistics</t>
  </si>
  <si>
    <t xml:space="preserve">outsourced</t>
  </si>
  <si>
    <t xml:space="preserve">A6</t>
  </si>
  <si>
    <t xml:space="preserve">EU sales and dealer network</t>
  </si>
  <si>
    <t xml:space="preserve">Marketing and sales</t>
  </si>
  <si>
    <t xml:space="preserve">A7</t>
  </si>
  <si>
    <t xml:space="preserve">After-sales service</t>
  </si>
  <si>
    <t xml:space="preserve">Service</t>
  </si>
  <si>
    <t xml:space="preserve">Totals</t>
  </si>
  <si>
    <t xml:space="preserve">Unit Economics (Exhibit J-1)</t>
  </si>
  <si>
    <t xml:space="preserve">Part 2, step 10. Does one more unit make money, and what does a customer cost? Matches unit_economics.py.</t>
  </si>
  <si>
    <t xml:space="preserve">Inputs</t>
  </si>
  <si>
    <t xml:space="preserve">Results</t>
  </si>
  <si>
    <t xml:space="preserve">one compact car (EU)</t>
  </si>
  <si>
    <t xml:space="preserve">Contribution per unit</t>
  </si>
  <si>
    <t xml:space="preserve">Price per unit</t>
  </si>
  <si>
    <t xml:space="preserve">Contribution margin</t>
  </si>
  <si>
    <t xml:space="preserve">Variable cost per unit</t>
  </si>
  <si>
    <t xml:space="preserve">Break-even volume</t>
  </si>
  <si>
    <t xml:space="preserve">Fixed costs per period</t>
  </si>
  <si>
    <t xml:space="preserve">Margin of safety</t>
  </si>
  <si>
    <t xml:space="preserve">Volume per period</t>
  </si>
  <si>
    <t xml:space="preserve">Operating profit</t>
  </si>
  <si>
    <t xml:space="preserve">Customer acquisition cost (CAC)</t>
  </si>
  <si>
    <t xml:space="preserve">Annual contribution per customer</t>
  </si>
  <si>
    <t xml:space="preserve">Units per customer per year</t>
  </si>
  <si>
    <t xml:space="preserve">Customer lifetime (years, max 10)</t>
  </si>
  <si>
    <t xml:space="preserve">Retention (share kept each year)</t>
  </si>
  <si>
    <t xml:space="preserve">Lifetime value (LTV)</t>
  </si>
  <si>
    <t xml:space="preserve">Discount rate</t>
  </si>
  <si>
    <t xml:space="preserve">LTV / CAC</t>
  </si>
  <si>
    <t xml:space="preserve">Service margin per customer per year</t>
  </si>
  <si>
    <t xml:space="preserve">CAC payback (months)</t>
  </si>
  <si>
    <t xml:space="preserve">Sensitivity: operating profit when one input moves</t>
  </si>
  <si>
    <t xml:space="preserve">Input</t>
  </si>
  <si>
    <t xml:space="preserve">−10%</t>
  </si>
  <si>
    <t xml:space="preserve">Plan</t>
  </si>
  <si>
    <t xml:space="preserve">+10%</t>
  </si>
  <si>
    <t xml:space="preserve">Price</t>
  </si>
  <si>
    <t xml:space="preserve">Variable cost</t>
  </si>
  <si>
    <t xml:space="preserve">Volume</t>
  </si>
  <si>
    <t xml:space="preserve">Fixed costs</t>
  </si>
  <si>
    <t xml:space="preserve">Resources and Capabilities</t>
  </si>
  <si>
    <t xml:space="preserve">Part 2, step 11. What the firm owns, what it does well, and which capabilities might be core competencies (VRIO tests them next).</t>
  </si>
  <si>
    <t xml:space="preserve">Resources</t>
  </si>
  <si>
    <t xml:space="preserve">Resource</t>
  </si>
  <si>
    <t xml:space="preserve">Type</t>
  </si>
  <si>
    <t xml:space="preserve">Measure or evidence</t>
  </si>
  <si>
    <t xml:space="preserve">R1</t>
  </si>
  <si>
    <t xml:space="preserve">In-house cell and pack plants</t>
  </si>
  <si>
    <t xml:space="preserve">tangible</t>
  </si>
  <si>
    <t xml:space="preserve">Over 200 GWh of cell capacity</t>
  </si>
  <si>
    <t xml:space="preserve">R2</t>
  </si>
  <si>
    <t xml:space="preserve">Scale in China</t>
  </si>
  <si>
    <t xml:space="preserve">Largest unit volume in China</t>
  </si>
  <si>
    <t xml:space="preserve">R3</t>
  </si>
  <si>
    <t xml:space="preserve">Blade-cell patents</t>
  </si>
  <si>
    <t xml:space="preserve">intangible</t>
  </si>
  <si>
    <t xml:space="preserve">Patent family in LFP pack design</t>
  </si>
  <si>
    <t xml:space="preserve">R4</t>
  </si>
  <si>
    <t xml:space="preserve">EU plant site (Hungary)</t>
  </si>
  <si>
    <t xml:space="preserve">Under construction</t>
  </si>
  <si>
    <t xml:space="preserve">Capabilities</t>
  </si>
  <si>
    <t xml:space="preserve">Capability</t>
  </si>
  <si>
    <t xml:space="preserve">Combines (resources)</t>
  </si>
  <si>
    <t xml:space="preserve">Performance evidence</t>
  </si>
  <si>
    <t xml:space="preserve">From activity</t>
  </si>
  <si>
    <t xml:space="preserve">Class</t>
  </si>
  <si>
    <t xml:space="preserve">C1</t>
  </si>
  <si>
    <t xml:space="preserve">Vertical battery integration</t>
  </si>
  <si>
    <t xml:space="preserve">R1, R3</t>
  </si>
  <si>
    <t xml:space="preserve">Cell cost per kWh below peers</t>
  </si>
  <si>
    <t xml:space="preserve">distinctive</t>
  </si>
  <si>
    <t xml:space="preserve">C2</t>
  </si>
  <si>
    <t xml:space="preserve">Fast model cadence</t>
  </si>
  <si>
    <t xml:space="preserve">New model every 12-18 months</t>
  </si>
  <si>
    <t xml:space="preserve">C3</t>
  </si>
  <si>
    <t xml:space="preserve">In-car software and OTA</t>
  </si>
  <si>
    <t xml:space="preserve">OTA updates; app rated below leaders</t>
  </si>
  <si>
    <t xml:space="preserve">threshold</t>
  </si>
  <si>
    <t xml:space="preserve">Core competencies (Prahalad and Hamel: customer benefit, hard to imitate, extendable)</t>
  </si>
  <si>
    <t xml:space="preserve">Customer benefit (KSF)</t>
  </si>
  <si>
    <t xml:space="preserve">Hard to imitate because</t>
  </si>
  <si>
    <t xml:space="preserve">Extends to</t>
  </si>
  <si>
    <t xml:space="preserve">Status</t>
  </si>
  <si>
    <t xml:space="preserve">C1 Vertical battery integration</t>
  </si>
  <si>
    <t xml:space="preserve">K1: lower price at equal range</t>
  </si>
  <si>
    <t xml:space="preserve">Decades of cell know-how plus owned capacity</t>
  </si>
  <si>
    <t xml:space="preserve">Storage, buses, licensing</t>
  </si>
  <si>
    <t xml:space="preserve">confirmed</t>
  </si>
  <si>
    <t xml:space="preserve">C2 Fast model cadence</t>
  </si>
  <si>
    <t xml:space="preserve">K5: fresh models</t>
  </si>
  <si>
    <t xml:space="preserve">Partly: rivals are speeding up</t>
  </si>
  <si>
    <t xml:space="preserve">New segments</t>
  </si>
  <si>
    <t xml:space="preserve">candidate</t>
  </si>
  <si>
    <t xml:space="preserve">Counts</t>
  </si>
  <si>
    <t xml:space="preserve">VRIO Analysis</t>
  </si>
  <si>
    <t xml:space="preserve">Answer the four tests in order with Yes / No / ?. The verdict stops at the first No or ?. KSF weight (a fraction) drives the reality check.</t>
  </si>
  <si>
    <t xml:space="preserve">Resource or capability</t>
  </si>
  <si>
    <t xml:space="preserve">Valuable?</t>
  </si>
  <si>
    <t xml:space="preserve">Rare?</t>
  </si>
  <si>
    <t xml:space="preserve">Inimitable?</t>
  </si>
  <si>
    <t xml:space="preserve">Organized?</t>
  </si>
  <si>
    <t xml:space="preserve">KSF it delivers</t>
  </si>
  <si>
    <t xml:space="preserve">KSF weight</t>
  </si>
  <si>
    <t xml:space="preserve">Reality check</t>
  </si>
  <si>
    <t xml:space="preserve">Evidence</t>
  </si>
  <si>
    <t xml:space="preserve">capability</t>
  </si>
  <si>
    <t xml:space="preserve">E010</t>
  </si>
  <si>
    <t xml:space="preserve">E001</t>
  </si>
  <si>
    <t xml:space="preserve">?</t>
  </si>
  <si>
    <t xml:space="preserve">resource</t>
  </si>
  <si>
    <t xml:space="preserve">Full Potential (Exhibit K-1)</t>
  </si>
  <si>
    <t xml:space="preserve">Part 2, step 14. The profit gap to a benchmark, driver by driver, applied in sequence so overlaps count once. A ceiling, not a forecast. Matches full_potential.py.</t>
  </si>
  <si>
    <t xml:space="preserve">Driver</t>
  </si>
  <si>
    <t xml:space="preserve">Today</t>
  </si>
  <si>
    <t xml:space="preserve">Benchmark</t>
  </si>
  <si>
    <t xml:space="preserve">Benchmark source</t>
  </si>
  <si>
    <t xml:space="preserve">Controllability</t>
  </si>
  <si>
    <t xml:space="preserve">Value after step</t>
  </si>
  <si>
    <t xml:space="preserve">Gap captured</t>
  </si>
  <si>
    <t xml:space="preserve">EU peer median</t>
  </si>
  <si>
    <t xml:space="preserve">capability-bound</t>
  </si>
  <si>
    <t xml:space="preserve">Mix premium per unit</t>
  </si>
  <si>
    <t xml:space="preserve">Tesla software attach</t>
  </si>
  <si>
    <t xml:space="preserve">Plant design capacity</t>
  </si>
  <si>
    <t xml:space="preserve">controllable</t>
  </si>
  <si>
    <t xml:space="preserve">China cost with local cells</t>
  </si>
  <si>
    <t xml:space="preserve">structural</t>
  </si>
  <si>
    <t xml:space="preserve">Operating profit today</t>
  </si>
  <si>
    <t xml:space="preserve">Full-potential operating profit</t>
  </si>
  <si>
    <t xml:space="preserve">Uplift</t>
  </si>
  <si>
    <t xml:space="preserve">Largest gap</t>
  </si>
  <si>
    <t xml:space="preserve">Growth Barriers (Exhibit K-2)</t>
  </si>
  <si>
    <t xml:space="preserve">Part 2, step 15. Which constraint binds growth now? Exactly one should be binding; lifting it is what unlocks the next stage.</t>
  </si>
  <si>
    <t xml:space="preserve">Barrier</t>
  </si>
  <si>
    <t xml:space="preserve">What lifting it unlocks</t>
  </si>
  <si>
    <t xml:space="preserve">Demand: enough customers want it</t>
  </si>
  <si>
    <t xml:space="preserve">slack</t>
  </si>
  <si>
    <t xml:space="preserve">Compact segment growing fastest</t>
  </si>
  <si>
    <t xml:space="preserve">Supply / capacity</t>
  </si>
  <si>
    <t xml:space="preserve">Cell capacity ample</t>
  </si>
  <si>
    <t xml:space="preserve">Capability / talent</t>
  </si>
  <si>
    <t xml:space="preserve">tight</t>
  </si>
  <si>
    <t xml:space="preserve">Software lags leaders (C3)</t>
  </si>
  <si>
    <t xml:space="preserve">Capital / funding</t>
  </si>
  <si>
    <t xml:space="preserve">Strong cash generation</t>
  </si>
  <si>
    <t xml:space="preserve">Distribution / market access</t>
  </si>
  <si>
    <t xml:space="preserve">binding</t>
  </si>
  <si>
    <t xml:space="preserve">Few dealers in Germany and France</t>
  </si>
  <si>
    <t xml:space="preserve">Dealer coverage in DE/FR unlocks the volume the plant needs</t>
  </si>
  <si>
    <t xml:space="preserve">Regulation / licences</t>
  </si>
  <si>
    <t xml:space="preserve">Binding constraint</t>
  </si>
  <si>
    <t xml:space="preserve">SWOT and TOWS</t>
  </si>
  <si>
    <t xml:space="preserve">Every item names the finding it came from. TOWS options pair the items by ID.</t>
  </si>
  <si>
    <t xml:space="preserve">Strengths (internal, helpful)</t>
  </si>
  <si>
    <t xml:space="preserve">Source</t>
  </si>
  <si>
    <t xml:space="preserve">Weaknesses (internal, harmful)</t>
  </si>
  <si>
    <t xml:space="preserve">S1</t>
  </si>
  <si>
    <t xml:space="preserve">Lowest cell cost in the industry</t>
  </si>
  <si>
    <t xml:space="preserve">W1</t>
  </si>
  <si>
    <t xml:space="preserve">Low brand trust in Europe</t>
  </si>
  <si>
    <t xml:space="preserve">S2</t>
  </si>
  <si>
    <t xml:space="preserve">W2</t>
  </si>
  <si>
    <t xml:space="preserve">Software lags the leaders</t>
  </si>
  <si>
    <t xml:space="preserve">S3</t>
  </si>
  <si>
    <t xml:space="preserve">W3</t>
  </si>
  <si>
    <t xml:space="preserve">S4</t>
  </si>
  <si>
    <t xml:space="preserve">W4</t>
  </si>
  <si>
    <t xml:space="preserve">S5</t>
  </si>
  <si>
    <t xml:space="preserve">W5</t>
  </si>
  <si>
    <t xml:space="preserve">S6</t>
  </si>
  <si>
    <t xml:space="preserve">W6</t>
  </si>
  <si>
    <t xml:space="preserve">Opportunities (external, helpful)</t>
  </si>
  <si>
    <t xml:space="preserve">Threats (external, harmful)</t>
  </si>
  <si>
    <t xml:space="preserve">O1</t>
  </si>
  <si>
    <t xml:space="preserve">Affordable EU compact segment is under-served</t>
  </si>
  <si>
    <t xml:space="preserve">O2</t>
  </si>
  <si>
    <t xml:space="preserve">Fleet CO2 targets lift BEV demand</t>
  </si>
  <si>
    <t xml:space="preserve">Local-content rules for incentives</t>
  </si>
  <si>
    <t xml:space="preserve">O3</t>
  </si>
  <si>
    <t xml:space="preserve">O4</t>
  </si>
  <si>
    <t xml:space="preserve">O5</t>
  </si>
  <si>
    <t xml:space="preserve">O6</t>
  </si>
  <si>
    <t xml:space="preserve">Cell</t>
  </si>
  <si>
    <t xml:space="preserve">TOWS strategic option</t>
  </si>
  <si>
    <t xml:space="preserve">Pairs (e.g. S1 × O1)</t>
  </si>
  <si>
    <t xml:space="preserve">ST</t>
  </si>
  <si>
    <t xml:space="preserve">Build an EU plant to avoid tariffs</t>
  </si>
  <si>
    <t xml:space="preserve">S1 × T1</t>
  </si>
  <si>
    <t xml:space="preserve">SO</t>
  </si>
  <si>
    <t xml:space="preserve">Launch a sub-EUR 25k compact</t>
  </si>
  <si>
    <t xml:space="preserve">S1 × O1</t>
  </si>
  <si>
    <t xml:space="preserve">WT</t>
  </si>
  <si>
    <t xml:space="preserve">Partner with a European OEM for local assembly and brand</t>
  </si>
  <si>
    <t xml:space="preserve">W1 × T2</t>
  </si>
  <si>
    <t xml:space="preserve">Positioning (Strategy Interview)</t>
  </si>
  <si>
    <t xml:space="preserve">Part 3, step 17. The strategy you chose, in your words, and the four fit tests. The workbook records; it never chooses.</t>
  </si>
  <si>
    <t xml:space="preserve">Generic strategy</t>
  </si>
  <si>
    <t xml:space="preserve">Best-cost provider</t>
  </si>
  <si>
    <t xml:space="preserve">Target customers</t>
  </si>
  <si>
    <t xml:space="preserve">Price-conscious EU urban buyers and small fleets</t>
  </si>
  <si>
    <t xml:space="preserve">Source of advantage</t>
  </si>
  <si>
    <t xml:space="preserve">Battery cost lead (C1) funds good-enough software at a lower price</t>
  </si>
  <si>
    <t xml:space="preserve">Why now</t>
  </si>
  <si>
    <t xml:space="preserve">Duties push local production; compact segment is under-served</t>
  </si>
  <si>
    <t xml:space="preserve">What we will not do</t>
  </si>
  <si>
    <t xml:space="preserve">Chase premium software subscriptions</t>
  </si>
  <si>
    <t xml:space="preserve">Positioning statement (your words)</t>
  </si>
  <si>
    <t xml:space="preserve">For price-conscious European city buyers, BYD offers a compact EV with dependable software for under EUR 25k, because our battery cost lead lets us price below rivals without losing money. [team's words]</t>
  </si>
  <si>
    <t xml:space="preserve">Fit test</t>
  </si>
  <si>
    <t xml:space="preserve">Market fit</t>
  </si>
  <si>
    <t xml:space="preserve">Is there demand where you are aiming (maps, segments, trends)?</t>
  </si>
  <si>
    <t xml:space="preserve">Segments: compact growing fastest</t>
  </si>
  <si>
    <t xml:space="preserve">Competitive fit</t>
  </si>
  <si>
    <t xml:space="preserve">Can you hold the position against the rivals near it?</t>
  </si>
  <si>
    <t xml:space="preserve">open question</t>
  </si>
  <si>
    <t xml:space="preserve">Tesla price cuts; Xiaomi entering</t>
  </si>
  <si>
    <t xml:space="preserve">Capability fit</t>
  </si>
  <si>
    <t xml:space="preserve">Do VRIO and the capability stamps support it?</t>
  </si>
  <si>
    <t xml:space="preserve">VRIO: C1 sustained</t>
  </si>
  <si>
    <t xml:space="preserve">Economic fit</t>
  </si>
  <si>
    <t xml:space="preserve">Do unit economics and the business case work?</t>
  </si>
  <si>
    <t xml:space="preserve">Option A NPV −$34.5M at plan</t>
  </si>
  <si>
    <t xml:space="preserve">Management fit</t>
  </si>
  <si>
    <t xml:space="preserve">Does it fit the goals and limits from your management interview?</t>
  </si>
  <si>
    <t xml:space="preserve">Goal B1 profit by 2029</t>
  </si>
  <si>
    <t xml:space="preserve">Fit summary</t>
  </si>
  <si>
    <t xml:space="preserve">Strategic Options (Exhibit P)</t>
  </si>
  <si>
    <t xml:space="preserve">Part 3, step 18. Frame the decision, then three or more distinct options plus do nothing, each with a staged first step and a gate.</t>
  </si>
  <si>
    <t xml:space="preserve">Situation</t>
  </si>
  <si>
    <t xml:space="preserve">BYD leads global EV volume on cost, but is small in Europe.</t>
  </si>
  <si>
    <t xml:space="preserve">Complication</t>
  </si>
  <si>
    <t xml:space="preserve">EU duties on China-built cars and weak dealer access cap European growth.</t>
  </si>
  <si>
    <t xml:space="preserve">How should BYD build a profitable European position by 2029?</t>
  </si>
  <si>
    <t xml:space="preserve">Option</t>
  </si>
  <si>
    <t xml:space="preserve">Route</t>
  </si>
  <si>
    <t xml:space="preserve">Exploits (TOWS ids)</t>
  </si>
  <si>
    <t xml:space="preserve">Staged first step</t>
  </si>
  <si>
    <t xml:space="preserve">Gate to the next stage</t>
  </si>
  <si>
    <t xml:space="preserve">Suggested?</t>
  </si>
  <si>
    <t xml:space="preserve">O-A</t>
  </si>
  <si>
    <t xml:space="preserve">A. EU plant</t>
  </si>
  <si>
    <t xml:space="preserve">build</t>
  </si>
  <si>
    <t xml:space="preserve">ST1, SO1</t>
  </si>
  <si>
    <t xml:space="preserve">Pilot line in Hungary</t>
  </si>
  <si>
    <t xml:space="preserve">Orders &gt; 40k by end of year 1</t>
  </si>
  <si>
    <t xml:space="preserve">O-B</t>
  </si>
  <si>
    <t xml:space="preserve">B. Partner</t>
  </si>
  <si>
    <t xml:space="preserve">partner</t>
  </si>
  <si>
    <t xml:space="preserve">WT1</t>
  </si>
  <si>
    <t xml:space="preserve">Assembly MoU with a European OEM</t>
  </si>
  <si>
    <t xml:space="preserve">Partner volumes &gt; 30k in year 1</t>
  </si>
  <si>
    <t xml:space="preserve">O-0</t>
  </si>
  <si>
    <t xml:space="preserve">0. Do nothing</t>
  </si>
  <si>
    <t xml:space="preserve">do nothing</t>
  </si>
  <si>
    <t xml:space="preserve">Checks</t>
  </si>
  <si>
    <t xml:space="preserve">Weight each criterion 1-5 and score each option 1-5. Include do nothing.</t>
  </si>
  <si>
    <t xml:space="preserve">Criterion</t>
  </si>
  <si>
    <t xml:space="preserve">Weight 1-5</t>
  </si>
  <si>
    <t xml:space="preserve">Tied to goal</t>
  </si>
  <si>
    <t xml:space="preserve">Option 4</t>
  </si>
  <si>
    <t xml:space="preserve">Option 5</t>
  </si>
  <si>
    <t xml:space="preserve">Profit by 2029</t>
  </si>
  <si>
    <t xml:space="preserve">Avoids tariffs</t>
  </si>
  <si>
    <t xml:space="preserve">Capital at risk (low = good)</t>
  </si>
  <si>
    <t xml:space="preserve">Builds EU brand trust</t>
  </si>
  <si>
    <t xml:space="preserve">The matrix ranks; it does not choose. The recommendation is yours.</t>
  </si>
  <si>
    <t xml:space="preserve">One option. Year 0 is the investment year. Working capital is released in the final year. Money in $.</t>
  </si>
  <si>
    <t xml:space="preserve">Option: A. EU plant (from the ledger)</t>
  </si>
  <si>
    <t xml:space="preserve">Assumptions</t>
  </si>
  <si>
    <t xml:space="preserve">Tax rate</t>
  </si>
  <si>
    <t xml:space="preserve">Working capital (% of revenue)</t>
  </si>
  <si>
    <t xml:space="preserve">$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</si>
  <si>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</si>
  <si>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</si>
  <si>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</si>
  <si>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</si>
  <si>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</si>
  <si>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</si>
  <si>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Units</t>
  </si>
  <si>
    <t xml:space="preserve">Capex</t>
  </si>
  <si>
    <t xml:space="preserve">Revenue</t>
  </si>
  <si>
    <t xml:space="preserve">Contribution</t>
  </si>
  <si>
    <t xml:space="preserve">Operating profit (EBIT)</t>
  </si>
  <si>
    <t xml:space="preserve">Tax</t>
  </si>
  <si>
    <t xml:space="preserve">Working capital</t>
  </si>
  <si>
    <t xml:space="preserve">Change in working capital</t>
  </si>
  <si>
    <t xml:space="preserve">Cash flow</t>
  </si>
  <si>
    <t xml:space="preserve">Cumulative cash flow</t>
  </si>
  <si>
    <t xml:space="preserve">NPV</t>
  </si>
  <si>
    <t xml:space="preserve">IRR</t>
  </si>
  <si>
    <t xml:space="preserve">Clears the hurdle?</t>
  </si>
  <si>
    <t xml:space="preserve">State the break-even in words in your exhibit (the Business Case skill computes it).</t>
  </si>
  <si>
    <t xml:space="preserve">Probabilities as percentages that sum to 100% per option; NPV in $M. Follows the course handout 'Choosing Among Strategic Alternatives'.</t>
  </si>
  <si>
    <t xml:space="preserve">P strong</t>
  </si>
  <si>
    <t xml:space="preserve">NPV strong ($M)</t>
  </si>
  <si>
    <t xml:space="preserve">P moderate</t>
  </si>
  <si>
    <t xml:space="preserve">NPV moderate ($M)</t>
  </si>
  <si>
    <t xml:space="preserve">P weak</t>
  </si>
  <si>
    <t xml:space="preserve">NPV weak ($M)</t>
  </si>
  <si>
    <t xml:space="preserve">Probability check</t>
  </si>
  <si>
    <t xml:space="preserve">Expected NPV ($M)</t>
  </si>
  <si>
    <t xml:space="preserve">Worst case</t>
  </si>
  <si>
    <t xml:space="preserve">Best case</t>
  </si>
  <si>
    <t xml:space="preserve">Leader on expected value</t>
  </si>
  <si>
    <t xml:space="preserve">Maximin choice (best worst case)</t>
  </si>
  <si>
    <t xml:space="preserve">Value of perfect information ($M)</t>
  </si>
  <si>
    <t xml:space="preserve">The most worth paying for a pilot that reveals the scenario first (leader's probabilities).</t>
  </si>
  <si>
    <t xml:space="preserve">Is a pilot worth it? (Bayes' rule)</t>
  </si>
  <si>
    <t xml:space="preserve">How likely the pilot shows each result IF that scenario is real. Each row sums to 100%. Uses the first option's scenario probabilities as the prior.</t>
  </si>
  <si>
    <t xml:space="preserve">Scenario</t>
  </si>
  <si>
    <t xml:space="preserve">Prior</t>
  </si>
  <si>
    <t xml:space="preserve">P(positive | scenario)</t>
  </si>
  <si>
    <t xml:space="preserve">P(negative | scenario)</t>
  </si>
  <si>
    <t xml:space="preserve">Row check</t>
  </si>
  <si>
    <t xml:space="preserve">Posterior if positive</t>
  </si>
  <si>
    <t xml:space="preserve">Posterior if negative</t>
  </si>
  <si>
    <t xml:space="preserve">Strong</t>
  </si>
  <si>
    <t xml:space="preserve">Moderate</t>
  </si>
  <si>
    <t xml:space="preserve">Weak</t>
  </si>
  <si>
    <t xml:space="preserve">P(result)</t>
  </si>
  <si>
    <t xml:space="preserve">Expected NPV now</t>
  </si>
  <si>
    <t xml:space="preserve">If positive</t>
  </si>
  <si>
    <t xml:space="preserve">If negative</t>
  </si>
  <si>
    <t xml:space="preserve">Best option if the pilot is positive</t>
  </si>
  <si>
    <t xml:space="preserve">If both results point to the same option, the pilot cannot change the choice and is worth nothing for this decision.</t>
  </si>
  <si>
    <t xml:space="preserve">Best option if the pilot is negative</t>
  </si>
  <si>
    <t xml:space="preserve">Expected NPV with the pilot ($M)</t>
  </si>
  <si>
    <t xml:space="preserve">Value of the pilot, EVSI ($M)</t>
  </si>
  <si>
    <t xml:space="preserve">Pilot cost ($M)</t>
  </si>
  <si>
    <t xml:space="preserve">Net value of running the pilot ($M)</t>
  </si>
  <si>
    <t xml:space="preserve">Share of perfect information</t>
  </si>
  <si>
    <t xml:space="preserve">Risk Analysis (Exhibit Q-3)</t>
  </si>
  <si>
    <t xml:space="preserve">Works on the Business Case sheet. Set a low / likely / high for each driver: % change from plan, except the discount rate (an absolute rate). Blank = no uncertainty.</t>
  </si>
  <si>
    <t xml:space="preserve">Low</t>
  </si>
  <si>
    <t xml:space="preserve">Likely</t>
  </si>
  <si>
    <t xml:space="preserve">High</t>
  </si>
  <si>
    <t xml:space="preserve">Eff. low</t>
  </si>
  <si>
    <t xml:space="preserve">Eff. likely</t>
  </si>
  <si>
    <t xml:space="preserve">Eff. high</t>
  </si>
  <si>
    <t xml:space="preserve">Discount rate (absolute)</t>
  </si>
  <si>
    <t xml:space="preserve">Range check</t>
  </si>
  <si>
    <t xml:space="preserve">Tornado: NPV with one driver at its low or high, the others at plan</t>
  </si>
  <si>
    <t xml:space="preserve">Price ×</t>
  </si>
  <si>
    <t xml:space="preserve">Units ×</t>
  </si>
  <si>
    <t xml:space="preserve">Var. cost ×</t>
  </si>
  <si>
    <t xml:space="preserve">Fixed ×</t>
  </si>
  <si>
    <t xml:space="preserve">Capex ×</t>
  </si>
  <si>
    <t xml:space="preserve">Rate</t>
  </si>
  <si>
    <t xml:space="preserve">CF Y0</t>
  </si>
  <si>
    <t xml:space="preserve">CF Y1</t>
  </si>
  <si>
    <t xml:space="preserve">CF Y2</t>
  </si>
  <si>
    <t xml:space="preserve">CF Y3</t>
  </si>
  <si>
    <t xml:space="preserve">CF Y4</t>
  </si>
  <si>
    <t xml:space="preserve">CF Y5</t>
  </si>
  <si>
    <t xml:space="preserve">Price per unit low</t>
  </si>
  <si>
    <t xml:space="preserve">Price per unit high</t>
  </si>
  <si>
    <t xml:space="preserve">Units low</t>
  </si>
  <si>
    <t xml:space="preserve">Units high</t>
  </si>
  <si>
    <t xml:space="preserve">Variable cost per unit low</t>
  </si>
  <si>
    <t xml:space="preserve">Variable cost per unit high</t>
  </si>
  <si>
    <t xml:space="preserve">Fixed costs low</t>
  </si>
  <si>
    <t xml:space="preserve">Fixed costs high</t>
  </si>
  <si>
    <t xml:space="preserve">Capex low</t>
  </si>
  <si>
    <t xml:space="preserve">Capex high</t>
  </si>
  <si>
    <t xml:space="preserve">Discount rate (absolute) low</t>
  </si>
  <si>
    <t xml:space="preserve">Discount rate (absolute) high</t>
  </si>
  <si>
    <t xml:space="preserve">Tornado table (sorted by swing; the chart reads this)</t>
  </si>
  <si>
    <t xml:space="preserve">NPV at low</t>
  </si>
  <si>
    <t xml:space="preserve">NPV at high</t>
  </si>
  <si>
    <t xml:space="preserve">Swing</t>
  </si>
  <si>
    <t xml:space="preserve">Low − plan</t>
  </si>
  <si>
    <t xml:space="preserve">High − plan</t>
  </si>
  <si>
    <t xml:space="preserve">Crosses zero?</t>
  </si>
  <si>
    <t xml:space="preserve">Rank key</t>
  </si>
  <si>
    <t xml:space="preserve">Helper (unsorted)</t>
  </si>
  <si>
    <t xml:space="preserve">Monte Carlo simulation: 1,000 futures, each driver drawn from a triangular (low, likely, high) distribution. Press F9 to draw again; results move slightly each time.</t>
  </si>
  <si>
    <t xml:space="preserve">Mean NPV</t>
  </si>
  <si>
    <t xml:space="preserve">Median NPV</t>
  </si>
  <si>
    <t xml:space="preserve">P10 (1 in 10 worse than this)</t>
  </si>
  <si>
    <t xml:space="preserve">P90 (1 in 10 better than this)</t>
  </si>
  <si>
    <t xml:space="preserve">Standard deviation</t>
  </si>
  <si>
    <t xml:space="preserve">Probability NPV &lt; 0</t>
  </si>
  <si>
    <t xml:space="preserve">NPV at plan (for comparison)</t>
  </si>
  <si>
    <t xml:space="preserve">Drivers are drawn independently. If two move together (e.g. a price cut that lifts volume), the real spread differs. For exact, repeatable figures use the Business Case skill's risk_analysis.py.</t>
  </si>
  <si>
    <t xml:space="preserve">Bin from</t>
  </si>
  <si>
    <t xml:space="preserve">Bin to</t>
  </si>
  <si>
    <t xml:space="preserve">Count</t>
  </si>
  <si>
    <t xml:space="preserve">Run</t>
  </si>
  <si>
    <t xml:space="preserve">Random 1</t>
  </si>
  <si>
    <t xml:space="preserve">Random 2</t>
  </si>
  <si>
    <t xml:space="preserve">Random 3</t>
  </si>
  <si>
    <t xml:space="preserve">Random 4</t>
  </si>
  <si>
    <t xml:space="preserve">Random 5</t>
  </si>
  <si>
    <t xml:space="preserve">Random 6</t>
  </si>
  <si>
    <t xml:space="preserve">Pricing (optional)</t>
  </si>
  <si>
    <t xml:space="preserve">Part 3. Only when price is a lever. Test price points against the volume you expect at each; the sheet finds the profit-maximising point inside the acceptable range.</t>
  </si>
  <si>
    <t xml:space="preserve">Acceptable range: low</t>
  </si>
  <si>
    <t xml:space="preserve">Acceptable range: high</t>
  </si>
  <si>
    <t xml:space="preserve">Price point</t>
  </si>
  <si>
    <t xml:space="preserve">Expected volume</t>
  </si>
  <si>
    <t xml:space="preserve">In range?</t>
  </si>
  <si>
    <t xml:space="preserve">Best price in range</t>
  </si>
  <si>
    <t xml:space="preserve">Profit there</t>
  </si>
  <si>
    <t xml:space="preserve">Stress Test (Exhibit R)</t>
  </si>
  <si>
    <t xml:space="preserve">Part 3, step 22. Attack the leading option before anyone plans: the assumptions it rests on, how rivals respond, and a risk register with owners and triggers.</t>
  </si>
  <si>
    <t xml:space="preserve">Assumption audit</t>
  </si>
  <si>
    <t xml:space="preserve">Assumption</t>
  </si>
  <si>
    <t xml:space="preserve">Value used</t>
  </si>
  <si>
    <t xml:space="preserve">Break-even value</t>
  </si>
  <si>
    <t xml:space="preserve">Headroom</t>
  </si>
  <si>
    <t xml:space="preserve">Danger zone?</t>
  </si>
  <si>
    <t xml:space="preserve">Units in year 3</t>
  </si>
  <si>
    <t xml:space="preserve">Business case; 0.5% headroom</t>
  </si>
  <si>
    <t xml:space="preserve">Peer median EUR price</t>
  </si>
  <si>
    <t xml:space="preserve">China cost + EU labour</t>
  </si>
  <si>
    <t xml:space="preserve">Competitor war-game</t>
  </si>
  <si>
    <t xml:space="preserve">Rival</t>
  </si>
  <si>
    <t xml:space="preserve">Most likely response</t>
  </si>
  <si>
    <t xml:space="preserve">Effect on us</t>
  </si>
  <si>
    <t xml:space="preserve">Our counter</t>
  </si>
  <si>
    <t xml:space="preserve">Cuts Model 3 price 5-8%</t>
  </si>
  <si>
    <t xml:space="preserve">Squeezes our price premium headroom</t>
  </si>
  <si>
    <t xml:space="preserve">Hold price; add a resale guarantee</t>
  </si>
  <si>
    <t xml:space="preserve">Launches a EUR 25k ID model</t>
  </si>
  <si>
    <t xml:space="preserve">Direct competitor with dealer reach</t>
  </si>
  <si>
    <t xml:space="preserve">Move first; lock fleet deals</t>
  </si>
  <si>
    <t xml:space="preserve">Enters EU with a software-rich compact</t>
  </si>
  <si>
    <t xml:space="preserve">Beats us on K2</t>
  </si>
  <si>
    <t xml:space="preserve">Software partnership; faster OTA</t>
  </si>
  <si>
    <t xml:space="preserve">Risk register</t>
  </si>
  <si>
    <t xml:space="preserve">Likelihood (1-5)</t>
  </si>
  <si>
    <t xml:space="preserve">Impact (1-5)</t>
  </si>
  <si>
    <t xml:space="preserve">Score</t>
  </si>
  <si>
    <t xml:space="preserve">Rating</t>
  </si>
  <si>
    <t xml:space="preserve">Owner</t>
  </si>
  <si>
    <t xml:space="preserve">Mitigation</t>
  </si>
  <si>
    <t xml:space="preserve">Early-warning trigger</t>
  </si>
  <si>
    <t xml:space="preserve">Price war in the compact segment</t>
  </si>
  <si>
    <t xml:space="preserve">CMO</t>
  </si>
  <si>
    <t xml:space="preserve">Hold price; add value</t>
  </si>
  <si>
    <t xml:space="preserve">A rival cuts &gt; 5%</t>
  </si>
  <si>
    <t xml:space="preserve">EU duties rise further</t>
  </si>
  <si>
    <t xml:space="preserve">Head of Public Affairs</t>
  </si>
  <si>
    <t xml:space="preserve">Local content above 40%</t>
  </si>
  <si>
    <t xml:space="preserve">Commission review opens</t>
  </si>
  <si>
    <t xml:space="preserve">Plant ramp delay</t>
  </si>
  <si>
    <t xml:space="preserve">COO</t>
  </si>
  <si>
    <t xml:space="preserve">Pilot line first</t>
  </si>
  <si>
    <t xml:space="preserve">Milestone slips 4 weeks</t>
  </si>
  <si>
    <t xml:space="preserve">High risks without an owner</t>
  </si>
  <si>
    <t xml:space="preserve">Go-to-Market (Exhibit T)</t>
  </si>
  <si>
    <t xml:space="preserve">Part 3, step 23. One named beachhead, the funnel worked back to spend and CAC, and launch gates. CAC must fit the unit economics.</t>
  </si>
  <si>
    <t xml:space="preserve">Beachhead segment</t>
  </si>
  <si>
    <t xml:space="preserve">Urban households and small fleets in Germany</t>
  </si>
  <si>
    <t xml:space="preserve">Ideal customer profile</t>
  </si>
  <si>
    <t xml:space="preserve">Two-car households; fleets of 10-50 cars</t>
  </si>
  <si>
    <t xml:space="preserve">Value proposition</t>
  </si>
  <si>
    <t xml:space="preserve">A dependable EV compact under EUR 25k with a battery-backed resale guarantee</t>
  </si>
  <si>
    <t xml:space="preserve">Channel</t>
  </si>
  <si>
    <t xml:space="preserve">Spend</t>
  </si>
  <si>
    <t xml:space="preserve">Reach</t>
  </si>
  <si>
    <t xml:space="preserve">Lead rate</t>
  </si>
  <si>
    <t xml:space="preserve">Close rate</t>
  </si>
  <si>
    <t xml:space="preserve">Leads</t>
  </si>
  <si>
    <t xml:space="preserve">Customers</t>
  </si>
  <si>
    <t xml:space="preserve">CAC</t>
  </si>
  <si>
    <t xml:space="preserve">CAC vs LTV</t>
  </si>
  <si>
    <t xml:space="preserve">Dealer partners</t>
  </si>
  <si>
    <t xml:space="preserve">Online direct</t>
  </si>
  <si>
    <t xml:space="preserve">Fleet sales team</t>
  </si>
  <si>
    <t xml:space="preserve">Blended</t>
  </si>
  <si>
    <t xml:space="preserve">Launch phases and gates</t>
  </si>
  <si>
    <t xml:space="preserve">Phase</t>
  </si>
  <si>
    <t xml:space="preserve">When</t>
  </si>
  <si>
    <t xml:space="preserve">Goal</t>
  </si>
  <si>
    <t xml:space="preserve">Gate to the next phase</t>
  </si>
  <si>
    <t xml:space="preserve">1. Beachhead</t>
  </si>
  <si>
    <t xml:space="preserve">Months 0-6</t>
  </si>
  <si>
    <t xml:space="preserve">10k orders in Germany</t>
  </si>
  <si>
    <t xml:space="preserve">CAC below LTV/3</t>
  </si>
  <si>
    <t xml:space="preserve">2. Expand</t>
  </si>
  <si>
    <t xml:space="preserve">Months 6-18</t>
  </si>
  <si>
    <t xml:space="preserve">France and Benelux</t>
  </si>
  <si>
    <t xml:space="preserve">Dealer NPS above 40</t>
  </si>
  <si>
    <t xml:space="preserve">3. Scale</t>
  </si>
  <si>
    <t xml:space="preserve">Months 18-36</t>
  </si>
  <si>
    <t xml:space="preserve">EU-wide</t>
  </si>
  <si>
    <t xml:space="preserve">Plant at 80% utilisation</t>
  </si>
  <si>
    <t xml:space="preserve">Initiative Prioritizer (Exhibit S)</t>
  </si>
  <si>
    <t xml:space="preserve">Part 3, step 24. RICE score = reach × impact × confidence ÷ effort. The binding constraint goes first; every initiative traces to a finding.</t>
  </si>
  <si>
    <t xml:space="preserve">Initiative</t>
  </si>
  <si>
    <t xml:space="preserve">Traces to</t>
  </si>
  <si>
    <t xml:space="preserve">Impact (0.25-3)</t>
  </si>
  <si>
    <t xml:space="preserve">Confidence</t>
  </si>
  <si>
    <t xml:space="preserve">Effort (person-months)</t>
  </si>
  <si>
    <t xml:space="preserve">RICE</t>
  </si>
  <si>
    <t xml:space="preserve">Depends on</t>
  </si>
  <si>
    <t xml:space="preserve">I1</t>
  </si>
  <si>
    <t xml:space="preserve">Sign two German dealer groups</t>
  </si>
  <si>
    <t xml:space="preserve">GB:access</t>
  </si>
  <si>
    <t xml:space="preserve">now</t>
  </si>
  <si>
    <t xml:space="preserve">I2</t>
  </si>
  <si>
    <t xml:space="preserve">Cut EU variable cost 6% with local cells</t>
  </si>
  <si>
    <t xml:space="preserve">I4</t>
  </si>
  <si>
    <t xml:space="preserve">next</t>
  </si>
  <si>
    <t xml:space="preserve">I3</t>
  </si>
  <si>
    <t xml:space="preserve">Software partnership for the EU app</t>
  </si>
  <si>
    <t xml:space="preserve">Hungary pilot line</t>
  </si>
  <si>
    <t xml:space="preserve">Initiatives with nothing to trace to</t>
  </si>
  <si>
    <t xml:space="preserve">Operating Model and Stakeholders</t>
  </si>
  <si>
    <t xml:space="preserve">Part 3, steps 25-26. Who decides what (RAPID), and who must say yes: power and interest place each stakeholder in a quadrant.</t>
  </si>
  <si>
    <t xml:space="preserve">Decision rights (RAPID)</t>
  </si>
  <si>
    <t xml:space="preserve">Decision</t>
  </si>
  <si>
    <t xml:space="preserve">Recommend</t>
  </si>
  <si>
    <t xml:space="preserve">Agree</t>
  </si>
  <si>
    <t xml:space="preserve">Perform</t>
  </si>
  <si>
    <t xml:space="preserve">Decide</t>
  </si>
  <si>
    <t xml:space="preserve">Enter Germany</t>
  </si>
  <si>
    <t xml:space="preserve">Strategy lead</t>
  </si>
  <si>
    <t xml:space="preserve">CFO</t>
  </si>
  <si>
    <t xml:space="preserve">EU GM</t>
  </si>
  <si>
    <t xml:space="preserve">Sales, Legal</t>
  </si>
  <si>
    <t xml:space="preserve">CEO</t>
  </si>
  <si>
    <t xml:space="preserve">EU price points</t>
  </si>
  <si>
    <t xml:space="preserve">Pricing team</t>
  </si>
  <si>
    <t xml:space="preserve">Dealers</t>
  </si>
  <si>
    <t xml:space="preserve">Plant phase 2</t>
  </si>
  <si>
    <t xml:space="preserve">Board</t>
  </si>
  <si>
    <t xml:space="preserve">Plant director</t>
  </si>
  <si>
    <t xml:space="preserve">Stakeholder map</t>
  </si>
  <si>
    <t xml:space="preserve">Stakeholder</t>
  </si>
  <si>
    <t xml:space="preserve">Power (1-5)</t>
  </si>
  <si>
    <t xml:space="preserve">Interest (1-5)</t>
  </si>
  <si>
    <t xml:space="preserve">Stance (−2..+2)</t>
  </si>
  <si>
    <t xml:space="preserve">Quadrant</t>
  </si>
  <si>
    <t xml:space="preserve">Action</t>
  </si>
  <si>
    <t xml:space="preserve">EU regulators</t>
  </si>
  <si>
    <t xml:space="preserve">Early dialogue on local content</t>
  </si>
  <si>
    <t xml:space="preserve">German dealer groups</t>
  </si>
  <si>
    <t xml:space="preserve">Co-design margin terms</t>
  </si>
  <si>
    <t xml:space="preserve">Hungarian government</t>
  </si>
  <si>
    <t xml:space="preserve">Joint jobs announcement</t>
  </si>
  <si>
    <t xml:space="preserve">Unions (EU plant)</t>
  </si>
  <si>
    <t xml:space="preserve">Works council from day one</t>
  </si>
  <si>
    <t xml:space="preserve">Execution Roadmap (Exhibit S)</t>
  </si>
  <si>
    <t xml:space="preserve">Part 3, step 27. The first 100 days by workstream (the bars fill in from the start and end weeks), milestones and stage gates.</t>
  </si>
  <si>
    <t xml:space="preserve">Workstream / action</t>
  </si>
  <si>
    <t xml:space="preserve">Start wk</t>
  </si>
  <si>
    <t xml:space="preserve">End wk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</si>
  <si>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</si>
  <si>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</si>
  <si>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</si>
  <si>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</si>
  <si>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</si>
  <si>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</si>
  <si>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</si>
  <si>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</si>
  <si>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</si>
  <si>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</si>
  <si>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</si>
  <si>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</si>
  <si>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</si>
  <si>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</si>
  <si>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</si>
  <si>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Sign two dealer groups</t>
  </si>
  <si>
    <t xml:space="preserve">Pilot line ready</t>
  </si>
  <si>
    <t xml:space="preserve">EU app partner chosen</t>
  </si>
  <si>
    <t xml:space="preserve">CTO</t>
  </si>
  <si>
    <t xml:space="preserve">Fleet sales team hired</t>
  </si>
  <si>
    <t xml:space="preserve">Sales director</t>
  </si>
  <si>
    <t xml:space="preserve">Milestones</t>
  </si>
  <si>
    <t xml:space="preserve">Milestone</t>
  </si>
  <si>
    <t xml:space="preserve">Date</t>
  </si>
  <si>
    <t xml:space="preserve">KPI</t>
  </si>
  <si>
    <t xml:space="preserve">First dealer contract</t>
  </si>
  <si>
    <t xml:space="preserve">Week 6</t>
  </si>
  <si>
    <t xml:space="preserve">Dealers signed</t>
  </si>
  <si>
    <t xml:space="preserve">Pilot line first car</t>
  </si>
  <si>
    <t xml:space="preserve">Week 14</t>
  </si>
  <si>
    <t xml:space="preserve">Cars built</t>
  </si>
  <si>
    <t xml:space="preserve">10k orders</t>
  </si>
  <si>
    <t xml:space="preserve">Month 6</t>
  </si>
  <si>
    <t xml:space="preserve">Orders</t>
  </si>
  <si>
    <t xml:space="preserve">Stage gates (go / no-go)</t>
  </si>
  <si>
    <t xml:space="preserve">Gate</t>
  </si>
  <si>
    <t xml:space="preserve">Criteria to pass</t>
  </si>
  <si>
    <t xml:space="preserve">Evidence we will use</t>
  </si>
  <si>
    <t xml:space="preserve">Decision date</t>
  </si>
  <si>
    <t xml:space="preserve">Gate 1: go to phase 2</t>
  </si>
  <si>
    <t xml:space="preserve">10k orders and CAC below LTV/3</t>
  </si>
  <si>
    <t xml:space="preserve">Order book; GTM sheet</t>
  </si>
  <si>
    <t xml:space="preserve">Gate 2: plant phase 2</t>
  </si>
  <si>
    <t xml:space="preserve">Pilot unit cost within 5% of plan</t>
  </si>
  <si>
    <t xml:space="preserve">Unit Economics sheet</t>
  </si>
  <si>
    <t xml:space="preserve">Month 12</t>
  </si>
  <si>
    <t xml:space="preserve">1-2 measures per objective, 8-16 in all. Status: on target ≥100% of target, caution 90-99%, below plan &lt;90% (inverted when lower is better).</t>
  </si>
  <si>
    <t xml:space="preserve">Perspective</t>
  </si>
  <si>
    <t xml:space="preserve">Objective</t>
  </si>
  <si>
    <t xml:space="preserve">Measure</t>
  </si>
  <si>
    <t xml:space="preserve">Leading / lagging</t>
  </si>
  <si>
    <t xml:space="preserve">Better when</t>
  </si>
  <si>
    <t xml:space="preserve">Actual</t>
  </si>
  <si>
    <t xml:space="preserve">% of target</t>
  </si>
  <si>
    <t xml:space="preserve">Financial</t>
  </si>
  <si>
    <t xml:space="preserve">Profitable EU growth</t>
  </si>
  <si>
    <t xml:space="preserve">EU operating margin</t>
  </si>
  <si>
    <t xml:space="preserve">Lagging</t>
  </si>
  <si>
    <t xml:space="preserve">Higher</t>
  </si>
  <si>
    <t xml:space="preserve">Business case</t>
  </si>
  <si>
    <t xml:space="preserve">Customer</t>
  </si>
  <si>
    <t xml:space="preserve">Value choice below EUR 30k</t>
  </si>
  <si>
    <t xml:space="preserve">EU registrations (000s)</t>
  </si>
  <si>
    <t xml:space="preserve">GTM</t>
  </si>
  <si>
    <t xml:space="preserve">Internal process</t>
  </si>
  <si>
    <t xml:space="preserve">Local cell supply</t>
  </si>
  <si>
    <t xml:space="preserve">Local cell share</t>
  </si>
  <si>
    <t xml:space="preserve">Leading</t>
  </si>
  <si>
    <t xml:space="preserve">Value chain A1</t>
  </si>
  <si>
    <t xml:space="preserve">Learning and growth</t>
  </si>
  <si>
    <t xml:space="preserve">EU plant workforce</t>
  </si>
  <si>
    <t xml:space="preserve">Trained line staff</t>
  </si>
  <si>
    <t xml:space="preserve">CHRO</t>
  </si>
  <si>
    <t xml:space="preserve">Growth barriers</t>
  </si>
  <si>
    <t xml:space="preserve">Balance check</t>
  </si>
  <si>
    <t xml:space="preserve">Measures</t>
  </si>
  <si>
    <t xml:space="preserve">Share that are leading</t>
  </si>
  <si>
    <t xml:space="preserve">Measures with no owner</t>
  </si>
  <si>
    <t xml:space="preserve">Objectives by perspective, bottom to top. 'Drives' lists the IDs of the objectives each one leads to in the level above.</t>
  </si>
  <si>
    <t xml:space="preserve">Drives (IDs, ; separated)</t>
  </si>
  <si>
    <t xml:space="preserve">Check</t>
  </si>
  <si>
    <t xml:space="preserve">F1</t>
  </si>
  <si>
    <t xml:space="preserve">L1</t>
  </si>
  <si>
    <t xml:space="preserve">GLO-BUS Competitive Intelligence Report</t>
  </si>
  <si>
    <t xml:space="preserve">One row per company and product. Groups are set against the share-weighted industry average for that product. Analogues, not answers: you decide.</t>
  </si>
  <si>
    <t xml:space="preserve">From the capture of Year 7</t>
  </si>
  <si>
    <t xml:space="preserve">Product</t>
  </si>
  <si>
    <t xml:space="preserve">Price ($)</t>
  </si>
  <si>
    <t xml:space="preserve">P/Q (stars)</t>
  </si>
  <si>
    <t xml:space="preserve">Share (%)</t>
  </si>
  <si>
    <t xml:space="preserve">Models</t>
  </si>
  <si>
    <t xml:space="preserve">Strategic group</t>
  </si>
  <si>
    <t xml:space="preserve">Industry averages (share-weighted)</t>
  </si>
  <si>
    <t xml:space="preserve">P/Q</t>
  </si>
  <si>
    <t xml:space="preserve">Camera</t>
  </si>
  <si>
    <t xml:space="preserve">Drone</t>
  </si>
  <si>
    <t xml:space="preserve">GLO-BUS Decision Planner</t>
  </si>
  <si>
    <t xml:space="preserve">Plan each year's decisions here, test them in the game's projections, then enter them in GLO-BUS screen by screen in this order. Your team makes and enters every decision.</t>
  </si>
  <si>
    <t xml:space="preserve">Change threshold for the incremental-change check:</t>
  </si>
  <si>
    <t xml:space="preserve">Key (do not edit)</t>
  </si>
  <si>
    <t xml:space="preserve">Decision area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</si>
  <si>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</si>
  <si>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</si>
  <si>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</si>
  <si>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</si>
  <si>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</si>
  <si>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</si>
  <si>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</si>
  <si>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</si>
  <si>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</si>
  <si>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</si>
  <si>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strategy.camera</t>
  </si>
  <si>
    <t xml:space="preserve">Strategy anchor</t>
  </si>
  <si>
    <t xml:space="preserve">Strategy (Cameras)</t>
  </si>
  <si>
    <t xml:space="preserve">text</t>
  </si>
  <si>
    <t xml:space="preserve">Best-cost</t>
  </si>
  <si>
    <t xml:space="preserve">strategy.drone</t>
  </si>
  <si>
    <t xml:space="preserve">Strategy (Drones)</t>
  </si>
  <si>
    <t xml:space="preserve">Focused differentiation</t>
  </si>
  <si>
    <t xml:space="preserve">design.camera.pq</t>
  </si>
  <si>
    <t xml:space="preserve">Product design</t>
  </si>
  <si>
    <t xml:space="preserve">P/Q rating target (Cameras)</t>
  </si>
  <si>
    <t xml:space="preserve">stars</t>
  </si>
  <si>
    <t xml:space="preserve">design.drone.pq</t>
  </si>
  <si>
    <t xml:space="preserve">P/Q rating target (Drones)</t>
  </si>
  <si>
    <t xml:space="preserve">design.camera.models</t>
  </si>
  <si>
    <t xml:space="preserve">Number of models (Cameras)</t>
  </si>
  <si>
    <t xml:space="preserve">count</t>
  </si>
  <si>
    <t xml:space="preserve">design.drone.models</t>
  </si>
  <si>
    <t xml:space="preserve">Number of models (Drones)</t>
  </si>
  <si>
    <t xml:space="preserve">design.camera.rd</t>
  </si>
  <si>
    <t xml:space="preserve">R&amp;D / component quality spend (Cameras)</t>
  </si>
  <si>
    <t xml:space="preserve">$000s</t>
  </si>
  <si>
    <t xml:space="preserve">design.drone.rd</t>
  </si>
  <si>
    <t xml:space="preserve">R&amp;D / component quality spend (Drones)</t>
  </si>
  <si>
    <t xml:space="preserve">mkt.camera.na.price</t>
  </si>
  <si>
    <t xml:space="preserve">Marketing</t>
  </si>
  <si>
    <t xml:space="preserve">Price (Cameras, North America)</t>
  </si>
  <si>
    <t xml:space="preserve">mkt.camera.ea.price</t>
  </si>
  <si>
    <t xml:space="preserve">Price (Cameras, Europe-Africa)</t>
  </si>
  <si>
    <t xml:space="preserve">mkt.camera.ap.price</t>
  </si>
  <si>
    <t xml:space="preserve">Price (Cameras, Asia-Pacific)</t>
  </si>
  <si>
    <t xml:space="preserve">mkt.camera.la.price</t>
  </si>
  <si>
    <t xml:space="preserve">Price (Cameras, Latin America)</t>
  </si>
  <si>
    <t xml:space="preserve">mkt.drone.na.price</t>
  </si>
  <si>
    <t xml:space="preserve">Price (Drones, North America)</t>
  </si>
  <si>
    <t xml:space="preserve">mkt.drone.ea.price</t>
  </si>
  <si>
    <t xml:space="preserve">Price (Drones, Europe-Africa)</t>
  </si>
  <si>
    <t xml:space="preserve">mkt.drone.ap.price</t>
  </si>
  <si>
    <t xml:space="preserve">Price (Drones, Asia-Pacific)</t>
  </si>
  <si>
    <t xml:space="preserve">mkt.drone.la.price</t>
  </si>
  <si>
    <t xml:space="preserve">Price (Drones, Latin America)</t>
  </si>
  <si>
    <t xml:space="preserve">mkt.camera.na.ads</t>
  </si>
  <si>
    <t xml:space="preserve">Advertising (Cameras, North America)</t>
  </si>
  <si>
    <t xml:space="preserve">mkt.camera.ea.ads</t>
  </si>
  <si>
    <t xml:space="preserve">Advertising (Cameras, Europe-Africa)</t>
  </si>
  <si>
    <t xml:space="preserve">mkt.camera.ap.ads</t>
  </si>
  <si>
    <t xml:space="preserve">Advertising (Cameras, Asia-Pacific)</t>
  </si>
  <si>
    <t xml:space="preserve">mkt.camera.la.ads</t>
  </si>
  <si>
    <t xml:space="preserve">Advertising (Cameras, Latin America)</t>
  </si>
  <si>
    <t xml:space="preserve">mkt.drone.na.ads</t>
  </si>
  <si>
    <t xml:space="preserve">Advertising (Drones, North America)</t>
  </si>
  <si>
    <t xml:space="preserve">mkt.drone.ea.ads</t>
  </si>
  <si>
    <t xml:space="preserve">Advertising (Drones, Europe-Africa)</t>
  </si>
  <si>
    <t xml:space="preserve">mkt.drone.ap.ads</t>
  </si>
  <si>
    <t xml:space="preserve">Advertising (Drones, Asia-Pacific)</t>
  </si>
  <si>
    <t xml:space="preserve">mkt.drone.la.ads</t>
  </si>
  <si>
    <t xml:space="preserve">Advertising (Drones, Latin America)</t>
  </si>
  <si>
    <t xml:space="preserve">mkt.camera.na.promo</t>
  </si>
  <si>
    <t xml:space="preserve">Retailer support / promotions (Cameras, North America)</t>
  </si>
  <si>
    <t xml:space="preserve">per screen</t>
  </si>
  <si>
    <t xml:space="preserve">mkt.camera.ea.promo</t>
  </si>
  <si>
    <t xml:space="preserve">Retailer support / promotions (Cameras, Europe-Africa)</t>
  </si>
  <si>
    <t xml:space="preserve">mkt.camera.ap.promo</t>
  </si>
  <si>
    <t xml:space="preserve">Retailer support / promotions (Cameras, Asia-Pacific)</t>
  </si>
  <si>
    <t xml:space="preserve">mkt.camera.la.promo</t>
  </si>
  <si>
    <t xml:space="preserve">Retailer support / promotions (Cameras, Latin America)</t>
  </si>
  <si>
    <t xml:space="preserve">mkt.drone.na.promo</t>
  </si>
  <si>
    <t xml:space="preserve">Retailer support / promotions (Drones, North America)</t>
  </si>
  <si>
    <t xml:space="preserve">mkt.drone.ea.promo</t>
  </si>
  <si>
    <t xml:space="preserve">Retailer support / promotions (Drones, Europe-Africa)</t>
  </si>
  <si>
    <t xml:space="preserve">mkt.drone.ap.promo</t>
  </si>
  <si>
    <t xml:space="preserve">Retailer support / promotions (Drones, Asia-Pacific)</t>
  </si>
  <si>
    <t xml:space="preserve">mkt.drone.la.promo</t>
  </si>
  <si>
    <t xml:space="preserve">Retailer support / promotions (Drones, Latin America)</t>
  </si>
  <si>
    <t xml:space="preserve">mkt.camera.na.warranty</t>
  </si>
  <si>
    <t xml:space="preserve">Warranty (Cameras, North America)</t>
  </si>
  <si>
    <t xml:space="preserve">days</t>
  </si>
  <si>
    <t xml:space="preserve">mkt.camera.ea.warranty</t>
  </si>
  <si>
    <t xml:space="preserve">Warranty (Cameras, Europe-Africa)</t>
  </si>
  <si>
    <t xml:space="preserve">mkt.camera.ap.warranty</t>
  </si>
  <si>
    <t xml:space="preserve">Warranty (Cameras, Asia-Pacific)</t>
  </si>
  <si>
    <t xml:space="preserve">mkt.camera.la.warranty</t>
  </si>
  <si>
    <t xml:space="preserve">Warranty (Cameras, Latin America)</t>
  </si>
  <si>
    <t xml:space="preserve">mkt.drone.na.warranty</t>
  </si>
  <si>
    <t xml:space="preserve">Warranty (Drones, North America)</t>
  </si>
  <si>
    <t xml:space="preserve">mkt.drone.ea.warranty</t>
  </si>
  <si>
    <t xml:space="preserve">Warranty (Drones, Europe-Africa)</t>
  </si>
  <si>
    <t xml:space="preserve">mkt.drone.ap.warranty</t>
  </si>
  <si>
    <t xml:space="preserve">Warranty (Drones, Asia-Pacific)</t>
  </si>
  <si>
    <t xml:space="preserve">mkt.drone.la.warranty</t>
  </si>
  <si>
    <t xml:space="preserve">Warranty (Drones, Latin America)</t>
  </si>
  <si>
    <t xml:space="preserve">ops.camera.workstations</t>
  </si>
  <si>
    <t xml:space="preserve">Assembly operations</t>
  </si>
  <si>
    <t xml:space="preserve">Workstations (Cameras)</t>
  </si>
  <si>
    <t xml:space="preserve">ops.drone.workstations</t>
  </si>
  <si>
    <t xml:space="preserve">Workstations (Drones)</t>
  </si>
  <si>
    <t xml:space="preserve">ops.camera.overtime</t>
  </si>
  <si>
    <t xml:space="preserve">Overtime (Cameras)</t>
  </si>
  <si>
    <t xml:space="preserve">%</t>
  </si>
  <si>
    <t xml:space="preserve">ops.drone.overtime</t>
  </si>
  <si>
    <t xml:space="preserve">Overtime (Drones)</t>
  </si>
  <si>
    <t xml:space="preserve">ops.camera.training</t>
  </si>
  <si>
    <t xml:space="preserve">Best-practice training (Cameras)</t>
  </si>
  <si>
    <t xml:space="preserve">$ per worker</t>
  </si>
  <si>
    <t xml:space="preserve">ops.drone.training</t>
  </si>
  <si>
    <t xml:space="preserve">Best-practice training (Drones)</t>
  </si>
  <si>
    <t xml:space="preserve">comp.base</t>
  </si>
  <si>
    <t xml:space="preserve">Compensation</t>
  </si>
  <si>
    <t xml:space="preserve">Base wage</t>
  </si>
  <si>
    <t xml:space="preserve">comp.incentive</t>
  </si>
  <si>
    <t xml:space="preserve">Incentive pay</t>
  </si>
  <si>
    <t xml:space="preserve">$ per unit</t>
  </si>
  <si>
    <t xml:space="preserve">comp.fringe</t>
  </si>
  <si>
    <t xml:space="preserve">Fringe benefits</t>
  </si>
  <si>
    <t xml:space="preserve">csr.budget</t>
  </si>
  <si>
    <t xml:space="preserve">Corporate citizenship</t>
  </si>
  <si>
    <t xml:space="preserve">CSR / citizenship spending</t>
  </si>
  <si>
    <t xml:space="preserve">csr.programs</t>
  </si>
  <si>
    <t xml:space="preserve">Programs in place</t>
  </si>
  <si>
    <t xml:space="preserve">fin.st_loan</t>
  </si>
  <si>
    <t xml:space="preserve">Short-term loan</t>
  </si>
  <si>
    <t xml:space="preserve">fin.lt_loan</t>
  </si>
  <si>
    <t xml:space="preserve">Long-term loan</t>
  </si>
  <si>
    <t xml:space="preserve">fin.stock_issue</t>
  </si>
  <si>
    <t xml:space="preserve">Stock issue</t>
  </si>
  <si>
    <t xml:space="preserve">000s shares</t>
  </si>
  <si>
    <t xml:space="preserve">fin.buyback</t>
  </si>
  <si>
    <t xml:space="preserve">Stock buyback</t>
  </si>
  <si>
    <t xml:space="preserve">fin.dividend</t>
  </si>
  <si>
    <t xml:space="preserve">Dividend per share</t>
  </si>
  <si>
    <t xml:space="preserve">kpi.eps</t>
  </si>
  <si>
    <t xml:space="preserve">Projected KPIs (from the game's projections)</t>
  </si>
  <si>
    <t xml:space="preserve">Projected EPS</t>
  </si>
  <si>
    <t xml:space="preserve">kpi.roe</t>
  </si>
  <si>
    <t xml:space="preserve">Projected ROE</t>
  </si>
  <si>
    <t xml:space="preserve">kpi.stock</t>
  </si>
  <si>
    <t xml:space="preserve">Projected stock price</t>
  </si>
  <si>
    <t xml:space="preserve">kpi.credit</t>
  </si>
  <si>
    <t xml:space="preserve">Projected credit rating</t>
  </si>
  <si>
    <t xml:space="preserve">kpi.image</t>
  </si>
  <si>
    <t xml:space="preserve">Projected image rating</t>
  </si>
  <si>
    <t xml:space="preserve">score</t>
  </si>
  <si>
    <t xml:space="preserve">Change vs the year before (numbers only); amber = bigger than the threshold</t>
  </si>
  <si>
    <t xml:space="preserve">Key</t>
  </si>
  <si>
    <t xml:space="preserve">Guardrail: price and advertising cut in the same year (course rule: protect gross margin)</t>
  </si>
  <si>
    <t xml:space="preserve">Product, region</t>
  </si>
  <si>
    <t xml:space="preserve">Cameras, North America</t>
  </si>
  <si>
    <t xml:space="preserve">Cameras, Europe-Africa</t>
  </si>
  <si>
    <t xml:space="preserve">Cameras, Asia-Pacific</t>
  </si>
  <si>
    <t xml:space="preserve">Cameras, Latin America</t>
  </si>
  <si>
    <t xml:space="preserve">Drones, North America</t>
  </si>
  <si>
    <t xml:space="preserve">Drones, Europe-Africa</t>
  </si>
  <si>
    <t xml:space="preserve">Drones, Asia-Pacific</t>
  </si>
  <si>
    <t xml:space="preserve">Drones, Latin America</t>
  </si>
  <si>
    <t xml:space="preserve">How to use: 1) plan the year in its column; 2) enter the same values in GLO-BUS and test the projections; 3) record the projected KPIs; 4) after entering, run 'check our GLO-BUS entries against the plan' (GLO-BUS Capture), which reads the screens and flags any difference. Nothing is uploaded or entered for you.</t>
  </si>
  <si>
    <t xml:space="preserve">Labels follow the usual GLO-BUS screens; if your version differs, rename the Decision column but keep the Key column unchanged (the plan check uses it).</t>
  </si>
  <si>
    <t xml:space="preserve">GLO-BUS season by year</t>
  </si>
  <si>
    <t xml:space="preserve">Every decision and result, one pair of columns per year: the value, then the change from the year before (▲ up, ▼ down; green = better, red = worse). The first three columns stay put as you scroll right. Rebuild after each round to add the new year.</t>
  </si>
  <si>
    <t xml:space="preserve">Decision or result</t>
  </si>
  <si>
    <t xml:space="preserve">Change</t>
  </si>
  <si>
    <t xml:space="preserve">DECISIONS ENTERED  (from your captures; planned values in grey italics where nothing was captured)</t>
  </si>
  <si>
    <t xml:space="preserve">AAA</t>
  </si>
  <si>
    <t xml:space="preserve">AA+</t>
  </si>
  <si>
    <t xml:space="preserve">AA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</si>
  <si>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</si>
  <si>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</si>
  <si>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</si>
  <si>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</si>
  <si>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</si>
  <si>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</t>
  </si>
  <si>
    <t xml:space="preserve">BBB-</t>
  </si>
  <si>
    <t xml:space="preserve">BB+</t>
  </si>
  <si>
    <t xml:space="preserve">BB-</t>
  </si>
  <si>
    <t xml:space="preserve">B+</t>
  </si>
  <si>
    <t xml:space="preserve">B</t>
  </si>
  <si>
    <t xml:space="preserve">B-</t>
  </si>
  <si>
    <t xml:space="preserve">CCC+</t>
  </si>
  <si>
    <t xml:space="preserve">CCC</t>
  </si>
  <si>
    <t xml:space="preserve">CCC-</t>
  </si>
  <si>
    <t xml:space="preserve">CC</t>
  </si>
  <si>
    <t xml:space="preserve">C</t>
  </si>
  <si>
    <t xml:space="preserve">RESULTS  (from your captures: the scorecard, company and product reports)</t>
  </si>
  <si>
    <t xml:space="preserve">Scored KPIs</t>
  </si>
  <si>
    <t xml:space="preserve">EPS: investor expectation</t>
  </si>
  <si>
    <t xml:space="preserve">ROE</t>
  </si>
  <si>
    <t xml:space="preserve">ROE: investor expectation</t>
  </si>
  <si>
    <t xml:space="preserve">Stock price</t>
  </si>
  <si>
    <t xml:space="preserve">Stock price: investor expectation</t>
  </si>
  <si>
    <t xml:space="preserve">Credit rating: investor expectation</t>
  </si>
  <si>
    <t xml:space="preserve">Credit rating score (AAA = 21)</t>
  </si>
  <si>
    <t xml:space="preserve">Image rating: investor expectation</t>
  </si>
  <si>
    <t xml:space="preserve">Overall score</t>
  </si>
  <si>
    <t xml:space="preserve">Rank in the industry</t>
  </si>
  <si>
    <t xml:space="preserve">Net revenues ($000s)</t>
  </si>
  <si>
    <t xml:space="preserve">Net profit ($000s)</t>
  </si>
  <si>
    <t xml:space="preserve">Ending cash ($000s)</t>
  </si>
  <si>
    <t xml:space="preserve">Cameras</t>
  </si>
  <si>
    <t xml:space="preserve">Cameras: units sold (000s)</t>
  </si>
  <si>
    <t xml:space="preserve">Cameras: average price ($)</t>
  </si>
  <si>
    <t xml:space="preserve">Cameras: industry average price ($)</t>
  </si>
  <si>
    <t xml:space="preserve">Cameras: price vs industry</t>
  </si>
  <si>
    <t xml:space="preserve">Cameras: P/Q rating</t>
  </si>
  <si>
    <t xml:space="preserve">Cameras: industry average P/Q</t>
  </si>
  <si>
    <t xml:space="preserve">Cameras: cost per unit ($)</t>
  </si>
  <si>
    <t xml:space="preserve">Cameras: industry cost per unit ($)</t>
  </si>
  <si>
    <t xml:space="preserve">Cameras: cost per unit vs industry</t>
  </si>
  <si>
    <t xml:space="preserve">Cameras: operating margin</t>
  </si>
  <si>
    <t xml:space="preserve">Cameras: share, North America (%)</t>
  </si>
  <si>
    <t xml:space="preserve">Cameras: share, Europe-Africa (%)</t>
  </si>
  <si>
    <t xml:space="preserve">Cameras: share, Asia-Pacific (%)</t>
  </si>
  <si>
    <t xml:space="preserve">Cameras: share, Latin America (%)</t>
  </si>
  <si>
    <t xml:space="preserve">Cameras: share, average of regions (%)</t>
  </si>
  <si>
    <t xml:space="preserve">Drones</t>
  </si>
  <si>
    <t xml:space="preserve">Drones: units sold (000s)</t>
  </si>
  <si>
    <t xml:space="preserve">Drones: average price ($)</t>
  </si>
  <si>
    <t xml:space="preserve">Drones: industry average price ($)</t>
  </si>
  <si>
    <t xml:space="preserve">Drones: price vs industry</t>
  </si>
  <si>
    <t xml:space="preserve">Drones: P/Q rating</t>
  </si>
  <si>
    <t xml:space="preserve">Drones: industry average P/Q</t>
  </si>
  <si>
    <t xml:space="preserve">Drones: cost per unit ($)</t>
  </si>
  <si>
    <t xml:space="preserve">Drones: industry cost per unit ($)</t>
  </si>
  <si>
    <t xml:space="preserve">Drones: cost per unit vs industry</t>
  </si>
  <si>
    <t xml:space="preserve">Drones: operating margin</t>
  </si>
  <si>
    <t xml:space="preserve">Drones: share, North America (%)</t>
  </si>
  <si>
    <t xml:space="preserve">Drones: share, Europe-Africa (%)</t>
  </si>
  <si>
    <t xml:space="preserve">Drones: share, Asia-Pacific (%)</t>
  </si>
  <si>
    <t xml:space="preserve">Drones: share, Latin America (%)</t>
  </si>
  <si>
    <t xml:space="preserve">Drones: share, average of regions (%)</t>
  </si>
  <si>
    <t xml:space="preserve">Competition by year</t>
  </si>
  <si>
    <t xml:space="preserve">Every company on the measures that decide the contest, from the class-wide reports only (scoreboard and Competitive Intelligence Report). Each year: the value, then the change (▲ ▼). Your row is highlighted; the last row of each block is your rank on that measure.</t>
  </si>
  <si>
    <t xml:space="preserve">Company A</t>
  </si>
  <si>
    <t xml:space="preserve">Company B</t>
  </si>
  <si>
    <t xml:space="preserve">Company C  (you)</t>
  </si>
  <si>
    <t xml:space="preserve">Company D</t>
  </si>
  <si>
    <t xml:space="preserve">Company E</t>
  </si>
  <si>
    <t xml:space="preserve">Company F</t>
  </si>
  <si>
    <t xml:space="preserve">Company G</t>
  </si>
  <si>
    <t xml:space="preserve">Company H</t>
  </si>
  <si>
    <t xml:space="preserve">Industry average</t>
  </si>
  <si>
    <t xml:space="preserve">Your rank on this measure</t>
  </si>
  <si>
    <t xml:space="preserve">EPS ($)</t>
  </si>
  <si>
    <t xml:space="preserve">Stock price ($)</t>
  </si>
  <si>
    <t xml:space="preserve">Cameras: price ($)</t>
  </si>
  <si>
    <t xml:space="preserve">Cameras: P/Q</t>
  </si>
  <si>
    <t xml:space="preserve">Cameras: market share (%)</t>
  </si>
  <si>
    <t xml:space="preserve">Drones: price ($)</t>
  </si>
  <si>
    <t xml:space="preserve">Drones: P/Q</t>
  </si>
  <si>
    <t xml:space="preserve">Drones: market share (%)</t>
  </si>
  <si>
    <t xml:space="preserve">Key performance indicators</t>
  </si>
  <si>
    <t xml:space="preserve">Charts update from Season by Year and Competition by Year for the years captured so far; rebuild the workbook after each round to add the new year. The chart data below the charts is formulas; do not type over it.</t>
  </si>
  <si>
    <t xml:space="preserve">Chart data (formulas)</t>
  </si>
  <si>
    <t xml:space="preserve">Series</t>
  </si>
  <si>
    <t xml:space="preserve">Y6</t>
  </si>
  <si>
    <t xml:space="preserve">Y7</t>
  </si>
  <si>
    <t xml:space="preserve">EPS expectation</t>
  </si>
  <si>
    <t xml:space="preserve">ROE expectation</t>
  </si>
  <si>
    <t xml:space="preserve">Stock price expectation</t>
  </si>
  <si>
    <t xml:space="preserve">Image rating expectation</t>
  </si>
  <si>
    <t xml:space="preserve">Cameras: share (%)</t>
  </si>
  <si>
    <t xml:space="preserve">Drones: share (%)</t>
  </si>
  <si>
    <t xml:space="preserve">Cameras: cost per unit</t>
  </si>
  <si>
    <t xml:space="preserve">Cameras: industry cost per unit</t>
  </si>
  <si>
    <t xml:space="preserve">Drones: cost per unit</t>
  </si>
  <si>
    <t xml:space="preserve">Drones: industry cost per unit</t>
  </si>
  <si>
    <t xml:space="preserve">Cameras: cost vs industry</t>
  </si>
  <si>
    <t xml:space="preserve">Drones: cost vs industry</t>
  </si>
  <si>
    <t xml:space="preserve">Company C (you)</t>
  </si>
  <si>
    <t xml:space="preserve">Findings and questions to consider</t>
  </si>
  <si>
    <t xml:space="preserve">One row per finding, watch item or question, year by year. Rows from the weekly report are filled in; add your own. The 'Our response' column is the team's.</t>
  </si>
  <si>
    <t xml:space="preserve">What we see</t>
  </si>
  <si>
    <t xml:space="preserve">General lesson</t>
  </si>
  <si>
    <t xml:space="preserve">Our response or decision</t>
  </si>
  <si>
    <t xml:space="preserve">Apparent position: Best-cost provider (mixed)</t>
  </si>
  <si>
    <t xml:space="preserve">Price -4.4% vs industry; P/Q +0.1 stars; cost -4.3%</t>
  </si>
  <si>
    <t xml:space="preserve">Open</t>
  </si>
  <si>
    <t xml:space="preserve">Price +3.5% vs industry; P/Q +0.2 stars; cost +0.6%</t>
  </si>
  <si>
    <t xml:space="preserve">Watch item</t>
  </si>
  <si>
    <t xml:space="preserve">Drones: the position your inputs show differs from the strategy you chose</t>
  </si>
  <si>
    <t xml:space="preserve">You chose differentiation; price +3.5% vs the industry and P/Q +0.2 stars put you closer to best-cost provider.</t>
  </si>
  <si>
    <t xml:space="preserve">Teams that drift between positions usually pay for both and get credit for neither. Decide whether the drift is deliberate.</t>
  </si>
  <si>
    <t xml:space="preserve">Management goal</t>
  </si>
  <si>
    <t xml:space="preserve">Management goal B1 missed: Beat investor expectations for EPS</t>
  </si>
  <si>
    <t xml:space="preserve">EPS: 2.1 against investor expectation 2.15. This goal came from your management interview.</t>
  </si>
  <si>
    <t xml:space="preserve">EPS reflects price, cost and volume together; look for which of the three moved against you.</t>
  </si>
  <si>
    <t xml:space="preserve">Management goal B2 missed: Hold a credit rating of BB or better</t>
  </si>
  <si>
    <t xml:space="preserve">Credit rating: BB- against BB. This goal came from your management interview.</t>
  </si>
  <si>
    <t xml:space="preserve">Credit rating follows debt, interest coverage and cash; it also sets borrowing costs.</t>
  </si>
  <si>
    <t xml:space="preserve">Management goal B3 missed: Keep the image rating at or above expectations</t>
  </si>
  <si>
    <t xml:space="preserve">Image rating: 71 against investor expectation 72. This goal came from your management interview.</t>
  </si>
  <si>
    <t xml:space="preserve">Image rating builds slowly from P/Q, models, warranty, advertising and CSR.</t>
  </si>
  <si>
    <t xml:space="preserve">Question to consider</t>
  </si>
  <si>
    <t xml:space="preserve">Is the drones position your inputs now show the one you meant to build?</t>
  </si>
  <si>
    <t xml:space="preserve">Which input did you change most this year, and did the result move the way the projections said?</t>
  </si>
  <si>
    <t xml:space="preserve">strat-iq-ledger-map</t>
  </si>
  <si>
    <t xml:space="preserve">ledger</t>
  </si>
  <si>
    <t xml:space="preserve">global-ev-demo-2026</t>
  </si>
  <si>
    <t xml:space="preserve">strategy-ledger-ev-demo.json</t>
  </si>
  <si>
    <t xml:space="preserve">sheet</t>
  </si>
  <si>
    <t xml:space="preserve">cell</t>
  </si>
  <si>
    <t xml:space="preserve">path</t>
  </si>
  <si>
    <t xml:space="preserve">conv</t>
  </si>
  <si>
    <t xml:space="preserve">built</t>
  </si>
  <si>
    <t xml:space="preserve">C6</t>
  </si>
  <si>
    <t xml:space="preserve">globus/management_brief/central_problem</t>
  </si>
  <si>
    <t xml:space="preserve">"How should Company C position cameras and drones to beat investor expectations every year while protecting its credit rating?"</t>
  </si>
  <si>
    <t xml:space="preserve">B9</t>
  </si>
  <si>
    <t xml:space="preserve">globus/management_brief/decisions[0]/text</t>
  </si>
  <si>
    <t xml:space="preserve">"Choose a competitive strategy for cameras and for drones"</t>
  </si>
  <si>
    <t xml:space="preserve">D9</t>
  </si>
  <si>
    <t xml:space="preserve">globus/management_brief/decisions[0]/by_when</t>
  </si>
  <si>
    <t xml:space="preserve">"Before Year 6"</t>
  </si>
  <si>
    <t xml:space="preserve">E9</t>
  </si>
  <si>
    <t xml:space="preserve">globus/management_brief/decisions[0]/notes</t>
  </si>
  <si>
    <t xml:space="preserve">null</t>
  </si>
  <si>
    <t xml:space="preserve">B10</t>
  </si>
  <si>
    <t xml:space="preserve">globus/management_brief/decisions[1]/text</t>
  </si>
  <si>
    <t xml:space="preserve">"Set the yearly price, quality and marketing plan"</t>
  </si>
  <si>
    <t xml:space="preserve">D10</t>
  </si>
  <si>
    <t xml:space="preserve">globus/management_brief/decisions[1]/by_when</t>
  </si>
  <si>
    <t xml:space="preserve">"Every round"</t>
  </si>
  <si>
    <t xml:space="preserve">E10</t>
  </si>
  <si>
    <t xml:space="preserve">globus/management_brief/decisions[1]/notes</t>
  </si>
  <si>
    <t xml:space="preserve">B11</t>
  </si>
  <si>
    <t xml:space="preserve">globus/management_brief/decisions[2]/text</t>
  </si>
  <si>
    <t xml:space="preserve">D11</t>
  </si>
  <si>
    <t xml:space="preserve">globus/management_brief/decisions[2]/by_when</t>
  </si>
  <si>
    <t xml:space="preserve">E11</t>
  </si>
  <si>
    <t xml:space="preserve">globus/management_brief/decisions[2]/notes</t>
  </si>
  <si>
    <t xml:space="preserve">B12</t>
  </si>
  <si>
    <t xml:space="preserve">globus/management_brief/decisions[3]/text</t>
  </si>
  <si>
    <t xml:space="preserve">D12</t>
  </si>
  <si>
    <t xml:space="preserve">globus/management_brief/decisions[3]/by_when</t>
  </si>
  <si>
    <t xml:space="preserve">E12</t>
  </si>
  <si>
    <t xml:space="preserve">globus/management_brief/decisions[3]/notes</t>
  </si>
  <si>
    <t xml:space="preserve">B13</t>
  </si>
  <si>
    <t xml:space="preserve">globus/management_brief/decisions[4]/text</t>
  </si>
  <si>
    <t xml:space="preserve">D13</t>
  </si>
  <si>
    <t xml:space="preserve">globus/management_brief/decisions[4]/by_when</t>
  </si>
  <si>
    <t xml:space="preserve">E13</t>
  </si>
  <si>
    <t xml:space="preserve">globus/management_brief/decisions[4]/notes</t>
  </si>
  <si>
    <t xml:space="preserve">B16</t>
  </si>
  <si>
    <t xml:space="preserve">globus/management_brief/goals[0]/text</t>
  </si>
  <si>
    <t xml:space="preserve">"Beat investor expectations for EPS"</t>
  </si>
  <si>
    <t xml:space="preserve">D16</t>
  </si>
  <si>
    <t xml:space="preserve">globus/management_brief/goals[0]/kpi</t>
  </si>
  <si>
    <t xml:space="preserve">"EPS"</t>
  </si>
  <si>
    <t xml:space="preserve">E16</t>
  </si>
  <si>
    <t xml:space="preserve">globus/management_brief/goals[0]/target</t>
  </si>
  <si>
    <t xml:space="preserve">""</t>
  </si>
  <si>
    <t xml:space="preserve">F16</t>
  </si>
  <si>
    <t xml:space="preserve">globus/management_brief/goals[0]/by_when</t>
  </si>
  <si>
    <t xml:space="preserve">"Every year"</t>
  </si>
  <si>
    <t xml:space="preserve">B17</t>
  </si>
  <si>
    <t xml:space="preserve">globus/management_brief/goals[1]/text</t>
  </si>
  <si>
    <t xml:space="preserve">"Hold a credit rating of BB or better"</t>
  </si>
  <si>
    <t xml:space="preserve">D17</t>
  </si>
  <si>
    <t xml:space="preserve">globus/management_brief/goals[1]/kpi</t>
  </si>
  <si>
    <t xml:space="preserve">"Credit rating"</t>
  </si>
  <si>
    <t xml:space="preserve">E17</t>
  </si>
  <si>
    <t xml:space="preserve">globus/management_brief/goals[1]/target</t>
  </si>
  <si>
    <t xml:space="preserve">"BB"</t>
  </si>
  <si>
    <t xml:space="preserve">F17</t>
  </si>
  <si>
    <t xml:space="preserve">globus/management_brief/goals[1]/by_when</t>
  </si>
  <si>
    <t xml:space="preserve">B18</t>
  </si>
  <si>
    <t xml:space="preserve">globus/management_brief/goals[2]/text</t>
  </si>
  <si>
    <t xml:space="preserve">"Keep the image rating at or above expectations"</t>
  </si>
  <si>
    <t xml:space="preserve">D18</t>
  </si>
  <si>
    <t xml:space="preserve">globus/management_brief/goals[2]/kpi</t>
  </si>
  <si>
    <t xml:space="preserve">"Image rating"</t>
  </si>
  <si>
    <t xml:space="preserve">E18</t>
  </si>
  <si>
    <t xml:space="preserve">globus/management_brief/goals[2]/target</t>
  </si>
  <si>
    <t xml:space="preserve">F18</t>
  </si>
  <si>
    <t xml:space="preserve">globus/management_brief/goals[2]/by_when</t>
  </si>
  <si>
    <t xml:space="preserve">"From Year 7"</t>
  </si>
  <si>
    <t xml:space="preserve">B19</t>
  </si>
  <si>
    <t xml:space="preserve">globus/management_brief/goals[3]/text</t>
  </si>
  <si>
    <t xml:space="preserve">D19</t>
  </si>
  <si>
    <t xml:space="preserve">globus/management_brief/goals[3]/kpi</t>
  </si>
  <si>
    <t xml:space="preserve">E19</t>
  </si>
  <si>
    <t xml:space="preserve">globus/management_brief/goals[3]/target</t>
  </si>
  <si>
    <t xml:space="preserve">F19</t>
  </si>
  <si>
    <t xml:space="preserve">globus/management_brief/goals[3]/by_when</t>
  </si>
  <si>
    <t xml:space="preserve">B20</t>
  </si>
  <si>
    <t xml:space="preserve">globus/management_brief/goals[4]/text</t>
  </si>
  <si>
    <t xml:space="preserve">D20</t>
  </si>
  <si>
    <t xml:space="preserve">globus/management_brief/goals[4]/kpi</t>
  </si>
  <si>
    <t xml:space="preserve">E20</t>
  </si>
  <si>
    <t xml:space="preserve">globus/management_brief/goals[4]/target</t>
  </si>
  <si>
    <t xml:space="preserve">F20</t>
  </si>
  <si>
    <t xml:space="preserve">globus/management_brief/goals[4]/by_when</t>
  </si>
  <si>
    <t xml:space="preserve">B23</t>
  </si>
  <si>
    <t xml:space="preserve">globus/management_brief/questions[0]/text</t>
  </si>
  <si>
    <t xml:space="preserve">"Can we grow drone share without hurting the credit rating?"</t>
  </si>
  <si>
    <t xml:space="preserve">D23</t>
  </si>
  <si>
    <t xml:space="preserve">globus/management_brief/questions[0]/why</t>
  </si>
  <si>
    <t xml:space="preserve">"Debt worries the board"</t>
  </si>
  <si>
    <t xml:space="preserve">B24</t>
  </si>
  <si>
    <t xml:space="preserve">globus/management_brief/questions[1]/text</t>
  </si>
  <si>
    <t xml:space="preserve">D24</t>
  </si>
  <si>
    <t xml:space="preserve">globus/management_brief/questions[1]/why</t>
  </si>
  <si>
    <t xml:space="preserve">B25</t>
  </si>
  <si>
    <t xml:space="preserve">globus/management_brief/questions[2]/text</t>
  </si>
  <si>
    <t xml:space="preserve">D25</t>
  </si>
  <si>
    <t xml:space="preserve">globus/management_brief/questions[2]/why</t>
  </si>
  <si>
    <t xml:space="preserve">B26</t>
  </si>
  <si>
    <t xml:space="preserve">globus/management_brief/questions[3]/text</t>
  </si>
  <si>
    <t xml:space="preserve">D26</t>
  </si>
  <si>
    <t xml:space="preserve">globus/management_brief/questions[3]/why</t>
  </si>
  <si>
    <t xml:space="preserve">B27</t>
  </si>
  <si>
    <t xml:space="preserve">globus/management_brief/questions[4]/text</t>
  </si>
  <si>
    <t xml:space="preserve">D27</t>
  </si>
  <si>
    <t xml:space="preserve">globus/management_brief/questions[4]/why</t>
  </si>
  <si>
    <t xml:space="preserve">D31</t>
  </si>
  <si>
    <t xml:space="preserve">globus/management_brief/answers[id=M1]/said</t>
  </si>
  <si>
    <t xml:space="preserve">"EPS first, then the credit rating"</t>
  </si>
  <si>
    <t xml:space="preserve">E31</t>
  </si>
  <si>
    <t xml:space="preserve">globus/management_brief/answers[id=M1]/quote</t>
  </si>
  <si>
    <t xml:space="preserve">"We will not take on debt that risks our rating."</t>
  </si>
  <si>
    <t xml:space="preserve">F31</t>
  </si>
  <si>
    <t xml:space="preserve">globus/management_brief/answers[id=M1]/meaning</t>
  </si>
  <si>
    <t xml:space="preserve">"Growth funded mostly from earnings"</t>
  </si>
  <si>
    <t xml:space="preserve">G31</t>
  </si>
  <si>
    <t xml:space="preserve">globus/management_brief/answers[id=M1]/touches</t>
  </si>
  <si>
    <t xml:space="preserve">H31</t>
  </si>
  <si>
    <t xml:space="preserve">globus/management_brief/answers[id=M1]/confidence</t>
  </si>
  <si>
    <t xml:space="preserve">"Stated"</t>
  </si>
  <si>
    <t xml:space="preserve">I31</t>
  </si>
  <si>
    <t xml:space="preserve">globus/management_brief/answers[id=M1]/follow_up</t>
  </si>
  <si>
    <t xml:space="preserve">D32</t>
  </si>
  <si>
    <t xml:space="preserve">globus/management_brief/answers[id=M2]/said</t>
  </si>
  <si>
    <t xml:space="preserve">E32</t>
  </si>
  <si>
    <t xml:space="preserve">globus/management_brief/answers[id=M2]/quote</t>
  </si>
  <si>
    <t xml:space="preserve">F32</t>
  </si>
  <si>
    <t xml:space="preserve">globus/management_brief/answers[id=M2]/meaning</t>
  </si>
  <si>
    <t xml:space="preserve">G32</t>
  </si>
  <si>
    <t xml:space="preserve">globus/management_brief/answers[id=M2]/touches</t>
  </si>
  <si>
    <t xml:space="preserve">H32</t>
  </si>
  <si>
    <t xml:space="preserve">globus/management_brief/answers[id=M2]/confidence</t>
  </si>
  <si>
    <t xml:space="preserve">I32</t>
  </si>
  <si>
    <t xml:space="preserve">globus/management_brief/answers[id=M2]/follow_up</t>
  </si>
  <si>
    <t xml:space="preserve">D33</t>
  </si>
  <si>
    <t xml:space="preserve">globus/management_brief/answers[id=M3]/said</t>
  </si>
  <si>
    <t xml:space="preserve">"Value for money in cameras; premium in drones"</t>
  </si>
  <si>
    <t xml:space="preserve">E33</t>
  </si>
  <si>
    <t xml:space="preserve">globus/management_brief/answers[id=M3]/quote</t>
  </si>
  <si>
    <t xml:space="preserve">F33</t>
  </si>
  <si>
    <t xml:space="preserve">globus/management_brief/answers[id=M3]/meaning</t>
  </si>
  <si>
    <t xml:space="preserve">"Best-cost cameras, differentiated drones"</t>
  </si>
  <si>
    <t xml:space="preserve">G33</t>
  </si>
  <si>
    <t xml:space="preserve">globus/management_brief/answers[id=M3]/touches</t>
  </si>
  <si>
    <t xml:space="preserve">"Whole strategy"</t>
  </si>
  <si>
    <t xml:space="preserve">H33</t>
  </si>
  <si>
    <t xml:space="preserve">globus/management_brief/answers[id=M3]/confidence</t>
  </si>
  <si>
    <t xml:space="preserve">"Implied"</t>
  </si>
  <si>
    <t xml:space="preserve">I33</t>
  </si>
  <si>
    <t xml:space="preserve">globus/management_brief/answers[id=M3]/follow_up</t>
  </si>
  <si>
    <t xml:space="preserve">D34</t>
  </si>
  <si>
    <t xml:space="preserve">globus/management_brief/answers[id=M4]/said</t>
  </si>
  <si>
    <t xml:space="preserve">E34</t>
  </si>
  <si>
    <t xml:space="preserve">globus/management_brief/answers[id=M4]/quote</t>
  </si>
  <si>
    <t xml:space="preserve">F34</t>
  </si>
  <si>
    <t xml:space="preserve">globus/management_brief/answers[id=M4]/meaning</t>
  </si>
  <si>
    <t xml:space="preserve">G34</t>
  </si>
  <si>
    <t xml:space="preserve">globus/management_brief/answers[id=M4]/touches</t>
  </si>
  <si>
    <t xml:space="preserve">H34</t>
  </si>
  <si>
    <t xml:space="preserve">globus/management_brief/answers[id=M4]/confidence</t>
  </si>
  <si>
    <t xml:space="preserve">I34</t>
  </si>
  <si>
    <t xml:space="preserve">globus/management_brief/answers[id=M4]/follow_up</t>
  </si>
  <si>
    <t xml:space="preserve">D35</t>
  </si>
  <si>
    <t xml:space="preserve">globus/management_brief/answers[id=M5]/said</t>
  </si>
  <si>
    <t xml:space="preserve">"No new debt beyond current levels"</t>
  </si>
  <si>
    <t xml:space="preserve">E35</t>
  </si>
  <si>
    <t xml:space="preserve">globus/management_brief/answers[id=M5]/quote</t>
  </si>
  <si>
    <t xml:space="preserve">F35</t>
  </si>
  <si>
    <t xml:space="preserve">globus/management_brief/answers[id=M5]/meaning</t>
  </si>
  <si>
    <t xml:space="preserve">"Little room for big capacity bets"</t>
  </si>
  <si>
    <t xml:space="preserve">G35</t>
  </si>
  <si>
    <t xml:space="preserve">globus/management_brief/answers[id=M5]/touches</t>
  </si>
  <si>
    <t xml:space="preserve">"Finance"</t>
  </si>
  <si>
    <t xml:space="preserve">H35</t>
  </si>
  <si>
    <t xml:space="preserve">globus/management_brief/answers[id=M5]/confidence</t>
  </si>
  <si>
    <t xml:space="preserve">I35</t>
  </si>
  <si>
    <t xml:space="preserve">globus/management_brief/answers[id=M5]/follow_up</t>
  </si>
  <si>
    <t xml:space="preserve">D36</t>
  </si>
  <si>
    <t xml:space="preserve">globus/management_brief/answers[id=M6]/said</t>
  </si>
  <si>
    <t xml:space="preserve">E36</t>
  </si>
  <si>
    <t xml:space="preserve">globus/management_brief/answers[id=M6]/quote</t>
  </si>
  <si>
    <t xml:space="preserve">F36</t>
  </si>
  <si>
    <t xml:space="preserve">globus/management_brief/answers[id=M6]/meaning</t>
  </si>
  <si>
    <t xml:space="preserve">G36</t>
  </si>
  <si>
    <t xml:space="preserve">globus/management_brief/answers[id=M6]/touches</t>
  </si>
  <si>
    <t xml:space="preserve">H36</t>
  </si>
  <si>
    <t xml:space="preserve">globus/management_brief/answers[id=M6]/confidence</t>
  </si>
  <si>
    <t xml:space="preserve">I36</t>
  </si>
  <si>
    <t xml:space="preserve">globus/management_brief/answers[id=M6]/follow_up</t>
  </si>
  <si>
    <t xml:space="preserve">D37</t>
  </si>
  <si>
    <t xml:space="preserve">globus/management_brief/answers[id=M7]/said</t>
  </si>
  <si>
    <t xml:space="preserve">E37</t>
  </si>
  <si>
    <t xml:space="preserve">globus/management_brief/answers[id=M7]/quote</t>
  </si>
  <si>
    <t xml:space="preserve">F37</t>
  </si>
  <si>
    <t xml:space="preserve">globus/management_brief/answers[id=M7]/meaning</t>
  </si>
  <si>
    <t xml:space="preserve">G37</t>
  </si>
  <si>
    <t xml:space="preserve">globus/management_brief/answers[id=M7]/touches</t>
  </si>
  <si>
    <t xml:space="preserve">H37</t>
  </si>
  <si>
    <t xml:space="preserve">globus/management_brief/answers[id=M7]/confidence</t>
  </si>
  <si>
    <t xml:space="preserve">I37</t>
  </si>
  <si>
    <t xml:space="preserve">globus/management_brief/answers[id=M7]/follow_up</t>
  </si>
  <si>
    <t xml:space="preserve">D38</t>
  </si>
  <si>
    <t xml:space="preserve">globus/management_brief/answers[id=M8]/said</t>
  </si>
  <si>
    <t xml:space="preserve">E38</t>
  </si>
  <si>
    <t xml:space="preserve">globus/management_brief/answers[id=M8]/quote</t>
  </si>
  <si>
    <t xml:space="preserve">F38</t>
  </si>
  <si>
    <t xml:space="preserve">globus/management_brief/answers[id=M8]/meaning</t>
  </si>
  <si>
    <t xml:space="preserve">G38</t>
  </si>
  <si>
    <t xml:space="preserve">globus/management_brief/answers[id=M8]/touches</t>
  </si>
  <si>
    <t xml:space="preserve">H38</t>
  </si>
  <si>
    <t xml:space="preserve">globus/management_brief/answers[id=M8]/confidence</t>
  </si>
  <si>
    <t xml:space="preserve">I38</t>
  </si>
  <si>
    <t xml:space="preserve">globus/management_brief/answers[id=M8]/follow_up</t>
  </si>
  <si>
    <t xml:space="preserve">D39</t>
  </si>
  <si>
    <t xml:space="preserve">globus/management_brief/answers[id=M9]/said</t>
  </si>
  <si>
    <t xml:space="preserve">E39</t>
  </si>
  <si>
    <t xml:space="preserve">globus/management_brief/answers[id=M9]/quote</t>
  </si>
  <si>
    <t xml:space="preserve">F39</t>
  </si>
  <si>
    <t xml:space="preserve">globus/management_brief/answers[id=M9]/meaning</t>
  </si>
  <si>
    <t xml:space="preserve">G39</t>
  </si>
  <si>
    <t xml:space="preserve">globus/management_brief/answers[id=M9]/touches</t>
  </si>
  <si>
    <t xml:space="preserve">H39</t>
  </si>
  <si>
    <t xml:space="preserve">globus/management_brief/answers[id=M9]/confidence</t>
  </si>
  <si>
    <t xml:space="preserve">I39</t>
  </si>
  <si>
    <t xml:space="preserve">globus/management_brief/answers[id=M9]/follow_up</t>
  </si>
  <si>
    <t xml:space="preserve">B43</t>
  </si>
  <si>
    <t xml:space="preserve">globus/management_brief/team_questions[0]/area</t>
  </si>
  <si>
    <t xml:space="preserve">"Markets"</t>
  </si>
  <si>
    <t xml:space="preserve">C43</t>
  </si>
  <si>
    <t xml:space="preserve">globus/management_brief/team_questions[0]/question</t>
  </si>
  <si>
    <t xml:space="preserve">"Is Latin America worth defending?"</t>
  </si>
  <si>
    <t xml:space="preserve">D43</t>
  </si>
  <si>
    <t xml:space="preserve">globus/management_brief/team_questions[0]/said</t>
  </si>
  <si>
    <t xml:space="preserve">"Only if it pays its way"</t>
  </si>
  <si>
    <t xml:space="preserve">E43</t>
  </si>
  <si>
    <t xml:space="preserve">globus/management_brief/team_questions[0]/quote</t>
  </si>
  <si>
    <t xml:space="preserve">F43</t>
  </si>
  <si>
    <t xml:space="preserve">globus/management_brief/team_questions[0]/meaning</t>
  </si>
  <si>
    <t xml:space="preserve">G43</t>
  </si>
  <si>
    <t xml:space="preserve">globus/management_brief/team_questions[0]/touches</t>
  </si>
  <si>
    <t xml:space="preserve">H43</t>
  </si>
  <si>
    <t xml:space="preserve">globus/management_brief/team_questions[0]/confidence</t>
  </si>
  <si>
    <t xml:space="preserve">I43</t>
  </si>
  <si>
    <t xml:space="preserve">globus/management_brief/team_questions[0]/follow_up</t>
  </si>
  <si>
    <t xml:space="preserve">B44</t>
  </si>
  <si>
    <t xml:space="preserve">globus/management_brief/team_questions[1]/area</t>
  </si>
  <si>
    <t xml:space="preserve">C44</t>
  </si>
  <si>
    <t xml:space="preserve">globus/management_brief/team_questions[1]/question</t>
  </si>
  <si>
    <t xml:space="preserve">D44</t>
  </si>
  <si>
    <t xml:space="preserve">globus/management_brief/team_questions[1]/said</t>
  </si>
  <si>
    <t xml:space="preserve">E44</t>
  </si>
  <si>
    <t xml:space="preserve">globus/management_brief/team_questions[1]/quote</t>
  </si>
  <si>
    <t xml:space="preserve">F44</t>
  </si>
  <si>
    <t xml:space="preserve">globus/management_brief/team_questions[1]/meaning</t>
  </si>
  <si>
    <t xml:space="preserve">G44</t>
  </si>
  <si>
    <t xml:space="preserve">globus/management_brief/team_questions[1]/touches</t>
  </si>
  <si>
    <t xml:space="preserve">H44</t>
  </si>
  <si>
    <t xml:space="preserve">globus/management_brief/team_questions[1]/confidence</t>
  </si>
  <si>
    <t xml:space="preserve">I44</t>
  </si>
  <si>
    <t xml:space="preserve">globus/management_brief/team_questions[1]/follow_up</t>
  </si>
  <si>
    <t xml:space="preserve">B45</t>
  </si>
  <si>
    <t xml:space="preserve">globus/management_brief/team_questions[2]/area</t>
  </si>
  <si>
    <t xml:space="preserve">C45</t>
  </si>
  <si>
    <t xml:space="preserve">globus/management_brief/team_questions[2]/question</t>
  </si>
  <si>
    <t xml:space="preserve">D45</t>
  </si>
  <si>
    <t xml:space="preserve">globus/management_brief/team_questions[2]/said</t>
  </si>
  <si>
    <t xml:space="preserve">E45</t>
  </si>
  <si>
    <t xml:space="preserve">globus/management_brief/team_questions[2]/quote</t>
  </si>
  <si>
    <t xml:space="preserve">F45</t>
  </si>
  <si>
    <t xml:space="preserve">globus/management_brief/team_questions[2]/meaning</t>
  </si>
  <si>
    <t xml:space="preserve">G45</t>
  </si>
  <si>
    <t xml:space="preserve">globus/management_brief/team_questions[2]/touches</t>
  </si>
  <si>
    <t xml:space="preserve">H45</t>
  </si>
  <si>
    <t xml:space="preserve">globus/management_brief/team_questions[2]/confidence</t>
  </si>
  <si>
    <t xml:space="preserve">I45</t>
  </si>
  <si>
    <t xml:space="preserve">globus/management_brief/team_questions[2]/follow_up</t>
  </si>
  <si>
    <t xml:space="preserve">B46</t>
  </si>
  <si>
    <t xml:space="preserve">globus/management_brief/team_questions[3]/area</t>
  </si>
  <si>
    <t xml:space="preserve">C46</t>
  </si>
  <si>
    <t xml:space="preserve">globus/management_brief/team_questions[3]/question</t>
  </si>
  <si>
    <t xml:space="preserve">D46</t>
  </si>
  <si>
    <t xml:space="preserve">globus/management_brief/team_questions[3]/said</t>
  </si>
  <si>
    <t xml:space="preserve">E46</t>
  </si>
  <si>
    <t xml:space="preserve">globus/management_brief/team_questions[3]/quote</t>
  </si>
  <si>
    <t xml:space="preserve">F46</t>
  </si>
  <si>
    <t xml:space="preserve">globus/management_brief/team_questions[3]/meaning</t>
  </si>
  <si>
    <t xml:space="preserve">G46</t>
  </si>
  <si>
    <t xml:space="preserve">globus/management_brief/team_questions[3]/touches</t>
  </si>
  <si>
    <t xml:space="preserve">H46</t>
  </si>
  <si>
    <t xml:space="preserve">globus/management_brief/team_questions[3]/confidence</t>
  </si>
  <si>
    <t xml:space="preserve">I46</t>
  </si>
  <si>
    <t xml:space="preserve">globus/management_brief/team_questions[3]/follow_up</t>
  </si>
  <si>
    <t xml:space="preserve">B47</t>
  </si>
  <si>
    <t xml:space="preserve">globus/management_brief/team_questions[4]/area</t>
  </si>
  <si>
    <t xml:space="preserve">C47</t>
  </si>
  <si>
    <t xml:space="preserve">globus/management_brief/team_questions[4]/question</t>
  </si>
  <si>
    <t xml:space="preserve">D47</t>
  </si>
  <si>
    <t xml:space="preserve">globus/management_brief/team_questions[4]/said</t>
  </si>
  <si>
    <t xml:space="preserve">E47</t>
  </si>
  <si>
    <t xml:space="preserve">globus/management_brief/team_questions[4]/quote</t>
  </si>
  <si>
    <t xml:space="preserve">F47</t>
  </si>
  <si>
    <t xml:space="preserve">globus/management_brief/team_questions[4]/meaning</t>
  </si>
  <si>
    <t xml:space="preserve">G47</t>
  </si>
  <si>
    <t xml:space="preserve">globus/management_brief/team_questions[4]/touches</t>
  </si>
  <si>
    <t xml:space="preserve">H47</t>
  </si>
  <si>
    <t xml:space="preserve">globus/management_brief/team_questions[4]/confidence</t>
  </si>
  <si>
    <t xml:space="preserve">I47</t>
  </si>
  <si>
    <t xml:space="preserve">globus/management_brief/team_questions[4]/follow_up</t>
  </si>
  <si>
    <t xml:space="preserve">B48</t>
  </si>
  <si>
    <t xml:space="preserve">globus/management_brief/team_questions[5]/area</t>
  </si>
  <si>
    <t xml:space="preserve">C48</t>
  </si>
  <si>
    <t xml:space="preserve">globus/management_brief/team_questions[5]/question</t>
  </si>
  <si>
    <t xml:space="preserve">D48</t>
  </si>
  <si>
    <t xml:space="preserve">globus/management_brief/team_questions[5]/said</t>
  </si>
  <si>
    <t xml:space="preserve">E48</t>
  </si>
  <si>
    <t xml:space="preserve">globus/management_brief/team_questions[5]/quote</t>
  </si>
  <si>
    <t xml:space="preserve">F48</t>
  </si>
  <si>
    <t xml:space="preserve">globus/management_brief/team_questions[5]/meaning</t>
  </si>
  <si>
    <t xml:space="preserve">G48</t>
  </si>
  <si>
    <t xml:space="preserve">globus/management_brief/team_questions[5]/touches</t>
  </si>
  <si>
    <t xml:space="preserve">H48</t>
  </si>
  <si>
    <t xml:space="preserve">globus/management_brief/team_questions[5]/confidence</t>
  </si>
  <si>
    <t xml:space="preserve">I48</t>
  </si>
  <si>
    <t xml:space="preserve">globus/management_brief/team_questions[5]/follow_up</t>
  </si>
  <si>
    <t xml:space="preserve">B49</t>
  </si>
  <si>
    <t xml:space="preserve">globus/management_brief/team_questions[6]/area</t>
  </si>
  <si>
    <t xml:space="preserve">C49</t>
  </si>
  <si>
    <t xml:space="preserve">globus/management_brief/team_questions[6]/question</t>
  </si>
  <si>
    <t xml:space="preserve">D49</t>
  </si>
  <si>
    <t xml:space="preserve">globus/management_brief/team_questions[6]/said</t>
  </si>
  <si>
    <t xml:space="preserve">E49</t>
  </si>
  <si>
    <t xml:space="preserve">globus/management_brief/team_questions[6]/quote</t>
  </si>
  <si>
    <t xml:space="preserve">F49</t>
  </si>
  <si>
    <t xml:space="preserve">globus/management_brief/team_questions[6]/meaning</t>
  </si>
  <si>
    <t xml:space="preserve">G49</t>
  </si>
  <si>
    <t xml:space="preserve">globus/management_brief/team_questions[6]/touches</t>
  </si>
  <si>
    <t xml:space="preserve">H49</t>
  </si>
  <si>
    <t xml:space="preserve">globus/management_brief/team_questions[6]/confidence</t>
  </si>
  <si>
    <t xml:space="preserve">I49</t>
  </si>
  <si>
    <t xml:space="preserve">globus/management_brief/team_questions[6]/follow_up</t>
  </si>
  <si>
    <t xml:space="preserve">B50</t>
  </si>
  <si>
    <t xml:space="preserve">globus/management_brief/team_questions[7]/area</t>
  </si>
  <si>
    <t xml:space="preserve">C50</t>
  </si>
  <si>
    <t xml:space="preserve">globus/management_brief/team_questions[7]/question</t>
  </si>
  <si>
    <t xml:space="preserve">D50</t>
  </si>
  <si>
    <t xml:space="preserve">globus/management_brief/team_questions[7]/said</t>
  </si>
  <si>
    <t xml:space="preserve">E50</t>
  </si>
  <si>
    <t xml:space="preserve">globus/management_brief/team_questions[7]/quote</t>
  </si>
  <si>
    <t xml:space="preserve">F50</t>
  </si>
  <si>
    <t xml:space="preserve">globus/management_brief/team_questions[7]/meaning</t>
  </si>
  <si>
    <t xml:space="preserve">G50</t>
  </si>
  <si>
    <t xml:space="preserve">globus/management_brief/team_questions[7]/touches</t>
  </si>
  <si>
    <t xml:space="preserve">H50</t>
  </si>
  <si>
    <t xml:space="preserve">globus/management_brief/team_questions[7]/confidence</t>
  </si>
  <si>
    <t xml:space="preserve">I50</t>
  </si>
  <si>
    <t xml:space="preserve">globus/management_brief/team_questions[7]/follow_up</t>
  </si>
  <si>
    <t xml:space="preserve">B54</t>
  </si>
  <si>
    <t xml:space="preserve">globus/management_brief/takeaways[0]/text</t>
  </si>
  <si>
    <t xml:space="preserve">"Protect the credit rating: no growth that needs new debt"</t>
  </si>
  <si>
    <t xml:space="preserve">D54</t>
  </si>
  <si>
    <t xml:space="preserve">globus/management_brief/takeaways[0]/from</t>
  </si>
  <si>
    <t xml:space="preserve">"M5"</t>
  </si>
  <si>
    <t xml:space="preserve">E54</t>
  </si>
  <si>
    <t xml:space="preserve">globus/management_brief/takeaways[0]/check</t>
  </si>
  <si>
    <t xml:space="preserve">"Credit rating each round"</t>
  </si>
  <si>
    <t xml:space="preserve">B55</t>
  </si>
  <si>
    <t xml:space="preserve">globus/management_brief/takeaways[1]/text</t>
  </si>
  <si>
    <t xml:space="preserve">"Cameras compete on value, drones on quality"</t>
  </si>
  <si>
    <t xml:space="preserve">D55</t>
  </si>
  <si>
    <t xml:space="preserve">globus/management_brief/takeaways[1]/from</t>
  </si>
  <si>
    <t xml:space="preserve">"M3"</t>
  </si>
  <si>
    <t xml:space="preserve">E55</t>
  </si>
  <si>
    <t xml:space="preserve">globus/management_brief/takeaways[1]/check</t>
  </si>
  <si>
    <t xml:space="preserve">"Position in the weekly report"</t>
  </si>
  <si>
    <t xml:space="preserve">B56</t>
  </si>
  <si>
    <t xml:space="preserve">globus/management_brief/takeaways[2]/text</t>
  </si>
  <si>
    <t xml:space="preserve">D56</t>
  </si>
  <si>
    <t xml:space="preserve">globus/management_brief/takeaways[2]/from</t>
  </si>
  <si>
    <t xml:space="preserve">E56</t>
  </si>
  <si>
    <t xml:space="preserve">globus/management_brief/takeaways[2]/check</t>
  </si>
  <si>
    <t xml:space="preserve">B57</t>
  </si>
  <si>
    <t xml:space="preserve">globus/management_brief/takeaways[3]/text</t>
  </si>
  <si>
    <t xml:space="preserve">D57</t>
  </si>
  <si>
    <t xml:space="preserve">globus/management_brief/takeaways[3]/from</t>
  </si>
  <si>
    <t xml:space="preserve">E57</t>
  </si>
  <si>
    <t xml:space="preserve">globus/management_brief/takeaways[3]/check</t>
  </si>
  <si>
    <t xml:space="preserve">B58</t>
  </si>
  <si>
    <t xml:space="preserve">globus/management_brief/takeaways[4]/text</t>
  </si>
  <si>
    <t xml:space="preserve">D58</t>
  </si>
  <si>
    <t xml:space="preserve">globus/management_brief/takeaways[4]/from</t>
  </si>
  <si>
    <t xml:space="preserve">E58</t>
  </si>
  <si>
    <t xml:space="preserve">globus/management_brief/takeaways[4]/check</t>
  </si>
  <si>
    <t xml:space="preserve">B6</t>
  </si>
  <si>
    <t xml:space="preserve">scope/industry</t>
  </si>
  <si>
    <t xml:space="preserve">"Global electric vehicles (passenger BEV and PHEV)"</t>
  </si>
  <si>
    <t xml:space="preserve">B7</t>
  </si>
  <si>
    <t xml:space="preserve">scope/boundary_note</t>
  </si>
  <si>
    <t xml:space="preserve">"Passenger BEV + PHEV cars; excludes two-wheelers, buses and trucks"</t>
  </si>
  <si>
    <t xml:space="preserve">B8</t>
  </si>
  <si>
    <t xml:space="preserve">scope/geography</t>
  </si>
  <si>
    <t xml:space="preserve">"Global, with the EU as the decision market"</t>
  </si>
  <si>
    <t xml:space="preserve">scope/horizon</t>
  </si>
  <si>
    <t xml:space="preserve">"2026-2030"</t>
  </si>
  <si>
    <t xml:space="preserve">scope/competitor_set</t>
  </si>
  <si>
    <t xml:space="preserve">list</t>
  </si>
  <si>
    <t xml:space="preserve">"BYD, Tesla, Volkswagen Group, Geely, Xiaomi, Stellantis"</t>
  </si>
  <si>
    <t xml:space="preserve">company_layer/focal_firm</t>
  </si>
  <si>
    <t xml:space="preserve">"BYD"</t>
  </si>
  <si>
    <t xml:space="preserve">A15</t>
  </si>
  <si>
    <t xml:space="preserve">industry_layer/overview/market_size[0]/value</t>
  </si>
  <si>
    <t xml:space="preserve">21</t>
  </si>
  <si>
    <t xml:space="preserve">B15</t>
  </si>
  <si>
    <t xml:space="preserve">industry_layer/overview/market_size[0]/unit</t>
  </si>
  <si>
    <t xml:space="preserve">"million units"</t>
  </si>
  <si>
    <t xml:space="preserve">C15</t>
  </si>
  <si>
    <t xml:space="preserve">industry_layer/overview/market_size[0]/year</t>
  </si>
  <si>
    <t xml:space="preserve">D15</t>
  </si>
  <si>
    <t xml:space="preserve">industry_layer/overview/market_size[0]/publisher</t>
  </si>
  <si>
    <t xml:space="preserve">"Demo source A"</t>
  </si>
  <si>
    <t xml:space="preserve">E15</t>
  </si>
  <si>
    <t xml:space="preserve">industry_layer/overview/market_size[0]/definition</t>
  </si>
  <si>
    <t xml:space="preserve">"BEV + PHEV passenger cars"</t>
  </si>
  <si>
    <t xml:space="preserve">F15</t>
  </si>
  <si>
    <t xml:space="preserve">industry_layer/overview/market_size[0]/matches_scope</t>
  </si>
  <si>
    <t xml:space="preserve">bool</t>
  </si>
  <si>
    <t xml:space="preserve">"Yes"</t>
  </si>
  <si>
    <t xml:space="preserve">A16</t>
  </si>
  <si>
    <t xml:space="preserve">industry_layer/overview/market_size[1]/value</t>
  </si>
  <si>
    <t xml:space="preserve">industry_layer/overview/market_size[1]/unit</t>
  </si>
  <si>
    <t xml:space="preserve">C16</t>
  </si>
  <si>
    <t xml:space="preserve">industry_layer/overview/market_size[1]/year</t>
  </si>
  <si>
    <t xml:space="preserve">industry_layer/overview/market_size[1]/publisher</t>
  </si>
  <si>
    <t xml:space="preserve">"Demo source B"</t>
  </si>
  <si>
    <t xml:space="preserve">industry_layer/overview/market_size[1]/definition</t>
  </si>
  <si>
    <t xml:space="preserve">"BEV only"</t>
  </si>
  <si>
    <t xml:space="preserve">industry_layer/overview/market_size[1]/matches_scope</t>
  </si>
  <si>
    <t xml:space="preserve">"No"</t>
  </si>
  <si>
    <t xml:space="preserve">A17</t>
  </si>
  <si>
    <t xml:space="preserve">industry_layer/overview/market_size[2]/value</t>
  </si>
  <si>
    <t xml:space="preserve">industry_layer/overview/market_size[2]/unit</t>
  </si>
  <si>
    <t xml:space="preserve">C17</t>
  </si>
  <si>
    <t xml:space="preserve">industry_layer/overview/market_size[2]/year</t>
  </si>
  <si>
    <t xml:space="preserve">industry_layer/overview/market_size[2]/publisher</t>
  </si>
  <si>
    <t xml:space="preserve">industry_layer/overview/market_size[2]/definition</t>
  </si>
  <si>
    <t xml:space="preserve">industry_layer/overview/market_size[2]/matches_scope</t>
  </si>
  <si>
    <t xml:space="preserve">A18</t>
  </si>
  <si>
    <t xml:space="preserve">industry_layer/overview/market_size[3]/value</t>
  </si>
  <si>
    <t xml:space="preserve">industry_layer/overview/market_size[3]/unit</t>
  </si>
  <si>
    <t xml:space="preserve">C18</t>
  </si>
  <si>
    <t xml:space="preserve">industry_layer/overview/market_size[3]/year</t>
  </si>
  <si>
    <t xml:space="preserve">industry_layer/overview/market_size[3]/publisher</t>
  </si>
  <si>
    <t xml:space="preserve">industry_layer/overview/market_size[3]/definition</t>
  </si>
  <si>
    <t xml:space="preserve">industry_layer/overview/market_size[3]/matches_scope</t>
  </si>
  <si>
    <t xml:space="preserve">A19</t>
  </si>
  <si>
    <t xml:space="preserve">industry_layer/overview/market_size[4]/value</t>
  </si>
  <si>
    <t xml:space="preserve">industry_layer/overview/market_size[4]/unit</t>
  </si>
  <si>
    <t xml:space="preserve">C19</t>
  </si>
  <si>
    <t xml:space="preserve">industry_layer/overview/market_size[4]/year</t>
  </si>
  <si>
    <t xml:space="preserve">industry_layer/overview/market_size[4]/publisher</t>
  </si>
  <si>
    <t xml:space="preserve">industry_layer/overview/market_size[4]/definition</t>
  </si>
  <si>
    <t xml:space="preserve">industry_layer/overview/market_size[4]/matches_scope</t>
  </si>
  <si>
    <t xml:space="preserve">A28</t>
  </si>
  <si>
    <t xml:space="preserve">industry_layer/overview/growth/forecasts[0]/publisher</t>
  </si>
  <si>
    <t xml:space="preserve">B28</t>
  </si>
  <si>
    <t xml:space="preserve">industry_layer/overview/growth/forecasts[0]/cagr</t>
  </si>
  <si>
    <t xml:space="preserve">0.14</t>
  </si>
  <si>
    <t xml:space="preserve">C28</t>
  </si>
  <si>
    <t xml:space="preserve">industry_layer/overview/growth/forecasts[0]/to_year</t>
  </si>
  <si>
    <t xml:space="preserve">2030</t>
  </si>
  <si>
    <t xml:space="preserve">D28</t>
  </si>
  <si>
    <t xml:space="preserve">industry_layer/overview/growth/forecasts[0]/published</t>
  </si>
  <si>
    <t xml:space="preserve">"2026"</t>
  </si>
  <si>
    <t xml:space="preserve">A29</t>
  </si>
  <si>
    <t xml:space="preserve">industry_layer/overview/growth/forecasts[1]/publisher</t>
  </si>
  <si>
    <t xml:space="preserve">"Demo source C"</t>
  </si>
  <si>
    <t xml:space="preserve">B29</t>
  </si>
  <si>
    <t xml:space="preserve">industry_layer/overview/growth/forecasts[1]/cagr</t>
  </si>
  <si>
    <t xml:space="preserve">0.11</t>
  </si>
  <si>
    <t xml:space="preserve">C29</t>
  </si>
  <si>
    <t xml:space="preserve">industry_layer/overview/growth/forecasts[1]/to_year</t>
  </si>
  <si>
    <t xml:space="preserve">D29</t>
  </si>
  <si>
    <t xml:space="preserve">industry_layer/overview/growth/forecasts[1]/published</t>
  </si>
  <si>
    <t xml:space="preserve">A30</t>
  </si>
  <si>
    <t xml:space="preserve">industry_layer/overview/growth/forecasts[2]/publisher</t>
  </si>
  <si>
    <t xml:space="preserve">B30</t>
  </si>
  <si>
    <t xml:space="preserve">industry_layer/overview/growth/forecasts[2]/cagr</t>
  </si>
  <si>
    <t xml:space="preserve">C30</t>
  </si>
  <si>
    <t xml:space="preserve">industry_layer/overview/growth/forecasts[2]/to_year</t>
  </si>
  <si>
    <t xml:space="preserve">D30</t>
  </si>
  <si>
    <t xml:space="preserve">industry_layer/overview/growth/forecasts[2]/published</t>
  </si>
  <si>
    <t xml:space="preserve">A31</t>
  </si>
  <si>
    <t xml:space="preserve">industry_layer/overview/growth/forecasts[3]/publisher</t>
  </si>
  <si>
    <t xml:space="preserve">B31</t>
  </si>
  <si>
    <t xml:space="preserve">industry_layer/overview/growth/forecasts[3]/cagr</t>
  </si>
  <si>
    <t xml:space="preserve">C31</t>
  </si>
  <si>
    <t xml:space="preserve">industry_layer/overview/growth/forecasts[3]/to_year</t>
  </si>
  <si>
    <t xml:space="preserve">industry_layer/overview/growth/forecasts[3]/published</t>
  </si>
  <si>
    <t xml:space="preserve">A35</t>
  </si>
  <si>
    <t xml:space="preserve">industry_layer/overview/segments[0]/name</t>
  </si>
  <si>
    <t xml:space="preserve">"Compact / city"</t>
  </si>
  <si>
    <t xml:space="preserve">B35</t>
  </si>
  <si>
    <t xml:space="preserve">industry_layer/overview/segments[0]/share</t>
  </si>
  <si>
    <t xml:space="preserve">0.34</t>
  </si>
  <si>
    <t xml:space="preserve">C35</t>
  </si>
  <si>
    <t xml:space="preserve">industry_layer/overview/segments[0]/growth</t>
  </si>
  <si>
    <t xml:space="preserve">"fast"</t>
  </si>
  <si>
    <t xml:space="preserve">industry_layer/overview/segments[0]/buyers</t>
  </si>
  <si>
    <t xml:space="preserve">"Urban households; price first"</t>
  </si>
  <si>
    <t xml:space="preserve">A36</t>
  </si>
  <si>
    <t xml:space="preserve">industry_layer/overview/segments[1]/name</t>
  </si>
  <si>
    <t xml:space="preserve">"Mid-size SUV"</t>
  </si>
  <si>
    <t xml:space="preserve">B36</t>
  </si>
  <si>
    <t xml:space="preserve">industry_layer/overview/segments[1]/share</t>
  </si>
  <si>
    <t xml:space="preserve">0.38</t>
  </si>
  <si>
    <t xml:space="preserve">C36</t>
  </si>
  <si>
    <t xml:space="preserve">industry_layer/overview/segments[1]/growth</t>
  </si>
  <si>
    <t xml:space="preserve">"steady"</t>
  </si>
  <si>
    <t xml:space="preserve">industry_layer/overview/segments[1]/buyers</t>
  </si>
  <si>
    <t xml:space="preserve">"Families; range and space"</t>
  </si>
  <si>
    <t xml:space="preserve">A37</t>
  </si>
  <si>
    <t xml:space="preserve">industry_layer/overview/segments[2]/name</t>
  </si>
  <si>
    <t xml:space="preserve">"Premium"</t>
  </si>
  <si>
    <t xml:space="preserve">B37</t>
  </si>
  <si>
    <t xml:space="preserve">industry_layer/overview/segments[2]/share</t>
  </si>
  <si>
    <t xml:space="preserve">0.18</t>
  </si>
  <si>
    <t xml:space="preserve">C37</t>
  </si>
  <si>
    <t xml:space="preserve">industry_layer/overview/segments[2]/growth</t>
  </si>
  <si>
    <t xml:space="preserve">"slowing"</t>
  </si>
  <si>
    <t xml:space="preserve">industry_layer/overview/segments[2]/buyers</t>
  </si>
  <si>
    <t xml:space="preserve">"Tech-first buyers; software and brand"</t>
  </si>
  <si>
    <t xml:space="preserve">A38</t>
  </si>
  <si>
    <t xml:space="preserve">industry_layer/overview/segments[3]/name</t>
  </si>
  <si>
    <t xml:space="preserve">"Fleet"</t>
  </si>
  <si>
    <t xml:space="preserve">B38</t>
  </si>
  <si>
    <t xml:space="preserve">industry_layer/overview/segments[3]/share</t>
  </si>
  <si>
    <t xml:space="preserve">0.1</t>
  </si>
  <si>
    <t xml:space="preserve">C38</t>
  </si>
  <si>
    <t xml:space="preserve">industry_layer/overview/segments[3]/growth</t>
  </si>
  <si>
    <t xml:space="preserve">industry_layer/overview/segments[3]/buyers</t>
  </si>
  <si>
    <t xml:space="preserve">"Companies; total cost of ownership"</t>
  </si>
  <si>
    <t xml:space="preserve">A39</t>
  </si>
  <si>
    <t xml:space="preserve">industry_layer/overview/segments[4]/name</t>
  </si>
  <si>
    <t xml:space="preserve">B39</t>
  </si>
  <si>
    <t xml:space="preserve">industry_layer/overview/segments[4]/share</t>
  </si>
  <si>
    <t xml:space="preserve">C39</t>
  </si>
  <si>
    <t xml:space="preserve">industry_layer/overview/segments[4]/growth</t>
  </si>
  <si>
    <t xml:space="preserve">industry_layer/overview/segments[4]/buyers</t>
  </si>
  <si>
    <t xml:space="preserve">A43</t>
  </si>
  <si>
    <t xml:space="preserve">industry_layer/overview/players/leaders[0]/name</t>
  </si>
  <si>
    <t xml:space="preserve">industry_layer/overview/players/leaders[0]/share</t>
  </si>
  <si>
    <t xml:space="preserve">0.22</t>
  </si>
  <si>
    <t xml:space="preserve">A44</t>
  </si>
  <si>
    <t xml:space="preserve">industry_layer/overview/players/leaders[1]/name</t>
  </si>
  <si>
    <t xml:space="preserve">"Tesla"</t>
  </si>
  <si>
    <t xml:space="preserve">industry_layer/overview/players/leaders[1]/share</t>
  </si>
  <si>
    <t xml:space="preserve">A45</t>
  </si>
  <si>
    <t xml:space="preserve">industry_layer/overview/players/leaders[2]/name</t>
  </si>
  <si>
    <t xml:space="preserve">"Geely"</t>
  </si>
  <si>
    <t xml:space="preserve">industry_layer/overview/players/leaders[2]/share</t>
  </si>
  <si>
    <t xml:space="preserve">0.08</t>
  </si>
  <si>
    <t xml:space="preserve">A46</t>
  </si>
  <si>
    <t xml:space="preserve">industry_layer/overview/players/leaders[3]/name</t>
  </si>
  <si>
    <t xml:space="preserve">"Volkswagen Group"</t>
  </si>
  <si>
    <t xml:space="preserve">industry_layer/overview/players/leaders[3]/share</t>
  </si>
  <si>
    <t xml:space="preserve">0.07</t>
  </si>
  <si>
    <t xml:space="preserve">A47</t>
  </si>
  <si>
    <t xml:space="preserve">industry_layer/overview/players/leaders[4]/name</t>
  </si>
  <si>
    <t xml:space="preserve">"Stellantis"</t>
  </si>
  <si>
    <t xml:space="preserve">industry_layer/overview/players/leaders[4]/share</t>
  </si>
  <si>
    <t xml:space="preserve">0.04</t>
  </si>
  <si>
    <t xml:space="preserve">A48</t>
  </si>
  <si>
    <t xml:space="preserve">industry_layer/overview/players/leaders[5]/name</t>
  </si>
  <si>
    <t xml:space="preserve">"Xiaomi"</t>
  </si>
  <si>
    <t xml:space="preserve">industry_layer/overview/players/leaders[5]/share</t>
  </si>
  <si>
    <t xml:space="preserve">0.02</t>
  </si>
  <si>
    <t xml:space="preserve">A49</t>
  </si>
  <si>
    <t xml:space="preserve">industry_layer/overview/players/leaders[6]/name</t>
  </si>
  <si>
    <t xml:space="preserve">industry_layer/overview/players/leaders[6]/share</t>
  </si>
  <si>
    <t xml:space="preserve">A50</t>
  </si>
  <si>
    <t xml:space="preserve">industry_layer/overview/players/leaders[7]/name</t>
  </si>
  <si>
    <t xml:space="preserve">industry_layer/overview/players/leaders[7]/share</t>
  </si>
  <si>
    <t xml:space="preserve">A54</t>
  </si>
  <si>
    <t xml:space="preserve">industry_layer/overview/timeline[0]/year</t>
  </si>
  <si>
    <t xml:space="preserve">2020</t>
  </si>
  <si>
    <t xml:space="preserve">industry_layer/overview/timeline[0]/event</t>
  </si>
  <si>
    <t xml:space="preserve">"LFP cells return to mainstream cars"</t>
  </si>
  <si>
    <t xml:space="preserve">C54</t>
  </si>
  <si>
    <t xml:space="preserve">industry_layer/overview/timeline[0]/why_it_mattered</t>
  </si>
  <si>
    <t xml:space="preserve">"Cut pack cost and opened the budget segment"</t>
  </si>
  <si>
    <t xml:space="preserve">A55</t>
  </si>
  <si>
    <t xml:space="preserve">industry_layer/overview/timeline[1]/year</t>
  </si>
  <si>
    <t xml:space="preserve">2023</t>
  </si>
  <si>
    <t xml:space="preserve">industry_layer/overview/timeline[1]/event</t>
  </si>
  <si>
    <t xml:space="preserve">"China price war begins"</t>
  </si>
  <si>
    <t xml:space="preserve">C55</t>
  </si>
  <si>
    <t xml:space="preserve">industry_layer/overview/timeline[1]/why_it_mattered</t>
  </si>
  <si>
    <t xml:space="preserve">"Margins compressed; scale became decisive"</t>
  </si>
  <si>
    <t xml:space="preserve">A56</t>
  </si>
  <si>
    <t xml:space="preserve">industry_layer/overview/timeline[2]/year</t>
  </si>
  <si>
    <t xml:space="preserve">2024</t>
  </si>
  <si>
    <t xml:space="preserve">industry_layer/overview/timeline[2]/event</t>
  </si>
  <si>
    <t xml:space="preserve">"EU duties on China-built BEVs"</t>
  </si>
  <si>
    <t xml:space="preserve">C56</t>
  </si>
  <si>
    <t xml:space="preserve">industry_layer/overview/timeline[2]/why_it_mattered</t>
  </si>
  <si>
    <t xml:space="preserve">"Local production became a KSF in Europe"</t>
  </si>
  <si>
    <t xml:space="preserve">A57</t>
  </si>
  <si>
    <t xml:space="preserve">industry_layer/overview/timeline[3]/year</t>
  </si>
  <si>
    <t xml:space="preserve">2025</t>
  </si>
  <si>
    <t xml:space="preserve">industry_layer/overview/timeline[3]/event</t>
  </si>
  <si>
    <t xml:space="preserve">"Software-defined vehicles go mainstream"</t>
  </si>
  <si>
    <t xml:space="preserve">C57</t>
  </si>
  <si>
    <t xml:space="preserve">industry_layer/overview/timeline[3]/why_it_mattered</t>
  </si>
  <si>
    <t xml:space="preserve">"OTA and apps became a buying criterion"</t>
  </si>
  <si>
    <t xml:space="preserve">A58</t>
  </si>
  <si>
    <t xml:space="preserve">industry_layer/overview/timeline[4]/year</t>
  </si>
  <si>
    <t xml:space="preserve">industry_layer/overview/timeline[4]/event</t>
  </si>
  <si>
    <t xml:space="preserve">C58</t>
  </si>
  <si>
    <t xml:space="preserve">industry_layer/overview/timeline[4]/why_it_mattered</t>
  </si>
  <si>
    <t xml:space="preserve">A59</t>
  </si>
  <si>
    <t xml:space="preserve">industry_layer/overview/timeline[5]/year</t>
  </si>
  <si>
    <t xml:space="preserve">B59</t>
  </si>
  <si>
    <t xml:space="preserve">industry_layer/overview/timeline[5]/event</t>
  </si>
  <si>
    <t xml:space="preserve">C59</t>
  </si>
  <si>
    <t xml:space="preserve">industry_layer/overview/timeline[5]/why_it_mattered</t>
  </si>
  <si>
    <t xml:space="preserve">A60</t>
  </si>
  <si>
    <t xml:space="preserve">industry_layer/overview/timeline[6]/year</t>
  </si>
  <si>
    <t xml:space="preserve">B60</t>
  </si>
  <si>
    <t xml:space="preserve">industry_layer/overview/timeline[6]/event</t>
  </si>
  <si>
    <t xml:space="preserve">C60</t>
  </si>
  <si>
    <t xml:space="preserve">industry_layer/overview/timeline[6]/why_it_mattered</t>
  </si>
  <si>
    <t xml:space="preserve">A61</t>
  </si>
  <si>
    <t xml:space="preserve">industry_layer/overview/timeline[7]/year</t>
  </si>
  <si>
    <t xml:space="preserve">B61</t>
  </si>
  <si>
    <t xml:space="preserve">industry_layer/overview/timeline[7]/event</t>
  </si>
  <si>
    <t xml:space="preserve">C61</t>
  </si>
  <si>
    <t xml:space="preserve">industry_layer/overview/timeline[7]/why_it_mattered</t>
  </si>
  <si>
    <t xml:space="preserve">B64</t>
  </si>
  <si>
    <t xml:space="preserve">industry_layer/overview/lifecycle/stage</t>
  </si>
  <si>
    <t xml:space="preserve">"growth"</t>
  </si>
  <si>
    <t xml:space="preserve">D64</t>
  </si>
  <si>
    <t xml:space="preserve">industry_layer/overview/lifecycle/implication</t>
  </si>
  <si>
    <t xml:space="preserve">"Share is still being won; invest ahead of demand but expect a shakeout among weak players"</t>
  </si>
  <si>
    <t xml:space="preserve">competitors[0]/name</t>
  </si>
  <si>
    <t xml:space="preserve">competitors[0]/financials/fiscal_year</t>
  </si>
  <si>
    <t xml:space="preserve">"FY2025"</t>
  </si>
  <si>
    <t xml:space="preserve">C7</t>
  </si>
  <si>
    <t xml:space="preserve">competitors[0]/financials/currency</t>
  </si>
  <si>
    <t xml:space="preserve">"USD"</t>
  </si>
  <si>
    <t xml:space="preserve">D7</t>
  </si>
  <si>
    <t xml:space="preserve">competitors[0]/financials/revenue</t>
  </si>
  <si>
    <t xml:space="preserve">107000</t>
  </si>
  <si>
    <t xml:space="preserve">E7</t>
  </si>
  <si>
    <t xml:space="preserve">competitors[0]/financials/gross_margin</t>
  </si>
  <si>
    <t xml:space="preserve">0.2</t>
  </si>
  <si>
    <t xml:space="preserve">F7</t>
  </si>
  <si>
    <t xml:space="preserve">competitors[0]/financials/operating_margin</t>
  </si>
  <si>
    <t xml:space="preserve">0.06</t>
  </si>
  <si>
    <t xml:space="preserve">G7</t>
  </si>
  <si>
    <t xml:space="preserve">competitors[0]/financials/rnd_pct</t>
  </si>
  <si>
    <t xml:space="preserve">H7</t>
  </si>
  <si>
    <t xml:space="preserve">competitors[0]/moat/network</t>
  </si>
  <si>
    <t xml:space="preserve">"weak"</t>
  </si>
  <si>
    <t xml:space="preserve">I7</t>
  </si>
  <si>
    <t xml:space="preserve">competitors[0]/moat/switching</t>
  </si>
  <si>
    <t xml:space="preserve">"moderate"</t>
  </si>
  <si>
    <t xml:space="preserve">J7</t>
  </si>
  <si>
    <t xml:space="preserve">competitors[0]/moat/scale</t>
  </si>
  <si>
    <t xml:space="preserve">"strong"</t>
  </si>
  <si>
    <t xml:space="preserve">K7</t>
  </si>
  <si>
    <t xml:space="preserve">competitors[0]/moat/intangibles</t>
  </si>
  <si>
    <t xml:space="preserve">L7</t>
  </si>
  <si>
    <t xml:space="preserve">competitors[0]/apparent_strategy</t>
  </si>
  <si>
    <t xml:space="preserve">"Cost leader at scale; vertical integration"</t>
  </si>
  <si>
    <t xml:space="preserve">A8</t>
  </si>
  <si>
    <t xml:space="preserve">competitors[1]/name</t>
  </si>
  <si>
    <t xml:space="preserve">competitors[1]/financials/fiscal_year</t>
  </si>
  <si>
    <t xml:space="preserve">C8</t>
  </si>
  <si>
    <t xml:space="preserve">competitors[1]/financials/currency</t>
  </si>
  <si>
    <t xml:space="preserve">D8</t>
  </si>
  <si>
    <t xml:space="preserve">competitors[1]/financials/revenue</t>
  </si>
  <si>
    <t xml:space="preserve">97000</t>
  </si>
  <si>
    <t xml:space="preserve">E8</t>
  </si>
  <si>
    <t xml:space="preserve">competitors[1]/financials/gross_margin</t>
  </si>
  <si>
    <t xml:space="preserve">F8</t>
  </si>
  <si>
    <t xml:space="preserve">competitors[1]/financials/operating_margin</t>
  </si>
  <si>
    <t xml:space="preserve">G8</t>
  </si>
  <si>
    <t xml:space="preserve">competitors[1]/financials/rnd_pct</t>
  </si>
  <si>
    <t xml:space="preserve">0.05</t>
  </si>
  <si>
    <t xml:space="preserve">H8</t>
  </si>
  <si>
    <t xml:space="preserve">competitors[1]/moat/network</t>
  </si>
  <si>
    <t xml:space="preserve">I8</t>
  </si>
  <si>
    <t xml:space="preserve">competitors[1]/moat/switching</t>
  </si>
  <si>
    <t xml:space="preserve">J8</t>
  </si>
  <si>
    <t xml:space="preserve">competitors[1]/moat/scale</t>
  </si>
  <si>
    <t xml:space="preserve">K8</t>
  </si>
  <si>
    <t xml:space="preserve">competitors[1]/moat/intangibles</t>
  </si>
  <si>
    <t xml:space="preserve">L8</t>
  </si>
  <si>
    <t xml:space="preserve">competitors[1]/apparent_strategy</t>
  </si>
  <si>
    <t xml:space="preserve">"Premium tech brand; software and charging"</t>
  </si>
  <si>
    <t xml:space="preserve">A9</t>
  </si>
  <si>
    <t xml:space="preserve">competitors[2]/name</t>
  </si>
  <si>
    <t xml:space="preserve">competitors[2]/financials/fiscal_year</t>
  </si>
  <si>
    <t xml:space="preserve">C9</t>
  </si>
  <si>
    <t xml:space="preserve">competitors[2]/financials/currency</t>
  </si>
  <si>
    <t xml:space="preserve">competitors[2]/financials/revenue</t>
  </si>
  <si>
    <t xml:space="preserve">350000</t>
  </si>
  <si>
    <t xml:space="preserve">competitors[2]/financials/gross_margin</t>
  </si>
  <si>
    <t xml:space="preserve">F9</t>
  </si>
  <si>
    <t xml:space="preserve">competitors[2]/financials/operating_margin</t>
  </si>
  <si>
    <t xml:space="preserve">G9</t>
  </si>
  <si>
    <t xml:space="preserve">competitors[2]/financials/rnd_pct</t>
  </si>
  <si>
    <t xml:space="preserve">H9</t>
  </si>
  <si>
    <t xml:space="preserve">competitors[2]/moat/network</t>
  </si>
  <si>
    <t xml:space="preserve">I9</t>
  </si>
  <si>
    <t xml:space="preserve">competitors[2]/moat/switching</t>
  </si>
  <si>
    <t xml:space="preserve">J9</t>
  </si>
  <si>
    <t xml:space="preserve">competitors[2]/moat/scale</t>
  </si>
  <si>
    <t xml:space="preserve">K9</t>
  </si>
  <si>
    <t xml:space="preserve">competitors[2]/moat/intangibles</t>
  </si>
  <si>
    <t xml:space="preserve">L9</t>
  </si>
  <si>
    <t xml:space="preserve">competitors[2]/apparent_strategy</t>
  </si>
  <si>
    <t xml:space="preserve">"Broad multi-brand; transitioning from ICE"</t>
  </si>
  <si>
    <t xml:space="preserve">A10</t>
  </si>
  <si>
    <t xml:space="preserve">competitors[3]/name</t>
  </si>
  <si>
    <t xml:space="preserve">competitors[3]/financials/fiscal_year</t>
  </si>
  <si>
    <t xml:space="preserve">C10</t>
  </si>
  <si>
    <t xml:space="preserve">competitors[3]/financials/currency</t>
  </si>
  <si>
    <t xml:space="preserve">competitors[3]/financials/revenue</t>
  </si>
  <si>
    <t xml:space="preserve">33000</t>
  </si>
  <si>
    <t xml:space="preserve">competitors[3]/financials/gross_margin</t>
  </si>
  <si>
    <t xml:space="preserve">0.16</t>
  </si>
  <si>
    <t xml:space="preserve">F10</t>
  </si>
  <si>
    <t xml:space="preserve">competitors[3]/financials/operating_margin</t>
  </si>
  <si>
    <t xml:space="preserve">G10</t>
  </si>
  <si>
    <t xml:space="preserve">competitors[3]/financials/rnd_pct</t>
  </si>
  <si>
    <t xml:space="preserve">H10</t>
  </si>
  <si>
    <t xml:space="preserve">competitors[3]/moat/network</t>
  </si>
  <si>
    <t xml:space="preserve">I10</t>
  </si>
  <si>
    <t xml:space="preserve">competitors[3]/moat/switching</t>
  </si>
  <si>
    <t xml:space="preserve">J10</t>
  </si>
  <si>
    <t xml:space="preserve">competitors[3]/moat/scale</t>
  </si>
  <si>
    <t xml:space="preserve">K10</t>
  </si>
  <si>
    <t xml:space="preserve">competitors[3]/moat/intangibles</t>
  </si>
  <si>
    <t xml:space="preserve">L10</t>
  </si>
  <si>
    <t xml:space="preserve">competitors[3]/apparent_strategy</t>
  </si>
  <si>
    <t xml:space="preserve">"Multi-brand value; platform sharing"</t>
  </si>
  <si>
    <t xml:space="preserve">A11</t>
  </si>
  <si>
    <t xml:space="preserve">competitors[4]/name</t>
  </si>
  <si>
    <t xml:space="preserve">competitors[4]/financials/fiscal_year</t>
  </si>
  <si>
    <t xml:space="preserve">C11</t>
  </si>
  <si>
    <t xml:space="preserve">competitors[4]/financials/currency</t>
  </si>
  <si>
    <t xml:space="preserve">competitors[4]/financials/revenue</t>
  </si>
  <si>
    <t xml:space="preserve">15000</t>
  </si>
  <si>
    <t xml:space="preserve">competitors[4]/financials/gross_margin</t>
  </si>
  <si>
    <t xml:space="preserve">0.19</t>
  </si>
  <si>
    <t xml:space="preserve">F11</t>
  </si>
  <si>
    <t xml:space="preserve">competitors[4]/financials/operating_margin</t>
  </si>
  <si>
    <t xml:space="preserve">-0.02</t>
  </si>
  <si>
    <t xml:space="preserve">G11</t>
  </si>
  <si>
    <t xml:space="preserve">competitors[4]/financials/rnd_pct</t>
  </si>
  <si>
    <t xml:space="preserve">0.09</t>
  </si>
  <si>
    <t xml:space="preserve">H11</t>
  </si>
  <si>
    <t xml:space="preserve">competitors[4]/moat/network</t>
  </si>
  <si>
    <t xml:space="preserve">I11</t>
  </si>
  <si>
    <t xml:space="preserve">competitors[4]/moat/switching</t>
  </si>
  <si>
    <t xml:space="preserve">J11</t>
  </si>
  <si>
    <t xml:space="preserve">competitors[4]/moat/scale</t>
  </si>
  <si>
    <t xml:space="preserve">K11</t>
  </si>
  <si>
    <t xml:space="preserve">competitors[4]/moat/intangibles</t>
  </si>
  <si>
    <t xml:space="preserve">L11</t>
  </si>
  <si>
    <t xml:space="preserve">competitors[4]/apparent_strategy</t>
  </si>
  <si>
    <t xml:space="preserve">"Ecosystem differentiator; phone-car link"</t>
  </si>
  <si>
    <t xml:space="preserve">A12</t>
  </si>
  <si>
    <t xml:space="preserve">competitors[5]/name</t>
  </si>
  <si>
    <t xml:space="preserve">competitors[5]/financials/fiscal_year</t>
  </si>
  <si>
    <t xml:space="preserve">C12</t>
  </si>
  <si>
    <t xml:space="preserve">competitors[5]/financials/currency</t>
  </si>
  <si>
    <t xml:space="preserve">competitors[5]/financials/revenue</t>
  </si>
  <si>
    <t xml:space="preserve">170000</t>
  </si>
  <si>
    <t xml:space="preserve">competitors[5]/financials/gross_margin</t>
  </si>
  <si>
    <t xml:space="preserve">0.17</t>
  </si>
  <si>
    <t xml:space="preserve">F12</t>
  </si>
  <si>
    <t xml:space="preserve">competitors[5]/financials/operating_margin</t>
  </si>
  <si>
    <t xml:space="preserve">G12</t>
  </si>
  <si>
    <t xml:space="preserve">competitors[5]/financials/rnd_pct</t>
  </si>
  <si>
    <t xml:space="preserve">H12</t>
  </si>
  <si>
    <t xml:space="preserve">competitors[5]/moat/network</t>
  </si>
  <si>
    <t xml:space="preserve">I12</t>
  </si>
  <si>
    <t xml:space="preserve">competitors[5]/moat/switching</t>
  </si>
  <si>
    <t xml:space="preserve">J12</t>
  </si>
  <si>
    <t xml:space="preserve">competitors[5]/moat/scale</t>
  </si>
  <si>
    <t xml:space="preserve">K12</t>
  </si>
  <si>
    <t xml:space="preserve">competitors[5]/moat/intangibles</t>
  </si>
  <si>
    <t xml:space="preserve">L12</t>
  </si>
  <si>
    <t xml:space="preserve">competitors[5]/apparent_strategy</t>
  </si>
  <si>
    <t xml:space="preserve">"Regional brands; cost discipline"</t>
  </si>
  <si>
    <t xml:space="preserve">A13</t>
  </si>
  <si>
    <t xml:space="preserve">competitors[6]/name</t>
  </si>
  <si>
    <t xml:space="preserve">competitors[6]/financials/fiscal_year</t>
  </si>
  <si>
    <t xml:space="preserve">C13</t>
  </si>
  <si>
    <t xml:space="preserve">competitors[6]/financials/currency</t>
  </si>
  <si>
    <t xml:space="preserve">competitors[6]/financials/revenue</t>
  </si>
  <si>
    <t xml:space="preserve">competitors[6]/financials/gross_margin</t>
  </si>
  <si>
    <t xml:space="preserve">F13</t>
  </si>
  <si>
    <t xml:space="preserve">competitors[6]/financials/operating_margin</t>
  </si>
  <si>
    <t xml:space="preserve">G13</t>
  </si>
  <si>
    <t xml:space="preserve">competitors[6]/financials/rnd_pct</t>
  </si>
  <si>
    <t xml:space="preserve">H13</t>
  </si>
  <si>
    <t xml:space="preserve">competitors[6]/moat/network</t>
  </si>
  <si>
    <t xml:space="preserve">I13</t>
  </si>
  <si>
    <t xml:space="preserve">competitors[6]/moat/switching</t>
  </si>
  <si>
    <t xml:space="preserve">J13</t>
  </si>
  <si>
    <t xml:space="preserve">competitors[6]/moat/scale</t>
  </si>
  <si>
    <t xml:space="preserve">K13</t>
  </si>
  <si>
    <t xml:space="preserve">competitors[6]/moat/intangibles</t>
  </si>
  <si>
    <t xml:space="preserve">L13</t>
  </si>
  <si>
    <t xml:space="preserve">competitors[6]/apparent_strategy</t>
  </si>
  <si>
    <t xml:space="preserve">A14</t>
  </si>
  <si>
    <t xml:space="preserve">competitors[7]/name</t>
  </si>
  <si>
    <t xml:space="preserve">B14</t>
  </si>
  <si>
    <t xml:space="preserve">competitors[7]/financials/fiscal_year</t>
  </si>
  <si>
    <t xml:space="preserve">C14</t>
  </si>
  <si>
    <t xml:space="preserve">competitors[7]/financials/currency</t>
  </si>
  <si>
    <t xml:space="preserve">D14</t>
  </si>
  <si>
    <t xml:space="preserve">competitors[7]/financials/revenue</t>
  </si>
  <si>
    <t xml:space="preserve">E14</t>
  </si>
  <si>
    <t xml:space="preserve">competitors[7]/financials/gross_margin</t>
  </si>
  <si>
    <t xml:space="preserve">F14</t>
  </si>
  <si>
    <t xml:space="preserve">competitors[7]/financials/operating_margin</t>
  </si>
  <si>
    <t xml:space="preserve">G14</t>
  </si>
  <si>
    <t xml:space="preserve">competitors[7]/financials/rnd_pct</t>
  </si>
  <si>
    <t xml:space="preserve">H14</t>
  </si>
  <si>
    <t xml:space="preserve">competitors[7]/moat/network</t>
  </si>
  <si>
    <t xml:space="preserve">I14</t>
  </si>
  <si>
    <t xml:space="preserve">competitors[7]/moat/switching</t>
  </si>
  <si>
    <t xml:space="preserve">J14</t>
  </si>
  <si>
    <t xml:space="preserve">competitors[7]/moat/scale</t>
  </si>
  <si>
    <t xml:space="preserve">K14</t>
  </si>
  <si>
    <t xml:space="preserve">competitors[7]/moat/intangibles</t>
  </si>
  <si>
    <t xml:space="preserve">L14</t>
  </si>
  <si>
    <t xml:space="preserve">competitors[7]/apparent_strategy</t>
  </si>
  <si>
    <t xml:space="preserve">competitors[8]/name</t>
  </si>
  <si>
    <t xml:space="preserve">competitors[8]/financials/fiscal_year</t>
  </si>
  <si>
    <t xml:space="preserve">competitors[8]/financials/currency</t>
  </si>
  <si>
    <t xml:space="preserve">competitors[8]/financials/revenue</t>
  </si>
  <si>
    <t xml:space="preserve">competitors[8]/financials/gross_margin</t>
  </si>
  <si>
    <t xml:space="preserve">competitors[8]/financials/operating_margin</t>
  </si>
  <si>
    <t xml:space="preserve">G15</t>
  </si>
  <si>
    <t xml:space="preserve">competitors[8]/financials/rnd_pct</t>
  </si>
  <si>
    <t xml:space="preserve">H15</t>
  </si>
  <si>
    <t xml:space="preserve">competitors[8]/moat/network</t>
  </si>
  <si>
    <t xml:space="preserve">I15</t>
  </si>
  <si>
    <t xml:space="preserve">competitors[8]/moat/switching</t>
  </si>
  <si>
    <t xml:space="preserve">J15</t>
  </si>
  <si>
    <t xml:space="preserve">competitors[8]/moat/scale</t>
  </si>
  <si>
    <t xml:space="preserve">K15</t>
  </si>
  <si>
    <t xml:space="preserve">competitors[8]/moat/intangibles</t>
  </si>
  <si>
    <t xml:space="preserve">L15</t>
  </si>
  <si>
    <t xml:space="preserve">competitors[8]/apparent_strategy</t>
  </si>
  <si>
    <t xml:space="preserve">competitors[9]/name</t>
  </si>
  <si>
    <t xml:space="preserve">competitors[9]/financials/fiscal_year</t>
  </si>
  <si>
    <t xml:space="preserve">competitors[9]/financials/currency</t>
  </si>
  <si>
    <t xml:space="preserve">competitors[9]/financials/revenue</t>
  </si>
  <si>
    <t xml:space="preserve">competitors[9]/financials/gross_margin</t>
  </si>
  <si>
    <t xml:space="preserve">competitors[9]/financials/operating_margin</t>
  </si>
  <si>
    <t xml:space="preserve">G16</t>
  </si>
  <si>
    <t xml:space="preserve">competitors[9]/financials/rnd_pct</t>
  </si>
  <si>
    <t xml:space="preserve">H16</t>
  </si>
  <si>
    <t xml:space="preserve">competitors[9]/moat/network</t>
  </si>
  <si>
    <t xml:space="preserve">I16</t>
  </si>
  <si>
    <t xml:space="preserve">competitors[9]/moat/switching</t>
  </si>
  <si>
    <t xml:space="preserve">J16</t>
  </si>
  <si>
    <t xml:space="preserve">competitors[9]/moat/scale</t>
  </si>
  <si>
    <t xml:space="preserve">K16</t>
  </si>
  <si>
    <t xml:space="preserve">competitors[9]/moat/intangibles</t>
  </si>
  <si>
    <t xml:space="preserve">L16</t>
  </si>
  <si>
    <t xml:space="preserve">competitors[9]/apparent_strategy</t>
  </si>
  <si>
    <t xml:space="preserve">B34</t>
  </si>
  <si>
    <t xml:space="preserve">competitors[0]/signals[0]/kind</t>
  </si>
  <si>
    <t xml:space="preserve">"capex"</t>
  </si>
  <si>
    <t xml:space="preserve">C34</t>
  </si>
  <si>
    <t xml:space="preserve">competitors[0]/signals[0]/observation</t>
  </si>
  <si>
    <t xml:space="preserve">"Hungary plant construction on schedule"</t>
  </si>
  <si>
    <t xml:space="preserve">competitors[0]/signals[0]/inference</t>
  </si>
  <si>
    <t xml:space="preserve">"Local EU production from 2026 to avoid duties"</t>
  </si>
  <si>
    <t xml:space="preserve">competitors[1]/signals[0]/kind</t>
  </si>
  <si>
    <t xml:space="preserve">"pricing"</t>
  </si>
  <si>
    <t xml:space="preserve">competitors[1]/signals[0]/observation</t>
  </si>
  <si>
    <t xml:space="preserve">"Model Y price cut 5% in Europe"</t>
  </si>
  <si>
    <t xml:space="preserve">competitors[1]/signals[0]/inference</t>
  </si>
  <si>
    <t xml:space="preserve">"Defending share against cheaper entrants"</t>
  </si>
  <si>
    <t xml:space="preserve">competitors[2]/signals[0]/kind</t>
  </si>
  <si>
    <t xml:space="preserve">"partnership"</t>
  </si>
  <si>
    <t xml:space="preserve">competitors[2]/signals[0]/observation</t>
  </si>
  <si>
    <t xml:space="preserve">"Software joint venture with a US EV maker"</t>
  </si>
  <si>
    <t xml:space="preserve">competitors[2]/signals[0]/inference</t>
  </si>
  <si>
    <t xml:space="preserve">"Buying software depth it lacks"</t>
  </si>
  <si>
    <t xml:space="preserve">competitors[4]/signals[0]/kind</t>
  </si>
  <si>
    <t xml:space="preserve">"hiring"</t>
  </si>
  <si>
    <t xml:space="preserve">competitors[4]/signals[0]/observation</t>
  </si>
  <si>
    <t xml:space="preserve">"Hiring EU homologation engineers"</t>
  </si>
  <si>
    <t xml:space="preserve">competitors[4]/signals[0]/inference</t>
  </si>
  <si>
    <t xml:space="preserve">"Preparing an EU launch within two years"</t>
  </si>
  <si>
    <t xml:space="preserve">competitors[name={A}]/signals[+]/kind</t>
  </si>
  <si>
    <t xml:space="preserve">competitors[name={A}]/signals[+]/observation</t>
  </si>
  <si>
    <t xml:space="preserve">competitors[name={A}]/signals[+]/inference</t>
  </si>
  <si>
    <t xml:space="preserve">B40</t>
  </si>
  <si>
    <t xml:space="preserve">C40</t>
  </si>
  <si>
    <t xml:space="preserve">H40</t>
  </si>
  <si>
    <t xml:space="preserve">B41</t>
  </si>
  <si>
    <t xml:space="preserve">C41</t>
  </si>
  <si>
    <t xml:space="preserve">H41</t>
  </si>
  <si>
    <t xml:space="preserve">B42</t>
  </si>
  <si>
    <t xml:space="preserve">C42</t>
  </si>
  <si>
    <t xml:space="preserve">H42</t>
  </si>
  <si>
    <t xml:space="preserve">ci/pestel_seeds[0]/dimension</t>
  </si>
  <si>
    <t xml:space="preserve">ci/pestel_seeds[0]/kind</t>
  </si>
  <si>
    <t xml:space="preserve">ci/pestel_seeds[0]/text</t>
  </si>
  <si>
    <t xml:space="preserve">ci/pestel_seeds[0]/pl_line</t>
  </si>
  <si>
    <t xml:space="preserve">ci/pestel_seeds[1]/dimension</t>
  </si>
  <si>
    <t xml:space="preserve">ci/pestel_seeds[1]/kind</t>
  </si>
  <si>
    <t xml:space="preserve">ci/pestel_seeds[1]/text</t>
  </si>
  <si>
    <t xml:space="preserve">ci/pestel_seeds[1]/pl_line</t>
  </si>
  <si>
    <t xml:space="preserve">ci/pestel_seeds[2]/dimension</t>
  </si>
  <si>
    <t xml:space="preserve">ci/pestel_seeds[2]/kind</t>
  </si>
  <si>
    <t xml:space="preserve">ci/pestel_seeds[2]/text</t>
  </si>
  <si>
    <t xml:space="preserve">ci/pestel_seeds[2]/pl_line</t>
  </si>
  <si>
    <t xml:space="preserve">ci/pestel_seeds[3]/dimension</t>
  </si>
  <si>
    <t xml:space="preserve">ci/pestel_seeds[3]/kind</t>
  </si>
  <si>
    <t xml:space="preserve">ci/pestel_seeds[3]/text</t>
  </si>
  <si>
    <t xml:space="preserve">ci/pestel_seeds[3]/pl_line</t>
  </si>
  <si>
    <t xml:space="preserve">A51</t>
  </si>
  <si>
    <t xml:space="preserve">ci/pestel_seeds[4]/dimension</t>
  </si>
  <si>
    <t xml:space="preserve">B51</t>
  </si>
  <si>
    <t xml:space="preserve">ci/pestel_seeds[4]/kind</t>
  </si>
  <si>
    <t xml:space="preserve">C51</t>
  </si>
  <si>
    <t xml:space="preserve">ci/pestel_seeds[4]/text</t>
  </si>
  <si>
    <t xml:space="preserve">D51</t>
  </si>
  <si>
    <t xml:space="preserve">ci/pestel_seeds[4]/pl_line</t>
  </si>
  <si>
    <t xml:space="preserve">A52</t>
  </si>
  <si>
    <t xml:space="preserve">ci/pestel_seeds[5]/dimension</t>
  </si>
  <si>
    <t xml:space="preserve">B52</t>
  </si>
  <si>
    <t xml:space="preserve">ci/pestel_seeds[5]/kind</t>
  </si>
  <si>
    <t xml:space="preserve">C52</t>
  </si>
  <si>
    <t xml:space="preserve">ci/pestel_seeds[5]/text</t>
  </si>
  <si>
    <t xml:space="preserve">D52</t>
  </si>
  <si>
    <t xml:space="preserve">ci/pestel_seeds[5]/pl_line</t>
  </si>
  <si>
    <t xml:space="preserve">A53</t>
  </si>
  <si>
    <t xml:space="preserve">ci/pestel_seeds[6]/dimension</t>
  </si>
  <si>
    <t xml:space="preserve">B53</t>
  </si>
  <si>
    <t xml:space="preserve">ci/pestel_seeds[6]/kind</t>
  </si>
  <si>
    <t xml:space="preserve">C53</t>
  </si>
  <si>
    <t xml:space="preserve">ci/pestel_seeds[6]/text</t>
  </si>
  <si>
    <t xml:space="preserve">D53</t>
  </si>
  <si>
    <t xml:space="preserve">ci/pestel_seeds[6]/pl_line</t>
  </si>
  <si>
    <t xml:space="preserve">ci/pestel_seeds[7]/dimension</t>
  </si>
  <si>
    <t xml:space="preserve">ci/pestel_seeds[7]/kind</t>
  </si>
  <si>
    <t xml:space="preserve">ci/pestel_seeds[7]/text</t>
  </si>
  <si>
    <t xml:space="preserve">ci/pestel_seeds[7]/pl_line</t>
  </si>
  <si>
    <t xml:space="preserve">industry_layer/pestel[0]/id</t>
  </si>
  <si>
    <t xml:space="preserve">"P1"</t>
  </si>
  <si>
    <t xml:space="preserve">industry_layer/pestel[0]/dimension</t>
  </si>
  <si>
    <t xml:space="preserve">pestel</t>
  </si>
  <si>
    <t xml:space="preserve">"Economic"</t>
  </si>
  <si>
    <t xml:space="preserve">industry_layer/pestel[0]/finding</t>
  </si>
  <si>
    <t xml:space="preserve">"Battery cell prices keep falling"</t>
  </si>
  <si>
    <t xml:space="preserve">D6</t>
  </si>
  <si>
    <t xml:space="preserve">industry_layer/pestel[0]/direction</t>
  </si>
  <si>
    <t xml:space="preserve">"+"</t>
  </si>
  <si>
    <t xml:space="preserve">E6</t>
  </si>
  <si>
    <t xml:space="preserve">industry_layer/pestel[0]/impact</t>
  </si>
  <si>
    <t xml:space="preserve">F6</t>
  </si>
  <si>
    <t xml:space="preserve">industry_layer/pestel[0]/certainty</t>
  </si>
  <si>
    <t xml:space="preserve">H6</t>
  </si>
  <si>
    <t xml:space="preserve">industry_layer/pestel[0]/pl_line</t>
  </si>
  <si>
    <t xml:space="preserve">"cogs.inputs"</t>
  </si>
  <si>
    <t xml:space="preserve">I6</t>
  </si>
  <si>
    <t xml:space="preserve">industry_layer/pestel[0]/evidence</t>
  </si>
  <si>
    <t xml:space="preserve">"E003"</t>
  </si>
  <si>
    <t xml:space="preserve">industry_layer/pestel[1]/id</t>
  </si>
  <si>
    <t xml:space="preserve">"P2"</t>
  </si>
  <si>
    <t xml:space="preserve">industry_layer/pestel[1]/dimension</t>
  </si>
  <si>
    <t xml:space="preserve">"Political"</t>
  </si>
  <si>
    <t xml:space="preserve">industry_layer/pestel[1]/finding</t>
  </si>
  <si>
    <t xml:space="preserve">"EU tariffs on China-built BEVs"</t>
  </si>
  <si>
    <t xml:space="preserve">industry_layer/pestel[1]/direction</t>
  </si>
  <si>
    <t xml:space="preserve">"-"</t>
  </si>
  <si>
    <t xml:space="preserve">industry_layer/pestel[1]/impact</t>
  </si>
  <si>
    <t xml:space="preserve">industry_layer/pestel[1]/certainty</t>
  </si>
  <si>
    <t xml:space="preserve">industry_layer/pestel[1]/pl_line</t>
  </si>
  <si>
    <t xml:space="preserve">"tax_and_levies"</t>
  </si>
  <si>
    <t xml:space="preserve">industry_layer/pestel[1]/evidence</t>
  </si>
  <si>
    <t xml:space="preserve">"E002"</t>
  </si>
  <si>
    <t xml:space="preserve">industry_layer/pestel[2]/id</t>
  </si>
  <si>
    <t xml:space="preserve">"P3"</t>
  </si>
  <si>
    <t xml:space="preserve">industry_layer/pestel[2]/dimension</t>
  </si>
  <si>
    <t xml:space="preserve">"Technological"</t>
  </si>
  <si>
    <t xml:space="preserve">industry_layer/pestel[2]/finding</t>
  </si>
  <si>
    <t xml:space="preserve">"Software-defined vehicles shift value to features"</t>
  </si>
  <si>
    <t xml:space="preserve">industry_layer/pestel[2]/direction</t>
  </si>
  <si>
    <t xml:space="preserve">industry_layer/pestel[2]/impact</t>
  </si>
  <si>
    <t xml:space="preserve">industry_layer/pestel[2]/certainty</t>
  </si>
  <si>
    <t xml:space="preserve">industry_layer/pestel[2]/pl_line</t>
  </si>
  <si>
    <t xml:space="preserve">"revenue.mix"</t>
  </si>
  <si>
    <t xml:space="preserve">industry_layer/pestel[2]/evidence</t>
  </si>
  <si>
    <t xml:space="preserve">"E008"</t>
  </si>
  <si>
    <t xml:space="preserve">industry_layer/pestel[3]/id</t>
  </si>
  <si>
    <t xml:space="preserve">"P4"</t>
  </si>
  <si>
    <t xml:space="preserve">industry_layer/pestel[3]/dimension</t>
  </si>
  <si>
    <t xml:space="preserve">"Social"</t>
  </si>
  <si>
    <t xml:space="preserve">industry_layer/pestel[3]/finding</t>
  </si>
  <si>
    <t xml:space="preserve">"Range and charging anxiety slow mass-market adoption"</t>
  </si>
  <si>
    <t xml:space="preserve">industry_layer/pestel[3]/direction</t>
  </si>
  <si>
    <t xml:space="preserve">industry_layer/pestel[3]/impact</t>
  </si>
  <si>
    <t xml:space="preserve">industry_layer/pestel[3]/certainty</t>
  </si>
  <si>
    <t xml:space="preserve">industry_layer/pestel[3]/pl_line</t>
  </si>
  <si>
    <t xml:space="preserve">"revenue.volume"</t>
  </si>
  <si>
    <t xml:space="preserve">industry_layer/pestel[3]/evidence</t>
  </si>
  <si>
    <t xml:space="preserve">"E007"</t>
  </si>
  <si>
    <t xml:space="preserve">industry_layer/pestel[4]/id</t>
  </si>
  <si>
    <t xml:space="preserve">"P5"</t>
  </si>
  <si>
    <t xml:space="preserve">industry_layer/pestel[4]/dimension</t>
  </si>
  <si>
    <t xml:space="preserve">"Env"</t>
  </si>
  <si>
    <t xml:space="preserve">industry_layer/pestel[4]/finding</t>
  </si>
  <si>
    <t xml:space="preserve">"Fleet CO2 targets push OEMs to sell more BEVs"</t>
  </si>
  <si>
    <t xml:space="preserve">industry_layer/pestel[4]/direction</t>
  </si>
  <si>
    <t xml:space="preserve">industry_layer/pestel[4]/impact</t>
  </si>
  <si>
    <t xml:space="preserve">industry_layer/pestel[4]/certainty</t>
  </si>
  <si>
    <t xml:space="preserve">industry_layer/pestel[4]/pl_line</t>
  </si>
  <si>
    <t xml:space="preserve">industry_layer/pestel[4]/evidence</t>
  </si>
  <si>
    <t xml:space="preserve">"E005"</t>
  </si>
  <si>
    <t xml:space="preserve">industry_layer/pestel[5]/id</t>
  </si>
  <si>
    <t xml:space="preserve">"P6"</t>
  </si>
  <si>
    <t xml:space="preserve">industry_layer/pestel[5]/dimension</t>
  </si>
  <si>
    <t xml:space="preserve">"Legal"</t>
  </si>
  <si>
    <t xml:space="preserve">industry_layer/pestel[5]/finding</t>
  </si>
  <si>
    <t xml:space="preserve">"Local-content rules for EU incentives"</t>
  </si>
  <si>
    <t xml:space="preserve">industry_layer/pestel[5]/direction</t>
  </si>
  <si>
    <t xml:space="preserve">industry_layer/pestel[5]/impact</t>
  </si>
  <si>
    <t xml:space="preserve">industry_layer/pestel[5]/certainty</t>
  </si>
  <si>
    <t xml:space="preserve">industry_layer/pestel[5]/pl_line</t>
  </si>
  <si>
    <t xml:space="preserve">"revenue.price"</t>
  </si>
  <si>
    <t xml:space="preserve">industry_layer/pestel[5]/evidence</t>
  </si>
  <si>
    <t xml:space="preserve">industry_layer/pestel[6]/id</t>
  </si>
  <si>
    <t xml:space="preserve">industry_layer/pestel[6]/dimension</t>
  </si>
  <si>
    <t xml:space="preserve">industry_layer/pestel[6]/finding</t>
  </si>
  <si>
    <t xml:space="preserve">industry_layer/pestel[6]/direction</t>
  </si>
  <si>
    <t xml:space="preserve">industry_layer/pestel[6]/impact</t>
  </si>
  <si>
    <t xml:space="preserve">industry_layer/pestel[6]/certainty</t>
  </si>
  <si>
    <t xml:space="preserve">industry_layer/pestel[6]/pl_line</t>
  </si>
  <si>
    <t xml:space="preserve">industry_layer/pestel[6]/evidence</t>
  </si>
  <si>
    <t xml:space="preserve">industry_layer/pestel[7]/id</t>
  </si>
  <si>
    <t xml:space="preserve">industry_layer/pestel[7]/dimension</t>
  </si>
  <si>
    <t xml:space="preserve">industry_layer/pestel[7]/finding</t>
  </si>
  <si>
    <t xml:space="preserve">industry_layer/pestel[7]/direction</t>
  </si>
  <si>
    <t xml:space="preserve">industry_layer/pestel[7]/impact</t>
  </si>
  <si>
    <t xml:space="preserve">industry_layer/pestel[7]/certainty</t>
  </si>
  <si>
    <t xml:space="preserve">industry_layer/pestel[7]/pl_line</t>
  </si>
  <si>
    <t xml:space="preserve">industry_layer/pestel[7]/evidence</t>
  </si>
  <si>
    <t xml:space="preserve">industry_layer/pestel[8]/id</t>
  </si>
  <si>
    <t xml:space="preserve">industry_layer/pestel[8]/dimension</t>
  </si>
  <si>
    <t xml:space="preserve">industry_layer/pestel[8]/finding</t>
  </si>
  <si>
    <t xml:space="preserve">industry_layer/pestel[8]/direction</t>
  </si>
  <si>
    <t xml:space="preserve">industry_layer/pestel[8]/impact</t>
  </si>
  <si>
    <t xml:space="preserve">industry_layer/pestel[8]/certainty</t>
  </si>
  <si>
    <t xml:space="preserve">industry_layer/pestel[8]/pl_line</t>
  </si>
  <si>
    <t xml:space="preserve">industry_layer/pestel[8]/evidence</t>
  </si>
  <si>
    <t xml:space="preserve">industry_layer/pestel[9]/id</t>
  </si>
  <si>
    <t xml:space="preserve">industry_layer/pestel[9]/dimension</t>
  </si>
  <si>
    <t xml:space="preserve">industry_layer/pestel[9]/finding</t>
  </si>
  <si>
    <t xml:space="preserve">industry_layer/pestel[9]/direction</t>
  </si>
  <si>
    <t xml:space="preserve">industry_layer/pestel[9]/impact</t>
  </si>
  <si>
    <t xml:space="preserve">industry_layer/pestel[9]/certainty</t>
  </si>
  <si>
    <t xml:space="preserve">industry_layer/pestel[9]/pl_line</t>
  </si>
  <si>
    <t xml:space="preserve">industry_layer/pestel[9]/evidence</t>
  </si>
  <si>
    <t xml:space="preserve">industry_layer/pestel[10]/id</t>
  </si>
  <si>
    <t xml:space="preserve">industry_layer/pestel[10]/dimension</t>
  </si>
  <si>
    <t xml:space="preserve">industry_layer/pestel[10]/finding</t>
  </si>
  <si>
    <t xml:space="preserve">industry_layer/pestel[10]/direction</t>
  </si>
  <si>
    <t xml:space="preserve">industry_layer/pestel[10]/impact</t>
  </si>
  <si>
    <t xml:space="preserve">industry_layer/pestel[10]/certainty</t>
  </si>
  <si>
    <t xml:space="preserve">industry_layer/pestel[10]/pl_line</t>
  </si>
  <si>
    <t xml:space="preserve">industry_layer/pestel[10]/evidence</t>
  </si>
  <si>
    <t xml:space="preserve">industry_layer/pestel[11]/id</t>
  </si>
  <si>
    <t xml:space="preserve">industry_layer/pestel[11]/dimension</t>
  </si>
  <si>
    <t xml:space="preserve">industry_layer/pestel[11]/finding</t>
  </si>
  <si>
    <t xml:space="preserve">industry_layer/pestel[11]/direction</t>
  </si>
  <si>
    <t xml:space="preserve">industry_layer/pestel[11]/impact</t>
  </si>
  <si>
    <t xml:space="preserve">industry_layer/pestel[11]/certainty</t>
  </si>
  <si>
    <t xml:space="preserve">H17</t>
  </si>
  <si>
    <t xml:space="preserve">industry_layer/pestel[11]/pl_line</t>
  </si>
  <si>
    <t xml:space="preserve">I17</t>
  </si>
  <si>
    <t xml:space="preserve">industry_layer/pestel[11]/evidence</t>
  </si>
  <si>
    <t xml:space="preserve">industry_layer/pestel[12]/id</t>
  </si>
  <si>
    <t xml:space="preserve">industry_layer/pestel[12]/dimension</t>
  </si>
  <si>
    <t xml:space="preserve">industry_layer/pestel[12]/finding</t>
  </si>
  <si>
    <t xml:space="preserve">industry_layer/pestel[12]/direction</t>
  </si>
  <si>
    <t xml:space="preserve">industry_layer/pestel[12]/impact</t>
  </si>
  <si>
    <t xml:space="preserve">industry_layer/pestel[12]/certainty</t>
  </si>
  <si>
    <t xml:space="preserve">H18</t>
  </si>
  <si>
    <t xml:space="preserve">industry_layer/pestel[12]/pl_line</t>
  </si>
  <si>
    <t xml:space="preserve">I18</t>
  </si>
  <si>
    <t xml:space="preserve">industry_layer/pestel[12]/evidence</t>
  </si>
  <si>
    <t xml:space="preserve">industry_layer/pestel[13]/id</t>
  </si>
  <si>
    <t xml:space="preserve">industry_layer/pestel[13]/dimension</t>
  </si>
  <si>
    <t xml:space="preserve">industry_layer/pestel[13]/finding</t>
  </si>
  <si>
    <t xml:space="preserve">industry_layer/pestel[13]/direction</t>
  </si>
  <si>
    <t xml:space="preserve">industry_layer/pestel[13]/impact</t>
  </si>
  <si>
    <t xml:space="preserve">industry_layer/pestel[13]/certainty</t>
  </si>
  <si>
    <t xml:space="preserve">H19</t>
  </si>
  <si>
    <t xml:space="preserve">industry_layer/pestel[13]/pl_line</t>
  </si>
  <si>
    <t xml:space="preserve">I19</t>
  </si>
  <si>
    <t xml:space="preserve">industry_layer/pestel[13]/evidence</t>
  </si>
  <si>
    <t xml:space="preserve">A20</t>
  </si>
  <si>
    <t xml:space="preserve">industry_layer/pestel[14]/id</t>
  </si>
  <si>
    <t xml:space="preserve">industry_layer/pestel[14]/dimension</t>
  </si>
  <si>
    <t xml:space="preserve">C20</t>
  </si>
  <si>
    <t xml:space="preserve">industry_layer/pestel[14]/finding</t>
  </si>
  <si>
    <t xml:space="preserve">industry_layer/pestel[14]/direction</t>
  </si>
  <si>
    <t xml:space="preserve">industry_layer/pestel[14]/impact</t>
  </si>
  <si>
    <t xml:space="preserve">industry_layer/pestel[14]/certainty</t>
  </si>
  <si>
    <t xml:space="preserve">H20</t>
  </si>
  <si>
    <t xml:space="preserve">industry_layer/pestel[14]/pl_line</t>
  </si>
  <si>
    <t xml:space="preserve">I20</t>
  </si>
  <si>
    <t xml:space="preserve">industry_layer/pestel[14]/evidence</t>
  </si>
  <si>
    <t xml:space="preserve">A21</t>
  </si>
  <si>
    <t xml:space="preserve">industry_layer/pestel[15]/id</t>
  </si>
  <si>
    <t xml:space="preserve">B21</t>
  </si>
  <si>
    <t xml:space="preserve">industry_layer/pestel[15]/dimension</t>
  </si>
  <si>
    <t xml:space="preserve">C21</t>
  </si>
  <si>
    <t xml:space="preserve">industry_layer/pestel[15]/finding</t>
  </si>
  <si>
    <t xml:space="preserve">D21</t>
  </si>
  <si>
    <t xml:space="preserve">industry_layer/pestel[15]/direction</t>
  </si>
  <si>
    <t xml:space="preserve">E21</t>
  </si>
  <si>
    <t xml:space="preserve">industry_layer/pestel[15]/impact</t>
  </si>
  <si>
    <t xml:space="preserve">F21</t>
  </si>
  <si>
    <t xml:space="preserve">industry_layer/pestel[15]/certainty</t>
  </si>
  <si>
    <t xml:space="preserve">H21</t>
  </si>
  <si>
    <t xml:space="preserve">industry_layer/pestel[15]/pl_line</t>
  </si>
  <si>
    <t xml:space="preserve">I21</t>
  </si>
  <si>
    <t xml:space="preserve">industry_layer/pestel[15]/evidence</t>
  </si>
  <si>
    <t xml:space="preserve">A22</t>
  </si>
  <si>
    <t xml:space="preserve">industry_layer/pestel[16]/id</t>
  </si>
  <si>
    <t xml:space="preserve">B22</t>
  </si>
  <si>
    <t xml:space="preserve">industry_layer/pestel[16]/dimension</t>
  </si>
  <si>
    <t xml:space="preserve">C22</t>
  </si>
  <si>
    <t xml:space="preserve">industry_layer/pestel[16]/finding</t>
  </si>
  <si>
    <t xml:space="preserve">D22</t>
  </si>
  <si>
    <t xml:space="preserve">industry_layer/pestel[16]/direction</t>
  </si>
  <si>
    <t xml:space="preserve">E22</t>
  </si>
  <si>
    <t xml:space="preserve">industry_layer/pestel[16]/impact</t>
  </si>
  <si>
    <t xml:space="preserve">F22</t>
  </si>
  <si>
    <t xml:space="preserve">industry_layer/pestel[16]/certainty</t>
  </si>
  <si>
    <t xml:space="preserve">H22</t>
  </si>
  <si>
    <t xml:space="preserve">industry_layer/pestel[16]/pl_line</t>
  </si>
  <si>
    <t xml:space="preserve">I22</t>
  </si>
  <si>
    <t xml:space="preserve">industry_layer/pestel[16]/evidence</t>
  </si>
  <si>
    <t xml:space="preserve">A23</t>
  </si>
  <si>
    <t xml:space="preserve">industry_layer/pestel[17]/id</t>
  </si>
  <si>
    <t xml:space="preserve">industry_layer/pestel[17]/dimension</t>
  </si>
  <si>
    <t xml:space="preserve">C23</t>
  </si>
  <si>
    <t xml:space="preserve">industry_layer/pestel[17]/finding</t>
  </si>
  <si>
    <t xml:space="preserve">industry_layer/pestel[17]/direction</t>
  </si>
  <si>
    <t xml:space="preserve">E23</t>
  </si>
  <si>
    <t xml:space="preserve">industry_layer/pestel[17]/impact</t>
  </si>
  <si>
    <t xml:space="preserve">F23</t>
  </si>
  <si>
    <t xml:space="preserve">industry_layer/pestel[17]/certainty</t>
  </si>
  <si>
    <t xml:space="preserve">H23</t>
  </si>
  <si>
    <t xml:space="preserve">industry_layer/pestel[17]/pl_line</t>
  </si>
  <si>
    <t xml:space="preserve">I23</t>
  </si>
  <si>
    <t xml:space="preserve">industry_layer/pestel[17]/evidence</t>
  </si>
  <si>
    <t xml:space="preserve">A24</t>
  </si>
  <si>
    <t xml:space="preserve">industry_layer/pestel[18]/id</t>
  </si>
  <si>
    <t xml:space="preserve">industry_layer/pestel[18]/dimension</t>
  </si>
  <si>
    <t xml:space="preserve">C24</t>
  </si>
  <si>
    <t xml:space="preserve">industry_layer/pestel[18]/finding</t>
  </si>
  <si>
    <t xml:space="preserve">industry_layer/pestel[18]/direction</t>
  </si>
  <si>
    <t xml:space="preserve">E24</t>
  </si>
  <si>
    <t xml:space="preserve">industry_layer/pestel[18]/impact</t>
  </si>
  <si>
    <t xml:space="preserve">F24</t>
  </si>
  <si>
    <t xml:space="preserve">industry_layer/pestel[18]/certainty</t>
  </si>
  <si>
    <t xml:space="preserve">H24</t>
  </si>
  <si>
    <t xml:space="preserve">industry_layer/pestel[18]/pl_line</t>
  </si>
  <si>
    <t xml:space="preserve">I24</t>
  </si>
  <si>
    <t xml:space="preserve">industry_layer/pestel[18]/evidence</t>
  </si>
  <si>
    <t xml:space="preserve">A25</t>
  </si>
  <si>
    <t xml:space="preserve">industry_layer/pestel[19]/id</t>
  </si>
  <si>
    <t xml:space="preserve">industry_layer/pestel[19]/dimension</t>
  </si>
  <si>
    <t xml:space="preserve">C25</t>
  </si>
  <si>
    <t xml:space="preserve">industry_layer/pestel[19]/finding</t>
  </si>
  <si>
    <t xml:space="preserve">industry_layer/pestel[19]/direction</t>
  </si>
  <si>
    <t xml:space="preserve">E25</t>
  </si>
  <si>
    <t xml:space="preserve">industry_layer/pestel[19]/impact</t>
  </si>
  <si>
    <t xml:space="preserve">F25</t>
  </si>
  <si>
    <t xml:space="preserve">industry_layer/pestel[19]/certainty</t>
  </si>
  <si>
    <t xml:space="preserve">H25</t>
  </si>
  <si>
    <t xml:space="preserve">industry_layer/pestel[19]/pl_line</t>
  </si>
  <si>
    <t xml:space="preserve">I25</t>
  </si>
  <si>
    <t xml:space="preserve">industry_layer/pestel[19]/evidence</t>
  </si>
  <si>
    <t xml:space="preserve">A26</t>
  </si>
  <si>
    <t xml:space="preserve">industry_layer/pestel[20]/id</t>
  </si>
  <si>
    <t xml:space="preserve">industry_layer/pestel[20]/dimension</t>
  </si>
  <si>
    <t xml:space="preserve">C26</t>
  </si>
  <si>
    <t xml:space="preserve">industry_layer/pestel[20]/finding</t>
  </si>
  <si>
    <t xml:space="preserve">industry_layer/pestel[20]/direction</t>
  </si>
  <si>
    <t xml:space="preserve">E26</t>
  </si>
  <si>
    <t xml:space="preserve">industry_layer/pestel[20]/impact</t>
  </si>
  <si>
    <t xml:space="preserve">F26</t>
  </si>
  <si>
    <t xml:space="preserve">industry_layer/pestel[20]/certainty</t>
  </si>
  <si>
    <t xml:space="preserve">H26</t>
  </si>
  <si>
    <t xml:space="preserve">industry_layer/pestel[20]/pl_line</t>
  </si>
  <si>
    <t xml:space="preserve">I26</t>
  </si>
  <si>
    <t xml:space="preserve">industry_layer/pestel[20]/evidence</t>
  </si>
  <si>
    <t xml:space="preserve">A27</t>
  </si>
  <si>
    <t xml:space="preserve">industry_layer/pestel[21]/id</t>
  </si>
  <si>
    <t xml:space="preserve">industry_layer/pestel[21]/dimension</t>
  </si>
  <si>
    <t xml:space="preserve">C27</t>
  </si>
  <si>
    <t xml:space="preserve">industry_layer/pestel[21]/finding</t>
  </si>
  <si>
    <t xml:space="preserve">industry_layer/pestel[21]/direction</t>
  </si>
  <si>
    <t xml:space="preserve">E27</t>
  </si>
  <si>
    <t xml:space="preserve">industry_layer/pestel[21]/impact</t>
  </si>
  <si>
    <t xml:space="preserve">F27</t>
  </si>
  <si>
    <t xml:space="preserve">industry_layer/pestel[21]/certainty</t>
  </si>
  <si>
    <t xml:space="preserve">H27</t>
  </si>
  <si>
    <t xml:space="preserve">industry_layer/pestel[21]/pl_line</t>
  </si>
  <si>
    <t xml:space="preserve">I27</t>
  </si>
  <si>
    <t xml:space="preserve">industry_layer/pestel[21]/evidence</t>
  </si>
  <si>
    <t xml:space="preserve">industry_layer/pestel[22]/id</t>
  </si>
  <si>
    <t xml:space="preserve">industry_layer/pestel[22]/dimension</t>
  </si>
  <si>
    <t xml:space="preserve">industry_layer/pestel[22]/finding</t>
  </si>
  <si>
    <t xml:space="preserve">industry_layer/pestel[22]/direction</t>
  </si>
  <si>
    <t xml:space="preserve">E28</t>
  </si>
  <si>
    <t xml:space="preserve">industry_layer/pestel[22]/impact</t>
  </si>
  <si>
    <t xml:space="preserve">F28</t>
  </si>
  <si>
    <t xml:space="preserve">industry_layer/pestel[22]/certainty</t>
  </si>
  <si>
    <t xml:space="preserve">H28</t>
  </si>
  <si>
    <t xml:space="preserve">industry_layer/pestel[22]/pl_line</t>
  </si>
  <si>
    <t xml:space="preserve">I28</t>
  </si>
  <si>
    <t xml:space="preserve">industry_layer/pestel[22]/evidence</t>
  </si>
  <si>
    <t xml:space="preserve">industry_layer/pestel[23]/id</t>
  </si>
  <si>
    <t xml:space="preserve">industry_layer/pestel[23]/dimension</t>
  </si>
  <si>
    <t xml:space="preserve">industry_layer/pestel[23]/finding</t>
  </si>
  <si>
    <t xml:space="preserve">industry_layer/pestel[23]/direction</t>
  </si>
  <si>
    <t xml:space="preserve">E29</t>
  </si>
  <si>
    <t xml:space="preserve">industry_layer/pestel[23]/impact</t>
  </si>
  <si>
    <t xml:space="preserve">F29</t>
  </si>
  <si>
    <t xml:space="preserve">industry_layer/pestel[23]/certainty</t>
  </si>
  <si>
    <t xml:space="preserve">H29</t>
  </si>
  <si>
    <t xml:space="preserve">industry_layer/pestel[23]/pl_line</t>
  </si>
  <si>
    <t xml:space="preserve">I29</t>
  </si>
  <si>
    <t xml:space="preserve">industry_layer/pestel[23]/evidence</t>
  </si>
  <si>
    <t xml:space="preserve">industry_layer/pestel[24]/id</t>
  </si>
  <si>
    <t xml:space="preserve">industry_layer/pestel[24]/dimension</t>
  </si>
  <si>
    <t xml:space="preserve">industry_layer/pestel[24]/finding</t>
  </si>
  <si>
    <t xml:space="preserve">industry_layer/pestel[24]/direction</t>
  </si>
  <si>
    <t xml:space="preserve">E30</t>
  </si>
  <si>
    <t xml:space="preserve">industry_layer/pestel[24]/impact</t>
  </si>
  <si>
    <t xml:space="preserve">F30</t>
  </si>
  <si>
    <t xml:space="preserve">industry_layer/pestel[24]/certainty</t>
  </si>
  <si>
    <t xml:space="preserve">H30</t>
  </si>
  <si>
    <t xml:space="preserve">industry_layer/pestel[24]/pl_line</t>
  </si>
  <si>
    <t xml:space="preserve">I30</t>
  </si>
  <si>
    <t xml:space="preserve">industry_layer/pestel[24]/evidence</t>
  </si>
  <si>
    <t xml:space="preserve">industry_layer/forces[force=rivalry]/subfactors/Current competition</t>
  </si>
  <si>
    <t xml:space="preserve">industry_layer/forces[force=rivalry]/subfactor_evidence/Current competition</t>
  </si>
  <si>
    <t xml:space="preserve">industry_layer/forces[force=rivalry]/subfactors/Market growth</t>
  </si>
  <si>
    <t xml:space="preserve">industry_layer/forces[force=rivalry]/subfactor_evidence/Market growth</t>
  </si>
  <si>
    <t xml:space="preserve">industry_layer/forces[force=rivalry]/subfactors/Exit barriers</t>
  </si>
  <si>
    <t xml:space="preserve">industry_layer/forces[force=rivalry]/subfactor_evidence/Exit barriers</t>
  </si>
  <si>
    <t xml:space="preserve">industry_layer/forces[force=rivalry]/subfactors/Differentiation</t>
  </si>
  <si>
    <t xml:space="preserve">industry_layer/forces[force=rivalry]/subfactor_evidence/Differentiation</t>
  </si>
  <si>
    <t xml:space="preserve">industry_layer/forces[force=suppliers]/subfactors/Supplier concentration</t>
  </si>
  <si>
    <t xml:space="preserve">industry_layer/forces[force=suppliers]/subfactor_evidence/Supplier concentration</t>
  </si>
  <si>
    <t xml:space="preserve">industry_layer/forces[force=suppliers]/subfactors/Switching costs</t>
  </si>
  <si>
    <t xml:space="preserve">industry_layer/forces[force=suppliers]/subfactor_evidence/Switching costs</t>
  </si>
  <si>
    <t xml:space="preserve">industry_layer/forces[force=suppliers]/subfactors/Forward integration</t>
  </si>
  <si>
    <t xml:space="preserve">industry_layer/forces[force=suppliers]/subfactor_evidence/Forward integration</t>
  </si>
  <si>
    <t xml:space="preserve">industry_layer/forces[force=suppliers]/subfactors/Input uniqueness</t>
  </si>
  <si>
    <t xml:space="preserve">industry_layer/forces[force=suppliers]/subfactor_evidence/Input uniqueness</t>
  </si>
  <si>
    <t xml:space="preserve">industry_layer/forces[force=buyers]/subfactors/Buyer concentration</t>
  </si>
  <si>
    <t xml:space="preserve">industry_layer/forces[force=buyers]/subfactor_evidence/Buyer concentration</t>
  </si>
  <si>
    <t xml:space="preserve">industry_layer/forces[force=buyers]/subfactors/Purchase volume</t>
  </si>
  <si>
    <t xml:space="preserve">industry_layer/forces[force=buyers]/subfactor_evidence/Purchase volume</t>
  </si>
  <si>
    <t xml:space="preserve">industry_layer/forces[force=buyers]/subfactors/Switching costs</t>
  </si>
  <si>
    <t xml:space="preserve">industry_layer/forces[force=buyers]/subfactor_evidence/Switching costs</t>
  </si>
  <si>
    <t xml:space="preserve">industry_layer/forces[force=buyers]/subfactors/Price sensitivity</t>
  </si>
  <si>
    <t xml:space="preserve">industry_layer/forces[force=buyers]/subfactor_evidence/Price sensitivity</t>
  </si>
  <si>
    <t xml:space="preserve">industry_layer/forces[force=entrants]/subfactors/Entry barriers</t>
  </si>
  <si>
    <t xml:space="preserve">industry_layer/forces[force=entrants]/subfactor_evidence/Entry barriers</t>
  </si>
  <si>
    <t xml:space="preserve">industry_layer/forces[force=entrants]/subfactors/Capital requirements</t>
  </si>
  <si>
    <t xml:space="preserve">industry_layer/forces[force=entrants]/subfactor_evidence/Capital requirements</t>
  </si>
  <si>
    <t xml:space="preserve">industry_layer/forces[force=entrants]/subfactors/Scale economies</t>
  </si>
  <si>
    <t xml:space="preserve">industry_layer/forces[force=entrants]/subfactor_evidence/Scale economies</t>
  </si>
  <si>
    <t xml:space="preserve">industry_layer/forces[force=entrants]/subfactors/Distribution access</t>
  </si>
  <si>
    <t xml:space="preserve">industry_layer/forces[force=entrants]/subfactor_evidence/Distribution access</t>
  </si>
  <si>
    <t xml:space="preserve">industry_layer/forces[force=substitutes]/subfactors/Available substitutes</t>
  </si>
  <si>
    <t xml:space="preserve">industry_layer/forces[force=substitutes]/subfactor_evidence/Available substitutes</t>
  </si>
  <si>
    <t xml:space="preserve">industry_layer/forces[force=substitutes]/subfactors/Switching costs</t>
  </si>
  <si>
    <t xml:space="preserve">industry_layer/forces[force=substitutes]/subfactor_evidence/Switching costs</t>
  </si>
  <si>
    <t xml:space="preserve">industry_layer/forces[force=substitutes]/subfactors/Price-performance</t>
  </si>
  <si>
    <t xml:space="preserve">industry_layer/forces[force=substitutes]/subfactor_evidence/Price-performance</t>
  </si>
  <si>
    <t xml:space="preserve">industry_layer/forces[force=substitutes]/subfactors/Buyer propensity</t>
  </si>
  <si>
    <t xml:space="preserve">industry_layer/forces[force=substitutes]/subfactor_evidence/Buyer propensity</t>
  </si>
  <si>
    <t xml:space="preserve">industry_layer/forces[force=rivalry]/score_now</t>
  </si>
  <si>
    <t xml:space="preserve">industry_layer/forces[force=rivalry]/score_horizon</t>
  </si>
  <si>
    <t xml:space="preserve">industry_layer/forces[force=suppliers]/score_now</t>
  </si>
  <si>
    <t xml:space="preserve">industry_layer/forces[force=suppliers]/score_horizon</t>
  </si>
  <si>
    <t xml:space="preserve">industry_layer/forces[force=buyers]/score_now</t>
  </si>
  <si>
    <t xml:space="preserve">industry_layer/forces[force=buyers]/score_horizon</t>
  </si>
  <si>
    <t xml:space="preserve">industry_layer/forces[force=entrants]/score_now</t>
  </si>
  <si>
    <t xml:space="preserve">industry_layer/forces[force=entrants]/score_horizon</t>
  </si>
  <si>
    <t xml:space="preserve">C32</t>
  </si>
  <si>
    <t xml:space="preserve">industry_layer/forces[force=substitutes]/score_now</t>
  </si>
  <si>
    <t xml:space="preserve">industry_layer/forces[force=substitutes]/score_horizon</t>
  </si>
  <si>
    <t xml:space="preserve">industry_layer/drivers[0]/id</t>
  </si>
  <si>
    <t xml:space="preserve">"D1"</t>
  </si>
  <si>
    <t xml:space="preserve">industry_layer/drivers[0]/name</t>
  </si>
  <si>
    <t xml:space="preserve">"Cell cost curve"</t>
  </si>
  <si>
    <t xml:space="preserve">industry_layer/drivers[0]/from_pestel</t>
  </si>
  <si>
    <t xml:space="preserve">industry_layer/drivers[0]/transmission</t>
  </si>
  <si>
    <t xml:space="preserve">"Cheaper cells \u2192 lower input cost \u2192 lower price points"</t>
  </si>
  <si>
    <t xml:space="preserve">industry_layer/drivers[0]/pl_line</t>
  </si>
  <si>
    <t xml:space="preserve">industry_layer/drivers[0]/forces_moved</t>
  </si>
  <si>
    <t xml:space="preserve">"suppliers, entrants"</t>
  </si>
  <si>
    <t xml:space="preserve">G6</t>
  </si>
  <si>
    <t xml:space="preserve">industry_layer/drivers[0]/tests/moves_force</t>
  </si>
  <si>
    <t xml:space="preserve">industry_layer/drivers[0]/tests/moves_pl</t>
  </si>
  <si>
    <t xml:space="preserve">industry_layer/drivers[0]/tests/within_horizon</t>
  </si>
  <si>
    <t xml:space="preserve">J6</t>
  </si>
  <si>
    <t xml:space="preserve">industry_layer/drivers[0]/tests/two_sources</t>
  </si>
  <si>
    <t xml:space="preserve">L6</t>
  </si>
  <si>
    <t xml:space="preserve">industry_layer/drivers[0]/profit_pool</t>
  </si>
  <si>
    <t xml:space="preserve">"redistributing"</t>
  </si>
  <si>
    <t xml:space="preserve">industry_layer/drivers[1]/id</t>
  </si>
  <si>
    <t xml:space="preserve">"D2"</t>
  </si>
  <si>
    <t xml:space="preserve">industry_layer/drivers[1]/name</t>
  </si>
  <si>
    <t xml:space="preserve">"Trade barriers"</t>
  </si>
  <si>
    <t xml:space="preserve">industry_layer/drivers[1]/from_pestel</t>
  </si>
  <si>
    <t xml:space="preserve">"P2, P6"</t>
  </si>
  <si>
    <t xml:space="preserve">industry_layer/drivers[1]/transmission</t>
  </si>
  <si>
    <t xml:space="preserve">industry_layer/drivers[1]/pl_line</t>
  </si>
  <si>
    <t xml:space="preserve">industry_layer/drivers[1]/forces_moved</t>
  </si>
  <si>
    <t xml:space="preserve">industry_layer/drivers[1]/tests/moves_force</t>
  </si>
  <si>
    <t xml:space="preserve">industry_layer/drivers[1]/tests/moves_pl</t>
  </si>
  <si>
    <t xml:space="preserve">industry_layer/drivers[1]/tests/within_horizon</t>
  </si>
  <si>
    <t xml:space="preserve">industry_layer/drivers[1]/tests/two_sources</t>
  </si>
  <si>
    <t xml:space="preserve">industry_layer/drivers[1]/profit_pool</t>
  </si>
  <si>
    <t xml:space="preserve">industry_layer/drivers[2]/id</t>
  </si>
  <si>
    <t xml:space="preserve">"D3"</t>
  </si>
  <si>
    <t xml:space="preserve">industry_layer/drivers[2]/name</t>
  </si>
  <si>
    <t xml:space="preserve">"Software value shift"</t>
  </si>
  <si>
    <t xml:space="preserve">industry_layer/drivers[2]/from_pestel</t>
  </si>
  <si>
    <t xml:space="preserve">industry_layer/drivers[2]/transmission</t>
  </si>
  <si>
    <t xml:space="preserve">industry_layer/drivers[2]/pl_line</t>
  </si>
  <si>
    <t xml:space="preserve">industry_layer/drivers[2]/forces_moved</t>
  </si>
  <si>
    <t xml:space="preserve">industry_layer/drivers[2]/tests/moves_force</t>
  </si>
  <si>
    <t xml:space="preserve">industry_layer/drivers[2]/tests/moves_pl</t>
  </si>
  <si>
    <t xml:space="preserve">industry_layer/drivers[2]/tests/within_horizon</t>
  </si>
  <si>
    <t xml:space="preserve">industry_layer/drivers[2]/tests/two_sources</t>
  </si>
  <si>
    <t xml:space="preserve">industry_layer/drivers[2]/profit_pool</t>
  </si>
  <si>
    <t xml:space="preserve">industry_layer/drivers[3]/id</t>
  </si>
  <si>
    <t xml:space="preserve">industry_layer/drivers[3]/name</t>
  </si>
  <si>
    <t xml:space="preserve">industry_layer/drivers[3]/from_pestel</t>
  </si>
  <si>
    <t xml:space="preserve">industry_layer/drivers[3]/transmission</t>
  </si>
  <si>
    <t xml:space="preserve">industry_layer/drivers[3]/pl_line</t>
  </si>
  <si>
    <t xml:space="preserve">industry_layer/drivers[3]/forces_moved</t>
  </si>
  <si>
    <t xml:space="preserve">industry_layer/drivers[3]/tests/moves_force</t>
  </si>
  <si>
    <t xml:space="preserve">industry_layer/drivers[3]/tests/moves_pl</t>
  </si>
  <si>
    <t xml:space="preserve">industry_layer/drivers[3]/tests/within_horizon</t>
  </si>
  <si>
    <t xml:space="preserve">industry_layer/drivers[3]/tests/two_sources</t>
  </si>
  <si>
    <t xml:space="preserve">industry_layer/drivers[3]/profit_pool</t>
  </si>
  <si>
    <t xml:space="preserve">industry_layer/drivers[4]/id</t>
  </si>
  <si>
    <t xml:space="preserve">industry_layer/drivers[4]/name</t>
  </si>
  <si>
    <t xml:space="preserve">industry_layer/drivers[4]/from_pestel</t>
  </si>
  <si>
    <t xml:space="preserve">industry_layer/drivers[4]/transmission</t>
  </si>
  <si>
    <t xml:space="preserve">industry_layer/drivers[4]/pl_line</t>
  </si>
  <si>
    <t xml:space="preserve">industry_layer/drivers[4]/forces_moved</t>
  </si>
  <si>
    <t xml:space="preserve">industry_layer/drivers[4]/tests/moves_force</t>
  </si>
  <si>
    <t xml:space="preserve">industry_layer/drivers[4]/tests/moves_pl</t>
  </si>
  <si>
    <t xml:space="preserve">industry_layer/drivers[4]/tests/within_horizon</t>
  </si>
  <si>
    <t xml:space="preserve">industry_layer/drivers[4]/tests/two_sources</t>
  </si>
  <si>
    <t xml:space="preserve">industry_layer/drivers[4]/profit_pool</t>
  </si>
  <si>
    <t xml:space="preserve">industry_layer/drivers[5]/id</t>
  </si>
  <si>
    <t xml:space="preserve">industry_layer/drivers[5]/name</t>
  </si>
  <si>
    <t xml:space="preserve">industry_layer/drivers[5]/from_pestel</t>
  </si>
  <si>
    <t xml:space="preserve">industry_layer/drivers[5]/transmission</t>
  </si>
  <si>
    <t xml:space="preserve">industry_layer/drivers[5]/pl_line</t>
  </si>
  <si>
    <t xml:space="preserve">industry_layer/drivers[5]/forces_moved</t>
  </si>
  <si>
    <t xml:space="preserve">industry_layer/drivers[5]/tests/moves_force</t>
  </si>
  <si>
    <t xml:space="preserve">industry_layer/drivers[5]/tests/moves_pl</t>
  </si>
  <si>
    <t xml:space="preserve">industry_layer/drivers[5]/tests/within_horizon</t>
  </si>
  <si>
    <t xml:space="preserve">industry_layer/drivers[5]/tests/two_sources</t>
  </si>
  <si>
    <t xml:space="preserve">industry_layer/drivers[5]/profit_pool</t>
  </si>
  <si>
    <t xml:space="preserve">industry_layer/drivers[6]/id</t>
  </si>
  <si>
    <t xml:space="preserve">industry_layer/drivers[6]/name</t>
  </si>
  <si>
    <t xml:space="preserve">industry_layer/drivers[6]/from_pestel</t>
  </si>
  <si>
    <t xml:space="preserve">industry_layer/drivers[6]/transmission</t>
  </si>
  <si>
    <t xml:space="preserve">industry_layer/drivers[6]/pl_line</t>
  </si>
  <si>
    <t xml:space="preserve">industry_layer/drivers[6]/forces_moved</t>
  </si>
  <si>
    <t xml:space="preserve">industry_layer/drivers[6]/tests/moves_force</t>
  </si>
  <si>
    <t xml:space="preserve">industry_layer/drivers[6]/tests/moves_pl</t>
  </si>
  <si>
    <t xml:space="preserve">industry_layer/drivers[6]/tests/within_horizon</t>
  </si>
  <si>
    <t xml:space="preserve">industry_layer/drivers[6]/tests/two_sources</t>
  </si>
  <si>
    <t xml:space="preserve">industry_layer/drivers[6]/profit_pool</t>
  </si>
  <si>
    <t xml:space="preserve">industry_layer/drivers[7]/id</t>
  </si>
  <si>
    <t xml:space="preserve">industry_layer/drivers[7]/name</t>
  </si>
  <si>
    <t xml:space="preserve">industry_layer/drivers[7]/from_pestel</t>
  </si>
  <si>
    <t xml:space="preserve">industry_layer/drivers[7]/transmission</t>
  </si>
  <si>
    <t xml:space="preserve">industry_layer/drivers[7]/pl_line</t>
  </si>
  <si>
    <t xml:space="preserve">industry_layer/drivers[7]/forces_moved</t>
  </si>
  <si>
    <t xml:space="preserve">industry_layer/drivers[7]/tests/moves_force</t>
  </si>
  <si>
    <t xml:space="preserve">industry_layer/drivers[7]/tests/moves_pl</t>
  </si>
  <si>
    <t xml:space="preserve">industry_layer/drivers[7]/tests/within_horizon</t>
  </si>
  <si>
    <t xml:space="preserve">industry_layer/drivers[7]/tests/two_sources</t>
  </si>
  <si>
    <t xml:space="preserve">industry_layer/drivers[7]/profit_pool</t>
  </si>
  <si>
    <t xml:space="preserve">industry_layer/drivers[8]/id</t>
  </si>
  <si>
    <t xml:space="preserve">industry_layer/drivers[8]/name</t>
  </si>
  <si>
    <t xml:space="preserve">industry_layer/drivers[8]/from_pestel</t>
  </si>
  <si>
    <t xml:space="preserve">industry_layer/drivers[8]/transmission</t>
  </si>
  <si>
    <t xml:space="preserve">industry_layer/drivers[8]/pl_line</t>
  </si>
  <si>
    <t xml:space="preserve">industry_layer/drivers[8]/forces_moved</t>
  </si>
  <si>
    <t xml:space="preserve">industry_layer/drivers[8]/tests/moves_force</t>
  </si>
  <si>
    <t xml:space="preserve">industry_layer/drivers[8]/tests/moves_pl</t>
  </si>
  <si>
    <t xml:space="preserve">industry_layer/drivers[8]/tests/within_horizon</t>
  </si>
  <si>
    <t xml:space="preserve">industry_layer/drivers[8]/tests/two_sources</t>
  </si>
  <si>
    <t xml:space="preserve">industry_layer/drivers[8]/profit_pool</t>
  </si>
  <si>
    <t xml:space="preserve">industry_layer/drivers[9]/id</t>
  </si>
  <si>
    <t xml:space="preserve">industry_layer/drivers[9]/name</t>
  </si>
  <si>
    <t xml:space="preserve">industry_layer/drivers[9]/from_pestel</t>
  </si>
  <si>
    <t xml:space="preserve">industry_layer/drivers[9]/transmission</t>
  </si>
  <si>
    <t xml:space="preserve">industry_layer/drivers[9]/pl_line</t>
  </si>
  <si>
    <t xml:space="preserve">industry_layer/drivers[9]/forces_moved</t>
  </si>
  <si>
    <t xml:space="preserve">industry_layer/drivers[9]/tests/moves_force</t>
  </si>
  <si>
    <t xml:space="preserve">industry_layer/drivers[9]/tests/moves_pl</t>
  </si>
  <si>
    <t xml:space="preserve">industry_layer/drivers[9]/tests/within_horizon</t>
  </si>
  <si>
    <t xml:space="preserve">industry_layer/drivers[9]/tests/two_sources</t>
  </si>
  <si>
    <t xml:space="preserve">industry_layer/drivers[9]/profit_pool</t>
  </si>
  <si>
    <t xml:space="preserve">industry_layer/drivers[10]/id</t>
  </si>
  <si>
    <t xml:space="preserve">industry_layer/drivers[10]/name</t>
  </si>
  <si>
    <t xml:space="preserve">industry_layer/drivers[10]/from_pestel</t>
  </si>
  <si>
    <t xml:space="preserve">industry_layer/drivers[10]/transmission</t>
  </si>
  <si>
    <t xml:space="preserve">industry_layer/drivers[10]/pl_line</t>
  </si>
  <si>
    <t xml:space="preserve">industry_layer/drivers[10]/forces_moved</t>
  </si>
  <si>
    <t xml:space="preserve">industry_layer/drivers[10]/tests/moves_force</t>
  </si>
  <si>
    <t xml:space="preserve">industry_layer/drivers[10]/tests/moves_pl</t>
  </si>
  <si>
    <t xml:space="preserve">industry_layer/drivers[10]/tests/within_horizon</t>
  </si>
  <si>
    <t xml:space="preserve">industry_layer/drivers[10]/tests/two_sources</t>
  </si>
  <si>
    <t xml:space="preserve">industry_layer/drivers[10]/profit_pool</t>
  </si>
  <si>
    <t xml:space="preserve">industry_layer/drivers[11]/id</t>
  </si>
  <si>
    <t xml:space="preserve">industry_layer/drivers[11]/name</t>
  </si>
  <si>
    <t xml:space="preserve">industry_layer/drivers[11]/from_pestel</t>
  </si>
  <si>
    <t xml:space="preserve">industry_layer/drivers[11]/transmission</t>
  </si>
  <si>
    <t xml:space="preserve">industry_layer/drivers[11]/pl_line</t>
  </si>
  <si>
    <t xml:space="preserve">industry_layer/drivers[11]/forces_moved</t>
  </si>
  <si>
    <t xml:space="preserve">G17</t>
  </si>
  <si>
    <t xml:space="preserve">industry_layer/drivers[11]/tests/moves_force</t>
  </si>
  <si>
    <t xml:space="preserve">industry_layer/drivers[11]/tests/moves_pl</t>
  </si>
  <si>
    <t xml:space="preserve">industry_layer/drivers[11]/tests/within_horizon</t>
  </si>
  <si>
    <t xml:space="preserve">J17</t>
  </si>
  <si>
    <t xml:space="preserve">industry_layer/drivers[11]/tests/two_sources</t>
  </si>
  <si>
    <t xml:space="preserve">L17</t>
  </si>
  <si>
    <t xml:space="preserve">industry_layer/drivers[11]/profit_pool</t>
  </si>
  <si>
    <t xml:space="preserve">E5</t>
  </si>
  <si>
    <t xml:space="preserve">F5</t>
  </si>
  <si>
    <t xml:space="preserve">G5</t>
  </si>
  <si>
    <t xml:space="preserve">H5</t>
  </si>
  <si>
    <t xml:space="preserve">I5</t>
  </si>
  <si>
    <t xml:space="preserve">J5</t>
  </si>
  <si>
    <t xml:space="preserve">competitors[0]/ksf_scores/{A}/score</t>
  </si>
  <si>
    <t xml:space="preserve">competitors[1]/ksf_scores/{A}/score</t>
  </si>
  <si>
    <t xml:space="preserve">competitors[2]/ksf_scores/{A}/score</t>
  </si>
  <si>
    <t xml:space="preserve">competitors[3]/ksf_scores/{A}/score</t>
  </si>
  <si>
    <t xml:space="preserve">competitors[4]/ksf_scores/{A}/score</t>
  </si>
  <si>
    <t xml:space="preserve">competitors[5]/ksf_scores/{A}/score</t>
  </si>
  <si>
    <t xml:space="preserve">industry_layer/ksf[0]/id</t>
  </si>
  <si>
    <t xml:space="preserve">"K1"</t>
  </si>
  <si>
    <t xml:space="preserve">industry_layer/ksf[0]/name</t>
  </si>
  <si>
    <t xml:space="preserve">"Battery cost and supply"</t>
  </si>
  <si>
    <t xml:space="preserve">industry_layer/ksf[0]/weight</t>
  </si>
  <si>
    <t xml:space="preserve">0.3</t>
  </si>
  <si>
    <t xml:space="preserve">industry_layer/ksf[1]/id</t>
  </si>
  <si>
    <t xml:space="preserve">"K2"</t>
  </si>
  <si>
    <t xml:space="preserve">industry_layer/ksf[1]/name</t>
  </si>
  <si>
    <t xml:space="preserve">"Software and UX"</t>
  </si>
  <si>
    <t xml:space="preserve">industry_layer/ksf[1]/weight</t>
  </si>
  <si>
    <t xml:space="preserve">0.25</t>
  </si>
  <si>
    <t xml:space="preserve">industry_layer/ksf[2]/id</t>
  </si>
  <si>
    <t xml:space="preserve">"K3"</t>
  </si>
  <si>
    <t xml:space="preserve">industry_layer/ksf[2]/name</t>
  </si>
  <si>
    <t xml:space="preserve">"Local production footprint"</t>
  </si>
  <si>
    <t xml:space="preserve">industry_layer/ksf[2]/weight</t>
  </si>
  <si>
    <t xml:space="preserve">industry_layer/ksf[3]/id</t>
  </si>
  <si>
    <t xml:space="preserve">"K4"</t>
  </si>
  <si>
    <t xml:space="preserve">industry_layer/ksf[3]/name</t>
  </si>
  <si>
    <t xml:space="preserve">"Brand trust in Europe"</t>
  </si>
  <si>
    <t xml:space="preserve">industry_layer/ksf[3]/weight</t>
  </si>
  <si>
    <t xml:space="preserve">0.15</t>
  </si>
  <si>
    <t xml:space="preserve">industry_layer/ksf[4]/id</t>
  </si>
  <si>
    <t xml:space="preserve">"K5"</t>
  </si>
  <si>
    <t xml:space="preserve">industry_layer/ksf[4]/name</t>
  </si>
  <si>
    <t xml:space="preserve">"Charging and service network"</t>
  </si>
  <si>
    <t xml:space="preserve">industry_layer/ksf[4]/weight</t>
  </si>
  <si>
    <t xml:space="preserve">industry_layer/ksf[5]/id</t>
  </si>
  <si>
    <t xml:space="preserve">industry_layer/ksf[5]/name</t>
  </si>
  <si>
    <t xml:space="preserve">industry_layer/ksf[5]/weight</t>
  </si>
  <si>
    <t xml:space="preserve">industry_layer/ksf[6]/id</t>
  </si>
  <si>
    <t xml:space="preserve">industry_layer/ksf[6]/name</t>
  </si>
  <si>
    <t xml:space="preserve">industry_layer/ksf[6]/weight</t>
  </si>
  <si>
    <t xml:space="preserve">industry_layer/ksf[7]/id</t>
  </si>
  <si>
    <t xml:space="preserve">industry_layer/ksf[7]/name</t>
  </si>
  <si>
    <t xml:space="preserve">industry_layer/ksf[7]/weight</t>
  </si>
  <si>
    <t xml:space="preserve">industry_layer/ksf[8]/id</t>
  </si>
  <si>
    <t xml:space="preserve">industry_layer/ksf[8]/name</t>
  </si>
  <si>
    <t xml:space="preserve">industry_layer/ksf[8]/weight</t>
  </si>
  <si>
    <t xml:space="preserve">industry_layer/ksf[9]/id</t>
  </si>
  <si>
    <t xml:space="preserve">industry_layer/ksf[9]/name</t>
  </si>
  <si>
    <t xml:space="preserve">industry_layer/ksf[9]/weight</t>
  </si>
  <si>
    <t xml:space="preserve">company_layer/map_axes/x</t>
  </si>
  <si>
    <t xml:space="preserve">"Price position (low \u2192 high)"</t>
  </si>
  <si>
    <t xml:space="preserve">company_layer/map_axes/y</t>
  </si>
  <si>
    <t xml:space="preserve">"Software depth (low \u2192 high)"</t>
  </si>
  <si>
    <t xml:space="preserve">competitors[0]/positions/x</t>
  </si>
  <si>
    <t xml:space="preserve">3.0</t>
  </si>
  <si>
    <t xml:space="preserve">competitors[0]/positions/y</t>
  </si>
  <si>
    <t xml:space="preserve">5.0</t>
  </si>
  <si>
    <t xml:space="preserve">competitors[0]/map_size</t>
  </si>
  <si>
    <t xml:space="preserve">22.0</t>
  </si>
  <si>
    <t xml:space="preserve">competitors[1]/positions/x</t>
  </si>
  <si>
    <t xml:space="preserve">7.0</t>
  </si>
  <si>
    <t xml:space="preserve">competitors[1]/positions/y</t>
  </si>
  <si>
    <t xml:space="preserve">9.0</t>
  </si>
  <si>
    <t xml:space="preserve">competitors[1]/map_size</t>
  </si>
  <si>
    <t xml:space="preserve">11.0</t>
  </si>
  <si>
    <t xml:space="preserve">competitors[2]/positions/x</t>
  </si>
  <si>
    <t xml:space="preserve">6.0</t>
  </si>
  <si>
    <t xml:space="preserve">competitors[2]/positions/y</t>
  </si>
  <si>
    <t xml:space="preserve">4.0</t>
  </si>
  <si>
    <t xml:space="preserve">competitors[2]/map_size</t>
  </si>
  <si>
    <t xml:space="preserve">7.000000000000001</t>
  </si>
  <si>
    <t xml:space="preserve">competitors[3]/positions/x</t>
  </si>
  <si>
    <t xml:space="preserve">competitors[3]/positions/y</t>
  </si>
  <si>
    <t xml:space="preserve">competitors[3]/map_size</t>
  </si>
  <si>
    <t xml:space="preserve">8.0</t>
  </si>
  <si>
    <t xml:space="preserve">competitors[4]/positions/x</t>
  </si>
  <si>
    <t xml:space="preserve">competitors[4]/positions/y</t>
  </si>
  <si>
    <t xml:space="preserve">competitors[4]/map_size</t>
  </si>
  <si>
    <t xml:space="preserve">2.0</t>
  </si>
  <si>
    <t xml:space="preserve">competitors[5]/positions/x</t>
  </si>
  <si>
    <t xml:space="preserve">competitors[5]/positions/y</t>
  </si>
  <si>
    <t xml:space="preserve">competitors[5]/map_size</t>
  </si>
  <si>
    <t xml:space="preserve">competitors[6]/positions/x</t>
  </si>
  <si>
    <t xml:space="preserve">competitors[6]/positions/y</t>
  </si>
  <si>
    <t xml:space="preserve">competitors[6]/map_size</t>
  </si>
  <si>
    <t xml:space="preserve">competitors[7]/positions/x</t>
  </si>
  <si>
    <t xml:space="preserve">competitors[7]/positions/y</t>
  </si>
  <si>
    <t xml:space="preserve">competitors[7]/map_size</t>
  </si>
  <si>
    <t xml:space="preserve">competitors[8]/positions/x</t>
  </si>
  <si>
    <t xml:space="preserve">competitors[8]/positions/y</t>
  </si>
  <si>
    <t xml:space="preserve">competitors[8]/map_size</t>
  </si>
  <si>
    <t xml:space="preserve">competitors[9]/positions/x</t>
  </si>
  <si>
    <t xml:space="preserve">competitors[9]/positions/y</t>
  </si>
  <si>
    <t xml:space="preserve">competitors[9]/map_size</t>
  </si>
  <si>
    <t xml:space="preserve">A32</t>
  </si>
  <si>
    <t xml:space="preserve">company_layer/candidates[0]/rank</t>
  </si>
  <si>
    <t xml:space="preserve">B32</t>
  </si>
  <si>
    <t xml:space="preserve">company_layer/candidates[0]/at[0]</t>
  </si>
  <si>
    <t xml:space="preserve">company_layer/candidates[0]/at[1]</t>
  </si>
  <si>
    <t xml:space="preserve">company_layer/candidates[0]/demand</t>
  </si>
  <si>
    <t xml:space="preserve">"evidence of demand"</t>
  </si>
  <si>
    <t xml:space="preserve">company_layer/candidates[0]/thesis</t>
  </si>
  <si>
    <t xml:space="preserve">"Sub-EUR 25k EU compact with good software"</t>
  </si>
  <si>
    <t xml:space="preserve">company_layer/candidates[0]/errc/eliminate</t>
  </si>
  <si>
    <t xml:space="preserve">"Dealer upsell"</t>
  </si>
  <si>
    <t xml:space="preserve">company_layer/candidates[0]/errc/reduce</t>
  </si>
  <si>
    <t xml:space="preserve">"Trim levels"</t>
  </si>
  <si>
    <t xml:space="preserve">company_layer/candidates[0]/errc/raise</t>
  </si>
  <si>
    <t xml:space="preserve">"Software UX"</t>
  </si>
  <si>
    <t xml:space="preserve">company_layer/candidates[0]/errc/create</t>
  </si>
  <si>
    <t xml:space="preserve">"Battery-backed resale guarantee"</t>
  </si>
  <si>
    <t xml:space="preserve">J32</t>
  </si>
  <si>
    <t xml:space="preserve">company_layer/candidates[0]/capability</t>
  </si>
  <si>
    <t xml:space="preserve">"supported"</t>
  </si>
  <si>
    <t xml:space="preserve">A33</t>
  </si>
  <si>
    <t xml:space="preserve">company_layer/candidates[1]/rank</t>
  </si>
  <si>
    <t xml:space="preserve">B33</t>
  </si>
  <si>
    <t xml:space="preserve">company_layer/candidates[1]/at[0]</t>
  </si>
  <si>
    <t xml:space="preserve">C33</t>
  </si>
  <si>
    <t xml:space="preserve">company_layer/candidates[1]/at[1]</t>
  </si>
  <si>
    <t xml:space="preserve">company_layer/candidates[1]/demand</t>
  </si>
  <si>
    <t xml:space="preserve">"unpriced"</t>
  </si>
  <si>
    <t xml:space="preserve">company_layer/candidates[1]/thesis</t>
  </si>
  <si>
    <t xml:space="preserve">"Premium software subscription layer"</t>
  </si>
  <si>
    <t xml:space="preserve">company_layer/candidates[1]/errc/eliminate</t>
  </si>
  <si>
    <t xml:space="preserve">company_layer/candidates[1]/errc/reduce</t>
  </si>
  <si>
    <t xml:space="preserve">"Hardware variety"</t>
  </si>
  <si>
    <t xml:space="preserve">company_layer/candidates[1]/errc/raise</t>
  </si>
  <si>
    <t xml:space="preserve">"App ecosystem"</t>
  </si>
  <si>
    <t xml:space="preserve">company_layer/candidates[1]/errc/create</t>
  </si>
  <si>
    <t xml:space="preserve">"Paid feature store"</t>
  </si>
  <si>
    <t xml:space="preserve">J33</t>
  </si>
  <si>
    <t xml:space="preserve">company_layer/candidates[1]/capability</t>
  </si>
  <si>
    <t xml:space="preserve">"gap"</t>
  </si>
  <si>
    <t xml:space="preserve">A34</t>
  </si>
  <si>
    <t xml:space="preserve">company_layer/candidates[2]/rank</t>
  </si>
  <si>
    <t xml:space="preserve">company_layer/candidates[2]/at[0]</t>
  </si>
  <si>
    <t xml:space="preserve">company_layer/candidates[2]/at[1]</t>
  </si>
  <si>
    <t xml:space="preserve">company_layer/candidates[2]/demand</t>
  </si>
  <si>
    <t xml:space="preserve">company_layer/candidates[2]/thesis</t>
  </si>
  <si>
    <t xml:space="preserve">company_layer/candidates[2]/errc/eliminate</t>
  </si>
  <si>
    <t xml:space="preserve">company_layer/candidates[2]/errc/reduce</t>
  </si>
  <si>
    <t xml:space="preserve">company_layer/candidates[2]/errc/raise</t>
  </si>
  <si>
    <t xml:space="preserve">company_layer/candidates[2]/errc/create</t>
  </si>
  <si>
    <t xml:space="preserve">J34</t>
  </si>
  <si>
    <t xml:space="preserve">company_layer/candidates[2]/capability</t>
  </si>
  <si>
    <t xml:space="preserve">company_layer/candidates[3]/rank</t>
  </si>
  <si>
    <t xml:space="preserve">company_layer/candidates[3]/at[0]</t>
  </si>
  <si>
    <t xml:space="preserve">company_layer/candidates[3]/at[1]</t>
  </si>
  <si>
    <t xml:space="preserve">company_layer/candidates[3]/demand</t>
  </si>
  <si>
    <t xml:space="preserve">company_layer/candidates[3]/thesis</t>
  </si>
  <si>
    <t xml:space="preserve">company_layer/candidates[3]/errc/eliminate</t>
  </si>
  <si>
    <t xml:space="preserve">company_layer/candidates[3]/errc/reduce</t>
  </si>
  <si>
    <t xml:space="preserve">company_layer/candidates[3]/errc/raise</t>
  </si>
  <si>
    <t xml:space="preserve">company_layer/candidates[3]/errc/create</t>
  </si>
  <si>
    <t xml:space="preserve">J35</t>
  </si>
  <si>
    <t xml:space="preserve">company_layer/candidates[3]/capability</t>
  </si>
  <si>
    <t xml:space="preserve">company_layer/candidates[4]/rank</t>
  </si>
  <si>
    <t xml:space="preserve">company_layer/candidates[4]/at[0]</t>
  </si>
  <si>
    <t xml:space="preserve">company_layer/candidates[4]/at[1]</t>
  </si>
  <si>
    <t xml:space="preserve">company_layer/candidates[4]/demand</t>
  </si>
  <si>
    <t xml:space="preserve">company_layer/candidates[4]/thesis</t>
  </si>
  <si>
    <t xml:space="preserve">company_layer/candidates[4]/errc/eliminate</t>
  </si>
  <si>
    <t xml:space="preserve">company_layer/candidates[4]/errc/reduce</t>
  </si>
  <si>
    <t xml:space="preserve">company_layer/candidates[4]/errc/raise</t>
  </si>
  <si>
    <t xml:space="preserve">company_layer/candidates[4]/errc/create</t>
  </si>
  <si>
    <t xml:space="preserve">J36</t>
  </si>
  <si>
    <t xml:space="preserve">company_layer/candidates[4]/capability</t>
  </si>
  <si>
    <t xml:space="preserve">company_layer/internal/value_chain[0]/id</t>
  </si>
  <si>
    <t xml:space="preserve">"A1"</t>
  </si>
  <si>
    <t xml:space="preserve">company_layer/internal/value_chain[0]/activity</t>
  </si>
  <si>
    <t xml:space="preserve">"Battery cells and packs"</t>
  </si>
  <si>
    <t xml:space="preserve">company_layer/internal/value_chain[0]/porter_category</t>
  </si>
  <si>
    <t xml:space="preserve">"Operations"</t>
  </si>
  <si>
    <t xml:space="preserve">company_layer/internal/value_chain[0]/stage</t>
  </si>
  <si>
    <t xml:space="preserve">"product"</t>
  </si>
  <si>
    <t xml:space="preserve">company_layer/internal/value_chain[0]/sourcing</t>
  </si>
  <si>
    <t xml:space="preserve">"in-house"</t>
  </si>
  <si>
    <t xml:space="preserve">company_layer/internal/value_chain[0]/cost_share</t>
  </si>
  <si>
    <t xml:space="preserve">0.35</t>
  </si>
  <si>
    <t xml:space="preserve">company_layer/internal/value_chain[0]/value_share</t>
  </si>
  <si>
    <t xml:space="preserve">company_layer/internal/value_chain[0]/delivers_ksf</t>
  </si>
  <si>
    <t xml:space="preserve">company_layer/internal/value_chain[1]/id</t>
  </si>
  <si>
    <t xml:space="preserve">"A2"</t>
  </si>
  <si>
    <t xml:space="preserve">company_layer/internal/value_chain[1]/activity</t>
  </si>
  <si>
    <t xml:space="preserve">"Vehicle assembly"</t>
  </si>
  <si>
    <t xml:space="preserve">company_layer/internal/value_chain[1]/porter_category</t>
  </si>
  <si>
    <t xml:space="preserve">company_layer/internal/value_chain[1]/stage</t>
  </si>
  <si>
    <t xml:space="preserve">"commodity"</t>
  </si>
  <si>
    <t xml:space="preserve">company_layer/internal/value_chain[1]/sourcing</t>
  </si>
  <si>
    <t xml:space="preserve">company_layer/internal/value_chain[1]/cost_share</t>
  </si>
  <si>
    <t xml:space="preserve">company_layer/internal/value_chain[1]/value_share</t>
  </si>
  <si>
    <t xml:space="preserve">company_layer/internal/value_chain[1]/delivers_ksf</t>
  </si>
  <si>
    <t xml:space="preserve">company_layer/internal/value_chain[2]/id</t>
  </si>
  <si>
    <t xml:space="preserve">"A3"</t>
  </si>
  <si>
    <t xml:space="preserve">company_layer/internal/value_chain[2]/activity</t>
  </si>
  <si>
    <t xml:space="preserve">"Software and connected services"</t>
  </si>
  <si>
    <t xml:space="preserve">company_layer/internal/value_chain[2]/porter_category</t>
  </si>
  <si>
    <t xml:space="preserve">"Technology"</t>
  </si>
  <si>
    <t xml:space="preserve">company_layer/internal/value_chain[2]/stage</t>
  </si>
  <si>
    <t xml:space="preserve">"custom"</t>
  </si>
  <si>
    <t xml:space="preserve">company_layer/internal/value_chain[2]/sourcing</t>
  </si>
  <si>
    <t xml:space="preserve">"mixed"</t>
  </si>
  <si>
    <t xml:space="preserve">company_layer/internal/value_chain[2]/cost_share</t>
  </si>
  <si>
    <t xml:space="preserve">company_layer/internal/value_chain[2]/value_share</t>
  </si>
  <si>
    <t xml:space="preserve">company_layer/internal/value_chain[2]/delivers_ksf</t>
  </si>
  <si>
    <t xml:space="preserve">company_layer/internal/value_chain[3]/id</t>
  </si>
  <si>
    <t xml:space="preserve">"A4"</t>
  </si>
  <si>
    <t xml:space="preserve">company_layer/internal/value_chain[3]/activity</t>
  </si>
  <si>
    <t xml:space="preserve">"Design and engineering"</t>
  </si>
  <si>
    <t xml:space="preserve">company_layer/internal/value_chain[3]/porter_category</t>
  </si>
  <si>
    <t xml:space="preserve">company_layer/internal/value_chain[3]/stage</t>
  </si>
  <si>
    <t xml:space="preserve">company_layer/internal/value_chain[3]/sourcing</t>
  </si>
  <si>
    <t xml:space="preserve">company_layer/internal/value_chain[3]/cost_share</t>
  </si>
  <si>
    <t xml:space="preserve">company_layer/internal/value_chain[3]/value_share</t>
  </si>
  <si>
    <t xml:space="preserve">0.12</t>
  </si>
  <si>
    <t xml:space="preserve">company_layer/internal/value_chain[3]/delivers_ksf</t>
  </si>
  <si>
    <t xml:space="preserve">"K2, K5"</t>
  </si>
  <si>
    <t xml:space="preserve">company_layer/internal/value_chain[4]/id</t>
  </si>
  <si>
    <t xml:space="preserve">"A5"</t>
  </si>
  <si>
    <t xml:space="preserve">company_layer/internal/value_chain[4]/activity</t>
  </si>
  <si>
    <t xml:space="preserve">"Logistics and import"</t>
  </si>
  <si>
    <t xml:space="preserve">company_layer/internal/value_chain[4]/porter_category</t>
  </si>
  <si>
    <t xml:space="preserve">"Outbound logistics"</t>
  </si>
  <si>
    <t xml:space="preserve">company_layer/internal/value_chain[4]/stage</t>
  </si>
  <si>
    <t xml:space="preserve">company_layer/internal/value_chain[4]/sourcing</t>
  </si>
  <si>
    <t xml:space="preserve">"outsourced"</t>
  </si>
  <si>
    <t xml:space="preserve">company_layer/internal/value_chain[4]/cost_share</t>
  </si>
  <si>
    <t xml:space="preserve">company_layer/internal/value_chain[4]/value_share</t>
  </si>
  <si>
    <t xml:space="preserve">0.03</t>
  </si>
  <si>
    <t xml:space="preserve">company_layer/internal/value_chain[4]/delivers_ksf</t>
  </si>
  <si>
    <t xml:space="preserve">company_layer/internal/value_chain[5]/id</t>
  </si>
  <si>
    <t xml:space="preserve">"A6"</t>
  </si>
  <si>
    <t xml:space="preserve">company_layer/internal/value_chain[5]/activity</t>
  </si>
  <si>
    <t xml:space="preserve">"EU sales and dealer network"</t>
  </si>
  <si>
    <t xml:space="preserve">company_layer/internal/value_chain[5]/porter_category</t>
  </si>
  <si>
    <t xml:space="preserve">"Marketing and sales"</t>
  </si>
  <si>
    <t xml:space="preserve">company_layer/internal/value_chain[5]/stage</t>
  </si>
  <si>
    <t xml:space="preserve">company_layer/internal/value_chain[5]/sourcing</t>
  </si>
  <si>
    <t xml:space="preserve">company_layer/internal/value_chain[5]/cost_share</t>
  </si>
  <si>
    <t xml:space="preserve">company_layer/internal/value_chain[5]/value_share</t>
  </si>
  <si>
    <t xml:space="preserve">company_layer/internal/value_chain[5]/delivers_ksf</t>
  </si>
  <si>
    <t xml:space="preserve">company_layer/internal/value_chain[6]/id</t>
  </si>
  <si>
    <t xml:space="preserve">"A7"</t>
  </si>
  <si>
    <t xml:space="preserve">company_layer/internal/value_chain[6]/activity</t>
  </si>
  <si>
    <t xml:space="preserve">"After-sales service"</t>
  </si>
  <si>
    <t xml:space="preserve">company_layer/internal/value_chain[6]/porter_category</t>
  </si>
  <si>
    <t xml:space="preserve">"Service"</t>
  </si>
  <si>
    <t xml:space="preserve">company_layer/internal/value_chain[6]/stage</t>
  </si>
  <si>
    <t xml:space="preserve">company_layer/internal/value_chain[6]/sourcing</t>
  </si>
  <si>
    <t xml:space="preserve">company_layer/internal/value_chain[6]/cost_share</t>
  </si>
  <si>
    <t xml:space="preserve">company_layer/internal/value_chain[6]/value_share</t>
  </si>
  <si>
    <t xml:space="preserve">company_layer/internal/value_chain[6]/delivers_ksf</t>
  </si>
  <si>
    <t xml:space="preserve">company_layer/internal/value_chain[7]/id</t>
  </si>
  <si>
    <t xml:space="preserve">company_layer/internal/value_chain[7]/activity</t>
  </si>
  <si>
    <t xml:space="preserve">company_layer/internal/value_chain[7]/porter_category</t>
  </si>
  <si>
    <t xml:space="preserve">company_layer/internal/value_chain[7]/stage</t>
  </si>
  <si>
    <t xml:space="preserve">company_layer/internal/value_chain[7]/sourcing</t>
  </si>
  <si>
    <t xml:space="preserve">company_layer/internal/value_chain[7]/cost_share</t>
  </si>
  <si>
    <t xml:space="preserve">company_layer/internal/value_chain[7]/value_share</t>
  </si>
  <si>
    <t xml:space="preserve">company_layer/internal/value_chain[7]/delivers_ksf</t>
  </si>
  <si>
    <t xml:space="preserve">company_layer/internal/value_chain[8]/id</t>
  </si>
  <si>
    <t xml:space="preserve">company_layer/internal/value_chain[8]/activity</t>
  </si>
  <si>
    <t xml:space="preserve">company_layer/internal/value_chain[8]/porter_category</t>
  </si>
  <si>
    <t xml:space="preserve">company_layer/internal/value_chain[8]/stage</t>
  </si>
  <si>
    <t xml:space="preserve">company_layer/internal/value_chain[8]/sourcing</t>
  </si>
  <si>
    <t xml:space="preserve">company_layer/internal/value_chain[8]/cost_share</t>
  </si>
  <si>
    <t xml:space="preserve">company_layer/internal/value_chain[8]/value_share</t>
  </si>
  <si>
    <t xml:space="preserve">company_layer/internal/value_chain[8]/delivers_ksf</t>
  </si>
  <si>
    <t xml:space="preserve">company_layer/internal/value_chain[9]/id</t>
  </si>
  <si>
    <t xml:space="preserve">company_layer/internal/value_chain[9]/activity</t>
  </si>
  <si>
    <t xml:space="preserve">company_layer/internal/value_chain[9]/porter_category</t>
  </si>
  <si>
    <t xml:space="preserve">company_layer/internal/value_chain[9]/stage</t>
  </si>
  <si>
    <t xml:space="preserve">company_layer/internal/value_chain[9]/sourcing</t>
  </si>
  <si>
    <t xml:space="preserve">company_layer/internal/value_chain[9]/cost_share</t>
  </si>
  <si>
    <t xml:space="preserve">company_layer/internal/value_chain[9]/value_share</t>
  </si>
  <si>
    <t xml:space="preserve">company_layer/internal/value_chain[9]/delivers_ksf</t>
  </si>
  <si>
    <t xml:space="preserve">company_layer/internal/value_chain[10]/id</t>
  </si>
  <si>
    <t xml:space="preserve">company_layer/internal/value_chain[10]/activity</t>
  </si>
  <si>
    <t xml:space="preserve">company_layer/internal/value_chain[10]/porter_category</t>
  </si>
  <si>
    <t xml:space="preserve">company_layer/internal/value_chain[10]/stage</t>
  </si>
  <si>
    <t xml:space="preserve">company_layer/internal/value_chain[10]/sourcing</t>
  </si>
  <si>
    <t xml:space="preserve">company_layer/internal/value_chain[10]/cost_share</t>
  </si>
  <si>
    <t xml:space="preserve">company_layer/internal/value_chain[10]/value_share</t>
  </si>
  <si>
    <t xml:space="preserve">company_layer/internal/value_chain[10]/delivers_ksf</t>
  </si>
  <si>
    <t xml:space="preserve">company_layer/internal/value_chain[11]/id</t>
  </si>
  <si>
    <t xml:space="preserve">company_layer/internal/value_chain[11]/activity</t>
  </si>
  <si>
    <t xml:space="preserve">company_layer/internal/value_chain[11]/porter_category</t>
  </si>
  <si>
    <t xml:space="preserve">company_layer/internal/value_chain[11]/stage</t>
  </si>
  <si>
    <t xml:space="preserve">company_layer/internal/value_chain[11]/sourcing</t>
  </si>
  <si>
    <t xml:space="preserve">company_layer/internal/value_chain[11]/cost_share</t>
  </si>
  <si>
    <t xml:space="preserve">company_layer/internal/value_chain[11]/value_share</t>
  </si>
  <si>
    <t xml:space="preserve">company_layer/internal/value_chain[11]/delivers_ksf</t>
  </si>
  <si>
    <t xml:space="preserve">company_layer/internal/unit_economics/unit</t>
  </si>
  <si>
    <t xml:space="preserve">"one compact car (EU)"</t>
  </si>
  <si>
    <t xml:space="preserve">company_layer/internal/unit_economics/lines[line=asp]/value</t>
  </si>
  <si>
    <t xml:space="preserve">32000</t>
  </si>
  <si>
    <t xml:space="preserve">company_layer/internal/unit_economics/lines[line=variable_cost]/value</t>
  </si>
  <si>
    <t xml:space="preserve">20000</t>
  </si>
  <si>
    <t xml:space="preserve">company_layer/internal/unit_economics/lines[line=fixed_costs]/value</t>
  </si>
  <si>
    <t xml:space="preserve">180000000</t>
  </si>
  <si>
    <t xml:space="preserve">company_layer/internal/unit_economics/lines[line=volume]/value</t>
  </si>
  <si>
    <t xml:space="preserve">32400</t>
  </si>
  <si>
    <t xml:space="preserve">company_layer/internal/unit_economics/lines[line=cac]/value</t>
  </si>
  <si>
    <t xml:space="preserve">1500</t>
  </si>
  <si>
    <t xml:space="preserve">company_layer/internal/unit_economics/lines[line=units_per_customer_year]/value</t>
  </si>
  <si>
    <t xml:space="preserve">company_layer/internal/unit_economics/lines[line=retention]/value</t>
  </si>
  <si>
    <t xml:space="preserve">0.6</t>
  </si>
  <si>
    <t xml:space="preserve">company_layer/internal/unit_economics/lines[line=discount_rate]/value</t>
  </si>
  <si>
    <t xml:space="preserve">company_layer/internal/unit_economics/lines[line=service_margin_year]/value</t>
  </si>
  <si>
    <t xml:space="preserve">300</t>
  </si>
  <si>
    <t xml:space="preserve">company_layer/internal/resources[0]/id</t>
  </si>
  <si>
    <t xml:space="preserve">"R1"</t>
  </si>
  <si>
    <t xml:space="preserve">company_layer/internal/resources[0]/name</t>
  </si>
  <si>
    <t xml:space="preserve">"In-house cell and pack plants"</t>
  </si>
  <si>
    <t xml:space="preserve">company_layer/internal/resources[0]/type</t>
  </si>
  <si>
    <t xml:space="preserve">"tangible"</t>
  </si>
  <si>
    <t xml:space="preserve">company_layer/internal/resources[0]/measure</t>
  </si>
  <si>
    <t xml:space="preserve">"Over 200 GWh of cell capacity"</t>
  </si>
  <si>
    <t xml:space="preserve">company_layer/internal/resources[1]/id</t>
  </si>
  <si>
    <t xml:space="preserve">"R2"</t>
  </si>
  <si>
    <t xml:space="preserve">company_layer/internal/resources[1]/name</t>
  </si>
  <si>
    <t xml:space="preserve">"Scale in China"</t>
  </si>
  <si>
    <t xml:space="preserve">company_layer/internal/resources[1]/type</t>
  </si>
  <si>
    <t xml:space="preserve">company_layer/internal/resources[1]/measure</t>
  </si>
  <si>
    <t xml:space="preserve">"Largest unit volume in China"</t>
  </si>
  <si>
    <t xml:space="preserve">company_layer/internal/resources[2]/id</t>
  </si>
  <si>
    <t xml:space="preserve">"R3"</t>
  </si>
  <si>
    <t xml:space="preserve">company_layer/internal/resources[2]/name</t>
  </si>
  <si>
    <t xml:space="preserve">"Blade-cell patents"</t>
  </si>
  <si>
    <t xml:space="preserve">company_layer/internal/resources[2]/type</t>
  </si>
  <si>
    <t xml:space="preserve">"intangible"</t>
  </si>
  <si>
    <t xml:space="preserve">company_layer/internal/resources[2]/measure</t>
  </si>
  <si>
    <t xml:space="preserve">"Patent family in LFP pack design"</t>
  </si>
  <si>
    <t xml:space="preserve">company_layer/internal/resources[3]/id</t>
  </si>
  <si>
    <t xml:space="preserve">"R4"</t>
  </si>
  <si>
    <t xml:space="preserve">company_layer/internal/resources[3]/name</t>
  </si>
  <si>
    <t xml:space="preserve">"EU plant site (Hungary)"</t>
  </si>
  <si>
    <t xml:space="preserve">company_layer/internal/resources[3]/type</t>
  </si>
  <si>
    <t xml:space="preserve">company_layer/internal/resources[3]/measure</t>
  </si>
  <si>
    <t xml:space="preserve">"Under construction"</t>
  </si>
  <si>
    <t xml:space="preserve">company_layer/internal/resources[4]/id</t>
  </si>
  <si>
    <t xml:space="preserve">company_layer/internal/resources[4]/name</t>
  </si>
  <si>
    <t xml:space="preserve">company_layer/internal/resources[4]/type</t>
  </si>
  <si>
    <t xml:space="preserve">company_layer/internal/resources[4]/measure</t>
  </si>
  <si>
    <t xml:space="preserve">company_layer/internal/resources[5]/id</t>
  </si>
  <si>
    <t xml:space="preserve">company_layer/internal/resources[5]/name</t>
  </si>
  <si>
    <t xml:space="preserve">company_layer/internal/resources[5]/type</t>
  </si>
  <si>
    <t xml:space="preserve">company_layer/internal/resources[5]/measure</t>
  </si>
  <si>
    <t xml:space="preserve">company_layer/internal/resources[6]/id</t>
  </si>
  <si>
    <t xml:space="preserve">company_layer/internal/resources[6]/name</t>
  </si>
  <si>
    <t xml:space="preserve">company_layer/internal/resources[6]/type</t>
  </si>
  <si>
    <t xml:space="preserve">company_layer/internal/resources[6]/measure</t>
  </si>
  <si>
    <t xml:space="preserve">company_layer/internal/resources[7]/id</t>
  </si>
  <si>
    <t xml:space="preserve">company_layer/internal/resources[7]/name</t>
  </si>
  <si>
    <t xml:space="preserve">company_layer/internal/resources[7]/type</t>
  </si>
  <si>
    <t xml:space="preserve">company_layer/internal/resources[7]/measure</t>
  </si>
  <si>
    <t xml:space="preserve">company_layer/internal/capabilities[0]/id</t>
  </si>
  <si>
    <t xml:space="preserve">"C1"</t>
  </si>
  <si>
    <t xml:space="preserve">company_layer/internal/capabilities[0]/name</t>
  </si>
  <si>
    <t xml:space="preserve">"Vertical battery integration"</t>
  </si>
  <si>
    <t xml:space="preserve">company_layer/internal/capabilities[0]/combines</t>
  </si>
  <si>
    <t xml:space="preserve">"R1, R3"</t>
  </si>
  <si>
    <t xml:space="preserve">company_layer/internal/capabilities[0]/performance</t>
  </si>
  <si>
    <t xml:space="preserve">"Cell cost per kWh below peers"</t>
  </si>
  <si>
    <t xml:space="preserve">company_layer/internal/capabilities[0]/from_activity</t>
  </si>
  <si>
    <t xml:space="preserve">company_layer/internal/capabilities[0]/class</t>
  </si>
  <si>
    <t xml:space="preserve">"distinctive"</t>
  </si>
  <si>
    <t xml:space="preserve">company_layer/internal/capabilities[1]/id</t>
  </si>
  <si>
    <t xml:space="preserve">"C2"</t>
  </si>
  <si>
    <t xml:space="preserve">company_layer/internal/capabilities[1]/name</t>
  </si>
  <si>
    <t xml:space="preserve">"Fast model cadence"</t>
  </si>
  <si>
    <t xml:space="preserve">company_layer/internal/capabilities[1]/combines</t>
  </si>
  <si>
    <t xml:space="preserve">company_layer/internal/capabilities[1]/performance</t>
  </si>
  <si>
    <t xml:space="preserve">"New model every 12-18 months"</t>
  </si>
  <si>
    <t xml:space="preserve">company_layer/internal/capabilities[1]/from_activity</t>
  </si>
  <si>
    <t xml:space="preserve">company_layer/internal/capabilities[1]/class</t>
  </si>
  <si>
    <t xml:space="preserve">company_layer/internal/capabilities[2]/id</t>
  </si>
  <si>
    <t xml:space="preserve">"C3"</t>
  </si>
  <si>
    <t xml:space="preserve">company_layer/internal/capabilities[2]/name</t>
  </si>
  <si>
    <t xml:space="preserve">"In-car software and OTA"</t>
  </si>
  <si>
    <t xml:space="preserve">company_layer/internal/capabilities[2]/combines</t>
  </si>
  <si>
    <t xml:space="preserve">company_layer/internal/capabilities[2]/performance</t>
  </si>
  <si>
    <t xml:space="preserve">"OTA updates; app rated below leaders"</t>
  </si>
  <si>
    <t xml:space="preserve">company_layer/internal/capabilities[2]/from_activity</t>
  </si>
  <si>
    <t xml:space="preserve">company_layer/internal/capabilities[2]/class</t>
  </si>
  <si>
    <t xml:space="preserve">"threshold"</t>
  </si>
  <si>
    <t xml:space="preserve">company_layer/internal/capabilities[3]/id</t>
  </si>
  <si>
    <t xml:space="preserve">company_layer/internal/capabilities[3]/name</t>
  </si>
  <si>
    <t xml:space="preserve">company_layer/internal/capabilities[3]/combines</t>
  </si>
  <si>
    <t xml:space="preserve">company_layer/internal/capabilities[3]/performance</t>
  </si>
  <si>
    <t xml:space="preserve">company_layer/internal/capabilities[3]/from_activity</t>
  </si>
  <si>
    <t xml:space="preserve">company_layer/internal/capabilities[3]/class</t>
  </si>
  <si>
    <t xml:space="preserve">company_layer/internal/capabilities[4]/id</t>
  </si>
  <si>
    <t xml:space="preserve">company_layer/internal/capabilities[4]/name</t>
  </si>
  <si>
    <t xml:space="preserve">company_layer/internal/capabilities[4]/combines</t>
  </si>
  <si>
    <t xml:space="preserve">company_layer/internal/capabilities[4]/performance</t>
  </si>
  <si>
    <t xml:space="preserve">company_layer/internal/capabilities[4]/from_activity</t>
  </si>
  <si>
    <t xml:space="preserve">company_layer/internal/capabilities[4]/class</t>
  </si>
  <si>
    <t xml:space="preserve">company_layer/internal/capabilities[5]/id</t>
  </si>
  <si>
    <t xml:space="preserve">company_layer/internal/capabilities[5]/name</t>
  </si>
  <si>
    <t xml:space="preserve">company_layer/internal/capabilities[5]/combines</t>
  </si>
  <si>
    <t xml:space="preserve">company_layer/internal/capabilities[5]/performance</t>
  </si>
  <si>
    <t xml:space="preserve">company_layer/internal/capabilities[5]/from_activity</t>
  </si>
  <si>
    <t xml:space="preserve">company_layer/internal/capabilities[5]/class</t>
  </si>
  <si>
    <t xml:space="preserve">company_layer/internal/capabilities[6]/id</t>
  </si>
  <si>
    <t xml:space="preserve">company_layer/internal/capabilities[6]/name</t>
  </si>
  <si>
    <t xml:space="preserve">company_layer/internal/capabilities[6]/combines</t>
  </si>
  <si>
    <t xml:space="preserve">company_layer/internal/capabilities[6]/performance</t>
  </si>
  <si>
    <t xml:space="preserve">company_layer/internal/capabilities[6]/from_activity</t>
  </si>
  <si>
    <t xml:space="preserve">company_layer/internal/capabilities[6]/class</t>
  </si>
  <si>
    <t xml:space="preserve">company_layer/internal/capabilities[7]/id</t>
  </si>
  <si>
    <t xml:space="preserve">company_layer/internal/capabilities[7]/name</t>
  </si>
  <si>
    <t xml:space="preserve">company_layer/internal/capabilities[7]/combines</t>
  </si>
  <si>
    <t xml:space="preserve">company_layer/internal/capabilities[7]/performance</t>
  </si>
  <si>
    <t xml:space="preserve">company_layer/internal/capabilities[7]/from_activity</t>
  </si>
  <si>
    <t xml:space="preserve">company_layer/internal/capabilities[7]/class</t>
  </si>
  <si>
    <t xml:space="preserve">company_layer/internal/core_competencies[0]/capability</t>
  </si>
  <si>
    <t xml:space="preserve">"C1 Vertical battery integration"</t>
  </si>
  <si>
    <t xml:space="preserve">company_layer/internal/core_competencies[0]/customer_benefit</t>
  </si>
  <si>
    <t xml:space="preserve">"K1: lower price at equal range"</t>
  </si>
  <si>
    <t xml:space="preserve">company_layer/internal/core_competencies[0]/hard_to_imitate</t>
  </si>
  <si>
    <t xml:space="preserve">"Decades of cell know-how plus owned capacity"</t>
  </si>
  <si>
    <t xml:space="preserve">company_layer/internal/core_competencies[0]/extendable</t>
  </si>
  <si>
    <t xml:space="preserve">"Storage, buses, licensing"</t>
  </si>
  <si>
    <t xml:space="preserve">company_layer/internal/core_competencies[0]/status</t>
  </si>
  <si>
    <t xml:space="preserve">"confirmed"</t>
  </si>
  <si>
    <t xml:space="preserve">company_layer/internal/core_competencies[1]/capability</t>
  </si>
  <si>
    <t xml:space="preserve">"C2 Fast model cadence"</t>
  </si>
  <si>
    <t xml:space="preserve">company_layer/internal/core_competencies[1]/customer_benefit</t>
  </si>
  <si>
    <t xml:space="preserve">"K5: fresh models"</t>
  </si>
  <si>
    <t xml:space="preserve">company_layer/internal/core_competencies[1]/hard_to_imitate</t>
  </si>
  <si>
    <t xml:space="preserve">"Partly: rivals are speeding up"</t>
  </si>
  <si>
    <t xml:space="preserve">company_layer/internal/core_competencies[1]/extendable</t>
  </si>
  <si>
    <t xml:space="preserve">"New segments"</t>
  </si>
  <si>
    <t xml:space="preserve">company_layer/internal/core_competencies[1]/status</t>
  </si>
  <si>
    <t xml:space="preserve">"candidate"</t>
  </si>
  <si>
    <t xml:space="preserve">company_layer/internal/core_competencies[2]/capability</t>
  </si>
  <si>
    <t xml:space="preserve">company_layer/internal/core_competencies[2]/customer_benefit</t>
  </si>
  <si>
    <t xml:space="preserve">company_layer/internal/core_competencies[2]/hard_to_imitate</t>
  </si>
  <si>
    <t xml:space="preserve">company_layer/internal/core_competencies[2]/extendable</t>
  </si>
  <si>
    <t xml:space="preserve">company_layer/internal/core_competencies[2]/status</t>
  </si>
  <si>
    <t xml:space="preserve">company_layer/internal/core_competencies[3]/capability</t>
  </si>
  <si>
    <t xml:space="preserve">company_layer/internal/core_competencies[3]/customer_benefit</t>
  </si>
  <si>
    <t xml:space="preserve">company_layer/internal/core_competencies[3]/hard_to_imitate</t>
  </si>
  <si>
    <t xml:space="preserve">company_layer/internal/core_competencies[3]/extendable</t>
  </si>
  <si>
    <t xml:space="preserve">company_layer/internal/core_competencies[3]/status</t>
  </si>
  <si>
    <t xml:space="preserve">company_layer/internal/core_competencies[4]/capability</t>
  </si>
  <si>
    <t xml:space="preserve">company_layer/internal/core_competencies[4]/customer_benefit</t>
  </si>
  <si>
    <t xml:space="preserve">company_layer/internal/core_competencies[4]/hard_to_imitate</t>
  </si>
  <si>
    <t xml:space="preserve">company_layer/internal/core_competencies[4]/extendable</t>
  </si>
  <si>
    <t xml:space="preserve">company_layer/internal/core_competencies[4]/status</t>
  </si>
  <si>
    <t xml:space="preserve">company_layer/internal/vrio[0]/item</t>
  </si>
  <si>
    <t xml:space="preserve">company_layer/internal/vrio[0]/type</t>
  </si>
  <si>
    <t xml:space="preserve">"capability"</t>
  </si>
  <si>
    <t xml:space="preserve">company_layer/internal/vrio[0]/v</t>
  </si>
  <si>
    <t xml:space="preserve">yn</t>
  </si>
  <si>
    <t xml:space="preserve">company_layer/internal/vrio[0]/r</t>
  </si>
  <si>
    <t xml:space="preserve">company_layer/internal/vrio[0]/i</t>
  </si>
  <si>
    <t xml:space="preserve">company_layer/internal/vrio[0]/o</t>
  </si>
  <si>
    <t xml:space="preserve">company_layer/internal/vrio[0]/links_ksf</t>
  </si>
  <si>
    <t xml:space="preserve">company_layer/internal/vrio[0]/ksf_weight</t>
  </si>
  <si>
    <t xml:space="preserve">K6</t>
  </si>
  <si>
    <t xml:space="preserve">company_layer/internal/vrio[0]/evidence</t>
  </si>
  <si>
    <t xml:space="preserve">"E010"</t>
  </si>
  <si>
    <t xml:space="preserve">company_layer/internal/vrio[1]/item</t>
  </si>
  <si>
    <t xml:space="preserve">company_layer/internal/vrio[1]/type</t>
  </si>
  <si>
    <t xml:space="preserve">company_layer/internal/vrio[1]/v</t>
  </si>
  <si>
    <t xml:space="preserve">company_layer/internal/vrio[1]/r</t>
  </si>
  <si>
    <t xml:space="preserve">company_layer/internal/vrio[1]/i</t>
  </si>
  <si>
    <t xml:space="preserve">company_layer/internal/vrio[1]/o</t>
  </si>
  <si>
    <t xml:space="preserve">company_layer/internal/vrio[1]/links_ksf</t>
  </si>
  <si>
    <t xml:space="preserve">company_layer/internal/vrio[1]/ksf_weight</t>
  </si>
  <si>
    <t xml:space="preserve">company_layer/internal/vrio[1]/evidence</t>
  </si>
  <si>
    <t xml:space="preserve">"E001"</t>
  </si>
  <si>
    <t xml:space="preserve">company_layer/internal/vrio[2]/item</t>
  </si>
  <si>
    <t xml:space="preserve">company_layer/internal/vrio[2]/type</t>
  </si>
  <si>
    <t xml:space="preserve">company_layer/internal/vrio[2]/v</t>
  </si>
  <si>
    <t xml:space="preserve">company_layer/internal/vrio[2]/r</t>
  </si>
  <si>
    <t xml:space="preserve">company_layer/internal/vrio[2]/i</t>
  </si>
  <si>
    <t xml:space="preserve">company_layer/internal/vrio[2]/o</t>
  </si>
  <si>
    <t xml:space="preserve">"?"</t>
  </si>
  <si>
    <t xml:space="preserve">company_layer/internal/vrio[2]/links_ksf</t>
  </si>
  <si>
    <t xml:space="preserve">company_layer/internal/vrio[2]/ksf_weight</t>
  </si>
  <si>
    <t xml:space="preserve">company_layer/internal/vrio[2]/evidence</t>
  </si>
  <si>
    <t xml:space="preserve">company_layer/internal/vrio[3]/item</t>
  </si>
  <si>
    <t xml:space="preserve">company_layer/internal/vrio[3]/type</t>
  </si>
  <si>
    <t xml:space="preserve">"resource"</t>
  </si>
  <si>
    <t xml:space="preserve">company_layer/internal/vrio[3]/v</t>
  </si>
  <si>
    <t xml:space="preserve">company_layer/internal/vrio[3]/r</t>
  </si>
  <si>
    <t xml:space="preserve">company_layer/internal/vrio[3]/i</t>
  </si>
  <si>
    <t xml:space="preserve">company_layer/internal/vrio[3]/o</t>
  </si>
  <si>
    <t xml:space="preserve">company_layer/internal/vrio[3]/links_ksf</t>
  </si>
  <si>
    <t xml:space="preserve">company_layer/internal/vrio[3]/ksf_weight</t>
  </si>
  <si>
    <t xml:space="preserve">company_layer/internal/vrio[3]/evidence</t>
  </si>
  <si>
    <t xml:space="preserve">company_layer/internal/vrio[4]/item</t>
  </si>
  <si>
    <t xml:space="preserve">company_layer/internal/vrio[4]/type</t>
  </si>
  <si>
    <t xml:space="preserve">company_layer/internal/vrio[4]/v</t>
  </si>
  <si>
    <t xml:space="preserve">company_layer/internal/vrio[4]/r</t>
  </si>
  <si>
    <t xml:space="preserve">company_layer/internal/vrio[4]/i</t>
  </si>
  <si>
    <t xml:space="preserve">company_layer/internal/vrio[4]/o</t>
  </si>
  <si>
    <t xml:space="preserve">company_layer/internal/vrio[4]/links_ksf</t>
  </si>
  <si>
    <t xml:space="preserve">company_layer/internal/vrio[4]/ksf_weight</t>
  </si>
  <si>
    <t xml:space="preserve">company_layer/internal/vrio[4]/evidence</t>
  </si>
  <si>
    <t xml:space="preserve">company_layer/internal/vrio[5]/item</t>
  </si>
  <si>
    <t xml:space="preserve">company_layer/internal/vrio[5]/type</t>
  </si>
  <si>
    <t xml:space="preserve">company_layer/internal/vrio[5]/v</t>
  </si>
  <si>
    <t xml:space="preserve">company_layer/internal/vrio[5]/r</t>
  </si>
  <si>
    <t xml:space="preserve">company_layer/internal/vrio[5]/i</t>
  </si>
  <si>
    <t xml:space="preserve">company_layer/internal/vrio[5]/o</t>
  </si>
  <si>
    <t xml:space="preserve">company_layer/internal/vrio[5]/links_ksf</t>
  </si>
  <si>
    <t xml:space="preserve">company_layer/internal/vrio[5]/ksf_weight</t>
  </si>
  <si>
    <t xml:space="preserve">company_layer/internal/vrio[5]/evidence</t>
  </si>
  <si>
    <t xml:space="preserve">company_layer/internal/vrio[6]/item</t>
  </si>
  <si>
    <t xml:space="preserve">company_layer/internal/vrio[6]/type</t>
  </si>
  <si>
    <t xml:space="preserve">company_layer/internal/vrio[6]/v</t>
  </si>
  <si>
    <t xml:space="preserve">company_layer/internal/vrio[6]/r</t>
  </si>
  <si>
    <t xml:space="preserve">company_layer/internal/vrio[6]/i</t>
  </si>
  <si>
    <t xml:space="preserve">company_layer/internal/vrio[6]/o</t>
  </si>
  <si>
    <t xml:space="preserve">company_layer/internal/vrio[6]/links_ksf</t>
  </si>
  <si>
    <t xml:space="preserve">company_layer/internal/vrio[6]/ksf_weight</t>
  </si>
  <si>
    <t xml:space="preserve">company_layer/internal/vrio[6]/evidence</t>
  </si>
  <si>
    <t xml:space="preserve">company_layer/internal/vrio[7]/item</t>
  </si>
  <si>
    <t xml:space="preserve">company_layer/internal/vrio[7]/type</t>
  </si>
  <si>
    <t xml:space="preserve">company_layer/internal/vrio[7]/v</t>
  </si>
  <si>
    <t xml:space="preserve">company_layer/internal/vrio[7]/r</t>
  </si>
  <si>
    <t xml:space="preserve">company_layer/internal/vrio[7]/i</t>
  </si>
  <si>
    <t xml:space="preserve">company_layer/internal/vrio[7]/o</t>
  </si>
  <si>
    <t xml:space="preserve">company_layer/internal/vrio[7]/links_ksf</t>
  </si>
  <si>
    <t xml:space="preserve">company_layer/internal/vrio[7]/ksf_weight</t>
  </si>
  <si>
    <t xml:space="preserve">company_layer/internal/vrio[7]/evidence</t>
  </si>
  <si>
    <t xml:space="preserve">company_layer/internal/vrio[8]/item</t>
  </si>
  <si>
    <t xml:space="preserve">company_layer/internal/vrio[8]/type</t>
  </si>
  <si>
    <t xml:space="preserve">company_layer/internal/vrio[8]/v</t>
  </si>
  <si>
    <t xml:space="preserve">company_layer/internal/vrio[8]/r</t>
  </si>
  <si>
    <t xml:space="preserve">company_layer/internal/vrio[8]/i</t>
  </si>
  <si>
    <t xml:space="preserve">company_layer/internal/vrio[8]/o</t>
  </si>
  <si>
    <t xml:space="preserve">company_layer/internal/vrio[8]/links_ksf</t>
  </si>
  <si>
    <t xml:space="preserve">company_layer/internal/vrio[8]/ksf_weight</t>
  </si>
  <si>
    <t xml:space="preserve">company_layer/internal/vrio[8]/evidence</t>
  </si>
  <si>
    <t xml:space="preserve">company_layer/internal/vrio[9]/item</t>
  </si>
  <si>
    <t xml:space="preserve">company_layer/internal/vrio[9]/type</t>
  </si>
  <si>
    <t xml:space="preserve">company_layer/internal/vrio[9]/v</t>
  </si>
  <si>
    <t xml:space="preserve">company_layer/internal/vrio[9]/r</t>
  </si>
  <si>
    <t xml:space="preserve">company_layer/internal/vrio[9]/i</t>
  </si>
  <si>
    <t xml:space="preserve">company_layer/internal/vrio[9]/o</t>
  </si>
  <si>
    <t xml:space="preserve">company_layer/internal/vrio[9]/links_ksf</t>
  </si>
  <si>
    <t xml:space="preserve">company_layer/internal/vrio[9]/ksf_weight</t>
  </si>
  <si>
    <t xml:space="preserve">company_layer/internal/vrio[9]/evidence</t>
  </si>
  <si>
    <t xml:space="preserve">company_layer/internal/vrio[10]/item</t>
  </si>
  <si>
    <t xml:space="preserve">company_layer/internal/vrio[10]/type</t>
  </si>
  <si>
    <t xml:space="preserve">company_layer/internal/vrio[10]/v</t>
  </si>
  <si>
    <t xml:space="preserve">company_layer/internal/vrio[10]/r</t>
  </si>
  <si>
    <t xml:space="preserve">company_layer/internal/vrio[10]/i</t>
  </si>
  <si>
    <t xml:space="preserve">company_layer/internal/vrio[10]/o</t>
  </si>
  <si>
    <t xml:space="preserve">company_layer/internal/vrio[10]/links_ksf</t>
  </si>
  <si>
    <t xml:space="preserve">company_layer/internal/vrio[10]/ksf_weight</t>
  </si>
  <si>
    <t xml:space="preserve">company_layer/internal/vrio[10]/evidence</t>
  </si>
  <si>
    <t xml:space="preserve">company_layer/internal/vrio[11]/item</t>
  </si>
  <si>
    <t xml:space="preserve">company_layer/internal/vrio[11]/type</t>
  </si>
  <si>
    <t xml:space="preserve">company_layer/internal/vrio[11]/v</t>
  </si>
  <si>
    <t xml:space="preserve">company_layer/internal/vrio[11]/r</t>
  </si>
  <si>
    <t xml:space="preserve">company_layer/internal/vrio[11]/i</t>
  </si>
  <si>
    <t xml:space="preserve">company_layer/internal/vrio[11]/o</t>
  </si>
  <si>
    <t xml:space="preserve">company_layer/internal/vrio[11]/links_ksf</t>
  </si>
  <si>
    <t xml:space="preserve">company_layer/internal/vrio[11]/ksf_weight</t>
  </si>
  <si>
    <t xml:space="preserve">K17</t>
  </si>
  <si>
    <t xml:space="preserve">company_layer/internal/vrio[11]/evidence</t>
  </si>
  <si>
    <t xml:space="preserve">company_layer/internal/vrio[12]/item</t>
  </si>
  <si>
    <t xml:space="preserve">company_layer/internal/vrio[12]/type</t>
  </si>
  <si>
    <t xml:space="preserve">company_layer/internal/vrio[12]/v</t>
  </si>
  <si>
    <t xml:space="preserve">company_layer/internal/vrio[12]/r</t>
  </si>
  <si>
    <t xml:space="preserve">company_layer/internal/vrio[12]/i</t>
  </si>
  <si>
    <t xml:space="preserve">company_layer/internal/vrio[12]/o</t>
  </si>
  <si>
    <t xml:space="preserve">company_layer/internal/vrio[12]/links_ksf</t>
  </si>
  <si>
    <t xml:space="preserve">company_layer/internal/vrio[12]/ksf_weight</t>
  </si>
  <si>
    <t xml:space="preserve">K18</t>
  </si>
  <si>
    <t xml:space="preserve">company_layer/internal/vrio[12]/evidence</t>
  </si>
  <si>
    <t xml:space="preserve">company_layer/internal/vrio[13]/item</t>
  </si>
  <si>
    <t xml:space="preserve">company_layer/internal/vrio[13]/type</t>
  </si>
  <si>
    <t xml:space="preserve">company_layer/internal/vrio[13]/v</t>
  </si>
  <si>
    <t xml:space="preserve">company_layer/internal/vrio[13]/r</t>
  </si>
  <si>
    <t xml:space="preserve">company_layer/internal/vrio[13]/i</t>
  </si>
  <si>
    <t xml:space="preserve">company_layer/internal/vrio[13]/o</t>
  </si>
  <si>
    <t xml:space="preserve">company_layer/internal/vrio[13]/links_ksf</t>
  </si>
  <si>
    <t xml:space="preserve">company_layer/internal/vrio[13]/ksf_weight</t>
  </si>
  <si>
    <t xml:space="preserve">K19</t>
  </si>
  <si>
    <t xml:space="preserve">company_layer/internal/vrio[13]/evidence</t>
  </si>
  <si>
    <t xml:space="preserve">company_layer/internal/vrio[14]/item</t>
  </si>
  <si>
    <t xml:space="preserve">company_layer/internal/vrio[14]/type</t>
  </si>
  <si>
    <t xml:space="preserve">company_layer/internal/vrio[14]/v</t>
  </si>
  <si>
    <t xml:space="preserve">company_layer/internal/vrio[14]/r</t>
  </si>
  <si>
    <t xml:space="preserve">company_layer/internal/vrio[14]/i</t>
  </si>
  <si>
    <t xml:space="preserve">company_layer/internal/vrio[14]/o</t>
  </si>
  <si>
    <t xml:space="preserve">company_layer/internal/vrio[14]/links_ksf</t>
  </si>
  <si>
    <t xml:space="preserve">company_layer/internal/vrio[14]/ksf_weight</t>
  </si>
  <si>
    <t xml:space="preserve">K20</t>
  </si>
  <si>
    <t xml:space="preserve">company_layer/internal/vrio[14]/evidence</t>
  </si>
  <si>
    <t xml:space="preserve">company_layer/internal/full_potential/drivers[driver=price]/today</t>
  </si>
  <si>
    <t xml:space="preserve">30000</t>
  </si>
  <si>
    <t xml:space="preserve">company_layer/internal/full_potential/drivers[driver=price]/benchmark</t>
  </si>
  <si>
    <t xml:space="preserve">company_layer/internal/full_potential/drivers[driver=price]/benchmark_source</t>
  </si>
  <si>
    <t xml:space="preserve">"EU peer median"</t>
  </si>
  <si>
    <t xml:space="preserve">company_layer/internal/full_potential/drivers[driver=price]/controllability</t>
  </si>
  <si>
    <t xml:space="preserve">"capability-bound"</t>
  </si>
  <si>
    <t xml:space="preserve">company_layer/internal/full_potential/drivers[driver=mix_premium]/today</t>
  </si>
  <si>
    <t xml:space="preserve">0</t>
  </si>
  <si>
    <t xml:space="preserve">company_layer/internal/full_potential/drivers[driver=mix_premium]/benchmark</t>
  </si>
  <si>
    <t xml:space="preserve">800</t>
  </si>
  <si>
    <t xml:space="preserve">company_layer/internal/full_potential/drivers[driver=mix_premium]/benchmark_source</t>
  </si>
  <si>
    <t xml:space="preserve">"Tesla software attach"</t>
  </si>
  <si>
    <t xml:space="preserve">company_layer/internal/full_potential/drivers[driver=mix_premium]/controllability</t>
  </si>
  <si>
    <t xml:space="preserve">company_layer/internal/full_potential/drivers[driver=volume]/today</t>
  </si>
  <si>
    <t xml:space="preserve">300000</t>
  </si>
  <si>
    <t xml:space="preserve">company_layer/internal/full_potential/drivers[driver=volume]/benchmark</t>
  </si>
  <si>
    <t xml:space="preserve">360000</t>
  </si>
  <si>
    <t xml:space="preserve">company_layer/internal/full_potential/drivers[driver=volume]/benchmark_source</t>
  </si>
  <si>
    <t xml:space="preserve">"Plant design capacity"</t>
  </si>
  <si>
    <t xml:space="preserve">company_layer/internal/full_potential/drivers[driver=volume]/controllability</t>
  </si>
  <si>
    <t xml:space="preserve">"controllable"</t>
  </si>
  <si>
    <t xml:space="preserve">company_layer/internal/full_potential/drivers[driver=variable_cost]/today</t>
  </si>
  <si>
    <t xml:space="preserve">24000</t>
  </si>
  <si>
    <t xml:space="preserve">company_layer/internal/full_potential/drivers[driver=variable_cost]/benchmark</t>
  </si>
  <si>
    <t xml:space="preserve">22500</t>
  </si>
  <si>
    <t xml:space="preserve">company_layer/internal/full_potential/drivers[driver=variable_cost]/benchmark_source</t>
  </si>
  <si>
    <t xml:space="preserve">"China cost with local cells"</t>
  </si>
  <si>
    <t xml:space="preserve">company_layer/internal/full_potential/drivers[driver=variable_cost]/controllability</t>
  </si>
  <si>
    <t xml:space="preserve">company_layer/internal/full_potential/drivers[driver=fixed_cost]/today</t>
  </si>
  <si>
    <t xml:space="preserve">1800000000.0</t>
  </si>
  <si>
    <t xml:space="preserve">company_layer/internal/full_potential/drivers[driver=fixed_cost]/benchmark</t>
  </si>
  <si>
    <t xml:space="preserve">1700000000.0</t>
  </si>
  <si>
    <t xml:space="preserve">company_layer/internal/full_potential/drivers[driver=fixed_cost]/benchmark_source</t>
  </si>
  <si>
    <t xml:space="preserve">"Peer median"</t>
  </si>
  <si>
    <t xml:space="preserve">company_layer/internal/full_potential/drivers[driver=fixed_cost]/controllability</t>
  </si>
  <si>
    <t xml:space="preserve">"structural"</t>
  </si>
  <si>
    <t xml:space="preserve">company_layer/internal/growth_barriers/barriers[barrier=demand]/status</t>
  </si>
  <si>
    <t xml:space="preserve">"slack"</t>
  </si>
  <si>
    <t xml:space="preserve">company_layer/internal/growth_barriers/barriers[barrier=demand]/evidence</t>
  </si>
  <si>
    <t xml:space="preserve">"Compact segment growing fastest"</t>
  </si>
  <si>
    <t xml:space="preserve">company_layer/internal/growth_barriers/barriers[barrier=demand]/unlocks</t>
  </si>
  <si>
    <t xml:space="preserve">company_layer/internal/growth_barriers/barriers[barrier=supply]/status</t>
  </si>
  <si>
    <t xml:space="preserve">company_layer/internal/growth_barriers/barriers[barrier=supply]/evidence</t>
  </si>
  <si>
    <t xml:space="preserve">"Cell capacity ample"</t>
  </si>
  <si>
    <t xml:space="preserve">company_layer/internal/growth_barriers/barriers[barrier=supply]/unlocks</t>
  </si>
  <si>
    <t xml:space="preserve">company_layer/internal/growth_barriers/barriers[barrier=capability]/status</t>
  </si>
  <si>
    <t xml:space="preserve">"tight"</t>
  </si>
  <si>
    <t xml:space="preserve">company_layer/internal/growth_barriers/barriers[barrier=capability]/evidence</t>
  </si>
  <si>
    <t xml:space="preserve">"Software lags leaders (C3)"</t>
  </si>
  <si>
    <t xml:space="preserve">company_layer/internal/growth_barriers/barriers[barrier=capability]/unlocks</t>
  </si>
  <si>
    <t xml:space="preserve">company_layer/internal/growth_barriers/barriers[barrier=capital]/status</t>
  </si>
  <si>
    <t xml:space="preserve">company_layer/internal/growth_barriers/barriers[barrier=capital]/evidence</t>
  </si>
  <si>
    <t xml:space="preserve">"Strong cash generation"</t>
  </si>
  <si>
    <t xml:space="preserve">company_layer/internal/growth_barriers/barriers[barrier=capital]/unlocks</t>
  </si>
  <si>
    <t xml:space="preserve">company_layer/internal/growth_barriers/barriers[barrier=access]/status</t>
  </si>
  <si>
    <t xml:space="preserve">"binding"</t>
  </si>
  <si>
    <t xml:space="preserve">company_layer/internal/growth_barriers/barriers[barrier=access]/evidence</t>
  </si>
  <si>
    <t xml:space="preserve">"Few dealers in Germany and France"</t>
  </si>
  <si>
    <t xml:space="preserve">company_layer/internal/growth_barriers/unlocked</t>
  </si>
  <si>
    <t xml:space="preserve">"Dealer coverage in DE/FR unlocks the volume the plant needs"</t>
  </si>
  <si>
    <t xml:space="preserve">company_layer/internal/growth_barriers/barriers[barrier=regulation]/status</t>
  </si>
  <si>
    <t xml:space="preserve">company_layer/internal/growth_barriers/barriers[barrier=regulation]/evidence</t>
  </si>
  <si>
    <t xml:space="preserve">company_layer/internal/growth_barriers/barriers[barrier=regulation]/unlocks</t>
  </si>
  <si>
    <t xml:space="preserve">company_layer/internal/swot/strengths[0]/text</t>
  </si>
  <si>
    <t xml:space="preserve">"Lowest cell cost in the industry"</t>
  </si>
  <si>
    <t xml:space="preserve">company_layer/internal/swot/strengths[0]/source</t>
  </si>
  <si>
    <t xml:space="preserve">company_layer/internal/swot/strengths[1]/text</t>
  </si>
  <si>
    <t xml:space="preserve">company_layer/internal/swot/strengths[1]/source</t>
  </si>
  <si>
    <t xml:space="preserve">company_layer/internal/swot/strengths[2]/text</t>
  </si>
  <si>
    <t xml:space="preserve">company_layer/internal/swot/strengths[2]/source</t>
  </si>
  <si>
    <t xml:space="preserve">company_layer/internal/swot/strengths[3]/text</t>
  </si>
  <si>
    <t xml:space="preserve">company_layer/internal/swot/strengths[3]/source</t>
  </si>
  <si>
    <t xml:space="preserve">company_layer/internal/swot/strengths[4]/text</t>
  </si>
  <si>
    <t xml:space="preserve">company_layer/internal/swot/strengths[4]/source</t>
  </si>
  <si>
    <t xml:space="preserve">company_layer/internal/swot/strengths[5]/text</t>
  </si>
  <si>
    <t xml:space="preserve">company_layer/internal/swot/strengths[5]/source</t>
  </si>
  <si>
    <t xml:space="preserve">company_layer/internal/swot/weaknesses[0]/text</t>
  </si>
  <si>
    <t xml:space="preserve">"Low brand trust in Europe"</t>
  </si>
  <si>
    <t xml:space="preserve">company_layer/internal/swot/weaknesses[0]/source</t>
  </si>
  <si>
    <t xml:space="preserve">company_layer/internal/swot/weaknesses[1]/text</t>
  </si>
  <si>
    <t xml:space="preserve">"Software lags the leaders"</t>
  </si>
  <si>
    <t xml:space="preserve">company_layer/internal/swot/weaknesses[1]/source</t>
  </si>
  <si>
    <t xml:space="preserve">company_layer/internal/swot/weaknesses[2]/text</t>
  </si>
  <si>
    <t xml:space="preserve">company_layer/internal/swot/weaknesses[2]/source</t>
  </si>
  <si>
    <t xml:space="preserve">company_layer/internal/swot/weaknesses[3]/text</t>
  </si>
  <si>
    <t xml:space="preserve">company_layer/internal/swot/weaknesses[3]/source</t>
  </si>
  <si>
    <t xml:space="preserve">company_layer/internal/swot/weaknesses[4]/text</t>
  </si>
  <si>
    <t xml:space="preserve">company_layer/internal/swot/weaknesses[4]/source</t>
  </si>
  <si>
    <t xml:space="preserve">company_layer/internal/swot/weaknesses[5]/text</t>
  </si>
  <si>
    <t xml:space="preserve">company_layer/internal/swot/weaknesses[5]/source</t>
  </si>
  <si>
    <t xml:space="preserve">company_layer/internal/swot/opportunities[0]/text</t>
  </si>
  <si>
    <t xml:space="preserve">"Affordable EU compact segment is under-served"</t>
  </si>
  <si>
    <t xml:space="preserve">company_layer/internal/swot/opportunities[0]/source</t>
  </si>
  <si>
    <t xml:space="preserve">"W1"</t>
  </si>
  <si>
    <t xml:space="preserve">company_layer/internal/swot/opportunities[1]/text</t>
  </si>
  <si>
    <t xml:space="preserve">"Fleet CO2 targets lift BEV demand"</t>
  </si>
  <si>
    <t xml:space="preserve">company_layer/internal/swot/opportunities[1]/source</t>
  </si>
  <si>
    <t xml:space="preserve">company_layer/internal/swot/opportunities[2]/text</t>
  </si>
  <si>
    <t xml:space="preserve">company_layer/internal/swot/opportunities[2]/source</t>
  </si>
  <si>
    <t xml:space="preserve">company_layer/internal/swot/opportunities[3]/text</t>
  </si>
  <si>
    <t xml:space="preserve">company_layer/internal/swot/opportunities[3]/source</t>
  </si>
  <si>
    <t xml:space="preserve">company_layer/internal/swot/opportunities[4]/text</t>
  </si>
  <si>
    <t xml:space="preserve">company_layer/internal/swot/opportunities[4]/source</t>
  </si>
  <si>
    <t xml:space="preserve">company_layer/internal/swot/opportunities[5]/text</t>
  </si>
  <si>
    <t xml:space="preserve">company_layer/internal/swot/opportunities[5]/source</t>
  </si>
  <si>
    <t xml:space="preserve">company_layer/internal/swot/threats[0]/text</t>
  </si>
  <si>
    <t xml:space="preserve">company_layer/internal/swot/threats[0]/source</t>
  </si>
  <si>
    <t xml:space="preserve">company_layer/internal/swot/threats[1]/text</t>
  </si>
  <si>
    <t xml:space="preserve">"Local-content rules for incentives"</t>
  </si>
  <si>
    <t xml:space="preserve">company_layer/internal/swot/threats[1]/source</t>
  </si>
  <si>
    <t xml:space="preserve">company_layer/internal/swot/threats[2]/text</t>
  </si>
  <si>
    <t xml:space="preserve">company_layer/internal/swot/threats[2]/source</t>
  </si>
  <si>
    <t xml:space="preserve">company_layer/internal/swot/threats[3]/text</t>
  </si>
  <si>
    <t xml:space="preserve">G18</t>
  </si>
  <si>
    <t xml:space="preserve">company_layer/internal/swot/threats[3]/source</t>
  </si>
  <si>
    <t xml:space="preserve">company_layer/internal/swot/threats[4]/text</t>
  </si>
  <si>
    <t xml:space="preserve">G19</t>
  </si>
  <si>
    <t xml:space="preserve">company_layer/internal/swot/threats[4]/source</t>
  </si>
  <si>
    <t xml:space="preserve">company_layer/internal/swot/threats[5]/text</t>
  </si>
  <si>
    <t xml:space="preserve">G20</t>
  </si>
  <si>
    <t xml:space="preserve">company_layer/internal/swot/threats[5]/source</t>
  </si>
  <si>
    <t xml:space="preserve">company_layer/internal/tows[0]/cell</t>
  </si>
  <si>
    <t xml:space="preserve">"ST"</t>
  </si>
  <si>
    <t xml:space="preserve">company_layer/internal/tows[0]/option</t>
  </si>
  <si>
    <t xml:space="preserve">"Build an EU plant to avoid tariffs"</t>
  </si>
  <si>
    <t xml:space="preserve">company_layer/internal/tows[0]/pairs</t>
  </si>
  <si>
    <t xml:space="preserve">pairs</t>
  </si>
  <si>
    <t xml:space="preserve">"S1 \u00d7 T1"</t>
  </si>
  <si>
    <t xml:space="preserve">company_layer/internal/tows[1]/cell</t>
  </si>
  <si>
    <t xml:space="preserve">"SO"</t>
  </si>
  <si>
    <t xml:space="preserve">company_layer/internal/tows[1]/option</t>
  </si>
  <si>
    <t xml:space="preserve">"Launch a sub-EUR 25k compact"</t>
  </si>
  <si>
    <t xml:space="preserve">company_layer/internal/tows[1]/pairs</t>
  </si>
  <si>
    <t xml:space="preserve">"S1 \u00d7 O1"</t>
  </si>
  <si>
    <t xml:space="preserve">company_layer/internal/tows[2]/cell</t>
  </si>
  <si>
    <t xml:space="preserve">"WT"</t>
  </si>
  <si>
    <t xml:space="preserve">company_layer/internal/tows[2]/option</t>
  </si>
  <si>
    <t xml:space="preserve">"Partner with a European OEM for local assembly and brand"</t>
  </si>
  <si>
    <t xml:space="preserve">company_layer/internal/tows[2]/pairs</t>
  </si>
  <si>
    <t xml:space="preserve">"W1 \u00d7 T2"</t>
  </si>
  <si>
    <t xml:space="preserve">company_layer/internal/tows[3]/cell</t>
  </si>
  <si>
    <t xml:space="preserve">company_layer/internal/tows[3]/option</t>
  </si>
  <si>
    <t xml:space="preserve">company_layer/internal/tows[3]/pairs</t>
  </si>
  <si>
    <t xml:space="preserve">company_layer/internal/tows[4]/cell</t>
  </si>
  <si>
    <t xml:space="preserve">company_layer/internal/tows[4]/option</t>
  </si>
  <si>
    <t xml:space="preserve">company_layer/internal/tows[4]/pairs</t>
  </si>
  <si>
    <t xml:space="preserve">company_layer/internal/tows[5]/cell</t>
  </si>
  <si>
    <t xml:space="preserve">company_layer/internal/tows[5]/option</t>
  </si>
  <si>
    <t xml:space="preserve">company_layer/internal/tows[5]/pairs</t>
  </si>
  <si>
    <t xml:space="preserve">company_layer/internal/tows[6]/cell</t>
  </si>
  <si>
    <t xml:space="preserve">company_layer/internal/tows[6]/option</t>
  </si>
  <si>
    <t xml:space="preserve">company_layer/internal/tows[6]/pairs</t>
  </si>
  <si>
    <t xml:space="preserve">company_layer/internal/tows[7]/cell</t>
  </si>
  <si>
    <t xml:space="preserve">company_layer/internal/tows[7]/option</t>
  </si>
  <si>
    <t xml:space="preserve">company_layer/internal/tows[7]/pairs</t>
  </si>
  <si>
    <t xml:space="preserve">company_layer/internal/tows[8]/cell</t>
  </si>
  <si>
    <t xml:space="preserve">company_layer/internal/tows[8]/option</t>
  </si>
  <si>
    <t xml:space="preserve">company_layer/internal/tows[8]/pairs</t>
  </si>
  <si>
    <t xml:space="preserve">company_layer/internal/tows[9]/cell</t>
  </si>
  <si>
    <t xml:space="preserve">company_layer/internal/tows[9]/option</t>
  </si>
  <si>
    <t xml:space="preserve">company_layer/internal/tows[9]/pairs</t>
  </si>
  <si>
    <t xml:space="preserve">company_layer/internal/tows[10]/cell</t>
  </si>
  <si>
    <t xml:space="preserve">company_layer/internal/tows[10]/option</t>
  </si>
  <si>
    <t xml:space="preserve">company_layer/internal/tows[10]/pairs</t>
  </si>
  <si>
    <t xml:space="preserve">company_layer/internal/tows[11]/cell</t>
  </si>
  <si>
    <t xml:space="preserve">company_layer/internal/tows[11]/option</t>
  </si>
  <si>
    <t xml:space="preserve">company_layer/internal/tows[11]/pairs</t>
  </si>
  <si>
    <t xml:space="preserve">strategy_layer/positioning/strategy</t>
  </si>
  <si>
    <t xml:space="preserve">"Best-cost provider"</t>
  </si>
  <si>
    <t xml:space="preserve">strategy_layer/positioning/target</t>
  </si>
  <si>
    <t xml:space="preserve">"Price-conscious EU urban buyers and small fleets"</t>
  </si>
  <si>
    <t xml:space="preserve">strategy_layer/positioning/advantage</t>
  </si>
  <si>
    <t xml:space="preserve">"Battery cost lead (C1) funds good-enough software at a lower price"</t>
  </si>
  <si>
    <t xml:space="preserve">strategy_layer/positioning/why_now</t>
  </si>
  <si>
    <t xml:space="preserve">"Duties push local production; compact segment is under-served"</t>
  </si>
  <si>
    <t xml:space="preserve">strategy_layer/positioning/not_doing</t>
  </si>
  <si>
    <t xml:space="preserve">"Chase premium software subscriptions"</t>
  </si>
  <si>
    <t xml:space="preserve">strategy_layer/positioning/statement</t>
  </si>
  <si>
    <t xml:space="preserve">"For price-conscious European city buyers, BYD offers a compact EV with dependable software for under EUR 25k, because our battery cost lead lets us price below rivals without losing money. [team's words]"</t>
  </si>
  <si>
    <t xml:space="preserve">strategy_layer/positioning/fit/market</t>
  </si>
  <si>
    <t xml:space="preserve">strategy_layer/positioning/fit_evidence/market</t>
  </si>
  <si>
    <t xml:space="preserve">"Segments: compact growing fastest"</t>
  </si>
  <si>
    <t xml:space="preserve">strategy_layer/positioning/fit/competitive</t>
  </si>
  <si>
    <t xml:space="preserve">"open question"</t>
  </si>
  <si>
    <t xml:space="preserve">strategy_layer/positioning/fit_evidence/competitive</t>
  </si>
  <si>
    <t xml:space="preserve">"Tesla price cuts; Xiaomi entering"</t>
  </si>
  <si>
    <t xml:space="preserve">strategy_layer/positioning/fit/capability</t>
  </si>
  <si>
    <t xml:space="preserve">strategy_layer/positioning/fit_evidence/capability</t>
  </si>
  <si>
    <t xml:space="preserve">"VRIO: C1 sustained"</t>
  </si>
  <si>
    <t xml:space="preserve">strategy_layer/positioning/fit/economic</t>
  </si>
  <si>
    <t xml:space="preserve">strategy_layer/positioning/fit_evidence/economic</t>
  </si>
  <si>
    <t xml:space="preserve">"Option A NPV \u2212$34.5M at plan"</t>
  </si>
  <si>
    <t xml:space="preserve">strategy_layer/positioning/fit/management</t>
  </si>
  <si>
    <t xml:space="preserve">strategy_layer/positioning/fit_evidence/management</t>
  </si>
  <si>
    <t xml:space="preserve">"Goal B1 profit by 2029"</t>
  </si>
  <si>
    <t xml:space="preserve">strategy_layer/options/scq/situation</t>
  </si>
  <si>
    <t xml:space="preserve">"BYD leads global EV volume on cost, but is small in Europe."</t>
  </si>
  <si>
    <t xml:space="preserve">strategy_layer/options/scq/complication</t>
  </si>
  <si>
    <t xml:space="preserve">"EU duties on China-built cars and weak dealer access cap European growth."</t>
  </si>
  <si>
    <t xml:space="preserve">strategy_layer/options/scq/question</t>
  </si>
  <si>
    <t xml:space="preserve">"How should BYD build a profitable European position by 2029?"</t>
  </si>
  <si>
    <t xml:space="preserve">strategy_layer/options/options[0]/id</t>
  </si>
  <si>
    <t xml:space="preserve">"O-A"</t>
  </si>
  <si>
    <t xml:space="preserve">strategy_layer/options/options[0]/name</t>
  </si>
  <si>
    <t xml:space="preserve">"A. EU plant"</t>
  </si>
  <si>
    <t xml:space="preserve">strategy_layer/options/options[0]/route</t>
  </si>
  <si>
    <t xml:space="preserve">"build"</t>
  </si>
  <si>
    <t xml:space="preserve">strategy_layer/options/options[0]/exploits</t>
  </si>
  <si>
    <t xml:space="preserve">"ST1, SO1"</t>
  </si>
  <si>
    <t xml:space="preserve">strategy_layer/options/options[0]/staged_step</t>
  </si>
  <si>
    <t xml:space="preserve">"Pilot line in Hungary"</t>
  </si>
  <si>
    <t xml:space="preserve">strategy_layer/options/options[0]/gate</t>
  </si>
  <si>
    <t xml:space="preserve">"Orders &gt; 40k by end of year 1"</t>
  </si>
  <si>
    <t xml:space="preserve">strategy_layer/options/options[0]/suggested</t>
  </si>
  <si>
    <t xml:space="preserve">strategy_layer/options/options[1]/id</t>
  </si>
  <si>
    <t xml:space="preserve">"O-B"</t>
  </si>
  <si>
    <t xml:space="preserve">strategy_layer/options/options[1]/name</t>
  </si>
  <si>
    <t xml:space="preserve">"B. Partner"</t>
  </si>
  <si>
    <t xml:space="preserve">strategy_layer/options/options[1]/route</t>
  </si>
  <si>
    <t xml:space="preserve">"partner"</t>
  </si>
  <si>
    <t xml:space="preserve">strategy_layer/options/options[1]/exploits</t>
  </si>
  <si>
    <t xml:space="preserve">"WT1"</t>
  </si>
  <si>
    <t xml:space="preserve">strategy_layer/options/options[1]/staged_step</t>
  </si>
  <si>
    <t xml:space="preserve">"Assembly MoU with a European OEM"</t>
  </si>
  <si>
    <t xml:space="preserve">strategy_layer/options/options[1]/gate</t>
  </si>
  <si>
    <t xml:space="preserve">"Partner volumes &gt; 30k in year 1"</t>
  </si>
  <si>
    <t xml:space="preserve">strategy_layer/options/options[1]/suggested</t>
  </si>
  <si>
    <t xml:space="preserve">strategy_layer/options/options[2]/id</t>
  </si>
  <si>
    <t xml:space="preserve">"O-0"</t>
  </si>
  <si>
    <t xml:space="preserve">strategy_layer/options/options[2]/name</t>
  </si>
  <si>
    <t xml:space="preserve">"0. Do nothing"</t>
  </si>
  <si>
    <t xml:space="preserve">strategy_layer/options/options[2]/route</t>
  </si>
  <si>
    <t xml:space="preserve">"do nothing"</t>
  </si>
  <si>
    <t xml:space="preserve">strategy_layer/options/options[2]/exploits</t>
  </si>
  <si>
    <t xml:space="preserve">strategy_layer/options/options[2]/staged_step</t>
  </si>
  <si>
    <t xml:space="preserve">strategy_layer/options/options[2]/gate</t>
  </si>
  <si>
    <t xml:space="preserve">strategy_layer/options/options[2]/suggested</t>
  </si>
  <si>
    <t xml:space="preserve">strategy_layer/options/options[3]/id</t>
  </si>
  <si>
    <t xml:space="preserve">strategy_layer/options/options[3]/name</t>
  </si>
  <si>
    <t xml:space="preserve">strategy_layer/options/options[3]/route</t>
  </si>
  <si>
    <t xml:space="preserve">strategy_layer/options/options[3]/exploits</t>
  </si>
  <si>
    <t xml:space="preserve">strategy_layer/options/options[3]/staged_step</t>
  </si>
  <si>
    <t xml:space="preserve">strategy_layer/options/options[3]/gate</t>
  </si>
  <si>
    <t xml:space="preserve">strategy_layer/options/options[3]/suggested</t>
  </si>
  <si>
    <t xml:space="preserve">strategy_layer/options/options[4]/id</t>
  </si>
  <si>
    <t xml:space="preserve">strategy_layer/options/options[4]/name</t>
  </si>
  <si>
    <t xml:space="preserve">strategy_layer/options/options[4]/route</t>
  </si>
  <si>
    <t xml:space="preserve">strategy_layer/options/options[4]/exploits</t>
  </si>
  <si>
    <t xml:space="preserve">strategy_layer/options/options[4]/staged_step</t>
  </si>
  <si>
    <t xml:space="preserve">strategy_layer/options/options[4]/gate</t>
  </si>
  <si>
    <t xml:space="preserve">strategy_layer/options/options[4]/suggested</t>
  </si>
  <si>
    <t xml:space="preserve">strategy_layer/options/options[5]/id</t>
  </si>
  <si>
    <t xml:space="preserve">strategy_layer/options/options[5]/name</t>
  </si>
  <si>
    <t xml:space="preserve">strategy_layer/options/options[5]/route</t>
  </si>
  <si>
    <t xml:space="preserve">strategy_layer/options/options[5]/exploits</t>
  </si>
  <si>
    <t xml:space="preserve">strategy_layer/options/options[5]/staged_step</t>
  </si>
  <si>
    <t xml:space="preserve">strategy_layer/options/options[5]/gate</t>
  </si>
  <si>
    <t xml:space="preserve">strategy_layer/options/options[5]/suggested</t>
  </si>
  <si>
    <t xml:space="preserve">strategy_layer/options/options[6]/id</t>
  </si>
  <si>
    <t xml:space="preserve">strategy_layer/options/options[6]/name</t>
  </si>
  <si>
    <t xml:space="preserve">strategy_layer/options/options[6]/route</t>
  </si>
  <si>
    <t xml:space="preserve">strategy_layer/options/options[6]/exploits</t>
  </si>
  <si>
    <t xml:space="preserve">strategy_layer/options/options[6]/staged_step</t>
  </si>
  <si>
    <t xml:space="preserve">strategy_layer/options/options[6]/gate</t>
  </si>
  <si>
    <t xml:space="preserve">strategy_layer/options/options[6]/suggested</t>
  </si>
  <si>
    <t xml:space="preserve">strategy_layer/options/options[7]/id</t>
  </si>
  <si>
    <t xml:space="preserve">strategy_layer/options/options[7]/name</t>
  </si>
  <si>
    <t xml:space="preserve">strategy_layer/options/options[7]/route</t>
  </si>
  <si>
    <t xml:space="preserve">strategy_layer/options/options[7]/exploits</t>
  </si>
  <si>
    <t xml:space="preserve">strategy_layer/options/options[7]/staged_step</t>
  </si>
  <si>
    <t xml:space="preserve">strategy_layer/options/options[7]/gate</t>
  </si>
  <si>
    <t xml:space="preserve">strategy_layer/options/options[7]/suggested</t>
  </si>
  <si>
    <t xml:space="preserve">strategy_layer/decision_matrix/criteria[0]/scores/{@D5}</t>
  </si>
  <si>
    <t xml:space="preserve">strategy_layer/decision_matrix/criteria[0]/scores/{@E5}</t>
  </si>
  <si>
    <t xml:space="preserve">strategy_layer/decision_matrix/criteria[0]/scores/{@F5}</t>
  </si>
  <si>
    <t xml:space="preserve">strategy_layer/decision_matrix/criteria[0]/scores/{@G5}</t>
  </si>
  <si>
    <t xml:space="preserve">strategy_layer/decision_matrix/criteria[0]/scores/{@H5}</t>
  </si>
  <si>
    <t xml:space="preserve">strategy_layer/decision_matrix/criteria[0]/name</t>
  </si>
  <si>
    <t xml:space="preserve">"Profit by 2029"</t>
  </si>
  <si>
    <t xml:space="preserve">strategy_layer/decision_matrix/criteria[0]/weight</t>
  </si>
  <si>
    <t xml:space="preserve">strategy_layer/decision_matrix/criteria[0]/goal</t>
  </si>
  <si>
    <t xml:space="preserve">"B1"</t>
  </si>
  <si>
    <t xml:space="preserve">strategy_layer/decision_matrix/criteria[1]/scores/{@D5}</t>
  </si>
  <si>
    <t xml:space="preserve">strategy_layer/decision_matrix/criteria[1]/scores/{@E5}</t>
  </si>
  <si>
    <t xml:space="preserve">strategy_layer/decision_matrix/criteria[1]/scores/{@F5}</t>
  </si>
  <si>
    <t xml:space="preserve">strategy_layer/decision_matrix/criteria[1]/scores/{@G5}</t>
  </si>
  <si>
    <t xml:space="preserve">strategy_layer/decision_matrix/criteria[1]/scores/{@H5}</t>
  </si>
  <si>
    <t xml:space="preserve">strategy_layer/decision_matrix/criteria[1]/name</t>
  </si>
  <si>
    <t xml:space="preserve">"Avoids tariffs"</t>
  </si>
  <si>
    <t xml:space="preserve">strategy_layer/decision_matrix/criteria[1]/weight</t>
  </si>
  <si>
    <t xml:space="preserve">strategy_layer/decision_matrix/criteria[1]/goal</t>
  </si>
  <si>
    <t xml:space="preserve">"B2"</t>
  </si>
  <si>
    <t xml:space="preserve">strategy_layer/decision_matrix/criteria[2]/scores/{@D5}</t>
  </si>
  <si>
    <t xml:space="preserve">strategy_layer/decision_matrix/criteria[2]/scores/{@E5}</t>
  </si>
  <si>
    <t xml:space="preserve">strategy_layer/decision_matrix/criteria[2]/scores/{@F5}</t>
  </si>
  <si>
    <t xml:space="preserve">strategy_layer/decision_matrix/criteria[2]/scores/{@G5}</t>
  </si>
  <si>
    <t xml:space="preserve">strategy_layer/decision_matrix/criteria[2]/scores/{@H5}</t>
  </si>
  <si>
    <t xml:space="preserve">strategy_layer/decision_matrix/criteria[2]/name</t>
  </si>
  <si>
    <t xml:space="preserve">"Capital at risk (low = good)"</t>
  </si>
  <si>
    <t xml:space="preserve">strategy_layer/decision_matrix/criteria[2]/weight</t>
  </si>
  <si>
    <t xml:space="preserve">strategy_layer/decision_matrix/criteria[2]/goal</t>
  </si>
  <si>
    <t xml:space="preserve">strategy_layer/decision_matrix/criteria[3]/scores/{@D5}</t>
  </si>
  <si>
    <t xml:space="preserve">strategy_layer/decision_matrix/criteria[3]/scores/{@E5}</t>
  </si>
  <si>
    <t xml:space="preserve">strategy_layer/decision_matrix/criteria[3]/scores/{@F5}</t>
  </si>
  <si>
    <t xml:space="preserve">strategy_layer/decision_matrix/criteria[3]/scores/{@G5}</t>
  </si>
  <si>
    <t xml:space="preserve">strategy_layer/decision_matrix/criteria[3]/scores/{@H5}</t>
  </si>
  <si>
    <t xml:space="preserve">strategy_layer/decision_matrix/criteria[3]/name</t>
  </si>
  <si>
    <t xml:space="preserve">"Builds EU brand trust"</t>
  </si>
  <si>
    <t xml:space="preserve">strategy_layer/decision_matrix/criteria[3]/weight</t>
  </si>
  <si>
    <t xml:space="preserve">strategy_layer/decision_matrix/criteria[3]/goal</t>
  </si>
  <si>
    <t xml:space="preserve">"B3"</t>
  </si>
  <si>
    <t xml:space="preserve">strategy_layer/decision_matrix/criteria[4]/scores/{@D5}</t>
  </si>
  <si>
    <t xml:space="preserve">strategy_layer/decision_matrix/criteria[4]/scores/{@E5}</t>
  </si>
  <si>
    <t xml:space="preserve">strategy_layer/decision_matrix/criteria[4]/scores/{@F5}</t>
  </si>
  <si>
    <t xml:space="preserve">strategy_layer/decision_matrix/criteria[4]/scores/{@G5}</t>
  </si>
  <si>
    <t xml:space="preserve">strategy_layer/decision_matrix/criteria[4]/scores/{@H5}</t>
  </si>
  <si>
    <t xml:space="preserve">strategy_layer/decision_matrix/criteria[4]/name</t>
  </si>
  <si>
    <t xml:space="preserve">strategy_layer/decision_matrix/criteria[4]/weight</t>
  </si>
  <si>
    <t xml:space="preserve">strategy_layer/decision_matrix/criteria[4]/goal</t>
  </si>
  <si>
    <t xml:space="preserve">strategy_layer/decision_matrix/criteria[5]/scores/{@D5}</t>
  </si>
  <si>
    <t xml:space="preserve">strategy_layer/decision_matrix/criteria[5]/scores/{@E5}</t>
  </si>
  <si>
    <t xml:space="preserve">strategy_layer/decision_matrix/criteria[5]/scores/{@F5}</t>
  </si>
  <si>
    <t xml:space="preserve">strategy_layer/decision_matrix/criteria[5]/scores/{@G5}</t>
  </si>
  <si>
    <t xml:space="preserve">strategy_layer/decision_matrix/criteria[5]/scores/{@H5}</t>
  </si>
  <si>
    <t xml:space="preserve">strategy_layer/decision_matrix/criteria[5]/name</t>
  </si>
  <si>
    <t xml:space="preserve">strategy_layer/decision_matrix/criteria[5]/weight</t>
  </si>
  <si>
    <t xml:space="preserve">strategy_layer/decision_matrix/criteria[5]/goal</t>
  </si>
  <si>
    <t xml:space="preserve">strategy_layer/decision_matrix/criteria[6]/scores/{@D5}</t>
  </si>
  <si>
    <t xml:space="preserve">strategy_layer/decision_matrix/criteria[6]/scores/{@E5}</t>
  </si>
  <si>
    <t xml:space="preserve">strategy_layer/decision_matrix/criteria[6]/scores/{@F5}</t>
  </si>
  <si>
    <t xml:space="preserve">strategy_layer/decision_matrix/criteria[6]/scores/{@G5}</t>
  </si>
  <si>
    <t xml:space="preserve">strategy_layer/decision_matrix/criteria[6]/scores/{@H5}</t>
  </si>
  <si>
    <t xml:space="preserve">strategy_layer/decision_matrix/criteria[6]/name</t>
  </si>
  <si>
    <t xml:space="preserve">strategy_layer/decision_matrix/criteria[6]/weight</t>
  </si>
  <si>
    <t xml:space="preserve">strategy_layer/decision_matrix/criteria[6]/goal</t>
  </si>
  <si>
    <t xml:space="preserve">strategy_layer/decision_matrix/criteria[7]/scores/{@D5}</t>
  </si>
  <si>
    <t xml:space="preserve">strategy_layer/decision_matrix/criteria[7]/scores/{@E5}</t>
  </si>
  <si>
    <t xml:space="preserve">strategy_layer/decision_matrix/criteria[7]/scores/{@F5}</t>
  </si>
  <si>
    <t xml:space="preserve">strategy_layer/decision_matrix/criteria[7]/scores/{@G5}</t>
  </si>
  <si>
    <t xml:space="preserve">strategy_layer/decision_matrix/criteria[7]/scores/{@H5}</t>
  </si>
  <si>
    <t xml:space="preserve">strategy_layer/decision_matrix/criteria[7]/name</t>
  </si>
  <si>
    <t xml:space="preserve">strategy_layer/decision_matrix/criteria[7]/weight</t>
  </si>
  <si>
    <t xml:space="preserve">strategy_layer/decision_matrix/criteria[7]/goal</t>
  </si>
  <si>
    <t xml:space="preserve">strategy_layer/business_case[0]/inputs/rate</t>
  </si>
  <si>
    <t xml:space="preserve">strategy_layer/business_case[0]/inputs/tax</t>
  </si>
  <si>
    <t xml:space="preserve">0.21</t>
  </si>
  <si>
    <t xml:space="preserve">strategy_layer/business_case[0]/inputs/wc_pct</t>
  </si>
  <si>
    <t xml:space="preserve">strategy_layer/business_case[0]/inputs/years[0]/units</t>
  </si>
  <si>
    <t xml:space="preserve">strategy_layer/business_case[0]/inputs/years[1]/units</t>
  </si>
  <si>
    <t xml:space="preserve">strategy_layer/business_case[0]/inputs/years[2]/units</t>
  </si>
  <si>
    <t xml:space="preserve">64800</t>
  </si>
  <si>
    <t xml:space="preserve">strategy_layer/business_case[0]/inputs/years[3]/units</t>
  </si>
  <si>
    <t xml:space="preserve">97200</t>
  </si>
  <si>
    <t xml:space="preserve">strategy_layer/business_case[0]/inputs/years[4]/units</t>
  </si>
  <si>
    <t xml:space="preserve">108000</t>
  </si>
  <si>
    <t xml:space="preserve">strategy_layer/business_case[0]/inputs/years[5]/units</t>
  </si>
  <si>
    <t xml:space="preserve">strategy_layer/business_case[0]/inputs/years[0]/price</t>
  </si>
  <si>
    <t xml:space="preserve">strategy_layer/business_case[0]/inputs/years[1]/price</t>
  </si>
  <si>
    <t xml:space="preserve">strategy_layer/business_case[0]/inputs/years[2]/price</t>
  </si>
  <si>
    <t xml:space="preserve">strategy_layer/business_case[0]/inputs/years[3]/price</t>
  </si>
  <si>
    <t xml:space="preserve">strategy_layer/business_case[0]/inputs/years[4]/price</t>
  </si>
  <si>
    <t xml:space="preserve">strategy_layer/business_case[0]/inputs/years[5]/price</t>
  </si>
  <si>
    <t xml:space="preserve">strategy_layer/business_case[0]/inputs/years[0]/variable_cost</t>
  </si>
  <si>
    <t xml:space="preserve">strategy_layer/business_case[0]/inputs/years[1]/variable_cost</t>
  </si>
  <si>
    <t xml:space="preserve">strategy_layer/business_case[0]/inputs/years[2]/variable_cost</t>
  </si>
  <si>
    <t xml:space="preserve">strategy_layer/business_case[0]/inputs/years[3]/variable_cost</t>
  </si>
  <si>
    <t xml:space="preserve">strategy_layer/business_case[0]/inputs/years[4]/variable_cost</t>
  </si>
  <si>
    <t xml:space="preserve">strategy_layer/business_case[0]/inputs/years[5]/variable_cost</t>
  </si>
  <si>
    <t xml:space="preserve">strategy_layer/business_case[0]/inputs/years[0]/fixed_cost</t>
  </si>
  <si>
    <t xml:space="preserve">strategy_layer/business_case[0]/inputs/years[1]/fixed_cost</t>
  </si>
  <si>
    <t xml:space="preserve">strategy_layer/business_case[0]/inputs/years[2]/fixed_cost</t>
  </si>
  <si>
    <t xml:space="preserve">strategy_layer/business_case[0]/inputs/years[3]/fixed_cost</t>
  </si>
  <si>
    <t xml:space="preserve">strategy_layer/business_case[0]/inputs/years[4]/fixed_cost</t>
  </si>
  <si>
    <t xml:space="preserve">strategy_layer/business_case[0]/inputs/years[5]/fixed_cost</t>
  </si>
  <si>
    <t xml:space="preserve">strategy_layer/business_case[0]/inputs/years[0]/capex</t>
  </si>
  <si>
    <t xml:space="preserve">2000000000</t>
  </si>
  <si>
    <t xml:space="preserve">strategy_layer/business_case[0]/inputs/years[1]/capex</t>
  </si>
  <si>
    <t xml:space="preserve">100000000</t>
  </si>
  <si>
    <t xml:space="preserve">strategy_layer/business_case[0]/inputs/years[2]/capex</t>
  </si>
  <si>
    <t xml:space="preserve">strategy_layer/business_case[0]/inputs/years[3]/capex</t>
  </si>
  <si>
    <t xml:space="preserve">50000000</t>
  </si>
  <si>
    <t xml:space="preserve">strategy_layer/business_case[0]/inputs/years[4]/capex</t>
  </si>
  <si>
    <t xml:space="preserve">strategy_layer/business_case[0]/inputs/years[5]/capex</t>
  </si>
  <si>
    <t xml:space="preserve">strategy_layer/expected_value/table[0]/option</t>
  </si>
  <si>
    <t xml:space="preserve">strategy_layer/expected_value/table[0]/p_strong</t>
  </si>
  <si>
    <t xml:space="preserve">strategy_layer/expected_value/table[0]/npv_strong</t>
  </si>
  <si>
    <t xml:space="preserve">620</t>
  </si>
  <si>
    <t xml:space="preserve">strategy_layer/expected_value/table[0]/p_moderate</t>
  </si>
  <si>
    <t xml:space="preserve">0.5</t>
  </si>
  <si>
    <t xml:space="preserve">strategy_layer/expected_value/table[0]/npv_moderate</t>
  </si>
  <si>
    <t xml:space="preserve">-35</t>
  </si>
  <si>
    <t xml:space="preserve">strategy_layer/expected_value/table[0]/p_weak</t>
  </si>
  <si>
    <t xml:space="preserve">strategy_layer/expected_value/table[0]/npv_weak</t>
  </si>
  <si>
    <t xml:space="preserve">-540</t>
  </si>
  <si>
    <t xml:space="preserve">strategy_layer/expected_value/table[1]/option</t>
  </si>
  <si>
    <t xml:space="preserve">strategy_layer/expected_value/table[1]/p_strong</t>
  </si>
  <si>
    <t xml:space="preserve">strategy_layer/expected_value/table[1]/npv_strong</t>
  </si>
  <si>
    <t xml:space="preserve">260</t>
  </si>
  <si>
    <t xml:space="preserve">strategy_layer/expected_value/table[1]/p_moderate</t>
  </si>
  <si>
    <t xml:space="preserve">strategy_layer/expected_value/table[1]/npv_moderate</t>
  </si>
  <si>
    <t xml:space="preserve">40</t>
  </si>
  <si>
    <t xml:space="preserve">strategy_layer/expected_value/table[1]/p_weak</t>
  </si>
  <si>
    <t xml:space="preserve">strategy_layer/expected_value/table[1]/npv_weak</t>
  </si>
  <si>
    <t xml:space="preserve">-60</t>
  </si>
  <si>
    <t xml:space="preserve">strategy_layer/expected_value/table[2]/option</t>
  </si>
  <si>
    <t xml:space="preserve">strategy_layer/expected_value/table[2]/p_strong</t>
  </si>
  <si>
    <t xml:space="preserve">strategy_layer/expected_value/table[2]/npv_strong</t>
  </si>
  <si>
    <t xml:space="preserve">strategy_layer/expected_value/table[2]/p_moderate</t>
  </si>
  <si>
    <t xml:space="preserve">strategy_layer/expected_value/table[2]/npv_moderate</t>
  </si>
  <si>
    <t xml:space="preserve">strategy_layer/expected_value/table[2]/p_weak</t>
  </si>
  <si>
    <t xml:space="preserve">strategy_layer/expected_value/table[2]/npv_weak</t>
  </si>
  <si>
    <t xml:space="preserve">strategy_layer/expected_value/table[3]/option</t>
  </si>
  <si>
    <t xml:space="preserve">strategy_layer/expected_value/table[3]/p_strong</t>
  </si>
  <si>
    <t xml:space="preserve">strategy_layer/expected_value/table[3]/npv_strong</t>
  </si>
  <si>
    <t xml:space="preserve">strategy_layer/expected_value/table[3]/p_moderate</t>
  </si>
  <si>
    <t xml:space="preserve">strategy_layer/expected_value/table[3]/npv_moderate</t>
  </si>
  <si>
    <t xml:space="preserve">strategy_layer/expected_value/table[3]/p_weak</t>
  </si>
  <si>
    <t xml:space="preserve">strategy_layer/expected_value/table[3]/npv_weak</t>
  </si>
  <si>
    <t xml:space="preserve">strategy_layer/expected_value/table[4]/option</t>
  </si>
  <si>
    <t xml:space="preserve">strategy_layer/expected_value/table[4]/p_strong</t>
  </si>
  <si>
    <t xml:space="preserve">strategy_layer/expected_value/table[4]/npv_strong</t>
  </si>
  <si>
    <t xml:space="preserve">strategy_layer/expected_value/table[4]/p_moderate</t>
  </si>
  <si>
    <t xml:space="preserve">strategy_layer/expected_value/table[4]/npv_moderate</t>
  </si>
  <si>
    <t xml:space="preserve">strategy_layer/expected_value/table[4]/p_weak</t>
  </si>
  <si>
    <t xml:space="preserve">strategy_layer/expected_value/table[4]/npv_weak</t>
  </si>
  <si>
    <t xml:space="preserve">strategy_layer/expected_value/table[5]/option</t>
  </si>
  <si>
    <t xml:space="preserve">strategy_layer/expected_value/table[5]/p_strong</t>
  </si>
  <si>
    <t xml:space="preserve">strategy_layer/expected_value/table[5]/npv_strong</t>
  </si>
  <si>
    <t xml:space="preserve">strategy_layer/expected_value/table[5]/p_moderate</t>
  </si>
  <si>
    <t xml:space="preserve">strategy_layer/expected_value/table[5]/npv_moderate</t>
  </si>
  <si>
    <t xml:space="preserve">strategy_layer/expected_value/table[5]/p_weak</t>
  </si>
  <si>
    <t xml:space="preserve">strategy_layer/expected_value/table[5]/npv_weak</t>
  </si>
  <si>
    <t xml:space="preserve">strategy_layer/expected_value/pilot/likelihoods/strong[0]</t>
  </si>
  <si>
    <t xml:space="preserve">0.8</t>
  </si>
  <si>
    <t xml:space="preserve">strategy_layer/expected_value/pilot/likelihoods/strong[1]</t>
  </si>
  <si>
    <t xml:space="preserve">strategy_layer/expected_value/pilot/likelihoods/moderate[0]</t>
  </si>
  <si>
    <t xml:space="preserve">strategy_layer/expected_value/pilot/likelihoods/moderate[1]</t>
  </si>
  <si>
    <t xml:space="preserve">strategy_layer/expected_value/pilot/likelihoods/weak[0]</t>
  </si>
  <si>
    <t xml:space="preserve">strategy_layer/expected_value/pilot/likelihoods/weak[1]</t>
  </si>
  <si>
    <t xml:space="preserve">0.85</t>
  </si>
  <si>
    <t xml:space="preserve">strategy_layer/expected_value/pilot/cost</t>
  </si>
  <si>
    <t xml:space="preserve">25</t>
  </si>
  <si>
    <t xml:space="preserve">strategy_layer/risk_analysis/ranges/price[0]</t>
  </si>
  <si>
    <t xml:space="preserve">-0.08</t>
  </si>
  <si>
    <t xml:space="preserve">strategy_layer/risk_analysis/ranges/price[1]</t>
  </si>
  <si>
    <t xml:space="preserve">0.0</t>
  </si>
  <si>
    <t xml:space="preserve">strategy_layer/risk_analysis/ranges/price[2]</t>
  </si>
  <si>
    <t xml:space="preserve">strategy_layer/risk_analysis/ranges/units[0]</t>
  </si>
  <si>
    <t xml:space="preserve">-0.2</t>
  </si>
  <si>
    <t xml:space="preserve">strategy_layer/risk_analysis/ranges/units[1]</t>
  </si>
  <si>
    <t xml:space="preserve">strategy_layer/risk_analysis/ranges/units[2]</t>
  </si>
  <si>
    <t xml:space="preserve">strategy_layer/risk_analysis/ranges/variable_cost[0]</t>
  </si>
  <si>
    <t xml:space="preserve">-0.05</t>
  </si>
  <si>
    <t xml:space="preserve">strategy_layer/risk_analysis/ranges/variable_cost[1]</t>
  </si>
  <si>
    <t xml:space="preserve">strategy_layer/risk_analysis/ranges/variable_cost[2]</t>
  </si>
  <si>
    <t xml:space="preserve">strategy_layer/risk_analysis/ranges/fixed_cost[0]</t>
  </si>
  <si>
    <t xml:space="preserve">strategy_layer/risk_analysis/ranges/fixed_cost[1]</t>
  </si>
  <si>
    <t xml:space="preserve">strategy_layer/risk_analysis/ranges/fixed_cost[2]</t>
  </si>
  <si>
    <t xml:space="preserve">strategy_layer/risk_analysis/ranges/capex[0]</t>
  </si>
  <si>
    <t xml:space="preserve">strategy_layer/risk_analysis/ranges/capex[1]</t>
  </si>
  <si>
    <t xml:space="preserve">strategy_layer/risk_analysis/ranges/capex[2]</t>
  </si>
  <si>
    <t xml:space="preserve">strategy_layer/risk_analysis/ranges/rate[0]</t>
  </si>
  <si>
    <t xml:space="preserve">strategy_layer/risk_analysis/ranges/rate[1]</t>
  </si>
  <si>
    <t xml:space="preserve">strategy_layer/risk_analysis/ranges/rate[2]</t>
  </si>
  <si>
    <t xml:space="preserve">strategy_layer/pricing/variable_cost</t>
  </si>
  <si>
    <t xml:space="preserve">strategy_layer/pricing/fixed_costs</t>
  </si>
  <si>
    <t xml:space="preserve">strategy_layer/pricing/range_low</t>
  </si>
  <si>
    <t xml:space="preserve">28000</t>
  </si>
  <si>
    <t xml:space="preserve">strategy_layer/pricing/range_high</t>
  </si>
  <si>
    <t xml:space="preserve">36000</t>
  </si>
  <si>
    <t xml:space="preserve">strategy_layer/pricing/points[0]/price</t>
  </si>
  <si>
    <t xml:space="preserve">strategy_layer/pricing/points[0]/volume</t>
  </si>
  <si>
    <t xml:space="preserve">42000</t>
  </si>
  <si>
    <t xml:space="preserve">strategy_layer/pricing/points[1]/price</t>
  </si>
  <si>
    <t xml:space="preserve">strategy_layer/pricing/points[1]/volume</t>
  </si>
  <si>
    <t xml:space="preserve">39000</t>
  </si>
  <si>
    <t xml:space="preserve">strategy_layer/pricing/points[2]/price</t>
  </si>
  <si>
    <t xml:space="preserve">strategy_layer/pricing/points[2]/volume</t>
  </si>
  <si>
    <t xml:space="preserve">strategy_layer/pricing/points[3]/price</t>
  </si>
  <si>
    <t xml:space="preserve">34000</t>
  </si>
  <si>
    <t xml:space="preserve">strategy_layer/pricing/points[3]/volume</t>
  </si>
  <si>
    <t xml:space="preserve">31000</t>
  </si>
  <si>
    <t xml:space="preserve">strategy_layer/pricing/points[4]/price</t>
  </si>
  <si>
    <t xml:space="preserve">strategy_layer/pricing/points[4]/volume</t>
  </si>
  <si>
    <t xml:space="preserve">26000</t>
  </si>
  <si>
    <t xml:space="preserve">strategy_layer/pricing/points[5]/price</t>
  </si>
  <si>
    <t xml:space="preserve">strategy_layer/pricing/points[5]/volume</t>
  </si>
  <si>
    <t xml:space="preserve">strategy_layer/pricing/points[6]/price</t>
  </si>
  <si>
    <t xml:space="preserve">strategy_layer/pricing/points[6]/volume</t>
  </si>
  <si>
    <t xml:space="preserve">strategy_layer/pricing/points[7]/price</t>
  </si>
  <si>
    <t xml:space="preserve">strategy_layer/pricing/points[7]/volume</t>
  </si>
  <si>
    <t xml:space="preserve">strategy_layer/stress_test/assumptions[0]/assumption</t>
  </si>
  <si>
    <t xml:space="preserve">"Units in year 3"</t>
  </si>
  <si>
    <t xml:space="preserve">strategy_layer/stress_test/assumptions[0]/value</t>
  </si>
  <si>
    <t xml:space="preserve">strategy_layer/stress_test/assumptions[0]/break_even</t>
  </si>
  <si>
    <t xml:space="preserve">96700</t>
  </si>
  <si>
    <t xml:space="preserve">strategy_layer/stress_test/assumptions[0]/evidence</t>
  </si>
  <si>
    <t xml:space="preserve">"Business case; 0.5% headroom"</t>
  </si>
  <si>
    <t xml:space="preserve">strategy_layer/stress_test/assumptions[1]/assumption</t>
  </si>
  <si>
    <t xml:space="preserve">"Price per unit"</t>
  </si>
  <si>
    <t xml:space="preserve">strategy_layer/stress_test/assumptions[1]/value</t>
  </si>
  <si>
    <t xml:space="preserve">strategy_layer/stress_test/assumptions[1]/break_even</t>
  </si>
  <si>
    <t xml:space="preserve">31850</t>
  </si>
  <si>
    <t xml:space="preserve">strategy_layer/stress_test/assumptions[1]/evidence</t>
  </si>
  <si>
    <t xml:space="preserve">"Peer median EUR price"</t>
  </si>
  <si>
    <t xml:space="preserve">strategy_layer/stress_test/assumptions[2]/assumption</t>
  </si>
  <si>
    <t xml:space="preserve">"Variable cost per unit"</t>
  </si>
  <si>
    <t xml:space="preserve">strategy_layer/stress_test/assumptions[2]/value</t>
  </si>
  <si>
    <t xml:space="preserve">strategy_layer/stress_test/assumptions[2]/break_even</t>
  </si>
  <si>
    <t xml:space="preserve">20150</t>
  </si>
  <si>
    <t xml:space="preserve">strategy_layer/stress_test/assumptions[2]/evidence</t>
  </si>
  <si>
    <t xml:space="preserve">"China cost + EU labour"</t>
  </si>
  <si>
    <t xml:space="preserve">strategy_layer/stress_test/assumptions[3]/assumption</t>
  </si>
  <si>
    <t xml:space="preserve">strategy_layer/stress_test/assumptions[3]/value</t>
  </si>
  <si>
    <t xml:space="preserve">strategy_layer/stress_test/assumptions[3]/break_even</t>
  </si>
  <si>
    <t xml:space="preserve">strategy_layer/stress_test/assumptions[3]/evidence</t>
  </si>
  <si>
    <t xml:space="preserve">strategy_layer/stress_test/assumptions[4]/assumption</t>
  </si>
  <si>
    <t xml:space="preserve">strategy_layer/stress_test/assumptions[4]/value</t>
  </si>
  <si>
    <t xml:space="preserve">strategy_layer/stress_test/assumptions[4]/break_even</t>
  </si>
  <si>
    <t xml:space="preserve">strategy_layer/stress_test/assumptions[4]/evidence</t>
  </si>
  <si>
    <t xml:space="preserve">strategy_layer/stress_test/assumptions[5]/assumption</t>
  </si>
  <si>
    <t xml:space="preserve">strategy_layer/stress_test/assumptions[5]/value</t>
  </si>
  <si>
    <t xml:space="preserve">strategy_layer/stress_test/assumptions[5]/break_even</t>
  </si>
  <si>
    <t xml:space="preserve">strategy_layer/stress_test/assumptions[5]/evidence</t>
  </si>
  <si>
    <t xml:space="preserve">strategy_layer/stress_test/assumptions[6]/assumption</t>
  </si>
  <si>
    <t xml:space="preserve">strategy_layer/stress_test/assumptions[6]/value</t>
  </si>
  <si>
    <t xml:space="preserve">strategy_layer/stress_test/assumptions[6]/break_even</t>
  </si>
  <si>
    <t xml:space="preserve">strategy_layer/stress_test/assumptions[6]/evidence</t>
  </si>
  <si>
    <t xml:space="preserve">strategy_layer/stress_test/assumptions[7]/assumption</t>
  </si>
  <si>
    <t xml:space="preserve">strategy_layer/stress_test/assumptions[7]/value</t>
  </si>
  <si>
    <t xml:space="preserve">strategy_layer/stress_test/assumptions[7]/break_even</t>
  </si>
  <si>
    <t xml:space="preserve">strategy_layer/stress_test/assumptions[7]/evidence</t>
  </si>
  <si>
    <t xml:space="preserve">strategy_layer/stress_test/war_game[0]/rival</t>
  </si>
  <si>
    <t xml:space="preserve">strategy_layer/stress_test/war_game[0]/response</t>
  </si>
  <si>
    <t xml:space="preserve">"Cuts Model 3 price 5-8%"</t>
  </si>
  <si>
    <t xml:space="preserve">strategy_layer/stress_test/war_game[0]/effect</t>
  </si>
  <si>
    <t xml:space="preserve">"Squeezes our price premium headroom"</t>
  </si>
  <si>
    <t xml:space="preserve">strategy_layer/stress_test/war_game[0]/counter</t>
  </si>
  <si>
    <t xml:space="preserve">"Hold price; add a resale guarantee"</t>
  </si>
  <si>
    <t xml:space="preserve">strategy_layer/stress_test/war_game[1]/rival</t>
  </si>
  <si>
    <t xml:space="preserve">strategy_layer/stress_test/war_game[1]/response</t>
  </si>
  <si>
    <t xml:space="preserve">"Launches a EUR 25k ID model"</t>
  </si>
  <si>
    <t xml:space="preserve">strategy_layer/stress_test/war_game[1]/effect</t>
  </si>
  <si>
    <t xml:space="preserve">"Direct competitor with dealer reach"</t>
  </si>
  <si>
    <t xml:space="preserve">strategy_layer/stress_test/war_game[1]/counter</t>
  </si>
  <si>
    <t xml:space="preserve">"Move first; lock fleet deals"</t>
  </si>
  <si>
    <t xml:space="preserve">strategy_layer/stress_test/war_game[2]/rival</t>
  </si>
  <si>
    <t xml:space="preserve">strategy_layer/stress_test/war_game[2]/response</t>
  </si>
  <si>
    <t xml:space="preserve">"Enters EU with a software-rich compact"</t>
  </si>
  <si>
    <t xml:space="preserve">strategy_layer/stress_test/war_game[2]/effect</t>
  </si>
  <si>
    <t xml:space="preserve">"Beats us on K2"</t>
  </si>
  <si>
    <t xml:space="preserve">strategy_layer/stress_test/war_game[2]/counter</t>
  </si>
  <si>
    <t xml:space="preserve">"Software partnership; faster OTA"</t>
  </si>
  <si>
    <t xml:space="preserve">strategy_layer/stress_test/war_game[3]/rival</t>
  </si>
  <si>
    <t xml:space="preserve">strategy_layer/stress_test/war_game[3]/response</t>
  </si>
  <si>
    <t xml:space="preserve">strategy_layer/stress_test/war_game[3]/effect</t>
  </si>
  <si>
    <t xml:space="preserve">strategy_layer/stress_test/war_game[3]/counter</t>
  </si>
  <si>
    <t xml:space="preserve">strategy_layer/stress_test/war_game[4]/rival</t>
  </si>
  <si>
    <t xml:space="preserve">strategy_layer/stress_test/war_game[4]/response</t>
  </si>
  <si>
    <t xml:space="preserve">strategy_layer/stress_test/war_game[4]/effect</t>
  </si>
  <si>
    <t xml:space="preserve">strategy_layer/stress_test/war_game[4]/counter</t>
  </si>
  <si>
    <t xml:space="preserve">strategy_layer/stress_test/risks[0]/risk</t>
  </si>
  <si>
    <t xml:space="preserve">"Price war in the compact segment"</t>
  </si>
  <si>
    <t xml:space="preserve">strategy_layer/stress_test/risks[0]/likelihood</t>
  </si>
  <si>
    <t xml:space="preserve">strategy_layer/stress_test/risks[0]/impact</t>
  </si>
  <si>
    <t xml:space="preserve">strategy_layer/stress_test/risks[0]/owner</t>
  </si>
  <si>
    <t xml:space="preserve">"CMO"</t>
  </si>
  <si>
    <t xml:space="preserve">G26</t>
  </si>
  <si>
    <t xml:space="preserve">strategy_layer/stress_test/risks[0]/mitigation</t>
  </si>
  <si>
    <t xml:space="preserve">"Hold price; add value"</t>
  </si>
  <si>
    <t xml:space="preserve">strategy_layer/stress_test/risks[0]/trigger</t>
  </si>
  <si>
    <t xml:space="preserve">"A rival cuts &gt; 5%"</t>
  </si>
  <si>
    <t xml:space="preserve">strategy_layer/stress_test/risks[1]/risk</t>
  </si>
  <si>
    <t xml:space="preserve">"EU duties rise further"</t>
  </si>
  <si>
    <t xml:space="preserve">strategy_layer/stress_test/risks[1]/likelihood</t>
  </si>
  <si>
    <t xml:space="preserve">strategy_layer/stress_test/risks[1]/impact</t>
  </si>
  <si>
    <t xml:space="preserve">strategy_layer/stress_test/risks[1]/owner</t>
  </si>
  <si>
    <t xml:space="preserve">"Head of Public Affairs"</t>
  </si>
  <si>
    <t xml:space="preserve">G27</t>
  </si>
  <si>
    <t xml:space="preserve">strategy_layer/stress_test/risks[1]/mitigation</t>
  </si>
  <si>
    <t xml:space="preserve">"Local content above 40%"</t>
  </si>
  <si>
    <t xml:space="preserve">strategy_layer/stress_test/risks[1]/trigger</t>
  </si>
  <si>
    <t xml:space="preserve">"Commission review opens"</t>
  </si>
  <si>
    <t xml:space="preserve">strategy_layer/stress_test/risks[2]/risk</t>
  </si>
  <si>
    <t xml:space="preserve">"Plant ramp delay"</t>
  </si>
  <si>
    <t xml:space="preserve">strategy_layer/stress_test/risks[2]/likelihood</t>
  </si>
  <si>
    <t xml:space="preserve">strategy_layer/stress_test/risks[2]/impact</t>
  </si>
  <si>
    <t xml:space="preserve">strategy_layer/stress_test/risks[2]/owner</t>
  </si>
  <si>
    <t xml:space="preserve">"COO"</t>
  </si>
  <si>
    <t xml:space="preserve">G28</t>
  </si>
  <si>
    <t xml:space="preserve">strategy_layer/stress_test/risks[2]/mitigation</t>
  </si>
  <si>
    <t xml:space="preserve">"Pilot line first"</t>
  </si>
  <si>
    <t xml:space="preserve">strategy_layer/stress_test/risks[2]/trigger</t>
  </si>
  <si>
    <t xml:space="preserve">"Milestone slips 4 weeks"</t>
  </si>
  <si>
    <t xml:space="preserve">strategy_layer/stress_test/risks[3]/risk</t>
  </si>
  <si>
    <t xml:space="preserve">strategy_layer/stress_test/risks[3]/likelihood</t>
  </si>
  <si>
    <t xml:space="preserve">strategy_layer/stress_test/risks[3]/impact</t>
  </si>
  <si>
    <t xml:space="preserve">strategy_layer/stress_test/risks[3]/owner</t>
  </si>
  <si>
    <t xml:space="preserve">G29</t>
  </si>
  <si>
    <t xml:space="preserve">strategy_layer/stress_test/risks[3]/mitigation</t>
  </si>
  <si>
    <t xml:space="preserve">strategy_layer/stress_test/risks[3]/trigger</t>
  </si>
  <si>
    <t xml:space="preserve">strategy_layer/stress_test/risks[4]/risk</t>
  </si>
  <si>
    <t xml:space="preserve">strategy_layer/stress_test/risks[4]/likelihood</t>
  </si>
  <si>
    <t xml:space="preserve">strategy_layer/stress_test/risks[4]/impact</t>
  </si>
  <si>
    <t xml:space="preserve">strategy_layer/stress_test/risks[4]/owner</t>
  </si>
  <si>
    <t xml:space="preserve">G30</t>
  </si>
  <si>
    <t xml:space="preserve">strategy_layer/stress_test/risks[4]/mitigation</t>
  </si>
  <si>
    <t xml:space="preserve">strategy_layer/stress_test/risks[4]/trigger</t>
  </si>
  <si>
    <t xml:space="preserve">strategy_layer/stress_test/risks[5]/risk</t>
  </si>
  <si>
    <t xml:space="preserve">strategy_layer/stress_test/risks[5]/likelihood</t>
  </si>
  <si>
    <t xml:space="preserve">strategy_layer/stress_test/risks[5]/impact</t>
  </si>
  <si>
    <t xml:space="preserve">strategy_layer/stress_test/risks[5]/owner</t>
  </si>
  <si>
    <t xml:space="preserve">strategy_layer/stress_test/risks[5]/mitigation</t>
  </si>
  <si>
    <t xml:space="preserve">strategy_layer/stress_test/risks[5]/trigger</t>
  </si>
  <si>
    <t xml:space="preserve">strategy_layer/stress_test/risks[6]/risk</t>
  </si>
  <si>
    <t xml:space="preserve">strategy_layer/stress_test/risks[6]/likelihood</t>
  </si>
  <si>
    <t xml:space="preserve">strategy_layer/stress_test/risks[6]/impact</t>
  </si>
  <si>
    <t xml:space="preserve">strategy_layer/stress_test/risks[6]/owner</t>
  </si>
  <si>
    <t xml:space="preserve">strategy_layer/stress_test/risks[6]/mitigation</t>
  </si>
  <si>
    <t xml:space="preserve">strategy_layer/stress_test/risks[6]/trigger</t>
  </si>
  <si>
    <t xml:space="preserve">strategy_layer/stress_test/risks[7]/risk</t>
  </si>
  <si>
    <t xml:space="preserve">strategy_layer/stress_test/risks[7]/likelihood</t>
  </si>
  <si>
    <t xml:space="preserve">strategy_layer/stress_test/risks[7]/impact</t>
  </si>
  <si>
    <t xml:space="preserve">strategy_layer/stress_test/risks[7]/owner</t>
  </si>
  <si>
    <t xml:space="preserve">strategy_layer/stress_test/risks[7]/mitigation</t>
  </si>
  <si>
    <t xml:space="preserve">strategy_layer/stress_test/risks[7]/trigger</t>
  </si>
  <si>
    <t xml:space="preserve">strategy_layer/stress_test/risks[8]/risk</t>
  </si>
  <si>
    <t xml:space="preserve">strategy_layer/stress_test/risks[8]/likelihood</t>
  </si>
  <si>
    <t xml:space="preserve">strategy_layer/stress_test/risks[8]/impact</t>
  </si>
  <si>
    <t xml:space="preserve">strategy_layer/stress_test/risks[8]/owner</t>
  </si>
  <si>
    <t xml:space="preserve">strategy_layer/stress_test/risks[8]/mitigation</t>
  </si>
  <si>
    <t xml:space="preserve">strategy_layer/stress_test/risks[8]/trigger</t>
  </si>
  <si>
    <t xml:space="preserve">strategy_layer/stress_test/risks[9]/risk</t>
  </si>
  <si>
    <t xml:space="preserve">strategy_layer/stress_test/risks[9]/likelihood</t>
  </si>
  <si>
    <t xml:space="preserve">strategy_layer/stress_test/risks[9]/impact</t>
  </si>
  <si>
    <t xml:space="preserve">strategy_layer/stress_test/risks[9]/owner</t>
  </si>
  <si>
    <t xml:space="preserve">strategy_layer/stress_test/risks[9]/mitigation</t>
  </si>
  <si>
    <t xml:space="preserve">strategy_layer/stress_test/risks[9]/trigger</t>
  </si>
  <si>
    <t xml:space="preserve">strategy_layer/gtm/beachhead</t>
  </si>
  <si>
    <t xml:space="preserve">"Urban households and small fleets in Germany"</t>
  </si>
  <si>
    <t xml:space="preserve">strategy_layer/gtm/icp</t>
  </si>
  <si>
    <t xml:space="preserve">"Two-car households; fleets of 10-50 cars"</t>
  </si>
  <si>
    <t xml:space="preserve">strategy_layer/gtm/value_prop</t>
  </si>
  <si>
    <t xml:space="preserve">"A dependable EV compact under EUR 25k with a battery-backed resale guarantee"</t>
  </si>
  <si>
    <t xml:space="preserve">strategy_layer/gtm/channels[0]/channel</t>
  </si>
  <si>
    <t xml:space="preserve">"Dealer partners"</t>
  </si>
  <si>
    <t xml:space="preserve">strategy_layer/gtm/channels[0]/spend</t>
  </si>
  <si>
    <t xml:space="preserve">2000000</t>
  </si>
  <si>
    <t xml:space="preserve">strategy_layer/gtm/channels[0]/reach</t>
  </si>
  <si>
    <t xml:space="preserve">400000</t>
  </si>
  <si>
    <t xml:space="preserve">strategy_layer/gtm/channels[0]/lead_rate</t>
  </si>
  <si>
    <t xml:space="preserve">strategy_layer/gtm/channels[0]/close_rate</t>
  </si>
  <si>
    <t xml:space="preserve">strategy_layer/gtm/channels[1]/channel</t>
  </si>
  <si>
    <t xml:space="preserve">"Online direct"</t>
  </si>
  <si>
    <t xml:space="preserve">strategy_layer/gtm/channels[1]/spend</t>
  </si>
  <si>
    <t xml:space="preserve">1500000</t>
  </si>
  <si>
    <t xml:space="preserve">strategy_layer/gtm/channels[1]/reach</t>
  </si>
  <si>
    <t xml:space="preserve">900000</t>
  </si>
  <si>
    <t xml:space="preserve">strategy_layer/gtm/channels[1]/lead_rate</t>
  </si>
  <si>
    <t xml:space="preserve">0.01</t>
  </si>
  <si>
    <t xml:space="preserve">strategy_layer/gtm/channels[1]/close_rate</t>
  </si>
  <si>
    <t xml:space="preserve">strategy_layer/gtm/channels[2]/channel</t>
  </si>
  <si>
    <t xml:space="preserve">"Fleet sales team"</t>
  </si>
  <si>
    <t xml:space="preserve">strategy_layer/gtm/channels[2]/spend</t>
  </si>
  <si>
    <t xml:space="preserve">strategy_layer/gtm/channels[2]/reach</t>
  </si>
  <si>
    <t xml:space="preserve">5000</t>
  </si>
  <si>
    <t xml:space="preserve">strategy_layer/gtm/channels[2]/lead_rate</t>
  </si>
  <si>
    <t xml:space="preserve">strategy_layer/gtm/channels[2]/close_rate</t>
  </si>
  <si>
    <t xml:space="preserve">strategy_layer/gtm/channels[3]/channel</t>
  </si>
  <si>
    <t xml:space="preserve">strategy_layer/gtm/channels[3]/spend</t>
  </si>
  <si>
    <t xml:space="preserve">strategy_layer/gtm/channels[3]/reach</t>
  </si>
  <si>
    <t xml:space="preserve">strategy_layer/gtm/channels[3]/lead_rate</t>
  </si>
  <si>
    <t xml:space="preserve">strategy_layer/gtm/channels[3]/close_rate</t>
  </si>
  <si>
    <t xml:space="preserve">strategy_layer/gtm/channels[4]/channel</t>
  </si>
  <si>
    <t xml:space="preserve">strategy_layer/gtm/channels[4]/spend</t>
  </si>
  <si>
    <t xml:space="preserve">strategy_layer/gtm/channels[4]/reach</t>
  </si>
  <si>
    <t xml:space="preserve">strategy_layer/gtm/channels[4]/lead_rate</t>
  </si>
  <si>
    <t xml:space="preserve">strategy_layer/gtm/channels[4]/close_rate</t>
  </si>
  <si>
    <t xml:space="preserve">strategy_layer/gtm/channels[5]/channel</t>
  </si>
  <si>
    <t xml:space="preserve">strategy_layer/gtm/channels[5]/spend</t>
  </si>
  <si>
    <t xml:space="preserve">strategy_layer/gtm/channels[5]/reach</t>
  </si>
  <si>
    <t xml:space="preserve">strategy_layer/gtm/channels[5]/lead_rate</t>
  </si>
  <si>
    <t xml:space="preserve">strategy_layer/gtm/channels[5]/close_rate</t>
  </si>
  <si>
    <t xml:space="preserve">strategy_layer/gtm/channels[6]/channel</t>
  </si>
  <si>
    <t xml:space="preserve">strategy_layer/gtm/channels[6]/spend</t>
  </si>
  <si>
    <t xml:space="preserve">strategy_layer/gtm/channels[6]/reach</t>
  </si>
  <si>
    <t xml:space="preserve">strategy_layer/gtm/channels[6]/lead_rate</t>
  </si>
  <si>
    <t xml:space="preserve">strategy_layer/gtm/channels[6]/close_rate</t>
  </si>
  <si>
    <t xml:space="preserve">strategy_layer/gtm/channels[7]/channel</t>
  </si>
  <si>
    <t xml:space="preserve">strategy_layer/gtm/channels[7]/spend</t>
  </si>
  <si>
    <t xml:space="preserve">strategy_layer/gtm/channels[7]/reach</t>
  </si>
  <si>
    <t xml:space="preserve">strategy_layer/gtm/channels[7]/lead_rate</t>
  </si>
  <si>
    <t xml:space="preserve">strategy_layer/gtm/channels[7]/close_rate</t>
  </si>
  <si>
    <t xml:space="preserve">strategy_layer/gtm/phases[0]/phase</t>
  </si>
  <si>
    <t xml:space="preserve">"1. Beachhead"</t>
  </si>
  <si>
    <t xml:space="preserve">strategy_layer/gtm/phases[0]/when</t>
  </si>
  <si>
    <t xml:space="preserve">"Months 0-6"</t>
  </si>
  <si>
    <t xml:space="preserve">strategy_layer/gtm/phases[0]/goal</t>
  </si>
  <si>
    <t xml:space="preserve">"10k orders in Germany"</t>
  </si>
  <si>
    <t xml:space="preserve">strategy_layer/gtm/phases[0]/gate</t>
  </si>
  <si>
    <t xml:space="preserve">"CAC below LTV/3"</t>
  </si>
  <si>
    <t xml:space="preserve">strategy_layer/gtm/phases[1]/phase</t>
  </si>
  <si>
    <t xml:space="preserve">"2. Expand"</t>
  </si>
  <si>
    <t xml:space="preserve">strategy_layer/gtm/phases[1]/when</t>
  </si>
  <si>
    <t xml:space="preserve">"Months 6-18"</t>
  </si>
  <si>
    <t xml:space="preserve">strategy_layer/gtm/phases[1]/goal</t>
  </si>
  <si>
    <t xml:space="preserve">"France and Benelux"</t>
  </si>
  <si>
    <t xml:space="preserve">strategy_layer/gtm/phases[1]/gate</t>
  </si>
  <si>
    <t xml:space="preserve">"Dealer NPS above 40"</t>
  </si>
  <si>
    <t xml:space="preserve">strategy_layer/gtm/phases[2]/phase</t>
  </si>
  <si>
    <t xml:space="preserve">"3. Scale"</t>
  </si>
  <si>
    <t xml:space="preserve">strategy_layer/gtm/phases[2]/when</t>
  </si>
  <si>
    <t xml:space="preserve">"Months 18-36"</t>
  </si>
  <si>
    <t xml:space="preserve">strategy_layer/gtm/phases[2]/goal</t>
  </si>
  <si>
    <t xml:space="preserve">"EU-wide"</t>
  </si>
  <si>
    <t xml:space="preserve">strategy_layer/gtm/phases[2]/gate</t>
  </si>
  <si>
    <t xml:space="preserve">"Plant at 80% utilisation"</t>
  </si>
  <si>
    <t xml:space="preserve">strategy_layer/gtm/phases[3]/phase</t>
  </si>
  <si>
    <t xml:space="preserve">strategy_layer/gtm/phases[3]/when</t>
  </si>
  <si>
    <t xml:space="preserve">strategy_layer/gtm/phases[3]/goal</t>
  </si>
  <si>
    <t xml:space="preserve">strategy_layer/gtm/phases[3]/gate</t>
  </si>
  <si>
    <t xml:space="preserve">strategy_layer/initiatives[0]/id</t>
  </si>
  <si>
    <t xml:space="preserve">"I1"</t>
  </si>
  <si>
    <t xml:space="preserve">strategy_layer/initiatives[0]/initiative</t>
  </si>
  <si>
    <t xml:space="preserve">"Sign two German dealer groups"</t>
  </si>
  <si>
    <t xml:space="preserve">strategy_layer/initiatives[0]/traces_to</t>
  </si>
  <si>
    <t xml:space="preserve">"GB:access"</t>
  </si>
  <si>
    <t xml:space="preserve">strategy_layer/initiatives[0]/reach</t>
  </si>
  <si>
    <t xml:space="preserve">strategy_layer/initiatives[0]/impact</t>
  </si>
  <si>
    <t xml:space="preserve">strategy_layer/initiatives[0]/confidence</t>
  </si>
  <si>
    <t xml:space="preserve">strategy_layer/initiatives[0]/effort</t>
  </si>
  <si>
    <t xml:space="preserve">strategy_layer/initiatives[0]/depends_on</t>
  </si>
  <si>
    <t xml:space="preserve">strategy_layer/initiatives[0]/status</t>
  </si>
  <si>
    <t xml:space="preserve">"now"</t>
  </si>
  <si>
    <t xml:space="preserve">strategy_layer/initiatives[1]/id</t>
  </si>
  <si>
    <t xml:space="preserve">"I2"</t>
  </si>
  <si>
    <t xml:space="preserve">strategy_layer/initiatives[1]/initiative</t>
  </si>
  <si>
    <t xml:space="preserve">"Cut EU variable cost 6% with local cells"</t>
  </si>
  <si>
    <t xml:space="preserve">strategy_layer/initiatives[1]/traces_to</t>
  </si>
  <si>
    <t xml:space="preserve">strategy_layer/initiatives[1]/reach</t>
  </si>
  <si>
    <t xml:space="preserve">strategy_layer/initiatives[1]/impact</t>
  </si>
  <si>
    <t xml:space="preserve">strategy_layer/initiatives[1]/confidence</t>
  </si>
  <si>
    <t xml:space="preserve">strategy_layer/initiatives[1]/effort</t>
  </si>
  <si>
    <t xml:space="preserve">strategy_layer/initiatives[1]/depends_on</t>
  </si>
  <si>
    <t xml:space="preserve">"I4"</t>
  </si>
  <si>
    <t xml:space="preserve">strategy_layer/initiatives[1]/status</t>
  </si>
  <si>
    <t xml:space="preserve">"next"</t>
  </si>
  <si>
    <t xml:space="preserve">strategy_layer/initiatives[2]/id</t>
  </si>
  <si>
    <t xml:space="preserve">"I3"</t>
  </si>
  <si>
    <t xml:space="preserve">strategy_layer/initiatives[2]/initiative</t>
  </si>
  <si>
    <t xml:space="preserve">"Software partnership for the EU app"</t>
  </si>
  <si>
    <t xml:space="preserve">strategy_layer/initiatives[2]/traces_to</t>
  </si>
  <si>
    <t xml:space="preserve">strategy_layer/initiatives[2]/reach</t>
  </si>
  <si>
    <t xml:space="preserve">strategy_layer/initiatives[2]/impact</t>
  </si>
  <si>
    <t xml:space="preserve">strategy_layer/initiatives[2]/confidence</t>
  </si>
  <si>
    <t xml:space="preserve">strategy_layer/initiatives[2]/effort</t>
  </si>
  <si>
    <t xml:space="preserve">strategy_layer/initiatives[2]/depends_on</t>
  </si>
  <si>
    <t xml:space="preserve">strategy_layer/initiatives[2]/status</t>
  </si>
  <si>
    <t xml:space="preserve">strategy_layer/initiatives[3]/id</t>
  </si>
  <si>
    <t xml:space="preserve">strategy_layer/initiatives[3]/initiative</t>
  </si>
  <si>
    <t xml:space="preserve">"Hungary pilot line"</t>
  </si>
  <si>
    <t xml:space="preserve">strategy_layer/initiatives[3]/traces_to</t>
  </si>
  <si>
    <t xml:space="preserve">strategy_layer/initiatives[3]/reach</t>
  </si>
  <si>
    <t xml:space="preserve">10000</t>
  </si>
  <si>
    <t xml:space="preserve">strategy_layer/initiatives[3]/impact</t>
  </si>
  <si>
    <t xml:space="preserve">strategy_layer/initiatives[3]/confidence</t>
  </si>
  <si>
    <t xml:space="preserve">0.7</t>
  </si>
  <si>
    <t xml:space="preserve">strategy_layer/initiatives[3]/effort</t>
  </si>
  <si>
    <t xml:space="preserve">strategy_layer/initiatives[3]/depends_on</t>
  </si>
  <si>
    <t xml:space="preserve">strategy_layer/initiatives[3]/status</t>
  </si>
  <si>
    <t xml:space="preserve">strategy_layer/initiatives[4]/id</t>
  </si>
  <si>
    <t xml:space="preserve">strategy_layer/initiatives[4]/initiative</t>
  </si>
  <si>
    <t xml:space="preserve">strategy_layer/initiatives[4]/traces_to</t>
  </si>
  <si>
    <t xml:space="preserve">strategy_layer/initiatives[4]/reach</t>
  </si>
  <si>
    <t xml:space="preserve">strategy_layer/initiatives[4]/impact</t>
  </si>
  <si>
    <t xml:space="preserve">strategy_layer/initiatives[4]/confidence</t>
  </si>
  <si>
    <t xml:space="preserve">strategy_layer/initiatives[4]/effort</t>
  </si>
  <si>
    <t xml:space="preserve">strategy_layer/initiatives[4]/depends_on</t>
  </si>
  <si>
    <t xml:space="preserve">strategy_layer/initiatives[4]/status</t>
  </si>
  <si>
    <t xml:space="preserve">strategy_layer/initiatives[5]/id</t>
  </si>
  <si>
    <t xml:space="preserve">strategy_layer/initiatives[5]/initiative</t>
  </si>
  <si>
    <t xml:space="preserve">strategy_layer/initiatives[5]/traces_to</t>
  </si>
  <si>
    <t xml:space="preserve">strategy_layer/initiatives[5]/reach</t>
  </si>
  <si>
    <t xml:space="preserve">strategy_layer/initiatives[5]/impact</t>
  </si>
  <si>
    <t xml:space="preserve">strategy_layer/initiatives[5]/confidence</t>
  </si>
  <si>
    <t xml:space="preserve">strategy_layer/initiatives[5]/effort</t>
  </si>
  <si>
    <t xml:space="preserve">strategy_layer/initiatives[5]/depends_on</t>
  </si>
  <si>
    <t xml:space="preserve">strategy_layer/initiatives[5]/status</t>
  </si>
  <si>
    <t xml:space="preserve">strategy_layer/initiatives[6]/id</t>
  </si>
  <si>
    <t xml:space="preserve">strategy_layer/initiatives[6]/initiative</t>
  </si>
  <si>
    <t xml:space="preserve">strategy_layer/initiatives[6]/traces_to</t>
  </si>
  <si>
    <t xml:space="preserve">strategy_layer/initiatives[6]/reach</t>
  </si>
  <si>
    <t xml:space="preserve">strategy_layer/initiatives[6]/impact</t>
  </si>
  <si>
    <t xml:space="preserve">strategy_layer/initiatives[6]/confidence</t>
  </si>
  <si>
    <t xml:space="preserve">strategy_layer/initiatives[6]/effort</t>
  </si>
  <si>
    <t xml:space="preserve">strategy_layer/initiatives[6]/depends_on</t>
  </si>
  <si>
    <t xml:space="preserve">strategy_layer/initiatives[6]/status</t>
  </si>
  <si>
    <t xml:space="preserve">strategy_layer/initiatives[7]/id</t>
  </si>
  <si>
    <t xml:space="preserve">strategy_layer/initiatives[7]/initiative</t>
  </si>
  <si>
    <t xml:space="preserve">strategy_layer/initiatives[7]/traces_to</t>
  </si>
  <si>
    <t xml:space="preserve">strategy_layer/initiatives[7]/reach</t>
  </si>
  <si>
    <t xml:space="preserve">strategy_layer/initiatives[7]/impact</t>
  </si>
  <si>
    <t xml:space="preserve">strategy_layer/initiatives[7]/confidence</t>
  </si>
  <si>
    <t xml:space="preserve">strategy_layer/initiatives[7]/effort</t>
  </si>
  <si>
    <t xml:space="preserve">strategy_layer/initiatives[7]/depends_on</t>
  </si>
  <si>
    <t xml:space="preserve">strategy_layer/initiatives[7]/status</t>
  </si>
  <si>
    <t xml:space="preserve">strategy_layer/initiatives[8]/id</t>
  </si>
  <si>
    <t xml:space="preserve">strategy_layer/initiatives[8]/initiative</t>
  </si>
  <si>
    <t xml:space="preserve">strategy_layer/initiatives[8]/traces_to</t>
  </si>
  <si>
    <t xml:space="preserve">strategy_layer/initiatives[8]/reach</t>
  </si>
  <si>
    <t xml:space="preserve">strategy_layer/initiatives[8]/impact</t>
  </si>
  <si>
    <t xml:space="preserve">strategy_layer/initiatives[8]/confidence</t>
  </si>
  <si>
    <t xml:space="preserve">strategy_layer/initiatives[8]/effort</t>
  </si>
  <si>
    <t xml:space="preserve">strategy_layer/initiatives[8]/depends_on</t>
  </si>
  <si>
    <t xml:space="preserve">strategy_layer/initiatives[8]/status</t>
  </si>
  <si>
    <t xml:space="preserve">strategy_layer/initiatives[9]/id</t>
  </si>
  <si>
    <t xml:space="preserve">strategy_layer/initiatives[9]/initiative</t>
  </si>
  <si>
    <t xml:space="preserve">strategy_layer/initiatives[9]/traces_to</t>
  </si>
  <si>
    <t xml:space="preserve">strategy_layer/initiatives[9]/reach</t>
  </si>
  <si>
    <t xml:space="preserve">strategy_layer/initiatives[9]/impact</t>
  </si>
  <si>
    <t xml:space="preserve">strategy_layer/initiatives[9]/confidence</t>
  </si>
  <si>
    <t xml:space="preserve">strategy_layer/initiatives[9]/effort</t>
  </si>
  <si>
    <t xml:space="preserve">strategy_layer/initiatives[9]/depends_on</t>
  </si>
  <si>
    <t xml:space="preserve">strategy_layer/initiatives[9]/status</t>
  </si>
  <si>
    <t xml:space="preserve">strategy_layer/initiatives[10]/id</t>
  </si>
  <si>
    <t xml:space="preserve">strategy_layer/initiatives[10]/initiative</t>
  </si>
  <si>
    <t xml:space="preserve">strategy_layer/initiatives[10]/traces_to</t>
  </si>
  <si>
    <t xml:space="preserve">strategy_layer/initiatives[10]/reach</t>
  </si>
  <si>
    <t xml:space="preserve">strategy_layer/initiatives[10]/impact</t>
  </si>
  <si>
    <t xml:space="preserve">strategy_layer/initiatives[10]/confidence</t>
  </si>
  <si>
    <t xml:space="preserve">strategy_layer/initiatives[10]/effort</t>
  </si>
  <si>
    <t xml:space="preserve">strategy_layer/initiatives[10]/depends_on</t>
  </si>
  <si>
    <t xml:space="preserve">strategy_layer/initiatives[10]/status</t>
  </si>
  <si>
    <t xml:space="preserve">strategy_layer/initiatives[11]/id</t>
  </si>
  <si>
    <t xml:space="preserve">strategy_layer/initiatives[11]/initiative</t>
  </si>
  <si>
    <t xml:space="preserve">strategy_layer/initiatives[11]/traces_to</t>
  </si>
  <si>
    <t xml:space="preserve">strategy_layer/initiatives[11]/reach</t>
  </si>
  <si>
    <t xml:space="preserve">strategy_layer/initiatives[11]/impact</t>
  </si>
  <si>
    <t xml:space="preserve">strategy_layer/initiatives[11]/confidence</t>
  </si>
  <si>
    <t xml:space="preserve">strategy_layer/initiatives[11]/effort</t>
  </si>
  <si>
    <t xml:space="preserve">strategy_layer/initiatives[11]/depends_on</t>
  </si>
  <si>
    <t xml:space="preserve">strategy_layer/initiatives[11]/status</t>
  </si>
  <si>
    <t xml:space="preserve">strategy_layer/operating_model/decision_rights[0]/decision</t>
  </si>
  <si>
    <t xml:space="preserve">"Enter Germany"</t>
  </si>
  <si>
    <t xml:space="preserve">strategy_layer/operating_model/decision_rights[0]/recommend</t>
  </si>
  <si>
    <t xml:space="preserve">"Strategy lead"</t>
  </si>
  <si>
    <t xml:space="preserve">strategy_layer/operating_model/decision_rights[0]/agree</t>
  </si>
  <si>
    <t xml:space="preserve">"CFO"</t>
  </si>
  <si>
    <t xml:space="preserve">strategy_layer/operating_model/decision_rights[0]/perform</t>
  </si>
  <si>
    <t xml:space="preserve">"EU GM"</t>
  </si>
  <si>
    <t xml:space="preserve">strategy_layer/operating_model/decision_rights[0]/input</t>
  </si>
  <si>
    <t xml:space="preserve">"Sales, Legal"</t>
  </si>
  <si>
    <t xml:space="preserve">strategy_layer/operating_model/decision_rights[0]/decide</t>
  </si>
  <si>
    <t xml:space="preserve">"CEO"</t>
  </si>
  <si>
    <t xml:space="preserve">strategy_layer/operating_model/decision_rights[1]/decision</t>
  </si>
  <si>
    <t xml:space="preserve">"EU price points"</t>
  </si>
  <si>
    <t xml:space="preserve">strategy_layer/operating_model/decision_rights[1]/recommend</t>
  </si>
  <si>
    <t xml:space="preserve">strategy_layer/operating_model/decision_rights[1]/agree</t>
  </si>
  <si>
    <t xml:space="preserve">strategy_layer/operating_model/decision_rights[1]/perform</t>
  </si>
  <si>
    <t xml:space="preserve">"Pricing team"</t>
  </si>
  <si>
    <t xml:space="preserve">strategy_layer/operating_model/decision_rights[1]/input</t>
  </si>
  <si>
    <t xml:space="preserve">"Dealers"</t>
  </si>
  <si>
    <t xml:space="preserve">strategy_layer/operating_model/decision_rights[1]/decide</t>
  </si>
  <si>
    <t xml:space="preserve">strategy_layer/operating_model/decision_rights[2]/decision</t>
  </si>
  <si>
    <t xml:space="preserve">"Plant phase 2"</t>
  </si>
  <si>
    <t xml:space="preserve">strategy_layer/operating_model/decision_rights[2]/recommend</t>
  </si>
  <si>
    <t xml:space="preserve">strategy_layer/operating_model/decision_rights[2]/agree</t>
  </si>
  <si>
    <t xml:space="preserve">"Board"</t>
  </si>
  <si>
    <t xml:space="preserve">strategy_layer/operating_model/decision_rights[2]/perform</t>
  </si>
  <si>
    <t xml:space="preserve">"Plant director"</t>
  </si>
  <si>
    <t xml:space="preserve">strategy_layer/operating_model/decision_rights[2]/input</t>
  </si>
  <si>
    <t xml:space="preserve">strategy_layer/operating_model/decision_rights[2]/decide</t>
  </si>
  <si>
    <t xml:space="preserve">strategy_layer/operating_model/decision_rights[3]/decision</t>
  </si>
  <si>
    <t xml:space="preserve">strategy_layer/operating_model/decision_rights[3]/recommend</t>
  </si>
  <si>
    <t xml:space="preserve">strategy_layer/operating_model/decision_rights[3]/agree</t>
  </si>
  <si>
    <t xml:space="preserve">strategy_layer/operating_model/decision_rights[3]/perform</t>
  </si>
  <si>
    <t xml:space="preserve">strategy_layer/operating_model/decision_rights[3]/input</t>
  </si>
  <si>
    <t xml:space="preserve">strategy_layer/operating_model/decision_rights[3]/decide</t>
  </si>
  <si>
    <t xml:space="preserve">strategy_layer/operating_model/decision_rights[4]/decision</t>
  </si>
  <si>
    <t xml:space="preserve">strategy_layer/operating_model/decision_rights[4]/recommend</t>
  </si>
  <si>
    <t xml:space="preserve">strategy_layer/operating_model/decision_rights[4]/agree</t>
  </si>
  <si>
    <t xml:space="preserve">strategy_layer/operating_model/decision_rights[4]/perform</t>
  </si>
  <si>
    <t xml:space="preserve">strategy_layer/operating_model/decision_rights[4]/input</t>
  </si>
  <si>
    <t xml:space="preserve">strategy_layer/operating_model/decision_rights[4]/decide</t>
  </si>
  <si>
    <t xml:space="preserve">strategy_layer/operating_model/decision_rights[5]/decision</t>
  </si>
  <si>
    <t xml:space="preserve">strategy_layer/operating_model/decision_rights[5]/recommend</t>
  </si>
  <si>
    <t xml:space="preserve">strategy_layer/operating_model/decision_rights[5]/agree</t>
  </si>
  <si>
    <t xml:space="preserve">strategy_layer/operating_model/decision_rights[5]/perform</t>
  </si>
  <si>
    <t xml:space="preserve">strategy_layer/operating_model/decision_rights[5]/input</t>
  </si>
  <si>
    <t xml:space="preserve">strategy_layer/operating_model/decision_rights[5]/decide</t>
  </si>
  <si>
    <t xml:space="preserve">strategy_layer/stakeholders/list[0]/name</t>
  </si>
  <si>
    <t xml:space="preserve">"EU regulators"</t>
  </si>
  <si>
    <t xml:space="preserve">strategy_layer/stakeholders/list[0]/power</t>
  </si>
  <si>
    <t xml:space="preserve">strategy_layer/stakeholders/list[0]/interest</t>
  </si>
  <si>
    <t xml:space="preserve">strategy_layer/stakeholders/list[0]/stance</t>
  </si>
  <si>
    <t xml:space="preserve">-1</t>
  </si>
  <si>
    <t xml:space="preserve">strategy_layer/stakeholders/list[0]/action</t>
  </si>
  <si>
    <t xml:space="preserve">"Early dialogue on local content"</t>
  </si>
  <si>
    <t xml:space="preserve">strategy_layer/stakeholders/list[1]/name</t>
  </si>
  <si>
    <t xml:space="preserve">"German dealer groups"</t>
  </si>
  <si>
    <t xml:space="preserve">strategy_layer/stakeholders/list[1]/power</t>
  </si>
  <si>
    <t xml:space="preserve">strategy_layer/stakeholders/list[1]/interest</t>
  </si>
  <si>
    <t xml:space="preserve">strategy_layer/stakeholders/list[1]/stance</t>
  </si>
  <si>
    <t xml:space="preserve">strategy_layer/stakeholders/list[1]/action</t>
  </si>
  <si>
    <t xml:space="preserve">"Co-design margin terms"</t>
  </si>
  <si>
    <t xml:space="preserve">strategy_layer/stakeholders/list[2]/name</t>
  </si>
  <si>
    <t xml:space="preserve">"Hungarian government"</t>
  </si>
  <si>
    <t xml:space="preserve">strategy_layer/stakeholders/list[2]/power</t>
  </si>
  <si>
    <t xml:space="preserve">strategy_layer/stakeholders/list[2]/interest</t>
  </si>
  <si>
    <t xml:space="preserve">strategy_layer/stakeholders/list[2]/stance</t>
  </si>
  <si>
    <t xml:space="preserve">strategy_layer/stakeholders/list[2]/action</t>
  </si>
  <si>
    <t xml:space="preserve">"Joint jobs announcement"</t>
  </si>
  <si>
    <t xml:space="preserve">strategy_layer/stakeholders/list[3]/name</t>
  </si>
  <si>
    <t xml:space="preserve">"Unions (EU plant)"</t>
  </si>
  <si>
    <t xml:space="preserve">strategy_layer/stakeholders/list[3]/power</t>
  </si>
  <si>
    <t xml:space="preserve">strategy_layer/stakeholders/list[3]/interest</t>
  </si>
  <si>
    <t xml:space="preserve">strategy_layer/stakeholders/list[3]/stance</t>
  </si>
  <si>
    <t xml:space="preserve">strategy_layer/stakeholders/list[3]/action</t>
  </si>
  <si>
    <t xml:space="preserve">"Works council from day one"</t>
  </si>
  <si>
    <t xml:space="preserve">strategy_layer/stakeholders/list[4]/name</t>
  </si>
  <si>
    <t xml:space="preserve">strategy_layer/stakeholders/list[4]/power</t>
  </si>
  <si>
    <t xml:space="preserve">strategy_layer/stakeholders/list[4]/interest</t>
  </si>
  <si>
    <t xml:space="preserve">strategy_layer/stakeholders/list[4]/stance</t>
  </si>
  <si>
    <t xml:space="preserve">strategy_layer/stakeholders/list[4]/action</t>
  </si>
  <si>
    <t xml:space="preserve">strategy_layer/stakeholders/list[5]/name</t>
  </si>
  <si>
    <t xml:space="preserve">G21</t>
  </si>
  <si>
    <t xml:space="preserve">strategy_layer/stakeholders/list[5]/power</t>
  </si>
  <si>
    <t xml:space="preserve">strategy_layer/stakeholders/list[5]/interest</t>
  </si>
  <si>
    <t xml:space="preserve">strategy_layer/stakeholders/list[5]/stance</t>
  </si>
  <si>
    <t xml:space="preserve">K21</t>
  </si>
  <si>
    <t xml:space="preserve">strategy_layer/stakeholders/list[5]/action</t>
  </si>
  <si>
    <t xml:space="preserve">strategy_layer/stakeholders/list[6]/name</t>
  </si>
  <si>
    <t xml:space="preserve">G22</t>
  </si>
  <si>
    <t xml:space="preserve">strategy_layer/stakeholders/list[6]/power</t>
  </si>
  <si>
    <t xml:space="preserve">strategy_layer/stakeholders/list[6]/interest</t>
  </si>
  <si>
    <t xml:space="preserve">strategy_layer/stakeholders/list[6]/stance</t>
  </si>
  <si>
    <t xml:space="preserve">K22</t>
  </si>
  <si>
    <t xml:space="preserve">strategy_layer/stakeholders/list[6]/action</t>
  </si>
  <si>
    <t xml:space="preserve">strategy_layer/stakeholders/list[7]/name</t>
  </si>
  <si>
    <t xml:space="preserve">G23</t>
  </si>
  <si>
    <t xml:space="preserve">strategy_layer/stakeholders/list[7]/power</t>
  </si>
  <si>
    <t xml:space="preserve">strategy_layer/stakeholders/list[7]/interest</t>
  </si>
  <si>
    <t xml:space="preserve">strategy_layer/stakeholders/list[7]/stance</t>
  </si>
  <si>
    <t xml:space="preserve">K23</t>
  </si>
  <si>
    <t xml:space="preserve">strategy_layer/stakeholders/list[7]/action</t>
  </si>
  <si>
    <t xml:space="preserve">strategy_layer/stakeholders/list[8]/name</t>
  </si>
  <si>
    <t xml:space="preserve">G24</t>
  </si>
  <si>
    <t xml:space="preserve">strategy_layer/stakeholders/list[8]/power</t>
  </si>
  <si>
    <t xml:space="preserve">strategy_layer/stakeholders/list[8]/interest</t>
  </si>
  <si>
    <t xml:space="preserve">strategy_layer/stakeholders/list[8]/stance</t>
  </si>
  <si>
    <t xml:space="preserve">K24</t>
  </si>
  <si>
    <t xml:space="preserve">strategy_layer/stakeholders/list[8]/action</t>
  </si>
  <si>
    <t xml:space="preserve">strategy_layer/stakeholders/list[9]/name</t>
  </si>
  <si>
    <t xml:space="preserve">G25</t>
  </si>
  <si>
    <t xml:space="preserve">strategy_layer/stakeholders/list[9]/power</t>
  </si>
  <si>
    <t xml:space="preserve">strategy_layer/stakeholders/list[9]/interest</t>
  </si>
  <si>
    <t xml:space="preserve">strategy_layer/stakeholders/list[9]/stance</t>
  </si>
  <si>
    <t xml:space="preserve">K25</t>
  </si>
  <si>
    <t xml:space="preserve">strategy_layer/stakeholders/list[9]/action</t>
  </si>
  <si>
    <t xml:space="preserve">strategy_layer/roadmap/first_100_days[0]/action</t>
  </si>
  <si>
    <t xml:space="preserve">"Sign two dealer groups"</t>
  </si>
  <si>
    <t xml:space="preserve">strategy_layer/roadmap/first_100_days[0]/owner</t>
  </si>
  <si>
    <t xml:space="preserve">strategy_layer/roadmap/first_100_days[0]/start_week</t>
  </si>
  <si>
    <t xml:space="preserve">strategy_layer/roadmap/first_100_days[0]/end_week</t>
  </si>
  <si>
    <t xml:space="preserve">strategy_layer/roadmap/first_100_days[1]/action</t>
  </si>
  <si>
    <t xml:space="preserve">"Pilot line ready"</t>
  </si>
  <si>
    <t xml:space="preserve">strategy_layer/roadmap/first_100_days[1]/owner</t>
  </si>
  <si>
    <t xml:space="preserve">strategy_layer/roadmap/first_100_days[1]/start_week</t>
  </si>
  <si>
    <t xml:space="preserve">strategy_layer/roadmap/first_100_days[1]/end_week</t>
  </si>
  <si>
    <t xml:space="preserve">strategy_layer/roadmap/first_100_days[2]/action</t>
  </si>
  <si>
    <t xml:space="preserve">"EU app partner chosen"</t>
  </si>
  <si>
    <t xml:space="preserve">strategy_layer/roadmap/first_100_days[2]/owner</t>
  </si>
  <si>
    <t xml:space="preserve">"CTO"</t>
  </si>
  <si>
    <t xml:space="preserve">strategy_layer/roadmap/first_100_days[2]/start_week</t>
  </si>
  <si>
    <t xml:space="preserve">strategy_layer/roadmap/first_100_days[2]/end_week</t>
  </si>
  <si>
    <t xml:space="preserve">strategy_layer/roadmap/first_100_days[3]/action</t>
  </si>
  <si>
    <t xml:space="preserve">"Fleet sales team hired"</t>
  </si>
  <si>
    <t xml:space="preserve">strategy_layer/roadmap/first_100_days[3]/owner</t>
  </si>
  <si>
    <t xml:space="preserve">"Sales director"</t>
  </si>
  <si>
    <t xml:space="preserve">strategy_layer/roadmap/first_100_days[3]/start_week</t>
  </si>
  <si>
    <t xml:space="preserve">strategy_layer/roadmap/first_100_days[3]/end_week</t>
  </si>
  <si>
    <t xml:space="preserve">strategy_layer/roadmap/first_100_days[4]/action</t>
  </si>
  <si>
    <t xml:space="preserve">strategy_layer/roadmap/first_100_days[4]/owner</t>
  </si>
  <si>
    <t xml:space="preserve">strategy_layer/roadmap/first_100_days[4]/start_week</t>
  </si>
  <si>
    <t xml:space="preserve">strategy_layer/roadmap/first_100_days[4]/end_week</t>
  </si>
  <si>
    <t xml:space="preserve">strategy_layer/roadmap/first_100_days[5]/action</t>
  </si>
  <si>
    <t xml:space="preserve">strategy_layer/roadmap/first_100_days[5]/owner</t>
  </si>
  <si>
    <t xml:space="preserve">strategy_layer/roadmap/first_100_days[5]/start_week</t>
  </si>
  <si>
    <t xml:space="preserve">strategy_layer/roadmap/first_100_days[5]/end_week</t>
  </si>
  <si>
    <t xml:space="preserve">strategy_layer/roadmap/first_100_days[6]/action</t>
  </si>
  <si>
    <t xml:space="preserve">strategy_layer/roadmap/first_100_days[6]/owner</t>
  </si>
  <si>
    <t xml:space="preserve">strategy_layer/roadmap/first_100_days[6]/start_week</t>
  </si>
  <si>
    <t xml:space="preserve">strategy_layer/roadmap/first_100_days[6]/end_week</t>
  </si>
  <si>
    <t xml:space="preserve">strategy_layer/roadmap/first_100_days[7]/action</t>
  </si>
  <si>
    <t xml:space="preserve">strategy_layer/roadmap/first_100_days[7]/owner</t>
  </si>
  <si>
    <t xml:space="preserve">strategy_layer/roadmap/first_100_days[7]/start_week</t>
  </si>
  <si>
    <t xml:space="preserve">strategy_layer/roadmap/first_100_days[7]/end_week</t>
  </si>
  <si>
    <t xml:space="preserve">strategy_layer/roadmap/first_100_days[8]/action</t>
  </si>
  <si>
    <t xml:space="preserve">strategy_layer/roadmap/first_100_days[8]/owner</t>
  </si>
  <si>
    <t xml:space="preserve">strategy_layer/roadmap/first_100_days[8]/start_week</t>
  </si>
  <si>
    <t xml:space="preserve">strategy_layer/roadmap/first_100_days[8]/end_week</t>
  </si>
  <si>
    <t xml:space="preserve">strategy_layer/roadmap/first_100_days[9]/action</t>
  </si>
  <si>
    <t xml:space="preserve">strategy_layer/roadmap/first_100_days[9]/owner</t>
  </si>
  <si>
    <t xml:space="preserve">strategy_layer/roadmap/first_100_days[9]/start_week</t>
  </si>
  <si>
    <t xml:space="preserve">strategy_layer/roadmap/first_100_days[9]/end_week</t>
  </si>
  <si>
    <t xml:space="preserve">strategy_layer/roadmap/first_100_days[10]/action</t>
  </si>
  <si>
    <t xml:space="preserve">strategy_layer/roadmap/first_100_days[10]/owner</t>
  </si>
  <si>
    <t xml:space="preserve">strategy_layer/roadmap/first_100_days[10]/start_week</t>
  </si>
  <si>
    <t xml:space="preserve">strategy_layer/roadmap/first_100_days[10]/end_week</t>
  </si>
  <si>
    <t xml:space="preserve">strategy_layer/roadmap/first_100_days[11]/action</t>
  </si>
  <si>
    <t xml:space="preserve">strategy_layer/roadmap/first_100_days[11]/owner</t>
  </si>
  <si>
    <t xml:space="preserve">strategy_layer/roadmap/first_100_days[11]/start_week</t>
  </si>
  <si>
    <t xml:space="preserve">strategy_layer/roadmap/first_100_days[11]/end_week</t>
  </si>
  <si>
    <t xml:space="preserve">strategy_layer/roadmap/milestones[0]/milestone</t>
  </si>
  <si>
    <t xml:space="preserve">"First dealer contract"</t>
  </si>
  <si>
    <t xml:space="preserve">strategy_layer/roadmap/milestones[0]/date</t>
  </si>
  <si>
    <t xml:space="preserve">"Week 6"</t>
  </si>
  <si>
    <t xml:space="preserve">strategy_layer/roadmap/milestones[0]/kpi</t>
  </si>
  <si>
    <t xml:space="preserve">"Dealers signed"</t>
  </si>
  <si>
    <t xml:space="preserve">strategy_layer/roadmap/milestones[0]/target</t>
  </si>
  <si>
    <t xml:space="preserve">strategy_layer/roadmap/milestones[1]/milestone</t>
  </si>
  <si>
    <t xml:space="preserve">"Pilot line first car"</t>
  </si>
  <si>
    <t xml:space="preserve">strategy_layer/roadmap/milestones[1]/date</t>
  </si>
  <si>
    <t xml:space="preserve">"Week 14"</t>
  </si>
  <si>
    <t xml:space="preserve">strategy_layer/roadmap/milestones[1]/kpi</t>
  </si>
  <si>
    <t xml:space="preserve">"Cars built"</t>
  </si>
  <si>
    <t xml:space="preserve">strategy_layer/roadmap/milestones[1]/target</t>
  </si>
  <si>
    <t xml:space="preserve">strategy_layer/roadmap/milestones[2]/milestone</t>
  </si>
  <si>
    <t xml:space="preserve">"10k orders"</t>
  </si>
  <si>
    <t xml:space="preserve">strategy_layer/roadmap/milestones[2]/date</t>
  </si>
  <si>
    <t xml:space="preserve">"Month 6"</t>
  </si>
  <si>
    <t xml:space="preserve">strategy_layer/roadmap/milestones[2]/kpi</t>
  </si>
  <si>
    <t xml:space="preserve">"Orders"</t>
  </si>
  <si>
    <t xml:space="preserve">strategy_layer/roadmap/milestones[2]/target</t>
  </si>
  <si>
    <t xml:space="preserve">strategy_layer/roadmap/milestones[3]/milestone</t>
  </si>
  <si>
    <t xml:space="preserve">strategy_layer/roadmap/milestones[3]/date</t>
  </si>
  <si>
    <t xml:space="preserve">strategy_layer/roadmap/milestones[3]/kpi</t>
  </si>
  <si>
    <t xml:space="preserve">strategy_layer/roadmap/milestones[3]/target</t>
  </si>
  <si>
    <t xml:space="preserve">strategy_layer/roadmap/milestones[4]/milestone</t>
  </si>
  <si>
    <t xml:space="preserve">strategy_layer/roadmap/milestones[4]/date</t>
  </si>
  <si>
    <t xml:space="preserve">strategy_layer/roadmap/milestones[4]/kpi</t>
  </si>
  <si>
    <t xml:space="preserve">strategy_layer/roadmap/milestones[4]/target</t>
  </si>
  <si>
    <t xml:space="preserve">strategy_layer/roadmap/milestones[5]/milestone</t>
  </si>
  <si>
    <t xml:space="preserve">strategy_layer/roadmap/milestones[5]/date</t>
  </si>
  <si>
    <t xml:space="preserve">strategy_layer/roadmap/milestones[5]/kpi</t>
  </si>
  <si>
    <t xml:space="preserve">strategy_layer/roadmap/milestones[5]/target</t>
  </si>
  <si>
    <t xml:space="preserve">strategy_layer/roadmap/gates[0]/gate</t>
  </si>
  <si>
    <t xml:space="preserve">"Gate 1: go to phase 2"</t>
  </si>
  <si>
    <t xml:space="preserve">strategy_layer/roadmap/gates[0]/criteria</t>
  </si>
  <si>
    <t xml:space="preserve">"10k orders and CAC below LTV/3"</t>
  </si>
  <si>
    <t xml:space="preserve">strategy_layer/roadmap/gates[0]/evidence</t>
  </si>
  <si>
    <t xml:space="preserve">"Order book; GTM sheet"</t>
  </si>
  <si>
    <t xml:space="preserve">strategy_layer/roadmap/gates[0]/decision_date</t>
  </si>
  <si>
    <t xml:space="preserve">strategy_layer/roadmap/gates[1]/gate</t>
  </si>
  <si>
    <t xml:space="preserve">"Gate 2: plant phase 2"</t>
  </si>
  <si>
    <t xml:space="preserve">strategy_layer/roadmap/gates[1]/criteria</t>
  </si>
  <si>
    <t xml:space="preserve">"Pilot unit cost within 5% of plan"</t>
  </si>
  <si>
    <t xml:space="preserve">strategy_layer/roadmap/gates[1]/evidence</t>
  </si>
  <si>
    <t xml:space="preserve">"Unit Economics sheet"</t>
  </si>
  <si>
    <t xml:space="preserve">strategy_layer/roadmap/gates[1]/decision_date</t>
  </si>
  <si>
    <t xml:space="preserve">"Month 12"</t>
  </si>
  <si>
    <t xml:space="preserve">strategy_layer/roadmap/gates[2]/gate</t>
  </si>
  <si>
    <t xml:space="preserve">strategy_layer/roadmap/gates[2]/criteria</t>
  </si>
  <si>
    <t xml:space="preserve">strategy_layer/roadmap/gates[2]/evidence</t>
  </si>
  <si>
    <t xml:space="preserve">strategy_layer/roadmap/gates[2]/decision_date</t>
  </si>
  <si>
    <t xml:space="preserve">strategy_layer/roadmap/gates[3]/gate</t>
  </si>
  <si>
    <t xml:space="preserve">strategy_layer/roadmap/gates[3]/criteria</t>
  </si>
  <si>
    <t xml:space="preserve">strategy_layer/roadmap/gates[3]/evidence</t>
  </si>
  <si>
    <t xml:space="preserve">strategy_layer/roadmap/gates[3]/decision_date</t>
  </si>
  <si>
    <t xml:space="preserve">strategy_layer/scorecard/measures[0]/perspective</t>
  </si>
  <si>
    <t xml:space="preserve">persp</t>
  </si>
  <si>
    <t xml:space="preserve">"Financial"</t>
  </si>
  <si>
    <t xml:space="preserve">strategy_layer/scorecard/measures[0]/objective_text</t>
  </si>
  <si>
    <t xml:space="preserve">"Profitable EU growth"</t>
  </si>
  <si>
    <t xml:space="preserve">strategy_layer/scorecard/measures[0]/measure</t>
  </si>
  <si>
    <t xml:space="preserve">"EU operating margin"</t>
  </si>
  <si>
    <t xml:space="preserve">strategy_layer/scorecard/measures[0]/type</t>
  </si>
  <si>
    <t xml:space="preserve">"Lagging"</t>
  </si>
  <si>
    <t xml:space="preserve">strategy_layer/scorecard/measures[0]/better</t>
  </si>
  <si>
    <t xml:space="preserve">"Higher"</t>
  </si>
  <si>
    <t xml:space="preserve">strategy_layer/scorecard/measures[0]/target</t>
  </si>
  <si>
    <t xml:space="preserve">strategy_layer/scorecard/measures[0]/actual</t>
  </si>
  <si>
    <t xml:space="preserve">strategy_layer/scorecard/measures[0]/owner</t>
  </si>
  <si>
    <t xml:space="preserve">strategy_layer/scorecard/measures[0]/initiative</t>
  </si>
  <si>
    <t xml:space="preserve">strategy_layer/scorecard/measures[0]/traces_to</t>
  </si>
  <si>
    <t xml:space="preserve">"Business case"</t>
  </si>
  <si>
    <t xml:space="preserve">strategy_layer/scorecard/measures[1]/perspective</t>
  </si>
  <si>
    <t xml:space="preserve">"Customer"</t>
  </si>
  <si>
    <t xml:space="preserve">strategy_layer/scorecard/measures[1]/objective_text</t>
  </si>
  <si>
    <t xml:space="preserve">"Value choice below EUR 30k"</t>
  </si>
  <si>
    <t xml:space="preserve">strategy_layer/scorecard/measures[1]/measure</t>
  </si>
  <si>
    <t xml:space="preserve">"EU registrations (000s)"</t>
  </si>
  <si>
    <t xml:space="preserve">strategy_layer/scorecard/measures[1]/type</t>
  </si>
  <si>
    <t xml:space="preserve">strategy_layer/scorecard/measures[1]/better</t>
  </si>
  <si>
    <t xml:space="preserve">strategy_layer/scorecard/measures[1]/target</t>
  </si>
  <si>
    <t xml:space="preserve">90</t>
  </si>
  <si>
    <t xml:space="preserve">strategy_layer/scorecard/measures[1]/actual</t>
  </si>
  <si>
    <t xml:space="preserve">74</t>
  </si>
  <si>
    <t xml:space="preserve">strategy_layer/scorecard/measures[1]/owner</t>
  </si>
  <si>
    <t xml:space="preserve">strategy_layer/scorecard/measures[1]/initiative</t>
  </si>
  <si>
    <t xml:space="preserve">strategy_layer/scorecard/measures[1]/traces_to</t>
  </si>
  <si>
    <t xml:space="preserve">"GTM"</t>
  </si>
  <si>
    <t xml:space="preserve">strategy_layer/scorecard/measures[2]/perspective</t>
  </si>
  <si>
    <t xml:space="preserve">"Internal process"</t>
  </si>
  <si>
    <t xml:space="preserve">strategy_layer/scorecard/measures[2]/objective_text</t>
  </si>
  <si>
    <t xml:space="preserve">"Local cell supply"</t>
  </si>
  <si>
    <t xml:space="preserve">strategy_layer/scorecard/measures[2]/measure</t>
  </si>
  <si>
    <t xml:space="preserve">"Local cell share"</t>
  </si>
  <si>
    <t xml:space="preserve">strategy_layer/scorecard/measures[2]/type</t>
  </si>
  <si>
    <t xml:space="preserve">"Leading"</t>
  </si>
  <si>
    <t xml:space="preserve">strategy_layer/scorecard/measures[2]/better</t>
  </si>
  <si>
    <t xml:space="preserve">strategy_layer/scorecard/measures[2]/target</t>
  </si>
  <si>
    <t xml:space="preserve">strategy_layer/scorecard/measures[2]/actual</t>
  </si>
  <si>
    <t xml:space="preserve">0.55</t>
  </si>
  <si>
    <t xml:space="preserve">strategy_layer/scorecard/measures[2]/owner</t>
  </si>
  <si>
    <t xml:space="preserve">strategy_layer/scorecard/measures[2]/initiative</t>
  </si>
  <si>
    <t xml:space="preserve">strategy_layer/scorecard/measures[2]/traces_to</t>
  </si>
  <si>
    <t xml:space="preserve">"Value chain A1"</t>
  </si>
  <si>
    <t xml:space="preserve">strategy_layer/scorecard/measures[3]/perspective</t>
  </si>
  <si>
    <t xml:space="preserve">"Learning and growth"</t>
  </si>
  <si>
    <t xml:space="preserve">strategy_layer/scorecard/measures[3]/objective_text</t>
  </si>
  <si>
    <t xml:space="preserve">"EU plant workforce"</t>
  </si>
  <si>
    <t xml:space="preserve">strategy_layer/scorecard/measures[3]/measure</t>
  </si>
  <si>
    <t xml:space="preserve">"Trained line staff"</t>
  </si>
  <si>
    <t xml:space="preserve">strategy_layer/scorecard/measures[3]/type</t>
  </si>
  <si>
    <t xml:space="preserve">strategy_layer/scorecard/measures[3]/better</t>
  </si>
  <si>
    <t xml:space="preserve">strategy_layer/scorecard/measures[3]/target</t>
  </si>
  <si>
    <t xml:space="preserve">1200</t>
  </si>
  <si>
    <t xml:space="preserve">strategy_layer/scorecard/measures[3]/actual</t>
  </si>
  <si>
    <t xml:space="preserve">900</t>
  </si>
  <si>
    <t xml:space="preserve">strategy_layer/scorecard/measures[3]/owner</t>
  </si>
  <si>
    <t xml:space="preserve">"CHRO"</t>
  </si>
  <si>
    <t xml:space="preserve">strategy_layer/scorecard/measures[3]/initiative</t>
  </si>
  <si>
    <t xml:space="preserve">strategy_layer/scorecard/measures[3]/traces_to</t>
  </si>
  <si>
    <t xml:space="preserve">"Growth barriers"</t>
  </si>
  <si>
    <t xml:space="preserve">strategy_layer/scorecard/measures[4]/perspective</t>
  </si>
  <si>
    <t xml:space="preserve">strategy_layer/scorecard/measures[4]/objective_text</t>
  </si>
  <si>
    <t xml:space="preserve">strategy_layer/scorecard/measures[4]/measure</t>
  </si>
  <si>
    <t xml:space="preserve">strategy_layer/scorecard/measures[4]/type</t>
  </si>
  <si>
    <t xml:space="preserve">strategy_layer/scorecard/measures[4]/better</t>
  </si>
  <si>
    <t xml:space="preserve">strategy_layer/scorecard/measures[4]/target</t>
  </si>
  <si>
    <t xml:space="preserve">strategy_layer/scorecard/measures[4]/actual</t>
  </si>
  <si>
    <t xml:space="preserve">strategy_layer/scorecard/measures[4]/owner</t>
  </si>
  <si>
    <t xml:space="preserve">strategy_layer/scorecard/measures[4]/initiative</t>
  </si>
  <si>
    <t xml:space="preserve">strategy_layer/scorecard/measures[4]/traces_to</t>
  </si>
  <si>
    <t xml:space="preserve">strategy_layer/scorecard/measures[5]/perspective</t>
  </si>
  <si>
    <t xml:space="preserve">strategy_layer/scorecard/measures[5]/objective_text</t>
  </si>
  <si>
    <t xml:space="preserve">strategy_layer/scorecard/measures[5]/measure</t>
  </si>
  <si>
    <t xml:space="preserve">strategy_layer/scorecard/measures[5]/type</t>
  </si>
  <si>
    <t xml:space="preserve">strategy_layer/scorecard/measures[5]/better</t>
  </si>
  <si>
    <t xml:space="preserve">strategy_layer/scorecard/measures[5]/target</t>
  </si>
  <si>
    <t xml:space="preserve">strategy_layer/scorecard/measures[5]/actual</t>
  </si>
  <si>
    <t xml:space="preserve">strategy_layer/scorecard/measures[5]/owner</t>
  </si>
  <si>
    <t xml:space="preserve">strategy_layer/scorecard/measures[5]/initiative</t>
  </si>
  <si>
    <t xml:space="preserve">strategy_layer/scorecard/measures[5]/traces_to</t>
  </si>
  <si>
    <t xml:space="preserve">strategy_layer/scorecard/measures[6]/perspective</t>
  </si>
  <si>
    <t xml:space="preserve">strategy_layer/scorecard/measures[6]/objective_text</t>
  </si>
  <si>
    <t xml:space="preserve">strategy_layer/scorecard/measures[6]/measure</t>
  </si>
  <si>
    <t xml:space="preserve">strategy_layer/scorecard/measures[6]/type</t>
  </si>
  <si>
    <t xml:space="preserve">strategy_layer/scorecard/measures[6]/better</t>
  </si>
  <si>
    <t xml:space="preserve">strategy_layer/scorecard/measures[6]/target</t>
  </si>
  <si>
    <t xml:space="preserve">strategy_layer/scorecard/measures[6]/actual</t>
  </si>
  <si>
    <t xml:space="preserve">strategy_layer/scorecard/measures[6]/owner</t>
  </si>
  <si>
    <t xml:space="preserve">strategy_layer/scorecard/measures[6]/initiative</t>
  </si>
  <si>
    <t xml:space="preserve">strategy_layer/scorecard/measures[6]/traces_to</t>
  </si>
  <si>
    <t xml:space="preserve">strategy_layer/scorecard/measures[7]/perspective</t>
  </si>
  <si>
    <t xml:space="preserve">strategy_layer/scorecard/measures[7]/objective_text</t>
  </si>
  <si>
    <t xml:space="preserve">strategy_layer/scorecard/measures[7]/measure</t>
  </si>
  <si>
    <t xml:space="preserve">strategy_layer/scorecard/measures[7]/type</t>
  </si>
  <si>
    <t xml:space="preserve">strategy_layer/scorecard/measures[7]/better</t>
  </si>
  <si>
    <t xml:space="preserve">strategy_layer/scorecard/measures[7]/target</t>
  </si>
  <si>
    <t xml:space="preserve">strategy_layer/scorecard/measures[7]/actual</t>
  </si>
  <si>
    <t xml:space="preserve">strategy_layer/scorecard/measures[7]/owner</t>
  </si>
  <si>
    <t xml:space="preserve">strategy_layer/scorecard/measures[7]/initiative</t>
  </si>
  <si>
    <t xml:space="preserve">strategy_layer/scorecard/measures[7]/traces_to</t>
  </si>
  <si>
    <t xml:space="preserve">strategy_layer/scorecard/measures[8]/perspective</t>
  </si>
  <si>
    <t xml:space="preserve">strategy_layer/scorecard/measures[8]/objective_text</t>
  </si>
  <si>
    <t xml:space="preserve">strategy_layer/scorecard/measures[8]/measure</t>
  </si>
  <si>
    <t xml:space="preserve">strategy_layer/scorecard/measures[8]/type</t>
  </si>
  <si>
    <t xml:space="preserve">strategy_layer/scorecard/measures[8]/better</t>
  </si>
  <si>
    <t xml:space="preserve">strategy_layer/scorecard/measures[8]/target</t>
  </si>
  <si>
    <t xml:space="preserve">strategy_layer/scorecard/measures[8]/actual</t>
  </si>
  <si>
    <t xml:space="preserve">strategy_layer/scorecard/measures[8]/owner</t>
  </si>
  <si>
    <t xml:space="preserve">strategy_layer/scorecard/measures[8]/initiative</t>
  </si>
  <si>
    <t xml:space="preserve">strategy_layer/scorecard/measures[8]/traces_to</t>
  </si>
  <si>
    <t xml:space="preserve">strategy_layer/scorecard/measures[9]/perspective</t>
  </si>
  <si>
    <t xml:space="preserve">strategy_layer/scorecard/measures[9]/objective_text</t>
  </si>
  <si>
    <t xml:space="preserve">strategy_layer/scorecard/measures[9]/measure</t>
  </si>
  <si>
    <t xml:space="preserve">strategy_layer/scorecard/measures[9]/type</t>
  </si>
  <si>
    <t xml:space="preserve">strategy_layer/scorecard/measures[9]/better</t>
  </si>
  <si>
    <t xml:space="preserve">strategy_layer/scorecard/measures[9]/target</t>
  </si>
  <si>
    <t xml:space="preserve">strategy_layer/scorecard/measures[9]/actual</t>
  </si>
  <si>
    <t xml:space="preserve">strategy_layer/scorecard/measures[9]/owner</t>
  </si>
  <si>
    <t xml:space="preserve">strategy_layer/scorecard/measures[9]/initiative</t>
  </si>
  <si>
    <t xml:space="preserve">strategy_layer/scorecard/measures[9]/traces_to</t>
  </si>
  <si>
    <t xml:space="preserve">strategy_layer/scorecard/measures[10]/perspective</t>
  </si>
  <si>
    <t xml:space="preserve">strategy_layer/scorecard/measures[10]/objective_text</t>
  </si>
  <si>
    <t xml:space="preserve">strategy_layer/scorecard/measures[10]/measure</t>
  </si>
  <si>
    <t xml:space="preserve">strategy_layer/scorecard/measures[10]/type</t>
  </si>
  <si>
    <t xml:space="preserve">strategy_layer/scorecard/measures[10]/better</t>
  </si>
  <si>
    <t xml:space="preserve">strategy_layer/scorecard/measures[10]/target</t>
  </si>
  <si>
    <t xml:space="preserve">strategy_layer/scorecard/measures[10]/actual</t>
  </si>
  <si>
    <t xml:space="preserve">strategy_layer/scorecard/measures[10]/owner</t>
  </si>
  <si>
    <t xml:space="preserve">strategy_layer/scorecard/measures[10]/initiative</t>
  </si>
  <si>
    <t xml:space="preserve">strategy_layer/scorecard/measures[10]/traces_to</t>
  </si>
  <si>
    <t xml:space="preserve">strategy_layer/scorecard/measures[11]/perspective</t>
  </si>
  <si>
    <t xml:space="preserve">strategy_layer/scorecard/measures[11]/objective_text</t>
  </si>
  <si>
    <t xml:space="preserve">strategy_layer/scorecard/measures[11]/measure</t>
  </si>
  <si>
    <t xml:space="preserve">strategy_layer/scorecard/measures[11]/type</t>
  </si>
  <si>
    <t xml:space="preserve">strategy_layer/scorecard/measures[11]/better</t>
  </si>
  <si>
    <t xml:space="preserve">strategy_layer/scorecard/measures[11]/target</t>
  </si>
  <si>
    <t xml:space="preserve">strategy_layer/scorecard/measures[11]/actual</t>
  </si>
  <si>
    <t xml:space="preserve">strategy_layer/scorecard/measures[11]/owner</t>
  </si>
  <si>
    <t xml:space="preserve">strategy_layer/scorecard/measures[11]/initiative</t>
  </si>
  <si>
    <t xml:space="preserve">strategy_layer/scorecard/measures[11]/traces_to</t>
  </si>
  <si>
    <t xml:space="preserve">strategy_layer/scorecard/measures[12]/perspective</t>
  </si>
  <si>
    <t xml:space="preserve">strategy_layer/scorecard/measures[12]/objective_text</t>
  </si>
  <si>
    <t xml:space="preserve">strategy_layer/scorecard/measures[12]/measure</t>
  </si>
  <si>
    <t xml:space="preserve">strategy_layer/scorecard/measures[12]/type</t>
  </si>
  <si>
    <t xml:space="preserve">strategy_layer/scorecard/measures[12]/better</t>
  </si>
  <si>
    <t xml:space="preserve">strategy_layer/scorecard/measures[12]/target</t>
  </si>
  <si>
    <t xml:space="preserve">strategy_layer/scorecard/measures[12]/actual</t>
  </si>
  <si>
    <t xml:space="preserve">J18</t>
  </si>
  <si>
    <t xml:space="preserve">strategy_layer/scorecard/measures[12]/owner</t>
  </si>
  <si>
    <t xml:space="preserve">strategy_layer/scorecard/measures[12]/initiative</t>
  </si>
  <si>
    <t xml:space="preserve">L18</t>
  </si>
  <si>
    <t xml:space="preserve">strategy_layer/scorecard/measures[12]/traces_to</t>
  </si>
  <si>
    <t xml:space="preserve">strategy_layer/scorecard/measures[13]/perspective</t>
  </si>
  <si>
    <t xml:space="preserve">strategy_layer/scorecard/measures[13]/objective_text</t>
  </si>
  <si>
    <t xml:space="preserve">strategy_layer/scorecard/measures[13]/measure</t>
  </si>
  <si>
    <t xml:space="preserve">strategy_layer/scorecard/measures[13]/type</t>
  </si>
  <si>
    <t xml:space="preserve">strategy_layer/scorecard/measures[13]/better</t>
  </si>
  <si>
    <t xml:space="preserve">strategy_layer/scorecard/measures[13]/target</t>
  </si>
  <si>
    <t xml:space="preserve">strategy_layer/scorecard/measures[13]/actual</t>
  </si>
  <si>
    <t xml:space="preserve">J19</t>
  </si>
  <si>
    <t xml:space="preserve">strategy_layer/scorecard/measures[13]/owner</t>
  </si>
  <si>
    <t xml:space="preserve">strategy_layer/scorecard/measures[13]/initiative</t>
  </si>
  <si>
    <t xml:space="preserve">L19</t>
  </si>
  <si>
    <t xml:space="preserve">strategy_layer/scorecard/measures[13]/traces_to</t>
  </si>
  <si>
    <t xml:space="preserve">strategy_layer/scorecard/measures[14]/perspective</t>
  </si>
  <si>
    <t xml:space="preserve">strategy_layer/scorecard/measures[14]/objective_text</t>
  </si>
  <si>
    <t xml:space="preserve">strategy_layer/scorecard/measures[14]/measure</t>
  </si>
  <si>
    <t xml:space="preserve">strategy_layer/scorecard/measures[14]/type</t>
  </si>
  <si>
    <t xml:space="preserve">strategy_layer/scorecard/measures[14]/better</t>
  </si>
  <si>
    <t xml:space="preserve">strategy_layer/scorecard/measures[14]/target</t>
  </si>
  <si>
    <t xml:space="preserve">strategy_layer/scorecard/measures[14]/actual</t>
  </si>
  <si>
    <t xml:space="preserve">J20</t>
  </si>
  <si>
    <t xml:space="preserve">strategy_layer/scorecard/measures[14]/owner</t>
  </si>
  <si>
    <t xml:space="preserve">strategy_layer/scorecard/measures[14]/initiative</t>
  </si>
  <si>
    <t xml:space="preserve">L20</t>
  </si>
  <si>
    <t xml:space="preserve">strategy_layer/scorecard/measures[14]/traces_to</t>
  </si>
  <si>
    <t xml:space="preserve">strategy_layer/scorecard/measures[15]/perspective</t>
  </si>
  <si>
    <t xml:space="preserve">strategy_layer/scorecard/measures[15]/objective_text</t>
  </si>
  <si>
    <t xml:space="preserve">strategy_layer/scorecard/measures[15]/measure</t>
  </si>
  <si>
    <t xml:space="preserve">strategy_layer/scorecard/measures[15]/type</t>
  </si>
  <si>
    <t xml:space="preserve">strategy_layer/scorecard/measures[15]/better</t>
  </si>
  <si>
    <t xml:space="preserve">strategy_layer/scorecard/measures[15]/target</t>
  </si>
  <si>
    <t xml:space="preserve">strategy_layer/scorecard/measures[15]/actual</t>
  </si>
  <si>
    <t xml:space="preserve">J21</t>
  </si>
  <si>
    <t xml:space="preserve">strategy_layer/scorecard/measures[15]/owner</t>
  </si>
  <si>
    <t xml:space="preserve">strategy_layer/scorecard/measures[15]/initiative</t>
  </si>
  <si>
    <t xml:space="preserve">L21</t>
  </si>
  <si>
    <t xml:space="preserve">strategy_layer/scorecard/measures[15]/traces_to</t>
  </si>
  <si>
    <t xml:space="preserve">strategy_layer/scorecard/objectives[0]/id</t>
  </si>
  <si>
    <t xml:space="preserve">"F1"</t>
  </si>
  <si>
    <t xml:space="preserve">strategy_layer/scorecard/objectives[0]/perspective</t>
  </si>
  <si>
    <t xml:space="preserve">strategy_layer/scorecard/objectives[0]/objective</t>
  </si>
  <si>
    <t xml:space="preserve">strategy_layer/scorecard/objectives[0]/drives</t>
  </si>
  <si>
    <t xml:space="preserve">strategy_layer/scorecard/objectives[1]/id</t>
  </si>
  <si>
    <t xml:space="preserve">strategy_layer/scorecard/objectives[1]/perspective</t>
  </si>
  <si>
    <t xml:space="preserve">strategy_layer/scorecard/objectives[1]/objective</t>
  </si>
  <si>
    <t xml:space="preserve">strategy_layer/scorecard/objectives[1]/drives</t>
  </si>
  <si>
    <t xml:space="preserve">strategy_layer/scorecard/objectives[2]/id</t>
  </si>
  <si>
    <t xml:space="preserve">strategy_layer/scorecard/objectives[2]/perspective</t>
  </si>
  <si>
    <t xml:space="preserve">strategy_layer/scorecard/objectives[2]/objective</t>
  </si>
  <si>
    <t xml:space="preserve">strategy_layer/scorecard/objectives[2]/drives</t>
  </si>
  <si>
    <t xml:space="preserve">strategy_layer/scorecard/objectives[3]/id</t>
  </si>
  <si>
    <t xml:space="preserve">"L1"</t>
  </si>
  <si>
    <t xml:space="preserve">strategy_layer/scorecard/objectives[3]/perspective</t>
  </si>
  <si>
    <t xml:space="preserve">strategy_layer/scorecard/objectives[3]/objective</t>
  </si>
  <si>
    <t xml:space="preserve">strategy_layer/scorecard/objectives[3]/drives</t>
  </si>
  <si>
    <t xml:space="preserve">strategy_layer/scorecard/objectives[4]/id</t>
  </si>
  <si>
    <t xml:space="preserve">strategy_layer/scorecard/objectives[4]/perspective</t>
  </si>
  <si>
    <t xml:space="preserve">strategy_layer/scorecard/objectives[4]/objective</t>
  </si>
  <si>
    <t xml:space="preserve">strategy_layer/scorecard/objectives[4]/drives</t>
  </si>
  <si>
    <t xml:space="preserve">strategy_layer/scorecard/objectives[5]/id</t>
  </si>
  <si>
    <t xml:space="preserve">strategy_layer/scorecard/objectives[5]/perspective</t>
  </si>
  <si>
    <t xml:space="preserve">strategy_layer/scorecard/objectives[5]/objective</t>
  </si>
  <si>
    <t xml:space="preserve">strategy_layer/scorecard/objectives[5]/drives</t>
  </si>
  <si>
    <t xml:space="preserve">strategy_layer/scorecard/objectives[6]/id</t>
  </si>
  <si>
    <t xml:space="preserve">strategy_layer/scorecard/objectives[6]/perspective</t>
  </si>
  <si>
    <t xml:space="preserve">strategy_layer/scorecard/objectives[6]/objective</t>
  </si>
  <si>
    <t xml:space="preserve">strategy_layer/scorecard/objectives[6]/drives</t>
  </si>
  <si>
    <t xml:space="preserve">strategy_layer/scorecard/objectives[7]/id</t>
  </si>
  <si>
    <t xml:space="preserve">strategy_layer/scorecard/objectives[7]/perspective</t>
  </si>
  <si>
    <t xml:space="preserve">strategy_layer/scorecard/objectives[7]/objective</t>
  </si>
  <si>
    <t xml:space="preserve">strategy_layer/scorecard/objectives[7]/drives</t>
  </si>
  <si>
    <t xml:space="preserve">strategy_layer/scorecard/objectives[8]/id</t>
  </si>
  <si>
    <t xml:space="preserve">strategy_layer/scorecard/objectives[8]/perspective</t>
  </si>
  <si>
    <t xml:space="preserve">strategy_layer/scorecard/objectives[8]/objective</t>
  </si>
  <si>
    <t xml:space="preserve">strategy_layer/scorecard/objectives[8]/drives</t>
  </si>
  <si>
    <t xml:space="preserve">strategy_layer/scorecard/objectives[9]/id</t>
  </si>
  <si>
    <t xml:space="preserve">strategy_layer/scorecard/objectives[9]/perspective</t>
  </si>
  <si>
    <t xml:space="preserve">strategy_layer/scorecard/objectives[9]/objective</t>
  </si>
  <si>
    <t xml:space="preserve">strategy_layer/scorecard/objectives[9]/drives</t>
  </si>
  <si>
    <t xml:space="preserve">strategy_layer/scorecard/objectives[10]/id</t>
  </si>
  <si>
    <t xml:space="preserve">strategy_layer/scorecard/objectives[10]/perspective</t>
  </si>
  <si>
    <t xml:space="preserve">strategy_layer/scorecard/objectives[10]/objective</t>
  </si>
  <si>
    <t xml:space="preserve">strategy_layer/scorecard/objectives[10]/drives</t>
  </si>
  <si>
    <t xml:space="preserve">strategy_layer/scorecard/objectives[11]/id</t>
  </si>
  <si>
    <t xml:space="preserve">strategy_layer/scorecard/objectives[11]/perspective</t>
  </si>
  <si>
    <t xml:space="preserve">strategy_layer/scorecard/objectives[11]/objective</t>
  </si>
  <si>
    <t xml:space="preserve">strategy_layer/scorecard/objectives[11]/drives</t>
  </si>
  <si>
    <t xml:space="preserve">strategy_layer/scorecard/objectives[12]/id</t>
  </si>
  <si>
    <t xml:space="preserve">strategy_layer/scorecard/objectives[12]/perspective</t>
  </si>
  <si>
    <t xml:space="preserve">strategy_layer/scorecard/objectives[12]/objective</t>
  </si>
  <si>
    <t xml:space="preserve">strategy_layer/scorecard/objectives[12]/drives</t>
  </si>
  <si>
    <t xml:space="preserve">strategy_layer/scorecard/objectives[13]/id</t>
  </si>
  <si>
    <t xml:space="preserve">strategy_layer/scorecard/objectives[13]/perspective</t>
  </si>
  <si>
    <t xml:space="preserve">strategy_layer/scorecard/objectives[13]/objective</t>
  </si>
  <si>
    <t xml:space="preserve">strategy_layer/scorecard/objectives[13]/drives</t>
  </si>
  <si>
    <t xml:space="preserve">strategy_layer/scorecard/objectives[14]/id</t>
  </si>
  <si>
    <t xml:space="preserve">strategy_layer/scorecard/objectives[14]/perspective</t>
  </si>
  <si>
    <t xml:space="preserve">strategy_layer/scorecard/objectives[14]/objective</t>
  </si>
  <si>
    <t xml:space="preserve">strategy_layer/scorecard/objectives[14]/drives</t>
  </si>
  <si>
    <t xml:space="preserve">strategy_layer/scorecard/objectives[15]/id</t>
  </si>
  <si>
    <t xml:space="preserve">strategy_layer/scorecard/objectives[15]/perspective</t>
  </si>
  <si>
    <t xml:space="preserve">strategy_layer/scorecard/objectives[15]/objective</t>
  </si>
  <si>
    <t xml:space="preserve">strategy_layer/scorecard/objectives[15]/drives</t>
  </si>
  <si>
    <t xml:space="preserve">globus/change_threshold</t>
  </si>
  <si>
    <t xml:space="preserve">globus/plans/6/strategy.camera</t>
  </si>
  <si>
    <t xml:space="preserve">"Best-cost"</t>
  </si>
  <si>
    <t xml:space="preserve">globus/plans/7/strategy.camera</t>
  </si>
  <si>
    <t xml:space="preserve">globus/plans/8/strategy.camera</t>
  </si>
  <si>
    <t xml:space="preserve">globus/plans/9/strategy.camera</t>
  </si>
  <si>
    <t xml:space="preserve">globus/plans/10/strategy.camera</t>
  </si>
  <si>
    <t xml:space="preserve">globus/plans/11/strategy.camera</t>
  </si>
  <si>
    <t xml:space="preserve">globus/plans/12/strategy.camera</t>
  </si>
  <si>
    <t xml:space="preserve">globus/plans/13/strategy.camera</t>
  </si>
  <si>
    <t xml:space="preserve">globus/plans/14/strategy.camera</t>
  </si>
  <si>
    <t xml:space="preserve">N6</t>
  </si>
  <si>
    <t xml:space="preserve">globus/plans/15/strategy.camera</t>
  </si>
  <si>
    <t xml:space="preserve">globus/plans/6/strategy.drone</t>
  </si>
  <si>
    <t xml:space="preserve">"Focused differentiation"</t>
  </si>
  <si>
    <t xml:space="preserve">globus/plans/7/strategy.drone</t>
  </si>
  <si>
    <t xml:space="preserve">globus/plans/8/strategy.drone</t>
  </si>
  <si>
    <t xml:space="preserve">globus/plans/9/strategy.drone</t>
  </si>
  <si>
    <t xml:space="preserve">globus/plans/10/strategy.drone</t>
  </si>
  <si>
    <t xml:space="preserve">globus/plans/11/strategy.drone</t>
  </si>
  <si>
    <t xml:space="preserve">globus/plans/12/strategy.drone</t>
  </si>
  <si>
    <t xml:space="preserve">globus/plans/13/strategy.drone</t>
  </si>
  <si>
    <t xml:space="preserve">globus/plans/14/strategy.drone</t>
  </si>
  <si>
    <t xml:space="preserve">N7</t>
  </si>
  <si>
    <t xml:space="preserve">globus/plans/15/strategy.drone</t>
  </si>
  <si>
    <t xml:space="preserve">globus/plans/6/design.camera.pq</t>
  </si>
  <si>
    <t xml:space="preserve">globus/plans/7/design.camera.pq</t>
  </si>
  <si>
    <t xml:space="preserve">globus/plans/8/design.camera.pq</t>
  </si>
  <si>
    <t xml:space="preserve">globus/plans/9/design.camera.pq</t>
  </si>
  <si>
    <t xml:space="preserve">globus/plans/10/design.camera.pq</t>
  </si>
  <si>
    <t xml:space="preserve">globus/plans/11/design.camera.pq</t>
  </si>
  <si>
    <t xml:space="preserve">globus/plans/12/design.camera.pq</t>
  </si>
  <si>
    <t xml:space="preserve">globus/plans/13/design.camera.pq</t>
  </si>
  <si>
    <t xml:space="preserve">globus/plans/14/design.camera.pq</t>
  </si>
  <si>
    <t xml:space="preserve">N8</t>
  </si>
  <si>
    <t xml:space="preserve">globus/plans/15/design.camera.pq</t>
  </si>
  <si>
    <t xml:space="preserve">globus/plans/6/design.drone.pq</t>
  </si>
  <si>
    <t xml:space="preserve">globus/plans/7/design.drone.pq</t>
  </si>
  <si>
    <t xml:space="preserve">globus/plans/8/design.drone.pq</t>
  </si>
  <si>
    <t xml:space="preserve">globus/plans/9/design.drone.pq</t>
  </si>
  <si>
    <t xml:space="preserve">globus/plans/10/design.drone.pq</t>
  </si>
  <si>
    <t xml:space="preserve">globus/plans/11/design.drone.pq</t>
  </si>
  <si>
    <t xml:space="preserve">globus/plans/12/design.drone.pq</t>
  </si>
  <si>
    <t xml:space="preserve">globus/plans/13/design.drone.pq</t>
  </si>
  <si>
    <t xml:space="preserve">globus/plans/14/design.drone.pq</t>
  </si>
  <si>
    <t xml:space="preserve">N9</t>
  </si>
  <si>
    <t xml:space="preserve">globus/plans/15/design.drone.pq</t>
  </si>
  <si>
    <t xml:space="preserve">globus/plans/6/design.camera.models</t>
  </si>
  <si>
    <t xml:space="preserve">globus/plans/7/design.camera.models</t>
  </si>
  <si>
    <t xml:space="preserve">globus/plans/8/design.camera.models</t>
  </si>
  <si>
    <t xml:space="preserve">globus/plans/9/design.camera.models</t>
  </si>
  <si>
    <t xml:space="preserve">globus/plans/10/design.camera.models</t>
  </si>
  <si>
    <t xml:space="preserve">globus/plans/11/design.camera.models</t>
  </si>
  <si>
    <t xml:space="preserve">globus/plans/12/design.camera.models</t>
  </si>
  <si>
    <t xml:space="preserve">globus/plans/13/design.camera.models</t>
  </si>
  <si>
    <t xml:space="preserve">M10</t>
  </si>
  <si>
    <t xml:space="preserve">globus/plans/14/design.camera.models</t>
  </si>
  <si>
    <t xml:space="preserve">N10</t>
  </si>
  <si>
    <t xml:space="preserve">globus/plans/15/design.camera.models</t>
  </si>
  <si>
    <t xml:space="preserve">globus/plans/6/design.drone.models</t>
  </si>
  <si>
    <t xml:space="preserve">globus/plans/7/design.drone.models</t>
  </si>
  <si>
    <t xml:space="preserve">globus/plans/8/design.drone.models</t>
  </si>
  <si>
    <t xml:space="preserve">globus/plans/9/design.drone.models</t>
  </si>
  <si>
    <t xml:space="preserve">globus/plans/10/design.drone.models</t>
  </si>
  <si>
    <t xml:space="preserve">globus/plans/11/design.drone.models</t>
  </si>
  <si>
    <t xml:space="preserve">globus/plans/12/design.drone.models</t>
  </si>
  <si>
    <t xml:space="preserve">globus/plans/13/design.drone.models</t>
  </si>
  <si>
    <t xml:space="preserve">M11</t>
  </si>
  <si>
    <t xml:space="preserve">globus/plans/14/design.drone.models</t>
  </si>
  <si>
    <t xml:space="preserve">N11</t>
  </si>
  <si>
    <t xml:space="preserve">globus/plans/15/design.drone.models</t>
  </si>
  <si>
    <t xml:space="preserve">globus/plans/6/design.camera.rd</t>
  </si>
  <si>
    <t xml:space="preserve">globus/plans/7/design.camera.rd</t>
  </si>
  <si>
    <t xml:space="preserve">globus/plans/8/design.camera.rd</t>
  </si>
  <si>
    <t xml:space="preserve">globus/plans/9/design.camera.rd</t>
  </si>
  <si>
    <t xml:space="preserve">globus/plans/10/design.camera.rd</t>
  </si>
  <si>
    <t xml:space="preserve">globus/plans/11/design.camera.rd</t>
  </si>
  <si>
    <t xml:space="preserve">globus/plans/12/design.camera.rd</t>
  </si>
  <si>
    <t xml:space="preserve">globus/plans/13/design.camera.rd</t>
  </si>
  <si>
    <t xml:space="preserve">M12</t>
  </si>
  <si>
    <t xml:space="preserve">globus/plans/14/design.camera.rd</t>
  </si>
  <si>
    <t xml:space="preserve">N12</t>
  </si>
  <si>
    <t xml:space="preserve">globus/plans/15/design.camera.rd</t>
  </si>
  <si>
    <t xml:space="preserve">globus/plans/6/design.drone.rd</t>
  </si>
  <si>
    <t xml:space="preserve">globus/plans/7/design.drone.rd</t>
  </si>
  <si>
    <t xml:space="preserve">globus/plans/8/design.drone.rd</t>
  </si>
  <si>
    <t xml:space="preserve">globus/plans/9/design.drone.rd</t>
  </si>
  <si>
    <t xml:space="preserve">globus/plans/10/design.drone.rd</t>
  </si>
  <si>
    <t xml:space="preserve">globus/plans/11/design.drone.rd</t>
  </si>
  <si>
    <t xml:space="preserve">globus/plans/12/design.drone.rd</t>
  </si>
  <si>
    <t xml:space="preserve">globus/plans/13/design.drone.rd</t>
  </si>
  <si>
    <t xml:space="preserve">M13</t>
  </si>
  <si>
    <t xml:space="preserve">globus/plans/14/design.drone.rd</t>
  </si>
  <si>
    <t xml:space="preserve">N13</t>
  </si>
  <si>
    <t xml:space="preserve">globus/plans/15/design.drone.rd</t>
  </si>
  <si>
    <t xml:space="preserve">globus/plans/6/mkt.camera.na.price</t>
  </si>
  <si>
    <t xml:space="preserve">264</t>
  </si>
  <si>
    <t xml:space="preserve">globus/plans/7/mkt.camera.na.price</t>
  </si>
  <si>
    <t xml:space="preserve">239</t>
  </si>
  <si>
    <t xml:space="preserve">globus/plans/8/mkt.camera.na.price</t>
  </si>
  <si>
    <t xml:space="preserve">globus/plans/9/mkt.camera.na.price</t>
  </si>
  <si>
    <t xml:space="preserve">globus/plans/10/mkt.camera.na.price</t>
  </si>
  <si>
    <t xml:space="preserve">globus/plans/11/mkt.camera.na.price</t>
  </si>
  <si>
    <t xml:space="preserve">globus/plans/12/mkt.camera.na.price</t>
  </si>
  <si>
    <t xml:space="preserve">globus/plans/13/mkt.camera.na.price</t>
  </si>
  <si>
    <t xml:space="preserve">M14</t>
  </si>
  <si>
    <t xml:space="preserve">globus/plans/14/mkt.camera.na.price</t>
  </si>
  <si>
    <t xml:space="preserve">N14</t>
  </si>
  <si>
    <t xml:space="preserve">globus/plans/15/mkt.camera.na.price</t>
  </si>
  <si>
    <t xml:space="preserve">globus/plans/6/mkt.camera.ea.price</t>
  </si>
  <si>
    <t xml:space="preserve">270</t>
  </si>
  <si>
    <t xml:space="preserve">globus/plans/7/mkt.camera.ea.price</t>
  </si>
  <si>
    <t xml:space="preserve">272</t>
  </si>
  <si>
    <t xml:space="preserve">globus/plans/8/mkt.camera.ea.price</t>
  </si>
  <si>
    <t xml:space="preserve">262</t>
  </si>
  <si>
    <t xml:space="preserve">globus/plans/9/mkt.camera.ea.price</t>
  </si>
  <si>
    <t xml:space="preserve">globus/plans/10/mkt.camera.ea.price</t>
  </si>
  <si>
    <t xml:space="preserve">globus/plans/11/mkt.camera.ea.price</t>
  </si>
  <si>
    <t xml:space="preserve">globus/plans/12/mkt.camera.ea.price</t>
  </si>
  <si>
    <t xml:space="preserve">globus/plans/13/mkt.camera.ea.price</t>
  </si>
  <si>
    <t xml:space="preserve">M15</t>
  </si>
  <si>
    <t xml:space="preserve">globus/plans/14/mkt.camera.ea.price</t>
  </si>
  <si>
    <t xml:space="preserve">N15</t>
  </si>
  <si>
    <t xml:space="preserve">globus/plans/15/mkt.camera.ea.price</t>
  </si>
  <si>
    <t xml:space="preserve">globus/plans/6/mkt.camera.ap.price</t>
  </si>
  <si>
    <t xml:space="preserve">globus/plans/7/mkt.camera.ap.price</t>
  </si>
  <si>
    <t xml:space="preserve">globus/plans/8/mkt.camera.ap.price</t>
  </si>
  <si>
    <t xml:space="preserve">globus/plans/9/mkt.camera.ap.price</t>
  </si>
  <si>
    <t xml:space="preserve">globus/plans/10/mkt.camera.ap.price</t>
  </si>
  <si>
    <t xml:space="preserve">globus/plans/11/mkt.camera.ap.price</t>
  </si>
  <si>
    <t xml:space="preserve">globus/plans/12/mkt.camera.ap.price</t>
  </si>
  <si>
    <t xml:space="preserve">globus/plans/13/mkt.camera.ap.price</t>
  </si>
  <si>
    <t xml:space="preserve">M16</t>
  </si>
  <si>
    <t xml:space="preserve">globus/plans/14/mkt.camera.ap.price</t>
  </si>
  <si>
    <t xml:space="preserve">N16</t>
  </si>
  <si>
    <t xml:space="preserve">globus/plans/15/mkt.camera.ap.price</t>
  </si>
  <si>
    <t xml:space="preserve">globus/plans/6/mkt.camera.la.price</t>
  </si>
  <si>
    <t xml:space="preserve">globus/plans/7/mkt.camera.la.price</t>
  </si>
  <si>
    <t xml:space="preserve">globus/plans/8/mkt.camera.la.price</t>
  </si>
  <si>
    <t xml:space="preserve">globus/plans/9/mkt.camera.la.price</t>
  </si>
  <si>
    <t xml:space="preserve">globus/plans/10/mkt.camera.la.price</t>
  </si>
  <si>
    <t xml:space="preserve">globus/plans/11/mkt.camera.la.price</t>
  </si>
  <si>
    <t xml:space="preserve">globus/plans/12/mkt.camera.la.price</t>
  </si>
  <si>
    <t xml:space="preserve">globus/plans/13/mkt.camera.la.price</t>
  </si>
  <si>
    <t xml:space="preserve">M17</t>
  </si>
  <si>
    <t xml:space="preserve">globus/plans/14/mkt.camera.la.price</t>
  </si>
  <si>
    <t xml:space="preserve">N17</t>
  </si>
  <si>
    <t xml:space="preserve">globus/plans/15/mkt.camera.la.price</t>
  </si>
  <si>
    <t xml:space="preserve">globus/plans/6/mkt.drone.na.price</t>
  </si>
  <si>
    <t xml:space="preserve">globus/plans/7/mkt.drone.na.price</t>
  </si>
  <si>
    <t xml:space="preserve">globus/plans/8/mkt.drone.na.price</t>
  </si>
  <si>
    <t xml:space="preserve">globus/plans/9/mkt.drone.na.price</t>
  </si>
  <si>
    <t xml:space="preserve">globus/plans/10/mkt.drone.na.price</t>
  </si>
  <si>
    <t xml:space="preserve">globus/plans/11/mkt.drone.na.price</t>
  </si>
  <si>
    <t xml:space="preserve">globus/plans/12/mkt.drone.na.price</t>
  </si>
  <si>
    <t xml:space="preserve">globus/plans/13/mkt.drone.na.price</t>
  </si>
  <si>
    <t xml:space="preserve">M18</t>
  </si>
  <si>
    <t xml:space="preserve">globus/plans/14/mkt.drone.na.price</t>
  </si>
  <si>
    <t xml:space="preserve">N18</t>
  </si>
  <si>
    <t xml:space="preserve">globus/plans/15/mkt.drone.na.price</t>
  </si>
  <si>
    <t xml:space="preserve">globus/plans/6/mkt.drone.ea.price</t>
  </si>
  <si>
    <t xml:space="preserve">globus/plans/7/mkt.drone.ea.price</t>
  </si>
  <si>
    <t xml:space="preserve">globus/plans/8/mkt.drone.ea.price</t>
  </si>
  <si>
    <t xml:space="preserve">globus/plans/9/mkt.drone.ea.price</t>
  </si>
  <si>
    <t xml:space="preserve">globus/plans/10/mkt.drone.ea.price</t>
  </si>
  <si>
    <t xml:space="preserve">globus/plans/11/mkt.drone.ea.price</t>
  </si>
  <si>
    <t xml:space="preserve">globus/plans/12/mkt.drone.ea.price</t>
  </si>
  <si>
    <t xml:space="preserve">globus/plans/13/mkt.drone.ea.price</t>
  </si>
  <si>
    <t xml:space="preserve">M19</t>
  </si>
  <si>
    <t xml:space="preserve">globus/plans/14/mkt.drone.ea.price</t>
  </si>
  <si>
    <t xml:space="preserve">N19</t>
  </si>
  <si>
    <t xml:space="preserve">globus/plans/15/mkt.drone.ea.price</t>
  </si>
  <si>
    <t xml:space="preserve">globus/plans/6/mkt.drone.ap.price</t>
  </si>
  <si>
    <t xml:space="preserve">globus/plans/7/mkt.drone.ap.price</t>
  </si>
  <si>
    <t xml:space="preserve">globus/plans/8/mkt.drone.ap.price</t>
  </si>
  <si>
    <t xml:space="preserve">globus/plans/9/mkt.drone.ap.price</t>
  </si>
  <si>
    <t xml:space="preserve">globus/plans/10/mkt.drone.ap.price</t>
  </si>
  <si>
    <t xml:space="preserve">globus/plans/11/mkt.drone.ap.price</t>
  </si>
  <si>
    <t xml:space="preserve">globus/plans/12/mkt.drone.ap.price</t>
  </si>
  <si>
    <t xml:space="preserve">globus/plans/13/mkt.drone.ap.price</t>
  </si>
  <si>
    <t xml:space="preserve">M20</t>
  </si>
  <si>
    <t xml:space="preserve">globus/plans/14/mkt.drone.ap.price</t>
  </si>
  <si>
    <t xml:space="preserve">N20</t>
  </si>
  <si>
    <t xml:space="preserve">globus/plans/15/mkt.drone.ap.price</t>
  </si>
  <si>
    <t xml:space="preserve">globus/plans/6/mkt.drone.la.price</t>
  </si>
  <si>
    <t xml:space="preserve">globus/plans/7/mkt.drone.la.price</t>
  </si>
  <si>
    <t xml:space="preserve">globus/plans/8/mkt.drone.la.price</t>
  </si>
  <si>
    <t xml:space="preserve">globus/plans/9/mkt.drone.la.price</t>
  </si>
  <si>
    <t xml:space="preserve">globus/plans/10/mkt.drone.la.price</t>
  </si>
  <si>
    <t xml:space="preserve">globus/plans/11/mkt.drone.la.price</t>
  </si>
  <si>
    <t xml:space="preserve">globus/plans/12/mkt.drone.la.price</t>
  </si>
  <si>
    <t xml:space="preserve">globus/plans/13/mkt.drone.la.price</t>
  </si>
  <si>
    <t xml:space="preserve">M21</t>
  </si>
  <si>
    <t xml:space="preserve">globus/plans/14/mkt.drone.la.price</t>
  </si>
  <si>
    <t xml:space="preserve">N21</t>
  </si>
  <si>
    <t xml:space="preserve">globus/plans/15/mkt.drone.la.price</t>
  </si>
  <si>
    <t xml:space="preserve">globus/plans/6/mkt.camera.na.ads</t>
  </si>
  <si>
    <t xml:space="preserve">7500</t>
  </si>
  <si>
    <t xml:space="preserve">globus/plans/7/mkt.camera.na.ads</t>
  </si>
  <si>
    <t xml:space="preserve">6500</t>
  </si>
  <si>
    <t xml:space="preserve">globus/plans/8/mkt.camera.na.ads</t>
  </si>
  <si>
    <t xml:space="preserve">6800</t>
  </si>
  <si>
    <t xml:space="preserve">globus/plans/9/mkt.camera.na.ads</t>
  </si>
  <si>
    <t xml:space="preserve">globus/plans/10/mkt.camera.na.ads</t>
  </si>
  <si>
    <t xml:space="preserve">J22</t>
  </si>
  <si>
    <t xml:space="preserve">globus/plans/11/mkt.camera.na.ads</t>
  </si>
  <si>
    <t xml:space="preserve">globus/plans/12/mkt.camera.na.ads</t>
  </si>
  <si>
    <t xml:space="preserve">L22</t>
  </si>
  <si>
    <t xml:space="preserve">globus/plans/13/mkt.camera.na.ads</t>
  </si>
  <si>
    <t xml:space="preserve">M22</t>
  </si>
  <si>
    <t xml:space="preserve">globus/plans/14/mkt.camera.na.ads</t>
  </si>
  <si>
    <t xml:space="preserve">N22</t>
  </si>
  <si>
    <t xml:space="preserve">globus/plans/15/mkt.camera.na.ads</t>
  </si>
  <si>
    <t xml:space="preserve">globus/plans/6/mkt.camera.ea.ads</t>
  </si>
  <si>
    <t xml:space="preserve">6000</t>
  </si>
  <si>
    <t xml:space="preserve">globus/plans/7/mkt.camera.ea.ads</t>
  </si>
  <si>
    <t xml:space="preserve">6100</t>
  </si>
  <si>
    <t xml:space="preserve">globus/plans/8/mkt.camera.ea.ads</t>
  </si>
  <si>
    <t xml:space="preserve">6200</t>
  </si>
  <si>
    <t xml:space="preserve">globus/plans/9/mkt.camera.ea.ads</t>
  </si>
  <si>
    <t xml:space="preserve">globus/plans/10/mkt.camera.ea.ads</t>
  </si>
  <si>
    <t xml:space="preserve">J23</t>
  </si>
  <si>
    <t xml:space="preserve">globus/plans/11/mkt.camera.ea.ads</t>
  </si>
  <si>
    <t xml:space="preserve">globus/plans/12/mkt.camera.ea.ads</t>
  </si>
  <si>
    <t xml:space="preserve">L23</t>
  </si>
  <si>
    <t xml:space="preserve">globus/plans/13/mkt.camera.ea.ads</t>
  </si>
  <si>
    <t xml:space="preserve">M23</t>
  </si>
  <si>
    <t xml:space="preserve">globus/plans/14/mkt.camera.ea.ads</t>
  </si>
  <si>
    <t xml:space="preserve">N23</t>
  </si>
  <si>
    <t xml:space="preserve">globus/plans/15/mkt.camera.ea.ads</t>
  </si>
  <si>
    <t xml:space="preserve">globus/plans/6/mkt.camera.ap.ads</t>
  </si>
  <si>
    <t xml:space="preserve">globus/plans/7/mkt.camera.ap.ads</t>
  </si>
  <si>
    <t xml:space="preserve">globus/plans/8/mkt.camera.ap.ads</t>
  </si>
  <si>
    <t xml:space="preserve">globus/plans/9/mkt.camera.ap.ads</t>
  </si>
  <si>
    <t xml:space="preserve">globus/plans/10/mkt.camera.ap.ads</t>
  </si>
  <si>
    <t xml:space="preserve">J24</t>
  </si>
  <si>
    <t xml:space="preserve">globus/plans/11/mkt.camera.ap.ads</t>
  </si>
  <si>
    <t xml:space="preserve">globus/plans/12/mkt.camera.ap.ads</t>
  </si>
  <si>
    <t xml:space="preserve">L24</t>
  </si>
  <si>
    <t xml:space="preserve">globus/plans/13/mkt.camera.ap.ads</t>
  </si>
  <si>
    <t xml:space="preserve">M24</t>
  </si>
  <si>
    <t xml:space="preserve">globus/plans/14/mkt.camera.ap.ads</t>
  </si>
  <si>
    <t xml:space="preserve">N24</t>
  </si>
  <si>
    <t xml:space="preserve">globus/plans/15/mkt.camera.ap.ads</t>
  </si>
  <si>
    <t xml:space="preserve">globus/plans/6/mkt.camera.la.ads</t>
  </si>
  <si>
    <t xml:space="preserve">globus/plans/7/mkt.camera.la.ads</t>
  </si>
  <si>
    <t xml:space="preserve">globus/plans/8/mkt.camera.la.ads</t>
  </si>
  <si>
    <t xml:space="preserve">globus/plans/9/mkt.camera.la.ads</t>
  </si>
  <si>
    <t xml:space="preserve">globus/plans/10/mkt.camera.la.ads</t>
  </si>
  <si>
    <t xml:space="preserve">J25</t>
  </si>
  <si>
    <t xml:space="preserve">globus/plans/11/mkt.camera.la.ads</t>
  </si>
  <si>
    <t xml:space="preserve">globus/plans/12/mkt.camera.la.ads</t>
  </si>
  <si>
    <t xml:space="preserve">L25</t>
  </si>
  <si>
    <t xml:space="preserve">globus/plans/13/mkt.camera.la.ads</t>
  </si>
  <si>
    <t xml:space="preserve">M25</t>
  </si>
  <si>
    <t xml:space="preserve">globus/plans/14/mkt.camera.la.ads</t>
  </si>
  <si>
    <t xml:space="preserve">N25</t>
  </si>
  <si>
    <t xml:space="preserve">globus/plans/15/mkt.camera.la.ads</t>
  </si>
  <si>
    <t xml:space="preserve">globus/plans/6/mkt.drone.na.ads</t>
  </si>
  <si>
    <t xml:space="preserve">globus/plans/7/mkt.drone.na.ads</t>
  </si>
  <si>
    <t xml:space="preserve">globus/plans/8/mkt.drone.na.ads</t>
  </si>
  <si>
    <t xml:space="preserve">globus/plans/9/mkt.drone.na.ads</t>
  </si>
  <si>
    <t xml:space="preserve">globus/plans/10/mkt.drone.na.ads</t>
  </si>
  <si>
    <t xml:space="preserve">J26</t>
  </si>
  <si>
    <t xml:space="preserve">globus/plans/11/mkt.drone.na.ads</t>
  </si>
  <si>
    <t xml:space="preserve">K26</t>
  </si>
  <si>
    <t xml:space="preserve">globus/plans/12/mkt.drone.na.ads</t>
  </si>
  <si>
    <t xml:space="preserve">L26</t>
  </si>
  <si>
    <t xml:space="preserve">globus/plans/13/mkt.drone.na.ads</t>
  </si>
  <si>
    <t xml:space="preserve">M26</t>
  </si>
  <si>
    <t xml:space="preserve">globus/plans/14/mkt.drone.na.ads</t>
  </si>
  <si>
    <t xml:space="preserve">N26</t>
  </si>
  <si>
    <t xml:space="preserve">globus/plans/15/mkt.drone.na.ads</t>
  </si>
  <si>
    <t xml:space="preserve">globus/plans/6/mkt.drone.ea.ads</t>
  </si>
  <si>
    <t xml:space="preserve">globus/plans/7/mkt.drone.ea.ads</t>
  </si>
  <si>
    <t xml:space="preserve">globus/plans/8/mkt.drone.ea.ads</t>
  </si>
  <si>
    <t xml:space="preserve">globus/plans/9/mkt.drone.ea.ads</t>
  </si>
  <si>
    <t xml:space="preserve">globus/plans/10/mkt.drone.ea.ads</t>
  </si>
  <si>
    <t xml:space="preserve">J27</t>
  </si>
  <si>
    <t xml:space="preserve">globus/plans/11/mkt.drone.ea.ads</t>
  </si>
  <si>
    <t xml:space="preserve">K27</t>
  </si>
  <si>
    <t xml:space="preserve">globus/plans/12/mkt.drone.ea.ads</t>
  </si>
  <si>
    <t xml:space="preserve">L27</t>
  </si>
  <si>
    <t xml:space="preserve">globus/plans/13/mkt.drone.ea.ads</t>
  </si>
  <si>
    <t xml:space="preserve">M27</t>
  </si>
  <si>
    <t xml:space="preserve">globus/plans/14/mkt.drone.ea.ads</t>
  </si>
  <si>
    <t xml:space="preserve">N27</t>
  </si>
  <si>
    <t xml:space="preserve">globus/plans/15/mkt.drone.ea.ads</t>
  </si>
  <si>
    <t xml:space="preserve">globus/plans/6/mkt.drone.ap.ads</t>
  </si>
  <si>
    <t xml:space="preserve">globus/plans/7/mkt.drone.ap.ads</t>
  </si>
  <si>
    <t xml:space="preserve">globus/plans/8/mkt.drone.ap.ads</t>
  </si>
  <si>
    <t xml:space="preserve">globus/plans/9/mkt.drone.ap.ads</t>
  </si>
  <si>
    <t xml:space="preserve">globus/plans/10/mkt.drone.ap.ads</t>
  </si>
  <si>
    <t xml:space="preserve">J28</t>
  </si>
  <si>
    <t xml:space="preserve">globus/plans/11/mkt.drone.ap.ads</t>
  </si>
  <si>
    <t xml:space="preserve">K28</t>
  </si>
  <si>
    <t xml:space="preserve">globus/plans/12/mkt.drone.ap.ads</t>
  </si>
  <si>
    <t xml:space="preserve">L28</t>
  </si>
  <si>
    <t xml:space="preserve">globus/plans/13/mkt.drone.ap.ads</t>
  </si>
  <si>
    <t xml:space="preserve">M28</t>
  </si>
  <si>
    <t xml:space="preserve">globus/plans/14/mkt.drone.ap.ads</t>
  </si>
  <si>
    <t xml:space="preserve">N28</t>
  </si>
  <si>
    <t xml:space="preserve">globus/plans/15/mkt.drone.ap.ads</t>
  </si>
  <si>
    <t xml:space="preserve">globus/plans/6/mkt.drone.la.ads</t>
  </si>
  <si>
    <t xml:space="preserve">globus/plans/7/mkt.drone.la.ads</t>
  </si>
  <si>
    <t xml:space="preserve">globus/plans/8/mkt.drone.la.ads</t>
  </si>
  <si>
    <t xml:space="preserve">globus/plans/9/mkt.drone.la.ads</t>
  </si>
  <si>
    <t xml:space="preserve">globus/plans/10/mkt.drone.la.ads</t>
  </si>
  <si>
    <t xml:space="preserve">J29</t>
  </si>
  <si>
    <t xml:space="preserve">globus/plans/11/mkt.drone.la.ads</t>
  </si>
  <si>
    <t xml:space="preserve">K29</t>
  </si>
  <si>
    <t xml:space="preserve">globus/plans/12/mkt.drone.la.ads</t>
  </si>
  <si>
    <t xml:space="preserve">L29</t>
  </si>
  <si>
    <t xml:space="preserve">globus/plans/13/mkt.drone.la.ads</t>
  </si>
  <si>
    <t xml:space="preserve">M29</t>
  </si>
  <si>
    <t xml:space="preserve">globus/plans/14/mkt.drone.la.ads</t>
  </si>
  <si>
    <t xml:space="preserve">N29</t>
  </si>
  <si>
    <t xml:space="preserve">globus/plans/15/mkt.drone.la.ads</t>
  </si>
  <si>
    <t xml:space="preserve">globus/plans/6/mkt.camera.na.promo</t>
  </si>
  <si>
    <t xml:space="preserve">globus/plans/7/mkt.camera.na.promo</t>
  </si>
  <si>
    <t xml:space="preserve">globus/plans/8/mkt.camera.na.promo</t>
  </si>
  <si>
    <t xml:space="preserve">globus/plans/9/mkt.camera.na.promo</t>
  </si>
  <si>
    <t xml:space="preserve">globus/plans/10/mkt.camera.na.promo</t>
  </si>
  <si>
    <t xml:space="preserve">J30</t>
  </si>
  <si>
    <t xml:space="preserve">globus/plans/11/mkt.camera.na.promo</t>
  </si>
  <si>
    <t xml:space="preserve">K30</t>
  </si>
  <si>
    <t xml:space="preserve">globus/plans/12/mkt.camera.na.promo</t>
  </si>
  <si>
    <t xml:space="preserve">L30</t>
  </si>
  <si>
    <t xml:space="preserve">globus/plans/13/mkt.camera.na.promo</t>
  </si>
  <si>
    <t xml:space="preserve">M30</t>
  </si>
  <si>
    <t xml:space="preserve">globus/plans/14/mkt.camera.na.promo</t>
  </si>
  <si>
    <t xml:space="preserve">N30</t>
  </si>
  <si>
    <t xml:space="preserve">globus/plans/15/mkt.camera.na.promo</t>
  </si>
  <si>
    <t xml:space="preserve">globus/plans/6/mkt.camera.ea.promo</t>
  </si>
  <si>
    <t xml:space="preserve">globus/plans/7/mkt.camera.ea.promo</t>
  </si>
  <si>
    <t xml:space="preserve">globus/plans/8/mkt.camera.ea.promo</t>
  </si>
  <si>
    <t xml:space="preserve">globus/plans/9/mkt.camera.ea.promo</t>
  </si>
  <si>
    <t xml:space="preserve">globus/plans/10/mkt.camera.ea.promo</t>
  </si>
  <si>
    <t xml:space="preserve">J31</t>
  </si>
  <si>
    <t xml:space="preserve">globus/plans/11/mkt.camera.ea.promo</t>
  </si>
  <si>
    <t xml:space="preserve">K31</t>
  </si>
  <si>
    <t xml:space="preserve">globus/plans/12/mkt.camera.ea.promo</t>
  </si>
  <si>
    <t xml:space="preserve">L31</t>
  </si>
  <si>
    <t xml:space="preserve">globus/plans/13/mkt.camera.ea.promo</t>
  </si>
  <si>
    <t xml:space="preserve">M31</t>
  </si>
  <si>
    <t xml:space="preserve">globus/plans/14/mkt.camera.ea.promo</t>
  </si>
  <si>
    <t xml:space="preserve">N31</t>
  </si>
  <si>
    <t xml:space="preserve">globus/plans/15/mkt.camera.ea.promo</t>
  </si>
  <si>
    <t xml:space="preserve">globus/plans/6/mkt.camera.ap.promo</t>
  </si>
  <si>
    <t xml:space="preserve">globus/plans/7/mkt.camera.ap.promo</t>
  </si>
  <si>
    <t xml:space="preserve">globus/plans/8/mkt.camera.ap.promo</t>
  </si>
  <si>
    <t xml:space="preserve">globus/plans/9/mkt.camera.ap.promo</t>
  </si>
  <si>
    <t xml:space="preserve">globus/plans/10/mkt.camera.ap.promo</t>
  </si>
  <si>
    <t xml:space="preserve">globus/plans/11/mkt.camera.ap.promo</t>
  </si>
  <si>
    <t xml:space="preserve">K32</t>
  </si>
  <si>
    <t xml:space="preserve">globus/plans/12/mkt.camera.ap.promo</t>
  </si>
  <si>
    <t xml:space="preserve">L32</t>
  </si>
  <si>
    <t xml:space="preserve">globus/plans/13/mkt.camera.ap.promo</t>
  </si>
  <si>
    <t xml:space="preserve">M32</t>
  </si>
  <si>
    <t xml:space="preserve">globus/plans/14/mkt.camera.ap.promo</t>
  </si>
  <si>
    <t xml:space="preserve">N32</t>
  </si>
  <si>
    <t xml:space="preserve">globus/plans/15/mkt.camera.ap.promo</t>
  </si>
  <si>
    <t xml:space="preserve">globus/plans/6/mkt.camera.la.promo</t>
  </si>
  <si>
    <t xml:space="preserve">globus/plans/7/mkt.camera.la.promo</t>
  </si>
  <si>
    <t xml:space="preserve">globus/plans/8/mkt.camera.la.promo</t>
  </si>
  <si>
    <t xml:space="preserve">globus/plans/9/mkt.camera.la.promo</t>
  </si>
  <si>
    <t xml:space="preserve">globus/plans/10/mkt.camera.la.promo</t>
  </si>
  <si>
    <t xml:space="preserve">globus/plans/11/mkt.camera.la.promo</t>
  </si>
  <si>
    <t xml:space="preserve">K33</t>
  </si>
  <si>
    <t xml:space="preserve">globus/plans/12/mkt.camera.la.promo</t>
  </si>
  <si>
    <t xml:space="preserve">L33</t>
  </si>
  <si>
    <t xml:space="preserve">globus/plans/13/mkt.camera.la.promo</t>
  </si>
  <si>
    <t xml:space="preserve">M33</t>
  </si>
  <si>
    <t xml:space="preserve">globus/plans/14/mkt.camera.la.promo</t>
  </si>
  <si>
    <t xml:space="preserve">N33</t>
  </si>
  <si>
    <t xml:space="preserve">globus/plans/15/mkt.camera.la.promo</t>
  </si>
  <si>
    <t xml:space="preserve">globus/plans/6/mkt.drone.na.promo</t>
  </si>
  <si>
    <t xml:space="preserve">globus/plans/7/mkt.drone.na.promo</t>
  </si>
  <si>
    <t xml:space="preserve">globus/plans/8/mkt.drone.na.promo</t>
  </si>
  <si>
    <t xml:space="preserve">globus/plans/9/mkt.drone.na.promo</t>
  </si>
  <si>
    <t xml:space="preserve">globus/plans/10/mkt.drone.na.promo</t>
  </si>
  <si>
    <t xml:space="preserve">globus/plans/11/mkt.drone.na.promo</t>
  </si>
  <si>
    <t xml:space="preserve">K34</t>
  </si>
  <si>
    <t xml:space="preserve">globus/plans/12/mkt.drone.na.promo</t>
  </si>
  <si>
    <t xml:space="preserve">L34</t>
  </si>
  <si>
    <t xml:space="preserve">globus/plans/13/mkt.drone.na.promo</t>
  </si>
  <si>
    <t xml:space="preserve">M34</t>
  </si>
  <si>
    <t xml:space="preserve">globus/plans/14/mkt.drone.na.promo</t>
  </si>
  <si>
    <t xml:space="preserve">N34</t>
  </si>
  <si>
    <t xml:space="preserve">globus/plans/15/mkt.drone.na.promo</t>
  </si>
  <si>
    <t xml:space="preserve">globus/plans/6/mkt.drone.ea.promo</t>
  </si>
  <si>
    <t xml:space="preserve">globus/plans/7/mkt.drone.ea.promo</t>
  </si>
  <si>
    <t xml:space="preserve">globus/plans/8/mkt.drone.ea.promo</t>
  </si>
  <si>
    <t xml:space="preserve">globus/plans/9/mkt.drone.ea.promo</t>
  </si>
  <si>
    <t xml:space="preserve">globus/plans/10/mkt.drone.ea.promo</t>
  </si>
  <si>
    <t xml:space="preserve">globus/plans/11/mkt.drone.ea.promo</t>
  </si>
  <si>
    <t xml:space="preserve">K35</t>
  </si>
  <si>
    <t xml:space="preserve">globus/plans/12/mkt.drone.ea.promo</t>
  </si>
  <si>
    <t xml:space="preserve">L35</t>
  </si>
  <si>
    <t xml:space="preserve">globus/plans/13/mkt.drone.ea.promo</t>
  </si>
  <si>
    <t xml:space="preserve">M35</t>
  </si>
  <si>
    <t xml:space="preserve">globus/plans/14/mkt.drone.ea.promo</t>
  </si>
  <si>
    <t xml:space="preserve">N35</t>
  </si>
  <si>
    <t xml:space="preserve">globus/plans/15/mkt.drone.ea.promo</t>
  </si>
  <si>
    <t xml:space="preserve">globus/plans/6/mkt.drone.ap.promo</t>
  </si>
  <si>
    <t xml:space="preserve">globus/plans/7/mkt.drone.ap.promo</t>
  </si>
  <si>
    <t xml:space="preserve">globus/plans/8/mkt.drone.ap.promo</t>
  </si>
  <si>
    <t xml:space="preserve">globus/plans/9/mkt.drone.ap.promo</t>
  </si>
  <si>
    <t xml:space="preserve">globus/plans/10/mkt.drone.ap.promo</t>
  </si>
  <si>
    <t xml:space="preserve">globus/plans/11/mkt.drone.ap.promo</t>
  </si>
  <si>
    <t xml:space="preserve">K36</t>
  </si>
  <si>
    <t xml:space="preserve">globus/plans/12/mkt.drone.ap.promo</t>
  </si>
  <si>
    <t xml:space="preserve">L36</t>
  </si>
  <si>
    <t xml:space="preserve">globus/plans/13/mkt.drone.ap.promo</t>
  </si>
  <si>
    <t xml:space="preserve">M36</t>
  </si>
  <si>
    <t xml:space="preserve">globus/plans/14/mkt.drone.ap.promo</t>
  </si>
  <si>
    <t xml:space="preserve">N36</t>
  </si>
  <si>
    <t xml:space="preserve">globus/plans/15/mkt.drone.ap.promo</t>
  </si>
  <si>
    <t xml:space="preserve">globus/plans/6/mkt.drone.la.promo</t>
  </si>
  <si>
    <t xml:space="preserve">globus/plans/7/mkt.drone.la.promo</t>
  </si>
  <si>
    <t xml:space="preserve">globus/plans/8/mkt.drone.la.promo</t>
  </si>
  <si>
    <t xml:space="preserve">globus/plans/9/mkt.drone.la.promo</t>
  </si>
  <si>
    <t xml:space="preserve">globus/plans/10/mkt.drone.la.promo</t>
  </si>
  <si>
    <t xml:space="preserve">J37</t>
  </si>
  <si>
    <t xml:space="preserve">globus/plans/11/mkt.drone.la.promo</t>
  </si>
  <si>
    <t xml:space="preserve">K37</t>
  </si>
  <si>
    <t xml:space="preserve">globus/plans/12/mkt.drone.la.promo</t>
  </si>
  <si>
    <t xml:space="preserve">L37</t>
  </si>
  <si>
    <t xml:space="preserve">globus/plans/13/mkt.drone.la.promo</t>
  </si>
  <si>
    <t xml:space="preserve">M37</t>
  </si>
  <si>
    <t xml:space="preserve">globus/plans/14/mkt.drone.la.promo</t>
  </si>
  <si>
    <t xml:space="preserve">N37</t>
  </si>
  <si>
    <t xml:space="preserve">globus/plans/15/mkt.drone.la.promo</t>
  </si>
  <si>
    <t xml:space="preserve">globus/plans/6/mkt.camera.na.warranty</t>
  </si>
  <si>
    <t xml:space="preserve">globus/plans/7/mkt.camera.na.warranty</t>
  </si>
  <si>
    <t xml:space="preserve">globus/plans/8/mkt.camera.na.warranty</t>
  </si>
  <si>
    <t xml:space="preserve">globus/plans/9/mkt.camera.na.warranty</t>
  </si>
  <si>
    <t xml:space="preserve">globus/plans/10/mkt.camera.na.warranty</t>
  </si>
  <si>
    <t xml:space="preserve">J38</t>
  </si>
  <si>
    <t xml:space="preserve">globus/plans/11/mkt.camera.na.warranty</t>
  </si>
  <si>
    <t xml:space="preserve">K38</t>
  </si>
  <si>
    <t xml:space="preserve">globus/plans/12/mkt.camera.na.warranty</t>
  </si>
  <si>
    <t xml:space="preserve">L38</t>
  </si>
  <si>
    <t xml:space="preserve">globus/plans/13/mkt.camera.na.warranty</t>
  </si>
  <si>
    <t xml:space="preserve">M38</t>
  </si>
  <si>
    <t xml:space="preserve">globus/plans/14/mkt.camera.na.warranty</t>
  </si>
  <si>
    <t xml:space="preserve">N38</t>
  </si>
  <si>
    <t xml:space="preserve">globus/plans/15/mkt.camera.na.warranty</t>
  </si>
  <si>
    <t xml:space="preserve">globus/plans/6/mkt.camera.ea.warranty</t>
  </si>
  <si>
    <t xml:space="preserve">globus/plans/7/mkt.camera.ea.warranty</t>
  </si>
  <si>
    <t xml:space="preserve">globus/plans/8/mkt.camera.ea.warranty</t>
  </si>
  <si>
    <t xml:space="preserve">globus/plans/9/mkt.camera.ea.warranty</t>
  </si>
  <si>
    <t xml:space="preserve">globus/plans/10/mkt.camera.ea.warranty</t>
  </si>
  <si>
    <t xml:space="preserve">J39</t>
  </si>
  <si>
    <t xml:space="preserve">globus/plans/11/mkt.camera.ea.warranty</t>
  </si>
  <si>
    <t xml:space="preserve">K39</t>
  </si>
  <si>
    <t xml:space="preserve">globus/plans/12/mkt.camera.ea.warranty</t>
  </si>
  <si>
    <t xml:space="preserve">L39</t>
  </si>
  <si>
    <t xml:space="preserve">globus/plans/13/mkt.camera.ea.warranty</t>
  </si>
  <si>
    <t xml:space="preserve">M39</t>
  </si>
  <si>
    <t xml:space="preserve">globus/plans/14/mkt.camera.ea.warranty</t>
  </si>
  <si>
    <t xml:space="preserve">N39</t>
  </si>
  <si>
    <t xml:space="preserve">globus/plans/15/mkt.camera.ea.warranty</t>
  </si>
  <si>
    <t xml:space="preserve">E40</t>
  </si>
  <si>
    <t xml:space="preserve">globus/plans/6/mkt.camera.ap.warranty</t>
  </si>
  <si>
    <t xml:space="preserve">F40</t>
  </si>
  <si>
    <t xml:space="preserve">globus/plans/7/mkt.camera.ap.warranty</t>
  </si>
  <si>
    <t xml:space="preserve">G40</t>
  </si>
  <si>
    <t xml:space="preserve">globus/plans/8/mkt.camera.ap.warranty</t>
  </si>
  <si>
    <t xml:space="preserve">globus/plans/9/mkt.camera.ap.warranty</t>
  </si>
  <si>
    <t xml:space="preserve">I40</t>
  </si>
  <si>
    <t xml:space="preserve">globus/plans/10/mkt.camera.ap.warranty</t>
  </si>
  <si>
    <t xml:space="preserve">J40</t>
  </si>
  <si>
    <t xml:space="preserve">globus/plans/11/mkt.camera.ap.warranty</t>
  </si>
  <si>
    <t xml:space="preserve">K40</t>
  </si>
  <si>
    <t xml:space="preserve">globus/plans/12/mkt.camera.ap.warranty</t>
  </si>
  <si>
    <t xml:space="preserve">L40</t>
  </si>
  <si>
    <t xml:space="preserve">globus/plans/13/mkt.camera.ap.warranty</t>
  </si>
  <si>
    <t xml:space="preserve">M40</t>
  </si>
  <si>
    <t xml:space="preserve">globus/plans/14/mkt.camera.ap.warranty</t>
  </si>
  <si>
    <t xml:space="preserve">N40</t>
  </si>
  <si>
    <t xml:space="preserve">globus/plans/15/mkt.camera.ap.warranty</t>
  </si>
  <si>
    <t xml:space="preserve">E41</t>
  </si>
  <si>
    <t xml:space="preserve">globus/plans/6/mkt.camera.la.warranty</t>
  </si>
  <si>
    <t xml:space="preserve">F41</t>
  </si>
  <si>
    <t xml:space="preserve">globus/plans/7/mkt.camera.la.warranty</t>
  </si>
  <si>
    <t xml:space="preserve">G41</t>
  </si>
  <si>
    <t xml:space="preserve">globus/plans/8/mkt.camera.la.warranty</t>
  </si>
  <si>
    <t xml:space="preserve">globus/plans/9/mkt.camera.la.warranty</t>
  </si>
  <si>
    <t xml:space="preserve">I41</t>
  </si>
  <si>
    <t xml:space="preserve">globus/plans/10/mkt.camera.la.warranty</t>
  </si>
  <si>
    <t xml:space="preserve">J41</t>
  </si>
  <si>
    <t xml:space="preserve">globus/plans/11/mkt.camera.la.warranty</t>
  </si>
  <si>
    <t xml:space="preserve">K41</t>
  </si>
  <si>
    <t xml:space="preserve">globus/plans/12/mkt.camera.la.warranty</t>
  </si>
  <si>
    <t xml:space="preserve">L41</t>
  </si>
  <si>
    <t xml:space="preserve">globus/plans/13/mkt.camera.la.warranty</t>
  </si>
  <si>
    <t xml:space="preserve">M41</t>
  </si>
  <si>
    <t xml:space="preserve">globus/plans/14/mkt.camera.la.warranty</t>
  </si>
  <si>
    <t xml:space="preserve">N41</t>
  </si>
  <si>
    <t xml:space="preserve">globus/plans/15/mkt.camera.la.warranty</t>
  </si>
  <si>
    <t xml:space="preserve">E42</t>
  </si>
  <si>
    <t xml:space="preserve">globus/plans/6/mkt.drone.na.warranty</t>
  </si>
  <si>
    <t xml:space="preserve">F42</t>
  </si>
  <si>
    <t xml:space="preserve">globus/plans/7/mkt.drone.na.warranty</t>
  </si>
  <si>
    <t xml:space="preserve">G42</t>
  </si>
  <si>
    <t xml:space="preserve">globus/plans/8/mkt.drone.na.warranty</t>
  </si>
  <si>
    <t xml:space="preserve">globus/plans/9/mkt.drone.na.warranty</t>
  </si>
  <si>
    <t xml:space="preserve">I42</t>
  </si>
  <si>
    <t xml:space="preserve">globus/plans/10/mkt.drone.na.warranty</t>
  </si>
  <si>
    <t xml:space="preserve">J42</t>
  </si>
  <si>
    <t xml:space="preserve">globus/plans/11/mkt.drone.na.warranty</t>
  </si>
  <si>
    <t xml:space="preserve">K42</t>
  </si>
  <si>
    <t xml:space="preserve">globus/plans/12/mkt.drone.na.warranty</t>
  </si>
  <si>
    <t xml:space="preserve">L42</t>
  </si>
  <si>
    <t xml:space="preserve">globus/plans/13/mkt.drone.na.warranty</t>
  </si>
  <si>
    <t xml:space="preserve">M42</t>
  </si>
  <si>
    <t xml:space="preserve">globus/plans/14/mkt.drone.na.warranty</t>
  </si>
  <si>
    <t xml:space="preserve">N42</t>
  </si>
  <si>
    <t xml:space="preserve">globus/plans/15/mkt.drone.na.warranty</t>
  </si>
  <si>
    <t xml:space="preserve">globus/plans/6/mkt.drone.ea.warranty</t>
  </si>
  <si>
    <t xml:space="preserve">globus/plans/7/mkt.drone.ea.warranty</t>
  </si>
  <si>
    <t xml:space="preserve">globus/plans/8/mkt.drone.ea.warranty</t>
  </si>
  <si>
    <t xml:space="preserve">globus/plans/9/mkt.drone.ea.warranty</t>
  </si>
  <si>
    <t xml:space="preserve">globus/plans/10/mkt.drone.ea.warranty</t>
  </si>
  <si>
    <t xml:space="preserve">J43</t>
  </si>
  <si>
    <t xml:space="preserve">globus/plans/11/mkt.drone.ea.warranty</t>
  </si>
  <si>
    <t xml:space="preserve">K43</t>
  </si>
  <si>
    <t xml:space="preserve">globus/plans/12/mkt.drone.ea.warranty</t>
  </si>
  <si>
    <t xml:space="preserve">L43</t>
  </si>
  <si>
    <t xml:space="preserve">globus/plans/13/mkt.drone.ea.warranty</t>
  </si>
  <si>
    <t xml:space="preserve">M43</t>
  </si>
  <si>
    <t xml:space="preserve">globus/plans/14/mkt.drone.ea.warranty</t>
  </si>
  <si>
    <t xml:space="preserve">N43</t>
  </si>
  <si>
    <t xml:space="preserve">globus/plans/15/mkt.drone.ea.warranty</t>
  </si>
  <si>
    <t xml:space="preserve">globus/plans/6/mkt.drone.ap.warranty</t>
  </si>
  <si>
    <t xml:space="preserve">globus/plans/7/mkt.drone.ap.warranty</t>
  </si>
  <si>
    <t xml:space="preserve">globus/plans/8/mkt.drone.ap.warranty</t>
  </si>
  <si>
    <t xml:space="preserve">globus/plans/9/mkt.drone.ap.warranty</t>
  </si>
  <si>
    <t xml:space="preserve">globus/plans/10/mkt.drone.ap.warranty</t>
  </si>
  <si>
    <t xml:space="preserve">J44</t>
  </si>
  <si>
    <t xml:space="preserve">globus/plans/11/mkt.drone.ap.warranty</t>
  </si>
  <si>
    <t xml:space="preserve">K44</t>
  </si>
  <si>
    <t xml:space="preserve">globus/plans/12/mkt.drone.ap.warranty</t>
  </si>
  <si>
    <t xml:space="preserve">L44</t>
  </si>
  <si>
    <t xml:space="preserve">globus/plans/13/mkt.drone.ap.warranty</t>
  </si>
  <si>
    <t xml:space="preserve">M44</t>
  </si>
  <si>
    <t xml:space="preserve">globus/plans/14/mkt.drone.ap.warranty</t>
  </si>
  <si>
    <t xml:space="preserve">N44</t>
  </si>
  <si>
    <t xml:space="preserve">globus/plans/15/mkt.drone.ap.warranty</t>
  </si>
  <si>
    <t xml:space="preserve">globus/plans/6/mkt.drone.la.warranty</t>
  </si>
  <si>
    <t xml:space="preserve">globus/plans/7/mkt.drone.la.warranty</t>
  </si>
  <si>
    <t xml:space="preserve">globus/plans/8/mkt.drone.la.warranty</t>
  </si>
  <si>
    <t xml:space="preserve">globus/plans/9/mkt.drone.la.warranty</t>
  </si>
  <si>
    <t xml:space="preserve">globus/plans/10/mkt.drone.la.warranty</t>
  </si>
  <si>
    <t xml:space="preserve">J45</t>
  </si>
  <si>
    <t xml:space="preserve">globus/plans/11/mkt.drone.la.warranty</t>
  </si>
  <si>
    <t xml:space="preserve">K45</t>
  </si>
  <si>
    <t xml:space="preserve">globus/plans/12/mkt.drone.la.warranty</t>
  </si>
  <si>
    <t xml:space="preserve">L45</t>
  </si>
  <si>
    <t xml:space="preserve">globus/plans/13/mkt.drone.la.warranty</t>
  </si>
  <si>
    <t xml:space="preserve">M45</t>
  </si>
  <si>
    <t xml:space="preserve">globus/plans/14/mkt.drone.la.warranty</t>
  </si>
  <si>
    <t xml:space="preserve">N45</t>
  </si>
  <si>
    <t xml:space="preserve">globus/plans/15/mkt.drone.la.warranty</t>
  </si>
  <si>
    <t xml:space="preserve">globus/plans/6/ops.camera.workstations</t>
  </si>
  <si>
    <t xml:space="preserve">globus/plans/7/ops.camera.workstations</t>
  </si>
  <si>
    <t xml:space="preserve">globus/plans/8/ops.camera.workstations</t>
  </si>
  <si>
    <t xml:space="preserve">globus/plans/9/ops.camera.workstations</t>
  </si>
  <si>
    <t xml:space="preserve">globus/plans/10/ops.camera.workstations</t>
  </si>
  <si>
    <t xml:space="preserve">J46</t>
  </si>
  <si>
    <t xml:space="preserve">globus/plans/11/ops.camera.workstations</t>
  </si>
  <si>
    <t xml:space="preserve">K46</t>
  </si>
  <si>
    <t xml:space="preserve">globus/plans/12/ops.camera.workstations</t>
  </si>
  <si>
    <t xml:space="preserve">L46</t>
  </si>
  <si>
    <t xml:space="preserve">globus/plans/13/ops.camera.workstations</t>
  </si>
  <si>
    <t xml:space="preserve">M46</t>
  </si>
  <si>
    <t xml:space="preserve">globus/plans/14/ops.camera.workstations</t>
  </si>
  <si>
    <t xml:space="preserve">N46</t>
  </si>
  <si>
    <t xml:space="preserve">globus/plans/15/ops.camera.workstations</t>
  </si>
  <si>
    <t xml:space="preserve">globus/plans/6/ops.drone.workstations</t>
  </si>
  <si>
    <t xml:space="preserve">globus/plans/7/ops.drone.workstations</t>
  </si>
  <si>
    <t xml:space="preserve">globus/plans/8/ops.drone.workstations</t>
  </si>
  <si>
    <t xml:space="preserve">globus/plans/9/ops.drone.workstations</t>
  </si>
  <si>
    <t xml:space="preserve">globus/plans/10/ops.drone.workstations</t>
  </si>
  <si>
    <t xml:space="preserve">J47</t>
  </si>
  <si>
    <t xml:space="preserve">globus/plans/11/ops.drone.workstations</t>
  </si>
  <si>
    <t xml:space="preserve">K47</t>
  </si>
  <si>
    <t xml:space="preserve">globus/plans/12/ops.drone.workstations</t>
  </si>
  <si>
    <t xml:space="preserve">L47</t>
  </si>
  <si>
    <t xml:space="preserve">globus/plans/13/ops.drone.workstations</t>
  </si>
  <si>
    <t xml:space="preserve">M47</t>
  </si>
  <si>
    <t xml:space="preserve">globus/plans/14/ops.drone.workstations</t>
  </si>
  <si>
    <t xml:space="preserve">N47</t>
  </si>
  <si>
    <t xml:space="preserve">globus/plans/15/ops.drone.workstations</t>
  </si>
  <si>
    <t xml:space="preserve">globus/plans/6/ops.camera.overtime</t>
  </si>
  <si>
    <t xml:space="preserve">globus/plans/7/ops.camera.overtime</t>
  </si>
  <si>
    <t xml:space="preserve">globus/plans/8/ops.camera.overtime</t>
  </si>
  <si>
    <t xml:space="preserve">globus/plans/9/ops.camera.overtime</t>
  </si>
  <si>
    <t xml:space="preserve">globus/plans/10/ops.camera.overtime</t>
  </si>
  <si>
    <t xml:space="preserve">J48</t>
  </si>
  <si>
    <t xml:space="preserve">globus/plans/11/ops.camera.overtime</t>
  </si>
  <si>
    <t xml:space="preserve">K48</t>
  </si>
  <si>
    <t xml:space="preserve">globus/plans/12/ops.camera.overtime</t>
  </si>
  <si>
    <t xml:space="preserve">L48</t>
  </si>
  <si>
    <t xml:space="preserve">globus/plans/13/ops.camera.overtime</t>
  </si>
  <si>
    <t xml:space="preserve">M48</t>
  </si>
  <si>
    <t xml:space="preserve">globus/plans/14/ops.camera.overtime</t>
  </si>
  <si>
    <t xml:space="preserve">N48</t>
  </si>
  <si>
    <t xml:space="preserve">globus/plans/15/ops.camera.overtime</t>
  </si>
  <si>
    <t xml:space="preserve">globus/plans/6/ops.drone.overtime</t>
  </si>
  <si>
    <t xml:space="preserve">globus/plans/7/ops.drone.overtime</t>
  </si>
  <si>
    <t xml:space="preserve">globus/plans/8/ops.drone.overtime</t>
  </si>
  <si>
    <t xml:space="preserve">globus/plans/9/ops.drone.overtime</t>
  </si>
  <si>
    <t xml:space="preserve">globus/plans/10/ops.drone.overtime</t>
  </si>
  <si>
    <t xml:space="preserve">J49</t>
  </si>
  <si>
    <t xml:space="preserve">globus/plans/11/ops.drone.overtime</t>
  </si>
  <si>
    <t xml:space="preserve">K49</t>
  </si>
  <si>
    <t xml:space="preserve">globus/plans/12/ops.drone.overtime</t>
  </si>
  <si>
    <t xml:space="preserve">L49</t>
  </si>
  <si>
    <t xml:space="preserve">globus/plans/13/ops.drone.overtime</t>
  </si>
  <si>
    <t xml:space="preserve">M49</t>
  </si>
  <si>
    <t xml:space="preserve">globus/plans/14/ops.drone.overtime</t>
  </si>
  <si>
    <t xml:space="preserve">N49</t>
  </si>
  <si>
    <t xml:space="preserve">globus/plans/15/ops.drone.overtime</t>
  </si>
  <si>
    <t xml:space="preserve">globus/plans/6/ops.camera.training</t>
  </si>
  <si>
    <t xml:space="preserve">globus/plans/7/ops.camera.training</t>
  </si>
  <si>
    <t xml:space="preserve">globus/plans/8/ops.camera.training</t>
  </si>
  <si>
    <t xml:space="preserve">globus/plans/9/ops.camera.training</t>
  </si>
  <si>
    <t xml:space="preserve">globus/plans/10/ops.camera.training</t>
  </si>
  <si>
    <t xml:space="preserve">J50</t>
  </si>
  <si>
    <t xml:space="preserve">globus/plans/11/ops.camera.training</t>
  </si>
  <si>
    <t xml:space="preserve">K50</t>
  </si>
  <si>
    <t xml:space="preserve">globus/plans/12/ops.camera.training</t>
  </si>
  <si>
    <t xml:space="preserve">L50</t>
  </si>
  <si>
    <t xml:space="preserve">globus/plans/13/ops.camera.training</t>
  </si>
  <si>
    <t xml:space="preserve">M50</t>
  </si>
  <si>
    <t xml:space="preserve">globus/plans/14/ops.camera.training</t>
  </si>
  <si>
    <t xml:space="preserve">N50</t>
  </si>
  <si>
    <t xml:space="preserve">globus/plans/15/ops.camera.training</t>
  </si>
  <si>
    <t xml:space="preserve">E51</t>
  </si>
  <si>
    <t xml:space="preserve">globus/plans/6/ops.drone.training</t>
  </si>
  <si>
    <t xml:space="preserve">F51</t>
  </si>
  <si>
    <t xml:space="preserve">globus/plans/7/ops.drone.training</t>
  </si>
  <si>
    <t xml:space="preserve">G51</t>
  </si>
  <si>
    <t xml:space="preserve">globus/plans/8/ops.drone.training</t>
  </si>
  <si>
    <t xml:space="preserve">H51</t>
  </si>
  <si>
    <t xml:space="preserve">globus/plans/9/ops.drone.training</t>
  </si>
  <si>
    <t xml:space="preserve">I51</t>
  </si>
  <si>
    <t xml:space="preserve">globus/plans/10/ops.drone.training</t>
  </si>
  <si>
    <t xml:space="preserve">J51</t>
  </si>
  <si>
    <t xml:space="preserve">globus/plans/11/ops.drone.training</t>
  </si>
  <si>
    <t xml:space="preserve">K51</t>
  </si>
  <si>
    <t xml:space="preserve">globus/plans/12/ops.drone.training</t>
  </si>
  <si>
    <t xml:space="preserve">L51</t>
  </si>
  <si>
    <t xml:space="preserve">globus/plans/13/ops.drone.training</t>
  </si>
  <si>
    <t xml:space="preserve">M51</t>
  </si>
  <si>
    <t xml:space="preserve">globus/plans/14/ops.drone.training</t>
  </si>
  <si>
    <t xml:space="preserve">N51</t>
  </si>
  <si>
    <t xml:space="preserve">globus/plans/15/ops.drone.training</t>
  </si>
  <si>
    <t xml:space="preserve">E52</t>
  </si>
  <si>
    <t xml:space="preserve">globus/plans/6/comp.base</t>
  </si>
  <si>
    <t xml:space="preserve">21000</t>
  </si>
  <si>
    <t xml:space="preserve">F52</t>
  </si>
  <si>
    <t xml:space="preserve">globus/plans/7/comp.base</t>
  </si>
  <si>
    <t xml:space="preserve">21500</t>
  </si>
  <si>
    <t xml:space="preserve">G52</t>
  </si>
  <si>
    <t xml:space="preserve">globus/plans/8/comp.base</t>
  </si>
  <si>
    <t xml:space="preserve">22000</t>
  </si>
  <si>
    <t xml:space="preserve">H52</t>
  </si>
  <si>
    <t xml:space="preserve">globus/plans/9/comp.base</t>
  </si>
  <si>
    <t xml:space="preserve">I52</t>
  </si>
  <si>
    <t xml:space="preserve">globus/plans/10/comp.base</t>
  </si>
  <si>
    <t xml:space="preserve">J52</t>
  </si>
  <si>
    <t xml:space="preserve">globus/plans/11/comp.base</t>
  </si>
  <si>
    <t xml:space="preserve">K52</t>
  </si>
  <si>
    <t xml:space="preserve">globus/plans/12/comp.base</t>
  </si>
  <si>
    <t xml:space="preserve">L52</t>
  </si>
  <si>
    <t xml:space="preserve">globus/plans/13/comp.base</t>
  </si>
  <si>
    <t xml:space="preserve">M52</t>
  </si>
  <si>
    <t xml:space="preserve">globus/plans/14/comp.base</t>
  </si>
  <si>
    <t xml:space="preserve">N52</t>
  </si>
  <si>
    <t xml:space="preserve">globus/plans/15/comp.base</t>
  </si>
  <si>
    <t xml:space="preserve">E53</t>
  </si>
  <si>
    <t xml:space="preserve">globus/plans/6/comp.incentive</t>
  </si>
  <si>
    <t xml:space="preserve">F53</t>
  </si>
  <si>
    <t xml:space="preserve">globus/plans/7/comp.incentive</t>
  </si>
  <si>
    <t xml:space="preserve">G53</t>
  </si>
  <si>
    <t xml:space="preserve">globus/plans/8/comp.incentive</t>
  </si>
  <si>
    <t xml:space="preserve">H53</t>
  </si>
  <si>
    <t xml:space="preserve">globus/plans/9/comp.incentive</t>
  </si>
  <si>
    <t xml:space="preserve">I53</t>
  </si>
  <si>
    <t xml:space="preserve">globus/plans/10/comp.incentive</t>
  </si>
  <si>
    <t xml:space="preserve">J53</t>
  </si>
  <si>
    <t xml:space="preserve">globus/plans/11/comp.incentive</t>
  </si>
  <si>
    <t xml:space="preserve">K53</t>
  </si>
  <si>
    <t xml:space="preserve">globus/plans/12/comp.incentive</t>
  </si>
  <si>
    <t xml:space="preserve">L53</t>
  </si>
  <si>
    <t xml:space="preserve">globus/plans/13/comp.incentive</t>
  </si>
  <si>
    <t xml:space="preserve">M53</t>
  </si>
  <si>
    <t xml:space="preserve">globus/plans/14/comp.incentive</t>
  </si>
  <si>
    <t xml:space="preserve">N53</t>
  </si>
  <si>
    <t xml:space="preserve">globus/plans/15/comp.incentive</t>
  </si>
  <si>
    <t xml:space="preserve">globus/plans/6/comp.fringe</t>
  </si>
  <si>
    <t xml:space="preserve">F54</t>
  </si>
  <si>
    <t xml:space="preserve">globus/plans/7/comp.fringe</t>
  </si>
  <si>
    <t xml:space="preserve">G54</t>
  </si>
  <si>
    <t xml:space="preserve">globus/plans/8/comp.fringe</t>
  </si>
  <si>
    <t xml:space="preserve">H54</t>
  </si>
  <si>
    <t xml:space="preserve">globus/plans/9/comp.fringe</t>
  </si>
  <si>
    <t xml:space="preserve">I54</t>
  </si>
  <si>
    <t xml:space="preserve">globus/plans/10/comp.fringe</t>
  </si>
  <si>
    <t xml:space="preserve">J54</t>
  </si>
  <si>
    <t xml:space="preserve">globus/plans/11/comp.fringe</t>
  </si>
  <si>
    <t xml:space="preserve">K54</t>
  </si>
  <si>
    <t xml:space="preserve">globus/plans/12/comp.fringe</t>
  </si>
  <si>
    <t xml:space="preserve">L54</t>
  </si>
  <si>
    <t xml:space="preserve">globus/plans/13/comp.fringe</t>
  </si>
  <si>
    <t xml:space="preserve">M54</t>
  </si>
  <si>
    <t xml:space="preserve">globus/plans/14/comp.fringe</t>
  </si>
  <si>
    <t xml:space="preserve">N54</t>
  </si>
  <si>
    <t xml:space="preserve">globus/plans/15/comp.fringe</t>
  </si>
  <si>
    <t xml:space="preserve">globus/plans/6/csr.budget</t>
  </si>
  <si>
    <t xml:space="preserve">F55</t>
  </si>
  <si>
    <t xml:space="preserve">globus/plans/7/csr.budget</t>
  </si>
  <si>
    <t xml:space="preserve">G55</t>
  </si>
  <si>
    <t xml:space="preserve">globus/plans/8/csr.budget</t>
  </si>
  <si>
    <t xml:space="preserve">H55</t>
  </si>
  <si>
    <t xml:space="preserve">globus/plans/9/csr.budget</t>
  </si>
  <si>
    <t xml:space="preserve">I55</t>
  </si>
  <si>
    <t xml:space="preserve">globus/plans/10/csr.budget</t>
  </si>
  <si>
    <t xml:space="preserve">J55</t>
  </si>
  <si>
    <t xml:space="preserve">globus/plans/11/csr.budget</t>
  </si>
  <si>
    <t xml:space="preserve">K55</t>
  </si>
  <si>
    <t xml:space="preserve">globus/plans/12/csr.budget</t>
  </si>
  <si>
    <t xml:space="preserve">L55</t>
  </si>
  <si>
    <t xml:space="preserve">globus/plans/13/csr.budget</t>
  </si>
  <si>
    <t xml:space="preserve">M55</t>
  </si>
  <si>
    <t xml:space="preserve">globus/plans/14/csr.budget</t>
  </si>
  <si>
    <t xml:space="preserve">N55</t>
  </si>
  <si>
    <t xml:space="preserve">globus/plans/15/csr.budget</t>
  </si>
  <si>
    <t xml:space="preserve">globus/plans/6/csr.programs</t>
  </si>
  <si>
    <t xml:space="preserve">F56</t>
  </si>
  <si>
    <t xml:space="preserve">globus/plans/7/csr.programs</t>
  </si>
  <si>
    <t xml:space="preserve">G56</t>
  </si>
  <si>
    <t xml:space="preserve">globus/plans/8/csr.programs</t>
  </si>
  <si>
    <t xml:space="preserve">H56</t>
  </si>
  <si>
    <t xml:space="preserve">globus/plans/9/csr.programs</t>
  </si>
  <si>
    <t xml:space="preserve">I56</t>
  </si>
  <si>
    <t xml:space="preserve">globus/plans/10/csr.programs</t>
  </si>
  <si>
    <t xml:space="preserve">J56</t>
  </si>
  <si>
    <t xml:space="preserve">globus/plans/11/csr.programs</t>
  </si>
  <si>
    <t xml:space="preserve">K56</t>
  </si>
  <si>
    <t xml:space="preserve">globus/plans/12/csr.programs</t>
  </si>
  <si>
    <t xml:space="preserve">L56</t>
  </si>
  <si>
    <t xml:space="preserve">globus/plans/13/csr.programs</t>
  </si>
  <si>
    <t xml:space="preserve">M56</t>
  </si>
  <si>
    <t xml:space="preserve">globus/plans/14/csr.programs</t>
  </si>
  <si>
    <t xml:space="preserve">N56</t>
  </si>
  <si>
    <t xml:space="preserve">globus/plans/15/csr.programs</t>
  </si>
  <si>
    <t xml:space="preserve">globus/plans/6/fin.st_loan</t>
  </si>
  <si>
    <t xml:space="preserve">F57</t>
  </si>
  <si>
    <t xml:space="preserve">globus/plans/7/fin.st_loan</t>
  </si>
  <si>
    <t xml:space="preserve">G57</t>
  </si>
  <si>
    <t xml:space="preserve">globus/plans/8/fin.st_loan</t>
  </si>
  <si>
    <t xml:space="preserve">H57</t>
  </si>
  <si>
    <t xml:space="preserve">globus/plans/9/fin.st_loan</t>
  </si>
  <si>
    <t xml:space="preserve">I57</t>
  </si>
  <si>
    <t xml:space="preserve">globus/plans/10/fin.st_loan</t>
  </si>
  <si>
    <t xml:space="preserve">J57</t>
  </si>
  <si>
    <t xml:space="preserve">globus/plans/11/fin.st_loan</t>
  </si>
  <si>
    <t xml:space="preserve">K57</t>
  </si>
  <si>
    <t xml:space="preserve">globus/plans/12/fin.st_loan</t>
  </si>
  <si>
    <t xml:space="preserve">L57</t>
  </si>
  <si>
    <t xml:space="preserve">globus/plans/13/fin.st_loan</t>
  </si>
  <si>
    <t xml:space="preserve">M57</t>
  </si>
  <si>
    <t xml:space="preserve">globus/plans/14/fin.st_loan</t>
  </si>
  <si>
    <t xml:space="preserve">N57</t>
  </si>
  <si>
    <t xml:space="preserve">globus/plans/15/fin.st_loan</t>
  </si>
  <si>
    <t xml:space="preserve">globus/plans/6/fin.lt_loan</t>
  </si>
  <si>
    <t xml:space="preserve">F58</t>
  </si>
  <si>
    <t xml:space="preserve">globus/plans/7/fin.lt_loan</t>
  </si>
  <si>
    <t xml:space="preserve">G58</t>
  </si>
  <si>
    <t xml:space="preserve">globus/plans/8/fin.lt_loan</t>
  </si>
  <si>
    <t xml:space="preserve">H58</t>
  </si>
  <si>
    <t xml:space="preserve">globus/plans/9/fin.lt_loan</t>
  </si>
  <si>
    <t xml:space="preserve">I58</t>
  </si>
  <si>
    <t xml:space="preserve">globus/plans/10/fin.lt_loan</t>
  </si>
  <si>
    <t xml:space="preserve">J58</t>
  </si>
  <si>
    <t xml:space="preserve">globus/plans/11/fin.lt_loan</t>
  </si>
  <si>
    <t xml:space="preserve">K58</t>
  </si>
  <si>
    <t xml:space="preserve">globus/plans/12/fin.lt_loan</t>
  </si>
  <si>
    <t xml:space="preserve">L58</t>
  </si>
  <si>
    <t xml:space="preserve">globus/plans/13/fin.lt_loan</t>
  </si>
  <si>
    <t xml:space="preserve">M58</t>
  </si>
  <si>
    <t xml:space="preserve">globus/plans/14/fin.lt_loan</t>
  </si>
  <si>
    <t xml:space="preserve">N58</t>
  </si>
  <si>
    <t xml:space="preserve">globus/plans/15/fin.lt_loan</t>
  </si>
  <si>
    <t xml:space="preserve">E59</t>
  </si>
  <si>
    <t xml:space="preserve">globus/plans/6/fin.stock_issue</t>
  </si>
  <si>
    <t xml:space="preserve">F59</t>
  </si>
  <si>
    <t xml:space="preserve">globus/plans/7/fin.stock_issue</t>
  </si>
  <si>
    <t xml:space="preserve">G59</t>
  </si>
  <si>
    <t xml:space="preserve">globus/plans/8/fin.stock_issue</t>
  </si>
  <si>
    <t xml:space="preserve">H59</t>
  </si>
  <si>
    <t xml:space="preserve">globus/plans/9/fin.stock_issue</t>
  </si>
  <si>
    <t xml:space="preserve">I59</t>
  </si>
  <si>
    <t xml:space="preserve">globus/plans/10/fin.stock_issue</t>
  </si>
  <si>
    <t xml:space="preserve">J59</t>
  </si>
  <si>
    <t xml:space="preserve">globus/plans/11/fin.stock_issue</t>
  </si>
  <si>
    <t xml:space="preserve">K59</t>
  </si>
  <si>
    <t xml:space="preserve">globus/plans/12/fin.stock_issue</t>
  </si>
  <si>
    <t xml:space="preserve">L59</t>
  </si>
  <si>
    <t xml:space="preserve">globus/plans/13/fin.stock_issue</t>
  </si>
  <si>
    <t xml:space="preserve">M59</t>
  </si>
  <si>
    <t xml:space="preserve">globus/plans/14/fin.stock_issue</t>
  </si>
  <si>
    <t xml:space="preserve">N59</t>
  </si>
  <si>
    <t xml:space="preserve">globus/plans/15/fin.stock_issue</t>
  </si>
  <si>
    <t xml:space="preserve">E60</t>
  </si>
  <si>
    <t xml:space="preserve">globus/plans/6/fin.buyback</t>
  </si>
  <si>
    <t xml:space="preserve">F60</t>
  </si>
  <si>
    <t xml:space="preserve">globus/plans/7/fin.buyback</t>
  </si>
  <si>
    <t xml:space="preserve">G60</t>
  </si>
  <si>
    <t xml:space="preserve">globus/plans/8/fin.buyback</t>
  </si>
  <si>
    <t xml:space="preserve">H60</t>
  </si>
  <si>
    <t xml:space="preserve">globus/plans/9/fin.buyback</t>
  </si>
  <si>
    <t xml:space="preserve">I60</t>
  </si>
  <si>
    <t xml:space="preserve">globus/plans/10/fin.buyback</t>
  </si>
  <si>
    <t xml:space="preserve">J60</t>
  </si>
  <si>
    <t xml:space="preserve">globus/plans/11/fin.buyback</t>
  </si>
  <si>
    <t xml:space="preserve">K60</t>
  </si>
  <si>
    <t xml:space="preserve">globus/plans/12/fin.buyback</t>
  </si>
  <si>
    <t xml:space="preserve">L60</t>
  </si>
  <si>
    <t xml:space="preserve">globus/plans/13/fin.buyback</t>
  </si>
  <si>
    <t xml:space="preserve">M60</t>
  </si>
  <si>
    <t xml:space="preserve">globus/plans/14/fin.buyback</t>
  </si>
  <si>
    <t xml:space="preserve">N60</t>
  </si>
  <si>
    <t xml:space="preserve">globus/plans/15/fin.buyback</t>
  </si>
  <si>
    <t xml:space="preserve">E61</t>
  </si>
  <si>
    <t xml:space="preserve">globus/plans/6/fin.dividend</t>
  </si>
  <si>
    <t xml:space="preserve">F61</t>
  </si>
  <si>
    <t xml:space="preserve">globus/plans/7/fin.dividend</t>
  </si>
  <si>
    <t xml:space="preserve">G61</t>
  </si>
  <si>
    <t xml:space="preserve">globus/plans/8/fin.dividend</t>
  </si>
  <si>
    <t xml:space="preserve">H61</t>
  </si>
  <si>
    <t xml:space="preserve">globus/plans/9/fin.dividend</t>
  </si>
  <si>
    <t xml:space="preserve">I61</t>
  </si>
  <si>
    <t xml:space="preserve">globus/plans/10/fin.dividend</t>
  </si>
  <si>
    <t xml:space="preserve">J61</t>
  </si>
  <si>
    <t xml:space="preserve">globus/plans/11/fin.dividend</t>
  </si>
  <si>
    <t xml:space="preserve">K61</t>
  </si>
  <si>
    <t xml:space="preserve">globus/plans/12/fin.dividend</t>
  </si>
  <si>
    <t xml:space="preserve">L61</t>
  </si>
  <si>
    <t xml:space="preserve">globus/plans/13/fin.dividend</t>
  </si>
  <si>
    <t xml:space="preserve">M61</t>
  </si>
  <si>
    <t xml:space="preserve">globus/plans/14/fin.dividend</t>
  </si>
  <si>
    <t xml:space="preserve">N61</t>
  </si>
  <si>
    <t xml:space="preserve">globus/plans/15/fin.dividend</t>
  </si>
  <si>
    <t xml:space="preserve">E62</t>
  </si>
  <si>
    <t xml:space="preserve">globus/plans/6/kpi.eps</t>
  </si>
  <si>
    <t xml:space="preserve">F62</t>
  </si>
  <si>
    <t xml:space="preserve">globus/plans/7/kpi.eps</t>
  </si>
  <si>
    <t xml:space="preserve">G62</t>
  </si>
  <si>
    <t xml:space="preserve">globus/plans/8/kpi.eps</t>
  </si>
  <si>
    <t xml:space="preserve">H62</t>
  </si>
  <si>
    <t xml:space="preserve">globus/plans/9/kpi.eps</t>
  </si>
  <si>
    <t xml:space="preserve">I62</t>
  </si>
  <si>
    <t xml:space="preserve">globus/plans/10/kpi.eps</t>
  </si>
  <si>
    <t xml:space="preserve">J62</t>
  </si>
  <si>
    <t xml:space="preserve">globus/plans/11/kpi.eps</t>
  </si>
  <si>
    <t xml:space="preserve">K62</t>
  </si>
  <si>
    <t xml:space="preserve">globus/plans/12/kpi.eps</t>
  </si>
  <si>
    <t xml:space="preserve">L62</t>
  </si>
  <si>
    <t xml:space="preserve">globus/plans/13/kpi.eps</t>
  </si>
  <si>
    <t xml:space="preserve">M62</t>
  </si>
  <si>
    <t xml:space="preserve">globus/plans/14/kpi.eps</t>
  </si>
  <si>
    <t xml:space="preserve">N62</t>
  </si>
  <si>
    <t xml:space="preserve">globus/plans/15/kpi.eps</t>
  </si>
  <si>
    <t xml:space="preserve">E63</t>
  </si>
  <si>
    <t xml:space="preserve">globus/plans/6/kpi.roe</t>
  </si>
  <si>
    <t xml:space="preserve">F63</t>
  </si>
  <si>
    <t xml:space="preserve">globus/plans/7/kpi.roe</t>
  </si>
  <si>
    <t xml:space="preserve">G63</t>
  </si>
  <si>
    <t xml:space="preserve">globus/plans/8/kpi.roe</t>
  </si>
  <si>
    <t xml:space="preserve">H63</t>
  </si>
  <si>
    <t xml:space="preserve">globus/plans/9/kpi.roe</t>
  </si>
  <si>
    <t xml:space="preserve">I63</t>
  </si>
  <si>
    <t xml:space="preserve">globus/plans/10/kpi.roe</t>
  </si>
  <si>
    <t xml:space="preserve">J63</t>
  </si>
  <si>
    <t xml:space="preserve">globus/plans/11/kpi.roe</t>
  </si>
  <si>
    <t xml:space="preserve">K63</t>
  </si>
  <si>
    <t xml:space="preserve">globus/plans/12/kpi.roe</t>
  </si>
  <si>
    <t xml:space="preserve">L63</t>
  </si>
  <si>
    <t xml:space="preserve">globus/plans/13/kpi.roe</t>
  </si>
  <si>
    <t xml:space="preserve">M63</t>
  </si>
  <si>
    <t xml:space="preserve">globus/plans/14/kpi.roe</t>
  </si>
  <si>
    <t xml:space="preserve">N63</t>
  </si>
  <si>
    <t xml:space="preserve">globus/plans/15/kpi.roe</t>
  </si>
  <si>
    <t xml:space="preserve">E64</t>
  </si>
  <si>
    <t xml:space="preserve">globus/plans/6/kpi.stock</t>
  </si>
  <si>
    <t xml:space="preserve">F64</t>
  </si>
  <si>
    <t xml:space="preserve">globus/plans/7/kpi.stock</t>
  </si>
  <si>
    <t xml:space="preserve">G64</t>
  </si>
  <si>
    <t xml:space="preserve">globus/plans/8/kpi.stock</t>
  </si>
  <si>
    <t xml:space="preserve">H64</t>
  </si>
  <si>
    <t xml:space="preserve">globus/plans/9/kpi.stock</t>
  </si>
  <si>
    <t xml:space="preserve">I64</t>
  </si>
  <si>
    <t xml:space="preserve">globus/plans/10/kpi.stock</t>
  </si>
  <si>
    <t xml:space="preserve">J64</t>
  </si>
  <si>
    <t xml:space="preserve">globus/plans/11/kpi.stock</t>
  </si>
  <si>
    <t xml:space="preserve">K64</t>
  </si>
  <si>
    <t xml:space="preserve">globus/plans/12/kpi.stock</t>
  </si>
  <si>
    <t xml:space="preserve">L64</t>
  </si>
  <si>
    <t xml:space="preserve">globus/plans/13/kpi.stock</t>
  </si>
  <si>
    <t xml:space="preserve">M64</t>
  </si>
  <si>
    <t xml:space="preserve">globus/plans/14/kpi.stock</t>
  </si>
  <si>
    <t xml:space="preserve">N64</t>
  </si>
  <si>
    <t xml:space="preserve">globus/plans/15/kpi.stock</t>
  </si>
  <si>
    <t xml:space="preserve">E65</t>
  </si>
  <si>
    <t xml:space="preserve">globus/plans/6/kpi.credit</t>
  </si>
  <si>
    <t xml:space="preserve">F65</t>
  </si>
  <si>
    <t xml:space="preserve">globus/plans/7/kpi.credit</t>
  </si>
  <si>
    <t xml:space="preserve">G65</t>
  </si>
  <si>
    <t xml:space="preserve">globus/plans/8/kpi.credit</t>
  </si>
  <si>
    <t xml:space="preserve">H65</t>
  </si>
  <si>
    <t xml:space="preserve">globus/plans/9/kpi.credit</t>
  </si>
  <si>
    <t xml:space="preserve">I65</t>
  </si>
  <si>
    <t xml:space="preserve">globus/plans/10/kpi.credit</t>
  </si>
  <si>
    <t xml:space="preserve">J65</t>
  </si>
  <si>
    <t xml:space="preserve">globus/plans/11/kpi.credit</t>
  </si>
  <si>
    <t xml:space="preserve">K65</t>
  </si>
  <si>
    <t xml:space="preserve">globus/plans/12/kpi.credit</t>
  </si>
  <si>
    <t xml:space="preserve">L65</t>
  </si>
  <si>
    <t xml:space="preserve">globus/plans/13/kpi.credit</t>
  </si>
  <si>
    <t xml:space="preserve">M65</t>
  </si>
  <si>
    <t xml:space="preserve">globus/plans/14/kpi.credit</t>
  </si>
  <si>
    <t xml:space="preserve">N65</t>
  </si>
  <si>
    <t xml:space="preserve">globus/plans/15/kpi.credit</t>
  </si>
  <si>
    <t xml:space="preserve">E66</t>
  </si>
  <si>
    <t xml:space="preserve">globus/plans/6/kpi.image</t>
  </si>
  <si>
    <t xml:space="preserve">F66</t>
  </si>
  <si>
    <t xml:space="preserve">globus/plans/7/kpi.image</t>
  </si>
  <si>
    <t xml:space="preserve">G66</t>
  </si>
  <si>
    <t xml:space="preserve">globus/plans/8/kpi.image</t>
  </si>
  <si>
    <t xml:space="preserve">H66</t>
  </si>
  <si>
    <t xml:space="preserve">globus/plans/9/kpi.image</t>
  </si>
  <si>
    <t xml:space="preserve">I66</t>
  </si>
  <si>
    <t xml:space="preserve">globus/plans/10/kpi.image</t>
  </si>
  <si>
    <t xml:space="preserve">J66</t>
  </si>
  <si>
    <t xml:space="preserve">globus/plans/11/kpi.image</t>
  </si>
  <si>
    <t xml:space="preserve">K66</t>
  </si>
  <si>
    <t xml:space="preserve">globus/plans/12/kpi.image</t>
  </si>
  <si>
    <t xml:space="preserve">L66</t>
  </si>
  <si>
    <t xml:space="preserve">globus/plans/13/kpi.image</t>
  </si>
  <si>
    <t xml:space="preserve">M66</t>
  </si>
  <si>
    <t xml:space="preserve">globus/plans/14/kpi.image</t>
  </si>
  <si>
    <t xml:space="preserve">N66</t>
  </si>
  <si>
    <t xml:space="preserve">globus/plans/15/kpi.image</t>
  </si>
  <si>
    <t xml:space="preserve">globus/findings_log[key=Y7-2150966f]/response</t>
  </si>
  <si>
    <t xml:space="preserve">globus/findings_log[key=Y7-2150966f]/status</t>
  </si>
  <si>
    <t xml:space="preserve">"Open"</t>
  </si>
  <si>
    <t xml:space="preserve">globus/findings_log[key=Y7-9ac28bb8]/response</t>
  </si>
  <si>
    <t xml:space="preserve">globus/findings_log[key=Y7-9ac28bb8]/status</t>
  </si>
  <si>
    <t xml:space="preserve">globus/findings_log[key=Y7-d5e0452c]/response</t>
  </si>
  <si>
    <t xml:space="preserve">globus/findings_log[key=Y7-d5e0452c]/status</t>
  </si>
  <si>
    <t xml:space="preserve">globus/findings_log[key=Y7-6f8c186a]/response</t>
  </si>
  <si>
    <t xml:space="preserve">globus/findings_log[key=Y7-6f8c186a]/status</t>
  </si>
  <si>
    <t xml:space="preserve">globus/findings_log[key=Y7-b3b4086e]/response</t>
  </si>
  <si>
    <t xml:space="preserve">globus/findings_log[key=Y7-b3b4086e]/status</t>
  </si>
  <si>
    <t xml:space="preserve">globus/findings_log[key=Y7-e96b0349]/response</t>
  </si>
  <si>
    <t xml:space="preserve">globus/findings_log[key=Y7-e96b0349]/status</t>
  </si>
  <si>
    <t xml:space="preserve">globus/findings_log[key=Y7-1f152a3c]/response</t>
  </si>
  <si>
    <t xml:space="preserve">globus/findings_log[key=Y7-1f152a3c]/status</t>
  </si>
  <si>
    <t xml:space="preserve">globus/findings_log[+]/year</t>
  </si>
  <si>
    <t xml:space="preserve">globus/findings_log[+]/type</t>
  </si>
  <si>
    <t xml:space="preserve">globus/findings_log[+]/area</t>
  </si>
  <si>
    <t xml:space="preserve">globus/findings_log[+]/title</t>
  </si>
  <si>
    <t xml:space="preserve">globus/findings_log[+]/evidence</t>
  </si>
  <si>
    <t xml:space="preserve">globus/findings_log[+]/lesson</t>
  </si>
  <si>
    <t xml:space="preserve">globus/findings_log[+]/response</t>
  </si>
  <si>
    <t xml:space="preserve">globus/findings_log[+]/status</t>
  </si>
  <si>
    <t xml:space="preserve">A40</t>
  </si>
  <si>
    <t xml:space="preserve">D40</t>
  </si>
  <si>
    <t xml:space="preserve">A41</t>
  </si>
  <si>
    <t xml:space="preserve">D41</t>
  </si>
  <si>
    <t xml:space="preserve">A42</t>
  </si>
  <si>
    <t xml:space="preserve">D42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</si>
</sst>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.0"/>
    <numFmt numFmtId="166" formatCode="0"/>
    <numFmt numFmtId="167" formatCode="0.0%"/>
    <numFmt numFmtId="168" formatCode="#,##0"/>
    <numFmt numFmtId="169" formatCode="\+0.0%;\-0.0%;0.0%"/>
    <numFmt numFmtId="170" formatCode="0.0"/>
    <numFmt numFmtId="171" formatCode="0%"/>
    <numFmt numFmtId="172" formatCode="0.00"/>
    <numFmt numFmtId="173" formatCode="\+0%;\-0%;0%"/>
    <numFmt numFmtId="174" formatCode="\$#,##0"/>
    <numFmt numFmtId="175" formatCode="\$#,##0;&quot;($&quot;#,##0\)"/>
    <numFmt numFmtId="176" formatCode="#,##0;\(#,##0\)"/>
    <numFmt numFmtId="177" formatCode="\$#,##0;&quot;($&quot;#,##0\);\-"/>
    <numFmt numFmtId="178" formatCode="\$#,##0,,\M"/>
    <numFmt numFmtId="179" formatCode="General"/>
    <numFmt numFmtId="180" formatCode="#,##0.##"/>
    <numFmt numFmtId="181" formatCode="\+0;\-0;0"/>
    <numFmt numFmtId="182" formatCode="#,##0.00"/>
    <numFmt numFmtId="183" formatCode="\$#,##0.00"/>
    <numFmt numFmtId="184" formatCode="&quot;▲ &quot;0.0;&quot;▼ &quot;0.0;\–"/>
    <numFmt numFmtId="185" formatCode="&quot;▲ &quot;0;&quot;▼ &quot;0;\–"/>
    <numFmt numFmtId="186" formatCode="&quot;▲ &quot;#,##0;&quot;▼ &quot;#,##0;\–"/>
    <numFmt numFmtId="187" formatCode="&quot;▲ $&quot;#,##0.00;&quot;▼ $&quot;#,##0.00;\–"/>
    <numFmt numFmtId="188" formatCode="&quot;▲ &quot;0.0%;&quot;▼ &quot;0.0%;\–"/>
    <numFmt numFmtId="189" formatCode="&quot;▲ $&quot;#,##0;&quot;▼ $&quot;#,##0;\–"/>
    <numFmt numFmtId="190" formatCode="\$0.00"/>
    <numFmt numFmtId="191" formatCode="&quot;▲ $&quot;0.00;&quot;▼ $&quot;0.00;\–"/>
    <numFmt numFmtId="192" formatCode="\$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D3557"/>
      <name val="Arial"/>
      <family val="0"/>
      <charset val="1"/>
    </font>
    <font>
      <b val="true"/>
      <sz val="12"/>
      <color rgb="FFC9A5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9A55C"/>
      <name val="Arial"/>
      <family val="0"/>
      <charset val="1"/>
    </font>
    <font>
      <b val="true"/>
      <sz val="16"/>
      <color rgb="FF1D3557"/>
      <name val="Arial"/>
      <family val="0"/>
      <charset val="1"/>
    </font>
    <font>
      <sz val="9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D3557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BBBBBB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999999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8A949E"/>
      <name val="Arial"/>
      <family val="0"/>
      <charset val="1"/>
    </font>
    <font>
      <sz val="9"/>
      <color rgb="FF5F6B7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DB"/>
        <bgColor rgb="FFF3F1EC"/>
      </patternFill>
    </fill>
    <fill>
      <patternFill patternType="solid">
        <fgColor rgb="FF1D3557"/>
        <bgColor rgb="FF264653"/>
      </patternFill>
    </fill>
    <fill>
      <patternFill patternType="solid">
        <fgColor rgb="FFEEF2F7"/>
        <bgColor rgb="FFF3F1EC"/>
      </patternFill>
    </fill>
    <fill>
      <patternFill patternType="solid">
        <fgColor rgb="FFF3F1EC"/>
        <bgColor rgb="FFEEF2F7"/>
      </patternFill>
    </fill>
    <fill>
      <patternFill patternType="solid">
        <fgColor rgb="FFFBE9C9"/>
        <bgColor rgb="FFFFF0C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 diagonalUp="false" diagonalDown="false">
      <left style="thin">
        <color rgb="FFC8CDD3"/>
      </left>
      <right/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7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3" fontId="2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8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9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1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0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F0DF"/>
        </patternFill>
      </fill>
    </dxf>
    <dxf>
      <fill>
        <patternFill>
          <bgColor rgb="FFFFF0C2"/>
        </patternFill>
      </fill>
    </dxf>
    <dxf>
      <fill>
        <patternFill>
          <bgColor rgb="FFF8D7D3"/>
        </patternFill>
      </fill>
    </dxf>
    <dxf>
      <fill>
        <patternFill>
          <bgColor rgb="FFC9A55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6C757D"/>
      <rgbColor rgb="FFBBBBBB"/>
      <rgbColor rgb="FF878787"/>
      <rgbColor rgb="FF8A949E"/>
      <rgbColor rgb="FFC44536"/>
      <rgbColor rgb="FFFFF9DB"/>
      <rgbColor rgb="FFEEF2F7"/>
      <rgbColor rgb="FF660066"/>
      <rgbColor rgb="FFC9A55C"/>
      <rgbColor rgb="FF0066CC"/>
      <rgbColor rgb="FFC8C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EC"/>
      <rgbColor rgb="FFD8F0DF"/>
      <rgbColor rgb="FFFFF0C2"/>
      <rgbColor rgb="FFA8DADC"/>
      <rgbColor rgb="FFFBE9C9"/>
      <rgbColor rgb="FFD9D9D9"/>
      <rgbColor rgb="FFF8D7D3"/>
      <rgbColor rgb="FF457B9D"/>
      <rgbColor rgb="FF33CCCC"/>
      <rgbColor rgb="FF888888"/>
      <rgbColor rgb="FFFFCC00"/>
      <rgbColor rgb="FFFF9900"/>
      <rgbColor rgb="FFFF6600"/>
      <rgbColor rgb="FF5F6B76"/>
      <rgbColor rgb="FF999999"/>
      <rgbColor rgb="FF1D3557"/>
      <rgbColor rgb="FF2D936C"/>
      <rgbColor rgb="FF003300"/>
      <rgbColor rgb="FF333300"/>
      <rgbColor rgb="FF993300"/>
      <rgbColor rgb="FF8D6A9F"/>
      <rgbColor rgb="FF555555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Strategic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'Strategic Mapping'!$A$9</c:f>
              <c:strCache>
                <c:ptCount val="1"/>
                <c:pt idx="0">
                  <c:v>BYD</c:v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Mapping'!$B$9</c:f>
              <c:numCache>
                <c:formatCode>0.0</c:formatCode>
                <c:ptCount val="1"/>
                <c:pt idx="0">
                  <c:v>3</c:v>
                </c:pt>
              </c:numCache>
            </c:numRef>
          </c:xVal>
          <c:yVal>
            <c:numRef>
              <c:f>'Strategic Mapping'!$C$9</c:f>
              <c:numCache>
                <c:formatCode>0.0</c:formatCode>
                <c:ptCount val="1"/>
                <c:pt idx="0">
                  <c:v>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'Strategic Mapping'!$A$10</c:f>
              <c:strCache>
                <c:ptCount val="1"/>
                <c:pt idx="0">
                  <c:v>Tesla</c:v>
                </c:pt>
              </c:strCache>
            </c:strRef>
          </c:tx>
          <c:spPr>
            <a:solidFill>
              <a:srgbClr val="c9a55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9a55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Mapping'!$B$10</c:f>
              <c:numCache>
                <c:formatCode>0.0</c:formatCode>
                <c:ptCount val="1"/>
                <c:pt idx="0">
                  <c:v>7</c:v>
                </c:pt>
              </c:numCache>
            </c:numRef>
          </c:xVal>
          <c:yVal>
            <c:numRef>
              <c:f>'Strategic Mapping'!$C$10</c:f>
              <c:numCache>
                <c:formatCode>0.0</c:formatCode>
                <c:ptCount val="1"/>
                <c:pt idx="0">
                  <c:v>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'Strategic Mapping'!$A$11</c:f>
              <c:strCache>
                <c:ptCount val="1"/>
                <c:pt idx="0">
                  <c:v>Volkswagen Group</c:v>
                </c:pt>
              </c:strCache>
            </c:strRef>
          </c:tx>
          <c:spPr>
            <a:solidFill>
              <a:srgbClr val="2d936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d936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Mapping'!$B$11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'Strategic Mapping'!$C$11</c:f>
              <c:numCache>
                <c:formatCode>0.0</c:formatCode>
                <c:ptCount val="1"/>
                <c:pt idx="0">
                  <c:v>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'Strategic Mapping'!$A$12</c:f>
              <c:strCache>
                <c:ptCount val="1"/>
                <c:pt idx="0">
                  <c:v>Geely</c:v>
                </c:pt>
              </c:strCache>
            </c:strRef>
          </c:tx>
          <c:spPr>
            <a:solidFill>
              <a:srgbClr val="c44536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4453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Mapping'!$B$12</c:f>
              <c:numCache>
                <c:formatCode>0.0</c:formatCode>
                <c:ptCount val="1"/>
                <c:pt idx="0">
                  <c:v>4</c:v>
                </c:pt>
              </c:numCache>
            </c:numRef>
          </c:xVal>
          <c:yVal>
            <c:numRef>
              <c:f>'Strategic Mapping'!$C$12</c:f>
              <c:numCache>
                <c:formatCode>0.0</c:formatCode>
                <c:ptCount val="1"/>
                <c:pt idx="0">
                  <c:v>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'Strategic Mapping'!$A$13</c:f>
              <c:strCache>
                <c:ptCount val="1"/>
                <c:pt idx="0">
                  <c:v>Xiaomi</c:v>
                </c:pt>
              </c:strCache>
            </c:strRef>
          </c:tx>
          <c:spPr>
            <a:solidFill>
              <a:srgbClr val="457b9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457b9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Mapping'!$B$13</c:f>
              <c:numCache>
                <c:formatCode>0.0</c:formatCode>
                <c:ptCount val="1"/>
                <c:pt idx="0">
                  <c:v>5</c:v>
                </c:pt>
              </c:numCache>
            </c:numRef>
          </c:xVal>
          <c:yVal>
            <c:numRef>
              <c:f>'Strategic Mapping'!$C$13</c:f>
              <c:numCache>
                <c:formatCode>0.0</c:formatCode>
                <c:ptCount val="1"/>
                <c:pt idx="0">
                  <c:v>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'Strategic Mapping'!$A$14</c:f>
              <c:strCache>
                <c:ptCount val="1"/>
                <c:pt idx="0">
                  <c:v>Stellantis</c:v>
                </c:pt>
              </c:strCache>
            </c:strRef>
          </c:tx>
          <c:spPr>
            <a:solidFill>
              <a:srgbClr val="8d6a9f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8d6a9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Mapping'!$B$14</c:f>
              <c:numCache>
                <c:formatCode>0.0</c:formatCode>
                <c:ptCount val="1"/>
                <c:pt idx="0">
                  <c:v>5</c:v>
                </c:pt>
              </c:numCache>
            </c:numRef>
          </c:xVal>
          <c:yVal>
            <c:numRef>
              <c:f>'Strategic Mapping'!$C$14</c:f>
              <c:numCache>
                <c:formatCode>0.0</c:formatCode>
                <c:ptCount val="1"/>
                <c:pt idx="0">
                  <c:v>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'Strategic Mapping'!$A$15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c757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6c757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Mapping'!$B$15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Mapping'!$C$15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7"/>
          <c:order val="7"/>
          <c:tx>
            <c:strRef>
              <c:f>'Strategic Mapping'!$A$16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5651d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b565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Mapping'!$B$16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Mapping'!$C$16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8"/>
          <c:order val="8"/>
          <c:tx>
            <c:strRef>
              <c:f>'Strategic Mapping'!$A$17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8dadc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a8dad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Mapping'!$B$17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Mapping'!$C$17</c:f>
              <c:numCache>
                <c:formatCode>General</c:formatCode>
                <c:ptCount val="1"/>
              </c:numCache>
            </c:numRef>
          </c:yVal>
          <c:smooth val="1"/>
        </c:ser>
        <c:ser>
          <c:idx val="9"/>
          <c:order val="9"/>
          <c:tx>
            <c:strRef>
              <c:f>'Strategic Mapping'!$A$18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64653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26465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'Strategic Mapping'!$B$18</c:f>
              <c:numCache>
                <c:formatCode>General</c:formatCode>
                <c:ptCount val="1"/>
              </c:numCache>
            </c:numRef>
          </c:xVal>
          <c:yVal>
            <c:numRef>
              <c:f>'Strategic Mapping'!$C$18</c:f>
              <c:numCache>
                <c:formatCode>General</c:formatCode>
                <c:ptCount val="1"/>
              </c:numCache>
            </c:numRef>
          </c:yVal>
          <c:smooth val="1"/>
        </c:ser>
        <c:axId val="74479056"/>
        <c:axId val="74213512"/>
      </c:scatterChart>
      <c:valAx>
        <c:axId val="74479056"/>
        <c:scaling>
          <c:orientation val="minMax"/>
          <c:max val="1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13512"/>
        <c:crosses val="autoZero"/>
        <c:crossBetween val="midCat"/>
      </c:valAx>
      <c:valAx>
        <c:axId val="74213512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vector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790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gap captured by driver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'Full Potential'!G5</c:f>
              <c:strCache>
                <c:ptCount val="1"/>
                <c:pt idx="0">
                  <c:v>Gap captured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'Full Potential'!$A$6:$A$10</c:f>
              <c:strCache>
                <c:ptCount val="5"/>
                <c:pt idx="0">
                  <c:v>Price per unit</c:v>
                </c:pt>
                <c:pt idx="1">
                  <c:v>Mix premium per unit</c:v>
                </c:pt>
                <c:pt idx="2">
                  <c:v>Volume</c:v>
                </c:pt>
                <c:pt idx="3">
                  <c:v>Variable cost per unit</c:v>
                </c:pt>
                <c:pt idx="4">
                  <c:v>Fixed costs</c:v>
                </c:pt>
              </c:strCache>
            </c:strRef>
          </c:cat>
          <c:val>
            <c:numRef>
              <c:f>'Full Potential'!$G$6:$G$10</c:f>
              <c:numCache>
                <c:formatCode>#,##0;\(#,##0\)</c:formatCode>
                <c:ptCount val="5"/>
                <c:pt idx="0">
                  <c:v>600000000</c:v>
                </c:pt>
                <c:pt idx="1">
                  <c:v>240000000</c:v>
                </c:pt>
                <c:pt idx="2">
                  <c:v>528000000</c:v>
                </c:pt>
                <c:pt idx="3">
                  <c:v>540000000</c:v>
                </c:pt>
                <c:pt idx="4">
                  <c:v>100000000</c:v>
                </c:pt>
              </c:numCache>
            </c:numRef>
          </c:val>
        </c:ser>
        <c:gapWidth val="150"/>
        <c:overlap val="0"/>
        <c:axId val="92703150"/>
        <c:axId val="60878739"/>
      </c:barChart>
      <c:catAx>
        <c:axId val="927031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78739"/>
        <c:crosses val="autoZero"/>
        <c:auto val="1"/>
        <c:lblAlgn val="ctr"/>
        <c:lblOffset val="100"/>
        <c:noMultiLvlLbl val="0"/>
      </c:catAx>
      <c:valAx>
        <c:axId val="60878739"/>
        <c:scaling>
          <c:orientation val="minMax"/>
        </c:scaling>
        <c:delete val="0"/>
        <c:axPos val="l"/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03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NPV from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'Risk Analysis'!E31</c:f>
              <c:strCache>
                <c:ptCount val="1"/>
                <c:pt idx="0">
                  <c:v>Low − plan</c:v>
                </c:pt>
              </c:strCache>
            </c:strRef>
          </c:tx>
          <c:spPr>
            <a:solidFill>
              <a:srgbClr val="c44536"/>
            </a:solidFill>
            <a:ln w="0">
              <a:solidFill>
                <a:srgbClr val="c4453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Analysis'!$E$32:$E$37</c:f>
              <c:numCache>
                <c:formatCode>\$#,##0;"($"#,##0\);\-</c:formatCode>
                <c:ptCount val="6"/>
                <c:pt idx="0">
                  <c:v>-556163357.34643</c:v>
                </c:pt>
                <c:pt idx="1">
                  <c:v>-597697671.18242</c:v>
                </c:pt>
                <c:pt idx="2">
                  <c:v>234520205.152405</c:v>
                </c:pt>
                <c:pt idx="3">
                  <c:v>113815809.898728</c:v>
                </c:pt>
                <c:pt idx="4">
                  <c:v>68958129.8795793</c:v>
                </c:pt>
                <c:pt idx="5">
                  <c:v>26952493.9304941</c:v>
                </c:pt>
              </c:numCache>
            </c:numRef>
          </c:val>
        </c:ser>
        <c:ser>
          <c:idx val="1"/>
          <c:order val="1"/>
          <c:tx>
            <c:strRef>
              <c:f>'Risk Analysis'!F31</c:f>
              <c:strCache>
                <c:ptCount val="1"/>
                <c:pt idx="0">
                  <c:v>High − plan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1d35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Analysis'!$F$32:$F$37</c:f>
              <c:numCache>
                <c:formatCode>\$#,##0;"($"#,##0\);\-</c:formatCode>
                <c:ptCount val="6"/>
                <c:pt idx="0">
                  <c:v>417122518.009823</c:v>
                </c:pt>
                <c:pt idx="1">
                  <c:v>298848835.59121</c:v>
                </c:pt>
                <c:pt idx="2">
                  <c:v>-375232328.243848</c:v>
                </c:pt>
                <c:pt idx="3">
                  <c:v>-455263239.594911</c:v>
                </c:pt>
                <c:pt idx="4">
                  <c:v>-128773005.650056</c:v>
                </c:pt>
                <c:pt idx="5">
                  <c:v>-53904987.8609881</c:v>
                </c:pt>
              </c:numCache>
            </c:numRef>
          </c:val>
        </c:ser>
        <c:gapWidth val="150"/>
        <c:overlap val="100"/>
        <c:axId val="40607514"/>
        <c:axId val="52079893"/>
      </c:barChart>
      <c:catAx>
        <c:axId val="406075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79893"/>
        <c:crosses val="autoZero"/>
        <c:auto val="1"/>
        <c:lblAlgn val="ctr"/>
        <c:lblOffset val="100"/>
        <c:noMultiLvlLbl val="0"/>
      </c:catAx>
      <c:valAx>
        <c:axId val="52079893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075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NPV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Analysis'!C58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Analysis'!$B$59:$B$78</c:f>
              <c:strCache>
                <c:ptCount val="20"/>
                <c:pt idx="0">
                  <c:v>-$1,269M</c:v>
                </c:pt>
                <c:pt idx="1">
                  <c:v>-$1,176M</c:v>
                </c:pt>
                <c:pt idx="2">
                  <c:v>-$1,083M</c:v>
                </c:pt>
                <c:pt idx="3">
                  <c:v>-$990M</c:v>
                </c:pt>
                <c:pt idx="4">
                  <c:v>-$897M</c:v>
                </c:pt>
                <c:pt idx="5">
                  <c:v>-$804M</c:v>
                </c:pt>
                <c:pt idx="6">
                  <c:v>-$711M</c:v>
                </c:pt>
                <c:pt idx="7">
                  <c:v>-$618M</c:v>
                </c:pt>
                <c:pt idx="8">
                  <c:v>-$525M</c:v>
                </c:pt>
                <c:pt idx="9">
                  <c:v>-$432M</c:v>
                </c:pt>
                <c:pt idx="10">
                  <c:v>-$339M</c:v>
                </c:pt>
                <c:pt idx="11">
                  <c:v>-$246M</c:v>
                </c:pt>
                <c:pt idx="12">
                  <c:v>-$153M</c:v>
                </c:pt>
                <c:pt idx="13">
                  <c:v>-$60M</c:v>
                </c:pt>
                <c:pt idx="14">
                  <c:v>$33M</c:v>
                </c:pt>
                <c:pt idx="15">
                  <c:v>$126M</c:v>
                </c:pt>
                <c:pt idx="16">
                  <c:v>$219M</c:v>
                </c:pt>
                <c:pt idx="17">
                  <c:v>$312M</c:v>
                </c:pt>
                <c:pt idx="18">
                  <c:v>$405M</c:v>
                </c:pt>
                <c:pt idx="19">
                  <c:v>$498M</c:v>
                </c:pt>
              </c:strCache>
            </c:strRef>
          </c:cat>
          <c:val>
            <c:numRef>
              <c:f>'Risk Analysis'!$C$59:$C$78</c:f>
              <c:numCache>
                <c:formatCode>0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13</c:v>
                </c:pt>
                <c:pt idx="4">
                  <c:v>20</c:v>
                </c:pt>
                <c:pt idx="5">
                  <c:v>24</c:v>
                </c:pt>
                <c:pt idx="6">
                  <c:v>52</c:v>
                </c:pt>
                <c:pt idx="7">
                  <c:v>83</c:v>
                </c:pt>
                <c:pt idx="8">
                  <c:v>100</c:v>
                </c:pt>
                <c:pt idx="9">
                  <c:v>105</c:v>
                </c:pt>
                <c:pt idx="10">
                  <c:v>116</c:v>
                </c:pt>
                <c:pt idx="11">
                  <c:v>90</c:v>
                </c:pt>
                <c:pt idx="12">
                  <c:v>94</c:v>
                </c:pt>
                <c:pt idx="13">
                  <c:v>87</c:v>
                </c:pt>
                <c:pt idx="14">
                  <c:v>76</c:v>
                </c:pt>
                <c:pt idx="15">
                  <c:v>55</c:v>
                </c:pt>
                <c:pt idx="16">
                  <c:v>28</c:v>
                </c:pt>
                <c:pt idx="17">
                  <c:v>29</c:v>
                </c:pt>
                <c:pt idx="18">
                  <c:v>11</c:v>
                </c:pt>
                <c:pt idx="19">
                  <c:v>8</c:v>
                </c:pt>
              </c:numCache>
            </c:numRef>
          </c:val>
        </c:ser>
        <c:gapWidth val="10"/>
        <c:overlap val="0"/>
        <c:axId val="29258921"/>
        <c:axId val="1431060"/>
      </c:barChart>
      <c:catAx>
        <c:axId val="29258921"/>
        <c:scaling>
          <c:orientation val="minMax"/>
        </c:scaling>
        <c:delete val="0"/>
        <c:axPos val="b"/>
        <c:numFmt formatCode="\$#,##0,,\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1060"/>
        <c:crosses val="autoZero"/>
        <c:auto val="1"/>
        <c:lblAlgn val="ctr"/>
        <c:lblOffset val="100"/>
        <c:noMultiLvlLbl val="0"/>
      </c:catAx>
      <c:valAx>
        <c:axId val="143106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589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and interest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1d3557"/>
            </a:solidFill>
            <a:ln w="28440">
              <a:noFill/>
            </a:ln>
          </c:spPr>
          <c:marker>
            <c:symbol val="circle"/>
            <c:size val="10"/>
            <c:spPr>
              <a:solidFill>
                <a:srgbClr val="1d35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'Operating Model'!$H$16:$H$25</c:f>
              <c:numCache>
                <c:formatCode>0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</c:numCache>
            </c:numRef>
          </c:xVal>
          <c:yVal>
            <c:numRef>
              <c:f>'Operating Model'!$G$16:$G$25</c:f>
              <c:numCache>
                <c:formatCode>0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yVal>
          <c:smooth val="1"/>
        </c:ser>
        <c:axId val="86583144"/>
        <c:axId val="40180514"/>
      </c:scatterChart>
      <c:valAx>
        <c:axId val="86583144"/>
        <c:scaling>
          <c:orientation val="minMax"/>
          <c:max val="5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80514"/>
        <c:crosses val="autoZero"/>
        <c:crossBetween val="midCat"/>
      </c:valAx>
      <c:valAx>
        <c:axId val="40180514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8314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Charts'!A60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Charts'!$B$60:$C$60</c:f>
              <c:numCache>
                <c:formatCode>\$0.00</c:formatCode>
                <c:ptCount val="2"/>
                <c:pt idx="0">
                  <c:v>1.85</c:v>
                </c:pt>
                <c:pt idx="1">
                  <c:v>2.1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Charts'!A61</c:f>
              <c:strCache>
                <c:ptCount val="1"/>
                <c:pt idx="0">
                  <c:v>EPS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Charts'!$B$61:$C$61</c:f>
              <c:numCache>
                <c:formatCode>\$0.00</c:formatCode>
                <c:ptCount val="2"/>
                <c:pt idx="0">
                  <c:v>2</c:v>
                </c:pt>
                <c:pt idx="1">
                  <c:v>2.15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76618"/>
        <c:axId val="90872750"/>
      </c:lineChart>
      <c:catAx>
        <c:axId val="8176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72750"/>
        <c:crosses val="autoZero"/>
        <c:auto val="1"/>
        <c:lblAlgn val="ctr"/>
        <c:lblOffset val="100"/>
        <c:noMultiLvlLbl val="0"/>
      </c:catAx>
      <c:valAx>
        <c:axId val="90872750"/>
        <c:scaling>
          <c:orientation val="minMax"/>
        </c:scaling>
        <c:delete val="0"/>
        <c:axPos val="l"/>
        <c:numFmt formatCode="\$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66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Charts'!$B$62:$C$62</c:f>
              <c:numCache>
                <c:formatCode>0.0%</c:formatCode>
                <c:ptCount val="2"/>
                <c:pt idx="0">
                  <c:v>0.142</c:v>
                </c:pt>
                <c:pt idx="1">
                  <c:v>0.155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Charts'!A63</c:f>
              <c:strCache>
                <c:ptCount val="1"/>
                <c:pt idx="0">
                  <c:v>ROE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Charts'!$B$63:$C$63</c:f>
              <c:numCache>
                <c:formatCode>0.0%</c:formatCode>
                <c:ptCount val="2"/>
                <c:pt idx="0">
                  <c:v>0.15</c:v>
                </c:pt>
                <c:pt idx="1">
                  <c:v>0.155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168017"/>
        <c:axId val="45139928"/>
      </c:lineChart>
      <c:catAx>
        <c:axId val="78168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39928"/>
        <c:crosses val="autoZero"/>
        <c:auto val="1"/>
        <c:lblAlgn val="ctr"/>
        <c:lblOffset val="100"/>
        <c:noMultiLvlLbl val="0"/>
      </c:catAx>
      <c:valAx>
        <c:axId val="4513992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680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price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Charts'!A64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Charts'!$B$64:$C$64</c:f>
              <c:numCache>
                <c:formatCode>\$0.00</c:formatCode>
                <c:ptCount val="2"/>
                <c:pt idx="0">
                  <c:v>22.4</c:v>
                </c:pt>
                <c:pt idx="1">
                  <c:v>26.1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Charts'!A65</c:f>
              <c:strCache>
                <c:ptCount val="1"/>
                <c:pt idx="0">
                  <c:v>Stock price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Charts'!$B$65:$C$65</c:f>
              <c:numCache>
                <c:formatCode>\$0.00</c:formatCode>
                <c:ptCount val="2"/>
                <c:pt idx="0">
                  <c:v>25</c:v>
                </c:pt>
                <c:pt idx="1">
                  <c:v>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589975"/>
        <c:axId val="42052851"/>
      </c:lineChart>
      <c:catAx>
        <c:axId val="49589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52851"/>
        <c:crosses val="autoZero"/>
        <c:auto val="1"/>
        <c:lblAlgn val="ctr"/>
        <c:lblOffset val="100"/>
        <c:noMultiLvlLbl val="0"/>
      </c:catAx>
      <c:valAx>
        <c:axId val="42052851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899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Image rating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Charts'!A66</c:f>
              <c:strCache>
                <c:ptCount val="1"/>
                <c:pt idx="0">
                  <c:v>Image rating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Charts'!$B$66:$C$66</c:f>
              <c:numCache>
                <c:formatCode>0</c:formatCode>
                <c:ptCount val="2"/>
                <c:pt idx="0">
                  <c:v>68</c:v>
                </c:pt>
                <c:pt idx="1">
                  <c:v>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Charts'!A67</c:f>
              <c:strCache>
                <c:ptCount val="1"/>
                <c:pt idx="0">
                  <c:v>Image rating expectation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Charts'!$B$67:$C$67</c:f>
              <c:numCache>
                <c:formatCode>0</c:formatCode>
                <c:ptCount val="2"/>
                <c:pt idx="0">
                  <c:v>70</c:v>
                </c:pt>
                <c:pt idx="1">
                  <c:v>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706844"/>
        <c:axId val="69372693"/>
      </c:lineChart>
      <c:catAx>
        <c:axId val="46706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72693"/>
        <c:crosses val="autoZero"/>
        <c:auto val="1"/>
        <c:lblAlgn val="ctr"/>
        <c:lblOffset val="100"/>
        <c:noMultiLvlLbl val="0"/>
      </c:catAx>
      <c:valAx>
        <c:axId val="6937269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68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Credit rating score (AAA = 21, higher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Charts'!A68</c:f>
              <c:strCache>
                <c:ptCount val="1"/>
                <c:pt idx="0">
                  <c:v>Credit rating score (AAA = 21)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Charts'!$B$68:$C$68</c:f>
              <c:numCache>
                <c:formatCode>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796086"/>
        <c:axId val="12391331"/>
      </c:lineChart>
      <c:catAx>
        <c:axId val="44796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91331"/>
        <c:crosses val="autoZero"/>
        <c:auto val="1"/>
        <c:lblAlgn val="ctr"/>
        <c:lblOffset val="100"/>
        <c:noMultiLvlLbl val="0"/>
      </c:catAx>
      <c:valAx>
        <c:axId val="123913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960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score by company (scoreboard)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Charts'!A85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Charts'!$B$85:$C$85</c:f>
              <c:numCache>
                <c:formatCode>0</c:formatCode>
                <c:ptCount val="2"/>
                <c:pt idx="0">
                  <c:v>81</c:v>
                </c:pt>
                <c:pt idx="1">
                  <c:v>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Charts'!A86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Charts'!$B$86:$C$86</c:f>
              <c:numCache>
                <c:formatCode>0</c:formatCode>
                <c:ptCount val="2"/>
                <c:pt idx="0">
                  <c:v>70</c:v>
                </c:pt>
                <c:pt idx="1">
                  <c:v>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Charts'!A87</c:f>
              <c:strCache>
                <c:ptCount val="1"/>
                <c:pt idx="0">
                  <c:v>Company C (you)</c:v>
                </c:pt>
              </c:strCache>
            </c:strRef>
          </c:tx>
          <c:spPr>
            <a:solidFill>
              <a:srgbClr val="c9a55c"/>
            </a:solidFill>
            <a:ln w="381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Charts'!$B$87:$C$87</c:f>
              <c:numCache>
                <c:formatCode>0</c:formatCode>
                <c:ptCount val="2"/>
                <c:pt idx="0">
                  <c:v>78</c:v>
                </c:pt>
                <c:pt idx="1">
                  <c:v>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Charts'!A88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Charts'!$B$88:$C$88</c:f>
              <c:numCache>
                <c:formatCode>0</c:formatCode>
                <c:ptCount val="2"/>
                <c:pt idx="0">
                  <c:v>83</c:v>
                </c:pt>
                <c:pt idx="1">
                  <c:v>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'KPI Charts'!A89</c:f>
              <c:strCache>
                <c:ptCount val="1"/>
                <c:pt idx="0">
                  <c:v>Company E</c:v>
                </c:pt>
              </c:strCache>
            </c:strRef>
          </c:tx>
          <c:spPr>
            <a:solidFill>
              <a:srgbClr val="457b9d"/>
            </a:solidFill>
            <a:ln w="21960">
              <a:solidFill>
                <a:srgbClr val="457b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Charts'!$B$89:$C$89</c:f>
              <c:numCache>
                <c:formatCode>0</c:formatCode>
                <c:ptCount val="2"/>
                <c:pt idx="0">
                  <c:v>66</c:v>
                </c:pt>
                <c:pt idx="1">
                  <c:v>63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'KPI Charts'!A90</c:f>
              <c:strCache>
                <c:ptCount val="1"/>
                <c:pt idx="0">
                  <c:v>Company F</c:v>
                </c:pt>
              </c:strCache>
            </c:strRef>
          </c:tx>
          <c:spPr>
            <a:solidFill>
              <a:srgbClr val="8d6a9f"/>
            </a:solidFill>
            <a:ln w="21960">
              <a:solidFill>
                <a:srgbClr val="8d6a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Charts'!$B$90:$C$90</c:f>
              <c:numCache>
                <c:formatCode>0</c:formatCode>
                <c:ptCount val="2"/>
                <c:pt idx="0">
                  <c:v>74</c:v>
                </c:pt>
                <c:pt idx="1">
                  <c:v>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'KPI Charts'!A91</c:f>
              <c:strCache>
                <c:ptCount val="1"/>
                <c:pt idx="0">
                  <c:v>Company G</c:v>
                </c:pt>
              </c:strCache>
            </c:strRef>
          </c:tx>
          <c:spPr>
            <a:solidFill>
              <a:srgbClr val="6c757d"/>
            </a:solidFill>
            <a:ln w="21960">
              <a:solidFill>
                <a:srgbClr val="6c75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Charts'!$B$91:$C$91</c:f>
              <c:numCache>
                <c:formatCode>0</c:formatCode>
                <c:ptCount val="2"/>
                <c:pt idx="0">
                  <c:v>77</c:v>
                </c:pt>
                <c:pt idx="1">
                  <c:v>80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'KPI Charts'!A92</c:f>
              <c:strCache>
                <c:ptCount val="1"/>
                <c:pt idx="0">
                  <c:v>Company H</c:v>
                </c:pt>
              </c:strCache>
            </c:strRef>
          </c:tx>
          <c:spPr>
            <a:solidFill>
              <a:srgbClr val="b5651d"/>
            </a:solidFill>
            <a:ln w="21960">
              <a:solidFill>
                <a:srgbClr val="b565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Charts'!$B$92:$C$92</c:f>
              <c:numCache>
                <c:formatCode>0</c:formatCode>
                <c:ptCount val="2"/>
                <c:pt idx="0">
                  <c:v>69</c:v>
                </c:pt>
                <c:pt idx="1">
                  <c:v>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062773"/>
        <c:axId val="51373831"/>
      </c:lineChart>
      <c:catAx>
        <c:axId val="85062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73831"/>
        <c:crosses val="autoZero"/>
        <c:auto val="1"/>
        <c:lblAlgn val="ctr"/>
        <c:lblOffset val="100"/>
        <c:noMultiLvlLbl val="0"/>
      </c:catAx>
      <c:valAx>
        <c:axId val="51373831"/>
        <c:scaling>
          <c:orientation val="minMax"/>
          <c:max val="95"/>
          <c:min val="55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627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Your rank (1 = top)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Charts'!A70</c:f>
              <c:strCache>
                <c:ptCount val="1"/>
                <c:pt idx="0">
                  <c:v>Rank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Charts'!$B$70:$C$70</c:f>
              <c:numCache>
                <c:formatCode>0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073998"/>
        <c:axId val="22951612"/>
      </c:lineChart>
      <c:catAx>
        <c:axId val="27073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51612"/>
        <c:crosses val="autoZero"/>
        <c:auto val="1"/>
        <c:lblAlgn val="ctr"/>
        <c:lblOffset val="100"/>
        <c:noMultiLvlLbl val="0"/>
      </c:catAx>
      <c:valAx>
        <c:axId val="22951612"/>
        <c:scaling>
          <c:orientation val="maxMin"/>
          <c:min val="1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739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share (average of regions,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Charts'!A73</c:f>
              <c:strCache>
                <c:ptCount val="1"/>
                <c:pt idx="0">
                  <c:v>Cameras: share (%)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Charts'!$B$73:$C$73</c:f>
              <c:numCache>
                <c:formatCode>0.0</c:formatCode>
                <c:ptCount val="2"/>
                <c:pt idx="0">
                  <c:v>12.225</c:v>
                </c:pt>
                <c:pt idx="1">
                  <c:v>12.975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Charts'!A74</c:f>
              <c:strCache>
                <c:ptCount val="1"/>
                <c:pt idx="0">
                  <c:v>Drones: share (%)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Charts'!$B$74:$C$74</c:f>
              <c:numCache>
                <c:formatCode>0.0</c:formatCode>
                <c:ptCount val="2"/>
                <c:pt idx="0">
                  <c:v>11.975</c:v>
                </c:pt>
                <c:pt idx="1">
                  <c:v>12.55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861602"/>
        <c:axId val="28756719"/>
      </c:lineChart>
      <c:catAx>
        <c:axId val="73861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56719"/>
        <c:crosses val="autoZero"/>
        <c:auto val="1"/>
        <c:lblAlgn val="ctr"/>
        <c:lblOffset val="100"/>
        <c:noMultiLvlLbl val="0"/>
      </c:catAx>
      <c:valAx>
        <c:axId val="28756719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616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per unit vs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Charts'!A75</c:f>
              <c:strCache>
                <c:ptCount val="1"/>
                <c:pt idx="0">
                  <c:v>Cameras: cost per unit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Charts'!$B$75:$C$75</c:f>
              <c:numCache>
                <c:formatCode>\$#,##0</c:formatCode>
                <c:ptCount val="2"/>
                <c:pt idx="0">
                  <c:v>182</c:v>
                </c:pt>
                <c:pt idx="1">
                  <c:v>176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Charts'!A76</c:f>
              <c:strCache>
                <c:ptCount val="1"/>
                <c:pt idx="0">
                  <c:v>Cameras: industry cost per unit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Charts'!$B$76:$C$76</c:f>
              <c:numCache>
                <c:formatCode>\$#,##0</c:formatCode>
                <c:ptCount val="2"/>
                <c:pt idx="0">
                  <c:v>186</c:v>
                </c:pt>
                <c:pt idx="1">
                  <c:v>184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Charts'!A77</c:f>
              <c:strCache>
                <c:ptCount val="1"/>
                <c:pt idx="0">
                  <c:v>Drones: cost per unit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Charts'!$B$77:$C$77</c:f>
              <c:numCache>
                <c:formatCode>\$#,##0</c:formatCode>
                <c:ptCount val="2"/>
                <c:pt idx="0">
                  <c:v>905</c:v>
                </c:pt>
                <c:pt idx="1">
                  <c:v>884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Charts'!A78</c:f>
              <c:strCache>
                <c:ptCount val="1"/>
                <c:pt idx="0">
                  <c:v>Drones: industry cost per unit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Charts'!$B$78:$C$78</c:f>
              <c:numCache>
                <c:formatCode>\$#,##0</c:formatCode>
                <c:ptCount val="2"/>
                <c:pt idx="0">
                  <c:v>890</c:v>
                </c:pt>
                <c:pt idx="1">
                  <c:v>879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793154"/>
        <c:axId val="22877874"/>
      </c:lineChart>
      <c:catAx>
        <c:axId val="48793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77874"/>
        <c:crosses val="autoZero"/>
        <c:auto val="1"/>
        <c:lblAlgn val="ctr"/>
        <c:lblOffset val="100"/>
        <c:noMultiLvlLbl val="0"/>
      </c:catAx>
      <c:valAx>
        <c:axId val="22877874"/>
        <c:scaling>
          <c:orientation val="minMax"/>
        </c:scaling>
        <c:delete val="0"/>
        <c:axPos val="l"/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931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Position vs industry: price and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Charts'!A79</c:f>
              <c:strCache>
                <c:ptCount val="1"/>
                <c:pt idx="0">
                  <c:v>Cameras: price vs industry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Charts'!$B$79:$C$79</c:f>
              <c:numCache>
                <c:formatCode>\+0.0%;\-0.0%;0.0%</c:formatCode>
                <c:ptCount val="2"/>
                <c:pt idx="0">
                  <c:v>-0.0434782608695652</c:v>
                </c:pt>
                <c:pt idx="1">
                  <c:v>-0.044280442804428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Charts'!A80</c:f>
              <c:strCache>
                <c:ptCount val="1"/>
                <c:pt idx="0">
                  <c:v>Cameras: cost vs industry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Charts'!$B$80:$C$80</c:f>
              <c:numCache>
                <c:formatCode>\+0.0%;\-0.0%;0.0%</c:formatCode>
                <c:ptCount val="2"/>
                <c:pt idx="0">
                  <c:v>-0.021505376344086</c:v>
                </c:pt>
                <c:pt idx="1">
                  <c:v>-0.0434782608695652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'KPI Charts'!A81</c:f>
              <c:strCache>
                <c:ptCount val="1"/>
                <c:pt idx="0">
                  <c:v>Drones: price vs industry</c:v>
                </c:pt>
              </c:strCache>
            </c:strRef>
          </c:tx>
          <c:spPr>
            <a:solidFill>
              <a:srgbClr val="2d936c"/>
            </a:solidFill>
            <a:ln w="2196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Charts'!$B$81:$C$81</c:f>
              <c:numCache>
                <c:formatCode>\+0.0%;\-0.0%;0.0%</c:formatCode>
                <c:ptCount val="2"/>
                <c:pt idx="0">
                  <c:v>0.0351464435146442</c:v>
                </c:pt>
                <c:pt idx="1">
                  <c:v>0.0345117845117846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'KPI Charts'!A82</c:f>
              <c:strCache>
                <c:ptCount val="1"/>
                <c:pt idx="0">
                  <c:v>Drones: cost vs industry</c:v>
                </c:pt>
              </c:strCache>
            </c:strRef>
          </c:tx>
          <c:spPr>
            <a:solidFill>
              <a:srgbClr val="c44536"/>
            </a:solidFill>
            <a:ln w="2196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Charts'!$B$82:$C$82</c:f>
              <c:numCache>
                <c:formatCode>\+0.0%;\-0.0%;0.0%</c:formatCode>
                <c:ptCount val="2"/>
                <c:pt idx="0">
                  <c:v>0.0168539325842696</c:v>
                </c:pt>
                <c:pt idx="1">
                  <c:v>0.00568828213879402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258035"/>
        <c:axId val="43024660"/>
      </c:lineChart>
      <c:catAx>
        <c:axId val="402580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24660"/>
        <c:crosses val="autoZero"/>
        <c:auto val="1"/>
        <c:lblAlgn val="ctr"/>
        <c:lblOffset val="100"/>
        <c:noMultiLvlLbl val="0"/>
      </c:catAx>
      <c:valAx>
        <c:axId val="4302466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580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revenues and net profit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Charts'!A71</c:f>
              <c:strCache>
                <c:ptCount val="1"/>
                <c:pt idx="0">
                  <c:v>Net revenues ($000s)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Charts'!$B$71:$C$71</c:f>
              <c:numCache>
                <c:formatCode>#,##0</c:formatCode>
                <c:ptCount val="2"/>
                <c:pt idx="0">
                  <c:v>412000</c:v>
                </c:pt>
                <c:pt idx="1">
                  <c:v>455000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Charts'!A72</c:f>
              <c:strCache>
                <c:ptCount val="1"/>
                <c:pt idx="0">
                  <c:v>Net profit ($000s)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Charts'!$B$72:$C$72</c:f>
              <c:numCache>
                <c:formatCode>#,##0</c:formatCode>
                <c:ptCount val="2"/>
                <c:pt idx="0">
                  <c:v>18500</c:v>
                </c:pt>
                <c:pt idx="1">
                  <c:v>21900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340622"/>
        <c:axId val="62601009"/>
      </c:lineChart>
      <c:catAx>
        <c:axId val="793406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01009"/>
        <c:crosses val="autoZero"/>
        <c:auto val="1"/>
        <c:lblAlgn val="ctr"/>
        <c:lblOffset val="100"/>
        <c:noMultiLvlLbl val="0"/>
      </c:catAx>
      <c:valAx>
        <c:axId val="6260100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406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'KPI Charts'!A83</c:f>
              <c:strCache>
                <c:ptCount val="1"/>
                <c:pt idx="0">
                  <c:v>Cameras: operating margin</c:v>
                </c:pt>
              </c:strCache>
            </c:strRef>
          </c:tx>
          <c:spPr>
            <a:solidFill>
              <a:srgbClr val="1d3557"/>
            </a:solidFill>
            <a:ln w="2196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Charts'!$B$83:$C$83</c:f>
              <c:numCache>
                <c:formatCode>0.0%</c:formatCode>
                <c:ptCount val="2"/>
                <c:pt idx="0">
                  <c:v>0.11</c:v>
                </c:pt>
                <c:pt idx="1">
                  <c:v>0.125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'KPI Charts'!A84</c:f>
              <c:strCache>
                <c:ptCount val="1"/>
                <c:pt idx="0">
                  <c:v>Drones: operating margin</c:v>
                </c:pt>
              </c:strCache>
            </c:strRef>
          </c:tx>
          <c:spPr>
            <a:solidFill>
              <a:srgbClr val="c9a55c"/>
            </a:solidFill>
            <a:ln w="2196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Charts'!$B$59:$C$59</c:f>
              <c:strCache>
                <c:ptCount val="2"/>
                <c:pt idx="0">
                  <c:v>Y6</c:v>
                </c:pt>
                <c:pt idx="1">
                  <c:v>Y7</c:v>
                </c:pt>
              </c:strCache>
            </c:strRef>
          </c:cat>
          <c:val>
            <c:numRef>
              <c:f>'KPI Charts'!$B$84:$C$84</c:f>
              <c:numCache>
                <c:formatCode>0.0%</c:formatCode>
                <c:ptCount val="2"/>
                <c:pt idx="0">
                  <c:v>0.09</c:v>
                </c:pt>
                <c:pt idx="1">
                  <c:v>0.105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058146"/>
        <c:axId val="73010003"/>
      </c:lineChart>
      <c:catAx>
        <c:axId val="390581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10003"/>
        <c:crosses val="autoZero"/>
        <c:auto val="1"/>
        <c:lblAlgn val="ctr"/>
        <c:lblOffset val="100"/>
        <c:noMultiLvlLbl val="0"/>
      </c:catAx>
      <c:valAx>
        <c:axId val="7301000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581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<Relationship Id="rId10" Type="http://schemas.openxmlformats.org/officeDocument/2006/relationships/chart" Target="../charts/chart15.xml"/><Relationship Id="rId11" Type="http://schemas.openxmlformats.org/officeDocument/2006/relationships/chart" Target="../charts/chart16.xml"/><Relationship Id="rId1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7</xdr:col>
      <xdr:colOff>1374480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6343560" y="762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18360</xdr:rowOff>
    </xdr:from>
    <xdr:to>
      <xdr:col>3</xdr:col>
      <xdr:colOff>1155240</xdr:colOff>
      <xdr:row>29</xdr:row>
      <xdr:rowOff>61560</xdr:rowOff>
    </xdr:to>
    <xdr:graphicFrame>
      <xdr:nvGraphicFramePr>
        <xdr:cNvPr id="1" name="Chart 1"/>
        <xdr:cNvGraphicFramePr/>
      </xdr:nvGraphicFramePr>
      <xdr:xfrm>
        <a:off x="0" y="3429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27</xdr:row>
      <xdr:rowOff>66600</xdr:rowOff>
    </xdr:from>
    <xdr:to>
      <xdr:col>14</xdr:col>
      <xdr:colOff>536400</xdr:colOff>
      <xdr:row>36</xdr:row>
      <xdr:rowOff>186840</xdr:rowOff>
    </xdr:to>
    <xdr:graphicFrame>
      <xdr:nvGraphicFramePr>
        <xdr:cNvPr id="2" name="Chart 1"/>
        <xdr:cNvGraphicFramePr/>
      </xdr:nvGraphicFramePr>
      <xdr:xfrm>
        <a:off x="8951760" y="5715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48</xdr:row>
      <xdr:rowOff>129600</xdr:rowOff>
    </xdr:from>
    <xdr:to>
      <xdr:col>9</xdr:col>
      <xdr:colOff>747360</xdr:colOff>
      <xdr:row>57</xdr:row>
      <xdr:rowOff>362160</xdr:rowOff>
    </xdr:to>
    <xdr:graphicFrame>
      <xdr:nvGraphicFramePr>
        <xdr:cNvPr id="3" name="Chart 2"/>
        <xdr:cNvGraphicFramePr/>
      </xdr:nvGraphicFramePr>
      <xdr:xfrm>
        <a:off x="4299480" y="114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131040</xdr:rowOff>
    </xdr:from>
    <xdr:to>
      <xdr:col>3</xdr:col>
      <xdr:colOff>231480</xdr:colOff>
      <xdr:row>41</xdr:row>
      <xdr:rowOff>153000</xdr:rowOff>
    </xdr:to>
    <xdr:graphicFrame>
      <xdr:nvGraphicFramePr>
        <xdr:cNvPr id="4" name="Chart 1"/>
        <xdr:cNvGraphicFramePr/>
      </xdr:nvGraphicFramePr>
      <xdr:xfrm>
        <a:off x="0" y="5524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17</xdr:col>
      <xdr:colOff>131040</xdr:colOff>
      <xdr:row>28</xdr:row>
      <xdr:rowOff>92520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8646840" y="762120"/>
          <a:ext cx="6857640" cy="4914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3</xdr:col>
      <xdr:colOff>552600</xdr:colOff>
      <xdr:row>16</xdr:row>
      <xdr:rowOff>174240</xdr:rowOff>
    </xdr:to>
    <xdr:graphicFrame>
      <xdr:nvGraphicFramePr>
        <xdr:cNvPr id="6" name="Chart 1"/>
        <xdr:cNvGraphicFramePr/>
      </xdr:nvGraphicFramePr>
      <xdr:xfrm>
        <a:off x="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131040</xdr:rowOff>
    </xdr:from>
    <xdr:to>
      <xdr:col>14</xdr:col>
      <xdr:colOff>219240</xdr:colOff>
      <xdr:row>16</xdr:row>
      <xdr:rowOff>174240</xdr:rowOff>
    </xdr:to>
    <xdr:graphicFrame>
      <xdr:nvGraphicFramePr>
        <xdr:cNvPr id="7" name="Chart 2"/>
        <xdr:cNvGraphicFramePr/>
      </xdr:nvGraphicFramePr>
      <xdr:xfrm>
        <a:off x="6393240" y="762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3</xdr:col>
      <xdr:colOff>552600</xdr:colOff>
      <xdr:row>31</xdr:row>
      <xdr:rowOff>173880</xdr:rowOff>
    </xdr:to>
    <xdr:graphicFrame>
      <xdr:nvGraphicFramePr>
        <xdr:cNvPr id="8" name="Chart 3"/>
        <xdr:cNvGraphicFramePr/>
      </xdr:nvGraphicFramePr>
      <xdr:xfrm>
        <a:off x="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14</xdr:col>
      <xdr:colOff>219240</xdr:colOff>
      <xdr:row>31</xdr:row>
      <xdr:rowOff>173880</xdr:rowOff>
    </xdr:to>
    <xdr:graphicFrame>
      <xdr:nvGraphicFramePr>
        <xdr:cNvPr id="9" name="Chart 4"/>
        <xdr:cNvGraphicFramePr/>
      </xdr:nvGraphicFramePr>
      <xdr:xfrm>
        <a:off x="6393240" y="3619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33</xdr:row>
      <xdr:rowOff>131040</xdr:rowOff>
    </xdr:from>
    <xdr:to>
      <xdr:col>3</xdr:col>
      <xdr:colOff>552600</xdr:colOff>
      <xdr:row>46</xdr:row>
      <xdr:rowOff>174240</xdr:rowOff>
    </xdr:to>
    <xdr:graphicFrame>
      <xdr:nvGraphicFramePr>
        <xdr:cNvPr id="10" name="Chart 5"/>
        <xdr:cNvGraphicFramePr/>
      </xdr:nvGraphicFramePr>
      <xdr:xfrm>
        <a:off x="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33</xdr:row>
      <xdr:rowOff>131040</xdr:rowOff>
    </xdr:from>
    <xdr:to>
      <xdr:col>14</xdr:col>
      <xdr:colOff>219240</xdr:colOff>
      <xdr:row>46</xdr:row>
      <xdr:rowOff>174240</xdr:rowOff>
    </xdr:to>
    <xdr:graphicFrame>
      <xdr:nvGraphicFramePr>
        <xdr:cNvPr id="11" name="Chart 6"/>
        <xdr:cNvGraphicFramePr/>
      </xdr:nvGraphicFramePr>
      <xdr:xfrm>
        <a:off x="6393240" y="647712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48</xdr:row>
      <xdr:rowOff>130680</xdr:rowOff>
    </xdr:from>
    <xdr:to>
      <xdr:col>3</xdr:col>
      <xdr:colOff>552600</xdr:colOff>
      <xdr:row>60</xdr:row>
      <xdr:rowOff>173880</xdr:rowOff>
    </xdr:to>
    <xdr:graphicFrame>
      <xdr:nvGraphicFramePr>
        <xdr:cNvPr id="12" name="Chart 7"/>
        <xdr:cNvGraphicFramePr/>
      </xdr:nvGraphicFramePr>
      <xdr:xfrm>
        <a:off x="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48</xdr:row>
      <xdr:rowOff>130680</xdr:rowOff>
    </xdr:from>
    <xdr:to>
      <xdr:col>14</xdr:col>
      <xdr:colOff>219240</xdr:colOff>
      <xdr:row>60</xdr:row>
      <xdr:rowOff>173880</xdr:rowOff>
    </xdr:to>
    <xdr:graphicFrame>
      <xdr:nvGraphicFramePr>
        <xdr:cNvPr id="13" name="Chart 8"/>
        <xdr:cNvGraphicFramePr/>
      </xdr:nvGraphicFramePr>
      <xdr:xfrm>
        <a:off x="6393240" y="933444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63</xdr:row>
      <xdr:rowOff>131040</xdr:rowOff>
    </xdr:from>
    <xdr:to>
      <xdr:col>3</xdr:col>
      <xdr:colOff>552600</xdr:colOff>
      <xdr:row>76</xdr:row>
      <xdr:rowOff>173880</xdr:rowOff>
    </xdr:to>
    <xdr:graphicFrame>
      <xdr:nvGraphicFramePr>
        <xdr:cNvPr id="14" name="Chart 9"/>
        <xdr:cNvGraphicFramePr/>
      </xdr:nvGraphicFramePr>
      <xdr:xfrm>
        <a:off x="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0</xdr:colOff>
      <xdr:row>63</xdr:row>
      <xdr:rowOff>131040</xdr:rowOff>
    </xdr:from>
    <xdr:to>
      <xdr:col>14</xdr:col>
      <xdr:colOff>219240</xdr:colOff>
      <xdr:row>76</xdr:row>
      <xdr:rowOff>173880</xdr:rowOff>
    </xdr:to>
    <xdr:graphicFrame>
      <xdr:nvGraphicFramePr>
        <xdr:cNvPr id="15" name="Chart 10"/>
        <xdr:cNvGraphicFramePr/>
      </xdr:nvGraphicFramePr>
      <xdr:xfrm>
        <a:off x="6393240" y="1238256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78</xdr:row>
      <xdr:rowOff>130680</xdr:rowOff>
    </xdr:from>
    <xdr:to>
      <xdr:col>3</xdr:col>
      <xdr:colOff>552600</xdr:colOff>
      <xdr:row>91</xdr:row>
      <xdr:rowOff>173880</xdr:rowOff>
    </xdr:to>
    <xdr:graphicFrame>
      <xdr:nvGraphicFramePr>
        <xdr:cNvPr id="16" name="Chart 11"/>
        <xdr:cNvGraphicFramePr/>
      </xdr:nvGraphicFramePr>
      <xdr:xfrm>
        <a:off x="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0</xdr:colOff>
      <xdr:row>78</xdr:row>
      <xdr:rowOff>130680</xdr:rowOff>
    </xdr:from>
    <xdr:to>
      <xdr:col>14</xdr:col>
      <xdr:colOff>219240</xdr:colOff>
      <xdr:row>91</xdr:row>
      <xdr:rowOff>173880</xdr:rowOff>
    </xdr:to>
    <xdr:graphicFrame>
      <xdr:nvGraphicFramePr>
        <xdr:cNvPr id="17" name="Chart 12"/>
        <xdr:cNvGraphicFramePr/>
      </xdr:nvGraphicFramePr>
      <xdr:xfrm>
        <a:off x="6393240" y="15239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4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false"/>
  </sheetPr>
  <dimension ref="B2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5.0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35.0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6" t="s">
        <v>9</v>
      </c>
      <c r="C9" s="5"/>
    </row>
    <row r="10" customFormat="false" ht="23.85" hidden="false" customHeight="false" outlineLevel="0" collapsed="false">
      <c r="B10" s="4" t="s">
        <v>10</v>
      </c>
      <c r="C10" s="5" t="s">
        <v>11</v>
      </c>
    </row>
    <row r="11" customFormat="false" ht="23.85" hidden="false" customHeight="false" outlineLevel="0" collapsed="false">
      <c r="B11" s="4" t="s">
        <v>12</v>
      </c>
      <c r="C11" s="5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15" hidden="false" customHeight="false" outlineLevel="0" collapsed="false">
      <c r="B13" s="4" t="s">
        <v>16</v>
      </c>
      <c r="C13" s="5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4" t="s">
        <v>20</v>
      </c>
      <c r="C15" s="5" t="s">
        <v>21</v>
      </c>
    </row>
    <row r="16" customFormat="false" ht="23.85" hidden="false" customHeight="false" outlineLevel="0" collapsed="false">
      <c r="B16" s="4" t="s">
        <v>22</v>
      </c>
      <c r="C16" s="5" t="s">
        <v>23</v>
      </c>
    </row>
    <row r="17" customFormat="false" ht="15" hidden="false" customHeight="false" outlineLevel="0" collapsed="false">
      <c r="B17" s="6" t="s">
        <v>24</v>
      </c>
      <c r="C17" s="5"/>
    </row>
    <row r="18" customFormat="false" ht="23.85" hidden="false" customHeight="false" outlineLevel="0" collapsed="false">
      <c r="B18" s="4" t="s">
        <v>25</v>
      </c>
      <c r="C18" s="5" t="s">
        <v>26</v>
      </c>
    </row>
    <row r="19" customFormat="false" ht="15" hidden="false" customHeight="false" outlineLevel="0" collapsed="false">
      <c r="B19" s="4" t="s">
        <v>27</v>
      </c>
      <c r="C19" s="5" t="s">
        <v>28</v>
      </c>
    </row>
    <row r="20" customFormat="false" ht="15" hidden="false" customHeight="false" outlineLevel="0" collapsed="false">
      <c r="B20" s="4" t="s">
        <v>29</v>
      </c>
      <c r="C20" s="5" t="s">
        <v>30</v>
      </c>
    </row>
    <row r="21" customFormat="false" ht="15" hidden="false" customHeight="false" outlineLevel="0" collapsed="false">
      <c r="B21" s="4" t="s">
        <v>31</v>
      </c>
      <c r="C21" s="5" t="s">
        <v>32</v>
      </c>
    </row>
    <row r="22" customFormat="false" ht="15" hidden="false" customHeight="false" outlineLevel="0" collapsed="false">
      <c r="B22" s="4" t="s">
        <v>33</v>
      </c>
      <c r="C22" s="5" t="s">
        <v>34</v>
      </c>
    </row>
    <row r="23" customFormat="false" ht="15" hidden="false" customHeight="false" outlineLevel="0" collapsed="false">
      <c r="B23" s="4" t="s">
        <v>35</v>
      </c>
      <c r="C23" s="5" t="s">
        <v>36</v>
      </c>
    </row>
    <row r="24" customFormat="false" ht="15" hidden="false" customHeight="false" outlineLevel="0" collapsed="false">
      <c r="B24" s="4" t="s">
        <v>37</v>
      </c>
      <c r="C24" s="5" t="s">
        <v>38</v>
      </c>
    </row>
    <row r="25" customFormat="false" ht="15" hidden="false" customHeight="false" outlineLevel="0" collapsed="false">
      <c r="B25" s="6" t="s">
        <v>39</v>
      </c>
      <c r="C25" s="5"/>
    </row>
    <row r="26" customFormat="false" ht="15" hidden="false" customHeight="false" outlineLevel="0" collapsed="false">
      <c r="B26" s="4" t="s">
        <v>40</v>
      </c>
      <c r="C26" s="5" t="s">
        <v>41</v>
      </c>
    </row>
    <row r="27" customFormat="false" ht="15" hidden="false" customHeight="false" outlineLevel="0" collapsed="false">
      <c r="B27" s="4" t="s">
        <v>42</v>
      </c>
      <c r="C27" s="5" t="s">
        <v>43</v>
      </c>
    </row>
    <row r="28" customFormat="false" ht="15" hidden="false" customHeight="false" outlineLevel="0" collapsed="false">
      <c r="B28" s="4" t="s">
        <v>44</v>
      </c>
      <c r="C28" s="5" t="s">
        <v>45</v>
      </c>
    </row>
    <row r="29" customFormat="false" ht="15" hidden="false" customHeight="false" outlineLevel="0" collapsed="false">
      <c r="B29" s="4" t="s">
        <v>46</v>
      </c>
      <c r="C29" s="5" t="s">
        <v>47</v>
      </c>
    </row>
    <row r="30" customFormat="false" ht="23.85" hidden="false" customHeight="false" outlineLevel="0" collapsed="false">
      <c r="B30" s="4" t="s">
        <v>48</v>
      </c>
      <c r="C30" s="5" t="s">
        <v>49</v>
      </c>
    </row>
    <row r="31" customFormat="false" ht="15" hidden="false" customHeight="false" outlineLevel="0" collapsed="false">
      <c r="B31" s="4" t="s">
        <v>50</v>
      </c>
      <c r="C31" s="5" t="s">
        <v>51</v>
      </c>
    </row>
    <row r="32" customFormat="false" ht="15" hidden="false" customHeight="false" outlineLevel="0" collapsed="false">
      <c r="B32" s="4" t="s">
        <v>52</v>
      </c>
      <c r="C32" s="5" t="s">
        <v>53</v>
      </c>
    </row>
    <row r="33" customFormat="false" ht="15" hidden="false" customHeight="false" outlineLevel="0" collapsed="false">
      <c r="B33" s="4" t="s">
        <v>54</v>
      </c>
      <c r="C33" s="5" t="s">
        <v>55</v>
      </c>
    </row>
    <row r="34" customFormat="false" ht="15" hidden="false" customHeight="false" outlineLevel="0" collapsed="false">
      <c r="B34" s="4" t="s">
        <v>56</v>
      </c>
      <c r="C34" s="5" t="s">
        <v>57</v>
      </c>
    </row>
    <row r="35" customFormat="false" ht="15" hidden="false" customHeight="false" outlineLevel="0" collapsed="false">
      <c r="B35" s="4" t="s">
        <v>58</v>
      </c>
      <c r="C35" s="5" t="s">
        <v>59</v>
      </c>
    </row>
    <row r="36" customFormat="false" ht="15" hidden="false" customHeight="false" outlineLevel="0" collapsed="false">
      <c r="B36" s="4" t="s">
        <v>60</v>
      </c>
      <c r="C36" s="5" t="s">
        <v>61</v>
      </c>
    </row>
    <row r="37" customFormat="false" ht="15" hidden="false" customHeight="false" outlineLevel="0" collapsed="false">
      <c r="B37" s="4" t="s">
        <v>62</v>
      </c>
      <c r="C37" s="5" t="s">
        <v>63</v>
      </c>
    </row>
    <row r="38" customFormat="false" ht="15" hidden="false" customHeight="false" outlineLevel="0" collapsed="false">
      <c r="B38" s="4" t="s">
        <v>64</v>
      </c>
      <c r="C38" s="5" t="s">
        <v>65</v>
      </c>
    </row>
    <row r="39" customFormat="false" ht="15" hidden="false" customHeight="false" outlineLevel="0" collapsed="false">
      <c r="B39" s="4" t="s">
        <v>66</v>
      </c>
      <c r="C39" s="5" t="s">
        <v>67</v>
      </c>
    </row>
    <row r="40" customFormat="false" ht="15" hidden="false" customHeight="false" outlineLevel="0" collapsed="false">
      <c r="B40" s="6" t="s">
        <v>68</v>
      </c>
      <c r="C40" s="5"/>
    </row>
    <row r="41" customFormat="false" ht="15" hidden="false" customHeight="false" outlineLevel="0" collapsed="false">
      <c r="B41" s="4" t="s">
        <v>69</v>
      </c>
      <c r="C41" s="5" t="s">
        <v>70</v>
      </c>
    </row>
    <row r="42" customFormat="false" ht="23.85" hidden="false" customHeight="false" outlineLevel="0" collapsed="false">
      <c r="B42" s="4" t="s">
        <v>71</v>
      </c>
      <c r="C42" s="5" t="s">
        <v>72</v>
      </c>
    </row>
    <row r="43" customFormat="false" ht="23.85" hidden="false" customHeight="false" outlineLevel="0" collapsed="false">
      <c r="B43" s="4" t="s">
        <v>73</v>
      </c>
      <c r="C43" s="5" t="s">
        <v>74</v>
      </c>
    </row>
    <row r="44" customFormat="false" ht="23.85" hidden="false" customHeight="false" outlineLevel="0" collapsed="false">
      <c r="B44" s="4" t="s">
        <v>75</v>
      </c>
      <c r="C44" s="5" t="s">
        <v>76</v>
      </c>
    </row>
    <row r="45" customFormat="false" ht="23.85" hidden="false" customHeight="false" outlineLevel="0" collapsed="false">
      <c r="B45" s="4" t="s">
        <v>77</v>
      </c>
      <c r="C45" s="5" t="s">
        <v>78</v>
      </c>
    </row>
    <row r="46" customFormat="false" ht="23.85" hidden="false" customHeight="false" outlineLevel="0" collapsed="false">
      <c r="B46" s="4" t="s">
        <v>79</v>
      </c>
      <c r="C46" s="5" t="s">
        <v>80</v>
      </c>
    </row>
    <row r="47" customFormat="false" ht="23.85" hidden="false" customHeight="false" outlineLevel="0" collapsed="false">
      <c r="B47" s="4" t="s">
        <v>81</v>
      </c>
      <c r="C47" s="5" t="s">
        <v>82</v>
      </c>
    </row>
    <row r="49" customFormat="false" ht="15" hidden="false" customHeight="false" outlineLevel="0" collapsed="false">
      <c r="B49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18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7" t="s">
        <v>7</v>
      </c>
    </row>
    <row r="2" customFormat="false" ht="15" hidden="false" customHeight="false" outlineLevel="0" collapsed="false">
      <c r="A2" s="3" t="s">
        <v>84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9" t="s">
        <v>86</v>
      </c>
      <c r="B5" s="9"/>
      <c r="C5" s="9"/>
      <c r="D5" s="9"/>
      <c r="E5" s="9"/>
      <c r="F5" s="9"/>
      <c r="G5" s="9"/>
      <c r="H5" s="9"/>
      <c r="I5" s="9"/>
    </row>
    <row r="6" customFormat="false" ht="31.5" hidden="false" customHeight="true" outlineLevel="0" collapsed="false">
      <c r="A6" s="10" t="s">
        <v>87</v>
      </c>
      <c r="B6" s="10"/>
      <c r="C6" s="11" t="s">
        <v>88</v>
      </c>
      <c r="D6" s="11"/>
      <c r="E6" s="11"/>
      <c r="F6" s="11"/>
      <c r="G6" s="11"/>
      <c r="H6" s="11"/>
      <c r="I6" s="11"/>
    </row>
    <row r="8" customFormat="false" ht="30" hidden="false" customHeight="true" outlineLevel="0" collapsed="false">
      <c r="A8" s="12" t="s">
        <v>89</v>
      </c>
      <c r="B8" s="12" t="s">
        <v>90</v>
      </c>
      <c r="C8" s="12"/>
      <c r="D8" s="12" t="s">
        <v>91</v>
      </c>
      <c r="E8" s="12" t="s">
        <v>92</v>
      </c>
    </row>
    <row r="9" customFormat="false" ht="15" hidden="false" customHeight="true" outlineLevel="0" collapsed="false">
      <c r="A9" s="13" t="s">
        <v>93</v>
      </c>
      <c r="B9" s="14" t="s">
        <v>94</v>
      </c>
      <c r="C9" s="14"/>
      <c r="D9" s="11" t="s">
        <v>95</v>
      </c>
      <c r="E9" s="11"/>
    </row>
    <row r="10" customFormat="false" ht="15" hidden="false" customHeight="true" outlineLevel="0" collapsed="false">
      <c r="A10" s="13" t="s">
        <v>96</v>
      </c>
      <c r="B10" s="14" t="s">
        <v>97</v>
      </c>
      <c r="C10" s="14"/>
      <c r="D10" s="11" t="s">
        <v>98</v>
      </c>
      <c r="E10" s="11"/>
    </row>
    <row r="11" customFormat="false" ht="15" hidden="false" customHeight="false" outlineLevel="0" collapsed="false">
      <c r="A11" s="13" t="s">
        <v>99</v>
      </c>
      <c r="B11" s="14"/>
      <c r="C11" s="14"/>
      <c r="D11" s="11"/>
      <c r="E11" s="11"/>
    </row>
    <row r="12" customFormat="false" ht="15" hidden="false" customHeight="false" outlineLevel="0" collapsed="false">
      <c r="A12" s="13" t="s">
        <v>100</v>
      </c>
      <c r="B12" s="14"/>
      <c r="C12" s="14"/>
      <c r="D12" s="11"/>
      <c r="E12" s="11"/>
    </row>
    <row r="13" customFormat="false" ht="15" hidden="false" customHeight="false" outlineLevel="0" collapsed="false">
      <c r="A13" s="13" t="s">
        <v>101</v>
      </c>
      <c r="B13" s="14"/>
      <c r="C13" s="14"/>
      <c r="D13" s="11"/>
      <c r="E13" s="11"/>
    </row>
    <row r="15" customFormat="false" ht="30" hidden="false" customHeight="true" outlineLevel="0" collapsed="false">
      <c r="A15" s="12" t="s">
        <v>89</v>
      </c>
      <c r="B15" s="12" t="s">
        <v>102</v>
      </c>
      <c r="C15" s="12"/>
      <c r="D15" s="12" t="s">
        <v>103</v>
      </c>
      <c r="E15" s="12" t="s">
        <v>104</v>
      </c>
      <c r="F15" s="12" t="s">
        <v>91</v>
      </c>
    </row>
    <row r="16" customFormat="false" ht="15" hidden="false" customHeight="true" outlineLevel="0" collapsed="false">
      <c r="A16" s="13" t="s">
        <v>105</v>
      </c>
      <c r="B16" s="14" t="s">
        <v>106</v>
      </c>
      <c r="C16" s="14"/>
      <c r="D16" s="11" t="s">
        <v>107</v>
      </c>
      <c r="E16" s="11"/>
      <c r="F16" s="11" t="s">
        <v>108</v>
      </c>
    </row>
    <row r="17" customFormat="false" ht="15" hidden="false" customHeight="true" outlineLevel="0" collapsed="false">
      <c r="A17" s="13" t="s">
        <v>109</v>
      </c>
      <c r="B17" s="14" t="s">
        <v>110</v>
      </c>
      <c r="C17" s="14"/>
      <c r="D17" s="11" t="s">
        <v>111</v>
      </c>
      <c r="E17" s="11" t="s">
        <v>112</v>
      </c>
      <c r="F17" s="11" t="s">
        <v>108</v>
      </c>
    </row>
    <row r="18" customFormat="false" ht="15" hidden="false" customHeight="true" outlineLevel="0" collapsed="false">
      <c r="A18" s="13" t="s">
        <v>113</v>
      </c>
      <c r="B18" s="14" t="s">
        <v>114</v>
      </c>
      <c r="C18" s="14"/>
      <c r="D18" s="11" t="s">
        <v>115</v>
      </c>
      <c r="E18" s="11"/>
      <c r="F18" s="11" t="s">
        <v>116</v>
      </c>
    </row>
    <row r="19" customFormat="false" ht="15" hidden="false" customHeight="false" outlineLevel="0" collapsed="false">
      <c r="A19" s="13" t="s">
        <v>117</v>
      </c>
      <c r="B19" s="14"/>
      <c r="C19" s="14"/>
      <c r="D19" s="11"/>
      <c r="E19" s="11"/>
      <c r="F19" s="11"/>
    </row>
    <row r="20" customFormat="false" ht="15" hidden="false" customHeight="false" outlineLevel="0" collapsed="false">
      <c r="A20" s="13" t="s">
        <v>118</v>
      </c>
      <c r="B20" s="14"/>
      <c r="C20" s="14"/>
      <c r="D20" s="11"/>
      <c r="E20" s="11"/>
      <c r="F20" s="11"/>
    </row>
    <row r="22" customFormat="false" ht="30" hidden="false" customHeight="true" outlineLevel="0" collapsed="false">
      <c r="A22" s="12" t="s">
        <v>89</v>
      </c>
      <c r="B22" s="12" t="s">
        <v>119</v>
      </c>
      <c r="C22" s="12"/>
      <c r="D22" s="12" t="s">
        <v>120</v>
      </c>
    </row>
    <row r="23" customFormat="false" ht="15" hidden="false" customHeight="true" outlineLevel="0" collapsed="false">
      <c r="A23" s="13" t="s">
        <v>121</v>
      </c>
      <c r="B23" s="14" t="s">
        <v>122</v>
      </c>
      <c r="C23" s="14"/>
      <c r="D23" s="11" t="s">
        <v>123</v>
      </c>
    </row>
    <row r="24" customFormat="false" ht="15" hidden="false" customHeight="false" outlineLevel="0" collapsed="false">
      <c r="A24" s="13" t="s">
        <v>124</v>
      </c>
      <c r="B24" s="14"/>
      <c r="C24" s="14"/>
      <c r="D24" s="11"/>
    </row>
    <row r="25" customFormat="false" ht="15" hidden="false" customHeight="false" outlineLevel="0" collapsed="false">
      <c r="A25" s="13" t="s">
        <v>125</v>
      </c>
      <c r="B25" s="14"/>
      <c r="C25" s="14"/>
      <c r="D25" s="11"/>
    </row>
    <row r="26" customFormat="false" ht="15" hidden="false" customHeight="false" outlineLevel="0" collapsed="false">
      <c r="A26" s="13" t="s">
        <v>126</v>
      </c>
      <c r="B26" s="14"/>
      <c r="C26" s="14"/>
      <c r="D26" s="11"/>
    </row>
    <row r="27" customFormat="false" ht="15" hidden="false" customHeight="false" outlineLevel="0" collapsed="false">
      <c r="A27" s="13" t="s">
        <v>127</v>
      </c>
      <c r="B27" s="14"/>
      <c r="C27" s="14"/>
      <c r="D27" s="11"/>
    </row>
    <row r="29" customFormat="false" ht="15" hidden="false" customHeight="true" outlineLevel="0" collapsed="false">
      <c r="A29" s="9" t="s">
        <v>128</v>
      </c>
      <c r="B29" s="9"/>
      <c r="C29" s="9"/>
      <c r="D29" s="9"/>
      <c r="E29" s="9"/>
      <c r="F29" s="9"/>
      <c r="G29" s="9"/>
      <c r="H29" s="9"/>
      <c r="I29" s="9"/>
    </row>
    <row r="30" customFormat="false" ht="30" hidden="false" customHeight="true" outlineLevel="0" collapsed="false">
      <c r="A30" s="12" t="s">
        <v>89</v>
      </c>
      <c r="B30" s="12" t="s">
        <v>129</v>
      </c>
      <c r="C30" s="12" t="s">
        <v>130</v>
      </c>
      <c r="D30" s="12" t="s">
        <v>131</v>
      </c>
      <c r="E30" s="12" t="s">
        <v>132</v>
      </c>
      <c r="F30" s="12" t="s">
        <v>133</v>
      </c>
      <c r="G30" s="12" t="s">
        <v>134</v>
      </c>
      <c r="H30" s="12" t="s">
        <v>135</v>
      </c>
      <c r="I30" s="12" t="s">
        <v>136</v>
      </c>
    </row>
    <row r="31" customFormat="false" ht="42" hidden="false" customHeight="true" outlineLevel="0" collapsed="false">
      <c r="A31" s="4" t="s">
        <v>137</v>
      </c>
      <c r="B31" s="5" t="s">
        <v>138</v>
      </c>
      <c r="C31" s="5" t="s">
        <v>139</v>
      </c>
      <c r="D31" s="11" t="s">
        <v>140</v>
      </c>
      <c r="E31" s="11" t="s">
        <v>141</v>
      </c>
      <c r="F31" s="11" t="s">
        <v>142</v>
      </c>
      <c r="G31" s="11" t="s">
        <v>111</v>
      </c>
      <c r="H31" s="11" t="s">
        <v>143</v>
      </c>
      <c r="I31" s="11"/>
    </row>
    <row r="32" customFormat="false" ht="42" hidden="false" customHeight="true" outlineLevel="0" collapsed="false">
      <c r="A32" s="4" t="s">
        <v>144</v>
      </c>
      <c r="B32" s="5" t="s">
        <v>138</v>
      </c>
      <c r="C32" s="5" t="s">
        <v>145</v>
      </c>
      <c r="D32" s="11"/>
      <c r="E32" s="11"/>
      <c r="F32" s="11"/>
      <c r="G32" s="11"/>
      <c r="H32" s="11"/>
      <c r="I32" s="11"/>
    </row>
    <row r="33" customFormat="false" ht="42" hidden="false" customHeight="true" outlineLevel="0" collapsed="false">
      <c r="A33" s="4" t="s">
        <v>146</v>
      </c>
      <c r="B33" s="5" t="s">
        <v>147</v>
      </c>
      <c r="C33" s="5" t="s">
        <v>148</v>
      </c>
      <c r="D33" s="11" t="s">
        <v>149</v>
      </c>
      <c r="E33" s="11"/>
      <c r="F33" s="11" t="s">
        <v>150</v>
      </c>
      <c r="G33" s="11" t="s">
        <v>151</v>
      </c>
      <c r="H33" s="11" t="s">
        <v>152</v>
      </c>
      <c r="I33" s="11"/>
    </row>
    <row r="34" customFormat="false" ht="42" hidden="false" customHeight="true" outlineLevel="0" collapsed="false">
      <c r="A34" s="4" t="s">
        <v>153</v>
      </c>
      <c r="B34" s="5" t="s">
        <v>154</v>
      </c>
      <c r="C34" s="5" t="s">
        <v>155</v>
      </c>
      <c r="D34" s="11"/>
      <c r="E34" s="11"/>
      <c r="F34" s="11"/>
      <c r="G34" s="11"/>
      <c r="H34" s="11"/>
      <c r="I34" s="11"/>
    </row>
    <row r="35" customFormat="false" ht="42" hidden="false" customHeight="true" outlineLevel="0" collapsed="false">
      <c r="A35" s="4" t="s">
        <v>156</v>
      </c>
      <c r="B35" s="5" t="s">
        <v>157</v>
      </c>
      <c r="C35" s="5" t="s">
        <v>158</v>
      </c>
      <c r="D35" s="11" t="s">
        <v>159</v>
      </c>
      <c r="E35" s="11"/>
      <c r="F35" s="11" t="s">
        <v>160</v>
      </c>
      <c r="G35" s="11" t="s">
        <v>161</v>
      </c>
      <c r="H35" s="11" t="s">
        <v>143</v>
      </c>
      <c r="I35" s="11"/>
    </row>
    <row r="36" customFormat="false" ht="42" hidden="false" customHeight="true" outlineLevel="0" collapsed="false">
      <c r="A36" s="4" t="s">
        <v>162</v>
      </c>
      <c r="B36" s="5" t="s">
        <v>163</v>
      </c>
      <c r="C36" s="5" t="s">
        <v>164</v>
      </c>
      <c r="D36" s="11"/>
      <c r="E36" s="11"/>
      <c r="F36" s="11"/>
      <c r="G36" s="11"/>
      <c r="H36" s="11"/>
      <c r="I36" s="11"/>
    </row>
    <row r="37" customFormat="false" ht="42" hidden="false" customHeight="true" outlineLevel="0" collapsed="false">
      <c r="A37" s="4" t="s">
        <v>165</v>
      </c>
      <c r="B37" s="5" t="s">
        <v>166</v>
      </c>
      <c r="C37" s="5" t="s">
        <v>167</v>
      </c>
      <c r="D37" s="11"/>
      <c r="E37" s="11"/>
      <c r="F37" s="11"/>
      <c r="G37" s="11"/>
      <c r="H37" s="11"/>
      <c r="I37" s="11"/>
    </row>
    <row r="38" customFormat="false" ht="42" hidden="false" customHeight="true" outlineLevel="0" collapsed="false">
      <c r="A38" s="4" t="s">
        <v>168</v>
      </c>
      <c r="B38" s="5" t="s">
        <v>169</v>
      </c>
      <c r="C38" s="5" t="s">
        <v>170</v>
      </c>
      <c r="D38" s="11"/>
      <c r="E38" s="11"/>
      <c r="F38" s="11"/>
      <c r="G38" s="11"/>
      <c r="H38" s="11"/>
      <c r="I38" s="11"/>
    </row>
    <row r="39" customFormat="false" ht="42" hidden="false" customHeight="true" outlineLevel="0" collapsed="false">
      <c r="A39" s="4" t="s">
        <v>171</v>
      </c>
      <c r="B39" s="5" t="s">
        <v>172</v>
      </c>
      <c r="C39" s="5" t="s">
        <v>173</v>
      </c>
      <c r="D39" s="11"/>
      <c r="E39" s="11"/>
      <c r="F39" s="11"/>
      <c r="G39" s="11"/>
      <c r="H39" s="11"/>
      <c r="I39" s="11"/>
    </row>
    <row r="41" customFormat="false" ht="15" hidden="false" customHeight="true" outlineLevel="0" collapsed="false">
      <c r="A41" s="9" t="s">
        <v>174</v>
      </c>
      <c r="B41" s="9"/>
      <c r="C41" s="9"/>
      <c r="D41" s="9"/>
      <c r="E41" s="9"/>
      <c r="F41" s="9"/>
      <c r="G41" s="9"/>
      <c r="H41" s="9"/>
      <c r="I41" s="9"/>
    </row>
    <row r="42" customFormat="false" ht="30" hidden="false" customHeight="true" outlineLevel="0" collapsed="false">
      <c r="A42" s="12" t="s">
        <v>89</v>
      </c>
      <c r="B42" s="12" t="s">
        <v>129</v>
      </c>
      <c r="C42" s="12" t="s">
        <v>130</v>
      </c>
      <c r="D42" s="12" t="s">
        <v>131</v>
      </c>
      <c r="E42" s="12" t="s">
        <v>132</v>
      </c>
      <c r="F42" s="12" t="s">
        <v>133</v>
      </c>
      <c r="G42" s="12" t="s">
        <v>134</v>
      </c>
      <c r="H42" s="12" t="s">
        <v>135</v>
      </c>
      <c r="I42" s="12" t="s">
        <v>136</v>
      </c>
    </row>
    <row r="43" customFormat="false" ht="30" hidden="false" customHeight="true" outlineLevel="0" collapsed="false">
      <c r="A43" s="4" t="s">
        <v>175</v>
      </c>
      <c r="B43" s="11" t="s">
        <v>154</v>
      </c>
      <c r="C43" s="11" t="s">
        <v>176</v>
      </c>
      <c r="D43" s="11" t="s">
        <v>177</v>
      </c>
      <c r="E43" s="11"/>
      <c r="F43" s="11"/>
      <c r="G43" s="11"/>
      <c r="H43" s="11" t="s">
        <v>143</v>
      </c>
      <c r="I43" s="11"/>
    </row>
    <row r="44" customFormat="false" ht="30" hidden="false" customHeight="true" outlineLevel="0" collapsed="false">
      <c r="A44" s="4" t="s">
        <v>178</v>
      </c>
      <c r="B44" s="11"/>
      <c r="C44" s="11"/>
      <c r="D44" s="11"/>
      <c r="E44" s="11"/>
      <c r="F44" s="11"/>
      <c r="G44" s="11"/>
      <c r="H44" s="11"/>
      <c r="I44" s="11"/>
    </row>
    <row r="45" customFormat="false" ht="30" hidden="false" customHeight="true" outlineLevel="0" collapsed="false">
      <c r="A45" s="4" t="s">
        <v>179</v>
      </c>
      <c r="B45" s="11"/>
      <c r="C45" s="11"/>
      <c r="D45" s="11"/>
      <c r="E45" s="11"/>
      <c r="F45" s="11"/>
      <c r="G45" s="11"/>
      <c r="H45" s="11"/>
      <c r="I45" s="11"/>
    </row>
    <row r="46" customFormat="false" ht="30" hidden="false" customHeight="true" outlineLevel="0" collapsed="false">
      <c r="A46" s="4" t="s">
        <v>180</v>
      </c>
      <c r="B46" s="11"/>
      <c r="C46" s="11"/>
      <c r="D46" s="11"/>
      <c r="E46" s="11"/>
      <c r="F46" s="11"/>
      <c r="G46" s="11"/>
      <c r="H46" s="11"/>
      <c r="I46" s="11"/>
    </row>
    <row r="47" customFormat="false" ht="30" hidden="false" customHeight="true" outlineLevel="0" collapsed="false">
      <c r="A47" s="4" t="s">
        <v>181</v>
      </c>
      <c r="B47" s="11"/>
      <c r="C47" s="11"/>
      <c r="D47" s="11"/>
      <c r="E47" s="11"/>
      <c r="F47" s="11"/>
      <c r="G47" s="11"/>
      <c r="H47" s="11"/>
      <c r="I47" s="11"/>
    </row>
    <row r="48" customFormat="false" ht="30" hidden="false" customHeight="true" outlineLevel="0" collapsed="false">
      <c r="A48" s="4" t="s">
        <v>182</v>
      </c>
      <c r="B48" s="11"/>
      <c r="C48" s="11"/>
      <c r="D48" s="11"/>
      <c r="E48" s="11"/>
      <c r="F48" s="11"/>
      <c r="G48" s="11"/>
      <c r="H48" s="11"/>
      <c r="I48" s="11"/>
    </row>
    <row r="49" customFormat="false" ht="30" hidden="false" customHeight="true" outlineLevel="0" collapsed="false">
      <c r="A49" s="4" t="s">
        <v>183</v>
      </c>
      <c r="B49" s="11"/>
      <c r="C49" s="11"/>
      <c r="D49" s="11"/>
      <c r="E49" s="11"/>
      <c r="F49" s="11"/>
      <c r="G49" s="11"/>
      <c r="H49" s="11"/>
      <c r="I49" s="11"/>
    </row>
    <row r="50" customFormat="false" ht="30" hidden="false" customHeight="true" outlineLevel="0" collapsed="false">
      <c r="A50" s="4" t="s">
        <v>184</v>
      </c>
      <c r="B50" s="11"/>
      <c r="C50" s="11"/>
      <c r="D50" s="11"/>
      <c r="E50" s="11"/>
      <c r="F50" s="11"/>
      <c r="G50" s="11"/>
      <c r="H50" s="11"/>
      <c r="I50" s="11"/>
    </row>
    <row r="52" customFormat="false" ht="15" hidden="false" customHeight="true" outlineLevel="0" collapsed="false">
      <c r="A52" s="9" t="s">
        <v>185</v>
      </c>
      <c r="B52" s="9"/>
      <c r="C52" s="9"/>
      <c r="D52" s="9"/>
      <c r="E52" s="9"/>
      <c r="F52" s="9"/>
      <c r="G52" s="9"/>
      <c r="H52" s="9"/>
      <c r="I52" s="9"/>
    </row>
    <row r="53" customFormat="false" ht="30" hidden="false" customHeight="true" outlineLevel="0" collapsed="false">
      <c r="A53" s="12" t="s">
        <v>89</v>
      </c>
      <c r="B53" s="12" t="s">
        <v>186</v>
      </c>
      <c r="C53" s="12"/>
      <c r="D53" s="12" t="s">
        <v>187</v>
      </c>
      <c r="E53" s="12" t="s">
        <v>188</v>
      </c>
      <c r="F53" s="12"/>
      <c r="G53" s="12"/>
      <c r="H53" s="12"/>
      <c r="I53" s="12"/>
    </row>
    <row r="54" customFormat="false" ht="15" hidden="false" customHeight="true" outlineLevel="0" collapsed="false">
      <c r="A54" s="4" t="s">
        <v>189</v>
      </c>
      <c r="B54" s="14" t="s">
        <v>190</v>
      </c>
      <c r="C54" s="14"/>
      <c r="D54" s="11" t="s">
        <v>156</v>
      </c>
      <c r="E54" s="14" t="s">
        <v>191</v>
      </c>
      <c r="F54" s="14"/>
      <c r="G54" s="14"/>
      <c r="H54" s="14"/>
      <c r="I54" s="14"/>
    </row>
    <row r="55" customFormat="false" ht="15" hidden="false" customHeight="true" outlineLevel="0" collapsed="false">
      <c r="A55" s="4" t="s">
        <v>192</v>
      </c>
      <c r="B55" s="14" t="s">
        <v>193</v>
      </c>
      <c r="C55" s="14"/>
      <c r="D55" s="11" t="s">
        <v>146</v>
      </c>
      <c r="E55" s="14" t="s">
        <v>194</v>
      </c>
      <c r="F55" s="14"/>
      <c r="G55" s="14"/>
      <c r="H55" s="14"/>
      <c r="I55" s="14"/>
    </row>
    <row r="56" customFormat="false" ht="15" hidden="false" customHeight="false" outlineLevel="0" collapsed="false">
      <c r="A56" s="4" t="s">
        <v>195</v>
      </c>
      <c r="B56" s="14"/>
      <c r="C56" s="14"/>
      <c r="D56" s="11"/>
      <c r="E56" s="14"/>
      <c r="F56" s="14"/>
      <c r="G56" s="14"/>
      <c r="H56" s="14"/>
      <c r="I56" s="14"/>
    </row>
    <row r="57" customFormat="false" ht="15" hidden="false" customHeight="false" outlineLevel="0" collapsed="false">
      <c r="A57" s="4" t="s">
        <v>196</v>
      </c>
      <c r="B57" s="14"/>
      <c r="C57" s="14"/>
      <c r="D57" s="11"/>
      <c r="E57" s="14"/>
      <c r="F57" s="14"/>
      <c r="G57" s="14"/>
      <c r="H57" s="14"/>
      <c r="I57" s="14"/>
    </row>
    <row r="58" customFormat="false" ht="15" hidden="false" customHeight="false" outlineLevel="0" collapsed="false">
      <c r="A58" s="4" t="s">
        <v>197</v>
      </c>
      <c r="B58" s="14"/>
      <c r="C58" s="14"/>
      <c r="D58" s="11"/>
      <c r="E58" s="14"/>
      <c r="F58" s="14"/>
      <c r="G58" s="14"/>
      <c r="H58" s="14"/>
      <c r="I58" s="14"/>
    </row>
    <row r="60" customFormat="false" ht="23.85" hidden="false" customHeight="true" outlineLevel="0" collapsed="false">
      <c r="A60" s="9" t="s">
        <v>198</v>
      </c>
      <c r="B60" s="9"/>
      <c r="C60" s="15" t="str">
        <f aca="false">COUNTA(D31:D39)&amp;" of 9 required questions answered; "&amp;COUNTA(C43:C50)&amp;" of the team's own questions recorded"</f>
        <v>3 of 9 required questions answered; 1 of the team's own questions recorded</v>
      </c>
      <c r="D60" s="16" t="str">
        <f aca="false">IF(COUNTA(D31:D39)=9,"Complete",IF(COUNTA(D31:D39)&gt;=6,"Nearly there","Keep going"))</f>
        <v>Keep going</v>
      </c>
    </row>
    <row r="61" customFormat="false" ht="15" hidden="false" customHeight="true" outlineLevel="0" collapsed="false">
      <c r="A61" s="10" t="s">
        <v>199</v>
      </c>
      <c r="B61" s="10"/>
      <c r="C61" s="10"/>
      <c r="D61" s="10"/>
      <c r="E61" s="10"/>
      <c r="F61" s="10"/>
      <c r="G61" s="10"/>
      <c r="H61" s="10"/>
      <c r="I61" s="10"/>
    </row>
  </sheetData>
  <mergeCells count="38">
    <mergeCell ref="A5:I5"/>
    <mergeCell ref="A6:B6"/>
    <mergeCell ref="C6:I6"/>
    <mergeCell ref="B8:C8"/>
    <mergeCell ref="B9:C9"/>
    <mergeCell ref="B10:C10"/>
    <mergeCell ref="B11:C11"/>
    <mergeCell ref="B12:C12"/>
    <mergeCell ref="B13:C13"/>
    <mergeCell ref="B15:C15"/>
    <mergeCell ref="B16:C16"/>
    <mergeCell ref="B17:C17"/>
    <mergeCell ref="B18:C18"/>
    <mergeCell ref="B19:C19"/>
    <mergeCell ref="B20:C20"/>
    <mergeCell ref="B22:C22"/>
    <mergeCell ref="B23:C23"/>
    <mergeCell ref="B24:C24"/>
    <mergeCell ref="B25:C25"/>
    <mergeCell ref="B26:C26"/>
    <mergeCell ref="B27:C27"/>
    <mergeCell ref="A29:I29"/>
    <mergeCell ref="A41:I41"/>
    <mergeCell ref="A52:I52"/>
    <mergeCell ref="B53:C53"/>
    <mergeCell ref="E53:I53"/>
    <mergeCell ref="B54:C54"/>
    <mergeCell ref="E54:I54"/>
    <mergeCell ref="B55:C55"/>
    <mergeCell ref="E55:I55"/>
    <mergeCell ref="B56:C56"/>
    <mergeCell ref="E56:I56"/>
    <mergeCell ref="B57:C57"/>
    <mergeCell ref="E57:I57"/>
    <mergeCell ref="B58:C58"/>
    <mergeCell ref="E58:I58"/>
    <mergeCell ref="A60:B60"/>
    <mergeCell ref="A61:I61"/>
  </mergeCells>
  <conditionalFormatting sqref="D60">
    <cfRule type="expression" priority="2" aboveAverage="0" equalAverage="0" bottom="0" percent="0" rank="0" text="" dxfId="0">
      <formula>D60="Complete"</formula>
    </cfRule>
    <cfRule type="expression" priority="3" aboveAverage="0" equalAverage="0" bottom="0" percent="0" rank="0" text="" dxfId="1">
      <formula>D60="Nearly there"</formula>
    </cfRule>
    <cfRule type="expression" priority="4" aboveAverage="0" equalAverage="0" bottom="0" percent="0" rank="0" text="" dxfId="2">
      <formula>D60="Keep going"</formula>
    </cfRule>
  </conditionalFormatting>
  <dataValidations count="9">
    <dataValidation allowBlank="true" errorStyle="stop" operator="between" showDropDown="false" showErrorMessage="false" showInputMessage="false" sqref="D16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D17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D18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D19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D20" type="list">
      <formula1>"EPS,ROE,Stock price,Credit rating,Image rating,Market share,Cost per unit,Other"</formula1>
      <formula2>0</formula2>
    </dataValidation>
    <dataValidation allowBlank="true" errorStyle="stop" operator="between" showDropDown="false" showErrorMessage="false" showInputMessage="false" sqref="G31:G39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G43:G50" type="list">
      <formula1>"EPS,ROE,Stock price,Credit rating,Image rating,Product design,Marketing,Operations,Compensation,CSR,Finance,Whole strategy"</formula1>
      <formula2>0</formula2>
    </dataValidation>
    <dataValidation allowBlank="true" errorStyle="stop" operator="between" showDropDown="false" showErrorMessage="false" showInputMessage="false" sqref="H31:H39" type="list">
      <formula1>"Stated,Implied,Our interpretation,Not asked yet"</formula1>
      <formula2>0</formula2>
    </dataValidation>
    <dataValidation allowBlank="true" errorStyle="stop" operator="between" showDropDown="false" showErrorMessage="false" showInputMessage="false" sqref="H43:H50" type="list">
      <formula1>"Stated,Implied,Our interpretation,Not asked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7" t="s">
        <v>200</v>
      </c>
    </row>
    <row r="2" customFormat="false" ht="15" hidden="false" customHeight="false" outlineLevel="0" collapsed="false">
      <c r="A2" s="3" t="s">
        <v>201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202</v>
      </c>
    </row>
    <row r="6" customFormat="false" ht="15" hidden="false" customHeight="true" outlineLevel="0" collapsed="false">
      <c r="A6" s="5" t="s">
        <v>203</v>
      </c>
      <c r="B6" s="11" t="s">
        <v>204</v>
      </c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5" t="s">
        <v>205</v>
      </c>
      <c r="B7" s="11" t="s">
        <v>206</v>
      </c>
      <c r="C7" s="11"/>
      <c r="D7" s="11"/>
      <c r="E7" s="11"/>
      <c r="F7" s="11"/>
      <c r="G7" s="11"/>
      <c r="H7" s="11"/>
    </row>
    <row r="8" customFormat="false" ht="15" hidden="false" customHeight="true" outlineLevel="0" collapsed="false">
      <c r="A8" s="5" t="s">
        <v>207</v>
      </c>
      <c r="B8" s="11" t="s">
        <v>208</v>
      </c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5" t="s">
        <v>209</v>
      </c>
      <c r="B9" s="11" t="s">
        <v>210</v>
      </c>
      <c r="C9" s="11"/>
      <c r="D9" s="11"/>
      <c r="E9" s="11"/>
      <c r="F9" s="11"/>
      <c r="G9" s="11"/>
      <c r="H9" s="11"/>
    </row>
    <row r="10" customFormat="false" ht="15" hidden="false" customHeight="true" outlineLevel="0" collapsed="false">
      <c r="A10" s="5" t="s">
        <v>211</v>
      </c>
      <c r="B10" s="11" t="s">
        <v>212</v>
      </c>
      <c r="C10" s="11"/>
      <c r="D10" s="11"/>
      <c r="E10" s="11"/>
      <c r="F10" s="11"/>
      <c r="G10" s="11"/>
      <c r="H10" s="11"/>
    </row>
    <row r="11" customFormat="false" ht="15" hidden="false" customHeight="true" outlineLevel="0" collapsed="false">
      <c r="A11" s="5" t="s">
        <v>213</v>
      </c>
      <c r="B11" s="11" t="s">
        <v>214</v>
      </c>
      <c r="C11" s="11"/>
      <c r="D11" s="11"/>
      <c r="E11" s="11"/>
      <c r="F11" s="11"/>
      <c r="G11" s="11"/>
      <c r="H11" s="11"/>
    </row>
    <row r="13" customFormat="false" ht="15" hidden="false" customHeight="false" outlineLevel="0" collapsed="false">
      <c r="A13" s="17" t="s">
        <v>215</v>
      </c>
    </row>
    <row r="14" customFormat="false" ht="30" hidden="false" customHeight="true" outlineLevel="0" collapsed="false">
      <c r="A14" s="12" t="s">
        <v>216</v>
      </c>
      <c r="B14" s="12" t="s">
        <v>217</v>
      </c>
      <c r="C14" s="12" t="s">
        <v>218</v>
      </c>
      <c r="D14" s="12" t="s">
        <v>219</v>
      </c>
      <c r="E14" s="12" t="s">
        <v>220</v>
      </c>
      <c r="F14" s="12" t="s">
        <v>221</v>
      </c>
    </row>
    <row r="15" customFormat="false" ht="15" hidden="false" customHeight="false" outlineLevel="0" collapsed="false">
      <c r="A15" s="11" t="n">
        <v>21</v>
      </c>
      <c r="B15" s="11" t="s">
        <v>222</v>
      </c>
      <c r="C15" s="11" t="n">
        <v>2026</v>
      </c>
      <c r="D15" s="11" t="s">
        <v>223</v>
      </c>
      <c r="E15" s="11" t="s">
        <v>224</v>
      </c>
      <c r="F15" s="11" t="s">
        <v>225</v>
      </c>
    </row>
    <row r="16" customFormat="false" ht="15" hidden="false" customHeight="false" outlineLevel="0" collapsed="false">
      <c r="A16" s="11" t="n">
        <v>14</v>
      </c>
      <c r="B16" s="11" t="s">
        <v>222</v>
      </c>
      <c r="C16" s="11" t="n">
        <v>2026</v>
      </c>
      <c r="D16" s="11" t="s">
        <v>226</v>
      </c>
      <c r="E16" s="11" t="s">
        <v>227</v>
      </c>
      <c r="F16" s="11" t="s">
        <v>228</v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</row>
    <row r="21" customFormat="false" ht="15" hidden="false" customHeight="false" outlineLevel="0" collapsed="false">
      <c r="A21" s="17" t="s">
        <v>229</v>
      </c>
    </row>
    <row r="22" customFormat="false" ht="15" hidden="false" customHeight="false" outlineLevel="0" collapsed="false">
      <c r="A22" s="5" t="s">
        <v>230</v>
      </c>
      <c r="B22" s="18"/>
    </row>
    <row r="23" customFormat="false" ht="15" hidden="false" customHeight="false" outlineLevel="0" collapsed="false">
      <c r="A23" s="5" t="s">
        <v>231</v>
      </c>
      <c r="B23" s="18"/>
    </row>
    <row r="24" customFormat="false" ht="15" hidden="false" customHeight="false" outlineLevel="0" collapsed="false">
      <c r="A24" s="5" t="s">
        <v>232</v>
      </c>
      <c r="B24" s="19"/>
    </row>
    <row r="25" customFormat="false" ht="15" hidden="false" customHeight="false" outlineLevel="0" collapsed="false">
      <c r="A25" s="20" t="s">
        <v>233</v>
      </c>
      <c r="B25" s="21" t="str">
        <f aca="false">IFERROR((B23/B22)^(1/B24)-1,"")</f>
        <v/>
      </c>
    </row>
    <row r="27" customFormat="false" ht="30" hidden="false" customHeight="true" outlineLevel="0" collapsed="false">
      <c r="A27" s="12" t="s">
        <v>234</v>
      </c>
      <c r="B27" s="12" t="s">
        <v>233</v>
      </c>
      <c r="C27" s="12" t="s">
        <v>235</v>
      </c>
      <c r="D27" s="12" t="s">
        <v>236</v>
      </c>
    </row>
    <row r="28" customFormat="false" ht="15" hidden="false" customHeight="false" outlineLevel="0" collapsed="false">
      <c r="A28" s="11" t="s">
        <v>223</v>
      </c>
      <c r="B28" s="22" t="n">
        <v>0.14</v>
      </c>
      <c r="C28" s="19" t="n">
        <v>2030</v>
      </c>
      <c r="D28" s="11" t="s">
        <v>237</v>
      </c>
    </row>
    <row r="29" customFormat="false" ht="15" hidden="false" customHeight="false" outlineLevel="0" collapsed="false">
      <c r="A29" s="11" t="s">
        <v>238</v>
      </c>
      <c r="B29" s="22" t="n">
        <v>0.11</v>
      </c>
      <c r="C29" s="19" t="n">
        <v>2030</v>
      </c>
      <c r="D29" s="11" t="s">
        <v>237</v>
      </c>
    </row>
    <row r="30" customFormat="false" ht="15" hidden="false" customHeight="false" outlineLevel="0" collapsed="false">
      <c r="A30" s="11"/>
      <c r="B30" s="22"/>
      <c r="C30" s="19"/>
      <c r="D30" s="11"/>
    </row>
    <row r="31" customFormat="false" ht="15" hidden="false" customHeight="false" outlineLevel="0" collapsed="false">
      <c r="A31" s="11"/>
      <c r="B31" s="22"/>
      <c r="C31" s="19"/>
      <c r="D31" s="11"/>
    </row>
    <row r="33" customFormat="false" ht="15" hidden="false" customHeight="false" outlineLevel="0" collapsed="false">
      <c r="A33" s="17" t="s">
        <v>239</v>
      </c>
    </row>
    <row r="34" customFormat="false" ht="30" hidden="false" customHeight="true" outlineLevel="0" collapsed="false">
      <c r="A34" s="12" t="s">
        <v>240</v>
      </c>
      <c r="B34" s="12" t="s">
        <v>241</v>
      </c>
      <c r="C34" s="12" t="s">
        <v>242</v>
      </c>
      <c r="D34" s="12" t="s">
        <v>243</v>
      </c>
    </row>
    <row r="35" customFormat="false" ht="23.85" hidden="false" customHeight="false" outlineLevel="0" collapsed="false">
      <c r="A35" s="11" t="s">
        <v>244</v>
      </c>
      <c r="B35" s="11" t="n">
        <v>0.34</v>
      </c>
      <c r="C35" s="11" t="s">
        <v>245</v>
      </c>
      <c r="D35" s="11" t="s">
        <v>246</v>
      </c>
    </row>
    <row r="36" customFormat="false" ht="15" hidden="false" customHeight="false" outlineLevel="0" collapsed="false">
      <c r="A36" s="11" t="s">
        <v>247</v>
      </c>
      <c r="B36" s="11" t="n">
        <v>0.38</v>
      </c>
      <c r="C36" s="11" t="s">
        <v>248</v>
      </c>
      <c r="D36" s="11" t="s">
        <v>249</v>
      </c>
    </row>
    <row r="37" customFormat="false" ht="23.85" hidden="false" customHeight="false" outlineLevel="0" collapsed="false">
      <c r="A37" s="11" t="s">
        <v>250</v>
      </c>
      <c r="B37" s="11" t="n">
        <v>0.18</v>
      </c>
      <c r="C37" s="11" t="s">
        <v>251</v>
      </c>
      <c r="D37" s="11" t="s">
        <v>252</v>
      </c>
    </row>
    <row r="38" customFormat="false" ht="23.85" hidden="false" customHeight="false" outlineLevel="0" collapsed="false">
      <c r="A38" s="11" t="s">
        <v>253</v>
      </c>
      <c r="B38" s="11" t="n">
        <v>0.1</v>
      </c>
      <c r="C38" s="11" t="s">
        <v>245</v>
      </c>
      <c r="D38" s="11" t="s">
        <v>254</v>
      </c>
    </row>
    <row r="39" customFormat="false" ht="15" hidden="false" customHeight="false" outlineLevel="0" collapsed="false">
      <c r="A39" s="11"/>
      <c r="B39" s="11"/>
      <c r="C39" s="11"/>
      <c r="D39" s="11"/>
    </row>
    <row r="41" customFormat="false" ht="15" hidden="false" customHeight="false" outlineLevel="0" collapsed="false">
      <c r="A41" s="17" t="s">
        <v>255</v>
      </c>
    </row>
    <row r="42" customFormat="false" ht="30" hidden="false" customHeight="true" outlineLevel="0" collapsed="false">
      <c r="A42" s="12" t="s">
        <v>256</v>
      </c>
      <c r="B42" s="12" t="s">
        <v>257</v>
      </c>
    </row>
    <row r="43" customFormat="false" ht="15" hidden="false" customHeight="false" outlineLevel="0" collapsed="false">
      <c r="A43" s="11" t="s">
        <v>214</v>
      </c>
      <c r="B43" s="22" t="n">
        <v>0.22</v>
      </c>
      <c r="D43" s="20" t="s">
        <v>258</v>
      </c>
      <c r="E43" s="21" t="n">
        <f aca="false">IF(COUNT(B43:B50)&lt;4,"",LARGE(B43:B50,1)+LARGE(B43:B50,2)+LARGE(B43:B50,3)+LARGE(B43:B50,4))</f>
        <v>0.48</v>
      </c>
    </row>
    <row r="44" customFormat="false" ht="15" hidden="false" customHeight="false" outlineLevel="0" collapsed="false">
      <c r="A44" s="11" t="s">
        <v>259</v>
      </c>
      <c r="B44" s="22" t="n">
        <v>0.11</v>
      </c>
      <c r="D44" s="20" t="s">
        <v>260</v>
      </c>
      <c r="E44" s="23" t="n">
        <f aca="false">IF(COUNT(B43:B50)=0,"",SUMPRODUCT(B43:B50*100,B43:B50*100))</f>
        <v>738</v>
      </c>
    </row>
    <row r="45" customFormat="false" ht="35.05" hidden="false" customHeight="false" outlineLevel="0" collapsed="false">
      <c r="A45" s="11" t="s">
        <v>261</v>
      </c>
      <c r="B45" s="22" t="n">
        <v>0.08</v>
      </c>
      <c r="D45" s="5" t="s">
        <v>262</v>
      </c>
    </row>
    <row r="46" customFormat="false" ht="15" hidden="false" customHeight="false" outlineLevel="0" collapsed="false">
      <c r="A46" s="11" t="s">
        <v>263</v>
      </c>
      <c r="B46" s="22" t="n">
        <v>0.07</v>
      </c>
    </row>
    <row r="47" customFormat="false" ht="15" hidden="false" customHeight="false" outlineLevel="0" collapsed="false">
      <c r="A47" s="11" t="s">
        <v>264</v>
      </c>
      <c r="B47" s="22" t="n">
        <v>0.04</v>
      </c>
    </row>
    <row r="48" customFormat="false" ht="15" hidden="false" customHeight="false" outlineLevel="0" collapsed="false">
      <c r="A48" s="11" t="s">
        <v>265</v>
      </c>
      <c r="B48" s="22" t="n">
        <v>0.02</v>
      </c>
    </row>
    <row r="49" customFormat="false" ht="15" hidden="false" customHeight="false" outlineLevel="0" collapsed="false">
      <c r="A49" s="11"/>
      <c r="B49" s="22"/>
    </row>
    <row r="50" customFormat="false" ht="15" hidden="false" customHeight="false" outlineLevel="0" collapsed="false">
      <c r="A50" s="11"/>
      <c r="B50" s="22"/>
    </row>
    <row r="52" customFormat="false" ht="15" hidden="false" customHeight="false" outlineLevel="0" collapsed="false">
      <c r="A52" s="17" t="s">
        <v>266</v>
      </c>
    </row>
    <row r="53" customFormat="false" ht="30" hidden="false" customHeight="true" outlineLevel="0" collapsed="false">
      <c r="A53" s="12" t="s">
        <v>218</v>
      </c>
      <c r="B53" s="12" t="s">
        <v>267</v>
      </c>
      <c r="C53" s="12" t="s">
        <v>268</v>
      </c>
    </row>
    <row r="54" customFormat="false" ht="23.85" hidden="false" customHeight="true" outlineLevel="0" collapsed="false">
      <c r="A54" s="19" t="n">
        <v>2020</v>
      </c>
      <c r="B54" s="11" t="s">
        <v>269</v>
      </c>
      <c r="C54" s="11" t="s">
        <v>270</v>
      </c>
      <c r="D54" s="11"/>
      <c r="E54" s="11"/>
      <c r="F54" s="11"/>
      <c r="G54" s="11"/>
      <c r="H54" s="11"/>
    </row>
    <row r="55" customFormat="false" ht="23.85" hidden="false" customHeight="true" outlineLevel="0" collapsed="false">
      <c r="A55" s="19" t="n">
        <v>2023</v>
      </c>
      <c r="B55" s="11" t="s">
        <v>271</v>
      </c>
      <c r="C55" s="11" t="s">
        <v>272</v>
      </c>
      <c r="D55" s="11"/>
      <c r="E55" s="11"/>
      <c r="F55" s="11"/>
      <c r="G55" s="11"/>
      <c r="H55" s="11"/>
    </row>
    <row r="56" customFormat="false" ht="23.85" hidden="false" customHeight="true" outlineLevel="0" collapsed="false">
      <c r="A56" s="19" t="n">
        <v>2024</v>
      </c>
      <c r="B56" s="11" t="s">
        <v>273</v>
      </c>
      <c r="C56" s="11" t="s">
        <v>274</v>
      </c>
      <c r="D56" s="11"/>
      <c r="E56" s="11"/>
      <c r="F56" s="11"/>
      <c r="G56" s="11"/>
      <c r="H56" s="11"/>
    </row>
    <row r="57" customFormat="false" ht="35.05" hidden="false" customHeight="true" outlineLevel="0" collapsed="false">
      <c r="A57" s="19" t="n">
        <v>2025</v>
      </c>
      <c r="B57" s="11" t="s">
        <v>275</v>
      </c>
      <c r="C57" s="11" t="s">
        <v>276</v>
      </c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9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9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9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9"/>
      <c r="B61" s="11"/>
      <c r="C61" s="11"/>
      <c r="D61" s="11"/>
      <c r="E61" s="11"/>
      <c r="F61" s="11"/>
      <c r="G61" s="11"/>
      <c r="H61" s="11"/>
    </row>
    <row r="63" customFormat="false" ht="15" hidden="false" customHeight="false" outlineLevel="0" collapsed="false">
      <c r="A63" s="17" t="s">
        <v>277</v>
      </c>
    </row>
    <row r="64" customFormat="false" ht="15" hidden="false" customHeight="true" outlineLevel="0" collapsed="false">
      <c r="A64" s="5" t="s">
        <v>278</v>
      </c>
      <c r="B64" s="11" t="s">
        <v>279</v>
      </c>
      <c r="C64" s="5" t="s">
        <v>280</v>
      </c>
      <c r="D64" s="11" t="s">
        <v>281</v>
      </c>
      <c r="E64" s="11"/>
      <c r="F64" s="11"/>
      <c r="G64" s="11"/>
      <c r="H64" s="11"/>
    </row>
  </sheetData>
  <mergeCells count="15">
    <mergeCell ref="B6:H6"/>
    <mergeCell ref="B7:H7"/>
    <mergeCell ref="B8:H8"/>
    <mergeCell ref="B9:H9"/>
    <mergeCell ref="B10:H10"/>
    <mergeCell ref="B11:H11"/>
    <mergeCell ref="C54:H54"/>
    <mergeCell ref="C55:H55"/>
    <mergeCell ref="C56:H56"/>
    <mergeCell ref="C57:H57"/>
    <mergeCell ref="C58:H58"/>
    <mergeCell ref="C59:H59"/>
    <mergeCell ref="C60:H60"/>
    <mergeCell ref="C61:H61"/>
    <mergeCell ref="D64:H64"/>
  </mergeCells>
  <dataValidations count="2">
    <dataValidation allowBlank="true" errorStyle="stop" operator="between" showDropDown="false" showErrorMessage="false" showInputMessage="false" sqref="F15:F19" type="list">
      <formula1>"Yes,No"</formula1>
      <formula2>0</formula2>
    </dataValidation>
    <dataValidation allowBlank="true" errorStyle="stop" operator="between" showDropDown="false" showErrorMessage="false" showInputMessage="false" sqref="B64" type="list">
      <formula1>"emerging,growth,shakeout,mature,declining"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11" min="8" style="0" width="12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7" t="s">
        <v>12</v>
      </c>
    </row>
    <row r="2" customFormat="false" ht="15" hidden="false" customHeight="false" outlineLevel="0" collapsed="false">
      <c r="A2" s="3" t="s">
        <v>282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283</v>
      </c>
    </row>
    <row r="6" customFormat="false" ht="30" hidden="false" customHeight="true" outlineLevel="0" collapsed="false">
      <c r="A6" s="12" t="s">
        <v>256</v>
      </c>
      <c r="B6" s="12" t="s">
        <v>284</v>
      </c>
      <c r="C6" s="12" t="s">
        <v>285</v>
      </c>
      <c r="D6" s="12" t="s">
        <v>286</v>
      </c>
      <c r="E6" s="12" t="s">
        <v>287</v>
      </c>
      <c r="F6" s="12" t="s">
        <v>288</v>
      </c>
      <c r="G6" s="12" t="s">
        <v>289</v>
      </c>
      <c r="H6" s="12" t="s">
        <v>290</v>
      </c>
      <c r="I6" s="12" t="s">
        <v>291</v>
      </c>
      <c r="J6" s="12" t="s">
        <v>292</v>
      </c>
      <c r="K6" s="12" t="s">
        <v>293</v>
      </c>
      <c r="L6" s="12" t="s">
        <v>294</v>
      </c>
    </row>
    <row r="7" customFormat="false" ht="23.85" hidden="false" customHeight="false" outlineLevel="0" collapsed="false">
      <c r="A7" s="11" t="s">
        <v>214</v>
      </c>
      <c r="B7" s="11" t="s">
        <v>295</v>
      </c>
      <c r="C7" s="11" t="s">
        <v>296</v>
      </c>
      <c r="D7" s="24" t="n">
        <v>107000</v>
      </c>
      <c r="E7" s="22" t="n">
        <v>0.2</v>
      </c>
      <c r="F7" s="22" t="n">
        <v>0.06</v>
      </c>
      <c r="G7" s="22" t="n">
        <v>0.07</v>
      </c>
      <c r="H7" s="11" t="s">
        <v>297</v>
      </c>
      <c r="I7" s="11" t="s">
        <v>298</v>
      </c>
      <c r="J7" s="11" t="s">
        <v>299</v>
      </c>
      <c r="K7" s="11" t="s">
        <v>298</v>
      </c>
      <c r="L7" s="11" t="s">
        <v>300</v>
      </c>
    </row>
    <row r="8" customFormat="false" ht="23.85" hidden="false" customHeight="false" outlineLevel="0" collapsed="false">
      <c r="A8" s="11" t="s">
        <v>259</v>
      </c>
      <c r="B8" s="11" t="s">
        <v>295</v>
      </c>
      <c r="C8" s="11" t="s">
        <v>296</v>
      </c>
      <c r="D8" s="24" t="n">
        <v>97000</v>
      </c>
      <c r="E8" s="22" t="n">
        <v>0.18</v>
      </c>
      <c r="F8" s="22" t="n">
        <v>0.07</v>
      </c>
      <c r="G8" s="22" t="n">
        <v>0.05</v>
      </c>
      <c r="H8" s="11" t="s">
        <v>298</v>
      </c>
      <c r="I8" s="11" t="s">
        <v>298</v>
      </c>
      <c r="J8" s="11" t="s">
        <v>299</v>
      </c>
      <c r="K8" s="11" t="s">
        <v>299</v>
      </c>
      <c r="L8" s="11" t="s">
        <v>301</v>
      </c>
    </row>
    <row r="9" customFormat="false" ht="23.85" hidden="false" customHeight="false" outlineLevel="0" collapsed="false">
      <c r="A9" s="11" t="s">
        <v>263</v>
      </c>
      <c r="B9" s="11" t="s">
        <v>295</v>
      </c>
      <c r="C9" s="11" t="s">
        <v>296</v>
      </c>
      <c r="D9" s="24" t="n">
        <v>350000</v>
      </c>
      <c r="E9" s="22" t="n">
        <v>0.18</v>
      </c>
      <c r="F9" s="22" t="n">
        <v>0.06</v>
      </c>
      <c r="G9" s="22" t="n">
        <v>0.06</v>
      </c>
      <c r="H9" s="11" t="s">
        <v>297</v>
      </c>
      <c r="I9" s="11" t="s">
        <v>298</v>
      </c>
      <c r="J9" s="11" t="s">
        <v>299</v>
      </c>
      <c r="K9" s="11" t="s">
        <v>299</v>
      </c>
      <c r="L9" s="11" t="s">
        <v>302</v>
      </c>
    </row>
    <row r="10" customFormat="false" ht="15" hidden="false" customHeight="false" outlineLevel="0" collapsed="false">
      <c r="A10" s="11" t="s">
        <v>261</v>
      </c>
      <c r="B10" s="11" t="s">
        <v>295</v>
      </c>
      <c r="C10" s="11" t="s">
        <v>296</v>
      </c>
      <c r="D10" s="24" t="n">
        <v>33000</v>
      </c>
      <c r="E10" s="22" t="n">
        <v>0.16</v>
      </c>
      <c r="F10" s="22" t="n">
        <v>0.04</v>
      </c>
      <c r="G10" s="22" t="n">
        <v>0.05</v>
      </c>
      <c r="H10" s="11" t="s">
        <v>297</v>
      </c>
      <c r="I10" s="11" t="s">
        <v>297</v>
      </c>
      <c r="J10" s="11" t="s">
        <v>298</v>
      </c>
      <c r="K10" s="11" t="s">
        <v>298</v>
      </c>
      <c r="L10" s="11" t="s">
        <v>303</v>
      </c>
    </row>
    <row r="11" customFormat="false" ht="23.85" hidden="false" customHeight="false" outlineLevel="0" collapsed="false">
      <c r="A11" s="11" t="s">
        <v>265</v>
      </c>
      <c r="B11" s="11" t="s">
        <v>295</v>
      </c>
      <c r="C11" s="11" t="s">
        <v>296</v>
      </c>
      <c r="D11" s="24" t="n">
        <v>15000</v>
      </c>
      <c r="E11" s="22" t="n">
        <v>0.19</v>
      </c>
      <c r="F11" s="22" t="n">
        <v>-0.02</v>
      </c>
      <c r="G11" s="22" t="n">
        <v>0.09</v>
      </c>
      <c r="H11" s="11" t="s">
        <v>299</v>
      </c>
      <c r="I11" s="11" t="s">
        <v>299</v>
      </c>
      <c r="J11" s="11" t="s">
        <v>297</v>
      </c>
      <c r="K11" s="11" t="s">
        <v>298</v>
      </c>
      <c r="L11" s="11" t="s">
        <v>304</v>
      </c>
    </row>
    <row r="12" customFormat="false" ht="15" hidden="false" customHeight="false" outlineLevel="0" collapsed="false">
      <c r="A12" s="11" t="s">
        <v>264</v>
      </c>
      <c r="B12" s="11" t="s">
        <v>295</v>
      </c>
      <c r="C12" s="11" t="s">
        <v>296</v>
      </c>
      <c r="D12" s="24" t="n">
        <v>170000</v>
      </c>
      <c r="E12" s="22" t="n">
        <v>0.17</v>
      </c>
      <c r="F12" s="22" t="n">
        <v>0.05</v>
      </c>
      <c r="G12" s="22" t="n">
        <v>0.04</v>
      </c>
      <c r="H12" s="11" t="s">
        <v>297</v>
      </c>
      <c r="I12" s="11" t="s">
        <v>298</v>
      </c>
      <c r="J12" s="11" t="s">
        <v>299</v>
      </c>
      <c r="K12" s="11" t="s">
        <v>298</v>
      </c>
      <c r="L12" s="11" t="s">
        <v>305</v>
      </c>
    </row>
    <row r="13" customFormat="false" ht="15" hidden="false" customHeight="false" outlineLevel="0" collapsed="false">
      <c r="A13" s="11"/>
      <c r="B13" s="11"/>
      <c r="C13" s="11"/>
      <c r="D13" s="24"/>
      <c r="E13" s="22"/>
      <c r="F13" s="22"/>
      <c r="G13" s="22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24"/>
      <c r="E14" s="22"/>
      <c r="F14" s="22"/>
      <c r="G14" s="22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24"/>
      <c r="E15" s="22"/>
      <c r="F15" s="22"/>
      <c r="G15" s="22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24"/>
      <c r="E16" s="22"/>
      <c r="F16" s="22"/>
      <c r="G16" s="22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20" t="s">
        <v>306</v>
      </c>
      <c r="D17" s="23" t="n">
        <f aca="false">IF(COUNT(D7:D16)=0,"",MEDIAN(D7:D16))</f>
        <v>102000</v>
      </c>
      <c r="E17" s="21" t="n">
        <f aca="false">IF(COUNT(E7:E16)=0,"",MEDIAN(E7:E16))</f>
        <v>0.18</v>
      </c>
      <c r="F17" s="21" t="n">
        <f aca="false">IF(COUNT(F7:F16)=0,"",MEDIAN(F7:F16))</f>
        <v>0.055</v>
      </c>
      <c r="G17" s="21" t="n">
        <f aca="false">IF(COUNT(G7:G16)=0,"",MEDIAN(G7:G16))</f>
        <v>0.055</v>
      </c>
    </row>
    <row r="20" customFormat="false" ht="30" hidden="false" customHeight="true" outlineLevel="0" collapsed="false">
      <c r="A20" s="12" t="s">
        <v>256</v>
      </c>
      <c r="B20" s="12" t="s">
        <v>307</v>
      </c>
      <c r="C20" s="12" t="s">
        <v>308</v>
      </c>
      <c r="D20" s="12" t="s">
        <v>309</v>
      </c>
    </row>
    <row r="21" customFormat="false" ht="15" hidden="false" customHeight="false" outlineLevel="0" collapsed="false">
      <c r="A21" s="15" t="str">
        <f aca="false">IF(A7="","",A7)</f>
        <v>BYD</v>
      </c>
      <c r="B21" s="25" t="n">
        <f aca="false">IF(OR(F7="",$F$17=""),"",F7-$F$17)</f>
        <v>0.005</v>
      </c>
      <c r="C21" s="26" t="n">
        <f aca="false">IF(F7="","",RANK(F7,$F$7:$F$16))</f>
        <v>2</v>
      </c>
      <c r="D21" s="26" t="n">
        <f aca="false">IF(A7="","",IF(H7="strong",2,IF(H7="moderate",1,0))+IF(I7="strong",2,IF(I7="moderate",1,0))+IF(J7="strong",2,IF(J7="moderate",1,0))+IF(K7="strong",2,IF(K7="moderate",1,0)))</f>
        <v>4</v>
      </c>
    </row>
    <row r="22" customFormat="false" ht="15" hidden="false" customHeight="false" outlineLevel="0" collapsed="false">
      <c r="A22" s="15" t="str">
        <f aca="false">IF(A8="","",A8)</f>
        <v>Tesla</v>
      </c>
      <c r="B22" s="25" t="n">
        <f aca="false">IF(OR(F8="",$F$17=""),"",F8-$F$17)</f>
        <v>0.015</v>
      </c>
      <c r="C22" s="26" t="n">
        <f aca="false">IF(F8="","",RANK(F8,$F$7:$F$16))</f>
        <v>1</v>
      </c>
      <c r="D22" s="26" t="n">
        <f aca="false">IF(A8="","",IF(H8="strong",2,IF(H8="moderate",1,0))+IF(I8="strong",2,IF(I8="moderate",1,0))+IF(J8="strong",2,IF(J8="moderate",1,0))+IF(K8="strong",2,IF(K8="moderate",1,0)))</f>
        <v>6</v>
      </c>
    </row>
    <row r="23" customFormat="false" ht="15" hidden="false" customHeight="false" outlineLevel="0" collapsed="false">
      <c r="A23" s="15" t="str">
        <f aca="false">IF(A9="","",A9)</f>
        <v>Volkswagen Group</v>
      </c>
      <c r="B23" s="25" t="n">
        <f aca="false">IF(OR(F9="",$F$17=""),"",F9-$F$17)</f>
        <v>0.005</v>
      </c>
      <c r="C23" s="26" t="n">
        <f aca="false">IF(F9="","",RANK(F9,$F$7:$F$16))</f>
        <v>2</v>
      </c>
      <c r="D23" s="26" t="n">
        <f aca="false">IF(A9="","",IF(H9="strong",2,IF(H9="moderate",1,0))+IF(I9="strong",2,IF(I9="moderate",1,0))+IF(J9="strong",2,IF(J9="moderate",1,0))+IF(K9="strong",2,IF(K9="moderate",1,0)))</f>
        <v>5</v>
      </c>
    </row>
    <row r="24" customFormat="false" ht="15" hidden="false" customHeight="false" outlineLevel="0" collapsed="false">
      <c r="A24" s="15" t="str">
        <f aca="false">IF(A10="","",A10)</f>
        <v>Geely</v>
      </c>
      <c r="B24" s="25" t="n">
        <f aca="false">IF(OR(F10="",$F$17=""),"",F10-$F$17)</f>
        <v>-0.015</v>
      </c>
      <c r="C24" s="26" t="n">
        <f aca="false">IF(F10="","",RANK(F10,$F$7:$F$16))</f>
        <v>5</v>
      </c>
      <c r="D24" s="26" t="n">
        <f aca="false">IF(A10="","",IF(H10="strong",2,IF(H10="moderate",1,0))+IF(I10="strong",2,IF(I10="moderate",1,0))+IF(J10="strong",2,IF(J10="moderate",1,0))+IF(K10="strong",2,IF(K10="moderate",1,0)))</f>
        <v>2</v>
      </c>
    </row>
    <row r="25" customFormat="false" ht="15" hidden="false" customHeight="false" outlineLevel="0" collapsed="false">
      <c r="A25" s="15" t="str">
        <f aca="false">IF(A11="","",A11)</f>
        <v>Xiaomi</v>
      </c>
      <c r="B25" s="25" t="n">
        <f aca="false">IF(OR(F11="",$F$17=""),"",F11-$F$17)</f>
        <v>-0.075</v>
      </c>
      <c r="C25" s="26" t="n">
        <f aca="false">IF(F11="","",RANK(F11,$F$7:$F$16))</f>
        <v>6</v>
      </c>
      <c r="D25" s="26" t="n">
        <f aca="false">IF(A11="","",IF(H11="strong",2,IF(H11="moderate",1,0))+IF(I11="strong",2,IF(I11="moderate",1,0))+IF(J11="strong",2,IF(J11="moderate",1,0))+IF(K11="strong",2,IF(K11="moderate",1,0)))</f>
        <v>5</v>
      </c>
    </row>
    <row r="26" customFormat="false" ht="15" hidden="false" customHeight="false" outlineLevel="0" collapsed="false">
      <c r="A26" s="15" t="str">
        <f aca="false">IF(A12="","",A12)</f>
        <v>Stellantis</v>
      </c>
      <c r="B26" s="25" t="n">
        <f aca="false">IF(OR(F12="",$F$17=""),"",F12-$F$17)</f>
        <v>-0.005</v>
      </c>
      <c r="C26" s="26" t="n">
        <f aca="false">IF(F12="","",RANK(F12,$F$7:$F$16))</f>
        <v>4</v>
      </c>
      <c r="D26" s="26" t="n">
        <f aca="false">IF(A12="","",IF(H12="strong",2,IF(H12="moderate",1,0))+IF(I12="strong",2,IF(I12="moderate",1,0))+IF(J12="strong",2,IF(J12="moderate",1,0))+IF(K12="strong",2,IF(K12="moderate",1,0)))</f>
        <v>4</v>
      </c>
    </row>
    <row r="27" customFormat="false" ht="15" hidden="false" customHeight="false" outlineLevel="0" collapsed="false">
      <c r="A27" s="15" t="str">
        <f aca="false">IF(A13="","",A13)</f>
        <v/>
      </c>
      <c r="B27" s="25" t="str">
        <f aca="false">IF(OR(F13="",$F$17=""),"",F13-$F$17)</f>
        <v/>
      </c>
      <c r="C27" s="26" t="str">
        <f aca="false">IF(F13="","",RANK(F13,$F$7:$F$16))</f>
        <v/>
      </c>
      <c r="D27" s="26" t="str">
        <f aca="false">IF(A13="","",IF(H13="strong",2,IF(H13="moderate",1,0))+IF(I13="strong",2,IF(I13="moderate",1,0))+IF(J13="strong",2,IF(J13="moderate",1,0))+IF(K13="strong",2,IF(K13="moderate",1,0)))</f>
        <v/>
      </c>
    </row>
    <row r="28" customFormat="false" ht="15" hidden="false" customHeight="false" outlineLevel="0" collapsed="false">
      <c r="A28" s="15" t="str">
        <f aca="false">IF(A14="","",A14)</f>
        <v/>
      </c>
      <c r="B28" s="25" t="str">
        <f aca="false">IF(OR(F14="",$F$17=""),"",F14-$F$17)</f>
        <v/>
      </c>
      <c r="C28" s="26" t="str">
        <f aca="false">IF(F14="","",RANK(F14,$F$7:$F$16))</f>
        <v/>
      </c>
      <c r="D28" s="26" t="str">
        <f aca="false">IF(A14="","",IF(H14="strong",2,IF(H14="moderate",1,0))+IF(I14="strong",2,IF(I14="moderate",1,0))+IF(J14="strong",2,IF(J14="moderate",1,0))+IF(K14="strong",2,IF(K14="moderate",1,0)))</f>
        <v/>
      </c>
    </row>
    <row r="29" customFormat="false" ht="15" hidden="false" customHeight="false" outlineLevel="0" collapsed="false">
      <c r="A29" s="15" t="str">
        <f aca="false">IF(A15="","",A15)</f>
        <v/>
      </c>
      <c r="B29" s="25" t="str">
        <f aca="false">IF(OR(F15="",$F$17=""),"",F15-$F$17)</f>
        <v/>
      </c>
      <c r="C29" s="26" t="str">
        <f aca="false">IF(F15="","",RANK(F15,$F$7:$F$16))</f>
        <v/>
      </c>
      <c r="D29" s="26" t="str">
        <f aca="false">IF(A15="","",IF(H15="strong",2,IF(H15="moderate",1,0))+IF(I15="strong",2,IF(I15="moderate",1,0))+IF(J15="strong",2,IF(J15="moderate",1,0))+IF(K15="strong",2,IF(K15="moderate",1,0)))</f>
        <v/>
      </c>
    </row>
    <row r="30" customFormat="false" ht="15" hidden="false" customHeight="false" outlineLevel="0" collapsed="false">
      <c r="A30" s="15" t="str">
        <f aca="false">IF(A16="","",A16)</f>
        <v/>
      </c>
      <c r="B30" s="25" t="str">
        <f aca="false">IF(OR(F16="",$F$17=""),"",F16-$F$17)</f>
        <v/>
      </c>
      <c r="C30" s="26" t="str">
        <f aca="false">IF(F16="","",RANK(F16,$F$7:$F$16))</f>
        <v/>
      </c>
      <c r="D30" s="26" t="str">
        <f aca="false">IF(A16="","",IF(H16="strong",2,IF(H16="moderate",1,0))+IF(I16="strong",2,IF(I16="moderate",1,0))+IF(J16="strong",2,IF(J16="moderate",1,0))+IF(K16="strong",2,IF(K16="moderate",1,0)))</f>
        <v/>
      </c>
    </row>
    <row r="32" customFormat="false" ht="15" hidden="false" customHeight="false" outlineLevel="0" collapsed="false">
      <c r="A32" s="17" t="s">
        <v>310</v>
      </c>
    </row>
    <row r="33" customFormat="false" ht="30" hidden="false" customHeight="true" outlineLevel="0" collapsed="false">
      <c r="A33" s="12" t="s">
        <v>256</v>
      </c>
      <c r="B33" s="12" t="s">
        <v>311</v>
      </c>
      <c r="C33" s="12" t="s">
        <v>312</v>
      </c>
      <c r="D33" s="12"/>
      <c r="E33" s="12"/>
      <c r="F33" s="12"/>
      <c r="G33" s="12"/>
      <c r="H33" s="12" t="s">
        <v>313</v>
      </c>
      <c r="I33" s="12"/>
      <c r="J33" s="12"/>
      <c r="K33" s="12"/>
      <c r="L33" s="12"/>
    </row>
    <row r="34" customFormat="false" ht="15" hidden="false" customHeight="true" outlineLevel="0" collapsed="false">
      <c r="A34" s="11" t="s">
        <v>214</v>
      </c>
      <c r="B34" s="11" t="s">
        <v>314</v>
      </c>
      <c r="C34" s="11" t="s">
        <v>315</v>
      </c>
      <c r="D34" s="11"/>
      <c r="E34" s="11"/>
      <c r="F34" s="11"/>
      <c r="G34" s="11"/>
      <c r="H34" s="11" t="s">
        <v>316</v>
      </c>
      <c r="I34" s="11"/>
      <c r="J34" s="11"/>
      <c r="K34" s="11"/>
      <c r="L34" s="11"/>
    </row>
    <row r="35" customFormat="false" ht="15" hidden="false" customHeight="true" outlineLevel="0" collapsed="false">
      <c r="A35" s="11" t="s">
        <v>259</v>
      </c>
      <c r="B35" s="11" t="s">
        <v>317</v>
      </c>
      <c r="C35" s="11" t="s">
        <v>318</v>
      </c>
      <c r="D35" s="11"/>
      <c r="E35" s="11"/>
      <c r="F35" s="11"/>
      <c r="G35" s="11"/>
      <c r="H35" s="11" t="s">
        <v>319</v>
      </c>
      <c r="I35" s="11"/>
      <c r="J35" s="11"/>
      <c r="K35" s="11"/>
      <c r="L35" s="11"/>
    </row>
    <row r="36" customFormat="false" ht="15" hidden="false" customHeight="true" outlineLevel="0" collapsed="false">
      <c r="A36" s="11" t="s">
        <v>263</v>
      </c>
      <c r="B36" s="11" t="s">
        <v>320</v>
      </c>
      <c r="C36" s="11" t="s">
        <v>321</v>
      </c>
      <c r="D36" s="11"/>
      <c r="E36" s="11"/>
      <c r="F36" s="11"/>
      <c r="G36" s="11"/>
      <c r="H36" s="11" t="s">
        <v>322</v>
      </c>
      <c r="I36" s="11"/>
      <c r="J36" s="11"/>
      <c r="K36" s="11"/>
      <c r="L36" s="11"/>
    </row>
    <row r="37" customFormat="false" ht="15" hidden="false" customHeight="true" outlineLevel="0" collapsed="false">
      <c r="A37" s="11" t="s">
        <v>265</v>
      </c>
      <c r="B37" s="11" t="s">
        <v>323</v>
      </c>
      <c r="C37" s="11" t="s">
        <v>324</v>
      </c>
      <c r="D37" s="11"/>
      <c r="E37" s="11"/>
      <c r="F37" s="11"/>
      <c r="G37" s="11"/>
      <c r="H37" s="11" t="s">
        <v>325</v>
      </c>
      <c r="I37" s="11"/>
      <c r="J37" s="11"/>
      <c r="K37" s="11"/>
      <c r="L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5" customFormat="false" ht="15" hidden="false" customHeight="false" outlineLevel="0" collapsed="false">
      <c r="A45" s="17" t="s">
        <v>326</v>
      </c>
    </row>
    <row r="46" customFormat="false" ht="30" hidden="false" customHeight="true" outlineLevel="0" collapsed="false">
      <c r="A46" s="12" t="s">
        <v>14</v>
      </c>
      <c r="B46" s="12" t="s">
        <v>311</v>
      </c>
      <c r="C46" s="12" t="s">
        <v>327</v>
      </c>
      <c r="D46" s="12" t="s">
        <v>328</v>
      </c>
      <c r="E46" s="12" t="s">
        <v>329</v>
      </c>
    </row>
    <row r="47" customFormat="false" ht="15" hidden="false" customHeight="false" outlineLevel="0" collapsed="false">
      <c r="A47" s="11"/>
      <c r="B47" s="11"/>
      <c r="C47" s="11"/>
      <c r="D47" s="11"/>
      <c r="E47" s="19"/>
    </row>
    <row r="48" customFormat="false" ht="15" hidden="false" customHeight="false" outlineLevel="0" collapsed="false">
      <c r="A48" s="11"/>
      <c r="B48" s="11"/>
      <c r="C48" s="11"/>
      <c r="D48" s="11"/>
      <c r="E48" s="19"/>
    </row>
    <row r="49" customFormat="false" ht="15" hidden="false" customHeight="false" outlineLevel="0" collapsed="false">
      <c r="A49" s="11"/>
      <c r="B49" s="11"/>
      <c r="C49" s="11"/>
      <c r="D49" s="11"/>
      <c r="E49" s="19"/>
    </row>
    <row r="50" customFormat="false" ht="15" hidden="false" customHeight="false" outlineLevel="0" collapsed="false">
      <c r="A50" s="11"/>
      <c r="B50" s="11"/>
      <c r="C50" s="11"/>
      <c r="D50" s="11"/>
      <c r="E50" s="19"/>
    </row>
    <row r="51" customFormat="false" ht="15" hidden="false" customHeight="false" outlineLevel="0" collapsed="false">
      <c r="A51" s="11"/>
      <c r="B51" s="11"/>
      <c r="C51" s="11"/>
      <c r="D51" s="11"/>
      <c r="E51" s="19"/>
    </row>
    <row r="52" customFormat="false" ht="15" hidden="false" customHeight="false" outlineLevel="0" collapsed="false">
      <c r="A52" s="11"/>
      <c r="B52" s="11"/>
      <c r="C52" s="11"/>
      <c r="D52" s="11"/>
      <c r="E52" s="19"/>
    </row>
    <row r="53" customFormat="false" ht="15" hidden="false" customHeight="false" outlineLevel="0" collapsed="false">
      <c r="A53" s="11"/>
      <c r="B53" s="11"/>
      <c r="C53" s="11"/>
      <c r="D53" s="11"/>
      <c r="E53" s="19"/>
    </row>
    <row r="54" customFormat="false" ht="15" hidden="false" customHeight="false" outlineLevel="0" collapsed="false">
      <c r="A54" s="11"/>
      <c r="B54" s="11"/>
      <c r="C54" s="11"/>
      <c r="D54" s="11"/>
      <c r="E54" s="19"/>
    </row>
  </sheetData>
  <mergeCells count="22">
    <mergeCell ref="C33:G33"/>
    <mergeCell ref="H33:L33"/>
    <mergeCell ref="C34:G34"/>
    <mergeCell ref="H34:L34"/>
    <mergeCell ref="C35:G35"/>
    <mergeCell ref="H35:L35"/>
    <mergeCell ref="C36:G36"/>
    <mergeCell ref="H36:L36"/>
    <mergeCell ref="C37:G37"/>
    <mergeCell ref="H37:L37"/>
    <mergeCell ref="C38:G38"/>
    <mergeCell ref="H38:L38"/>
    <mergeCell ref="C39:G39"/>
    <mergeCell ref="H39:L39"/>
    <mergeCell ref="C40:G40"/>
    <mergeCell ref="H40:L40"/>
    <mergeCell ref="C41:G41"/>
    <mergeCell ref="H41:L41"/>
    <mergeCell ref="C42:G42"/>
    <mergeCell ref="H42:L42"/>
    <mergeCell ref="C43:G43"/>
    <mergeCell ref="H43:L43"/>
  </mergeCells>
  <conditionalFormatting sqref="B21:B30">
    <cfRule type="expression" priority="2" aboveAverage="0" equalAverage="0" bottom="0" percent="0" rank="0" text="" dxfId="0">
      <formula>AND(ISNUMBER(B21),B21&gt;0.01)</formula>
    </cfRule>
    <cfRule type="expression" priority="3" aboveAverage="0" equalAverage="0" bottom="0" percent="0" rank="0" text="" dxfId="1">
      <formula>AND(ISNUMBER(B21),ABS(B21)&lt;=0.01)</formula>
    </cfRule>
    <cfRule type="expression" priority="4" aboveAverage="0" equalAverage="0" bottom="0" percent="0" rank="0" text="" dxfId="2">
      <formula>AND(ISNUMBER(B21),B21&lt;-0.01)</formula>
    </cfRule>
  </conditionalFormatting>
  <dataValidations count="4">
    <dataValidation allowBlank="true" errorStyle="stop" operator="between" showDropDown="false" showErrorMessage="false" showInputMessage="false" sqref="H7:K16" type="list">
      <formula1>"weak,moderate,strong"</formula1>
      <formula2>0</formula2>
    </dataValidation>
    <dataValidation allowBlank="true" errorStyle="stop" operator="between" showDropDown="false" showErrorMessage="false" showInputMessage="false" sqref="B34:B43" type="list">
      <formula1>"hiring,patents,launch,capex,pricing,partnership,exit,other"</formula1>
      <formula2>0</formula2>
    </dataValidation>
    <dataValidation allowBlank="true" errorStyle="stop" operator="between" showDropDown="false" showErrorMessage="false" showInputMessage="false" sqref="A47:A54" type="list">
      <formula1>"P,E,S,T,Env,L"</formula1>
      <formula2>0</formula2>
    </dataValidation>
    <dataValidation allowBlank="true" errorStyle="stop" operator="between" showDropDown="false" showErrorMessage="false" showInputMessage="false" sqref="B47:B54" type="list">
      <formula1>"risk_factor,mdna_trend"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7" t="s">
        <v>330</v>
      </c>
    </row>
    <row r="2" customFormat="false" ht="15" hidden="false" customHeight="false" outlineLevel="0" collapsed="false">
      <c r="A2" s="3" t="s">
        <v>331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332</v>
      </c>
      <c r="B5" s="12" t="s">
        <v>333</v>
      </c>
      <c r="C5" s="12" t="s">
        <v>334</v>
      </c>
      <c r="D5" s="12" t="s">
        <v>335</v>
      </c>
      <c r="E5" s="12" t="s">
        <v>336</v>
      </c>
      <c r="F5" s="12" t="s">
        <v>337</v>
      </c>
      <c r="G5" s="12" t="s">
        <v>338</v>
      </c>
      <c r="H5" s="12" t="s">
        <v>328</v>
      </c>
      <c r="I5" s="12" t="s">
        <v>339</v>
      </c>
    </row>
    <row r="6" customFormat="false" ht="15" hidden="false" customHeight="false" outlineLevel="0" collapsed="false">
      <c r="A6" s="11" t="s">
        <v>340</v>
      </c>
      <c r="B6" s="11" t="s">
        <v>341</v>
      </c>
      <c r="C6" s="11" t="s">
        <v>342</v>
      </c>
      <c r="D6" s="11" t="s">
        <v>343</v>
      </c>
      <c r="E6" s="11" t="n">
        <v>5</v>
      </c>
      <c r="F6" s="11" t="n">
        <v>3</v>
      </c>
      <c r="G6" s="26" t="n">
        <f aca="false">IF(AND(ISNUMBER(E6),ISNUMBER(F6)),E6*F6,"")</f>
        <v>15</v>
      </c>
      <c r="H6" s="11" t="s">
        <v>344</v>
      </c>
      <c r="I6" s="11" t="s">
        <v>345</v>
      </c>
    </row>
    <row r="7" customFormat="false" ht="15" hidden="false" customHeight="false" outlineLevel="0" collapsed="false">
      <c r="A7" s="11" t="s">
        <v>346</v>
      </c>
      <c r="B7" s="11" t="s">
        <v>347</v>
      </c>
      <c r="C7" s="11" t="s">
        <v>348</v>
      </c>
      <c r="D7" s="11" t="s">
        <v>349</v>
      </c>
      <c r="E7" s="11" t="n">
        <v>5</v>
      </c>
      <c r="F7" s="11" t="n">
        <v>5</v>
      </c>
      <c r="G7" s="26" t="n">
        <f aca="false">IF(AND(ISNUMBER(E7),ISNUMBER(F7)),E7*F7,"")</f>
        <v>25</v>
      </c>
      <c r="H7" s="11" t="s">
        <v>350</v>
      </c>
      <c r="I7" s="11" t="s">
        <v>351</v>
      </c>
    </row>
    <row r="8" customFormat="false" ht="15" hidden="false" customHeight="false" outlineLevel="0" collapsed="false">
      <c r="A8" s="11" t="s">
        <v>352</v>
      </c>
      <c r="B8" s="11" t="s">
        <v>353</v>
      </c>
      <c r="C8" s="11" t="s">
        <v>354</v>
      </c>
      <c r="D8" s="11" t="s">
        <v>343</v>
      </c>
      <c r="E8" s="11" t="n">
        <v>5</v>
      </c>
      <c r="F8" s="11" t="n">
        <v>3</v>
      </c>
      <c r="G8" s="26" t="n">
        <f aca="false">IF(AND(ISNUMBER(E8),ISNUMBER(F8)),E8*F8,"")</f>
        <v>15</v>
      </c>
      <c r="H8" s="11" t="s">
        <v>355</v>
      </c>
      <c r="I8" s="11" t="s">
        <v>356</v>
      </c>
    </row>
    <row r="9" customFormat="false" ht="15" hidden="false" customHeight="false" outlineLevel="0" collapsed="false">
      <c r="A9" s="11" t="s">
        <v>357</v>
      </c>
      <c r="B9" s="11" t="s">
        <v>358</v>
      </c>
      <c r="C9" s="11" t="s">
        <v>359</v>
      </c>
      <c r="D9" s="11" t="s">
        <v>349</v>
      </c>
      <c r="E9" s="11" t="n">
        <v>3</v>
      </c>
      <c r="F9" s="11" t="n">
        <v>3</v>
      </c>
      <c r="G9" s="26" t="n">
        <f aca="false">IF(AND(ISNUMBER(E9),ISNUMBER(F9)),E9*F9,"")</f>
        <v>9</v>
      </c>
      <c r="H9" s="11" t="s">
        <v>360</v>
      </c>
      <c r="I9" s="11" t="s">
        <v>361</v>
      </c>
    </row>
    <row r="10" customFormat="false" ht="15" hidden="false" customHeight="false" outlineLevel="0" collapsed="false">
      <c r="A10" s="11" t="s">
        <v>362</v>
      </c>
      <c r="B10" s="11" t="s">
        <v>363</v>
      </c>
      <c r="C10" s="11" t="s">
        <v>364</v>
      </c>
      <c r="D10" s="11" t="s">
        <v>343</v>
      </c>
      <c r="E10" s="11" t="n">
        <v>3</v>
      </c>
      <c r="F10" s="11" t="n">
        <v>5</v>
      </c>
      <c r="G10" s="26" t="n">
        <f aca="false">IF(AND(ISNUMBER(E10),ISNUMBER(F10)),E10*F10,"")</f>
        <v>15</v>
      </c>
      <c r="H10" s="11" t="s">
        <v>360</v>
      </c>
      <c r="I10" s="11" t="s">
        <v>365</v>
      </c>
    </row>
    <row r="11" customFormat="false" ht="15" hidden="false" customHeight="false" outlineLevel="0" collapsed="false">
      <c r="A11" s="11" t="s">
        <v>366</v>
      </c>
      <c r="B11" s="11" t="s">
        <v>367</v>
      </c>
      <c r="C11" s="11" t="s">
        <v>368</v>
      </c>
      <c r="D11" s="11" t="s">
        <v>349</v>
      </c>
      <c r="E11" s="11" t="n">
        <v>3</v>
      </c>
      <c r="F11" s="11" t="n">
        <v>3</v>
      </c>
      <c r="G11" s="26" t="n">
        <f aca="false">IF(AND(ISNUMBER(E11),ISNUMBER(F11)),E11*F11,"")</f>
        <v>9</v>
      </c>
      <c r="H11" s="11" t="s">
        <v>369</v>
      </c>
      <c r="I11" s="11" t="s">
        <v>351</v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26" t="str">
        <f aca="false">IF(AND(ISNUMBER(E12),ISNUMBER(F12)),E12*F12,"")</f>
        <v/>
      </c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26" t="str">
        <f aca="false">IF(AND(ISNUMBER(E13),ISNUMBER(F13)),E13*F13,"")</f>
        <v/>
      </c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26" t="str">
        <f aca="false">IF(AND(ISNUMBER(E14),ISNUMBER(F14)),E14*F14,"")</f>
        <v/>
      </c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26" t="str">
        <f aca="false">IF(AND(ISNUMBER(E15),ISNUMBER(F15)),E15*F15,"")</f>
        <v/>
      </c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26" t="str">
        <f aca="false">IF(AND(ISNUMBER(E16),ISNUMBER(F16)),E16*F16,"")</f>
        <v/>
      </c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26" t="str">
        <f aca="false">IF(AND(ISNUMBER(E17),ISNUMBER(F17)),E17*F17,"")</f>
        <v/>
      </c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26" t="str">
        <f aca="false">IF(AND(ISNUMBER(E18),ISNUMBER(F18)),E18*F18,"")</f>
        <v/>
      </c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26" t="str">
        <f aca="false">IF(AND(ISNUMBER(E19),ISNUMBER(F19)),E19*F19,"")</f>
        <v/>
      </c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26" t="str">
        <f aca="false">IF(AND(ISNUMBER(E20),ISNUMBER(F20)),E20*F20,"")</f>
        <v/>
      </c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26" t="str">
        <f aca="false">IF(AND(ISNUMBER(E21),ISNUMBER(F21)),E21*F21,"")</f>
        <v/>
      </c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26" t="str">
        <f aca="false">IF(AND(ISNUMBER(E22),ISNUMBER(F22)),E22*F22,"")</f>
        <v/>
      </c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26" t="str">
        <f aca="false">IF(AND(ISNUMBER(E23),ISNUMBER(F23)),E23*F23,"")</f>
        <v/>
      </c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26" t="str">
        <f aca="false">IF(AND(ISNUMBER(E24),ISNUMBER(F24)),E24*F24,"")</f>
        <v/>
      </c>
      <c r="H24" s="11"/>
      <c r="I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26" t="str">
        <f aca="false">IF(AND(ISNUMBER(E25),ISNUMBER(F25)),E25*F25,"")</f>
        <v/>
      </c>
      <c r="H25" s="11"/>
      <c r="I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26" t="str">
        <f aca="false">IF(AND(ISNUMBER(E26),ISNUMBER(F26)),E26*F26,"")</f>
        <v/>
      </c>
      <c r="H26" s="11"/>
      <c r="I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26" t="str">
        <f aca="false">IF(AND(ISNUMBER(E27),ISNUMBER(F27)),E27*F27,"")</f>
        <v/>
      </c>
      <c r="H27" s="11"/>
      <c r="I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26" t="str">
        <f aca="false">IF(AND(ISNUMBER(E28),ISNUMBER(F28)),E28*F28,"")</f>
        <v/>
      </c>
      <c r="H28" s="11"/>
      <c r="I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26" t="str">
        <f aca="false">IF(AND(ISNUMBER(E29),ISNUMBER(F29)),E29*F29,"")</f>
        <v/>
      </c>
      <c r="H29" s="11"/>
      <c r="I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26" t="str">
        <f aca="false">IF(AND(ISNUMBER(E30),ISNUMBER(F30)),E30*F30,"")</f>
        <v/>
      </c>
      <c r="H30" s="11"/>
      <c r="I30" s="11"/>
    </row>
    <row r="32" customFormat="false" ht="15" hidden="false" customHeight="false" outlineLevel="0" collapsed="false">
      <c r="B32" s="20" t="s">
        <v>370</v>
      </c>
      <c r="C32" s="26" t="n">
        <f aca="false">COUNTA(C6:C30)</f>
        <v>6</v>
      </c>
    </row>
    <row r="33" customFormat="false" ht="23.85" hidden="false" customHeight="false" outlineLevel="0" collapsed="false">
      <c r="B33" s="20" t="s">
        <v>371</v>
      </c>
      <c r="C33" s="26" t="n">
        <f aca="false">COUNTIF(G6:G30,"&gt;=16")</f>
        <v>1</v>
      </c>
    </row>
    <row r="34" customFormat="false" ht="23.85" hidden="false" customHeight="false" outlineLevel="0" collapsed="false">
      <c r="B34" s="20" t="s">
        <v>372</v>
      </c>
      <c r="C34" s="26" t="n">
        <f aca="false">SUMPRODUCT((C6:C30&lt;&gt;"")*(I6:I30=""))</f>
        <v>0</v>
      </c>
    </row>
  </sheetData>
  <conditionalFormatting sqref="G6:G30">
    <cfRule type="expression" priority="2" aboveAverage="0" equalAverage="0" bottom="0" percent="0" rank="0" text="" dxfId="0">
      <formula>AND(ISNUMBER(G6),G6&gt;=16)</formula>
    </cfRule>
    <cfRule type="expression" priority="3" aboveAverage="0" equalAverage="0" bottom="0" percent="0" rank="0" text="" dxfId="1">
      <formula>AND(ISNUMBER(G6),G6&gt;=9,G6&lt;16)</formula>
    </cfRule>
    <cfRule type="expression" priority="4" aboveAverage="0" equalAverage="0" bottom="0" percent="0" rank="0" text="" dxfId="2">
      <formula>AND(ISNUMBER(G6),G6&lt;9)</formula>
    </cfRule>
  </conditionalFormatting>
  <dataValidations count="4">
    <dataValidation allowBlank="true" errorStyle="stop" operator="between" showDropDown="false" showErrorMessage="false" showInputMessage="false" sqref="B6:B30" type="list">
      <formula1>"Political,Economic,Social,Technological,Environmental,Legal"</formula1>
      <formula2>0</formula2>
    </dataValidation>
    <dataValidation allowBlank="true" errorStyle="stop" operator="between" showDropDown="false" showErrorMessage="false" showInputMessage="false" sqref="D6:D30" type="list">
      <formula1>"+,-,±"</formula1>
      <formula2>0</formula2>
    </dataValidation>
    <dataValidation allowBlank="true" error="Enter a whole number from 1 to 5." errorStyle="stop" errorTitle="Strat-IQ" operator="between" showDropDown="false" showErrorMessage="false" showInputMessage="false" sqref="E6:F30" type="whole">
      <formula1>1</formula1>
      <formula2>5</formula2>
    </dataValidation>
    <dataValidation allowBlank="true" errorStyle="stop" operator="between" showDropDown="false" showErrorMessage="false" showInputMessage="false" sqref="H6:H30" type="list">
      <formula1>"revenue.price,revenue.volume,revenue.mix,cogs.inputs,cogs.labor,opex.sga,opex.rnd,capex,working_capital,financing,tax_and_levies"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7" t="s">
        <v>373</v>
      </c>
    </row>
    <row r="2" customFormat="false" ht="15" hidden="false" customHeight="false" outlineLevel="0" collapsed="false">
      <c r="A2" s="3" t="s">
        <v>374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375</v>
      </c>
      <c r="B5" s="12" t="s">
        <v>376</v>
      </c>
      <c r="C5" s="12" t="s">
        <v>377</v>
      </c>
      <c r="D5" s="12" t="s">
        <v>378</v>
      </c>
    </row>
    <row r="6" customFormat="false" ht="15" hidden="false" customHeight="false" outlineLevel="0" collapsed="false">
      <c r="A6" s="5" t="s">
        <v>379</v>
      </c>
      <c r="B6" s="5" t="s">
        <v>380</v>
      </c>
      <c r="C6" s="11"/>
      <c r="D6" s="11"/>
    </row>
    <row r="7" customFormat="false" ht="15" hidden="false" customHeight="false" outlineLevel="0" collapsed="false">
      <c r="A7" s="5" t="s">
        <v>379</v>
      </c>
      <c r="B7" s="5" t="s">
        <v>381</v>
      </c>
      <c r="C7" s="11"/>
      <c r="D7" s="11"/>
    </row>
    <row r="8" customFormat="false" ht="15" hidden="false" customHeight="false" outlineLevel="0" collapsed="false">
      <c r="A8" s="5" t="s">
        <v>379</v>
      </c>
      <c r="B8" s="5" t="s">
        <v>382</v>
      </c>
      <c r="C8" s="11"/>
      <c r="D8" s="11"/>
    </row>
    <row r="9" customFormat="false" ht="15" hidden="false" customHeight="false" outlineLevel="0" collapsed="false">
      <c r="A9" s="5" t="s">
        <v>379</v>
      </c>
      <c r="B9" s="5" t="s">
        <v>383</v>
      </c>
      <c r="C9" s="11"/>
      <c r="D9" s="11"/>
    </row>
    <row r="10" customFormat="false" ht="15" hidden="false" customHeight="false" outlineLevel="0" collapsed="false">
      <c r="A10" s="5" t="s">
        <v>384</v>
      </c>
      <c r="B10" s="5" t="s">
        <v>385</v>
      </c>
      <c r="C10" s="11"/>
      <c r="D10" s="11"/>
    </row>
    <row r="11" customFormat="false" ht="15" hidden="false" customHeight="false" outlineLevel="0" collapsed="false">
      <c r="A11" s="5" t="s">
        <v>384</v>
      </c>
      <c r="B11" s="5" t="s">
        <v>386</v>
      </c>
      <c r="C11" s="11"/>
      <c r="D11" s="11"/>
    </row>
    <row r="12" customFormat="false" ht="15" hidden="false" customHeight="false" outlineLevel="0" collapsed="false">
      <c r="A12" s="5" t="s">
        <v>384</v>
      </c>
      <c r="B12" s="5" t="s">
        <v>387</v>
      </c>
      <c r="C12" s="11"/>
      <c r="D12" s="11"/>
    </row>
    <row r="13" customFormat="false" ht="15" hidden="false" customHeight="false" outlineLevel="0" collapsed="false">
      <c r="A13" s="5" t="s">
        <v>384</v>
      </c>
      <c r="B13" s="5" t="s">
        <v>388</v>
      </c>
      <c r="C13" s="11"/>
      <c r="D13" s="11"/>
    </row>
    <row r="14" customFormat="false" ht="15" hidden="false" customHeight="false" outlineLevel="0" collapsed="false">
      <c r="A14" s="5" t="s">
        <v>389</v>
      </c>
      <c r="B14" s="5" t="s">
        <v>390</v>
      </c>
      <c r="C14" s="11"/>
      <c r="D14" s="11"/>
    </row>
    <row r="15" customFormat="false" ht="15" hidden="false" customHeight="false" outlineLevel="0" collapsed="false">
      <c r="A15" s="5" t="s">
        <v>389</v>
      </c>
      <c r="B15" s="5" t="s">
        <v>391</v>
      </c>
      <c r="C15" s="11"/>
      <c r="D15" s="11"/>
    </row>
    <row r="16" customFormat="false" ht="15" hidden="false" customHeight="false" outlineLevel="0" collapsed="false">
      <c r="A16" s="5" t="s">
        <v>389</v>
      </c>
      <c r="B16" s="5" t="s">
        <v>386</v>
      </c>
      <c r="C16" s="11"/>
      <c r="D16" s="11"/>
    </row>
    <row r="17" customFormat="false" ht="15" hidden="false" customHeight="false" outlineLevel="0" collapsed="false">
      <c r="A17" s="5" t="s">
        <v>389</v>
      </c>
      <c r="B17" s="5" t="s">
        <v>392</v>
      </c>
      <c r="C17" s="11"/>
      <c r="D17" s="11"/>
    </row>
    <row r="18" customFormat="false" ht="15" hidden="false" customHeight="false" outlineLevel="0" collapsed="false">
      <c r="A18" s="5" t="s">
        <v>393</v>
      </c>
      <c r="B18" s="5" t="s">
        <v>394</v>
      </c>
      <c r="C18" s="11"/>
      <c r="D18" s="11"/>
    </row>
    <row r="19" customFormat="false" ht="15" hidden="false" customHeight="false" outlineLevel="0" collapsed="false">
      <c r="A19" s="5" t="s">
        <v>393</v>
      </c>
      <c r="B19" s="5" t="s">
        <v>395</v>
      </c>
      <c r="C19" s="11"/>
      <c r="D19" s="11"/>
    </row>
    <row r="20" customFormat="false" ht="15" hidden="false" customHeight="false" outlineLevel="0" collapsed="false">
      <c r="A20" s="5" t="s">
        <v>393</v>
      </c>
      <c r="B20" s="5" t="s">
        <v>396</v>
      </c>
      <c r="C20" s="11"/>
      <c r="D20" s="11"/>
    </row>
    <row r="21" customFormat="false" ht="15" hidden="false" customHeight="false" outlineLevel="0" collapsed="false">
      <c r="A21" s="5" t="s">
        <v>393</v>
      </c>
      <c r="B21" s="5" t="s">
        <v>397</v>
      </c>
      <c r="C21" s="11"/>
      <c r="D21" s="11"/>
    </row>
    <row r="22" customFormat="false" ht="15" hidden="false" customHeight="false" outlineLevel="0" collapsed="false">
      <c r="A22" s="5" t="s">
        <v>398</v>
      </c>
      <c r="B22" s="5" t="s">
        <v>399</v>
      </c>
      <c r="C22" s="11"/>
      <c r="D22" s="11"/>
    </row>
    <row r="23" customFormat="false" ht="15" hidden="false" customHeight="false" outlineLevel="0" collapsed="false">
      <c r="A23" s="5" t="s">
        <v>398</v>
      </c>
      <c r="B23" s="5" t="s">
        <v>386</v>
      </c>
      <c r="C23" s="11"/>
      <c r="D23" s="11"/>
    </row>
    <row r="24" customFormat="false" ht="15" hidden="false" customHeight="false" outlineLevel="0" collapsed="false">
      <c r="A24" s="5" t="s">
        <v>398</v>
      </c>
      <c r="B24" s="5" t="s">
        <v>400</v>
      </c>
      <c r="C24" s="11"/>
      <c r="D24" s="11"/>
    </row>
    <row r="25" customFormat="false" ht="15" hidden="false" customHeight="false" outlineLevel="0" collapsed="false">
      <c r="A25" s="5" t="s">
        <v>398</v>
      </c>
      <c r="B25" s="5" t="s">
        <v>401</v>
      </c>
      <c r="C25" s="11"/>
      <c r="D25" s="11"/>
    </row>
    <row r="27" customFormat="false" ht="35.05" hidden="false" customHeight="false" outlineLevel="0" collapsed="false">
      <c r="A27" s="12" t="s">
        <v>375</v>
      </c>
      <c r="B27" s="12" t="s">
        <v>402</v>
      </c>
      <c r="C27" s="12" t="s">
        <v>403</v>
      </c>
      <c r="D27" s="12" t="s">
        <v>404</v>
      </c>
      <c r="E27" s="12" t="s">
        <v>405</v>
      </c>
      <c r="F27" s="12" t="s">
        <v>406</v>
      </c>
    </row>
    <row r="28" customFormat="false" ht="15" hidden="false" customHeight="false" outlineLevel="0" collapsed="false">
      <c r="A28" s="20" t="s">
        <v>379</v>
      </c>
      <c r="B28" s="27" t="str">
        <f aca="false">IFERROR(AVERAGEIF($A$6:$A$25,A28,$C$6:$C$25),"")</f>
        <v/>
      </c>
      <c r="C28" s="28" t="n">
        <v>5</v>
      </c>
      <c r="D28" s="27" t="n">
        <f aca="false">IF(ISNUMBER(C28),C28,B28)</f>
        <v>5</v>
      </c>
      <c r="E28" s="15" t="str">
        <f aca="false">IF(D28="","",IF(D28&gt;=4,"Strong",IF(D28&gt;=2.5,"Moderate","Weak")))</f>
        <v>Strong</v>
      </c>
      <c r="F28" s="28" t="n">
        <v>5</v>
      </c>
    </row>
    <row r="29" customFormat="false" ht="15" hidden="false" customHeight="false" outlineLevel="0" collapsed="false">
      <c r="A29" s="20" t="s">
        <v>384</v>
      </c>
      <c r="B29" s="27" t="str">
        <f aca="false">IFERROR(AVERAGEIF($A$6:$A$25,A29,$C$6:$C$25),"")</f>
        <v/>
      </c>
      <c r="C29" s="28" t="n">
        <v>4</v>
      </c>
      <c r="D29" s="27" t="n">
        <f aca="false">IF(ISNUMBER(C29),C29,B29)</f>
        <v>4</v>
      </c>
      <c r="E29" s="15" t="str">
        <f aca="false">IF(D29="","",IF(D29&gt;=4,"Strong",IF(D29&gt;=2.5,"Moderate","Weak")))</f>
        <v>Strong</v>
      </c>
      <c r="F29" s="28" t="n">
        <v>3</v>
      </c>
    </row>
    <row r="30" customFormat="false" ht="15" hidden="false" customHeight="false" outlineLevel="0" collapsed="false">
      <c r="A30" s="20" t="s">
        <v>389</v>
      </c>
      <c r="B30" s="27" t="str">
        <f aca="false">IFERROR(AVERAGEIF($A$6:$A$25,A30,$C$6:$C$25),"")</f>
        <v/>
      </c>
      <c r="C30" s="28" t="n">
        <v>3</v>
      </c>
      <c r="D30" s="27" t="n">
        <f aca="false">IF(ISNUMBER(C30),C30,B30)</f>
        <v>3</v>
      </c>
      <c r="E30" s="15" t="str">
        <f aca="false">IF(D30="","",IF(D30&gt;=4,"Strong",IF(D30&gt;=2.5,"Moderate","Weak")))</f>
        <v>Moderate</v>
      </c>
      <c r="F30" s="28" t="n">
        <v>4</v>
      </c>
    </row>
    <row r="31" customFormat="false" ht="15" hidden="false" customHeight="false" outlineLevel="0" collapsed="false">
      <c r="A31" s="20" t="s">
        <v>393</v>
      </c>
      <c r="B31" s="27" t="str">
        <f aca="false">IFERROR(AVERAGEIF($A$6:$A$25,A31,$C$6:$C$25),"")</f>
        <v/>
      </c>
      <c r="C31" s="28" t="n">
        <v>4</v>
      </c>
      <c r="D31" s="27" t="n">
        <f aca="false">IF(ISNUMBER(C31),C31,B31)</f>
        <v>4</v>
      </c>
      <c r="E31" s="15" t="str">
        <f aca="false">IF(D31="","",IF(D31&gt;=4,"Strong",IF(D31&gt;=2.5,"Moderate","Weak")))</f>
        <v>Strong</v>
      </c>
      <c r="F31" s="28" t="n">
        <v>4</v>
      </c>
    </row>
    <row r="32" customFormat="false" ht="15" hidden="false" customHeight="false" outlineLevel="0" collapsed="false">
      <c r="A32" s="20" t="s">
        <v>398</v>
      </c>
      <c r="B32" s="27" t="str">
        <f aca="false">IFERROR(AVERAGEIF($A$6:$A$25,A32,$C$6:$C$25),"")</f>
        <v/>
      </c>
      <c r="C32" s="28" t="n">
        <v>2</v>
      </c>
      <c r="D32" s="27" t="n">
        <f aca="false">IF(ISNUMBER(C32),C32,B32)</f>
        <v>2</v>
      </c>
      <c r="E32" s="15" t="str">
        <f aca="false">IF(D32="","",IF(D32&gt;=4,"Strong",IF(D32&gt;=2.5,"Moderate","Weak")))</f>
        <v>Weak</v>
      </c>
      <c r="F32" s="28" t="n">
        <v>2</v>
      </c>
    </row>
    <row r="34" customFormat="false" ht="15" hidden="false" customHeight="false" outlineLevel="0" collapsed="false">
      <c r="A34" s="20" t="s">
        <v>407</v>
      </c>
      <c r="B34" s="29" t="n">
        <f aca="false">IFERROR(6-AVERAGE(D28:D32),"")</f>
        <v>2.4</v>
      </c>
    </row>
    <row r="35" customFormat="false" ht="15" hidden="false" customHeight="false" outlineLevel="0" collapsed="false">
      <c r="A35" s="20" t="s">
        <v>408</v>
      </c>
      <c r="B35" s="27" t="n">
        <f aca="false">IF(COUNT(F28:F32)=5,6-AVERAGE(F28:F32),"")</f>
        <v>2.4</v>
      </c>
    </row>
    <row r="37" customFormat="false" ht="15" hidden="false" customHeight="false" outlineLevel="0" collapsed="false">
      <c r="A37" s="3" t="s">
        <v>409</v>
      </c>
    </row>
    <row r="38" customFormat="false" ht="15" hidden="false" customHeight="false" outlineLevel="0" collapsed="false">
      <c r="A38" s="3" t="s">
        <v>410</v>
      </c>
    </row>
  </sheetData>
  <conditionalFormatting sqref="E28:E32">
    <cfRule type="expression" priority="2" aboveAverage="0" equalAverage="0" bottom="0" percent="0" rank="0" text="" dxfId="0">
      <formula>E28="Weak"</formula>
    </cfRule>
    <cfRule type="expression" priority="3" aboveAverage="0" equalAverage="0" bottom="0" percent="0" rank="0" text="" dxfId="1">
      <formula>E28="Moderate"</formula>
    </cfRule>
    <cfRule type="expression" priority="4" aboveAverage="0" equalAverage="0" bottom="0" percent="0" rank="0" text="" dxfId="2">
      <formula>E28="Strong"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C6:C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6" min="5" style="0" width="16"/>
    <col collapsed="false" customWidth="true" hidden="false" outlineLevel="0" max="10" min="7" style="0" width="10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7" t="s">
        <v>411</v>
      </c>
    </row>
    <row r="2" customFormat="false" ht="15" hidden="false" customHeight="false" outlineLevel="0" collapsed="false">
      <c r="A2" s="3" t="s">
        <v>412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332</v>
      </c>
      <c r="B5" s="12" t="s">
        <v>413</v>
      </c>
      <c r="C5" s="12" t="s">
        <v>414</v>
      </c>
      <c r="D5" s="12" t="s">
        <v>415</v>
      </c>
      <c r="E5" s="12" t="s">
        <v>328</v>
      </c>
      <c r="F5" s="12" t="s">
        <v>416</v>
      </c>
      <c r="G5" s="12" t="s">
        <v>417</v>
      </c>
      <c r="H5" s="12" t="s">
        <v>418</v>
      </c>
      <c r="I5" s="12" t="s">
        <v>419</v>
      </c>
      <c r="J5" s="12" t="s">
        <v>420</v>
      </c>
      <c r="K5" s="12" t="s">
        <v>421</v>
      </c>
      <c r="L5" s="12" t="s">
        <v>422</v>
      </c>
    </row>
    <row r="6" customFormat="false" ht="30" hidden="false" customHeight="true" outlineLevel="0" collapsed="false">
      <c r="A6" s="11" t="s">
        <v>93</v>
      </c>
      <c r="B6" s="11" t="s">
        <v>423</v>
      </c>
      <c r="C6" s="11" t="s">
        <v>340</v>
      </c>
      <c r="D6" s="11" t="s">
        <v>424</v>
      </c>
      <c r="E6" s="11" t="s">
        <v>344</v>
      </c>
      <c r="F6" s="11" t="s">
        <v>425</v>
      </c>
      <c r="G6" s="11" t="s">
        <v>225</v>
      </c>
      <c r="H6" s="11" t="s">
        <v>225</v>
      </c>
      <c r="I6" s="11" t="s">
        <v>225</v>
      </c>
      <c r="J6" s="11" t="s">
        <v>225</v>
      </c>
      <c r="K6" s="16" t="str">
        <f aca="false">IF(B6="","",IF(COUNTIF(G6:J6,"Yes")=4,"Driver","Demoted"))</f>
        <v>Driver</v>
      </c>
      <c r="L6" s="11" t="s">
        <v>426</v>
      </c>
    </row>
    <row r="7" customFormat="false" ht="30" hidden="false" customHeight="true" outlineLevel="0" collapsed="false">
      <c r="A7" s="11" t="s">
        <v>96</v>
      </c>
      <c r="B7" s="11" t="s">
        <v>427</v>
      </c>
      <c r="C7" s="11" t="s">
        <v>428</v>
      </c>
      <c r="D7" s="11"/>
      <c r="E7" s="11" t="s">
        <v>360</v>
      </c>
      <c r="F7" s="11"/>
      <c r="G7" s="11" t="s">
        <v>225</v>
      </c>
      <c r="H7" s="11" t="s">
        <v>225</v>
      </c>
      <c r="I7" s="11" t="s">
        <v>225</v>
      </c>
      <c r="J7" s="11" t="s">
        <v>225</v>
      </c>
      <c r="K7" s="16" t="str">
        <f aca="false">IF(B7="","",IF(COUNTIF(G7:J7,"Yes")=4,"Driver","Demoted"))</f>
        <v>Driver</v>
      </c>
      <c r="L7" s="11" t="s">
        <v>426</v>
      </c>
    </row>
    <row r="8" customFormat="false" ht="30" hidden="false" customHeight="true" outlineLevel="0" collapsed="false">
      <c r="A8" s="11" t="s">
        <v>99</v>
      </c>
      <c r="B8" s="11" t="s">
        <v>429</v>
      </c>
      <c r="C8" s="11" t="s">
        <v>352</v>
      </c>
      <c r="D8" s="11"/>
      <c r="E8" s="11" t="s">
        <v>360</v>
      </c>
      <c r="F8" s="11"/>
      <c r="G8" s="11" t="s">
        <v>225</v>
      </c>
      <c r="H8" s="11" t="s">
        <v>225</v>
      </c>
      <c r="I8" s="11" t="s">
        <v>225</v>
      </c>
      <c r="J8" s="11" t="s">
        <v>225</v>
      </c>
      <c r="K8" s="16" t="str">
        <f aca="false">IF(B8="","",IF(COUNTIF(G8:J8,"Yes")=4,"Driver","Demoted"))</f>
        <v>Driver</v>
      </c>
      <c r="L8" s="11" t="s">
        <v>426</v>
      </c>
    </row>
    <row r="9" customFormat="false" ht="30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6" t="str">
        <f aca="false">IF(B9="","",IF(COUNTIF(G9:J9,"Yes")=4,"Driver","Demoted"))</f>
        <v/>
      </c>
      <c r="L9" s="11"/>
    </row>
    <row r="10" customFormat="false" ht="30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6" t="str">
        <f aca="false">IF(B10="","",IF(COUNTIF(G10:J10,"Yes")=4,"Driver","Demoted"))</f>
        <v/>
      </c>
      <c r="L10" s="11"/>
    </row>
    <row r="11" customFormat="false" ht="30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6" t="str">
        <f aca="false">IF(B11="","",IF(COUNTIF(G11:J11,"Yes")=4,"Driver","Demoted"))</f>
        <v/>
      </c>
      <c r="L11" s="11"/>
    </row>
    <row r="12" customFormat="false" ht="30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6" t="str">
        <f aca="false">IF(B12="","",IF(COUNTIF(G12:J12,"Yes")=4,"Driver","Demoted"))</f>
        <v/>
      </c>
      <c r="L12" s="11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6" t="str">
        <f aca="false">IF(B13="","",IF(COUNTIF(G13:J13,"Yes")=4,"Driver","Demoted"))</f>
        <v/>
      </c>
      <c r="L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6" t="str">
        <f aca="false">IF(B14="","",IF(COUNTIF(G14:J14,"Yes")=4,"Driver","Demoted"))</f>
        <v/>
      </c>
      <c r="L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6" t="str">
        <f aca="false">IF(B15="","",IF(COUNTIF(G15:J15,"Yes")=4,"Driver","Demoted"))</f>
        <v/>
      </c>
      <c r="L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6" t="str">
        <f aca="false">IF(B16="","",IF(COUNTIF(G16:J16,"Yes")=4,"Driver","Demoted"))</f>
        <v/>
      </c>
      <c r="L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6" t="str">
        <f aca="false">IF(B17="","",IF(COUNTIF(G17:J17,"Yes")=4,"Driver","Demoted"))</f>
        <v/>
      </c>
      <c r="L17" s="11"/>
    </row>
    <row r="19" customFormat="false" ht="23.85" hidden="false" customHeight="false" outlineLevel="0" collapsed="false">
      <c r="A19" s="20" t="s">
        <v>430</v>
      </c>
      <c r="C19" s="16" t="str">
        <f aca="false">COUNTIF(K6:K17,"Driver")&amp;" of "&amp;COUNTA(B6:B17)&amp;" candidates"</f>
        <v>3 of 3 candidates</v>
      </c>
      <c r="D19" s="15" t="str">
        <f aca="false">IF(COUNTA(B6:B17)=0,"",IF(AND(COUNTIF(K6:K17,"Driver")&gt;=3,COUNTIF(K6:K17,"Driver")&lt;=5),"OK: 3-5 drivers","Aim for 3-5 drivers"))</f>
        <v>OK: 3-5 drivers</v>
      </c>
    </row>
  </sheetData>
  <conditionalFormatting sqref="K6:K17">
    <cfRule type="expression" priority="2" aboveAverage="0" equalAverage="0" bottom="0" percent="0" rank="0" text="" dxfId="0">
      <formula>K6="Driver"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K6="Demoted"</formula>
    </cfRule>
  </conditionalFormatting>
  <dataValidations count="2">
    <dataValidation allowBlank="true" errorStyle="stop" operator="between" showDropDown="false" showErrorMessage="false" showInputMessage="false" sqref="G6:J17" type="list">
      <formula1>"Yes,No"</formula1>
      <formula2>0</formula2>
    </dataValidation>
    <dataValidation allowBlank="true" errorStyle="stop" operator="between" showDropDown="false" showErrorMessage="false" showInputMessage="false" sqref="L6:L17" type="list">
      <formula1>"expanding,compressing,redistributing"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10" min="5" style="0" width="13"/>
  </cols>
  <sheetData>
    <row r="1" customFormat="false" ht="19.7" hidden="false" customHeight="false" outlineLevel="0" collapsed="false">
      <c r="A1" s="7" t="s">
        <v>431</v>
      </c>
    </row>
    <row r="2" customFormat="false" ht="15" hidden="false" customHeight="false" outlineLevel="0" collapsed="false">
      <c r="A2" s="3" t="s">
        <v>432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332</v>
      </c>
      <c r="B5" s="12" t="s">
        <v>433</v>
      </c>
      <c r="C5" s="12" t="s">
        <v>434</v>
      </c>
      <c r="D5" s="12" t="s">
        <v>435</v>
      </c>
      <c r="E5" s="30" t="s">
        <v>214</v>
      </c>
      <c r="F5" s="30" t="s">
        <v>259</v>
      </c>
      <c r="G5" s="30" t="s">
        <v>263</v>
      </c>
      <c r="H5" s="30" t="s">
        <v>261</v>
      </c>
      <c r="I5" s="30" t="s">
        <v>265</v>
      </c>
      <c r="J5" s="30" t="s">
        <v>264</v>
      </c>
    </row>
    <row r="6" customFormat="false" ht="15" hidden="false" customHeight="false" outlineLevel="0" collapsed="false">
      <c r="A6" s="11" t="s">
        <v>189</v>
      </c>
      <c r="B6" s="11" t="s">
        <v>436</v>
      </c>
      <c r="C6" s="31" t="n">
        <v>0.3</v>
      </c>
      <c r="D6" s="11" t="s">
        <v>437</v>
      </c>
      <c r="E6" s="11" t="n">
        <v>5</v>
      </c>
      <c r="F6" s="11" t="n">
        <v>4</v>
      </c>
      <c r="G6" s="11" t="n">
        <v>3</v>
      </c>
      <c r="H6" s="11" t="n">
        <v>4</v>
      </c>
      <c r="I6" s="11" t="n">
        <v>3</v>
      </c>
      <c r="J6" s="11" t="n">
        <v>2</v>
      </c>
    </row>
    <row r="7" customFormat="false" ht="15" hidden="false" customHeight="false" outlineLevel="0" collapsed="false">
      <c r="A7" s="11" t="s">
        <v>192</v>
      </c>
      <c r="B7" s="11" t="s">
        <v>438</v>
      </c>
      <c r="C7" s="31" t="n">
        <v>0.25</v>
      </c>
      <c r="D7" s="11" t="s">
        <v>439</v>
      </c>
      <c r="E7" s="11" t="n">
        <v>3</v>
      </c>
      <c r="F7" s="11" t="n">
        <v>5</v>
      </c>
      <c r="G7" s="11" t="n">
        <v>2</v>
      </c>
      <c r="H7" s="11" t="n">
        <v>3</v>
      </c>
      <c r="I7" s="11" t="n">
        <v>5</v>
      </c>
      <c r="J7" s="11" t="n">
        <v>2</v>
      </c>
    </row>
    <row r="8" customFormat="false" ht="15" hidden="false" customHeight="false" outlineLevel="0" collapsed="false">
      <c r="A8" s="11" t="s">
        <v>195</v>
      </c>
      <c r="B8" s="11" t="s">
        <v>440</v>
      </c>
      <c r="C8" s="31" t="n">
        <v>0.2</v>
      </c>
      <c r="D8" s="11" t="s">
        <v>96</v>
      </c>
      <c r="E8" s="11" t="n">
        <v>2</v>
      </c>
      <c r="F8" s="11" t="n">
        <v>4</v>
      </c>
      <c r="G8" s="11" t="n">
        <v>5</v>
      </c>
      <c r="H8" s="11" t="n">
        <v>3</v>
      </c>
      <c r="I8" s="11" t="n">
        <v>1</v>
      </c>
      <c r="J8" s="11" t="n">
        <v>5</v>
      </c>
    </row>
    <row r="9" customFormat="false" ht="15" hidden="false" customHeight="false" outlineLevel="0" collapsed="false">
      <c r="A9" s="11" t="s">
        <v>196</v>
      </c>
      <c r="B9" s="11" t="s">
        <v>441</v>
      </c>
      <c r="C9" s="31" t="n">
        <v>0.15</v>
      </c>
      <c r="D9" s="11" t="s">
        <v>442</v>
      </c>
      <c r="E9" s="11" t="n">
        <v>2</v>
      </c>
      <c r="F9" s="11" t="n">
        <v>3</v>
      </c>
      <c r="G9" s="11" t="n">
        <v>5</v>
      </c>
      <c r="H9" s="11" t="n">
        <v>3</v>
      </c>
      <c r="I9" s="11" t="n">
        <v>2</v>
      </c>
      <c r="J9" s="11" t="n">
        <v>4</v>
      </c>
    </row>
    <row r="10" customFormat="false" ht="15" hidden="false" customHeight="false" outlineLevel="0" collapsed="false">
      <c r="A10" s="11" t="s">
        <v>197</v>
      </c>
      <c r="B10" s="11" t="s">
        <v>443</v>
      </c>
      <c r="C10" s="31" t="n">
        <v>0.1</v>
      </c>
      <c r="D10" s="11" t="s">
        <v>99</v>
      </c>
      <c r="E10" s="11" t="n">
        <v>3</v>
      </c>
      <c r="F10" s="11" t="n">
        <v>5</v>
      </c>
      <c r="G10" s="11" t="n">
        <v>4</v>
      </c>
      <c r="H10" s="11" t="n">
        <v>3</v>
      </c>
      <c r="I10" s="11" t="n">
        <v>2</v>
      </c>
      <c r="J10" s="11" t="n">
        <v>3</v>
      </c>
    </row>
    <row r="11" customFormat="false" ht="15" hidden="false" customHeight="false" outlineLevel="0" collapsed="false">
      <c r="A11" s="11"/>
      <c r="B11" s="11"/>
      <c r="C11" s="31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31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31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31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31"/>
      <c r="D15" s="11"/>
      <c r="E15" s="11"/>
      <c r="F15" s="11"/>
      <c r="G15" s="11"/>
      <c r="H15" s="11"/>
      <c r="I15" s="11"/>
      <c r="J15" s="11"/>
    </row>
    <row r="16" customFormat="false" ht="15" hidden="false" customHeight="false" outlineLevel="0" collapsed="false">
      <c r="B16" s="20" t="s">
        <v>444</v>
      </c>
      <c r="C16" s="32" t="n">
        <f aca="false">SUM(C6:C15)</f>
        <v>1</v>
      </c>
      <c r="D16" s="15" t="str">
        <f aca="false">IF(ABS(C16-1)&lt;0.001,"OK","Weights must sum to 100%")</f>
        <v>OK</v>
      </c>
    </row>
    <row r="17" customFormat="false" ht="15" hidden="false" customHeight="false" outlineLevel="0" collapsed="false">
      <c r="B17" s="20" t="s">
        <v>445</v>
      </c>
      <c r="E17" s="33" t="n">
        <f aca="false">IF(COUNT(E6:E15)=0,"",SUMPRODUCT($C$6:$C$15,E6:E15))</f>
        <v>3.25</v>
      </c>
      <c r="F17" s="33" t="n">
        <f aca="false">IF(COUNT(F6:F15)=0,"",SUMPRODUCT($C$6:$C$15,F6:F15))</f>
        <v>4.2</v>
      </c>
      <c r="G17" s="33" t="n">
        <f aca="false">IF(COUNT(G6:G15)=0,"",SUMPRODUCT($C$6:$C$15,G6:G15))</f>
        <v>3.55</v>
      </c>
      <c r="H17" s="33" t="n">
        <f aca="false">IF(COUNT(H6:H15)=0,"",SUMPRODUCT($C$6:$C$15,H6:H15))</f>
        <v>3.3</v>
      </c>
      <c r="I17" s="33" t="n">
        <f aca="false">IF(COUNT(I6:I15)=0,"",SUMPRODUCT($C$6:$C$15,I6:I15))</f>
        <v>2.85</v>
      </c>
      <c r="J17" s="33" t="n">
        <f aca="false">IF(COUNT(J6:J15)=0,"",SUMPRODUCT($C$6:$C$15,J6:J15))</f>
        <v>3</v>
      </c>
    </row>
    <row r="18" customFormat="false" ht="15" hidden="false" customHeight="false" outlineLevel="0" collapsed="false">
      <c r="B18" s="20" t="s">
        <v>446</v>
      </c>
      <c r="E18" s="26" t="n">
        <f aca="false">IF(E17="","",RANK(E17,$E$17:$J$17))</f>
        <v>4</v>
      </c>
      <c r="F18" s="26" t="n">
        <f aca="false">IF(F17="","",RANK(F17,$E$17:$J$17))</f>
        <v>1</v>
      </c>
      <c r="G18" s="26" t="n">
        <f aca="false">IF(G17="","",RANK(G17,$E$17:$J$17))</f>
        <v>2</v>
      </c>
      <c r="H18" s="26" t="n">
        <f aca="false">IF(H17="","",RANK(H17,$E$17:$J$17))</f>
        <v>3</v>
      </c>
      <c r="I18" s="26" t="n">
        <f aca="false">IF(I17="","",RANK(I17,$E$17:$J$17))</f>
        <v>6</v>
      </c>
      <c r="J18" s="26" t="n">
        <f aca="false">IF(J17="","",RANK(J17,$E$17:$J$17))</f>
        <v>5</v>
      </c>
    </row>
  </sheetData>
  <conditionalFormatting sqref="D16">
    <cfRule type="expression" priority="2" aboveAverage="0" equalAverage="0" bottom="0" percent="0" rank="0" text="" dxfId="0">
      <formula>D16="OK"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D16&lt;&gt;"OK"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E6:J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7B9D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9" min="6" style="0" width="2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9.7" hidden="false" customHeight="false" outlineLevel="0" collapsed="false">
      <c r="A1" s="7" t="s">
        <v>22</v>
      </c>
    </row>
    <row r="2" customFormat="false" ht="15" hidden="false" customHeight="false" outlineLevel="0" collapsed="false">
      <c r="A2" s="3" t="s">
        <v>447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20" t="s">
        <v>448</v>
      </c>
      <c r="B5" s="11" t="s">
        <v>449</v>
      </c>
      <c r="C5" s="11"/>
      <c r="D5" s="11"/>
      <c r="E5" s="11"/>
    </row>
    <row r="6" customFormat="false" ht="15" hidden="false" customHeight="true" outlineLevel="0" collapsed="false">
      <c r="A6" s="20" t="s">
        <v>450</v>
      </c>
      <c r="B6" s="11" t="s">
        <v>451</v>
      </c>
      <c r="C6" s="11"/>
      <c r="D6" s="11"/>
      <c r="E6" s="11"/>
    </row>
    <row r="8" customFormat="false" ht="30" hidden="false" customHeight="true" outlineLevel="0" collapsed="false">
      <c r="A8" s="12" t="s">
        <v>256</v>
      </c>
      <c r="B8" s="12" t="s">
        <v>452</v>
      </c>
      <c r="C8" s="12" t="s">
        <v>453</v>
      </c>
      <c r="D8" s="12" t="s">
        <v>454</v>
      </c>
    </row>
    <row r="9" customFormat="false" ht="15" hidden="false" customHeight="false" outlineLevel="0" collapsed="false">
      <c r="A9" s="11" t="s">
        <v>214</v>
      </c>
      <c r="B9" s="28" t="n">
        <v>3</v>
      </c>
      <c r="C9" s="28" t="n">
        <v>5</v>
      </c>
      <c r="D9" s="28" t="n">
        <v>22</v>
      </c>
    </row>
    <row r="10" customFormat="false" ht="15" hidden="false" customHeight="false" outlineLevel="0" collapsed="false">
      <c r="A10" s="11" t="s">
        <v>259</v>
      </c>
      <c r="B10" s="28" t="n">
        <v>7</v>
      </c>
      <c r="C10" s="28" t="n">
        <v>9</v>
      </c>
      <c r="D10" s="28" t="n">
        <v>11</v>
      </c>
    </row>
    <row r="11" customFormat="false" ht="15" hidden="false" customHeight="false" outlineLevel="0" collapsed="false">
      <c r="A11" s="11" t="s">
        <v>263</v>
      </c>
      <c r="B11" s="28" t="n">
        <v>6</v>
      </c>
      <c r="C11" s="28" t="n">
        <v>4</v>
      </c>
      <c r="D11" s="28" t="n">
        <v>7</v>
      </c>
    </row>
    <row r="12" customFormat="false" ht="15" hidden="false" customHeight="false" outlineLevel="0" collapsed="false">
      <c r="A12" s="11" t="s">
        <v>261</v>
      </c>
      <c r="B12" s="28" t="n">
        <v>4</v>
      </c>
      <c r="C12" s="28" t="n">
        <v>5</v>
      </c>
      <c r="D12" s="28" t="n">
        <v>8</v>
      </c>
    </row>
    <row r="13" customFormat="false" ht="15" hidden="false" customHeight="false" outlineLevel="0" collapsed="false">
      <c r="A13" s="11" t="s">
        <v>265</v>
      </c>
      <c r="B13" s="28" t="n">
        <v>5</v>
      </c>
      <c r="C13" s="28" t="n">
        <v>9</v>
      </c>
      <c r="D13" s="28" t="n">
        <v>2</v>
      </c>
    </row>
    <row r="14" customFormat="false" ht="15" hidden="false" customHeight="false" outlineLevel="0" collapsed="false">
      <c r="A14" s="11" t="s">
        <v>264</v>
      </c>
      <c r="B14" s="28" t="n">
        <v>5</v>
      </c>
      <c r="C14" s="28" t="n">
        <v>3</v>
      </c>
      <c r="D14" s="28" t="n">
        <v>4</v>
      </c>
    </row>
    <row r="15" customFormat="false" ht="15" hidden="false" customHeight="false" outlineLevel="0" collapsed="false">
      <c r="A15" s="11"/>
      <c r="B15" s="28"/>
      <c r="C15" s="28"/>
      <c r="D15" s="28"/>
    </row>
    <row r="16" customFormat="false" ht="15" hidden="false" customHeight="false" outlineLevel="0" collapsed="false">
      <c r="A16" s="11"/>
      <c r="B16" s="28"/>
      <c r="C16" s="28"/>
      <c r="D16" s="28"/>
    </row>
    <row r="17" customFormat="false" ht="15" hidden="false" customHeight="false" outlineLevel="0" collapsed="false">
      <c r="A17" s="11"/>
      <c r="B17" s="28"/>
      <c r="C17" s="28"/>
      <c r="D17" s="28"/>
    </row>
    <row r="18" customFormat="false" ht="15" hidden="false" customHeight="false" outlineLevel="0" collapsed="false">
      <c r="A18" s="11"/>
      <c r="B18" s="28"/>
      <c r="C18" s="28"/>
      <c r="D18" s="28"/>
    </row>
    <row r="30" customFormat="false" ht="15" hidden="false" customHeight="false" outlineLevel="0" collapsed="false">
      <c r="A30" s="17" t="s">
        <v>455</v>
      </c>
    </row>
    <row r="31" customFormat="false" ht="30" hidden="false" customHeight="true" outlineLevel="0" collapsed="false">
      <c r="A31" s="12" t="s">
        <v>446</v>
      </c>
      <c r="B31" s="12" t="s">
        <v>456</v>
      </c>
      <c r="C31" s="12" t="s">
        <v>457</v>
      </c>
      <c r="D31" s="12" t="s">
        <v>458</v>
      </c>
      <c r="E31" s="12" t="s">
        <v>459</v>
      </c>
      <c r="F31" s="12" t="s">
        <v>460</v>
      </c>
      <c r="G31" s="12" t="s">
        <v>461</v>
      </c>
      <c r="H31" s="12" t="s">
        <v>462</v>
      </c>
      <c r="I31" s="12" t="s">
        <v>463</v>
      </c>
      <c r="J31" s="12" t="s">
        <v>464</v>
      </c>
    </row>
    <row r="32" customFormat="false" ht="36" hidden="false" customHeight="true" outlineLevel="0" collapsed="false">
      <c r="A32" s="19" t="n">
        <v>1</v>
      </c>
      <c r="B32" s="28" t="n">
        <v>3</v>
      </c>
      <c r="C32" s="28" t="n">
        <v>7</v>
      </c>
      <c r="D32" s="11" t="s">
        <v>465</v>
      </c>
      <c r="E32" s="11" t="s">
        <v>466</v>
      </c>
      <c r="F32" s="11" t="s">
        <v>467</v>
      </c>
      <c r="G32" s="11" t="s">
        <v>468</v>
      </c>
      <c r="H32" s="11" t="s">
        <v>469</v>
      </c>
      <c r="I32" s="11" t="s">
        <v>470</v>
      </c>
      <c r="J32" s="11" t="s">
        <v>471</v>
      </c>
    </row>
    <row r="33" customFormat="false" ht="36" hidden="false" customHeight="true" outlineLevel="0" collapsed="false">
      <c r="A33" s="19" t="n">
        <v>2</v>
      </c>
      <c r="B33" s="28" t="n">
        <v>8</v>
      </c>
      <c r="C33" s="28" t="n">
        <v>9</v>
      </c>
      <c r="D33" s="11" t="s">
        <v>472</v>
      </c>
      <c r="E33" s="11" t="s">
        <v>473</v>
      </c>
      <c r="F33" s="11"/>
      <c r="G33" s="11" t="s">
        <v>474</v>
      </c>
      <c r="H33" s="11" t="s">
        <v>475</v>
      </c>
      <c r="I33" s="11" t="s">
        <v>476</v>
      </c>
      <c r="J33" s="11" t="s">
        <v>477</v>
      </c>
    </row>
    <row r="34" customFormat="false" ht="36" hidden="false" customHeight="true" outlineLevel="0" collapsed="false">
      <c r="A34" s="19"/>
      <c r="B34" s="28"/>
      <c r="C34" s="28"/>
      <c r="D34" s="11"/>
      <c r="E34" s="11"/>
      <c r="F34" s="11"/>
      <c r="G34" s="11"/>
      <c r="H34" s="11"/>
      <c r="I34" s="11"/>
      <c r="J34" s="11"/>
    </row>
    <row r="35" customFormat="false" ht="36" hidden="false" customHeight="true" outlineLevel="0" collapsed="false">
      <c r="A35" s="19"/>
      <c r="B35" s="28"/>
      <c r="C35" s="28"/>
      <c r="D35" s="11"/>
      <c r="E35" s="11"/>
      <c r="F35" s="11"/>
      <c r="G35" s="11"/>
      <c r="H35" s="11"/>
      <c r="I35" s="11"/>
      <c r="J35" s="11"/>
    </row>
    <row r="36" customFormat="false" ht="36" hidden="false" customHeight="true" outlineLevel="0" collapsed="false">
      <c r="A36" s="19"/>
      <c r="B36" s="28"/>
      <c r="C36" s="28"/>
      <c r="D36" s="11"/>
      <c r="E36" s="11"/>
      <c r="F36" s="11"/>
      <c r="G36" s="11"/>
      <c r="H36" s="11"/>
      <c r="I36" s="11"/>
      <c r="J36" s="11"/>
    </row>
  </sheetData>
  <mergeCells count="2">
    <mergeCell ref="B5:E5"/>
    <mergeCell ref="B6:E6"/>
  </mergeCells>
  <conditionalFormatting sqref="J32:J36">
    <cfRule type="expression" priority="2" aboveAverage="0" equalAverage="0" bottom="0" percent="0" rank="0" text="" dxfId="0">
      <formula>J32="supported"</formula>
    </cfRule>
    <cfRule type="expression" priority="3" aboveAverage="0" equalAverage="0" bottom="0" percent="0" rank="0" text="" dxfId="1">
      <formula>J32="UNVALIDATED"</formula>
    </cfRule>
    <cfRule type="expression" priority="4" aboveAverage="0" equalAverage="0" bottom="0" percent="0" rank="0" text="" dxfId="2">
      <formula>J32="gap"</formula>
    </cfRule>
  </conditionalFormatting>
  <dataValidations count="2">
    <dataValidation allowBlank="true" errorStyle="stop" operator="between" showDropDown="false" showErrorMessage="false" showInputMessage="false" sqref="J32:J36" type="list">
      <formula1>"UNVALIDATED,supported,gap"</formula1>
      <formula2>0</formula2>
    </dataValidation>
    <dataValidation allowBlank="true" errorStyle="stop" operator="between" showDropDown="false" showErrorMessage="false" showInputMessage="false" sqref="D32:D36" type="list">
      <formula1>"unpriced,evidence of demand,tested"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8" min="6" style="0" width="12"/>
    <col collapsed="false" customWidth="true" hidden="false" outlineLevel="0" max="9" min="9" style="0" width="24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7" t="s">
        <v>25</v>
      </c>
    </row>
    <row r="2" customFormat="false" ht="15" hidden="false" customHeight="false" outlineLevel="0" collapsed="false">
      <c r="A2" s="3" t="s">
        <v>478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332</v>
      </c>
      <c r="B5" s="12" t="s">
        <v>479</v>
      </c>
      <c r="C5" s="12" t="s">
        <v>480</v>
      </c>
      <c r="D5" s="12" t="s">
        <v>278</v>
      </c>
      <c r="E5" s="12" t="s">
        <v>481</v>
      </c>
      <c r="F5" s="12" t="s">
        <v>482</v>
      </c>
      <c r="G5" s="12" t="s">
        <v>483</v>
      </c>
      <c r="H5" s="12" t="s">
        <v>484</v>
      </c>
      <c r="I5" s="12" t="s">
        <v>485</v>
      </c>
      <c r="J5" s="12" t="s">
        <v>486</v>
      </c>
    </row>
    <row r="6" customFormat="false" ht="15" hidden="false" customHeight="false" outlineLevel="0" collapsed="false">
      <c r="A6" s="11" t="s">
        <v>487</v>
      </c>
      <c r="B6" s="11" t="s">
        <v>488</v>
      </c>
      <c r="C6" s="11" t="s">
        <v>166</v>
      </c>
      <c r="D6" s="11" t="s">
        <v>489</v>
      </c>
      <c r="E6" s="11" t="s">
        <v>490</v>
      </c>
      <c r="F6" s="31" t="n">
        <v>0.35</v>
      </c>
      <c r="G6" s="31" t="n">
        <v>0.3</v>
      </c>
      <c r="H6" s="34" t="n">
        <f aca="false">IF(OR(F6="",G6=""),"",G6-F6)</f>
        <v>-0.05</v>
      </c>
      <c r="I6" s="15" t="str">
        <f aca="false">IF(B6="","",IF(H6="","No figures",IF(H6&gt;0.05,"Differentiating engine",IF(H6&lt;-0.05,"Value trap","In balance"))))</f>
        <v>In balance</v>
      </c>
      <c r="J6" s="11" t="s">
        <v>189</v>
      </c>
    </row>
    <row r="7" customFormat="false" ht="15" hidden="false" customHeight="false" outlineLevel="0" collapsed="false">
      <c r="A7" s="11" t="s">
        <v>491</v>
      </c>
      <c r="B7" s="11" t="s">
        <v>492</v>
      </c>
      <c r="C7" s="11" t="s">
        <v>166</v>
      </c>
      <c r="D7" s="11" t="s">
        <v>493</v>
      </c>
      <c r="E7" s="11" t="s">
        <v>490</v>
      </c>
      <c r="F7" s="31" t="n">
        <v>0.25</v>
      </c>
      <c r="G7" s="31" t="n">
        <v>0.15</v>
      </c>
      <c r="H7" s="34" t="n">
        <f aca="false">IF(OR(F7="",G7=""),"",G7-F7)</f>
        <v>-0.1</v>
      </c>
      <c r="I7" s="15" t="str">
        <f aca="false">IF(B7="","",IF(H7="","No figures",IF(H7&gt;0.05,"Differentiating engine",IF(H7&lt;-0.05,"Value trap","In balance"))))</f>
        <v>Value trap</v>
      </c>
      <c r="J7" s="11" t="s">
        <v>195</v>
      </c>
    </row>
    <row r="8" customFormat="false" ht="15" hidden="false" customHeight="false" outlineLevel="0" collapsed="false">
      <c r="A8" s="11" t="s">
        <v>494</v>
      </c>
      <c r="B8" s="11" t="s">
        <v>495</v>
      </c>
      <c r="C8" s="11" t="s">
        <v>496</v>
      </c>
      <c r="D8" s="11" t="s">
        <v>497</v>
      </c>
      <c r="E8" s="11" t="s">
        <v>498</v>
      </c>
      <c r="F8" s="31" t="n">
        <v>0.08</v>
      </c>
      <c r="G8" s="31" t="n">
        <v>0.18</v>
      </c>
      <c r="H8" s="34" t="n">
        <f aca="false">IF(OR(F8="",G8=""),"",G8-F8)</f>
        <v>0.1</v>
      </c>
      <c r="I8" s="15" t="str">
        <f aca="false">IF(B8="","",IF(H8="","No figures",IF(H8&gt;0.05,"Differentiating engine",IF(H8&lt;-0.05,"Value trap","In balance"))))</f>
        <v>Differentiating engine</v>
      </c>
      <c r="J8" s="11" t="s">
        <v>192</v>
      </c>
    </row>
    <row r="9" customFormat="false" ht="15" hidden="false" customHeight="false" outlineLevel="0" collapsed="false">
      <c r="A9" s="11" t="s">
        <v>499</v>
      </c>
      <c r="B9" s="11" t="s">
        <v>500</v>
      </c>
      <c r="C9" s="11" t="s">
        <v>496</v>
      </c>
      <c r="D9" s="11" t="s">
        <v>489</v>
      </c>
      <c r="E9" s="11" t="s">
        <v>490</v>
      </c>
      <c r="F9" s="31" t="n">
        <v>0.1</v>
      </c>
      <c r="G9" s="31" t="n">
        <v>0.12</v>
      </c>
      <c r="H9" s="34" t="n">
        <f aca="false">IF(OR(F9="",G9=""),"",G9-F9)</f>
        <v>0.02</v>
      </c>
      <c r="I9" s="15" t="str">
        <f aca="false">IF(B9="","",IF(H9="","No figures",IF(H9&gt;0.05,"Differentiating engine",IF(H9&lt;-0.05,"Value trap","In balance"))))</f>
        <v>In balance</v>
      </c>
      <c r="J9" s="11" t="s">
        <v>501</v>
      </c>
    </row>
    <row r="10" customFormat="false" ht="15" hidden="false" customHeight="false" outlineLevel="0" collapsed="false">
      <c r="A10" s="11" t="s">
        <v>502</v>
      </c>
      <c r="B10" s="11" t="s">
        <v>503</v>
      </c>
      <c r="C10" s="11" t="s">
        <v>504</v>
      </c>
      <c r="D10" s="11" t="s">
        <v>493</v>
      </c>
      <c r="E10" s="11" t="s">
        <v>505</v>
      </c>
      <c r="F10" s="31" t="n">
        <v>0.07</v>
      </c>
      <c r="G10" s="31" t="n">
        <v>0.03</v>
      </c>
      <c r="H10" s="34" t="n">
        <f aca="false">IF(OR(F10="",G10=""),"",G10-F10)</f>
        <v>-0.04</v>
      </c>
      <c r="I10" s="15" t="str">
        <f aca="false">IF(B10="","",IF(H10="","No figures",IF(H10&gt;0.05,"Differentiating engine",IF(H10&lt;-0.05,"Value trap","In balance"))))</f>
        <v>In balance</v>
      </c>
      <c r="J10" s="11"/>
    </row>
    <row r="11" customFormat="false" ht="15" hidden="false" customHeight="false" outlineLevel="0" collapsed="false">
      <c r="A11" s="11" t="s">
        <v>506</v>
      </c>
      <c r="B11" s="11" t="s">
        <v>507</v>
      </c>
      <c r="C11" s="11" t="s">
        <v>508</v>
      </c>
      <c r="D11" s="11" t="s">
        <v>489</v>
      </c>
      <c r="E11" s="11" t="s">
        <v>498</v>
      </c>
      <c r="F11" s="31" t="n">
        <v>0.1</v>
      </c>
      <c r="G11" s="31" t="n">
        <v>0.14</v>
      </c>
      <c r="H11" s="34" t="n">
        <f aca="false">IF(OR(F11="",G11=""),"",G11-F11)</f>
        <v>0.04</v>
      </c>
      <c r="I11" s="15" t="str">
        <f aca="false">IF(B11="","",IF(H11="","No figures",IF(H11&gt;0.05,"Differentiating engine",IF(H11&lt;-0.05,"Value trap","In balance"))))</f>
        <v>In balance</v>
      </c>
      <c r="J11" s="11" t="s">
        <v>196</v>
      </c>
    </row>
    <row r="12" customFormat="false" ht="15" hidden="false" customHeight="false" outlineLevel="0" collapsed="false">
      <c r="A12" s="11" t="s">
        <v>509</v>
      </c>
      <c r="B12" s="11" t="s">
        <v>510</v>
      </c>
      <c r="C12" s="11" t="s">
        <v>511</v>
      </c>
      <c r="D12" s="11" t="s">
        <v>489</v>
      </c>
      <c r="E12" s="11" t="s">
        <v>505</v>
      </c>
      <c r="F12" s="31" t="n">
        <v>0.05</v>
      </c>
      <c r="G12" s="31" t="n">
        <v>0.08</v>
      </c>
      <c r="H12" s="34" t="n">
        <f aca="false">IF(OR(F12="",G12=""),"",G12-F12)</f>
        <v>0.03</v>
      </c>
      <c r="I12" s="15" t="str">
        <f aca="false">IF(B12="","",IF(H12="","No figures",IF(H12&gt;0.05,"Differentiating engine",IF(H12&lt;-0.05,"Value trap","In balance"))))</f>
        <v>In balance</v>
      </c>
      <c r="J12" s="11" t="s">
        <v>196</v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31"/>
      <c r="G13" s="31"/>
      <c r="H13" s="34" t="str">
        <f aca="false">IF(OR(F13="",G13=""),"",G13-F13)</f>
        <v/>
      </c>
      <c r="I13" s="15" t="str">
        <f aca="false">IF(B13="","",IF(H13="","No figures",IF(H13&gt;0.05,"Differentiating engine",IF(H13&lt;-0.05,"Value trap","In balance"))))</f>
        <v/>
      </c>
      <c r="J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31"/>
      <c r="G14" s="31"/>
      <c r="H14" s="34" t="str">
        <f aca="false">IF(OR(F14="",G14=""),"",G14-F14)</f>
        <v/>
      </c>
      <c r="I14" s="15" t="str">
        <f aca="false">IF(B14="","",IF(H14="","No figures",IF(H14&gt;0.05,"Differentiating engine",IF(H14&lt;-0.05,"Value trap","In balance"))))</f>
        <v/>
      </c>
      <c r="J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31"/>
      <c r="G15" s="31"/>
      <c r="H15" s="34" t="str">
        <f aca="false">IF(OR(F15="",G15=""),"",G15-F15)</f>
        <v/>
      </c>
      <c r="I15" s="15" t="str">
        <f aca="false">IF(B15="","",IF(H15="","No figures",IF(H15&gt;0.05,"Differentiating engine",IF(H15&lt;-0.05,"Value trap","In balance"))))</f>
        <v/>
      </c>
      <c r="J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31"/>
      <c r="G16" s="31"/>
      <c r="H16" s="34" t="str">
        <f aca="false">IF(OR(F16="",G16=""),"",G16-F16)</f>
        <v/>
      </c>
      <c r="I16" s="15" t="str">
        <f aca="false">IF(B16="","",IF(H16="","No figures",IF(H16&gt;0.05,"Differentiating engine",IF(H16&lt;-0.05,"Value trap","In balance"))))</f>
        <v/>
      </c>
      <c r="J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31"/>
      <c r="G17" s="31"/>
      <c r="H17" s="34" t="str">
        <f aca="false">IF(OR(F17="",G17=""),"",G17-F17)</f>
        <v/>
      </c>
      <c r="I17" s="15" t="str">
        <f aca="false">IF(B17="","",IF(H17="","No figures",IF(H17&gt;0.05,"Differentiating engine",IF(H17&lt;-0.05,"Value trap","In balance"))))</f>
        <v/>
      </c>
      <c r="J17" s="11"/>
    </row>
    <row r="18" customFormat="false" ht="23.85" hidden="false" customHeight="false" outlineLevel="0" collapsed="false">
      <c r="A18" s="20" t="s">
        <v>512</v>
      </c>
      <c r="F18" s="32" t="n">
        <f aca="false">SUM(F6:F17)</f>
        <v>1</v>
      </c>
      <c r="G18" s="32" t="n">
        <f aca="false">SUM(G6:G17)</f>
        <v>1</v>
      </c>
      <c r="H18" s="15" t="str">
        <f aca="false">IF(AND(ABS(F18-1)&lt;0.02,ABS(G18-1)&lt;0.02),"Both sum to 100%","Cost and value shares should each sum to 100%")</f>
        <v>Both sum to 100%</v>
      </c>
    </row>
  </sheetData>
  <conditionalFormatting sqref="I6:I17">
    <cfRule type="expression" priority="2" aboveAverage="0" equalAverage="0" bottom="0" percent="0" rank="0" text="" dxfId="0">
      <formula>I6="Differentiating engine"</formula>
    </cfRule>
    <cfRule type="expression" priority="3" aboveAverage="0" equalAverage="0" bottom="0" percent="0" rank="0" text="" dxfId="1">
      <formula>I6="In balance"</formula>
    </cfRule>
    <cfRule type="expression" priority="4" aboveAverage="0" equalAverage="0" bottom="0" percent="0" rank="0" text="" dxfId="2">
      <formula>I6="Value trap"</formula>
    </cfRule>
  </conditionalFormatting>
  <dataValidations count="3">
    <dataValidation allowBlank="true" errorStyle="stop" operator="between" showDropDown="false" showErrorMessage="false" showInputMessage="false" sqref="C6:C17" type="list">
      <formula1>"Inbound logistics,Operations,Outbound logistics,Marketing and sales,Service,Procurement,Technology,HR,Firm infrastructure"</formula1>
      <formula2>0</formula2>
    </dataValidation>
    <dataValidation allowBlank="true" errorStyle="stop" operator="between" showDropDown="false" showErrorMessage="false" showInputMessage="false" sqref="D6:D17" type="list">
      <formula1>"commodity,product,custom,genesis"</formula1>
      <formula2>0</formula2>
    </dataValidation>
    <dataValidation allowBlank="true" errorStyle="stop" operator="between" showDropDown="false" showErrorMessage="false" showInputMessage="false" sqref="E6:E17" type="list">
      <formula1>"in-house,outsourced,mixed"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true" outlineLevel="0" max="9" min="8" style="0" width="13"/>
  </cols>
  <sheetData>
    <row r="1" customFormat="false" ht="19.7" hidden="false" customHeight="false" outlineLevel="0" collapsed="false">
      <c r="A1" s="7" t="s">
        <v>513</v>
      </c>
    </row>
    <row r="2" customFormat="false" ht="15" hidden="false" customHeight="false" outlineLevel="0" collapsed="false">
      <c r="A2" s="3" t="s">
        <v>514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20" t="s">
        <v>515</v>
      </c>
      <c r="D5" s="20" t="s">
        <v>516</v>
      </c>
    </row>
    <row r="6" customFormat="false" ht="23.85" hidden="false" customHeight="false" outlineLevel="0" collapsed="false">
      <c r="A6" s="5" t="s">
        <v>217</v>
      </c>
      <c r="B6" s="11" t="s">
        <v>517</v>
      </c>
      <c r="D6" s="20" t="s">
        <v>518</v>
      </c>
      <c r="E6" s="35" t="n">
        <f aca="false">IF(OR(B7="",B8=""),"",B7-B8)</f>
        <v>12000</v>
      </c>
      <c r="H6" s="36" t="n">
        <v>0</v>
      </c>
      <c r="I6" s="37" t="n">
        <f aca="false">IFERROR(IF($E$12-H6&lt;=0,0,$E$11*MIN(1,$E$12-H6)/(1+B14)^H6),0)</f>
        <v>2700</v>
      </c>
    </row>
    <row r="7" customFormat="false" ht="15" hidden="false" customHeight="false" outlineLevel="0" collapsed="false">
      <c r="A7" s="5" t="s">
        <v>519</v>
      </c>
      <c r="B7" s="38" t="n">
        <v>32000</v>
      </c>
      <c r="D7" s="5" t="s">
        <v>520</v>
      </c>
      <c r="E7" s="39" t="n">
        <f aca="false">IFERROR(E6/B7,"")</f>
        <v>0.375</v>
      </c>
      <c r="H7" s="36" t="n">
        <v>1</v>
      </c>
      <c r="I7" s="37" t="n">
        <f aca="false">IFERROR(IF($E$12-H7&lt;=0,0,$E$11*MIN(1,$E$12-H7)/(1+B14)^H7),0)</f>
        <v>2454.54545454545</v>
      </c>
    </row>
    <row r="8" customFormat="false" ht="15" hidden="false" customHeight="false" outlineLevel="0" collapsed="false">
      <c r="A8" s="5" t="s">
        <v>521</v>
      </c>
      <c r="B8" s="38" t="n">
        <v>20000</v>
      </c>
      <c r="D8" s="20" t="s">
        <v>522</v>
      </c>
      <c r="E8" s="23" t="n">
        <f aca="false">IFERROR(IF(E6&gt;0,B9/E6,"never"),"")</f>
        <v>15000</v>
      </c>
      <c r="H8" s="36" t="n">
        <v>2</v>
      </c>
      <c r="I8" s="37" t="n">
        <f aca="false">IFERROR(IF($E$12-H8&lt;=0,0,$E$11*MIN(1,$E$12-H8)/(1+B14)^H8),0)</f>
        <v>1115.70247933884</v>
      </c>
    </row>
    <row r="9" customFormat="false" ht="15" hidden="false" customHeight="false" outlineLevel="0" collapsed="false">
      <c r="A9" s="5" t="s">
        <v>523</v>
      </c>
      <c r="B9" s="38" t="n">
        <v>180000000</v>
      </c>
      <c r="D9" s="5" t="s">
        <v>524</v>
      </c>
      <c r="E9" s="39" t="n">
        <f aca="false">IFERROR((B10-E8)/B10,"")</f>
        <v>0.537037037037037</v>
      </c>
      <c r="H9" s="36" t="n">
        <v>3</v>
      </c>
      <c r="I9" s="37" t="n">
        <f aca="false">IFERROR(IF($E$12-H9&lt;=0,0,$E$11*MIN(1,$E$12-H9)/(1+B14)^H9),0)</f>
        <v>0</v>
      </c>
    </row>
    <row r="10" customFormat="false" ht="15" hidden="false" customHeight="false" outlineLevel="0" collapsed="false">
      <c r="A10" s="5" t="s">
        <v>525</v>
      </c>
      <c r="B10" s="24" t="n">
        <v>32400</v>
      </c>
      <c r="D10" s="5" t="s">
        <v>526</v>
      </c>
      <c r="E10" s="35" t="n">
        <f aca="false">IFERROR(E6*B10-B9,"")</f>
        <v>208800000</v>
      </c>
      <c r="H10" s="36" t="n">
        <v>4</v>
      </c>
      <c r="I10" s="37" t="n">
        <f aca="false">IFERROR(IF($E$12-H10&lt;=0,0,$E$11*MIN(1,$E$12-H10)/(1+B14)^H10),0)</f>
        <v>0</v>
      </c>
    </row>
    <row r="11" customFormat="false" ht="15" hidden="false" customHeight="false" outlineLevel="0" collapsed="false">
      <c r="A11" s="5" t="s">
        <v>527</v>
      </c>
      <c r="B11" s="38" t="n">
        <v>1500</v>
      </c>
      <c r="D11" s="5" t="s">
        <v>528</v>
      </c>
      <c r="E11" s="35" t="n">
        <f aca="false">IFERROR(E6*B12+N(B15),"")</f>
        <v>2700</v>
      </c>
      <c r="H11" s="36" t="n">
        <v>5</v>
      </c>
      <c r="I11" s="37" t="n">
        <f aca="false">IFERROR(IF($E$12-H11&lt;=0,0,$E$11*MIN(1,$E$12-H11)/(1+B14)^H11),0)</f>
        <v>0</v>
      </c>
    </row>
    <row r="12" customFormat="false" ht="15" hidden="false" customHeight="false" outlineLevel="0" collapsed="false">
      <c r="A12" s="5" t="s">
        <v>529</v>
      </c>
      <c r="B12" s="40" t="n">
        <v>0.2</v>
      </c>
      <c r="D12" s="5" t="s">
        <v>530</v>
      </c>
      <c r="E12" s="27" t="n">
        <f aca="false">IFERROR(IF(B13&gt;=1,10,MIN(10,1/(1-B13))),"")</f>
        <v>2.5</v>
      </c>
      <c r="H12" s="36" t="n">
        <v>6</v>
      </c>
      <c r="I12" s="37" t="n">
        <f aca="false">IFERROR(IF($E$12-H12&lt;=0,0,$E$11*MIN(1,$E$12-H12)/(1+B14)^H12),0)</f>
        <v>0</v>
      </c>
    </row>
    <row r="13" customFormat="false" ht="15" hidden="false" customHeight="false" outlineLevel="0" collapsed="false">
      <c r="A13" s="5" t="s">
        <v>531</v>
      </c>
      <c r="B13" s="31" t="n">
        <v>0.6</v>
      </c>
      <c r="D13" s="5" t="s">
        <v>532</v>
      </c>
      <c r="E13" s="35" t="n">
        <f aca="false">IF(E11="","",SUM(I6:I15))</f>
        <v>6270.2479338843</v>
      </c>
      <c r="H13" s="36" t="n">
        <v>7</v>
      </c>
      <c r="I13" s="37" t="n">
        <f aca="false">IFERROR(IF($E$12-H13&lt;=0,0,$E$11*MIN(1,$E$12-H13)/(1+B14)^H13),0)</f>
        <v>0</v>
      </c>
    </row>
    <row r="14" customFormat="false" ht="15" hidden="false" customHeight="false" outlineLevel="0" collapsed="false">
      <c r="A14" s="5" t="s">
        <v>533</v>
      </c>
      <c r="B14" s="22" t="n">
        <v>0.1</v>
      </c>
      <c r="D14" s="20" t="s">
        <v>534</v>
      </c>
      <c r="E14" s="29" t="n">
        <f aca="false">IFERROR(E13/B11,"")</f>
        <v>4.1801652892562</v>
      </c>
      <c r="H14" s="36" t="n">
        <v>8</v>
      </c>
      <c r="I14" s="37" t="n">
        <f aca="false">IFERROR(IF($E$12-H14&lt;=0,0,$E$11*MIN(1,$E$12-H14)/(1+B14)^H14),0)</f>
        <v>0</v>
      </c>
    </row>
    <row r="15" customFormat="false" ht="15" hidden="false" customHeight="false" outlineLevel="0" collapsed="false">
      <c r="A15" s="5" t="s">
        <v>535</v>
      </c>
      <c r="B15" s="38" t="n">
        <v>300</v>
      </c>
      <c r="D15" s="5" t="s">
        <v>536</v>
      </c>
      <c r="E15" s="27" t="n">
        <f aca="false">IFERROR(B11/(E11/12),"")</f>
        <v>6.66666666666667</v>
      </c>
      <c r="H15" s="36" t="n">
        <v>9</v>
      </c>
      <c r="I15" s="37" t="n">
        <f aca="false">IFERROR(IF($E$12-H15&lt;=0,0,$E$11*MIN(1,$E$12-H15)/(1+B14)^H15),0)</f>
        <v>0</v>
      </c>
    </row>
    <row r="18" customFormat="false" ht="23.85" hidden="false" customHeight="false" outlineLevel="0" collapsed="false">
      <c r="A18" s="20" t="s">
        <v>537</v>
      </c>
    </row>
    <row r="19" customFormat="false" ht="30" hidden="false" customHeight="true" outlineLevel="0" collapsed="false">
      <c r="A19" s="12" t="s">
        <v>538</v>
      </c>
      <c r="B19" s="12" t="s">
        <v>539</v>
      </c>
      <c r="C19" s="12" t="s">
        <v>540</v>
      </c>
      <c r="D19" s="12" t="s">
        <v>541</v>
      </c>
    </row>
    <row r="20" customFormat="false" ht="15" hidden="false" customHeight="false" outlineLevel="0" collapsed="false">
      <c r="A20" s="5" t="s">
        <v>542</v>
      </c>
      <c r="B20" s="41" t="n">
        <f aca="false">IFERROR(((B7*(1+-0.1))-B8)*B10-B9,"")</f>
        <v>105120000</v>
      </c>
      <c r="C20" s="41" t="n">
        <f aca="false">IFERROR(((B7*(1+0))-B8)*B10-B9,"")</f>
        <v>208800000</v>
      </c>
      <c r="D20" s="41" t="n">
        <f aca="false">IFERROR(((B7*(1+0.1))-B8)*B10-B9,"")</f>
        <v>312480000</v>
      </c>
    </row>
    <row r="21" customFormat="false" ht="15" hidden="false" customHeight="false" outlineLevel="0" collapsed="false">
      <c r="A21" s="5" t="s">
        <v>543</v>
      </c>
      <c r="B21" s="41" t="n">
        <f aca="false">IFERROR((B7-B8*(1+-0.1))*B10-B9,"")</f>
        <v>273600000</v>
      </c>
      <c r="C21" s="41" t="n">
        <f aca="false">IFERROR((B7-B8*(1+0))*B10-B9,"")</f>
        <v>208800000</v>
      </c>
      <c r="D21" s="41" t="n">
        <f aca="false">IFERROR((B7-B8*(1+0.1))*B10-B9,"")</f>
        <v>144000000</v>
      </c>
    </row>
    <row r="22" customFormat="false" ht="15" hidden="false" customHeight="false" outlineLevel="0" collapsed="false">
      <c r="A22" s="5" t="s">
        <v>544</v>
      </c>
      <c r="B22" s="41" t="n">
        <f aca="false">IFERROR((B7-B8)*B10*(1+-0.1)-B9,"")</f>
        <v>169920000</v>
      </c>
      <c r="C22" s="41" t="n">
        <f aca="false">IFERROR((B7-B8)*B10*(1+0)-B9,"")</f>
        <v>208800000</v>
      </c>
      <c r="D22" s="41" t="n">
        <f aca="false">IFERROR((B7-B8)*B10*(1+0.1)-B9,"")</f>
        <v>247680000</v>
      </c>
    </row>
    <row r="23" customFormat="false" ht="15" hidden="false" customHeight="false" outlineLevel="0" collapsed="false">
      <c r="A23" s="5" t="s">
        <v>545</v>
      </c>
      <c r="B23" s="41" t="n">
        <f aca="false">IFERROR((B7-B8)*B10-B9*(1+-0.1),"")</f>
        <v>226800000</v>
      </c>
      <c r="C23" s="41" t="n">
        <f aca="false">IFERROR((B7-B8)*B10-B9*(1+0),"")</f>
        <v>208800000</v>
      </c>
      <c r="D23" s="41" t="n">
        <f aca="false">IFERROR((B7-B8)*B10-B9*(1+0.1),"")</f>
        <v>190800000</v>
      </c>
    </row>
  </sheetData>
  <conditionalFormatting sqref="E14">
    <cfRule type="expression" priority="2" aboveAverage="0" equalAverage="0" bottom="0" percent="0" rank="0" text="" dxfId="0">
      <formula>AND(ISNUMBER(E14),E14&gt;=3)</formula>
    </cfRule>
    <cfRule type="expression" priority="3" aboveAverage="0" equalAverage="0" bottom="0" percent="0" rank="0" text="" dxfId="1">
      <formula>AND(ISNUMBER(E14),E14&gt;=1)</formula>
    </cfRule>
    <cfRule type="expression" priority="4" aboveAverage="0" equalAverage="0" bottom="0" percent="0" rank="0" text="" dxfId="2">
      <formula>AND(ISNUMBER(E14),E14&lt;1)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7" t="s">
        <v>546</v>
      </c>
    </row>
    <row r="2" customFormat="false" ht="15" hidden="false" customHeight="false" outlineLevel="0" collapsed="false">
      <c r="A2" s="3" t="s">
        <v>547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548</v>
      </c>
    </row>
    <row r="6" customFormat="false" ht="30" hidden="false" customHeight="true" outlineLevel="0" collapsed="false">
      <c r="A6" s="12" t="s">
        <v>332</v>
      </c>
      <c r="B6" s="12" t="s">
        <v>549</v>
      </c>
      <c r="C6" s="12" t="s">
        <v>550</v>
      </c>
      <c r="D6" s="12" t="s">
        <v>551</v>
      </c>
    </row>
    <row r="7" customFormat="false" ht="15" hidden="false" customHeight="false" outlineLevel="0" collapsed="false">
      <c r="A7" s="11" t="s">
        <v>552</v>
      </c>
      <c r="B7" s="11" t="s">
        <v>553</v>
      </c>
      <c r="C7" s="11" t="s">
        <v>554</v>
      </c>
      <c r="D7" s="11" t="s">
        <v>555</v>
      </c>
    </row>
    <row r="8" customFormat="false" ht="15" hidden="false" customHeight="false" outlineLevel="0" collapsed="false">
      <c r="A8" s="11" t="s">
        <v>556</v>
      </c>
      <c r="B8" s="11" t="s">
        <v>557</v>
      </c>
      <c r="C8" s="11" t="s">
        <v>554</v>
      </c>
      <c r="D8" s="11" t="s">
        <v>558</v>
      </c>
    </row>
    <row r="9" customFormat="false" ht="15" hidden="false" customHeight="false" outlineLevel="0" collapsed="false">
      <c r="A9" s="11" t="s">
        <v>559</v>
      </c>
      <c r="B9" s="11" t="s">
        <v>560</v>
      </c>
      <c r="C9" s="11" t="s">
        <v>561</v>
      </c>
      <c r="D9" s="11" t="s">
        <v>562</v>
      </c>
    </row>
    <row r="10" customFormat="false" ht="15" hidden="false" customHeight="false" outlineLevel="0" collapsed="false">
      <c r="A10" s="11" t="s">
        <v>563</v>
      </c>
      <c r="B10" s="11" t="s">
        <v>564</v>
      </c>
      <c r="C10" s="11" t="s">
        <v>554</v>
      </c>
      <c r="D10" s="11" t="s">
        <v>565</v>
      </c>
    </row>
    <row r="11" customFormat="false" ht="15" hidden="false" customHeight="false" outlineLevel="0" collapsed="false">
      <c r="A11" s="11"/>
      <c r="B11" s="11"/>
      <c r="C11" s="11"/>
      <c r="D11" s="11"/>
    </row>
    <row r="12" customFormat="false" ht="15" hidden="false" customHeight="false" outlineLevel="0" collapsed="false">
      <c r="A12" s="11"/>
      <c r="B12" s="11"/>
      <c r="C12" s="11"/>
      <c r="D12" s="11"/>
    </row>
    <row r="13" customFormat="false" ht="15" hidden="false" customHeight="false" outlineLevel="0" collapsed="false">
      <c r="A13" s="11"/>
      <c r="B13" s="11"/>
      <c r="C13" s="11"/>
      <c r="D13" s="11"/>
    </row>
    <row r="14" customFormat="false" ht="15" hidden="false" customHeight="false" outlineLevel="0" collapsed="false">
      <c r="A14" s="11"/>
      <c r="B14" s="11"/>
      <c r="C14" s="11"/>
      <c r="D14" s="11"/>
    </row>
    <row r="16" customFormat="false" ht="15" hidden="false" customHeight="false" outlineLevel="0" collapsed="false">
      <c r="A16" s="17" t="s">
        <v>566</v>
      </c>
    </row>
    <row r="17" customFormat="false" ht="30" hidden="false" customHeight="true" outlineLevel="0" collapsed="false">
      <c r="A17" s="12" t="s">
        <v>332</v>
      </c>
      <c r="B17" s="12" t="s">
        <v>567</v>
      </c>
      <c r="C17" s="12" t="s">
        <v>568</v>
      </c>
      <c r="D17" s="12" t="s">
        <v>569</v>
      </c>
      <c r="E17" s="12" t="s">
        <v>570</v>
      </c>
      <c r="F17" s="12" t="s">
        <v>571</v>
      </c>
    </row>
    <row r="18" customFormat="false" ht="15" hidden="false" customHeight="false" outlineLevel="0" collapsed="false">
      <c r="A18" s="11" t="s">
        <v>572</v>
      </c>
      <c r="B18" s="11" t="s">
        <v>573</v>
      </c>
      <c r="C18" s="11" t="s">
        <v>574</v>
      </c>
      <c r="D18" s="11" t="s">
        <v>575</v>
      </c>
      <c r="E18" s="11" t="s">
        <v>487</v>
      </c>
      <c r="F18" s="11" t="s">
        <v>576</v>
      </c>
    </row>
    <row r="19" customFormat="false" ht="15" hidden="false" customHeight="false" outlineLevel="0" collapsed="false">
      <c r="A19" s="11" t="s">
        <v>577</v>
      </c>
      <c r="B19" s="11" t="s">
        <v>578</v>
      </c>
      <c r="C19" s="11" t="s">
        <v>556</v>
      </c>
      <c r="D19" s="11" t="s">
        <v>579</v>
      </c>
      <c r="E19" s="11" t="s">
        <v>499</v>
      </c>
      <c r="F19" s="11" t="s">
        <v>576</v>
      </c>
    </row>
    <row r="20" customFormat="false" ht="23.85" hidden="false" customHeight="false" outlineLevel="0" collapsed="false">
      <c r="A20" s="11" t="s">
        <v>580</v>
      </c>
      <c r="B20" s="11" t="s">
        <v>581</v>
      </c>
      <c r="C20" s="11"/>
      <c r="D20" s="11" t="s">
        <v>582</v>
      </c>
      <c r="E20" s="11" t="s">
        <v>494</v>
      </c>
      <c r="F20" s="11" t="s">
        <v>583</v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</row>
    <row r="27" customFormat="false" ht="15" hidden="false" customHeight="false" outlineLevel="0" collapsed="false">
      <c r="A27" s="17" t="s">
        <v>584</v>
      </c>
    </row>
    <row r="28" customFormat="false" ht="30" hidden="false" customHeight="true" outlineLevel="0" collapsed="false">
      <c r="A28" s="12" t="s">
        <v>567</v>
      </c>
      <c r="B28" s="12" t="s">
        <v>585</v>
      </c>
      <c r="C28" s="12" t="s">
        <v>586</v>
      </c>
      <c r="D28" s="12" t="s">
        <v>587</v>
      </c>
      <c r="E28" s="12" t="s">
        <v>588</v>
      </c>
    </row>
    <row r="29" customFormat="false" ht="57.45" hidden="false" customHeight="false" outlineLevel="0" collapsed="false">
      <c r="A29" s="11" t="s">
        <v>589</v>
      </c>
      <c r="B29" s="11" t="s">
        <v>590</v>
      </c>
      <c r="C29" s="11" t="s">
        <v>591</v>
      </c>
      <c r="D29" s="11" t="s">
        <v>592</v>
      </c>
      <c r="E29" s="11" t="s">
        <v>593</v>
      </c>
    </row>
    <row r="30" customFormat="false" ht="35.05" hidden="false" customHeight="false" outlineLevel="0" collapsed="false">
      <c r="A30" s="11" t="s">
        <v>594</v>
      </c>
      <c r="B30" s="11" t="s">
        <v>595</v>
      </c>
      <c r="C30" s="11" t="s">
        <v>596</v>
      </c>
      <c r="D30" s="11" t="s">
        <v>597</v>
      </c>
      <c r="E30" s="11" t="s">
        <v>598</v>
      </c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5" customFormat="false" ht="15" hidden="false" customHeight="false" outlineLevel="0" collapsed="false">
      <c r="A35" s="20" t="s">
        <v>599</v>
      </c>
      <c r="B35" s="15" t="str">
        <f aca="false">COUNTA(B7:B14)&amp;" resources · "&amp;COUNTA(B18:B25)&amp;" capabilities ("&amp;COUNTIF(F18:F25,"distinctive")&amp;" distinctive) · "&amp;COUNTIF(E29:E33,"confirmed")&amp;" confirmed core competencies"</f>
        <v>4 resources · 3 capabilities (2 distinctive) · 1 confirmed core competencies</v>
      </c>
      <c r="C35" s="15"/>
      <c r="D35" s="15"/>
      <c r="E35" s="15"/>
      <c r="F35" s="15"/>
      <c r="G35" s="15"/>
    </row>
  </sheetData>
  <mergeCells count="1">
    <mergeCell ref="B35:G35"/>
  </mergeCells>
  <dataValidations count="3">
    <dataValidation allowBlank="true" errorStyle="stop" operator="between" showDropDown="false" showErrorMessage="false" showInputMessage="false" sqref="C7:C14" type="list">
      <formula1>"tangible,intangible,human,organisational"</formula1>
      <formula2>0</formula2>
    </dataValidation>
    <dataValidation allowBlank="true" errorStyle="stop" operator="between" showDropDown="false" showErrorMessage="false" showInputMessage="false" sqref="F18:F25" type="list">
      <formula1>"threshold,distinctive"</formula1>
      <formula2>0</formula2>
    </dataValidation>
    <dataValidation allowBlank="true" errorStyle="stop" operator="between" showDropDown="false" showErrorMessage="false" showInputMessage="false" sqref="E29:E33" type="list">
      <formula1>"candidate,confirmed,removed"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7" t="s">
        <v>600</v>
      </c>
    </row>
    <row r="2" customFormat="false" ht="15" hidden="false" customHeight="false" outlineLevel="0" collapsed="false">
      <c r="A2" s="3" t="s">
        <v>601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602</v>
      </c>
      <c r="B5" s="12" t="s">
        <v>550</v>
      </c>
      <c r="C5" s="12" t="s">
        <v>603</v>
      </c>
      <c r="D5" s="12" t="s">
        <v>604</v>
      </c>
      <c r="E5" s="12" t="s">
        <v>605</v>
      </c>
      <c r="F5" s="12" t="s">
        <v>606</v>
      </c>
      <c r="G5" s="12" t="s">
        <v>421</v>
      </c>
      <c r="H5" s="12" t="s">
        <v>607</v>
      </c>
      <c r="I5" s="12" t="s">
        <v>608</v>
      </c>
      <c r="J5" s="12" t="s">
        <v>609</v>
      </c>
      <c r="K5" s="12" t="s">
        <v>610</v>
      </c>
    </row>
    <row r="6" customFormat="false" ht="15" hidden="false" customHeight="false" outlineLevel="0" collapsed="false">
      <c r="A6" s="11" t="s">
        <v>573</v>
      </c>
      <c r="B6" s="11" t="s">
        <v>611</v>
      </c>
      <c r="C6" s="11" t="s">
        <v>225</v>
      </c>
      <c r="D6" s="11" t="s">
        <v>225</v>
      </c>
      <c r="E6" s="11" t="s">
        <v>225</v>
      </c>
      <c r="F6" s="11" t="s">
        <v>225</v>
      </c>
      <c r="G6" s="15" t="str">
        <f aca="false">IF(A6="","",IF(C6&lt;&gt;"Yes",IF(C6="No","Competitive disadvantage","Undetermined"),IF(D6&lt;&gt;"Yes",IF(D6="No","Competitive parity","Undetermined beyond valuable"),IF(E6&lt;&gt;"Yes",IF(E6="No","Temporary advantage","Undetermined beyond rare"),IF(F6="Yes","Sustained advantage",IF(F6="No","Unexploited advantage","Undetermined beyond inimitable"))))))</f>
        <v>Sustained advantage</v>
      </c>
      <c r="H6" s="11" t="s">
        <v>189</v>
      </c>
      <c r="I6" s="31" t="n">
        <v>0.3</v>
      </c>
      <c r="J6" s="15" t="str">
        <f aca="false">IF(A6="","",IF(AND(C6="Yes",D6="Yes",E6="Yes",N(I6)&lt;0.1),"Competence trap",IF(AND(OR(G6="Temporary advantage",G6="Unexploited advantage",G6="Sustained advantage"),N(I6)&gt;=0.1),"Supported",IF(AND(G6="Competitive parity",N(I6)&gt;=0.1),"Table stakes",""))))</f>
        <v>Supported</v>
      </c>
      <c r="K6" s="11" t="s">
        <v>612</v>
      </c>
    </row>
    <row r="7" customFormat="false" ht="15" hidden="false" customHeight="false" outlineLevel="0" collapsed="false">
      <c r="A7" s="11" t="s">
        <v>578</v>
      </c>
      <c r="B7" s="11" t="s">
        <v>611</v>
      </c>
      <c r="C7" s="11" t="s">
        <v>225</v>
      </c>
      <c r="D7" s="11" t="s">
        <v>225</v>
      </c>
      <c r="E7" s="11" t="s">
        <v>228</v>
      </c>
      <c r="F7" s="11" t="s">
        <v>225</v>
      </c>
      <c r="G7" s="15" t="str">
        <f aca="false">IF(A7="","",IF(C7&lt;&gt;"Yes",IF(C7="No","Competitive disadvantage","Undetermined"),IF(D7&lt;&gt;"Yes",IF(D7="No","Competitive parity","Undetermined beyond valuable"),IF(E7&lt;&gt;"Yes",IF(E7="No","Temporary advantage","Undetermined beyond rare"),IF(F7="Yes","Sustained advantage",IF(F7="No","Unexploited advantage","Undetermined beyond inimitable"))))))</f>
        <v>Temporary advantage</v>
      </c>
      <c r="H7" s="11" t="s">
        <v>192</v>
      </c>
      <c r="I7" s="31" t="n">
        <v>0.25</v>
      </c>
      <c r="J7" s="15" t="str">
        <f aca="false">IF(A7="","",IF(AND(C7="Yes",D7="Yes",E7="Yes",N(I7)&lt;0.1),"Competence trap",IF(AND(OR(G7="Temporary advantage",G7="Unexploited advantage",G7="Sustained advantage"),N(I7)&gt;=0.1),"Supported",IF(AND(G7="Competitive parity",N(I7)&gt;=0.1),"Table stakes",""))))</f>
        <v>Supported</v>
      </c>
      <c r="K7" s="11" t="s">
        <v>613</v>
      </c>
    </row>
    <row r="8" customFormat="false" ht="15" hidden="false" customHeight="false" outlineLevel="0" collapsed="false">
      <c r="A8" s="11" t="s">
        <v>581</v>
      </c>
      <c r="B8" s="11" t="s">
        <v>611</v>
      </c>
      <c r="C8" s="11" t="s">
        <v>225</v>
      </c>
      <c r="D8" s="11" t="s">
        <v>228</v>
      </c>
      <c r="E8" s="11" t="s">
        <v>228</v>
      </c>
      <c r="F8" s="11" t="s">
        <v>614</v>
      </c>
      <c r="G8" s="15" t="str">
        <f aca="false">IF(A8="","",IF(C8&lt;&gt;"Yes",IF(C8="No","Competitive disadvantage","Undetermined"),IF(D8&lt;&gt;"Yes",IF(D8="No","Competitive parity","Undetermined beyond valuable"),IF(E8&lt;&gt;"Yes",IF(E8="No","Temporary advantage","Undetermined beyond rare"),IF(F8="Yes","Sustained advantage",IF(F8="No","Unexploited advantage","Undetermined beyond inimitable"))))))</f>
        <v>Competitive parity</v>
      </c>
      <c r="H8" s="11" t="s">
        <v>192</v>
      </c>
      <c r="I8" s="31" t="n">
        <v>0.25</v>
      </c>
      <c r="J8" s="15" t="str">
        <f aca="false">IF(A8="","",IF(AND(C8="Yes",D8="Yes",E8="Yes",N(I8)&lt;0.1),"Competence trap",IF(AND(OR(G8="Temporary advantage",G8="Unexploited advantage",G8="Sustained advantage"),N(I8)&gt;=0.1),"Supported",IF(AND(G8="Competitive parity",N(I8)&gt;=0.1),"Table stakes",""))))</f>
        <v>Table stakes</v>
      </c>
      <c r="K8" s="11" t="s">
        <v>356</v>
      </c>
    </row>
    <row r="9" customFormat="false" ht="15" hidden="false" customHeight="false" outlineLevel="0" collapsed="false">
      <c r="A9" s="11" t="s">
        <v>557</v>
      </c>
      <c r="B9" s="11" t="s">
        <v>615</v>
      </c>
      <c r="C9" s="11" t="s">
        <v>225</v>
      </c>
      <c r="D9" s="11" t="s">
        <v>225</v>
      </c>
      <c r="E9" s="11" t="s">
        <v>614</v>
      </c>
      <c r="F9" s="11" t="s">
        <v>225</v>
      </c>
      <c r="G9" s="15" t="str">
        <f aca="false">IF(A9="","",IF(C9&lt;&gt;"Yes",IF(C9="No","Competitive disadvantage","Undetermined"),IF(D9&lt;&gt;"Yes",IF(D9="No","Competitive parity","Undetermined beyond valuable"),IF(E9&lt;&gt;"Yes",IF(E9="No","Temporary advantage","Undetermined beyond rare"),IF(F9="Yes","Sustained advantage",IF(F9="No","Unexploited advantage","Undetermined beyond inimitable"))))))</f>
        <v>Undetermined beyond rare</v>
      </c>
      <c r="H9" s="11" t="s">
        <v>189</v>
      </c>
      <c r="I9" s="31" t="n">
        <v>0.3</v>
      </c>
      <c r="J9" s="15" t="str">
        <f aca="false">IF(A9="","",IF(AND(C9="Yes",D9="Yes",E9="Yes",N(I9)&lt;0.1),"Competence trap",IF(AND(OR(G9="Temporary advantage",G9="Unexploited advantage",G9="Sustained advantage"),N(I9)&gt;=0.1),"Supported",IF(AND(G9="Competitive parity",N(I9)&gt;=0.1),"Table stakes",""))))</f>
        <v/>
      </c>
      <c r="K9" s="11" t="s">
        <v>613</v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5" t="str">
        <f aca="false">IF(A10="","",IF(C10&lt;&gt;"Yes",IF(C10="No","Competitive disadvantage","Undetermined"),IF(D10&lt;&gt;"Yes",IF(D10="No","Competitive parity","Undetermined beyond valuable"),IF(E10&lt;&gt;"Yes",IF(E10="No","Temporary advantage","Undetermined beyond rare"),IF(F10="Yes","Sustained advantage",IF(F10="No","Unexploited advantage","Undetermined beyond inimitable"))))))</f>
        <v/>
      </c>
      <c r="H10" s="11"/>
      <c r="I10" s="31"/>
      <c r="J10" s="15" t="str">
        <f aca="false">IF(A10="","",IF(AND(C10="Yes",D10="Yes",E10="Yes",N(I10)&lt;0.1),"Competence trap",IF(AND(OR(G10="Temporary advantage",G10="Unexploited advantage",G10="Sustained advantage"),N(I10)&gt;=0.1),"Supported",IF(AND(G10="Competitive parity",N(I10)&gt;=0.1),"Table stakes",""))))</f>
        <v/>
      </c>
      <c r="K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5" t="str">
        <f aca="false">IF(A11="","",IF(C11&lt;&gt;"Yes",IF(C11="No","Competitive disadvantage","Undetermined"),IF(D11&lt;&gt;"Yes",IF(D11="No","Competitive parity","Undetermined beyond valuable"),IF(E11&lt;&gt;"Yes",IF(E11="No","Temporary advantage","Undetermined beyond rare"),IF(F11="Yes","Sustained advantage",IF(F11="No","Unexploited advantage","Undetermined beyond inimitable"))))))</f>
        <v/>
      </c>
      <c r="H11" s="11"/>
      <c r="I11" s="31"/>
      <c r="J11" s="15" t="str">
        <f aca="false">IF(A11="","",IF(AND(C11="Yes",D11="Yes",E11="Yes",N(I11)&lt;0.1),"Competence trap",IF(AND(OR(G11="Temporary advantage",G11="Unexploited advantage",G11="Sustained advantage"),N(I11)&gt;=0.1),"Supported",IF(AND(G11="Competitive parity",N(I11)&gt;=0.1),"Table stakes",""))))</f>
        <v/>
      </c>
      <c r="K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5" t="str">
        <f aca="false">IF(A12="","",IF(C12&lt;&gt;"Yes",IF(C12="No","Competitive disadvantage","Undetermined"),IF(D12&lt;&gt;"Yes",IF(D12="No","Competitive parity","Undetermined beyond valuable"),IF(E12&lt;&gt;"Yes",IF(E12="No","Temporary advantage","Undetermined beyond rare"),IF(F12="Yes","Sustained advantage",IF(F12="No","Unexploited advantage","Undetermined beyond inimitable"))))))</f>
        <v/>
      </c>
      <c r="H12" s="11"/>
      <c r="I12" s="31"/>
      <c r="J12" s="15" t="str">
        <f aca="false">IF(A12="","",IF(AND(C12="Yes",D12="Yes",E12="Yes",N(I12)&lt;0.1),"Competence trap",IF(AND(OR(G12="Temporary advantage",G12="Unexploited advantage",G12="Sustained advantage"),N(I12)&gt;=0.1),"Supported",IF(AND(G12="Competitive parity",N(I12)&gt;=0.1),"Table stakes",""))))</f>
        <v/>
      </c>
      <c r="K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5" t="str">
        <f aca="false">IF(A13="","",IF(C13&lt;&gt;"Yes",IF(C13="No","Competitive disadvantage","Undetermined"),IF(D13&lt;&gt;"Yes",IF(D13="No","Competitive parity","Undetermined beyond valuable"),IF(E13&lt;&gt;"Yes",IF(E13="No","Temporary advantage","Undetermined beyond rare"),IF(F13="Yes","Sustained advantage",IF(F13="No","Unexploited advantage","Undetermined beyond inimitable"))))))</f>
        <v/>
      </c>
      <c r="H13" s="11"/>
      <c r="I13" s="31"/>
      <c r="J13" s="15" t="str">
        <f aca="false">IF(A13="","",IF(AND(C13="Yes",D13="Yes",E13="Yes",N(I13)&lt;0.1),"Competence trap",IF(AND(OR(G13="Temporary advantage",G13="Unexploited advantage",G13="Sustained advantage"),N(I13)&gt;=0.1),"Supported",IF(AND(G13="Competitive parity",N(I13)&gt;=0.1),"Table stakes",""))))</f>
        <v/>
      </c>
      <c r="K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5" t="str">
        <f aca="false">IF(A14="","",IF(C14&lt;&gt;"Yes",IF(C14="No","Competitive disadvantage","Undetermined"),IF(D14&lt;&gt;"Yes",IF(D14="No","Competitive parity","Undetermined beyond valuable"),IF(E14&lt;&gt;"Yes",IF(E14="No","Temporary advantage","Undetermined beyond rare"),IF(F14="Yes","Sustained advantage",IF(F14="No","Unexploited advantage","Undetermined beyond inimitable"))))))</f>
        <v/>
      </c>
      <c r="H14" s="11"/>
      <c r="I14" s="31"/>
      <c r="J14" s="15" t="str">
        <f aca="false">IF(A14="","",IF(AND(C14="Yes",D14="Yes",E14="Yes",N(I14)&lt;0.1),"Competence trap",IF(AND(OR(G14="Temporary advantage",G14="Unexploited advantage",G14="Sustained advantage"),N(I14)&gt;=0.1),"Supported",IF(AND(G14="Competitive parity",N(I14)&gt;=0.1),"Table stakes",""))))</f>
        <v/>
      </c>
      <c r="K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5" t="str">
        <f aca="false">IF(A15="","",IF(C15&lt;&gt;"Yes",IF(C15="No","Competitive disadvantage","Undetermined"),IF(D15&lt;&gt;"Yes",IF(D15="No","Competitive parity","Undetermined beyond valuable"),IF(E15&lt;&gt;"Yes",IF(E15="No","Temporary advantage","Undetermined beyond rare"),IF(F15="Yes","Sustained advantage",IF(F15="No","Unexploited advantage","Undetermined beyond inimitable"))))))</f>
        <v/>
      </c>
      <c r="H15" s="11"/>
      <c r="I15" s="31"/>
      <c r="J15" s="15" t="str">
        <f aca="false">IF(A15="","",IF(AND(C15="Yes",D15="Yes",E15="Yes",N(I15)&lt;0.1),"Competence trap",IF(AND(OR(G15="Temporary advantage",G15="Unexploited advantage",G15="Sustained advantage"),N(I15)&gt;=0.1),"Supported",IF(AND(G15="Competitive parity",N(I15)&gt;=0.1),"Table stakes",""))))</f>
        <v/>
      </c>
      <c r="K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5" t="str">
        <f aca="false">IF(A16="","",IF(C16&lt;&gt;"Yes",IF(C16="No","Competitive disadvantage","Undetermined"),IF(D16&lt;&gt;"Yes",IF(D16="No","Competitive parity","Undetermined beyond valuable"),IF(E16&lt;&gt;"Yes",IF(E16="No","Temporary advantage","Undetermined beyond rare"),IF(F16="Yes","Sustained advantage",IF(F16="No","Unexploited advantage","Undetermined beyond inimitable"))))))</f>
        <v/>
      </c>
      <c r="H16" s="11"/>
      <c r="I16" s="31"/>
      <c r="J16" s="15" t="str">
        <f aca="false">IF(A16="","",IF(AND(C16="Yes",D16="Yes",E16="Yes",N(I16)&lt;0.1),"Competence trap",IF(AND(OR(G16="Temporary advantage",G16="Unexploited advantage",G16="Sustained advantage"),N(I16)&gt;=0.1),"Supported",IF(AND(G16="Competitive parity",N(I16)&gt;=0.1),"Table stakes",""))))</f>
        <v/>
      </c>
      <c r="K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5" t="str">
        <f aca="false">IF(A17="","",IF(C17&lt;&gt;"Yes",IF(C17="No","Competitive disadvantage","Undetermined"),IF(D17&lt;&gt;"Yes",IF(D17="No","Competitive parity","Undetermined beyond valuable"),IF(E17&lt;&gt;"Yes",IF(E17="No","Temporary advantage","Undetermined beyond rare"),IF(F17="Yes","Sustained advantage",IF(F17="No","Unexploited advantage","Undetermined beyond inimitable"))))))</f>
        <v/>
      </c>
      <c r="H17" s="11"/>
      <c r="I17" s="31"/>
      <c r="J17" s="15" t="str">
        <f aca="false">IF(A17="","",IF(AND(C17="Yes",D17="Yes",E17="Yes",N(I17)&lt;0.1),"Competence trap",IF(AND(OR(G17="Temporary advantage",G17="Unexploited advantage",G17="Sustained advantage"),N(I17)&gt;=0.1),"Supported",IF(AND(G17="Competitive parity",N(I17)&gt;=0.1),"Table stakes",""))))</f>
        <v/>
      </c>
      <c r="K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5" t="str">
        <f aca="false">IF(A18="","",IF(C18&lt;&gt;"Yes",IF(C18="No","Competitive disadvantage","Undetermined"),IF(D18&lt;&gt;"Yes",IF(D18="No","Competitive parity","Undetermined beyond valuable"),IF(E18&lt;&gt;"Yes",IF(E18="No","Temporary advantage","Undetermined beyond rare"),IF(F18="Yes","Sustained advantage",IF(F18="No","Unexploited advantage","Undetermined beyond inimitable"))))))</f>
        <v/>
      </c>
      <c r="H18" s="11"/>
      <c r="I18" s="31"/>
      <c r="J18" s="15" t="str">
        <f aca="false">IF(A18="","",IF(AND(C18="Yes",D18="Yes",E18="Yes",N(I18)&lt;0.1),"Competence trap",IF(AND(OR(G18="Temporary advantage",G18="Unexploited advantage",G18="Sustained advantage"),N(I18)&gt;=0.1),"Supported",IF(AND(G18="Competitive parity",N(I18)&gt;=0.1),"Table stakes",""))))</f>
        <v/>
      </c>
      <c r="K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5" t="str">
        <f aca="false">IF(A19="","",IF(C19&lt;&gt;"Yes",IF(C19="No","Competitive disadvantage","Undetermined"),IF(D19&lt;&gt;"Yes",IF(D19="No","Competitive parity","Undetermined beyond valuable"),IF(E19&lt;&gt;"Yes",IF(E19="No","Temporary advantage","Undetermined beyond rare"),IF(F19="Yes","Sustained advantage",IF(F19="No","Unexploited advantage","Undetermined beyond inimitable"))))))</f>
        <v/>
      </c>
      <c r="H19" s="11"/>
      <c r="I19" s="31"/>
      <c r="J19" s="15" t="str">
        <f aca="false">IF(A19="","",IF(AND(C19="Yes",D19="Yes",E19="Yes",N(I19)&lt;0.1),"Competence trap",IF(AND(OR(G19="Temporary advantage",G19="Unexploited advantage",G19="Sustained advantage"),N(I19)&gt;=0.1),"Supported",IF(AND(G19="Competitive parity",N(I19)&gt;=0.1),"Table stakes",""))))</f>
        <v/>
      </c>
      <c r="K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5" t="str">
        <f aca="false">IF(A20="","",IF(C20&lt;&gt;"Yes",IF(C20="No","Competitive disadvantage","Undetermined"),IF(D20&lt;&gt;"Yes",IF(D20="No","Competitive parity","Undetermined beyond valuable"),IF(E20&lt;&gt;"Yes",IF(E20="No","Temporary advantage","Undetermined beyond rare"),IF(F20="Yes","Sustained advantage",IF(F20="No","Unexploited advantage","Undetermined beyond inimitable"))))))</f>
        <v/>
      </c>
      <c r="H20" s="11"/>
      <c r="I20" s="31"/>
      <c r="J20" s="15" t="str">
        <f aca="false">IF(A20="","",IF(AND(C20="Yes",D20="Yes",E20="Yes",N(I20)&lt;0.1),"Competence trap",IF(AND(OR(G20="Temporary advantage",G20="Unexploited advantage",G20="Sustained advantage"),N(I20)&gt;=0.1),"Supported",IF(AND(G20="Competitive parity",N(I20)&gt;=0.1),"Table stakes",""))))</f>
        <v/>
      </c>
      <c r="K20" s="11"/>
    </row>
  </sheetData>
  <conditionalFormatting sqref="G6:G20">
    <cfRule type="expression" priority="2" aboveAverage="0" equalAverage="0" bottom="0" percent="0" rank="0" text="" dxfId="0">
      <formula>G6="Sustained advantage"</formula>
    </cfRule>
    <cfRule type="expression" priority="3" aboveAverage="0" equalAverage="0" bottom="0" percent="0" rank="0" text="" dxfId="1">
      <formula>OR(G6="Temporary advantage",G6="Unexploited advantage",G6="Competitive parity")</formula>
    </cfRule>
    <cfRule type="expression" priority="4" aboveAverage="0" equalAverage="0" bottom="0" percent="0" rank="0" text="" dxfId="2">
      <formula>G6="Competitive disadvantage"</formula>
    </cfRule>
  </conditionalFormatting>
  <conditionalFormatting sqref="J6:J20">
    <cfRule type="expression" priority="5" aboveAverage="0" equalAverage="0" bottom="0" percent="0" rank="0" text="" dxfId="2">
      <formula>J6="Competence trap"</formula>
    </cfRule>
    <cfRule type="expression" priority="6" aboveAverage="0" equalAverage="0" bottom="0" percent="0" rank="0" text="" dxfId="0">
      <formula>J6="Supported"</formula>
    </cfRule>
  </conditionalFormatting>
  <dataValidations count="2">
    <dataValidation allowBlank="true" errorStyle="stop" operator="between" showDropDown="false" showErrorMessage="false" showInputMessage="false" sqref="C6:F20" type="list">
      <formula1>"Yes,No,?"</formula1>
      <formula2>0</formula2>
    </dataValidation>
    <dataValidation allowBlank="true" errorStyle="stop" operator="between" showDropDown="false" showErrorMessage="false" showInputMessage="false" sqref="B6:B20" type="list">
      <formula1>"resource,capability"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7" t="s">
        <v>616</v>
      </c>
    </row>
    <row r="2" customFormat="false" ht="15" hidden="false" customHeight="false" outlineLevel="0" collapsed="false">
      <c r="A2" s="3" t="s">
        <v>617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618</v>
      </c>
      <c r="B5" s="12" t="s">
        <v>619</v>
      </c>
      <c r="C5" s="12" t="s">
        <v>620</v>
      </c>
      <c r="D5" s="12" t="s">
        <v>621</v>
      </c>
      <c r="E5" s="12" t="s">
        <v>622</v>
      </c>
      <c r="F5" s="12" t="s">
        <v>623</v>
      </c>
      <c r="G5" s="12" t="s">
        <v>624</v>
      </c>
    </row>
    <row r="6" customFormat="false" ht="15" hidden="false" customHeight="false" outlineLevel="0" collapsed="false">
      <c r="A6" s="5" t="s">
        <v>519</v>
      </c>
      <c r="B6" s="24" t="n">
        <v>30000</v>
      </c>
      <c r="C6" s="24" t="n">
        <v>32000</v>
      </c>
      <c r="D6" s="11" t="s">
        <v>625</v>
      </c>
      <c r="E6" s="11" t="s">
        <v>626</v>
      </c>
      <c r="F6" s="42" t="n">
        <f aca="false">IF(B6="","",IF(C6="",B6,MAX(B6,C6)))</f>
        <v>32000</v>
      </c>
      <c r="G6" s="43" t="n">
        <f aca="false">IFERROR(((F6+N(B7)-B9)*B8-B10)-((B6+N(B7)-B9)*B8-B10),"")</f>
        <v>600000000</v>
      </c>
    </row>
    <row r="7" customFormat="false" ht="15" hidden="false" customHeight="false" outlineLevel="0" collapsed="false">
      <c r="A7" s="5" t="s">
        <v>627</v>
      </c>
      <c r="B7" s="24" t="n">
        <v>0</v>
      </c>
      <c r="C7" s="24" t="n">
        <v>800</v>
      </c>
      <c r="D7" s="11" t="s">
        <v>628</v>
      </c>
      <c r="E7" s="11" t="s">
        <v>626</v>
      </c>
      <c r="F7" s="42" t="n">
        <f aca="false">IF(B7="","",IF(C7="",B7,MAX(B7,C7)))</f>
        <v>800</v>
      </c>
      <c r="G7" s="43" t="n">
        <f aca="false">IFERROR(((F6+N(F7)-B9)*B8-B10)-((F6+N(B7)-B9)*B8-B10),"")</f>
        <v>240000000</v>
      </c>
    </row>
    <row r="8" customFormat="false" ht="15" hidden="false" customHeight="false" outlineLevel="0" collapsed="false">
      <c r="A8" s="5" t="s">
        <v>544</v>
      </c>
      <c r="B8" s="24" t="n">
        <v>300000</v>
      </c>
      <c r="C8" s="24" t="n">
        <v>360000</v>
      </c>
      <c r="D8" s="11" t="s">
        <v>629</v>
      </c>
      <c r="E8" s="11" t="s">
        <v>630</v>
      </c>
      <c r="F8" s="42" t="n">
        <f aca="false">IF(B8="","",IF(C8="",B8,MAX(B8,C8)))</f>
        <v>360000</v>
      </c>
      <c r="G8" s="43" t="n">
        <f aca="false">IFERROR(((F6+N(F7)-B9)*F8-B10)-((F6+N(F7)-B9)*B8-B10),"")</f>
        <v>528000000</v>
      </c>
    </row>
    <row r="9" customFormat="false" ht="15" hidden="false" customHeight="false" outlineLevel="0" collapsed="false">
      <c r="A9" s="5" t="s">
        <v>521</v>
      </c>
      <c r="B9" s="24" t="n">
        <v>24000</v>
      </c>
      <c r="C9" s="24" t="n">
        <v>22500</v>
      </c>
      <c r="D9" s="11" t="s">
        <v>631</v>
      </c>
      <c r="E9" s="11" t="s">
        <v>630</v>
      </c>
      <c r="F9" s="42" t="n">
        <f aca="false">IF(B9="","",IF(C9="",B9,MIN(B9,C9)))</f>
        <v>22500</v>
      </c>
      <c r="G9" s="43" t="n">
        <f aca="false">IFERROR(((F6+N(F7)-F9)*F8-B10)-((F6+N(F7)-B9)*F8-B10),"")</f>
        <v>540000000</v>
      </c>
    </row>
    <row r="10" customFormat="false" ht="15" hidden="false" customHeight="false" outlineLevel="0" collapsed="false">
      <c r="A10" s="5" t="s">
        <v>545</v>
      </c>
      <c r="B10" s="24" t="n">
        <v>1800000000</v>
      </c>
      <c r="C10" s="24" t="n">
        <v>1700000000</v>
      </c>
      <c r="D10" s="11" t="s">
        <v>306</v>
      </c>
      <c r="E10" s="11" t="s">
        <v>632</v>
      </c>
      <c r="F10" s="42" t="n">
        <f aca="false">IF(B10="","",IF(C10="",B10,MIN(B10,C10)))</f>
        <v>1700000000</v>
      </c>
      <c r="G10" s="43" t="n">
        <f aca="false">IFERROR(((F6+N(F7)-F9)*F8-F10)-((F6+N(F7)-F9)*F8-B10),"")</f>
        <v>100000000</v>
      </c>
    </row>
    <row r="12" customFormat="false" ht="15" hidden="false" customHeight="false" outlineLevel="0" collapsed="false">
      <c r="A12" s="20" t="s">
        <v>633</v>
      </c>
      <c r="B12" s="43" t="n">
        <f aca="false">IFERROR(((B6+N(B7)-B9)*B8-B10),"")</f>
        <v>0</v>
      </c>
    </row>
    <row r="13" customFormat="false" ht="23.85" hidden="false" customHeight="false" outlineLevel="0" collapsed="false">
      <c r="A13" s="20" t="s">
        <v>634</v>
      </c>
      <c r="B13" s="43" t="n">
        <f aca="false">IFERROR(((F6+N(F7)-F9)*F8-F10),"")</f>
        <v>2008000000</v>
      </c>
    </row>
    <row r="14" customFormat="false" ht="15" hidden="false" customHeight="false" outlineLevel="0" collapsed="false">
      <c r="A14" s="20" t="s">
        <v>635</v>
      </c>
      <c r="B14" s="43" t="n">
        <f aca="false">IFERROR(B13-B12,"")</f>
        <v>2008000000</v>
      </c>
      <c r="C14" s="44" t="str">
        <f aca="false">IFERROR(B14/ABS(B12),"")</f>
        <v/>
      </c>
    </row>
    <row r="15" customFormat="false" ht="15" hidden="false" customHeight="false" outlineLevel="0" collapsed="false">
      <c r="A15" s="20" t="s">
        <v>636</v>
      </c>
      <c r="B15" s="16" t="str">
        <f aca="false">IFERROR(INDEX(A6:A10,MATCH(MAX(G6:G10),G6:G10,0)),"")</f>
        <v>Price per unit</v>
      </c>
    </row>
  </sheetData>
  <dataValidations count="1">
    <dataValidation allowBlank="true" errorStyle="stop" operator="between" showDropDown="false" showErrorMessage="false" showInputMessage="false" sqref="E6:E10" type="list">
      <formula1>"controllable,capability-bound,structural"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637</v>
      </c>
    </row>
    <row r="2" customFormat="false" ht="15" hidden="false" customHeight="false" outlineLevel="0" collapsed="false">
      <c r="A2" s="3" t="s">
        <v>638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639</v>
      </c>
      <c r="B5" s="12" t="s">
        <v>588</v>
      </c>
      <c r="C5" s="12" t="s">
        <v>610</v>
      </c>
      <c r="D5" s="12" t="s">
        <v>640</v>
      </c>
    </row>
    <row r="6" customFormat="false" ht="30" hidden="false" customHeight="true" outlineLevel="0" collapsed="false">
      <c r="A6" s="5" t="s">
        <v>641</v>
      </c>
      <c r="B6" s="11" t="s">
        <v>642</v>
      </c>
      <c r="C6" s="11" t="s">
        <v>643</v>
      </c>
      <c r="D6" s="11"/>
    </row>
    <row r="7" customFormat="false" ht="30" hidden="false" customHeight="true" outlineLevel="0" collapsed="false">
      <c r="A7" s="5" t="s">
        <v>644</v>
      </c>
      <c r="B7" s="11" t="s">
        <v>642</v>
      </c>
      <c r="C7" s="11" t="s">
        <v>645</v>
      </c>
      <c r="D7" s="11"/>
    </row>
    <row r="8" customFormat="false" ht="30" hidden="false" customHeight="true" outlineLevel="0" collapsed="false">
      <c r="A8" s="5" t="s">
        <v>646</v>
      </c>
      <c r="B8" s="11" t="s">
        <v>647</v>
      </c>
      <c r="C8" s="11" t="s">
        <v>648</v>
      </c>
      <c r="D8" s="11"/>
    </row>
    <row r="9" customFormat="false" ht="30" hidden="false" customHeight="true" outlineLevel="0" collapsed="false">
      <c r="A9" s="5" t="s">
        <v>649</v>
      </c>
      <c r="B9" s="11" t="s">
        <v>642</v>
      </c>
      <c r="C9" s="11" t="s">
        <v>650</v>
      </c>
      <c r="D9" s="11"/>
    </row>
    <row r="10" customFormat="false" ht="30" hidden="false" customHeight="true" outlineLevel="0" collapsed="false">
      <c r="A10" s="5" t="s">
        <v>651</v>
      </c>
      <c r="B10" s="11" t="s">
        <v>652</v>
      </c>
      <c r="C10" s="11" t="s">
        <v>653</v>
      </c>
      <c r="D10" s="11" t="s">
        <v>654</v>
      </c>
    </row>
    <row r="11" customFormat="false" ht="30" hidden="false" customHeight="true" outlineLevel="0" collapsed="false">
      <c r="A11" s="5" t="s">
        <v>655</v>
      </c>
      <c r="B11" s="11" t="s">
        <v>647</v>
      </c>
      <c r="C11" s="11" t="s">
        <v>273</v>
      </c>
      <c r="D11" s="11"/>
    </row>
    <row r="13" customFormat="false" ht="15" hidden="false" customHeight="false" outlineLevel="0" collapsed="false">
      <c r="A13" s="20" t="s">
        <v>656</v>
      </c>
      <c r="B13" s="16" t="str">
        <f aca="false">IF(COUNTIF(B6:B11,"binding")=1,INDEX(A6:A11,MATCH("binding",B6:B11,0)),IF(COUNTIF(B6:B11,"binding")=0,"None marked","More than one: choose the one that binds first"))</f>
        <v>Distribution / market access</v>
      </c>
      <c r="C13" s="16"/>
      <c r="D13" s="16"/>
    </row>
  </sheetData>
  <mergeCells count="1">
    <mergeCell ref="B13:D13"/>
  </mergeCells>
  <conditionalFormatting sqref="B6:B11">
    <cfRule type="expression" priority="2" aboveAverage="0" equalAverage="0" bottom="0" percent="0" rank="0" text="" dxfId="0">
      <formula>B6="slack"</formula>
    </cfRule>
    <cfRule type="expression" priority="3" aboveAverage="0" equalAverage="0" bottom="0" percent="0" rank="0" text="" dxfId="1">
      <formula>B6="tight"</formula>
    </cfRule>
    <cfRule type="expression" priority="4" aboveAverage="0" equalAverage="0" bottom="0" percent="0" rank="0" text="" dxfId="2">
      <formula>B6="binding"</formula>
    </cfRule>
  </conditionalFormatting>
  <dataValidations count="1">
    <dataValidation allowBlank="true" errorStyle="stop" operator="between" showDropDown="false" showErrorMessage="false" showInputMessage="false" sqref="B6:B11" type="list">
      <formula1>"binding,tight,slack"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936C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7" t="s">
        <v>657</v>
      </c>
    </row>
    <row r="2" customFormat="false" ht="15" hidden="false" customHeight="false" outlineLevel="0" collapsed="false">
      <c r="A2" s="3" t="s">
        <v>658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2" t="s">
        <v>332</v>
      </c>
      <c r="B5" s="12" t="s">
        <v>659</v>
      </c>
      <c r="C5" s="12" t="s">
        <v>660</v>
      </c>
      <c r="E5" s="12" t="s">
        <v>332</v>
      </c>
      <c r="F5" s="12" t="s">
        <v>661</v>
      </c>
      <c r="G5" s="12" t="s">
        <v>660</v>
      </c>
    </row>
    <row r="6" customFormat="false" ht="15" hidden="false" customHeight="false" outlineLevel="0" collapsed="false">
      <c r="A6" s="20" t="s">
        <v>662</v>
      </c>
      <c r="B6" s="11" t="s">
        <v>663</v>
      </c>
      <c r="C6" s="11" t="s">
        <v>572</v>
      </c>
      <c r="E6" s="20" t="s">
        <v>664</v>
      </c>
      <c r="F6" s="11" t="s">
        <v>665</v>
      </c>
      <c r="G6" s="11" t="s">
        <v>196</v>
      </c>
    </row>
    <row r="7" customFormat="false" ht="15" hidden="false" customHeight="false" outlineLevel="0" collapsed="false">
      <c r="A7" s="20" t="s">
        <v>666</v>
      </c>
      <c r="B7" s="11" t="s">
        <v>578</v>
      </c>
      <c r="C7" s="11" t="s">
        <v>577</v>
      </c>
      <c r="E7" s="20" t="s">
        <v>667</v>
      </c>
      <c r="F7" s="11" t="s">
        <v>668</v>
      </c>
      <c r="G7" s="11" t="s">
        <v>580</v>
      </c>
    </row>
    <row r="8" customFormat="false" ht="15" hidden="false" customHeight="false" outlineLevel="0" collapsed="false">
      <c r="A8" s="20" t="s">
        <v>669</v>
      </c>
      <c r="B8" s="11"/>
      <c r="C8" s="11"/>
      <c r="E8" s="20" t="s">
        <v>670</v>
      </c>
      <c r="F8" s="11"/>
      <c r="G8" s="11"/>
    </row>
    <row r="9" customFormat="false" ht="15" hidden="false" customHeight="false" outlineLevel="0" collapsed="false">
      <c r="A9" s="20" t="s">
        <v>671</v>
      </c>
      <c r="B9" s="11"/>
      <c r="C9" s="11"/>
      <c r="E9" s="20" t="s">
        <v>672</v>
      </c>
      <c r="F9" s="11"/>
      <c r="G9" s="11"/>
    </row>
    <row r="10" customFormat="false" ht="15" hidden="false" customHeight="false" outlineLevel="0" collapsed="false">
      <c r="A10" s="20" t="s">
        <v>673</v>
      </c>
      <c r="B10" s="11"/>
      <c r="C10" s="11"/>
      <c r="E10" s="20" t="s">
        <v>674</v>
      </c>
      <c r="F10" s="11"/>
      <c r="G10" s="11"/>
    </row>
    <row r="11" customFormat="false" ht="15" hidden="false" customHeight="false" outlineLevel="0" collapsed="false">
      <c r="A11" s="20" t="s">
        <v>675</v>
      </c>
      <c r="B11" s="11"/>
      <c r="C11" s="11"/>
      <c r="E11" s="20" t="s">
        <v>676</v>
      </c>
      <c r="F11" s="11"/>
      <c r="G11" s="11"/>
    </row>
    <row r="14" customFormat="false" ht="15" hidden="false" customHeight="false" outlineLevel="0" collapsed="false">
      <c r="A14" s="12" t="s">
        <v>332</v>
      </c>
      <c r="B14" s="12" t="s">
        <v>677</v>
      </c>
      <c r="C14" s="12" t="s">
        <v>660</v>
      </c>
      <c r="E14" s="12" t="s">
        <v>332</v>
      </c>
      <c r="F14" s="12" t="s">
        <v>678</v>
      </c>
      <c r="G14" s="12" t="s">
        <v>660</v>
      </c>
    </row>
    <row r="15" customFormat="false" ht="15" hidden="false" customHeight="false" outlineLevel="0" collapsed="false">
      <c r="A15" s="20" t="s">
        <v>679</v>
      </c>
      <c r="B15" s="11" t="s">
        <v>680</v>
      </c>
      <c r="C15" s="11" t="s">
        <v>664</v>
      </c>
      <c r="E15" s="20" t="s">
        <v>175</v>
      </c>
      <c r="F15" s="11" t="s">
        <v>348</v>
      </c>
      <c r="G15" s="11" t="s">
        <v>346</v>
      </c>
    </row>
    <row r="16" customFormat="false" ht="15" hidden="false" customHeight="false" outlineLevel="0" collapsed="false">
      <c r="A16" s="20" t="s">
        <v>681</v>
      </c>
      <c r="B16" s="11" t="s">
        <v>682</v>
      </c>
      <c r="C16" s="11" t="s">
        <v>362</v>
      </c>
      <c r="E16" s="20" t="s">
        <v>178</v>
      </c>
      <c r="F16" s="11" t="s">
        <v>683</v>
      </c>
      <c r="G16" s="11" t="s">
        <v>366</v>
      </c>
    </row>
    <row r="17" customFormat="false" ht="15" hidden="false" customHeight="false" outlineLevel="0" collapsed="false">
      <c r="A17" s="20" t="s">
        <v>684</v>
      </c>
      <c r="B17" s="11"/>
      <c r="C17" s="11"/>
      <c r="E17" s="20" t="s">
        <v>179</v>
      </c>
      <c r="F17" s="11"/>
      <c r="G17" s="11"/>
    </row>
    <row r="18" customFormat="false" ht="15" hidden="false" customHeight="false" outlineLevel="0" collapsed="false">
      <c r="A18" s="20" t="s">
        <v>685</v>
      </c>
      <c r="B18" s="11"/>
      <c r="C18" s="11"/>
      <c r="E18" s="20" t="s">
        <v>180</v>
      </c>
      <c r="F18" s="11"/>
      <c r="G18" s="11"/>
    </row>
    <row r="19" customFormat="false" ht="15" hidden="false" customHeight="false" outlineLevel="0" collapsed="false">
      <c r="A19" s="20" t="s">
        <v>686</v>
      </c>
      <c r="B19" s="11"/>
      <c r="C19" s="11"/>
      <c r="E19" s="20" t="s">
        <v>181</v>
      </c>
      <c r="F19" s="11"/>
      <c r="G19" s="11"/>
    </row>
    <row r="20" customFormat="false" ht="15" hidden="false" customHeight="false" outlineLevel="0" collapsed="false">
      <c r="A20" s="20" t="s">
        <v>687</v>
      </c>
      <c r="B20" s="11"/>
      <c r="C20" s="11"/>
      <c r="E20" s="20" t="s">
        <v>182</v>
      </c>
      <c r="F20" s="11"/>
      <c r="G20" s="11"/>
    </row>
    <row r="23" customFormat="false" ht="15" hidden="false" customHeight="false" outlineLevel="0" collapsed="false">
      <c r="A23" s="12" t="s">
        <v>688</v>
      </c>
      <c r="B23" s="12" t="s">
        <v>689</v>
      </c>
      <c r="C23" s="12" t="s">
        <v>690</v>
      </c>
    </row>
    <row r="24" customFormat="false" ht="15" hidden="false" customHeight="false" outlineLevel="0" collapsed="false">
      <c r="A24" s="11" t="s">
        <v>691</v>
      </c>
      <c r="B24" s="11" t="s">
        <v>692</v>
      </c>
      <c r="C24" s="11" t="s">
        <v>693</v>
      </c>
    </row>
    <row r="25" customFormat="false" ht="15" hidden="false" customHeight="false" outlineLevel="0" collapsed="false">
      <c r="A25" s="11" t="s">
        <v>694</v>
      </c>
      <c r="B25" s="11" t="s">
        <v>695</v>
      </c>
      <c r="C25" s="11" t="s">
        <v>696</v>
      </c>
    </row>
    <row r="26" customFormat="false" ht="15" hidden="false" customHeight="false" outlineLevel="0" collapsed="false">
      <c r="A26" s="11" t="s">
        <v>697</v>
      </c>
      <c r="B26" s="11" t="s">
        <v>698</v>
      </c>
      <c r="C26" s="11" t="s">
        <v>699</v>
      </c>
    </row>
    <row r="27" customFormat="false" ht="15" hidden="false" customHeight="false" outlineLevel="0" collapsed="false">
      <c r="A27" s="11"/>
      <c r="B27" s="11"/>
      <c r="C27" s="11"/>
    </row>
    <row r="28" customFormat="false" ht="15" hidden="false" customHeight="false" outlineLevel="0" collapsed="false">
      <c r="A28" s="11"/>
      <c r="B28" s="11"/>
      <c r="C28" s="11"/>
    </row>
    <row r="29" customFormat="false" ht="15" hidden="false" customHeight="false" outlineLevel="0" collapsed="false">
      <c r="A29" s="11"/>
      <c r="B29" s="11"/>
      <c r="C29" s="11"/>
    </row>
    <row r="30" customFormat="false" ht="15" hidden="false" customHeight="false" outlineLevel="0" collapsed="false">
      <c r="A30" s="11"/>
      <c r="B30" s="11"/>
      <c r="C30" s="11"/>
    </row>
    <row r="31" customFormat="false" ht="15" hidden="false" customHeight="false" outlineLevel="0" collapsed="false">
      <c r="A31" s="11"/>
      <c r="B31" s="11"/>
      <c r="C31" s="11"/>
    </row>
    <row r="32" customFormat="false" ht="15" hidden="false" customHeight="false" outlineLevel="0" collapsed="false">
      <c r="A32" s="11"/>
      <c r="B32" s="11"/>
      <c r="C32" s="11"/>
    </row>
    <row r="33" customFormat="false" ht="15" hidden="false" customHeight="false" outlineLevel="0" collapsed="false">
      <c r="A33" s="11"/>
      <c r="B33" s="11"/>
      <c r="C33" s="11"/>
    </row>
    <row r="34" customFormat="false" ht="15" hidden="false" customHeight="false" outlineLevel="0" collapsed="false">
      <c r="A34" s="11"/>
      <c r="B34" s="11"/>
      <c r="C34" s="11"/>
    </row>
    <row r="35" customFormat="false" ht="15" hidden="false" customHeight="false" outlineLevel="0" collapsed="false">
      <c r="A35" s="11"/>
      <c r="B35" s="11"/>
      <c r="C35" s="11"/>
    </row>
  </sheetData>
  <dataValidations count="1">
    <dataValidation allowBlank="true" errorStyle="stop" operator="between" showDropDown="false" showErrorMessage="false" showInputMessage="false" sqref="A24:A35" type="list">
      <formula1>"SO,WO,ST,WT"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7" t="s">
        <v>700</v>
      </c>
    </row>
    <row r="2" customFormat="false" ht="15" hidden="false" customHeight="false" outlineLevel="0" collapsed="false">
      <c r="A2" s="3" t="s">
        <v>701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5" t="s">
        <v>702</v>
      </c>
      <c r="B5" s="11" t="s">
        <v>703</v>
      </c>
      <c r="C5" s="11"/>
      <c r="D5" s="11"/>
    </row>
    <row r="6" customFormat="false" ht="30" hidden="false" customHeight="true" outlineLevel="0" collapsed="false">
      <c r="A6" s="5" t="s">
        <v>704</v>
      </c>
      <c r="B6" s="11" t="s">
        <v>705</v>
      </c>
      <c r="C6" s="11"/>
      <c r="D6" s="11"/>
    </row>
    <row r="7" customFormat="false" ht="30" hidden="false" customHeight="true" outlineLevel="0" collapsed="false">
      <c r="A7" s="5" t="s">
        <v>706</v>
      </c>
      <c r="B7" s="11" t="s">
        <v>707</v>
      </c>
      <c r="C7" s="11"/>
      <c r="D7" s="11"/>
    </row>
    <row r="8" customFormat="false" ht="30" hidden="false" customHeight="true" outlineLevel="0" collapsed="false">
      <c r="A8" s="5" t="s">
        <v>708</v>
      </c>
      <c r="B8" s="11" t="s">
        <v>709</v>
      </c>
      <c r="C8" s="11"/>
      <c r="D8" s="11"/>
    </row>
    <row r="9" customFormat="false" ht="30" hidden="false" customHeight="true" outlineLevel="0" collapsed="false">
      <c r="A9" s="5" t="s">
        <v>710</v>
      </c>
      <c r="B9" s="11" t="s">
        <v>711</v>
      </c>
      <c r="C9" s="11"/>
      <c r="D9" s="11"/>
    </row>
    <row r="10" customFormat="false" ht="48" hidden="false" customHeight="true" outlineLevel="0" collapsed="false">
      <c r="A10" s="5" t="s">
        <v>712</v>
      </c>
      <c r="B10" s="11" t="s">
        <v>713</v>
      </c>
      <c r="C10" s="11"/>
      <c r="D10" s="11"/>
    </row>
    <row r="12" customFormat="false" ht="30" hidden="false" customHeight="true" outlineLevel="0" collapsed="false">
      <c r="A12" s="12" t="s">
        <v>714</v>
      </c>
      <c r="B12" s="12" t="s">
        <v>130</v>
      </c>
      <c r="C12" s="12" t="s">
        <v>421</v>
      </c>
      <c r="D12" s="12" t="s">
        <v>610</v>
      </c>
    </row>
    <row r="13" customFormat="false" ht="15" hidden="false" customHeight="false" outlineLevel="0" collapsed="false">
      <c r="A13" s="5" t="s">
        <v>715</v>
      </c>
      <c r="B13" s="5" t="s">
        <v>716</v>
      </c>
      <c r="C13" s="11" t="s">
        <v>471</v>
      </c>
      <c r="D13" s="11" t="s">
        <v>717</v>
      </c>
    </row>
    <row r="14" customFormat="false" ht="15" hidden="false" customHeight="false" outlineLevel="0" collapsed="false">
      <c r="A14" s="5" t="s">
        <v>718</v>
      </c>
      <c r="B14" s="5" t="s">
        <v>719</v>
      </c>
      <c r="C14" s="11" t="s">
        <v>720</v>
      </c>
      <c r="D14" s="11" t="s">
        <v>721</v>
      </c>
    </row>
    <row r="15" customFormat="false" ht="15" hidden="false" customHeight="false" outlineLevel="0" collapsed="false">
      <c r="A15" s="5" t="s">
        <v>722</v>
      </c>
      <c r="B15" s="5" t="s">
        <v>723</v>
      </c>
      <c r="C15" s="11" t="s">
        <v>471</v>
      </c>
      <c r="D15" s="11" t="s">
        <v>724</v>
      </c>
    </row>
    <row r="16" customFormat="false" ht="15" hidden="false" customHeight="false" outlineLevel="0" collapsed="false">
      <c r="A16" s="5" t="s">
        <v>725</v>
      </c>
      <c r="B16" s="5" t="s">
        <v>726</v>
      </c>
      <c r="C16" s="11" t="s">
        <v>720</v>
      </c>
      <c r="D16" s="11" t="s">
        <v>727</v>
      </c>
    </row>
    <row r="17" customFormat="false" ht="15" hidden="false" customHeight="false" outlineLevel="0" collapsed="false">
      <c r="A17" s="5" t="s">
        <v>728</v>
      </c>
      <c r="B17" s="5" t="s">
        <v>729</v>
      </c>
      <c r="C17" s="11" t="s">
        <v>471</v>
      </c>
      <c r="D17" s="11" t="s">
        <v>730</v>
      </c>
    </row>
    <row r="19" customFormat="false" ht="15" hidden="false" customHeight="false" outlineLevel="0" collapsed="false">
      <c r="A19" s="20" t="s">
        <v>731</v>
      </c>
      <c r="B19" s="16" t="str">
        <f aca="false">COUNTIF(C13:C17,"supported")&amp;" supported · "&amp;COUNTIF(C13:C17,"open question")&amp;" open · "&amp;COUNTIF(C13:C17,"conflicts")&amp;" conflicts"</f>
        <v>3 supported · 2 open · 0 conflicts</v>
      </c>
    </row>
  </sheetData>
  <mergeCells count="6">
    <mergeCell ref="B5:D5"/>
    <mergeCell ref="B6:D6"/>
    <mergeCell ref="B7:D7"/>
    <mergeCell ref="B8:D8"/>
    <mergeCell ref="B9:D9"/>
    <mergeCell ref="B10:D10"/>
  </mergeCells>
  <conditionalFormatting sqref="C13:C17">
    <cfRule type="expression" priority="2" aboveAverage="0" equalAverage="0" bottom="0" percent="0" rank="0" text="" dxfId="0">
      <formula>C13="supported"</formula>
    </cfRule>
    <cfRule type="expression" priority="3" aboveAverage="0" equalAverage="0" bottom="0" percent="0" rank="0" text="" dxfId="1">
      <formula>C13="open question"</formula>
    </cfRule>
    <cfRule type="expression" priority="4" aboveAverage="0" equalAverage="0" bottom="0" percent="0" rank="0" text="" dxfId="2">
      <formula>C13="conflicts"</formula>
    </cfRule>
  </conditionalFormatting>
  <dataValidations count="2">
    <dataValidation allowBlank="true" errorStyle="stop" operator="between" showDropDown="false" showErrorMessage="false" showInputMessage="false" sqref="B5" type="list">
      <formula1>"Low-cost provider,Broad differentiation,Best-cost provider,Focused low-cost,Focused differentiation,[your choice]"</formula1>
      <formula2>0</formula2>
    </dataValidation>
    <dataValidation allowBlank="true" errorStyle="stop" operator="between" showDropDown="false" showErrorMessage="false" showInputMessage="false" sqref="C13:C17" type="list">
      <formula1>"supported,open question,conflicts"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3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7" t="s">
        <v>732</v>
      </c>
    </row>
    <row r="2" customFormat="false" ht="15" hidden="false" customHeight="false" outlineLevel="0" collapsed="false">
      <c r="A2" s="3" t="s">
        <v>733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5" t="s">
        <v>734</v>
      </c>
      <c r="B5" s="11" t="s">
        <v>735</v>
      </c>
      <c r="C5" s="11"/>
      <c r="D5" s="11"/>
      <c r="E5" s="11"/>
      <c r="F5" s="11"/>
      <c r="G5" s="11"/>
    </row>
    <row r="6" customFormat="false" ht="23.85" hidden="false" customHeight="true" outlineLevel="0" collapsed="false">
      <c r="A6" s="5" t="s">
        <v>736</v>
      </c>
      <c r="B6" s="11" t="s">
        <v>737</v>
      </c>
      <c r="C6" s="11"/>
      <c r="D6" s="11"/>
      <c r="E6" s="11"/>
      <c r="F6" s="11"/>
      <c r="G6" s="11"/>
    </row>
    <row r="7" customFormat="false" ht="15" hidden="false" customHeight="true" outlineLevel="0" collapsed="false">
      <c r="A7" s="5" t="s">
        <v>130</v>
      </c>
      <c r="B7" s="11" t="s">
        <v>738</v>
      </c>
      <c r="C7" s="11"/>
      <c r="D7" s="11"/>
      <c r="E7" s="11"/>
      <c r="F7" s="11"/>
      <c r="G7" s="11"/>
    </row>
    <row r="9" customFormat="false" ht="30" hidden="false" customHeight="true" outlineLevel="0" collapsed="false">
      <c r="A9" s="12" t="s">
        <v>332</v>
      </c>
      <c r="B9" s="12" t="s">
        <v>739</v>
      </c>
      <c r="C9" s="12" t="s">
        <v>740</v>
      </c>
      <c r="D9" s="12" t="s">
        <v>741</v>
      </c>
      <c r="E9" s="12" t="s">
        <v>742</v>
      </c>
      <c r="F9" s="12" t="s">
        <v>743</v>
      </c>
      <c r="G9" s="12" t="s">
        <v>744</v>
      </c>
    </row>
    <row r="10" customFormat="false" ht="30" hidden="false" customHeight="true" outlineLevel="0" collapsed="false">
      <c r="A10" s="11" t="s">
        <v>745</v>
      </c>
      <c r="B10" s="11" t="s">
        <v>746</v>
      </c>
      <c r="C10" s="11" t="s">
        <v>747</v>
      </c>
      <c r="D10" s="11" t="s">
        <v>748</v>
      </c>
      <c r="E10" s="11" t="s">
        <v>749</v>
      </c>
      <c r="F10" s="11" t="s">
        <v>750</v>
      </c>
      <c r="G10" s="11" t="s">
        <v>228</v>
      </c>
    </row>
    <row r="11" customFormat="false" ht="30" hidden="false" customHeight="true" outlineLevel="0" collapsed="false">
      <c r="A11" s="11" t="s">
        <v>751</v>
      </c>
      <c r="B11" s="11" t="s">
        <v>752</v>
      </c>
      <c r="C11" s="11" t="s">
        <v>753</v>
      </c>
      <c r="D11" s="11" t="s">
        <v>754</v>
      </c>
      <c r="E11" s="11" t="s">
        <v>755</v>
      </c>
      <c r="F11" s="11" t="s">
        <v>756</v>
      </c>
      <c r="G11" s="11" t="s">
        <v>228</v>
      </c>
    </row>
    <row r="12" customFormat="false" ht="30" hidden="false" customHeight="true" outlineLevel="0" collapsed="false">
      <c r="A12" s="11" t="s">
        <v>757</v>
      </c>
      <c r="B12" s="11" t="s">
        <v>758</v>
      </c>
      <c r="C12" s="11" t="s">
        <v>759</v>
      </c>
      <c r="D12" s="11"/>
      <c r="E12" s="11"/>
      <c r="F12" s="11"/>
      <c r="G12" s="11" t="s">
        <v>228</v>
      </c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  <c r="G13" s="11"/>
    </row>
    <row r="14" customFormat="false" ht="30" hidden="false" customHeight="true" outlineLevel="0" collapsed="false">
      <c r="A14" s="11"/>
      <c r="B14" s="11"/>
      <c r="C14" s="11"/>
      <c r="D14" s="11"/>
      <c r="E14" s="11"/>
      <c r="F14" s="11"/>
      <c r="G14" s="11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  <c r="G15" s="11"/>
    </row>
    <row r="16" customFormat="false" ht="30" hidden="false" customHeight="true" outlineLevel="0" collapsed="false">
      <c r="A16" s="11"/>
      <c r="B16" s="11"/>
      <c r="C16" s="11"/>
      <c r="D16" s="11"/>
      <c r="E16" s="11"/>
      <c r="F16" s="11"/>
      <c r="G16" s="11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  <c r="G17" s="11"/>
    </row>
    <row r="19" customFormat="false" ht="15" hidden="false" customHeight="false" outlineLevel="0" collapsed="false">
      <c r="A19" s="20" t="s">
        <v>760</v>
      </c>
      <c r="B19" s="16" t="str">
        <f aca="false">IF(COUNTIF(C10:C17,"do nothing")=0,"Add do nothing as the baseline",IF(COUNTA(B10:B17)-1&lt;3,"Add options: aim for three or more plus do nothing","OK"))</f>
        <v>Add options: aim for three or more plus do nothing</v>
      </c>
      <c r="C19" s="16"/>
      <c r="D19" s="16"/>
      <c r="E19" s="16"/>
      <c r="F19" s="16"/>
      <c r="G19" s="16"/>
    </row>
  </sheetData>
  <mergeCells count="4">
    <mergeCell ref="B5:G5"/>
    <mergeCell ref="B6:G6"/>
    <mergeCell ref="B7:G7"/>
    <mergeCell ref="B19:G19"/>
  </mergeCells>
  <dataValidations count="2">
    <dataValidation allowBlank="true" errorStyle="stop" operator="between" showDropDown="false" showErrorMessage="false" showInputMessage="false" sqref="C10:C17" type="list">
      <formula1>"build,buy,partner,license,focus,exit,do nothing"</formula1>
      <formula2>0</formula2>
    </dataValidation>
    <dataValidation allowBlank="true" errorStyle="stop" operator="between" showDropDown="false" showErrorMessage="false" showInputMessage="false" sqref="G10:G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8" min="4" style="0" width="15"/>
  </cols>
  <sheetData>
    <row r="1" customFormat="false" ht="19.7" hidden="false" customHeight="false" outlineLevel="0" collapsed="false">
      <c r="A1" s="7" t="s">
        <v>44</v>
      </c>
    </row>
    <row r="2" customFormat="false" ht="15" hidden="false" customHeight="false" outlineLevel="0" collapsed="false">
      <c r="A2" s="3" t="s">
        <v>761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762</v>
      </c>
      <c r="B5" s="12" t="s">
        <v>763</v>
      </c>
      <c r="C5" s="12" t="s">
        <v>764</v>
      </c>
      <c r="D5" s="30" t="s">
        <v>746</v>
      </c>
      <c r="E5" s="30" t="s">
        <v>752</v>
      </c>
      <c r="F5" s="30" t="s">
        <v>758</v>
      </c>
      <c r="G5" s="30" t="s">
        <v>765</v>
      </c>
      <c r="H5" s="30" t="s">
        <v>766</v>
      </c>
    </row>
    <row r="6" customFormat="false" ht="15" hidden="false" customHeight="false" outlineLevel="0" collapsed="false">
      <c r="A6" s="11" t="s">
        <v>767</v>
      </c>
      <c r="B6" s="11" t="n">
        <v>5</v>
      </c>
      <c r="C6" s="11" t="s">
        <v>105</v>
      </c>
      <c r="D6" s="11" t="n">
        <v>4</v>
      </c>
      <c r="E6" s="11" t="n">
        <v>3</v>
      </c>
      <c r="F6" s="11" t="n">
        <v>1</v>
      </c>
      <c r="G6" s="11"/>
      <c r="H6" s="11"/>
    </row>
    <row r="7" customFormat="false" ht="15" hidden="false" customHeight="false" outlineLevel="0" collapsed="false">
      <c r="A7" s="11" t="s">
        <v>768</v>
      </c>
      <c r="B7" s="11" t="n">
        <v>4</v>
      </c>
      <c r="C7" s="11" t="s">
        <v>109</v>
      </c>
      <c r="D7" s="11" t="n">
        <v>5</v>
      </c>
      <c r="E7" s="11" t="n">
        <v>4</v>
      </c>
      <c r="F7" s="11" t="n">
        <v>1</v>
      </c>
      <c r="G7" s="11"/>
      <c r="H7" s="11"/>
    </row>
    <row r="8" customFormat="false" ht="15" hidden="false" customHeight="false" outlineLevel="0" collapsed="false">
      <c r="A8" s="11" t="s">
        <v>769</v>
      </c>
      <c r="B8" s="11" t="n">
        <v>3</v>
      </c>
      <c r="C8" s="11" t="s">
        <v>105</v>
      </c>
      <c r="D8" s="11" t="n">
        <v>1</v>
      </c>
      <c r="E8" s="11" t="n">
        <v>4</v>
      </c>
      <c r="F8" s="11" t="n">
        <v>5</v>
      </c>
      <c r="G8" s="11"/>
      <c r="H8" s="11"/>
    </row>
    <row r="9" customFormat="false" ht="15" hidden="false" customHeight="false" outlineLevel="0" collapsed="false">
      <c r="A9" s="11" t="s">
        <v>770</v>
      </c>
      <c r="B9" s="11" t="n">
        <v>3</v>
      </c>
      <c r="C9" s="11" t="s">
        <v>113</v>
      </c>
      <c r="D9" s="11" t="n">
        <v>3</v>
      </c>
      <c r="E9" s="11" t="n">
        <v>5</v>
      </c>
      <c r="F9" s="11" t="n">
        <v>1</v>
      </c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20" t="s">
        <v>445</v>
      </c>
      <c r="D14" s="33" t="n">
        <f aca="false">IF(COUNT(D6:D13)=0,"",SUMPRODUCT($B$6:$B$13,D6:D13)/SUMPRODUCT($B$6:$B$13*(D6:D13&lt;&gt;"")))</f>
        <v>3.46666666666667</v>
      </c>
      <c r="E14" s="33" t="n">
        <f aca="false">IF(COUNT(E6:E13)=0,"",SUMPRODUCT($B$6:$B$13,E6:E13)/SUMPRODUCT($B$6:$B$13*(E6:E13&lt;&gt;"")))</f>
        <v>3.86666666666667</v>
      </c>
      <c r="F14" s="33" t="n">
        <f aca="false">IF(COUNT(F6:F13)=0,"",SUMPRODUCT($B$6:$B$13,F6:F13)/SUMPRODUCT($B$6:$B$13*(F6:F13&lt;&gt;"")))</f>
        <v>1.8</v>
      </c>
      <c r="G14" s="33" t="str">
        <f aca="false">IF(COUNT(G6:G13)=0,"",SUMPRODUCT($B$6:$B$13,G6:G13)/SUMPRODUCT($B$6:$B$13*(G6:G13&lt;&gt;"")))</f>
        <v/>
      </c>
      <c r="H14" s="33" t="str">
        <f aca="false">IF(COUNT(H6:H13)=0,"",SUMPRODUCT($B$6:$B$13,H6:H13)/SUMPRODUCT($B$6:$B$13*(H6:H13&lt;&gt;"")))</f>
        <v/>
      </c>
    </row>
    <row r="15" customFormat="false" ht="15" hidden="false" customHeight="false" outlineLevel="0" collapsed="false">
      <c r="A15" s="20" t="s">
        <v>446</v>
      </c>
      <c r="D15" s="26" t="n">
        <f aca="false">IF(D14="","",RANK(D14,$D$14:$H$14))</f>
        <v>2</v>
      </c>
      <c r="E15" s="26" t="n">
        <f aca="false">IF(E14="","",RANK(E14,$D$14:$H$14))</f>
        <v>1</v>
      </c>
      <c r="F15" s="26" t="n">
        <f aca="false">IF(F14="","",RANK(F14,$D$14:$H$14))</f>
        <v>3</v>
      </c>
      <c r="G15" s="26" t="str">
        <f aca="false">IF(G14="","",RANK(G14,$D$14:$H$14))</f>
        <v/>
      </c>
      <c r="H15" s="26" t="str">
        <f aca="false">IF(H14="","",RANK(H14,$D$14:$H$14))</f>
        <v/>
      </c>
    </row>
    <row r="17" customFormat="false" ht="23.85" hidden="false" customHeight="false" outlineLevel="0" collapsed="false">
      <c r="A17" s="5" t="s">
        <v>771</v>
      </c>
    </row>
  </sheetData>
  <dataValidations count="1">
    <dataValidation allowBlank="true" error="Enter a whole number from 1 to 5." errorStyle="stop" errorTitle="Strat-IQ" operator="between" showDropDown="false" showErrorMessage="false" showInputMessage="false" sqref="B6:H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7" t="s">
        <v>46</v>
      </c>
    </row>
    <row r="2" customFormat="false" ht="15" hidden="false" customHeight="false" outlineLevel="0" collapsed="false">
      <c r="A2" s="3" t="s">
        <v>772</v>
      </c>
    </row>
    <row r="3" customFormat="false" ht="15" hidden="false" customHeight="false" outlineLevel="0" collapsed="false">
      <c r="A3" s="8" t="s">
        <v>85</v>
      </c>
    </row>
    <row r="4" customFormat="false" ht="15" hidden="false" customHeight="false" outlineLevel="0" collapsed="false">
      <c r="A4" s="3" t="s">
        <v>773</v>
      </c>
    </row>
    <row r="5" customFormat="false" ht="15" hidden="false" customHeight="false" outlineLevel="0" collapsed="false">
      <c r="A5" s="20" t="s">
        <v>774</v>
      </c>
    </row>
    <row r="6" customFormat="false" ht="15" hidden="false" customHeight="false" outlineLevel="0" collapsed="false">
      <c r="A6" s="5" t="s">
        <v>533</v>
      </c>
      <c r="B6" s="22" t="n">
        <v>0.1</v>
      </c>
    </row>
    <row r="7" customFormat="false" ht="15" hidden="false" customHeight="false" outlineLevel="0" collapsed="false">
      <c r="A7" s="5" t="s">
        <v>775</v>
      </c>
      <c r="B7" s="22" t="n">
        <v>0.21</v>
      </c>
    </row>
    <row r="8" customFormat="false" ht="15" hidden="false" customHeight="false" outlineLevel="0" collapsed="false">
      <c r="A8" s="5" t="s">
        <v>776</v>
      </c>
      <c r="B8" s="22" t="n">
        <v>0.05</v>
      </c>
    </row>
    <row r="10" customFormat="false" ht="15" hidden="false" customHeight="false" outlineLevel="0" collapsed="false">
      <c r="A10" s="12" t="s">
        <v>777</v>
      </c>
      <c r="B10" s="12" t="s">
        <v>778</v>
      </c>
      <c r="C10" s="12" t="s">
        <v>779</v>
      </c>
      <c r="D10" s="12" t="s">
        <v>780</v>
      </c>
      <c r="E10" s="12" t="s">
        <v>781</v>
      </c>
      <c r="F10" s="12" t="s">
        <v>782</v>
      </c>
      <c r="G10" s="12" t="s">
        <v>783</v>
      </c>
    </row>
    <row r="11" customFormat="false" ht="15" hidden="false" customHeight="false" outlineLevel="0" collapsed="false">
      <c r="A11" s="5" t="s">
        <v>784</v>
      </c>
      <c r="B11" s="24" t="n">
        <v>0</v>
      </c>
      <c r="C11" s="24" t="n">
        <v>32400</v>
      </c>
      <c r="D11" s="24" t="n">
        <v>64800</v>
      </c>
      <c r="E11" s="24" t="n">
        <v>97200</v>
      </c>
      <c r="F11" s="24" t="n">
        <v>108000</v>
      </c>
      <c r="G11" s="24" t="n">
        <v>108000</v>
      </c>
    </row>
    <row r="12" customFormat="false" ht="15" hidden="false" customHeight="false" outlineLevel="0" collapsed="false">
      <c r="A12" s="5" t="s">
        <v>519</v>
      </c>
      <c r="B12" s="38" t="n">
        <v>32000</v>
      </c>
      <c r="C12" s="38" t="n">
        <v>32000</v>
      </c>
      <c r="D12" s="38" t="n">
        <v>32000</v>
      </c>
      <c r="E12" s="38" t="n">
        <v>32000</v>
      </c>
      <c r="F12" s="38" t="n">
        <v>32000</v>
      </c>
      <c r="G12" s="38" t="n">
        <v>32000</v>
      </c>
    </row>
    <row r="13" customFormat="false" ht="15" hidden="false" customHeight="false" outlineLevel="0" collapsed="false">
      <c r="A13" s="5" t="s">
        <v>521</v>
      </c>
      <c r="B13" s="38" t="n">
        <v>20000</v>
      </c>
      <c r="C13" s="38" t="n">
        <v>20000</v>
      </c>
      <c r="D13" s="38" t="n">
        <v>20000</v>
      </c>
      <c r="E13" s="38" t="n">
        <v>20000</v>
      </c>
      <c r="F13" s="38" t="n">
        <v>20000</v>
      </c>
      <c r="G13" s="38" t="n">
        <v>20000</v>
      </c>
    </row>
    <row r="14" customFormat="false" ht="15" hidden="false" customHeight="false" outlineLevel="0" collapsed="false">
      <c r="A14" s="5" t="s">
        <v>545</v>
      </c>
      <c r="B14" s="38" t="n">
        <v>0</v>
      </c>
      <c r="C14" s="38" t="n">
        <v>180000000</v>
      </c>
      <c r="D14" s="38" t="n">
        <v>180000000</v>
      </c>
      <c r="E14" s="38" t="n">
        <v>180000000</v>
      </c>
      <c r="F14" s="38" t="n">
        <v>180000000</v>
      </c>
      <c r="G14" s="38" t="n">
        <v>180000000</v>
      </c>
    </row>
    <row r="15" customFormat="false" ht="15" hidden="false" customHeight="false" outlineLevel="0" collapsed="false">
      <c r="A15" s="5" t="s">
        <v>785</v>
      </c>
      <c r="B15" s="38" t="n">
        <v>2000000000</v>
      </c>
      <c r="C15" s="38" t="n">
        <v>100000000</v>
      </c>
      <c r="D15" s="38" t="n">
        <v>100000000</v>
      </c>
      <c r="E15" s="38" t="n">
        <v>50000000</v>
      </c>
      <c r="F15" s="38" t="n">
        <v>50000000</v>
      </c>
      <c r="G15" s="38" t="n">
        <v>50000000</v>
      </c>
    </row>
    <row r="16" customFormat="false" ht="15" hidden="false" customHeight="false" outlineLevel="0" collapsed="false">
      <c r="A16" s="5" t="s">
        <v>786</v>
      </c>
      <c r="B16" s="45" t="n">
        <f aca="false">B11*B12</f>
        <v>0</v>
      </c>
      <c r="C16" s="45" t="n">
        <f aca="false">C11*C12</f>
        <v>1036800000</v>
      </c>
      <c r="D16" s="45" t="n">
        <f aca="false">D11*D12</f>
        <v>2073600000</v>
      </c>
      <c r="E16" s="45" t="n">
        <f aca="false">E11*E12</f>
        <v>3110400000</v>
      </c>
      <c r="F16" s="45" t="n">
        <f aca="false">F11*F12</f>
        <v>3456000000</v>
      </c>
      <c r="G16" s="45" t="n">
        <f aca="false">G11*G12</f>
        <v>3456000000</v>
      </c>
    </row>
    <row r="17" customFormat="false" ht="15" hidden="false" customHeight="false" outlineLevel="0" collapsed="false">
      <c r="A17" s="5" t="s">
        <v>787</v>
      </c>
      <c r="B17" s="45" t="n">
        <f aca="false">B11*(B12-B13)</f>
        <v>0</v>
      </c>
      <c r="C17" s="45" t="n">
        <f aca="false">C11*(C12-C13)</f>
        <v>388800000</v>
      </c>
      <c r="D17" s="45" t="n">
        <f aca="false">D11*(D12-D13)</f>
        <v>777600000</v>
      </c>
      <c r="E17" s="45" t="n">
        <f aca="false">E11*(E12-E13)</f>
        <v>1166400000</v>
      </c>
      <c r="F17" s="45" t="n">
        <f aca="false">F11*(F12-F13)</f>
        <v>1296000000</v>
      </c>
      <c r="G17" s="45" t="n">
        <f aca="false">G11*(G12-G13)</f>
        <v>1296000000</v>
      </c>
    </row>
    <row r="18" customFormat="false" ht="15" hidden="false" customHeight="false" outlineLevel="0" collapsed="false">
      <c r="A18" s="5" t="s">
        <v>788</v>
      </c>
      <c r="B18" s="45" t="n">
        <f aca="false">B17-B14</f>
        <v>0</v>
      </c>
      <c r="C18" s="45" t="n">
        <f aca="false">C17-C14</f>
        <v>208800000</v>
      </c>
      <c r="D18" s="45" t="n">
        <f aca="false">D17-D14</f>
        <v>597600000</v>
      </c>
      <c r="E18" s="45" t="n">
        <f aca="false">E17-E14</f>
        <v>986400000</v>
      </c>
      <c r="F18" s="45" t="n">
        <f aca="false">F17-F14</f>
        <v>1116000000</v>
      </c>
      <c r="G18" s="45" t="n">
        <f aca="false">G17-G14</f>
        <v>1116000000</v>
      </c>
    </row>
    <row r="19" customFormat="false" ht="15" hidden="false" customHeight="false" outlineLevel="0" collapsed="false">
      <c r="A19" s="5" t="s">
        <v>789</v>
      </c>
      <c r="B19" s="45" t="n">
        <f aca="false">MAX(0,B18)*$B$7</f>
        <v>0</v>
      </c>
      <c r="C19" s="45" t="n">
        <f aca="false">MAX(0,C18)*$B$7</f>
        <v>43848000</v>
      </c>
      <c r="D19" s="45" t="n">
        <f aca="false">MAX(0,D18)*$B$7</f>
        <v>125496000</v>
      </c>
      <c r="E19" s="45" t="n">
        <f aca="false">MAX(0,E18)*$B$7</f>
        <v>207144000</v>
      </c>
      <c r="F19" s="45" t="n">
        <f aca="false">MAX(0,F18)*$B$7</f>
        <v>234360000</v>
      </c>
      <c r="G19" s="45" t="n">
        <f aca="false">MAX(0,G18)*$B$7</f>
        <v>234360000</v>
      </c>
    </row>
    <row r="20" customFormat="false" ht="15" hidden="false" customHeight="false" outlineLevel="0" collapsed="false">
      <c r="A20" s="5" t="s">
        <v>790</v>
      </c>
      <c r="B20" s="45" t="n">
        <f aca="false">B16*$B$8</f>
        <v>0</v>
      </c>
      <c r="C20" s="45" t="n">
        <f aca="false">C16*$B$8</f>
        <v>51840000</v>
      </c>
      <c r="D20" s="45" t="n">
        <f aca="false">D16*$B$8</f>
        <v>103680000</v>
      </c>
      <c r="E20" s="45" t="n">
        <f aca="false">E16*$B$8</f>
        <v>155520000</v>
      </c>
      <c r="F20" s="45" t="n">
        <f aca="false">F16*$B$8</f>
        <v>172800000</v>
      </c>
      <c r="G20" s="45" t="n">
        <f aca="false">G16*$B$8</f>
        <v>172800000</v>
      </c>
    </row>
    <row r="21" customFormat="false" ht="15" hidden="false" customHeight="false" outlineLevel="0" collapsed="false">
      <c r="A21" s="5" t="s">
        <v>791</v>
      </c>
      <c r="B21" s="45" t="n">
        <f aca="false">B20</f>
        <v>0</v>
      </c>
      <c r="C21" s="45" t="n">
        <f aca="false">C20-B20</f>
        <v>51840000</v>
      </c>
      <c r="D21" s="45" t="n">
        <f aca="false">D20-C20</f>
        <v>51840000</v>
      </c>
      <c r="E21" s="45" t="n">
        <f aca="false">E20-D20</f>
        <v>51840000</v>
      </c>
      <c r="F21" s="45" t="n">
        <f aca="false">F20-E20</f>
        <v>17280000</v>
      </c>
      <c r="G21" s="45" t="n">
        <f aca="false">G20-F20</f>
        <v>0</v>
      </c>
    </row>
    <row r="22" customFormat="false" ht="15" hidden="false" customHeight="false" outlineLevel="0" collapsed="false">
      <c r="A22" s="20" t="s">
        <v>792</v>
      </c>
      <c r="B22" s="46" t="n">
        <f aca="false">B18-B19-B21-B15</f>
        <v>-2000000000</v>
      </c>
      <c r="C22" s="46" t="n">
        <f aca="false">C18-C19-C21-C15</f>
        <v>13112000</v>
      </c>
      <c r="D22" s="46" t="n">
        <f aca="false">D18-D19-D21-D15</f>
        <v>320264000</v>
      </c>
      <c r="E22" s="46" t="n">
        <f aca="false">E18-E19-E21-E15</f>
        <v>677416000</v>
      </c>
      <c r="F22" s="46" t="n">
        <f aca="false">F18-F19-F21-F15</f>
        <v>814360000</v>
      </c>
      <c r="G22" s="46" t="n">
        <f aca="false">G18-G19-G21-G15+G20</f>
        <v>1004440000</v>
      </c>
    </row>
    <row r="23" customFormat="false" ht="15" hidden="false" customHeight="false" outlineLevel="0" collapsed="false">
      <c r="A23" s="5" t="s">
        <v>793</v>
      </c>
      <c r="B23" s="45" t="n">
        <f aca="false">B22</f>
        <v>-2000000000</v>
      </c>
      <c r="C23" s="45" t="n">
        <f aca="false">B23+C22</f>
        <v>-1986888000</v>
      </c>
      <c r="D23" s="45" t="n">
        <f aca="false">C23+D22</f>
        <v>-1666624000</v>
      </c>
      <c r="E23" s="45" t="n">
        <f aca="false">D23+E22</f>
        <v>-989208000</v>
      </c>
      <c r="F23" s="45" t="n">
        <f aca="false">E23+F22</f>
        <v>-174848000</v>
      </c>
      <c r="G23" s="45" t="n">
        <f aca="false">F23+G22</f>
        <v>829592000</v>
      </c>
    </row>
    <row r="25" customFormat="false" ht="15" hidden="false" customHeight="false" outlineLevel="0" collapsed="false">
      <c r="A25" s="20" t="s">
        <v>794</v>
      </c>
      <c r="B25" s="46" t="n">
        <f aca="false">IF(COUNT(B11:G11)=0,"",B22+NPV($B$6,C22:G22))</f>
        <v>-34549289.8522835</v>
      </c>
    </row>
    <row r="26" customFormat="false" ht="15" hidden="false" customHeight="false" outlineLevel="0" collapsed="false">
      <c r="A26" s="20" t="s">
        <v>795</v>
      </c>
      <c r="B26" s="21" t="n">
        <f aca="false">IFERROR(IRR(B22:G22),"n/a")</f>
        <v>0.0949319301494521</v>
      </c>
    </row>
    <row r="27" customFormat="false" ht="15" hidden="false" customHeight="false" outlineLevel="0" collapsed="false">
      <c r="A27" s="20" t="s">
        <v>796</v>
      </c>
      <c r="B27" s="16" t="str">
        <f aca="false">IF(ISNUMBER(B26),IF(B26&gt;=$B$6,"Yes","No"),"")</f>
        <v>No</v>
      </c>
    </row>
    <row r="29" customFormat="false" ht="35.05" hidden="false" customHeight="false" outlineLevel="0" collapsed="false">
      <c r="A29" s="5" t="s">
        <v>797</v>
      </c>
    </row>
  </sheetData>
  <conditionalFormatting sqref="B27">
    <cfRule type="expression" priority="2" aboveAverage="0" equalAverage="0" bottom="0" percent="0" rank="0" text="" dxfId="0">
      <formula>B27="Yes"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B27="No"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9.7" hidden="false" customHeight="false" outlineLevel="0" collapsed="false">
      <c r="A1" s="7" t="s">
        <v>48</v>
      </c>
    </row>
    <row r="2" customFormat="false" ht="15" hidden="false" customHeight="false" outlineLevel="0" collapsed="false">
      <c r="A2" s="3" t="s">
        <v>798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739</v>
      </c>
      <c r="B5" s="12" t="s">
        <v>799</v>
      </c>
      <c r="C5" s="12" t="s">
        <v>800</v>
      </c>
      <c r="D5" s="12" t="s">
        <v>801</v>
      </c>
      <c r="E5" s="12" t="s">
        <v>802</v>
      </c>
      <c r="F5" s="12" t="s">
        <v>803</v>
      </c>
      <c r="G5" s="12" t="s">
        <v>804</v>
      </c>
      <c r="H5" s="12" t="s">
        <v>805</v>
      </c>
      <c r="I5" s="12" t="s">
        <v>806</v>
      </c>
      <c r="J5" s="12" t="s">
        <v>807</v>
      </c>
      <c r="K5" s="12" t="s">
        <v>808</v>
      </c>
    </row>
    <row r="6" customFormat="false" ht="15" hidden="false" customHeight="false" outlineLevel="0" collapsed="false">
      <c r="A6" s="11" t="s">
        <v>746</v>
      </c>
      <c r="B6" s="31" t="n">
        <v>0.3</v>
      </c>
      <c r="C6" s="28" t="n">
        <v>620</v>
      </c>
      <c r="D6" s="31" t="n">
        <v>0.5</v>
      </c>
      <c r="E6" s="28" t="n">
        <v>-35</v>
      </c>
      <c r="F6" s="31" t="n">
        <v>0.2</v>
      </c>
      <c r="G6" s="28" t="n">
        <v>-540</v>
      </c>
      <c r="H6" s="15" t="str">
        <f aca="false">IF(A6="","",IF(ABS(B6+D6+F6-1)&lt;0.001,"OK","Must sum to 100%"))</f>
        <v>OK</v>
      </c>
      <c r="I6" s="33" t="n">
        <f aca="false">IF(A6="","",B6*C6+D6*E6+F6*G6)</f>
        <v>60.5</v>
      </c>
      <c r="J6" s="27" t="n">
        <f aca="false">IF(A6="","",MIN(C6,E6,G6))</f>
        <v>-540</v>
      </c>
      <c r="K6" s="27" t="n">
        <f aca="false">IF(A6="","",MAX(C6,E6,G6))</f>
        <v>620</v>
      </c>
    </row>
    <row r="7" customFormat="false" ht="15" hidden="false" customHeight="false" outlineLevel="0" collapsed="false">
      <c r="A7" s="11" t="s">
        <v>752</v>
      </c>
      <c r="B7" s="31" t="n">
        <v>0.3</v>
      </c>
      <c r="C7" s="28" t="n">
        <v>260</v>
      </c>
      <c r="D7" s="31" t="n">
        <v>0.5</v>
      </c>
      <c r="E7" s="28" t="n">
        <v>40</v>
      </c>
      <c r="F7" s="31" t="n">
        <v>0.2</v>
      </c>
      <c r="G7" s="28" t="n">
        <v>-60</v>
      </c>
      <c r="H7" s="15" t="str">
        <f aca="false">IF(A7="","",IF(ABS(B7+D7+F7-1)&lt;0.001,"OK","Must sum to 100%"))</f>
        <v>OK</v>
      </c>
      <c r="I7" s="33" t="n">
        <f aca="false">IF(A7="","",B7*C7+D7*E7+F7*G7)</f>
        <v>86</v>
      </c>
      <c r="J7" s="27" t="n">
        <f aca="false">IF(A7="","",MIN(C7,E7,G7))</f>
        <v>-60</v>
      </c>
      <c r="K7" s="27" t="n">
        <f aca="false">IF(A7="","",MAX(C7,E7,G7))</f>
        <v>260</v>
      </c>
    </row>
    <row r="8" customFormat="false" ht="15" hidden="false" customHeight="false" outlineLevel="0" collapsed="false">
      <c r="A8" s="11" t="s">
        <v>758</v>
      </c>
      <c r="B8" s="31" t="n">
        <v>0.3</v>
      </c>
      <c r="C8" s="28" t="n">
        <v>0</v>
      </c>
      <c r="D8" s="31" t="n">
        <v>0.5</v>
      </c>
      <c r="E8" s="28" t="n">
        <v>0</v>
      </c>
      <c r="F8" s="31" t="n">
        <v>0.2</v>
      </c>
      <c r="G8" s="28" t="n">
        <v>0</v>
      </c>
      <c r="H8" s="15" t="str">
        <f aca="false">IF(A8="","",IF(ABS(B8+D8+F8-1)&lt;0.001,"OK","Must sum to 100%"))</f>
        <v>OK</v>
      </c>
      <c r="I8" s="33" t="n">
        <f aca="false">IF(A8="","",B8*C8+D8*E8+F8*G8)</f>
        <v>0</v>
      </c>
      <c r="J8" s="27" t="n">
        <f aca="false">IF(A8="","",MIN(C8,E8,G8))</f>
        <v>0</v>
      </c>
      <c r="K8" s="27" t="n">
        <f aca="false">IF(A8="","",MAX(C8,E8,G8))</f>
        <v>0</v>
      </c>
    </row>
    <row r="9" customFormat="false" ht="15" hidden="false" customHeight="false" outlineLevel="0" collapsed="false">
      <c r="A9" s="11"/>
      <c r="B9" s="31"/>
      <c r="C9" s="28"/>
      <c r="D9" s="31"/>
      <c r="E9" s="28"/>
      <c r="F9" s="31"/>
      <c r="G9" s="28"/>
      <c r="H9" s="15" t="str">
        <f aca="false">IF(A9="","",IF(ABS(B9+D9+F9-1)&lt;0.001,"OK","Must sum to 100%"))</f>
        <v/>
      </c>
      <c r="I9" s="33" t="str">
        <f aca="false">IF(A9="","",B9*C9+D9*E9+F9*G9)</f>
        <v/>
      </c>
      <c r="J9" s="27" t="str">
        <f aca="false">IF(A9="","",MIN(C9,E9,G9))</f>
        <v/>
      </c>
      <c r="K9" s="27" t="str">
        <f aca="false">IF(A9="","",MAX(C9,E9,G9))</f>
        <v/>
      </c>
    </row>
    <row r="10" customFormat="false" ht="15" hidden="false" customHeight="false" outlineLevel="0" collapsed="false">
      <c r="A10" s="11"/>
      <c r="B10" s="31"/>
      <c r="C10" s="28"/>
      <c r="D10" s="31"/>
      <c r="E10" s="28"/>
      <c r="F10" s="31"/>
      <c r="G10" s="28"/>
      <c r="H10" s="15" t="str">
        <f aca="false">IF(A10="","",IF(ABS(B10+D10+F10-1)&lt;0.001,"OK","Must sum to 100%"))</f>
        <v/>
      </c>
      <c r="I10" s="33" t="str">
        <f aca="false">IF(A10="","",B10*C10+D10*E10+F10*G10)</f>
        <v/>
      </c>
      <c r="J10" s="27" t="str">
        <f aca="false">IF(A10="","",MIN(C10,E10,G10))</f>
        <v/>
      </c>
      <c r="K10" s="27" t="str">
        <f aca="false">IF(A10="","",MAX(C10,E10,G10))</f>
        <v/>
      </c>
    </row>
    <row r="11" customFormat="false" ht="15" hidden="false" customHeight="false" outlineLevel="0" collapsed="false">
      <c r="A11" s="11"/>
      <c r="B11" s="31"/>
      <c r="C11" s="28"/>
      <c r="D11" s="31"/>
      <c r="E11" s="28"/>
      <c r="F11" s="31"/>
      <c r="G11" s="28"/>
      <c r="H11" s="15" t="str">
        <f aca="false">IF(A11="","",IF(ABS(B11+D11+F11-1)&lt;0.001,"OK","Must sum to 100%"))</f>
        <v/>
      </c>
      <c r="I11" s="33" t="str">
        <f aca="false">IF(A11="","",B11*C11+D11*E11+F11*G11)</f>
        <v/>
      </c>
      <c r="J11" s="27" t="str">
        <f aca="false">IF(A11="","",MIN(C11,E11,G11))</f>
        <v/>
      </c>
      <c r="K11" s="27" t="str">
        <f aca="false">IF(A11="","",MAX(C11,E11,G11))</f>
        <v/>
      </c>
    </row>
    <row r="13" customFormat="false" ht="15" hidden="false" customHeight="false" outlineLevel="0" collapsed="false">
      <c r="A13" s="20" t="s">
        <v>809</v>
      </c>
      <c r="B13" s="16" t="str">
        <f aca="false">IFERROR(INDEX(A6:A11,MATCH(MAX(I6:I11),I6:I11,0)),"")</f>
        <v>B. Partner</v>
      </c>
    </row>
    <row r="14" customFormat="false" ht="23.85" hidden="false" customHeight="false" outlineLevel="0" collapsed="false">
      <c r="A14" s="20" t="s">
        <v>810</v>
      </c>
      <c r="B14" s="16" t="str">
        <f aca="false">IFERROR(INDEX(A6:A11,MATCH(MAX(J6:J11),J6:J11,0)),"")</f>
        <v>0. Do nothing</v>
      </c>
    </row>
    <row r="15" customFormat="false" ht="23.85" hidden="false" customHeight="true" outlineLevel="0" collapsed="false">
      <c r="A15" s="20" t="s">
        <v>811</v>
      </c>
      <c r="B15" s="33" t="n">
        <f aca="false">IFERROR(INDEX(B6:B11,MATCH(MAX(I6:I11),I6:I11,0))*MAX(C6:C11)+INDEX(D6:D11,MATCH(MAX(I6:I11),I6:I11,0))*MAX(E6:E11)+INDEX(F6:F11,MATCH(MAX(I6:I11),I6:I11,0))*MAX(G6:G11)-MAX(I6:I11),"")</f>
        <v>120</v>
      </c>
      <c r="C15" s="10" t="s">
        <v>812</v>
      </c>
      <c r="D15" s="10"/>
      <c r="E15" s="10"/>
      <c r="F15" s="10"/>
      <c r="G15" s="10"/>
      <c r="H15" s="10"/>
      <c r="I15" s="10"/>
      <c r="J15" s="10"/>
      <c r="K15" s="10"/>
    </row>
    <row r="18" customFormat="false" ht="23.85" hidden="false" customHeight="true" outlineLevel="0" collapsed="false">
      <c r="A18" s="20" t="s">
        <v>813</v>
      </c>
      <c r="B18" s="10" t="s">
        <v>814</v>
      </c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30" hidden="false" customHeight="true" outlineLevel="0" collapsed="false">
      <c r="A19" s="12" t="s">
        <v>815</v>
      </c>
      <c r="B19" s="12" t="s">
        <v>816</v>
      </c>
      <c r="C19" s="12" t="s">
        <v>817</v>
      </c>
      <c r="D19" s="12" t="s">
        <v>818</v>
      </c>
      <c r="E19" s="12" t="s">
        <v>819</v>
      </c>
      <c r="F19" s="12" t="s">
        <v>820</v>
      </c>
      <c r="G19" s="12" t="s">
        <v>821</v>
      </c>
    </row>
    <row r="20" customFormat="false" ht="15" hidden="false" customHeight="false" outlineLevel="0" collapsed="false">
      <c r="A20" s="5" t="s">
        <v>822</v>
      </c>
      <c r="B20" s="44" t="n">
        <f aca="false">IF(B6="","",B6)</f>
        <v>0.3</v>
      </c>
      <c r="C20" s="31" t="n">
        <v>0.8</v>
      </c>
      <c r="D20" s="31" t="n">
        <v>0.2</v>
      </c>
      <c r="E20" s="15" t="str">
        <f aca="false">IF(C20="","",IF(ABS(C20+D20-1)&lt;0.001,"OK","Must sum to 100%"))</f>
        <v>OK</v>
      </c>
      <c r="F20" s="39" t="n">
        <f aca="false">IFERROR(B20*C20/SUMPRODUCT($B$20:$B$22,$C$20:$C$22),"")</f>
        <v>0.461538461538462</v>
      </c>
      <c r="G20" s="39" t="n">
        <f aca="false">IFERROR(B20*D20/SUMPRODUCT($B$20:$B$22,$D$20:$D$22),"")</f>
        <v>0.125</v>
      </c>
    </row>
    <row r="21" customFormat="false" ht="15" hidden="false" customHeight="false" outlineLevel="0" collapsed="false">
      <c r="A21" s="5" t="s">
        <v>823</v>
      </c>
      <c r="B21" s="44" t="n">
        <f aca="false">IF(D6="","",D6)</f>
        <v>0.5</v>
      </c>
      <c r="C21" s="31" t="n">
        <v>0.5</v>
      </c>
      <c r="D21" s="31" t="n">
        <v>0.5</v>
      </c>
      <c r="E21" s="15" t="str">
        <f aca="false">IF(C21="","",IF(ABS(C21+D21-1)&lt;0.001,"OK","Must sum to 100%"))</f>
        <v>OK</v>
      </c>
      <c r="F21" s="39" t="n">
        <f aca="false">IFERROR(B21*C21/SUMPRODUCT($B$20:$B$22,$C$20:$C$22),"")</f>
        <v>0.480769230769231</v>
      </c>
      <c r="G21" s="39" t="n">
        <f aca="false">IFERROR(B21*D21/SUMPRODUCT($B$20:$B$22,$D$20:$D$22),"")</f>
        <v>0.520833333333333</v>
      </c>
    </row>
    <row r="22" customFormat="false" ht="15" hidden="false" customHeight="false" outlineLevel="0" collapsed="false">
      <c r="A22" s="5" t="s">
        <v>824</v>
      </c>
      <c r="B22" s="44" t="n">
        <f aca="false">IF(F6="","",F6)</f>
        <v>0.2</v>
      </c>
      <c r="C22" s="31" t="n">
        <v>0.15</v>
      </c>
      <c r="D22" s="31" t="n">
        <v>0.85</v>
      </c>
      <c r="E22" s="15" t="str">
        <f aca="false">IF(C22="","",IF(ABS(C22+D22-1)&lt;0.001,"OK","Must sum to 100%"))</f>
        <v>OK</v>
      </c>
      <c r="F22" s="39" t="n">
        <f aca="false">IFERROR(B22*C22/SUMPRODUCT($B$20:$B$22,$C$20:$C$22),"")</f>
        <v>0.0576923076923077</v>
      </c>
      <c r="G22" s="39" t="n">
        <f aca="false">IFERROR(B22*D22/SUMPRODUCT($B$20:$B$22,$D$20:$D$22),"")</f>
        <v>0.354166666666667</v>
      </c>
    </row>
    <row r="23" customFormat="false" ht="15" hidden="false" customHeight="false" outlineLevel="0" collapsed="false">
      <c r="A23" s="20" t="s">
        <v>825</v>
      </c>
      <c r="F23" s="21" t="n">
        <f aca="false">IFERROR(SUMPRODUCT(B20:B22,C20:C22),"")</f>
        <v>0.52</v>
      </c>
      <c r="G23" s="21" t="n">
        <f aca="false">IFERROR(SUMPRODUCT(B20:B22,D20:D22),"")</f>
        <v>0.48</v>
      </c>
    </row>
    <row r="25" customFormat="false" ht="30" hidden="false" customHeight="true" outlineLevel="0" collapsed="false">
      <c r="A25" s="12" t="s">
        <v>739</v>
      </c>
      <c r="B25" s="12" t="s">
        <v>826</v>
      </c>
      <c r="C25" s="12" t="s">
        <v>827</v>
      </c>
      <c r="D25" s="12" t="s">
        <v>828</v>
      </c>
    </row>
    <row r="26" customFormat="false" ht="15" hidden="false" customHeight="false" outlineLevel="0" collapsed="false">
      <c r="A26" s="15" t="str">
        <f aca="false">IF(A6="","",A6)</f>
        <v>A. EU plant</v>
      </c>
      <c r="B26" s="47" t="n">
        <f aca="false">IF(A6="","",I6)</f>
        <v>60.5</v>
      </c>
      <c r="C26" s="47" t="n">
        <f aca="false">IF(OR(A6="",F20=""),"",C6*F20+E6*F21+G6*F22)</f>
        <v>238.173076923077</v>
      </c>
      <c r="D26" s="47" t="n">
        <f aca="false">IF(OR(A6="",G20=""),"",C6*G20+E6*G21+G6*G22)</f>
        <v>-131.979166666667</v>
      </c>
    </row>
    <row r="27" customFormat="false" ht="15" hidden="false" customHeight="false" outlineLevel="0" collapsed="false">
      <c r="A27" s="15" t="str">
        <f aca="false">IF(A7="","",A7)</f>
        <v>B. Partner</v>
      </c>
      <c r="B27" s="47" t="n">
        <f aca="false">IF(A7="","",I7)</f>
        <v>86</v>
      </c>
      <c r="C27" s="47" t="n">
        <f aca="false">IF(OR(A7="",F20=""),"",C7*F20+E7*F21+G7*F22)</f>
        <v>135.769230769231</v>
      </c>
      <c r="D27" s="47" t="n">
        <f aca="false">IF(OR(A7="",G20=""),"",C7*G20+E7*G21+G7*G22)</f>
        <v>32.0833333333333</v>
      </c>
    </row>
    <row r="28" customFormat="false" ht="15" hidden="false" customHeight="false" outlineLevel="0" collapsed="false">
      <c r="A28" s="15" t="str">
        <f aca="false">IF(A8="","",A8)</f>
        <v>0. Do nothing</v>
      </c>
      <c r="B28" s="47" t="n">
        <f aca="false">IF(A8="","",I8)</f>
        <v>0</v>
      </c>
      <c r="C28" s="47" t="n">
        <f aca="false">IF(OR(A8="",F20=""),"",C8*F20+E8*F21+G8*F22)</f>
        <v>0</v>
      </c>
      <c r="D28" s="47" t="n">
        <f aca="false">IF(OR(A8="",G20=""),"",C8*G20+E8*G21+G8*G22)</f>
        <v>0</v>
      </c>
    </row>
    <row r="29" customFormat="false" ht="15" hidden="false" customHeight="false" outlineLevel="0" collapsed="false">
      <c r="A29" s="15" t="str">
        <f aca="false">IF(A9="","",A9)</f>
        <v/>
      </c>
      <c r="B29" s="47" t="str">
        <f aca="false">IF(A9="","",I9)</f>
        <v/>
      </c>
      <c r="C29" s="47" t="str">
        <f aca="false">IF(OR(A9="",F20=""),"",C9*F20+E9*F21+G9*F22)</f>
        <v/>
      </c>
      <c r="D29" s="47" t="str">
        <f aca="false">IF(OR(A9="",G20=""),"",C9*G20+E9*G21+G9*G22)</f>
        <v/>
      </c>
    </row>
    <row r="30" customFormat="false" ht="15" hidden="false" customHeight="false" outlineLevel="0" collapsed="false">
      <c r="A30" s="15" t="str">
        <f aca="false">IF(A10="","",A10)</f>
        <v/>
      </c>
      <c r="B30" s="47" t="str">
        <f aca="false">IF(A10="","",I10)</f>
        <v/>
      </c>
      <c r="C30" s="47" t="str">
        <f aca="false">IF(OR(A10="",F20=""),"",C10*F20+E10*F21+G10*F22)</f>
        <v/>
      </c>
      <c r="D30" s="47" t="str">
        <f aca="false">IF(OR(A10="",G20=""),"",C10*G20+E10*G21+G10*G22)</f>
        <v/>
      </c>
    </row>
    <row r="31" customFormat="false" ht="15" hidden="false" customHeight="false" outlineLevel="0" collapsed="false">
      <c r="A31" s="15" t="str">
        <f aca="false">IF(A11="","",A11)</f>
        <v/>
      </c>
      <c r="B31" s="47" t="str">
        <f aca="false">IF(A11="","",I11)</f>
        <v/>
      </c>
      <c r="C31" s="47" t="str">
        <f aca="false">IF(OR(A11="",F20=""),"",C11*F20+E11*F21+G11*F22)</f>
        <v/>
      </c>
      <c r="D31" s="47" t="str">
        <f aca="false">IF(OR(A11="",G20=""),"",C11*G20+E11*G21+G11*G22)</f>
        <v/>
      </c>
    </row>
    <row r="33" customFormat="false" ht="23.85" hidden="false" customHeight="true" outlineLevel="0" collapsed="false">
      <c r="A33" s="20" t="s">
        <v>829</v>
      </c>
      <c r="B33" s="16" t="str">
        <f aca="false">IFERROR(INDEX(A26:A31,MATCH(MAX(C26:C31),C26:C31,0)),"")</f>
        <v>A. EU plant</v>
      </c>
      <c r="C33" s="10" t="s">
        <v>830</v>
      </c>
      <c r="D33" s="10"/>
      <c r="E33" s="10"/>
      <c r="F33" s="10"/>
      <c r="G33" s="10"/>
      <c r="H33" s="10"/>
      <c r="I33" s="10"/>
      <c r="J33" s="10"/>
      <c r="K33" s="10"/>
    </row>
    <row r="34" customFormat="false" ht="23.85" hidden="false" customHeight="false" outlineLevel="0" collapsed="false">
      <c r="A34" s="20" t="s">
        <v>831</v>
      </c>
      <c r="B34" s="16" t="str">
        <f aca="false">IFERROR(INDEX(A26:A31,MATCH(MAX(D26:D31),D26:D31,0)),"")</f>
        <v>B. Partner</v>
      </c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23.85" hidden="false" customHeight="false" outlineLevel="0" collapsed="false">
      <c r="A35" s="20" t="s">
        <v>832</v>
      </c>
      <c r="B35" s="33" t="n">
        <f aca="false">IFERROR(F23*MAX(C26:C31)+G23*MAX(D26:D31),"")</f>
        <v>139.25</v>
      </c>
    </row>
    <row r="36" customFormat="false" ht="15" hidden="false" customHeight="false" outlineLevel="0" collapsed="false">
      <c r="A36" s="20" t="s">
        <v>833</v>
      </c>
      <c r="B36" s="33" t="n">
        <f aca="false">IFERROR(B35-MAX(I6:I11),"")</f>
        <v>53.25</v>
      </c>
    </row>
    <row r="37" customFormat="false" ht="15" hidden="false" customHeight="false" outlineLevel="0" collapsed="false">
      <c r="A37" s="20" t="s">
        <v>834</v>
      </c>
      <c r="B37" s="40" t="n">
        <v>25</v>
      </c>
    </row>
    <row r="38" customFormat="false" ht="23.85" hidden="false" customHeight="false" outlineLevel="0" collapsed="false">
      <c r="A38" s="20" t="s">
        <v>835</v>
      </c>
      <c r="B38" s="33" t="n">
        <f aca="false">IFERROR(IF(B37="","",B36-B37),"")</f>
        <v>28.25</v>
      </c>
    </row>
    <row r="39" customFormat="false" ht="15" hidden="false" customHeight="false" outlineLevel="0" collapsed="false">
      <c r="A39" s="20" t="s">
        <v>836</v>
      </c>
      <c r="B39" s="32" t="n">
        <f aca="false">IFERROR(B36/B15,"")</f>
        <v>0.44375</v>
      </c>
    </row>
  </sheetData>
  <mergeCells count="3">
    <mergeCell ref="C15:K15"/>
    <mergeCell ref="B18:K18"/>
    <mergeCell ref="C33:K34"/>
  </mergeCells>
  <conditionalFormatting sqref="H6:H11">
    <cfRule type="expression" priority="2" aboveAverage="0" equalAverage="0" bottom="0" percent="0" rank="0" text="" dxfId="0">
      <formula>H6="OK"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H6="Must sum to 100%"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U10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1"/>
    <col collapsed="false" customWidth="true" hidden="false" outlineLevel="0" max="7" min="5" style="0" width="12"/>
    <col collapsed="false" customWidth="true" hidden="false" outlineLevel="0" max="10" min="8" style="0" width="1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9.7" hidden="false" customHeight="false" outlineLevel="0" collapsed="false">
      <c r="A1" s="7" t="s">
        <v>837</v>
      </c>
    </row>
    <row r="2" customFormat="false" ht="15" hidden="false" customHeight="false" outlineLevel="0" collapsed="false">
      <c r="A2" s="3" t="s">
        <v>838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618</v>
      </c>
      <c r="B5" s="12" t="s">
        <v>839</v>
      </c>
      <c r="C5" s="12" t="s">
        <v>840</v>
      </c>
      <c r="D5" s="12" t="s">
        <v>841</v>
      </c>
      <c r="E5" s="12" t="s">
        <v>842</v>
      </c>
      <c r="F5" s="12" t="s">
        <v>843</v>
      </c>
      <c r="G5" s="12" t="s">
        <v>844</v>
      </c>
    </row>
    <row r="6" customFormat="false" ht="15" hidden="false" customHeight="false" outlineLevel="0" collapsed="false">
      <c r="A6" s="5" t="s">
        <v>519</v>
      </c>
      <c r="B6" s="22" t="n">
        <v>-0.08</v>
      </c>
      <c r="C6" s="22" t="n">
        <v>0</v>
      </c>
      <c r="D6" s="22" t="n">
        <v>0.04</v>
      </c>
      <c r="E6" s="39" t="n">
        <f aca="false">IF(B6="",F6,B6)</f>
        <v>-0.08</v>
      </c>
      <c r="F6" s="39" t="n">
        <f aca="false">IF(C6="",0,C6)</f>
        <v>0</v>
      </c>
      <c r="G6" s="39" t="n">
        <f aca="false">IF(D6="",F6,D6)</f>
        <v>0.04</v>
      </c>
    </row>
    <row r="7" customFormat="false" ht="15" hidden="false" customHeight="false" outlineLevel="0" collapsed="false">
      <c r="A7" s="5" t="s">
        <v>784</v>
      </c>
      <c r="B7" s="22" t="n">
        <v>-0.2</v>
      </c>
      <c r="C7" s="22" t="n">
        <v>0</v>
      </c>
      <c r="D7" s="22" t="n">
        <v>0.15</v>
      </c>
      <c r="E7" s="39" t="n">
        <f aca="false">IF(B7="",F7,B7)</f>
        <v>-0.2</v>
      </c>
      <c r="F7" s="39" t="n">
        <f aca="false">IF(C7="",0,C7)</f>
        <v>0</v>
      </c>
      <c r="G7" s="39" t="n">
        <f aca="false">IF(D7="",F7,D7)</f>
        <v>0.15</v>
      </c>
    </row>
    <row r="8" customFormat="false" ht="15" hidden="false" customHeight="false" outlineLevel="0" collapsed="false">
      <c r="A8" s="5" t="s">
        <v>521</v>
      </c>
      <c r="B8" s="22" t="n">
        <v>-0.05</v>
      </c>
      <c r="C8" s="22" t="n">
        <v>0</v>
      </c>
      <c r="D8" s="22" t="n">
        <v>0.08</v>
      </c>
      <c r="E8" s="39" t="n">
        <f aca="false">IF(B8="",F8,B8)</f>
        <v>-0.05</v>
      </c>
      <c r="F8" s="39" t="n">
        <f aca="false">IF(C8="",0,C8)</f>
        <v>0</v>
      </c>
      <c r="G8" s="39" t="n">
        <f aca="false">IF(D8="",F8,D8)</f>
        <v>0.08</v>
      </c>
    </row>
    <row r="9" customFormat="false" ht="15" hidden="false" customHeight="false" outlineLevel="0" collapsed="false">
      <c r="A9" s="5" t="s">
        <v>545</v>
      </c>
      <c r="B9" s="22" t="n">
        <v>-0.05</v>
      </c>
      <c r="C9" s="22" t="n">
        <v>0</v>
      </c>
      <c r="D9" s="22" t="n">
        <v>0.1</v>
      </c>
      <c r="E9" s="39" t="n">
        <f aca="false">IF(B9="",F9,B9)</f>
        <v>-0.05</v>
      </c>
      <c r="F9" s="39" t="n">
        <f aca="false">IF(C9="",0,C9)</f>
        <v>0</v>
      </c>
      <c r="G9" s="39" t="n">
        <f aca="false">IF(D9="",F9,D9)</f>
        <v>0.1</v>
      </c>
    </row>
    <row r="10" customFormat="false" ht="15" hidden="false" customHeight="false" outlineLevel="0" collapsed="false">
      <c r="A10" s="5" t="s">
        <v>785</v>
      </c>
      <c r="B10" s="22" t="n">
        <v>-0.05</v>
      </c>
      <c r="C10" s="22" t="n">
        <v>0</v>
      </c>
      <c r="D10" s="22" t="n">
        <v>0.2</v>
      </c>
      <c r="E10" s="39" t="n">
        <f aca="false">IF(B10="",F10,B10)</f>
        <v>-0.05</v>
      </c>
      <c r="F10" s="39" t="n">
        <f aca="false">IF(C10="",0,C10)</f>
        <v>0</v>
      </c>
      <c r="G10" s="39" t="n">
        <f aca="false">IF(D10="",F10,D10)</f>
        <v>0.2</v>
      </c>
    </row>
    <row r="11" customFormat="false" ht="15" hidden="false" customHeight="false" outlineLevel="0" collapsed="false">
      <c r="A11" s="5" t="s">
        <v>845</v>
      </c>
      <c r="B11" s="22" t="n">
        <v>0.09</v>
      </c>
      <c r="C11" s="22" t="n">
        <v>0.1</v>
      </c>
      <c r="D11" s="22" t="n">
        <v>0.12</v>
      </c>
      <c r="E11" s="39" t="n">
        <f aca="false">IF(B11="",F11,B11)</f>
        <v>0.09</v>
      </c>
      <c r="F11" s="39" t="n">
        <f aca="false">IF(C11="",'Business Case'!$B$6,C11)</f>
        <v>0.1</v>
      </c>
      <c r="G11" s="39" t="n">
        <f aca="false">IF(D11="",F11,D11)</f>
        <v>0.12</v>
      </c>
    </row>
    <row r="12" customFormat="false" ht="15" hidden="false" customHeight="false" outlineLevel="0" collapsed="false">
      <c r="A12" s="5" t="s">
        <v>846</v>
      </c>
      <c r="B12" s="15" t="str">
        <f aca="false">IF(SUMPRODUCT((E6:E11&gt;F6:F11)+(F6:F11&gt;G6:G11))=0,"OK","Need low &lt;= likely &lt;= high")</f>
        <v>OK</v>
      </c>
      <c r="C12" s="15"/>
      <c r="D12" s="15"/>
    </row>
    <row r="14" customFormat="false" ht="35.05" hidden="false" customHeight="false" outlineLevel="0" collapsed="false">
      <c r="A14" s="20" t="s">
        <v>847</v>
      </c>
    </row>
    <row r="15" customFormat="false" ht="15" hidden="false" customHeight="false" outlineLevel="0" collapsed="false">
      <c r="A15" s="12" t="s">
        <v>815</v>
      </c>
      <c r="B15" s="12" t="s">
        <v>848</v>
      </c>
      <c r="C15" s="12" t="s">
        <v>849</v>
      </c>
      <c r="D15" s="12" t="s">
        <v>850</v>
      </c>
      <c r="E15" s="12" t="s">
        <v>851</v>
      </c>
      <c r="F15" s="12" t="s">
        <v>852</v>
      </c>
      <c r="G15" s="12" t="s">
        <v>853</v>
      </c>
      <c r="H15" s="12" t="s">
        <v>854</v>
      </c>
      <c r="I15" s="12" t="s">
        <v>855</v>
      </c>
      <c r="J15" s="12" t="s">
        <v>856</v>
      </c>
      <c r="K15" s="12" t="s">
        <v>857</v>
      </c>
      <c r="L15" s="12" t="s">
        <v>858</v>
      </c>
      <c r="M15" s="12" t="s">
        <v>859</v>
      </c>
      <c r="N15" s="12" t="s">
        <v>794</v>
      </c>
    </row>
    <row r="16" customFormat="false" ht="15" hidden="false" customHeight="false" outlineLevel="0" collapsed="false">
      <c r="A16" s="5" t="s">
        <v>540</v>
      </c>
      <c r="B16" s="47" t="n">
        <f aca="false">1</f>
        <v>1</v>
      </c>
      <c r="C16" s="47" t="n">
        <f aca="false">1</f>
        <v>1</v>
      </c>
      <c r="D16" s="47" t="n">
        <f aca="false">1</f>
        <v>1</v>
      </c>
      <c r="E16" s="47" t="n">
        <f aca="false">1</f>
        <v>1</v>
      </c>
      <c r="F16" s="47" t="n">
        <f aca="false">1</f>
        <v>1</v>
      </c>
      <c r="G16" s="39" t="n">
        <f aca="false">'Business Case'!$B$6</f>
        <v>0.1</v>
      </c>
      <c r="H16" s="45" t="n">
        <f aca="false">(('Business Case'!B11*$C16*'Business Case'!B12*$B16)-'Business Case'!B11*$C16*'Business Case'!B13*$D16-'Business Case'!B14*$E16)-MAX(0,(('Business Case'!B11*$C16*'Business Case'!B12*$B16)-'Business Case'!B11*$C16*'Business Case'!B13*$D16-'Business Case'!B14*$E16))*'Business Case'!$B$7-'Business Case'!$B$8*('Business Case'!B11*$C16*'Business Case'!B12*$B16)-'Business Case'!B15*$F16</f>
        <v>-2000000000</v>
      </c>
      <c r="I16" s="45" t="n">
        <f aca="false">(('Business Case'!C11*$C16*'Business Case'!C12*$B16)-'Business Case'!C11*$C16*'Business Case'!C13*$D16-'Business Case'!C14*$E16)-MAX(0,(('Business Case'!C11*$C16*'Business Case'!C12*$B16)-'Business Case'!C11*$C16*'Business Case'!C13*$D16-'Business Case'!C14*$E16))*'Business Case'!$B$7-'Business Case'!$B$8*(('Business Case'!C11*$C16*'Business Case'!C12*$B16)-('Business Case'!B11*$C16*'Business Case'!B12*$B16))-'Business Case'!C15*$F16</f>
        <v>13112000</v>
      </c>
      <c r="J16" s="45" t="n">
        <f aca="false">(('Business Case'!D11*$C16*'Business Case'!D12*$B16)-'Business Case'!D11*$C16*'Business Case'!D13*$D16-'Business Case'!D14*$E16)-MAX(0,(('Business Case'!D11*$C16*'Business Case'!D12*$B16)-'Business Case'!D11*$C16*'Business Case'!D13*$D16-'Business Case'!D14*$E16))*'Business Case'!$B$7-'Business Case'!$B$8*(('Business Case'!D11*$C16*'Business Case'!D12*$B16)-('Business Case'!C11*$C16*'Business Case'!C12*$B16))-'Business Case'!D15*$F16</f>
        <v>320264000</v>
      </c>
      <c r="K16" s="45" t="n">
        <f aca="false">(('Business Case'!E11*$C16*'Business Case'!E12*$B16)-'Business Case'!E11*$C16*'Business Case'!E13*$D16-'Business Case'!E14*$E16)-MAX(0,(('Business Case'!E11*$C16*'Business Case'!E12*$B16)-'Business Case'!E11*$C16*'Business Case'!E13*$D16-'Business Case'!E14*$E16))*'Business Case'!$B$7-'Business Case'!$B$8*(('Business Case'!E11*$C16*'Business Case'!E12*$B16)-('Business Case'!D11*$C16*'Business Case'!D12*$B16))-'Business Case'!E15*$F16</f>
        <v>677416000</v>
      </c>
      <c r="L16" s="45" t="n">
        <f aca="false">(('Business Case'!F11*$C16*'Business Case'!F12*$B16)-'Business Case'!F11*$C16*'Business Case'!F13*$D16-'Business Case'!F14*$E16)-MAX(0,(('Business Case'!F11*$C16*'Business Case'!F12*$B16)-'Business Case'!F11*$C16*'Business Case'!F13*$D16-'Business Case'!F14*$E16))*'Business Case'!$B$7-'Business Case'!$B$8*(('Business Case'!F11*$C16*'Business Case'!F12*$B16)-('Business Case'!E11*$C16*'Business Case'!E12*$B16))-'Business Case'!F15*$F16</f>
        <v>814360000</v>
      </c>
      <c r="M16" s="45" t="n">
        <f aca="false">(('Business Case'!G11*$C16*'Business Case'!G12*$B16)-'Business Case'!G11*$C16*'Business Case'!G13*$D16-'Business Case'!G14*$E16)-MAX(0,(('Business Case'!G11*$C16*'Business Case'!G12*$B16)-'Business Case'!G11*$C16*'Business Case'!G13*$D16-'Business Case'!G14*$E16))*'Business Case'!$B$7-'Business Case'!$B$8*(('Business Case'!G11*$C16*'Business Case'!G12*$B16)-('Business Case'!F11*$C16*'Business Case'!F12*$B16))-'Business Case'!G15*$F16+'Business Case'!$B$8*('Business Case'!G11*$C16*'Business Case'!G12*$B16)</f>
        <v>1004440000</v>
      </c>
      <c r="N16" s="46" t="n">
        <f aca="false">IF(COUNT('Business Case'!B11:G11)=0,"",H16+NPV(G16,I16:M16))</f>
        <v>-34549289.8522835</v>
      </c>
    </row>
    <row r="17" customFormat="false" ht="15" hidden="false" customHeight="false" outlineLevel="0" collapsed="false">
      <c r="A17" s="5" t="s">
        <v>860</v>
      </c>
      <c r="B17" s="47" t="n">
        <f aca="false">1+E6</f>
        <v>0.92</v>
      </c>
      <c r="C17" s="47" t="n">
        <f aca="false">1</f>
        <v>1</v>
      </c>
      <c r="D17" s="47" t="n">
        <f aca="false">1</f>
        <v>1</v>
      </c>
      <c r="E17" s="47" t="n">
        <f aca="false">1</f>
        <v>1</v>
      </c>
      <c r="F17" s="47" t="n">
        <f aca="false">1</f>
        <v>1</v>
      </c>
      <c r="G17" s="39" t="n">
        <f aca="false">'Business Case'!$B$6</f>
        <v>0.1</v>
      </c>
      <c r="H17" s="45" t="n">
        <f aca="false">(('Business Case'!B11*$C17*'Business Case'!B12*$B17)-'Business Case'!B11*$C17*'Business Case'!B13*$D17-'Business Case'!B14*$E17)-MAX(0,(('Business Case'!B11*$C17*'Business Case'!B12*$B17)-'Business Case'!B11*$C17*'Business Case'!B13*$D17-'Business Case'!B14*$E17))*'Business Case'!$B$7-'Business Case'!$B$8*('Business Case'!B11*$C17*'Business Case'!B12*$B17)-'Business Case'!B15*$F17</f>
        <v>-2000000000</v>
      </c>
      <c r="I17" s="45" t="n">
        <f aca="false">(('Business Case'!C11*$C17*'Business Case'!C12*$B17)-'Business Case'!C11*$C17*'Business Case'!C13*$D17-'Business Case'!C14*$E17)-MAX(0,(('Business Case'!C11*$C17*'Business Case'!C12*$B17)-'Business Case'!C11*$C17*'Business Case'!C13*$D17-'Business Case'!C14*$E17))*'Business Case'!$B$7-'Business Case'!$B$8*(('Business Case'!C11*$C17*'Business Case'!C12*$B17)-('Business Case'!B11*$C17*'Business Case'!B12*$B17))-'Business Case'!C15*$F17</f>
        <v>-48266560</v>
      </c>
      <c r="J17" s="45" t="n">
        <f aca="false">(('Business Case'!D11*$C17*'Business Case'!D12*$B17)-'Business Case'!D11*$C17*'Business Case'!D13*$D17-'Business Case'!D14*$E17)-MAX(0,(('Business Case'!D11*$C17*'Business Case'!D12*$B17)-'Business Case'!D11*$C17*'Business Case'!D13*$D17-'Business Case'!D14*$E17))*'Business Case'!$B$7-'Business Case'!$B$8*(('Business Case'!D11*$C17*'Business Case'!D12*$B17)-('Business Case'!C11*$C17*'Business Case'!C12*$B17))-'Business Case'!D15*$F17</f>
        <v>193359680</v>
      </c>
      <c r="K17" s="45" t="n">
        <f aca="false">(('Business Case'!E11*$C17*'Business Case'!E12*$B17)-'Business Case'!E11*$C17*'Business Case'!E13*$D17-'Business Case'!E14*$E17)-MAX(0,(('Business Case'!E11*$C17*'Business Case'!E12*$B17)-'Business Case'!E11*$C17*'Business Case'!E13*$D17-'Business Case'!E14*$E17))*'Business Case'!$B$7-'Business Case'!$B$8*(('Business Case'!E11*$C17*'Business Case'!E12*$B17)-('Business Case'!D11*$C17*'Business Case'!D12*$B17))-'Business Case'!E15*$F17</f>
        <v>484985920</v>
      </c>
      <c r="L17" s="45" t="n">
        <f aca="false">(('Business Case'!F11*$C17*'Business Case'!F12*$B17)-'Business Case'!F11*$C17*'Business Case'!F13*$D17-'Business Case'!F14*$E17)-MAX(0,(('Business Case'!F11*$C17*'Business Case'!F12*$B17)-'Business Case'!F11*$C17*'Business Case'!F13*$D17-'Business Case'!F14*$E17))*'Business Case'!$B$7-'Business Case'!$B$8*(('Business Case'!F11*$C17*'Business Case'!F12*$B17)-('Business Case'!E11*$C17*'Business Case'!E12*$B17))-'Business Case'!F15*$F17</f>
        <v>597323200</v>
      </c>
      <c r="M17" s="45" t="n">
        <f aca="false">(('Business Case'!G11*$C17*'Business Case'!G12*$B17)-'Business Case'!G11*$C17*'Business Case'!G13*$D17-'Business Case'!G14*$E17)-MAX(0,(('Business Case'!G11*$C17*'Business Case'!G12*$B17)-'Business Case'!G11*$C17*'Business Case'!G13*$D17-'Business Case'!G14*$E17))*'Business Case'!$B$7-'Business Case'!$B$8*(('Business Case'!G11*$C17*'Business Case'!G12*$B17)-('Business Case'!F11*$C17*'Business Case'!F12*$B17))-'Business Case'!G15*$F17+'Business Case'!$B$8*('Business Case'!G11*$C17*'Business Case'!G12*$B17)</f>
        <v>772196800</v>
      </c>
      <c r="N17" s="46" t="n">
        <f aca="false">IF(COUNT('Business Case'!B11:G11)=0,"",H17+NPV(G17,I17:M17))</f>
        <v>-632246961.034704</v>
      </c>
    </row>
    <row r="18" customFormat="false" ht="15" hidden="false" customHeight="false" outlineLevel="0" collapsed="false">
      <c r="A18" s="5" t="s">
        <v>861</v>
      </c>
      <c r="B18" s="47" t="n">
        <f aca="false">1+G6</f>
        <v>1.04</v>
      </c>
      <c r="C18" s="47" t="n">
        <f aca="false">1</f>
        <v>1</v>
      </c>
      <c r="D18" s="47" t="n">
        <f aca="false">1</f>
        <v>1</v>
      </c>
      <c r="E18" s="47" t="n">
        <f aca="false">1</f>
        <v>1</v>
      </c>
      <c r="F18" s="47" t="n">
        <f aca="false">1</f>
        <v>1</v>
      </c>
      <c r="G18" s="39" t="n">
        <f aca="false">'Business Case'!$B$6</f>
        <v>0.1</v>
      </c>
      <c r="H18" s="45" t="n">
        <f aca="false">(('Business Case'!B11*$C18*'Business Case'!B12*$B18)-'Business Case'!B11*$C18*'Business Case'!B13*$D18-'Business Case'!B14*$E18)-MAX(0,(('Business Case'!B11*$C18*'Business Case'!B12*$B18)-'Business Case'!B11*$C18*'Business Case'!B13*$D18-'Business Case'!B14*$E18))*'Business Case'!$B$7-'Business Case'!$B$8*('Business Case'!B11*$C18*'Business Case'!B12*$B18)-'Business Case'!B15*$F18</f>
        <v>-2000000000</v>
      </c>
      <c r="I18" s="45" t="n">
        <f aca="false">(('Business Case'!C11*$C18*'Business Case'!C12*$B18)-'Business Case'!C11*$C18*'Business Case'!C13*$D18-'Business Case'!C14*$E18)-MAX(0,(('Business Case'!C11*$C18*'Business Case'!C12*$B18)-'Business Case'!C11*$C18*'Business Case'!C13*$D18-'Business Case'!C14*$E18))*'Business Case'!$B$7-'Business Case'!$B$8*(('Business Case'!C11*$C18*'Business Case'!C12*$B18)-('Business Case'!B11*$C18*'Business Case'!B12*$B18))-'Business Case'!C15*$F18</f>
        <v>43801280</v>
      </c>
      <c r="J18" s="45" t="n">
        <f aca="false">(('Business Case'!D11*$C18*'Business Case'!D12*$B18)-'Business Case'!D11*$C18*'Business Case'!D13*$D18-'Business Case'!D14*$E18)-MAX(0,(('Business Case'!D11*$C18*'Business Case'!D12*$B18)-'Business Case'!D11*$C18*'Business Case'!D13*$D18-'Business Case'!D14*$E18))*'Business Case'!$B$7-'Business Case'!$B$8*(('Business Case'!D11*$C18*'Business Case'!D12*$B18)-('Business Case'!C11*$C18*'Business Case'!C12*$B18))-'Business Case'!D15*$F18</f>
        <v>383716160</v>
      </c>
      <c r="K18" s="45" t="n">
        <f aca="false">(('Business Case'!E11*$C18*'Business Case'!E12*$B18)-'Business Case'!E11*$C18*'Business Case'!E13*$D18-'Business Case'!E14*$E18)-MAX(0,(('Business Case'!E11*$C18*'Business Case'!E12*$B18)-'Business Case'!E11*$C18*'Business Case'!E13*$D18-'Business Case'!E14*$E18))*'Business Case'!$B$7-'Business Case'!$B$8*(('Business Case'!E11*$C18*'Business Case'!E12*$B18)-('Business Case'!D11*$C18*'Business Case'!D12*$B18))-'Business Case'!E15*$F18</f>
        <v>773631040</v>
      </c>
      <c r="L18" s="45" t="n">
        <f aca="false">(('Business Case'!F11*$C18*'Business Case'!F12*$B18)-'Business Case'!F11*$C18*'Business Case'!F13*$D18-'Business Case'!F14*$E18)-MAX(0,(('Business Case'!F11*$C18*'Business Case'!F12*$B18)-'Business Case'!F11*$C18*'Business Case'!F13*$D18-'Business Case'!F14*$E18))*'Business Case'!$B$7-'Business Case'!$B$8*(('Business Case'!F11*$C18*'Business Case'!F12*$B18)-('Business Case'!E11*$C18*'Business Case'!E12*$B18))-'Business Case'!F15*$F18</f>
        <v>922878400</v>
      </c>
      <c r="M18" s="45" t="n">
        <f aca="false">(('Business Case'!G11*$C18*'Business Case'!G12*$B18)-'Business Case'!G11*$C18*'Business Case'!G13*$D18-'Business Case'!G14*$E18)-MAX(0,(('Business Case'!G11*$C18*'Business Case'!G12*$B18)-'Business Case'!G11*$C18*'Business Case'!G13*$D18-'Business Case'!G14*$E18))*'Business Case'!$B$7-'Business Case'!$B$8*(('Business Case'!G11*$C18*'Business Case'!G12*$B18)-('Business Case'!F11*$C18*'Business Case'!F12*$B18))-'Business Case'!G15*$F18+'Business Case'!$B$8*('Business Case'!G11*$C18*'Business Case'!G12*$B18)</f>
        <v>1120561600</v>
      </c>
      <c r="N18" s="46" t="n">
        <f aca="false">IF(COUNT('Business Case'!B11:G11)=0,"",H18+NPV(G18,I18:M18))</f>
        <v>264299545.738927</v>
      </c>
    </row>
    <row r="19" customFormat="false" ht="15" hidden="false" customHeight="false" outlineLevel="0" collapsed="false">
      <c r="A19" s="5" t="s">
        <v>862</v>
      </c>
      <c r="B19" s="47" t="n">
        <f aca="false">1</f>
        <v>1</v>
      </c>
      <c r="C19" s="47" t="n">
        <f aca="false">1+E7</f>
        <v>0.8</v>
      </c>
      <c r="D19" s="47" t="n">
        <f aca="false">1</f>
        <v>1</v>
      </c>
      <c r="E19" s="47" t="n">
        <f aca="false">1</f>
        <v>1</v>
      </c>
      <c r="F19" s="47" t="n">
        <f aca="false">1</f>
        <v>1</v>
      </c>
      <c r="G19" s="39" t="n">
        <f aca="false">'Business Case'!$B$6</f>
        <v>0.1</v>
      </c>
      <c r="H19" s="45" t="n">
        <f aca="false">(('Business Case'!B11*$C19*'Business Case'!B12*$B19)-'Business Case'!B11*$C19*'Business Case'!B13*$D19-'Business Case'!B14*$E19)-MAX(0,(('Business Case'!B11*$C19*'Business Case'!B12*$B19)-'Business Case'!B11*$C19*'Business Case'!B13*$D19-'Business Case'!B14*$E19))*'Business Case'!$B$7-'Business Case'!$B$8*('Business Case'!B11*$C19*'Business Case'!B12*$B19)-'Business Case'!B15*$F19</f>
        <v>-2000000000</v>
      </c>
      <c r="I19" s="45" t="n">
        <f aca="false">(('Business Case'!C11*$C19*'Business Case'!C12*$B19)-'Business Case'!C11*$C19*'Business Case'!C13*$D19-'Business Case'!C14*$E19)-MAX(0,(('Business Case'!C11*$C19*'Business Case'!C12*$B19)-'Business Case'!C11*$C19*'Business Case'!C13*$D19-'Business Case'!C14*$E19))*'Business Case'!$B$7-'Business Case'!$B$8*(('Business Case'!C11*$C19*'Business Case'!C12*$B19)-('Business Case'!B11*$C19*'Business Case'!B12*$B19))-'Business Case'!C15*$F19</f>
        <v>-37950400</v>
      </c>
      <c r="J19" s="45" t="n">
        <f aca="false">(('Business Case'!D11*$C19*'Business Case'!D12*$B19)-'Business Case'!D11*$C19*'Business Case'!D13*$D19-'Business Case'!D14*$E19)-MAX(0,(('Business Case'!D11*$C19*'Business Case'!D12*$B19)-'Business Case'!D11*$C19*'Business Case'!D13*$D19-'Business Case'!D14*$E19))*'Business Case'!$B$7-'Business Case'!$B$8*(('Business Case'!D11*$C19*'Business Case'!D12*$B19)-('Business Case'!C11*$C19*'Business Case'!C12*$B19))-'Business Case'!D15*$F19</f>
        <v>207771200</v>
      </c>
      <c r="K19" s="45" t="n">
        <f aca="false">(('Business Case'!E11*$C19*'Business Case'!E12*$B19)-'Business Case'!E11*$C19*'Business Case'!E13*$D19-'Business Case'!E14*$E19)-MAX(0,(('Business Case'!E11*$C19*'Business Case'!E12*$B19)-'Business Case'!E11*$C19*'Business Case'!E13*$D19-'Business Case'!E14*$E19))*'Business Case'!$B$7-'Business Case'!$B$8*(('Business Case'!E11*$C19*'Business Case'!E12*$B19)-('Business Case'!D11*$C19*'Business Case'!D12*$B19))-'Business Case'!E15*$F19</f>
        <v>503492800</v>
      </c>
      <c r="L19" s="45" t="n">
        <f aca="false">(('Business Case'!F11*$C19*'Business Case'!F12*$B19)-'Business Case'!F11*$C19*'Business Case'!F13*$D19-'Business Case'!F14*$E19)-MAX(0,(('Business Case'!F11*$C19*'Business Case'!F12*$B19)-'Business Case'!F11*$C19*'Business Case'!F13*$D19-'Business Case'!F14*$E19))*'Business Case'!$B$7-'Business Case'!$B$8*(('Business Case'!F11*$C19*'Business Case'!F12*$B19)-('Business Case'!E11*$C19*'Business Case'!E12*$B19))-'Business Case'!F15*$F19</f>
        <v>613048000</v>
      </c>
      <c r="M19" s="45" t="n">
        <f aca="false">(('Business Case'!G11*$C19*'Business Case'!G12*$B19)-'Business Case'!G11*$C19*'Business Case'!G13*$D19-'Business Case'!G14*$E19)-MAX(0,(('Business Case'!G11*$C19*'Business Case'!G12*$B19)-'Business Case'!G11*$C19*'Business Case'!G13*$D19-'Business Case'!G14*$E19))*'Business Case'!$B$7-'Business Case'!$B$8*(('Business Case'!G11*$C19*'Business Case'!G12*$B19)-('Business Case'!F11*$C19*'Business Case'!F12*$B19))-'Business Case'!G15*$F19+'Business Case'!$B$8*('Business Case'!G11*$C19*'Business Case'!G12*$B19)</f>
        <v>765112000</v>
      </c>
      <c r="N19" s="46" t="n">
        <f aca="false">IF(COUNT('Business Case'!B11:G11)=0,"",H19+NPV(G19,I19:M19))</f>
        <v>-590712647.198714</v>
      </c>
    </row>
    <row r="20" customFormat="false" ht="15" hidden="false" customHeight="false" outlineLevel="0" collapsed="false">
      <c r="A20" s="5" t="s">
        <v>863</v>
      </c>
      <c r="B20" s="47" t="n">
        <f aca="false">1</f>
        <v>1</v>
      </c>
      <c r="C20" s="47" t="n">
        <f aca="false">1+G7</f>
        <v>1.15</v>
      </c>
      <c r="D20" s="47" t="n">
        <f aca="false">1</f>
        <v>1</v>
      </c>
      <c r="E20" s="47" t="n">
        <f aca="false">1</f>
        <v>1</v>
      </c>
      <c r="F20" s="47" t="n">
        <f aca="false">1</f>
        <v>1</v>
      </c>
      <c r="G20" s="39" t="n">
        <f aca="false">'Business Case'!$B$6</f>
        <v>0.1</v>
      </c>
      <c r="H20" s="45" t="n">
        <f aca="false">(('Business Case'!B11*$C20*'Business Case'!B12*$B20)-'Business Case'!B11*$C20*'Business Case'!B13*$D20-'Business Case'!B14*$E20)-MAX(0,(('Business Case'!B11*$C20*'Business Case'!B12*$B20)-'Business Case'!B11*$C20*'Business Case'!B13*$D20-'Business Case'!B14*$E20))*'Business Case'!$B$7-'Business Case'!$B$8*('Business Case'!B11*$C20*'Business Case'!B12*$B20)-'Business Case'!B15*$F20</f>
        <v>-2000000000</v>
      </c>
      <c r="I20" s="45" t="n">
        <f aca="false">(('Business Case'!C11*$C20*'Business Case'!C12*$B20)-'Business Case'!C11*$C20*'Business Case'!C13*$D20-'Business Case'!C14*$E20)-MAX(0,(('Business Case'!C11*$C20*'Business Case'!C12*$B20)-'Business Case'!C11*$C20*'Business Case'!C13*$D20-'Business Case'!C14*$E20))*'Business Case'!$B$7-'Business Case'!$B$8*(('Business Case'!C11*$C20*'Business Case'!C12*$B20)-('Business Case'!B11*$C20*'Business Case'!B12*$B20))-'Business Case'!C15*$F20</f>
        <v>51408800</v>
      </c>
      <c r="J20" s="45" t="n">
        <f aca="false">(('Business Case'!D11*$C20*'Business Case'!D12*$B20)-'Business Case'!D11*$C20*'Business Case'!D13*$D20-'Business Case'!D14*$E20)-MAX(0,(('Business Case'!D11*$C20*'Business Case'!D12*$B20)-'Business Case'!D11*$C20*'Business Case'!D13*$D20-'Business Case'!D14*$E20))*'Business Case'!$B$7-'Business Case'!$B$8*(('Business Case'!D11*$C20*'Business Case'!D12*$B20)-('Business Case'!C11*$C20*'Business Case'!C12*$B20))-'Business Case'!D15*$F20</f>
        <v>404633600</v>
      </c>
      <c r="K20" s="45" t="n">
        <f aca="false">(('Business Case'!E11*$C20*'Business Case'!E12*$B20)-'Business Case'!E11*$C20*'Business Case'!E13*$D20-'Business Case'!E14*$E20)-MAX(0,(('Business Case'!E11*$C20*'Business Case'!E12*$B20)-'Business Case'!E11*$C20*'Business Case'!E13*$D20-'Business Case'!E14*$E20))*'Business Case'!$B$7-'Business Case'!$B$8*(('Business Case'!E11*$C20*'Business Case'!E12*$B20)-('Business Case'!D11*$C20*'Business Case'!D12*$B20))-'Business Case'!E15*$F20</f>
        <v>807858400</v>
      </c>
      <c r="L20" s="45" t="n">
        <f aca="false">(('Business Case'!F11*$C20*'Business Case'!F12*$B20)-'Business Case'!F11*$C20*'Business Case'!F13*$D20-'Business Case'!F14*$E20)-MAX(0,(('Business Case'!F11*$C20*'Business Case'!F12*$B20)-'Business Case'!F11*$C20*'Business Case'!F13*$D20-'Business Case'!F14*$E20))*'Business Case'!$B$7-'Business Case'!$B$8*(('Business Case'!F11*$C20*'Business Case'!F12*$B20)-('Business Case'!E11*$C20*'Business Case'!E12*$B20))-'Business Case'!F15*$F20</f>
        <v>965344000</v>
      </c>
      <c r="M20" s="45" t="n">
        <f aca="false">(('Business Case'!G11*$C20*'Business Case'!G12*$B20)-'Business Case'!G11*$C20*'Business Case'!G13*$D20-'Business Case'!G14*$E20)-MAX(0,(('Business Case'!G11*$C20*'Business Case'!G12*$B20)-'Business Case'!G11*$C20*'Business Case'!G13*$D20-'Business Case'!G14*$E20))*'Business Case'!$B$7-'Business Case'!$B$8*(('Business Case'!G11*$C20*'Business Case'!G12*$B20)-('Business Case'!F11*$C20*'Business Case'!F12*$B20))-'Business Case'!G15*$F20+'Business Case'!$B$8*('Business Case'!G11*$C20*'Business Case'!G12*$B20)</f>
        <v>1183936000</v>
      </c>
      <c r="N20" s="46" t="n">
        <f aca="false">IF(COUNT('Business Case'!B11:G11)=0,"",H20+NPV(G20,I20:M20))</f>
        <v>382573228.157539</v>
      </c>
    </row>
    <row r="21" customFormat="false" ht="15" hidden="false" customHeight="false" outlineLevel="0" collapsed="false">
      <c r="A21" s="5" t="s">
        <v>864</v>
      </c>
      <c r="B21" s="47" t="n">
        <f aca="false">1</f>
        <v>1</v>
      </c>
      <c r="C21" s="47" t="n">
        <f aca="false">1</f>
        <v>1</v>
      </c>
      <c r="D21" s="47" t="n">
        <f aca="false">1+E8</f>
        <v>0.95</v>
      </c>
      <c r="E21" s="47" t="n">
        <f aca="false">1</f>
        <v>1</v>
      </c>
      <c r="F21" s="47" t="n">
        <f aca="false">1</f>
        <v>1</v>
      </c>
      <c r="G21" s="39" t="n">
        <f aca="false">'Business Case'!$B$6</f>
        <v>0.1</v>
      </c>
      <c r="H21" s="45" t="n">
        <f aca="false">(('Business Case'!B11*$C21*'Business Case'!B12*$B21)-'Business Case'!B11*$C21*'Business Case'!B13*$D21-'Business Case'!B14*$E21)-MAX(0,(('Business Case'!B11*$C21*'Business Case'!B12*$B21)-'Business Case'!B11*$C21*'Business Case'!B13*$D21-'Business Case'!B14*$E21))*'Business Case'!$B$7-'Business Case'!$B$8*('Business Case'!B11*$C21*'Business Case'!B12*$B21)-'Business Case'!B15*$F21</f>
        <v>-2000000000</v>
      </c>
      <c r="I21" s="45" t="n">
        <f aca="false">(('Business Case'!C11*$C21*'Business Case'!C12*$B21)-'Business Case'!C11*$C21*'Business Case'!C13*$D21-'Business Case'!C14*$E21)-MAX(0,(('Business Case'!C11*$C21*'Business Case'!C12*$B21)-'Business Case'!C11*$C21*'Business Case'!C13*$D21-'Business Case'!C14*$E21))*'Business Case'!$B$7-'Business Case'!$B$8*(('Business Case'!C11*$C21*'Business Case'!C12*$B21)-('Business Case'!B11*$C21*'Business Case'!B12*$B21))-'Business Case'!C15*$F21</f>
        <v>38708000</v>
      </c>
      <c r="J21" s="45" t="n">
        <f aca="false">(('Business Case'!D11*$C21*'Business Case'!D12*$B21)-'Business Case'!D11*$C21*'Business Case'!D13*$D21-'Business Case'!D14*$E21)-MAX(0,(('Business Case'!D11*$C21*'Business Case'!D12*$B21)-'Business Case'!D11*$C21*'Business Case'!D13*$D21-'Business Case'!D14*$E21))*'Business Case'!$B$7-'Business Case'!$B$8*(('Business Case'!D11*$C21*'Business Case'!D12*$B21)-('Business Case'!C11*$C21*'Business Case'!C12*$B21))-'Business Case'!D15*$F21</f>
        <v>371456000</v>
      </c>
      <c r="K21" s="45" t="n">
        <f aca="false">(('Business Case'!E11*$C21*'Business Case'!E12*$B21)-'Business Case'!E11*$C21*'Business Case'!E13*$D21-'Business Case'!E14*$E21)-MAX(0,(('Business Case'!E11*$C21*'Business Case'!E12*$B21)-'Business Case'!E11*$C21*'Business Case'!E13*$D21-'Business Case'!E14*$E21))*'Business Case'!$B$7-'Business Case'!$B$8*(('Business Case'!E11*$C21*'Business Case'!E12*$B21)-('Business Case'!D11*$C21*'Business Case'!D12*$B21))-'Business Case'!E15*$F21</f>
        <v>754204000</v>
      </c>
      <c r="L21" s="45" t="n">
        <f aca="false">(('Business Case'!F11*$C21*'Business Case'!F12*$B21)-'Business Case'!F11*$C21*'Business Case'!F13*$D21-'Business Case'!F14*$E21)-MAX(0,(('Business Case'!F11*$C21*'Business Case'!F12*$B21)-'Business Case'!F11*$C21*'Business Case'!F13*$D21-'Business Case'!F14*$E21))*'Business Case'!$B$7-'Business Case'!$B$8*(('Business Case'!F11*$C21*'Business Case'!F12*$B21)-('Business Case'!E11*$C21*'Business Case'!E12*$B21))-'Business Case'!F15*$F21</f>
        <v>899680000</v>
      </c>
      <c r="M21" s="45" t="n">
        <f aca="false">(('Business Case'!G11*$C21*'Business Case'!G12*$B21)-'Business Case'!G11*$C21*'Business Case'!G13*$D21-'Business Case'!G14*$E21)-MAX(0,(('Business Case'!G11*$C21*'Business Case'!G12*$B21)-'Business Case'!G11*$C21*'Business Case'!G13*$D21-'Business Case'!G14*$E21))*'Business Case'!$B$7-'Business Case'!$B$8*(('Business Case'!G11*$C21*'Business Case'!G12*$B21)-('Business Case'!F11*$C21*'Business Case'!F12*$B21))-'Business Case'!G15*$F21+'Business Case'!$B$8*('Business Case'!G11*$C21*'Business Case'!G12*$B21)</f>
        <v>1089760000</v>
      </c>
      <c r="N21" s="46" t="n">
        <f aca="false">IF(COUNT('Business Case'!B11:G11)=0,"",H21+NPV(G21,I21:M21))</f>
        <v>199970915.300122</v>
      </c>
    </row>
    <row r="22" customFormat="false" ht="15" hidden="false" customHeight="false" outlineLevel="0" collapsed="false">
      <c r="A22" s="5" t="s">
        <v>865</v>
      </c>
      <c r="B22" s="47" t="n">
        <f aca="false">1</f>
        <v>1</v>
      </c>
      <c r="C22" s="47" t="n">
        <f aca="false">1</f>
        <v>1</v>
      </c>
      <c r="D22" s="47" t="n">
        <f aca="false">1+G8</f>
        <v>1.08</v>
      </c>
      <c r="E22" s="47" t="n">
        <f aca="false">1</f>
        <v>1</v>
      </c>
      <c r="F22" s="47" t="n">
        <f aca="false">1</f>
        <v>1</v>
      </c>
      <c r="G22" s="39" t="n">
        <f aca="false">'Business Case'!$B$6</f>
        <v>0.1</v>
      </c>
      <c r="H22" s="45" t="n">
        <f aca="false">(('Business Case'!B11*$C22*'Business Case'!B12*$B22)-'Business Case'!B11*$C22*'Business Case'!B13*$D22-'Business Case'!B14*$E22)-MAX(0,(('Business Case'!B11*$C22*'Business Case'!B12*$B22)-'Business Case'!B11*$C22*'Business Case'!B13*$D22-'Business Case'!B14*$E22))*'Business Case'!$B$7-'Business Case'!$B$8*('Business Case'!B11*$C22*'Business Case'!B12*$B22)-'Business Case'!B15*$F22</f>
        <v>-2000000000</v>
      </c>
      <c r="I22" s="45" t="n">
        <f aca="false">(('Business Case'!C11*$C22*'Business Case'!C12*$B22)-'Business Case'!C11*$C22*'Business Case'!C13*$D22-'Business Case'!C14*$E22)-MAX(0,(('Business Case'!C11*$C22*'Business Case'!C12*$B22)-'Business Case'!C11*$C22*'Business Case'!C13*$D22-'Business Case'!C14*$E22))*'Business Case'!$B$7-'Business Case'!$B$8*(('Business Case'!C11*$C22*'Business Case'!C12*$B22)-('Business Case'!B11*$C22*'Business Case'!B12*$B22))-'Business Case'!C15*$F22</f>
        <v>-27841600</v>
      </c>
      <c r="J22" s="45" t="n">
        <f aca="false">(('Business Case'!D11*$C22*'Business Case'!D12*$B22)-'Business Case'!D11*$C22*'Business Case'!D13*$D22-'Business Case'!D14*$E22)-MAX(0,(('Business Case'!D11*$C22*'Business Case'!D12*$B22)-'Business Case'!D11*$C22*'Business Case'!D13*$D22-'Business Case'!D14*$E22))*'Business Case'!$B$7-'Business Case'!$B$8*(('Business Case'!D11*$C22*'Business Case'!D12*$B22)-('Business Case'!C11*$C22*'Business Case'!C12*$B22))-'Business Case'!D15*$F22</f>
        <v>238356800</v>
      </c>
      <c r="K22" s="45" t="n">
        <f aca="false">(('Business Case'!E11*$C22*'Business Case'!E12*$B22)-'Business Case'!E11*$C22*'Business Case'!E13*$D22-'Business Case'!E14*$E22)-MAX(0,(('Business Case'!E11*$C22*'Business Case'!E12*$B22)-'Business Case'!E11*$C22*'Business Case'!E13*$D22-'Business Case'!E14*$E22))*'Business Case'!$B$7-'Business Case'!$B$8*(('Business Case'!E11*$C22*'Business Case'!E12*$B22)-('Business Case'!D11*$C22*'Business Case'!D12*$B22))-'Business Case'!E15*$F22</f>
        <v>554555200</v>
      </c>
      <c r="L22" s="45" t="n">
        <f aca="false">(('Business Case'!F11*$C22*'Business Case'!F12*$B22)-'Business Case'!F11*$C22*'Business Case'!F13*$D22-'Business Case'!F14*$E22)-MAX(0,(('Business Case'!F11*$C22*'Business Case'!F12*$B22)-'Business Case'!F11*$C22*'Business Case'!F13*$D22-'Business Case'!F14*$E22))*'Business Case'!$B$7-'Business Case'!$B$8*(('Business Case'!F11*$C22*'Business Case'!F12*$B22)-('Business Case'!E11*$C22*'Business Case'!E12*$B22))-'Business Case'!F15*$F22</f>
        <v>677848000</v>
      </c>
      <c r="M22" s="45" t="n">
        <f aca="false">(('Business Case'!G11*$C22*'Business Case'!G12*$B22)-'Business Case'!G11*$C22*'Business Case'!G13*$D22-'Business Case'!G14*$E22)-MAX(0,(('Business Case'!G11*$C22*'Business Case'!G12*$B22)-'Business Case'!G11*$C22*'Business Case'!G13*$D22-'Business Case'!G14*$E22))*'Business Case'!$B$7-'Business Case'!$B$8*(('Business Case'!G11*$C22*'Business Case'!G12*$B22)-('Business Case'!F11*$C22*'Business Case'!F12*$B22))-'Business Case'!G15*$F22+'Business Case'!$B$8*('Business Case'!G11*$C22*'Business Case'!G12*$B22)</f>
        <v>867928000</v>
      </c>
      <c r="N22" s="46" t="n">
        <f aca="false">IF(COUNT('Business Case'!B11:G11)=0,"",H22+NPV(G22,I22:M22))</f>
        <v>-409781618.096132</v>
      </c>
    </row>
    <row r="23" customFormat="false" ht="15" hidden="false" customHeight="false" outlineLevel="0" collapsed="false">
      <c r="A23" s="5" t="s">
        <v>866</v>
      </c>
      <c r="B23" s="47" t="n">
        <f aca="false">1</f>
        <v>1</v>
      </c>
      <c r="C23" s="47" t="n">
        <f aca="false">1</f>
        <v>1</v>
      </c>
      <c r="D23" s="47" t="n">
        <f aca="false">1</f>
        <v>1</v>
      </c>
      <c r="E23" s="47" t="n">
        <f aca="false">1+E9</f>
        <v>0.95</v>
      </c>
      <c r="F23" s="47" t="n">
        <f aca="false">1</f>
        <v>1</v>
      </c>
      <c r="G23" s="39" t="n">
        <f aca="false">'Business Case'!$B$6</f>
        <v>0.1</v>
      </c>
      <c r="H23" s="45" t="n">
        <f aca="false">(('Business Case'!B11*$C23*'Business Case'!B12*$B23)-'Business Case'!B11*$C23*'Business Case'!B13*$D23-'Business Case'!B14*$E23)-MAX(0,(('Business Case'!B11*$C23*'Business Case'!B12*$B23)-'Business Case'!B11*$C23*'Business Case'!B13*$D23-'Business Case'!B14*$E23))*'Business Case'!$B$7-'Business Case'!$B$8*('Business Case'!B11*$C23*'Business Case'!B12*$B23)-'Business Case'!B15*$F23</f>
        <v>-2000000000</v>
      </c>
      <c r="I23" s="45" t="n">
        <f aca="false">(('Business Case'!C11*$C23*'Business Case'!C12*$B23)-'Business Case'!C11*$C23*'Business Case'!C13*$D23-'Business Case'!C14*$E23)-MAX(0,(('Business Case'!C11*$C23*'Business Case'!C12*$B23)-'Business Case'!C11*$C23*'Business Case'!C13*$D23-'Business Case'!C14*$E23))*'Business Case'!$B$7-'Business Case'!$B$8*(('Business Case'!C11*$C23*'Business Case'!C12*$B23)-('Business Case'!B11*$C23*'Business Case'!B12*$B23))-'Business Case'!C15*$F23</f>
        <v>20222000</v>
      </c>
      <c r="J23" s="45" t="n">
        <f aca="false">(('Business Case'!D11*$C23*'Business Case'!D12*$B23)-'Business Case'!D11*$C23*'Business Case'!D13*$D23-'Business Case'!D14*$E23)-MAX(0,(('Business Case'!D11*$C23*'Business Case'!D12*$B23)-'Business Case'!D11*$C23*'Business Case'!D13*$D23-'Business Case'!D14*$E23))*'Business Case'!$B$7-'Business Case'!$B$8*(('Business Case'!D11*$C23*'Business Case'!D12*$B23)-('Business Case'!C11*$C23*'Business Case'!C12*$B23))-'Business Case'!D15*$F23</f>
        <v>327374000</v>
      </c>
      <c r="K23" s="45" t="n">
        <f aca="false">(('Business Case'!E11*$C23*'Business Case'!E12*$B23)-'Business Case'!E11*$C23*'Business Case'!E13*$D23-'Business Case'!E14*$E23)-MAX(0,(('Business Case'!E11*$C23*'Business Case'!E12*$B23)-'Business Case'!E11*$C23*'Business Case'!E13*$D23-'Business Case'!E14*$E23))*'Business Case'!$B$7-'Business Case'!$B$8*(('Business Case'!E11*$C23*'Business Case'!E12*$B23)-('Business Case'!D11*$C23*'Business Case'!D12*$B23))-'Business Case'!E15*$F23</f>
        <v>684526000</v>
      </c>
      <c r="L23" s="45" t="n">
        <f aca="false">(('Business Case'!F11*$C23*'Business Case'!F12*$B23)-'Business Case'!F11*$C23*'Business Case'!F13*$D23-'Business Case'!F14*$E23)-MAX(0,(('Business Case'!F11*$C23*'Business Case'!F12*$B23)-'Business Case'!F11*$C23*'Business Case'!F13*$D23-'Business Case'!F14*$E23))*'Business Case'!$B$7-'Business Case'!$B$8*(('Business Case'!F11*$C23*'Business Case'!F12*$B23)-('Business Case'!E11*$C23*'Business Case'!E12*$B23))-'Business Case'!F15*$F23</f>
        <v>821470000</v>
      </c>
      <c r="M23" s="45" t="n">
        <f aca="false">(('Business Case'!G11*$C23*'Business Case'!G12*$B23)-'Business Case'!G11*$C23*'Business Case'!G13*$D23-'Business Case'!G14*$E23)-MAX(0,(('Business Case'!G11*$C23*'Business Case'!G12*$B23)-'Business Case'!G11*$C23*'Business Case'!G13*$D23-'Business Case'!G14*$E23))*'Business Case'!$B$7-'Business Case'!$B$8*(('Business Case'!G11*$C23*'Business Case'!G12*$B23)-('Business Case'!F11*$C23*'Business Case'!F12*$B23))-'Business Case'!G15*$F23+'Business Case'!$B$8*('Business Case'!G11*$C23*'Business Case'!G12*$B23)</f>
        <v>1011550000</v>
      </c>
      <c r="N23" s="46" t="n">
        <f aca="false">IF(COUNT('Business Case'!B11:G11)=0,"",H23+NPV(G23,I23:M23))</f>
        <v>-7596795.92178941</v>
      </c>
    </row>
    <row r="24" customFormat="false" ht="15" hidden="false" customHeight="false" outlineLevel="0" collapsed="false">
      <c r="A24" s="5" t="s">
        <v>867</v>
      </c>
      <c r="B24" s="47" t="n">
        <f aca="false">1</f>
        <v>1</v>
      </c>
      <c r="C24" s="47" t="n">
        <f aca="false">1</f>
        <v>1</v>
      </c>
      <c r="D24" s="47" t="n">
        <f aca="false">1</f>
        <v>1</v>
      </c>
      <c r="E24" s="47" t="n">
        <f aca="false">1+G9</f>
        <v>1.1</v>
      </c>
      <c r="F24" s="47" t="n">
        <f aca="false">1</f>
        <v>1</v>
      </c>
      <c r="G24" s="39" t="n">
        <f aca="false">'Business Case'!$B$6</f>
        <v>0.1</v>
      </c>
      <c r="H24" s="45" t="n">
        <f aca="false">(('Business Case'!B11*$C24*'Business Case'!B12*$B24)-'Business Case'!B11*$C24*'Business Case'!B13*$D24-'Business Case'!B14*$E24)-MAX(0,(('Business Case'!B11*$C24*'Business Case'!B12*$B24)-'Business Case'!B11*$C24*'Business Case'!B13*$D24-'Business Case'!B14*$E24))*'Business Case'!$B$7-'Business Case'!$B$8*('Business Case'!B11*$C24*'Business Case'!B12*$B24)-'Business Case'!B15*$F24</f>
        <v>-2000000000</v>
      </c>
      <c r="I24" s="45" t="n">
        <f aca="false">(('Business Case'!C11*$C24*'Business Case'!C12*$B24)-'Business Case'!C11*$C24*'Business Case'!C13*$D24-'Business Case'!C14*$E24)-MAX(0,(('Business Case'!C11*$C24*'Business Case'!C12*$B24)-'Business Case'!C11*$C24*'Business Case'!C13*$D24-'Business Case'!C14*$E24))*'Business Case'!$B$7-'Business Case'!$B$8*(('Business Case'!C11*$C24*'Business Case'!C12*$B24)-('Business Case'!B11*$C24*'Business Case'!B12*$B24))-'Business Case'!C15*$F24</f>
        <v>-1108000.00000003</v>
      </c>
      <c r="J24" s="45" t="n">
        <f aca="false">(('Business Case'!D11*$C24*'Business Case'!D12*$B24)-'Business Case'!D11*$C24*'Business Case'!D13*$D24-'Business Case'!D14*$E24)-MAX(0,(('Business Case'!D11*$C24*'Business Case'!D12*$B24)-'Business Case'!D11*$C24*'Business Case'!D13*$D24-'Business Case'!D14*$E24))*'Business Case'!$B$7-'Business Case'!$B$8*(('Business Case'!D11*$C24*'Business Case'!D12*$B24)-('Business Case'!C11*$C24*'Business Case'!C12*$B24))-'Business Case'!D15*$F24</f>
        <v>306044000</v>
      </c>
      <c r="K24" s="45" t="n">
        <f aca="false">(('Business Case'!E11*$C24*'Business Case'!E12*$B24)-'Business Case'!E11*$C24*'Business Case'!E13*$D24-'Business Case'!E14*$E24)-MAX(0,(('Business Case'!E11*$C24*'Business Case'!E12*$B24)-'Business Case'!E11*$C24*'Business Case'!E13*$D24-'Business Case'!E14*$E24))*'Business Case'!$B$7-'Business Case'!$B$8*(('Business Case'!E11*$C24*'Business Case'!E12*$B24)-('Business Case'!D11*$C24*'Business Case'!D12*$B24))-'Business Case'!E15*$F24</f>
        <v>663196000</v>
      </c>
      <c r="L24" s="45" t="n">
        <f aca="false">(('Business Case'!F11*$C24*'Business Case'!F12*$B24)-'Business Case'!F11*$C24*'Business Case'!F13*$D24-'Business Case'!F14*$E24)-MAX(0,(('Business Case'!F11*$C24*'Business Case'!F12*$B24)-'Business Case'!F11*$C24*'Business Case'!F13*$D24-'Business Case'!F14*$E24))*'Business Case'!$B$7-'Business Case'!$B$8*(('Business Case'!F11*$C24*'Business Case'!F12*$B24)-('Business Case'!E11*$C24*'Business Case'!E12*$B24))-'Business Case'!F15*$F24</f>
        <v>800140000</v>
      </c>
      <c r="M24" s="45" t="n">
        <f aca="false">(('Business Case'!G11*$C24*'Business Case'!G12*$B24)-'Business Case'!G11*$C24*'Business Case'!G13*$D24-'Business Case'!G14*$E24)-MAX(0,(('Business Case'!G11*$C24*'Business Case'!G12*$B24)-'Business Case'!G11*$C24*'Business Case'!G13*$D24-'Business Case'!G14*$E24))*'Business Case'!$B$7-'Business Case'!$B$8*(('Business Case'!G11*$C24*'Business Case'!G12*$B24)-('Business Case'!F11*$C24*'Business Case'!F12*$B24))-'Business Case'!G15*$F24+'Business Case'!$B$8*('Business Case'!G11*$C24*'Business Case'!G12*$B24)</f>
        <v>990220000</v>
      </c>
      <c r="N24" s="46" t="n">
        <f aca="false">IF(COUNT('Business Case'!B11:G11)=0,"",H24+NPV(G24,I24:M24))</f>
        <v>-88454277.7132716</v>
      </c>
    </row>
    <row r="25" customFormat="false" ht="15" hidden="false" customHeight="false" outlineLevel="0" collapsed="false">
      <c r="A25" s="5" t="s">
        <v>868</v>
      </c>
      <c r="B25" s="47" t="n">
        <f aca="false">1</f>
        <v>1</v>
      </c>
      <c r="C25" s="47" t="n">
        <f aca="false">1</f>
        <v>1</v>
      </c>
      <c r="D25" s="47" t="n">
        <f aca="false">1</f>
        <v>1</v>
      </c>
      <c r="E25" s="47" t="n">
        <f aca="false">1</f>
        <v>1</v>
      </c>
      <c r="F25" s="47" t="n">
        <f aca="false">1+E10</f>
        <v>0.95</v>
      </c>
      <c r="G25" s="39" t="n">
        <f aca="false">'Business Case'!$B$6</f>
        <v>0.1</v>
      </c>
      <c r="H25" s="45" t="n">
        <f aca="false">(('Business Case'!B11*$C25*'Business Case'!B12*$B25)-'Business Case'!B11*$C25*'Business Case'!B13*$D25-'Business Case'!B14*$E25)-MAX(0,(('Business Case'!B11*$C25*'Business Case'!B12*$B25)-'Business Case'!B11*$C25*'Business Case'!B13*$D25-'Business Case'!B14*$E25))*'Business Case'!$B$7-'Business Case'!$B$8*('Business Case'!B11*$C25*'Business Case'!B12*$B25)-'Business Case'!B15*$F25</f>
        <v>-1900000000</v>
      </c>
      <c r="I25" s="45" t="n">
        <f aca="false">(('Business Case'!C11*$C25*'Business Case'!C12*$B25)-'Business Case'!C11*$C25*'Business Case'!C13*$D25-'Business Case'!C14*$E25)-MAX(0,(('Business Case'!C11*$C25*'Business Case'!C12*$B25)-'Business Case'!C11*$C25*'Business Case'!C13*$D25-'Business Case'!C14*$E25))*'Business Case'!$B$7-'Business Case'!$B$8*(('Business Case'!C11*$C25*'Business Case'!C12*$B25)-('Business Case'!B11*$C25*'Business Case'!B12*$B25))-'Business Case'!C15*$F25</f>
        <v>18112000</v>
      </c>
      <c r="J25" s="45" t="n">
        <f aca="false">(('Business Case'!D11*$C25*'Business Case'!D12*$B25)-'Business Case'!D11*$C25*'Business Case'!D13*$D25-'Business Case'!D14*$E25)-MAX(0,(('Business Case'!D11*$C25*'Business Case'!D12*$B25)-'Business Case'!D11*$C25*'Business Case'!D13*$D25-'Business Case'!D14*$E25))*'Business Case'!$B$7-'Business Case'!$B$8*(('Business Case'!D11*$C25*'Business Case'!D12*$B25)-('Business Case'!C11*$C25*'Business Case'!C12*$B25))-'Business Case'!D15*$F25</f>
        <v>325264000</v>
      </c>
      <c r="K25" s="45" t="n">
        <f aca="false">(('Business Case'!E11*$C25*'Business Case'!E12*$B25)-'Business Case'!E11*$C25*'Business Case'!E13*$D25-'Business Case'!E14*$E25)-MAX(0,(('Business Case'!E11*$C25*'Business Case'!E12*$B25)-'Business Case'!E11*$C25*'Business Case'!E13*$D25-'Business Case'!E14*$E25))*'Business Case'!$B$7-'Business Case'!$B$8*(('Business Case'!E11*$C25*'Business Case'!E12*$B25)-('Business Case'!D11*$C25*'Business Case'!D12*$B25))-'Business Case'!E15*$F25</f>
        <v>679916000</v>
      </c>
      <c r="L25" s="45" t="n">
        <f aca="false">(('Business Case'!F11*$C25*'Business Case'!F12*$B25)-'Business Case'!F11*$C25*'Business Case'!F13*$D25-'Business Case'!F14*$E25)-MAX(0,(('Business Case'!F11*$C25*'Business Case'!F12*$B25)-'Business Case'!F11*$C25*'Business Case'!F13*$D25-'Business Case'!F14*$E25))*'Business Case'!$B$7-'Business Case'!$B$8*(('Business Case'!F11*$C25*'Business Case'!F12*$B25)-('Business Case'!E11*$C25*'Business Case'!E12*$B25))-'Business Case'!F15*$F25</f>
        <v>816860000</v>
      </c>
      <c r="M25" s="45" t="n">
        <f aca="false">(('Business Case'!G11*$C25*'Business Case'!G12*$B25)-'Business Case'!G11*$C25*'Business Case'!G13*$D25-'Business Case'!G14*$E25)-MAX(0,(('Business Case'!G11*$C25*'Business Case'!G12*$B25)-'Business Case'!G11*$C25*'Business Case'!G13*$D25-'Business Case'!G14*$E25))*'Business Case'!$B$7-'Business Case'!$B$8*(('Business Case'!G11*$C25*'Business Case'!G12*$B25)-('Business Case'!F11*$C25*'Business Case'!F12*$B25))-'Business Case'!G15*$F25+'Business Case'!$B$8*('Business Case'!G11*$C25*'Business Case'!G12*$B25)</f>
        <v>1006940000</v>
      </c>
      <c r="N25" s="46" t="n">
        <f aca="false">IF(COUNT('Business Case'!B11:G11)=0,"",H25+NPV(G25,I25:M25))</f>
        <v>79266520.0464444</v>
      </c>
    </row>
    <row r="26" customFormat="false" ht="15" hidden="false" customHeight="false" outlineLevel="0" collapsed="false">
      <c r="A26" s="5" t="s">
        <v>869</v>
      </c>
      <c r="B26" s="47" t="n">
        <f aca="false">1</f>
        <v>1</v>
      </c>
      <c r="C26" s="47" t="n">
        <f aca="false">1</f>
        <v>1</v>
      </c>
      <c r="D26" s="47" t="n">
        <f aca="false">1</f>
        <v>1</v>
      </c>
      <c r="E26" s="47" t="n">
        <f aca="false">1</f>
        <v>1</v>
      </c>
      <c r="F26" s="47" t="n">
        <f aca="false">1+G10</f>
        <v>1.2</v>
      </c>
      <c r="G26" s="39" t="n">
        <f aca="false">'Business Case'!$B$6</f>
        <v>0.1</v>
      </c>
      <c r="H26" s="45" t="n">
        <f aca="false">(('Business Case'!B11*$C26*'Business Case'!B12*$B26)-'Business Case'!B11*$C26*'Business Case'!B13*$D26-'Business Case'!B14*$E26)-MAX(0,(('Business Case'!B11*$C26*'Business Case'!B12*$B26)-'Business Case'!B11*$C26*'Business Case'!B13*$D26-'Business Case'!B14*$E26))*'Business Case'!$B$7-'Business Case'!$B$8*('Business Case'!B11*$C26*'Business Case'!B12*$B26)-'Business Case'!B15*$F26</f>
        <v>-2400000000</v>
      </c>
      <c r="I26" s="45" t="n">
        <f aca="false">(('Business Case'!C11*$C26*'Business Case'!C12*$B26)-'Business Case'!C11*$C26*'Business Case'!C13*$D26-'Business Case'!C14*$E26)-MAX(0,(('Business Case'!C11*$C26*'Business Case'!C12*$B26)-'Business Case'!C11*$C26*'Business Case'!C13*$D26-'Business Case'!C14*$E26))*'Business Case'!$B$7-'Business Case'!$B$8*(('Business Case'!C11*$C26*'Business Case'!C12*$B26)-('Business Case'!B11*$C26*'Business Case'!B12*$B26))-'Business Case'!C15*$F26</f>
        <v>-6888000</v>
      </c>
      <c r="J26" s="45" t="n">
        <f aca="false">(('Business Case'!D11*$C26*'Business Case'!D12*$B26)-'Business Case'!D11*$C26*'Business Case'!D13*$D26-'Business Case'!D14*$E26)-MAX(0,(('Business Case'!D11*$C26*'Business Case'!D12*$B26)-'Business Case'!D11*$C26*'Business Case'!D13*$D26-'Business Case'!D14*$E26))*'Business Case'!$B$7-'Business Case'!$B$8*(('Business Case'!D11*$C26*'Business Case'!D12*$B26)-('Business Case'!C11*$C26*'Business Case'!C12*$B26))-'Business Case'!D15*$F26</f>
        <v>300264000</v>
      </c>
      <c r="K26" s="45" t="n">
        <f aca="false">(('Business Case'!E11*$C26*'Business Case'!E12*$B26)-'Business Case'!E11*$C26*'Business Case'!E13*$D26-'Business Case'!E14*$E26)-MAX(0,(('Business Case'!E11*$C26*'Business Case'!E12*$B26)-'Business Case'!E11*$C26*'Business Case'!E13*$D26-'Business Case'!E14*$E26))*'Business Case'!$B$7-'Business Case'!$B$8*(('Business Case'!E11*$C26*'Business Case'!E12*$B26)-('Business Case'!D11*$C26*'Business Case'!D12*$B26))-'Business Case'!E15*$F26</f>
        <v>667416000</v>
      </c>
      <c r="L26" s="45" t="n">
        <f aca="false">(('Business Case'!F11*$C26*'Business Case'!F12*$B26)-'Business Case'!F11*$C26*'Business Case'!F13*$D26-'Business Case'!F14*$E26)-MAX(0,(('Business Case'!F11*$C26*'Business Case'!F12*$B26)-'Business Case'!F11*$C26*'Business Case'!F13*$D26-'Business Case'!F14*$E26))*'Business Case'!$B$7-'Business Case'!$B$8*(('Business Case'!F11*$C26*'Business Case'!F12*$B26)-('Business Case'!E11*$C26*'Business Case'!E12*$B26))-'Business Case'!F15*$F26</f>
        <v>804360000</v>
      </c>
      <c r="M26" s="45" t="n">
        <f aca="false">(('Business Case'!G11*$C26*'Business Case'!G12*$B26)-'Business Case'!G11*$C26*'Business Case'!G13*$D26-'Business Case'!G14*$E26)-MAX(0,(('Business Case'!G11*$C26*'Business Case'!G12*$B26)-'Business Case'!G11*$C26*'Business Case'!G13*$D26-'Business Case'!G14*$E26))*'Business Case'!$B$7-'Business Case'!$B$8*(('Business Case'!G11*$C26*'Business Case'!G12*$B26)-('Business Case'!F11*$C26*'Business Case'!F12*$B26))-'Business Case'!G15*$F26+'Business Case'!$B$8*('Business Case'!G11*$C26*'Business Case'!G12*$B26)</f>
        <v>994440000</v>
      </c>
      <c r="N26" s="46" t="n">
        <f aca="false">IF(COUNT('Business Case'!B11:G11)=0,"",H26+NPV(G26,I26:M26))</f>
        <v>-489812529.447194</v>
      </c>
    </row>
    <row r="27" customFormat="false" ht="15" hidden="false" customHeight="false" outlineLevel="0" collapsed="false">
      <c r="A27" s="5" t="s">
        <v>870</v>
      </c>
      <c r="B27" s="47" t="n">
        <f aca="false">1</f>
        <v>1</v>
      </c>
      <c r="C27" s="47" t="n">
        <f aca="false">1</f>
        <v>1</v>
      </c>
      <c r="D27" s="47" t="n">
        <f aca="false">1</f>
        <v>1</v>
      </c>
      <c r="E27" s="47" t="n">
        <f aca="false">1</f>
        <v>1</v>
      </c>
      <c r="F27" s="47" t="n">
        <f aca="false">1</f>
        <v>1</v>
      </c>
      <c r="G27" s="39" t="n">
        <f aca="false">E11</f>
        <v>0.09</v>
      </c>
      <c r="H27" s="45" t="n">
        <f aca="false">(('Business Case'!B11*$C27*'Business Case'!B12*$B27)-'Business Case'!B11*$C27*'Business Case'!B13*$D27-'Business Case'!B14*$E27)-MAX(0,(('Business Case'!B11*$C27*'Business Case'!B12*$B27)-'Business Case'!B11*$C27*'Business Case'!B13*$D27-'Business Case'!B14*$E27))*'Business Case'!$B$7-'Business Case'!$B$8*('Business Case'!B11*$C27*'Business Case'!B12*$B27)-'Business Case'!B15*$F27</f>
        <v>-2000000000</v>
      </c>
      <c r="I27" s="45" t="n">
        <f aca="false">(('Business Case'!C11*$C27*'Business Case'!C12*$B27)-'Business Case'!C11*$C27*'Business Case'!C13*$D27-'Business Case'!C14*$E27)-MAX(0,(('Business Case'!C11*$C27*'Business Case'!C12*$B27)-'Business Case'!C11*$C27*'Business Case'!C13*$D27-'Business Case'!C14*$E27))*'Business Case'!$B$7-'Business Case'!$B$8*(('Business Case'!C11*$C27*'Business Case'!C12*$B27)-('Business Case'!B11*$C27*'Business Case'!B12*$B27))-'Business Case'!C15*$F27</f>
        <v>13112000</v>
      </c>
      <c r="J27" s="45" t="n">
        <f aca="false">(('Business Case'!D11*$C27*'Business Case'!D12*$B27)-'Business Case'!D11*$C27*'Business Case'!D13*$D27-'Business Case'!D14*$E27)-MAX(0,(('Business Case'!D11*$C27*'Business Case'!D12*$B27)-'Business Case'!D11*$C27*'Business Case'!D13*$D27-'Business Case'!D14*$E27))*'Business Case'!$B$7-'Business Case'!$B$8*(('Business Case'!D11*$C27*'Business Case'!D12*$B27)-('Business Case'!C11*$C27*'Business Case'!C12*$B27))-'Business Case'!D15*$F27</f>
        <v>320264000</v>
      </c>
      <c r="K27" s="45" t="n">
        <f aca="false">(('Business Case'!E11*$C27*'Business Case'!E12*$B27)-'Business Case'!E11*$C27*'Business Case'!E13*$D27-'Business Case'!E14*$E27)-MAX(0,(('Business Case'!E11*$C27*'Business Case'!E12*$B27)-'Business Case'!E11*$C27*'Business Case'!E13*$D27-'Business Case'!E14*$E27))*'Business Case'!$B$7-'Business Case'!$B$8*(('Business Case'!E11*$C27*'Business Case'!E12*$B27)-('Business Case'!D11*$C27*'Business Case'!D12*$B27))-'Business Case'!E15*$F27</f>
        <v>677416000</v>
      </c>
      <c r="L27" s="45" t="n">
        <f aca="false">(('Business Case'!F11*$C27*'Business Case'!F12*$B27)-'Business Case'!F11*$C27*'Business Case'!F13*$D27-'Business Case'!F14*$E27)-MAX(0,(('Business Case'!F11*$C27*'Business Case'!F12*$B27)-'Business Case'!F11*$C27*'Business Case'!F13*$D27-'Business Case'!F14*$E27))*'Business Case'!$B$7-'Business Case'!$B$8*(('Business Case'!F11*$C27*'Business Case'!F12*$B27)-('Business Case'!E11*$C27*'Business Case'!E12*$B27))-'Business Case'!F15*$F27</f>
        <v>814360000</v>
      </c>
      <c r="M27" s="45" t="n">
        <f aca="false">(('Business Case'!G11*$C27*'Business Case'!G12*$B27)-'Business Case'!G11*$C27*'Business Case'!G13*$D27-'Business Case'!G14*$E27)-MAX(0,(('Business Case'!G11*$C27*'Business Case'!G12*$B27)-'Business Case'!G11*$C27*'Business Case'!G13*$D27-'Business Case'!G14*$E27))*'Business Case'!$B$7-'Business Case'!$B$8*(('Business Case'!G11*$C27*'Business Case'!G12*$B27)-('Business Case'!F11*$C27*'Business Case'!F12*$B27))-'Business Case'!G15*$F27+'Business Case'!$B$8*('Business Case'!G11*$C27*'Business Case'!G12*$B27)</f>
        <v>1004440000</v>
      </c>
      <c r="N27" s="46" t="n">
        <f aca="false">IF(COUNT('Business Case'!B11:G11)=0,"",H27+NPV(G27,I27:M27))</f>
        <v>34408840.0272958</v>
      </c>
    </row>
    <row r="28" customFormat="false" ht="15" hidden="false" customHeight="false" outlineLevel="0" collapsed="false">
      <c r="A28" s="5" t="s">
        <v>871</v>
      </c>
      <c r="B28" s="47" t="n">
        <f aca="false">1</f>
        <v>1</v>
      </c>
      <c r="C28" s="47" t="n">
        <f aca="false">1</f>
        <v>1</v>
      </c>
      <c r="D28" s="47" t="n">
        <f aca="false">1</f>
        <v>1</v>
      </c>
      <c r="E28" s="47" t="n">
        <f aca="false">1</f>
        <v>1</v>
      </c>
      <c r="F28" s="47" t="n">
        <f aca="false">1</f>
        <v>1</v>
      </c>
      <c r="G28" s="39" t="n">
        <f aca="false">G11</f>
        <v>0.12</v>
      </c>
      <c r="H28" s="45" t="n">
        <f aca="false">(('Business Case'!B11*$C28*'Business Case'!B12*$B28)-'Business Case'!B11*$C28*'Business Case'!B13*$D28-'Business Case'!B14*$E28)-MAX(0,(('Business Case'!B11*$C28*'Business Case'!B12*$B28)-'Business Case'!B11*$C28*'Business Case'!B13*$D28-'Business Case'!B14*$E28))*'Business Case'!$B$7-'Business Case'!$B$8*('Business Case'!B11*$C28*'Business Case'!B12*$B28)-'Business Case'!B15*$F28</f>
        <v>-2000000000</v>
      </c>
      <c r="I28" s="45" t="n">
        <f aca="false">(('Business Case'!C11*$C28*'Business Case'!C12*$B28)-'Business Case'!C11*$C28*'Business Case'!C13*$D28-'Business Case'!C14*$E28)-MAX(0,(('Business Case'!C11*$C28*'Business Case'!C12*$B28)-'Business Case'!C11*$C28*'Business Case'!C13*$D28-'Business Case'!C14*$E28))*'Business Case'!$B$7-'Business Case'!$B$8*(('Business Case'!C11*$C28*'Business Case'!C12*$B28)-('Business Case'!B11*$C28*'Business Case'!B12*$B28))-'Business Case'!C15*$F28</f>
        <v>13112000</v>
      </c>
      <c r="J28" s="45" t="n">
        <f aca="false">(('Business Case'!D11*$C28*'Business Case'!D12*$B28)-'Business Case'!D11*$C28*'Business Case'!D13*$D28-'Business Case'!D14*$E28)-MAX(0,(('Business Case'!D11*$C28*'Business Case'!D12*$B28)-'Business Case'!D11*$C28*'Business Case'!D13*$D28-'Business Case'!D14*$E28))*'Business Case'!$B$7-'Business Case'!$B$8*(('Business Case'!D11*$C28*'Business Case'!D12*$B28)-('Business Case'!C11*$C28*'Business Case'!C12*$B28))-'Business Case'!D15*$F28</f>
        <v>320264000</v>
      </c>
      <c r="K28" s="45" t="n">
        <f aca="false">(('Business Case'!E11*$C28*'Business Case'!E12*$B28)-'Business Case'!E11*$C28*'Business Case'!E13*$D28-'Business Case'!E14*$E28)-MAX(0,(('Business Case'!E11*$C28*'Business Case'!E12*$B28)-'Business Case'!E11*$C28*'Business Case'!E13*$D28-'Business Case'!E14*$E28))*'Business Case'!$B$7-'Business Case'!$B$8*(('Business Case'!E11*$C28*'Business Case'!E12*$B28)-('Business Case'!D11*$C28*'Business Case'!D12*$B28))-'Business Case'!E15*$F28</f>
        <v>677416000</v>
      </c>
      <c r="L28" s="45" t="n">
        <f aca="false">(('Business Case'!F11*$C28*'Business Case'!F12*$B28)-'Business Case'!F11*$C28*'Business Case'!F13*$D28-'Business Case'!F14*$E28)-MAX(0,(('Business Case'!F11*$C28*'Business Case'!F12*$B28)-'Business Case'!F11*$C28*'Business Case'!F13*$D28-'Business Case'!F14*$E28))*'Business Case'!$B$7-'Business Case'!$B$8*(('Business Case'!F11*$C28*'Business Case'!F12*$B28)-('Business Case'!E11*$C28*'Business Case'!E12*$B28))-'Business Case'!F15*$F28</f>
        <v>814360000</v>
      </c>
      <c r="M28" s="45" t="n">
        <f aca="false">(('Business Case'!G11*$C28*'Business Case'!G12*$B28)-'Business Case'!G11*$C28*'Business Case'!G13*$D28-'Business Case'!G14*$E28)-MAX(0,(('Business Case'!G11*$C28*'Business Case'!G12*$B28)-'Business Case'!G11*$C28*'Business Case'!G13*$D28-'Business Case'!G14*$E28))*'Business Case'!$B$7-'Business Case'!$B$8*(('Business Case'!G11*$C28*'Business Case'!G12*$B28)-('Business Case'!F11*$C28*'Business Case'!F12*$B28))-'Business Case'!G15*$F28+'Business Case'!$B$8*('Business Case'!G11*$C28*'Business Case'!G12*$B28)</f>
        <v>1004440000</v>
      </c>
      <c r="N28" s="46" t="n">
        <f aca="false">IF(COUNT('Business Case'!B11:G11)=0,"",H28+NPV(G28,I28:M28))</f>
        <v>-163322295.50234</v>
      </c>
    </row>
    <row r="30" customFormat="false" ht="23.85" hidden="false" customHeight="false" outlineLevel="0" collapsed="false">
      <c r="A30" s="20" t="s">
        <v>872</v>
      </c>
    </row>
    <row r="31" customFormat="false" ht="30" hidden="false" customHeight="true" outlineLevel="0" collapsed="false">
      <c r="A31" s="12" t="s">
        <v>618</v>
      </c>
      <c r="B31" s="12" t="s">
        <v>873</v>
      </c>
      <c r="C31" s="12" t="s">
        <v>874</v>
      </c>
      <c r="D31" s="12" t="s">
        <v>875</v>
      </c>
      <c r="E31" s="12" t="s">
        <v>876</v>
      </c>
      <c r="F31" s="12" t="s">
        <v>877</v>
      </c>
      <c r="G31" s="12" t="s">
        <v>878</v>
      </c>
      <c r="H31" s="12" t="s">
        <v>879</v>
      </c>
    </row>
    <row r="32" customFormat="false" ht="23.85" hidden="false" customHeight="false" outlineLevel="0" collapsed="false">
      <c r="A32" s="15" t="str">
        <f aca="false">INDEX($A$40:$A$45,MATCH(LARGE($D$40:$D$45,1),$D$40:$D$45,0))</f>
        <v>Units</v>
      </c>
      <c r="B32" s="45" t="n">
        <f aca="false">INDEX($B$40:$B$45,MATCH(LARGE($D$40:$D$45,1),$D$40:$D$45,0))</f>
        <v>-590712647.198714</v>
      </c>
      <c r="C32" s="45" t="n">
        <f aca="false">INDEX($C$40:$C$45,MATCH(LARGE($D$40:$D$45,1),$D$40:$D$45,0))</f>
        <v>382573228.157539</v>
      </c>
      <c r="D32" s="48" t="n">
        <f aca="false">IFERROR(ABS(C32-B32),"")</f>
        <v>973285875.356253</v>
      </c>
      <c r="E32" s="45" t="n">
        <f aca="false">IFERROR(B32-$N$16,"")</f>
        <v>-556163357.34643</v>
      </c>
      <c r="F32" s="45" t="n">
        <f aca="false">IFERROR(C32-$N$16,"")</f>
        <v>417122518.009823</v>
      </c>
      <c r="G32" s="15" t="str">
        <f aca="false">IF(B32="","",IF(MIN(B32,C32)&lt;0,IF(MAX(B32,C32)&gt;0,"Yes","Below zero"),"No"))</f>
        <v>Yes</v>
      </c>
      <c r="H32" s="15" t="n">
        <f aca="false">1</f>
        <v>1</v>
      </c>
    </row>
    <row r="33" customFormat="false" ht="23.85" hidden="false" customHeight="false" outlineLevel="0" collapsed="false">
      <c r="A33" s="15" t="str">
        <f aca="false">INDEX($A$40:$A$45,MATCH(LARGE($D$40:$D$45,2),$D$40:$D$45,0))</f>
        <v>Price per unit</v>
      </c>
      <c r="B33" s="45" t="n">
        <f aca="false">INDEX($B$40:$B$45,MATCH(LARGE($D$40:$D$45,2),$D$40:$D$45,0))</f>
        <v>-632246961.034704</v>
      </c>
      <c r="C33" s="45" t="n">
        <f aca="false">INDEX($C$40:$C$45,MATCH(LARGE($D$40:$D$45,2),$D$40:$D$45,0))</f>
        <v>264299545.738927</v>
      </c>
      <c r="D33" s="48" t="n">
        <f aca="false">IFERROR(ABS(C33-B33),"")</f>
        <v>896546506.773631</v>
      </c>
      <c r="E33" s="45" t="n">
        <f aca="false">IFERROR(B33-$N$16,"")</f>
        <v>-597697671.18242</v>
      </c>
      <c r="F33" s="45" t="n">
        <f aca="false">IFERROR(C33-$N$16,"")</f>
        <v>298848835.59121</v>
      </c>
      <c r="G33" s="15" t="str">
        <f aca="false">IF(B33="","",IF(MIN(B33,C33)&lt;0,IF(MAX(B33,C33)&gt;0,"Yes","Below zero"),"No"))</f>
        <v>Yes</v>
      </c>
      <c r="H33" s="15" t="n">
        <f aca="false">2</f>
        <v>2</v>
      </c>
    </row>
    <row r="34" customFormat="false" ht="23.85" hidden="false" customHeight="false" outlineLevel="0" collapsed="false">
      <c r="A34" s="15" t="str">
        <f aca="false">INDEX($A$40:$A$45,MATCH(LARGE($D$40:$D$45,3),$D$40:$D$45,0))</f>
        <v>Variable cost per unit</v>
      </c>
      <c r="B34" s="45" t="n">
        <f aca="false">INDEX($B$40:$B$45,MATCH(LARGE($D$40:$D$45,3),$D$40:$D$45,0))</f>
        <v>199970915.300122</v>
      </c>
      <c r="C34" s="45" t="n">
        <f aca="false">INDEX($C$40:$C$45,MATCH(LARGE($D$40:$D$45,3),$D$40:$D$45,0))</f>
        <v>-409781618.096132</v>
      </c>
      <c r="D34" s="48" t="n">
        <f aca="false">IFERROR(ABS(C34-B34),"")</f>
        <v>609752533.396254</v>
      </c>
      <c r="E34" s="45" t="n">
        <f aca="false">IFERROR(B34-$N$16,"")</f>
        <v>234520205.152405</v>
      </c>
      <c r="F34" s="45" t="n">
        <f aca="false">IFERROR(C34-$N$16,"")</f>
        <v>-375232328.243848</v>
      </c>
      <c r="G34" s="15" t="str">
        <f aca="false">IF(B34="","",IF(MIN(B34,C34)&lt;0,IF(MAX(B34,C34)&gt;0,"Yes","Below zero"),"No"))</f>
        <v>Yes</v>
      </c>
      <c r="H34" s="15" t="n">
        <f aca="false">3</f>
        <v>3</v>
      </c>
    </row>
    <row r="35" customFormat="false" ht="23.85" hidden="false" customHeight="false" outlineLevel="0" collapsed="false">
      <c r="A35" s="15" t="str">
        <f aca="false">INDEX($A$40:$A$45,MATCH(LARGE($D$40:$D$45,4),$D$40:$D$45,0))</f>
        <v>Capex</v>
      </c>
      <c r="B35" s="45" t="n">
        <f aca="false">INDEX($B$40:$B$45,MATCH(LARGE($D$40:$D$45,4),$D$40:$D$45,0))</f>
        <v>79266520.0464444</v>
      </c>
      <c r="C35" s="45" t="n">
        <f aca="false">INDEX($C$40:$C$45,MATCH(LARGE($D$40:$D$45,4),$D$40:$D$45,0))</f>
        <v>-489812529.447194</v>
      </c>
      <c r="D35" s="48" t="n">
        <f aca="false">IFERROR(ABS(C35-B35),"")</f>
        <v>569079049.493639</v>
      </c>
      <c r="E35" s="45" t="n">
        <f aca="false">IFERROR(B35-$N$16,"")</f>
        <v>113815809.898728</v>
      </c>
      <c r="F35" s="45" t="n">
        <f aca="false">IFERROR(C35-$N$16,"")</f>
        <v>-455263239.594911</v>
      </c>
      <c r="G35" s="15" t="str">
        <f aca="false">IF(B35="","",IF(MIN(B35,C35)&lt;0,IF(MAX(B35,C35)&gt;0,"Yes","Below zero"),"No"))</f>
        <v>Yes</v>
      </c>
      <c r="H35" s="15" t="n">
        <f aca="false">4</f>
        <v>4</v>
      </c>
    </row>
    <row r="36" customFormat="false" ht="23.85" hidden="false" customHeight="false" outlineLevel="0" collapsed="false">
      <c r="A36" s="15" t="str">
        <f aca="false">INDEX($A$40:$A$45,MATCH(LARGE($D$40:$D$45,5),$D$40:$D$45,0))</f>
        <v>Discount rate (absolute)</v>
      </c>
      <c r="B36" s="45" t="n">
        <f aca="false">INDEX($B$40:$B$45,MATCH(LARGE($D$40:$D$45,5),$D$40:$D$45,0))</f>
        <v>34408840.0272958</v>
      </c>
      <c r="C36" s="45" t="n">
        <f aca="false">INDEX($C$40:$C$45,MATCH(LARGE($D$40:$D$45,5),$D$40:$D$45,0))</f>
        <v>-163322295.50234</v>
      </c>
      <c r="D36" s="48" t="n">
        <f aca="false">IFERROR(ABS(C36-B36),"")</f>
        <v>197731135.529635</v>
      </c>
      <c r="E36" s="45" t="n">
        <f aca="false">IFERROR(B36-$N$16,"")</f>
        <v>68958129.8795793</v>
      </c>
      <c r="F36" s="45" t="n">
        <f aca="false">IFERROR(C36-$N$16,"")</f>
        <v>-128773005.650056</v>
      </c>
      <c r="G36" s="15" t="str">
        <f aca="false">IF(B36="","",IF(MIN(B36,C36)&lt;0,IF(MAX(B36,C36)&gt;0,"Yes","Below zero"),"No"))</f>
        <v>Yes</v>
      </c>
      <c r="H36" s="15" t="n">
        <f aca="false">5</f>
        <v>5</v>
      </c>
    </row>
    <row r="37" customFormat="false" ht="23.85" hidden="false" customHeight="false" outlineLevel="0" collapsed="false">
      <c r="A37" s="15" t="str">
        <f aca="false">INDEX($A$40:$A$45,MATCH(LARGE($D$40:$D$45,6),$D$40:$D$45,0))</f>
        <v>Fixed costs</v>
      </c>
      <c r="B37" s="45" t="n">
        <f aca="false">INDEX($B$40:$B$45,MATCH(LARGE($D$40:$D$45,6),$D$40:$D$45,0))</f>
        <v>-7596795.92178941</v>
      </c>
      <c r="C37" s="45" t="n">
        <f aca="false">INDEX($C$40:$C$45,MATCH(LARGE($D$40:$D$45,6),$D$40:$D$45,0))</f>
        <v>-88454277.7132716</v>
      </c>
      <c r="D37" s="48" t="n">
        <f aca="false">IFERROR(ABS(C37-B37),"")</f>
        <v>80857481.7914822</v>
      </c>
      <c r="E37" s="45" t="n">
        <f aca="false">IFERROR(B37-$N$16,"")</f>
        <v>26952493.9304941</v>
      </c>
      <c r="F37" s="45" t="n">
        <f aca="false">IFERROR(C37-$N$16,"")</f>
        <v>-53904987.8609881</v>
      </c>
      <c r="G37" s="15" t="str">
        <f aca="false">IF(B37="","",IF(MIN(B37,C37)&lt;0,IF(MAX(B37,C37)&gt;0,"Yes","Below zero"),"No"))</f>
        <v>Below zero</v>
      </c>
      <c r="H37" s="15" t="n">
        <f aca="false">6</f>
        <v>6</v>
      </c>
    </row>
    <row r="39" customFormat="false" ht="15" hidden="false" customHeight="false" outlineLevel="0" collapsed="false">
      <c r="A39" s="5" t="s">
        <v>880</v>
      </c>
    </row>
    <row r="40" customFormat="false" ht="23.85" hidden="false" customHeight="false" outlineLevel="0" collapsed="false">
      <c r="A40" s="5" t="s">
        <v>519</v>
      </c>
      <c r="B40" s="45" t="n">
        <f aca="false">N17</f>
        <v>-632246961.034704</v>
      </c>
      <c r="C40" s="45" t="n">
        <f aca="false">N18</f>
        <v>264299545.738927</v>
      </c>
      <c r="D40" s="35" t="n">
        <f aca="false">IFERROR(ABS(C40-B40)+ROW()/1000000000,0)</f>
        <v>896546506.773631</v>
      </c>
    </row>
    <row r="41" customFormat="false" ht="23.85" hidden="false" customHeight="false" outlineLevel="0" collapsed="false">
      <c r="A41" s="5" t="s">
        <v>784</v>
      </c>
      <c r="B41" s="45" t="n">
        <f aca="false">N19</f>
        <v>-590712647.198714</v>
      </c>
      <c r="C41" s="45" t="n">
        <f aca="false">N20</f>
        <v>382573228.157539</v>
      </c>
      <c r="D41" s="35" t="n">
        <f aca="false">IFERROR(ABS(C41-B41)+ROW()/1000000000,0)</f>
        <v>973285875.356253</v>
      </c>
    </row>
    <row r="42" customFormat="false" ht="23.85" hidden="false" customHeight="false" outlineLevel="0" collapsed="false">
      <c r="A42" s="5" t="s">
        <v>521</v>
      </c>
      <c r="B42" s="45" t="n">
        <f aca="false">N21</f>
        <v>199970915.300122</v>
      </c>
      <c r="C42" s="45" t="n">
        <f aca="false">N22</f>
        <v>-409781618.096132</v>
      </c>
      <c r="D42" s="35" t="n">
        <f aca="false">IFERROR(ABS(C42-B42)+ROW()/1000000000,0)</f>
        <v>609752533.396254</v>
      </c>
    </row>
    <row r="43" customFormat="false" ht="23.85" hidden="false" customHeight="false" outlineLevel="0" collapsed="false">
      <c r="A43" s="5" t="s">
        <v>545</v>
      </c>
      <c r="B43" s="45" t="n">
        <f aca="false">N23</f>
        <v>-7596795.92178941</v>
      </c>
      <c r="C43" s="45" t="n">
        <f aca="false">N24</f>
        <v>-88454277.7132716</v>
      </c>
      <c r="D43" s="35" t="n">
        <f aca="false">IFERROR(ABS(C43-B43)+ROW()/1000000000,0)</f>
        <v>80857481.7914823</v>
      </c>
    </row>
    <row r="44" customFormat="false" ht="23.85" hidden="false" customHeight="false" outlineLevel="0" collapsed="false">
      <c r="A44" s="5" t="s">
        <v>785</v>
      </c>
      <c r="B44" s="45" t="n">
        <f aca="false">N25</f>
        <v>79266520.0464444</v>
      </c>
      <c r="C44" s="45" t="n">
        <f aca="false">N26</f>
        <v>-489812529.447194</v>
      </c>
      <c r="D44" s="35" t="n">
        <f aca="false">IFERROR(ABS(C44-B44)+ROW()/1000000000,0)</f>
        <v>569079049.493639</v>
      </c>
    </row>
    <row r="45" customFormat="false" ht="23.85" hidden="false" customHeight="false" outlineLevel="0" collapsed="false">
      <c r="A45" s="5" t="s">
        <v>845</v>
      </c>
      <c r="B45" s="45" t="n">
        <f aca="false">N27</f>
        <v>34408840.0272958</v>
      </c>
      <c r="C45" s="45" t="n">
        <f aca="false">N28</f>
        <v>-163322295.50234</v>
      </c>
      <c r="D45" s="35" t="n">
        <f aca="false">IFERROR(ABS(C45-B45)+ROW()/1000000000,0)</f>
        <v>197731135.529636</v>
      </c>
    </row>
    <row r="48" customFormat="false" ht="15" hidden="false" customHeight="true" outlineLevel="0" collapsed="false">
      <c r="A48" s="9" t="s">
        <v>881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23.85" hidden="false" customHeight="false" outlineLevel="0" collapsed="false">
      <c r="A49" s="5" t="s">
        <v>882</v>
      </c>
      <c r="B49" s="45" t="n">
        <f aca="false">IFERROR(AVERAGE($N$81:$N$1080),"")</f>
        <v>-340080582.816713</v>
      </c>
    </row>
    <row r="50" customFormat="false" ht="23.85" hidden="false" customHeight="false" outlineLevel="0" collapsed="false">
      <c r="A50" s="20" t="s">
        <v>883</v>
      </c>
      <c r="B50" s="46" t="n">
        <f aca="false">IFERROR(MEDIAN($N$81:$N$1080),"")</f>
        <v>-356021572.546417</v>
      </c>
    </row>
    <row r="51" customFormat="false" ht="23.85" hidden="false" customHeight="false" outlineLevel="0" collapsed="false">
      <c r="A51" s="5" t="s">
        <v>884</v>
      </c>
      <c r="B51" s="45" t="n">
        <f aca="false">IFERROR(PERCENTILE($N$81:$N$1080,0.1),"")</f>
        <v>-747625307.229058</v>
      </c>
    </row>
    <row r="52" customFormat="false" ht="15" hidden="false" customHeight="false" outlineLevel="0" collapsed="false">
      <c r="A52" s="5" t="s">
        <v>885</v>
      </c>
      <c r="B52" s="45" t="n">
        <f aca="false">IFERROR(PERCENTILE($N$81:$N$1080,0.9),"")</f>
        <v>86147228.8425039</v>
      </c>
    </row>
    <row r="53" customFormat="false" ht="23.85" hidden="false" customHeight="false" outlineLevel="0" collapsed="false">
      <c r="A53" s="5" t="s">
        <v>886</v>
      </c>
      <c r="B53" s="45" t="n">
        <f aca="false">IFERROR(STDEV($N$81:$N$1080),"")</f>
        <v>322760734.709876</v>
      </c>
    </row>
    <row r="54" customFormat="false" ht="15" hidden="false" customHeight="false" outlineLevel="0" collapsed="false">
      <c r="A54" s="20" t="s">
        <v>887</v>
      </c>
      <c r="B54" s="21" t="n">
        <f aca="false">IFERROR(COUNTIF($N$81:$N$1080,"&lt;0")/COUNT($N$81:$N$1080),"")</f>
        <v>0.843</v>
      </c>
    </row>
    <row r="55" customFormat="false" ht="23.85" hidden="false" customHeight="false" outlineLevel="0" collapsed="false">
      <c r="A55" s="5" t="s">
        <v>888</v>
      </c>
      <c r="B55" s="45" t="n">
        <f aca="false">IFERROR(N16,"")</f>
        <v>-34549289.8522835</v>
      </c>
    </row>
    <row r="56" customFormat="false" ht="30" hidden="false" customHeight="true" outlineLevel="0" collapsed="false">
      <c r="A56" s="10" t="s">
        <v>889</v>
      </c>
      <c r="B56" s="10"/>
      <c r="C56" s="10"/>
      <c r="D56" s="10"/>
      <c r="E56" s="10"/>
      <c r="F56" s="10"/>
      <c r="G56" s="10"/>
      <c r="H56" s="10"/>
    </row>
    <row r="58" customFormat="false" ht="30" hidden="false" customHeight="true" outlineLevel="0" collapsed="false">
      <c r="A58" s="12" t="s">
        <v>890</v>
      </c>
      <c r="B58" s="12" t="s">
        <v>891</v>
      </c>
      <c r="C58" s="12" t="s">
        <v>892</v>
      </c>
    </row>
    <row r="59" customFormat="false" ht="15" hidden="false" customHeight="false" outlineLevel="0" collapsed="false">
      <c r="A59" s="49" t="n">
        <f aca="false">MIN($N$81:$N$1080)+(MAX($N$81:$N$1080)-MIN($N$81:$N$1080))*0/20</f>
        <v>-1361675655.4389</v>
      </c>
      <c r="B59" s="49" t="n">
        <f aca="false">MIN($N$81:$N$1080)+(MAX($N$81:$N$1080)-MIN($N$81:$N$1080))*1/20</f>
        <v>-1268709886.04695</v>
      </c>
      <c r="C59" s="26" t="n">
        <f aca="false">COUNTIFS($N$81:$N$1080,"&gt;="&amp;A59,$N$81:$N$1080,"&lt;"&amp;B59)</f>
        <v>1</v>
      </c>
    </row>
    <row r="60" customFormat="false" ht="15" hidden="false" customHeight="false" outlineLevel="0" collapsed="false">
      <c r="A60" s="49" t="n">
        <f aca="false">MIN($N$81:$N$1080)+(MAX($N$81:$N$1080)-MIN($N$81:$N$1080))*1/20</f>
        <v>-1268709886.04695</v>
      </c>
      <c r="B60" s="49" t="n">
        <f aca="false">MIN($N$81:$N$1080)+(MAX($N$81:$N$1080)-MIN($N$81:$N$1080))*2/20</f>
        <v>-1175744116.655</v>
      </c>
      <c r="C60" s="26" t="n">
        <f aca="false">COUNTIFS($N$81:$N$1080,"&gt;="&amp;A60,$N$81:$N$1080,"&lt;"&amp;B60)</f>
        <v>3</v>
      </c>
    </row>
    <row r="61" customFormat="false" ht="15" hidden="false" customHeight="false" outlineLevel="0" collapsed="false">
      <c r="A61" s="49" t="n">
        <f aca="false">MIN($N$81:$N$1080)+(MAX($N$81:$N$1080)-MIN($N$81:$N$1080))*2/20</f>
        <v>-1175744116.655</v>
      </c>
      <c r="B61" s="49" t="n">
        <f aca="false">MIN($N$81:$N$1080)+(MAX($N$81:$N$1080)-MIN($N$81:$N$1080))*3/20</f>
        <v>-1082778347.26304</v>
      </c>
      <c r="C61" s="26" t="n">
        <f aca="false">COUNTIFS($N$81:$N$1080,"&gt;="&amp;A61,$N$81:$N$1080,"&lt;"&amp;B61)</f>
        <v>5</v>
      </c>
    </row>
    <row r="62" customFormat="false" ht="15" hidden="false" customHeight="false" outlineLevel="0" collapsed="false">
      <c r="A62" s="49" t="n">
        <f aca="false">MIN($N$81:$N$1080)+(MAX($N$81:$N$1080)-MIN($N$81:$N$1080))*3/20</f>
        <v>-1082778347.26304</v>
      </c>
      <c r="B62" s="49" t="n">
        <f aca="false">MIN($N$81:$N$1080)+(MAX($N$81:$N$1080)-MIN($N$81:$N$1080))*4/20</f>
        <v>-989812577.87109</v>
      </c>
      <c r="C62" s="26" t="n">
        <f aca="false">COUNTIFS($N$81:$N$1080,"&gt;="&amp;A62,$N$81:$N$1080,"&lt;"&amp;B62)</f>
        <v>13</v>
      </c>
    </row>
    <row r="63" customFormat="false" ht="15" hidden="false" customHeight="false" outlineLevel="0" collapsed="false">
      <c r="A63" s="49" t="n">
        <f aca="false">MIN($N$81:$N$1080)+(MAX($N$81:$N$1080)-MIN($N$81:$N$1080))*4/20</f>
        <v>-989812577.87109</v>
      </c>
      <c r="B63" s="49" t="n">
        <f aca="false">MIN($N$81:$N$1080)+(MAX($N$81:$N$1080)-MIN($N$81:$N$1080))*5/20</f>
        <v>-896846808.479137</v>
      </c>
      <c r="C63" s="26" t="n">
        <f aca="false">COUNTIFS($N$81:$N$1080,"&gt;="&amp;A63,$N$81:$N$1080,"&lt;"&amp;B63)</f>
        <v>20</v>
      </c>
    </row>
    <row r="64" customFormat="false" ht="15" hidden="false" customHeight="false" outlineLevel="0" collapsed="false">
      <c r="A64" s="49" t="n">
        <f aca="false">MIN($N$81:$N$1080)+(MAX($N$81:$N$1080)-MIN($N$81:$N$1080))*5/20</f>
        <v>-896846808.479137</v>
      </c>
      <c r="B64" s="49" t="n">
        <f aca="false">MIN($N$81:$N$1080)+(MAX($N$81:$N$1080)-MIN($N$81:$N$1080))*6/20</f>
        <v>-803881039.087185</v>
      </c>
      <c r="C64" s="26" t="n">
        <f aca="false">COUNTIFS($N$81:$N$1080,"&gt;="&amp;A64,$N$81:$N$1080,"&lt;"&amp;B64)</f>
        <v>24</v>
      </c>
    </row>
    <row r="65" customFormat="false" ht="15" hidden="false" customHeight="false" outlineLevel="0" collapsed="false">
      <c r="A65" s="49" t="n">
        <f aca="false">MIN($N$81:$N$1080)+(MAX($N$81:$N$1080)-MIN($N$81:$N$1080))*6/20</f>
        <v>-803881039.087185</v>
      </c>
      <c r="B65" s="49" t="n">
        <f aca="false">MIN($N$81:$N$1080)+(MAX($N$81:$N$1080)-MIN($N$81:$N$1080))*7/20</f>
        <v>-710915269.695232</v>
      </c>
      <c r="C65" s="26" t="n">
        <f aca="false">COUNTIFS($N$81:$N$1080,"&gt;="&amp;A65,$N$81:$N$1080,"&lt;"&amp;B65)</f>
        <v>52</v>
      </c>
    </row>
    <row r="66" customFormat="false" ht="15" hidden="false" customHeight="false" outlineLevel="0" collapsed="false">
      <c r="A66" s="49" t="n">
        <f aca="false">MIN($N$81:$N$1080)+(MAX($N$81:$N$1080)-MIN($N$81:$N$1080))*7/20</f>
        <v>-710915269.695232</v>
      </c>
      <c r="B66" s="49" t="n">
        <f aca="false">MIN($N$81:$N$1080)+(MAX($N$81:$N$1080)-MIN($N$81:$N$1080))*8/20</f>
        <v>-617949500.303279</v>
      </c>
      <c r="C66" s="26" t="n">
        <f aca="false">COUNTIFS($N$81:$N$1080,"&gt;="&amp;A66,$N$81:$N$1080,"&lt;"&amp;B66)</f>
        <v>83</v>
      </c>
    </row>
    <row r="67" customFormat="false" ht="15" hidden="false" customHeight="false" outlineLevel="0" collapsed="false">
      <c r="A67" s="49" t="n">
        <f aca="false">MIN($N$81:$N$1080)+(MAX($N$81:$N$1080)-MIN($N$81:$N$1080))*8/20</f>
        <v>-617949500.303279</v>
      </c>
      <c r="B67" s="49" t="n">
        <f aca="false">MIN($N$81:$N$1080)+(MAX($N$81:$N$1080)-MIN($N$81:$N$1080))*9/20</f>
        <v>-524983730.911327</v>
      </c>
      <c r="C67" s="26" t="n">
        <f aca="false">COUNTIFS($N$81:$N$1080,"&gt;="&amp;A67,$N$81:$N$1080,"&lt;"&amp;B67)</f>
        <v>100</v>
      </c>
    </row>
    <row r="68" customFormat="false" ht="15" hidden="false" customHeight="false" outlineLevel="0" collapsed="false">
      <c r="A68" s="49" t="n">
        <f aca="false">MIN($N$81:$N$1080)+(MAX($N$81:$N$1080)-MIN($N$81:$N$1080))*9/20</f>
        <v>-524983730.911327</v>
      </c>
      <c r="B68" s="49" t="n">
        <f aca="false">MIN($N$81:$N$1080)+(MAX($N$81:$N$1080)-MIN($N$81:$N$1080))*10/20</f>
        <v>-432017961.519374</v>
      </c>
      <c r="C68" s="26" t="n">
        <f aca="false">COUNTIFS($N$81:$N$1080,"&gt;="&amp;A68,$N$81:$N$1080,"&lt;"&amp;B68)</f>
        <v>105</v>
      </c>
    </row>
    <row r="69" customFormat="false" ht="15" hidden="false" customHeight="false" outlineLevel="0" collapsed="false">
      <c r="A69" s="49" t="n">
        <f aca="false">MIN($N$81:$N$1080)+(MAX($N$81:$N$1080)-MIN($N$81:$N$1080))*10/20</f>
        <v>-432017961.519374</v>
      </c>
      <c r="B69" s="49" t="n">
        <f aca="false">MIN($N$81:$N$1080)+(MAX($N$81:$N$1080)-MIN($N$81:$N$1080))*11/20</f>
        <v>-339052192.127421</v>
      </c>
      <c r="C69" s="26" t="n">
        <f aca="false">COUNTIFS($N$81:$N$1080,"&gt;="&amp;A69,$N$81:$N$1080,"&lt;"&amp;B69)</f>
        <v>116</v>
      </c>
    </row>
    <row r="70" customFormat="false" ht="15" hidden="false" customHeight="false" outlineLevel="0" collapsed="false">
      <c r="A70" s="49" t="n">
        <f aca="false">MIN($N$81:$N$1080)+(MAX($N$81:$N$1080)-MIN($N$81:$N$1080))*11/20</f>
        <v>-339052192.127421</v>
      </c>
      <c r="B70" s="49" t="n">
        <f aca="false">MIN($N$81:$N$1080)+(MAX($N$81:$N$1080)-MIN($N$81:$N$1080))*12/20</f>
        <v>-246086422.735469</v>
      </c>
      <c r="C70" s="26" t="n">
        <f aca="false">COUNTIFS($N$81:$N$1080,"&gt;="&amp;A70,$N$81:$N$1080,"&lt;"&amp;B70)</f>
        <v>90</v>
      </c>
    </row>
    <row r="71" customFormat="false" ht="15" hidden="false" customHeight="false" outlineLevel="0" collapsed="false">
      <c r="A71" s="49" t="n">
        <f aca="false">MIN($N$81:$N$1080)+(MAX($N$81:$N$1080)-MIN($N$81:$N$1080))*12/20</f>
        <v>-246086422.735469</v>
      </c>
      <c r="B71" s="49" t="n">
        <f aca="false">MIN($N$81:$N$1080)+(MAX($N$81:$N$1080)-MIN($N$81:$N$1080))*13/20</f>
        <v>-153120653.343516</v>
      </c>
      <c r="C71" s="26" t="n">
        <f aca="false">COUNTIFS($N$81:$N$1080,"&gt;="&amp;A71,$N$81:$N$1080,"&lt;"&amp;B71)</f>
        <v>94</v>
      </c>
    </row>
    <row r="72" customFormat="false" ht="15" hidden="false" customHeight="false" outlineLevel="0" collapsed="false">
      <c r="A72" s="49" t="n">
        <f aca="false">MIN($N$81:$N$1080)+(MAX($N$81:$N$1080)-MIN($N$81:$N$1080))*13/20</f>
        <v>-153120653.343516</v>
      </c>
      <c r="B72" s="49" t="n">
        <f aca="false">MIN($N$81:$N$1080)+(MAX($N$81:$N$1080)-MIN($N$81:$N$1080))*14/20</f>
        <v>-60154883.9515634</v>
      </c>
      <c r="C72" s="26" t="n">
        <f aca="false">COUNTIFS($N$81:$N$1080,"&gt;="&amp;A72,$N$81:$N$1080,"&lt;"&amp;B72)</f>
        <v>87</v>
      </c>
    </row>
    <row r="73" customFormat="false" ht="15" hidden="false" customHeight="false" outlineLevel="0" collapsed="false">
      <c r="A73" s="49" t="n">
        <f aca="false">MIN($N$81:$N$1080)+(MAX($N$81:$N$1080)-MIN($N$81:$N$1080))*14/20</f>
        <v>-60154883.9515634</v>
      </c>
      <c r="B73" s="49" t="n">
        <f aca="false">MIN($N$81:$N$1080)+(MAX($N$81:$N$1080)-MIN($N$81:$N$1080))*15/20</f>
        <v>32810885.4403894</v>
      </c>
      <c r="C73" s="26" t="n">
        <f aca="false">COUNTIFS($N$81:$N$1080,"&gt;="&amp;A73,$N$81:$N$1080,"&lt;"&amp;B73)</f>
        <v>76</v>
      </c>
    </row>
    <row r="74" customFormat="false" ht="15" hidden="false" customHeight="false" outlineLevel="0" collapsed="false">
      <c r="A74" s="49" t="n">
        <f aca="false">MIN($N$81:$N$1080)+(MAX($N$81:$N$1080)-MIN($N$81:$N$1080))*15/20</f>
        <v>32810885.4403894</v>
      </c>
      <c r="B74" s="49" t="n">
        <f aca="false">MIN($N$81:$N$1080)+(MAX($N$81:$N$1080)-MIN($N$81:$N$1080))*16/20</f>
        <v>125776654.832342</v>
      </c>
      <c r="C74" s="26" t="n">
        <f aca="false">COUNTIFS($N$81:$N$1080,"&gt;="&amp;A74,$N$81:$N$1080,"&lt;"&amp;B74)</f>
        <v>55</v>
      </c>
    </row>
    <row r="75" customFormat="false" ht="15" hidden="false" customHeight="false" outlineLevel="0" collapsed="false">
      <c r="A75" s="49" t="n">
        <f aca="false">MIN($N$81:$N$1080)+(MAX($N$81:$N$1080)-MIN($N$81:$N$1080))*16/20</f>
        <v>125776654.832342</v>
      </c>
      <c r="B75" s="49" t="n">
        <f aca="false">MIN($N$81:$N$1080)+(MAX($N$81:$N$1080)-MIN($N$81:$N$1080))*17/20</f>
        <v>218742424.224295</v>
      </c>
      <c r="C75" s="26" t="n">
        <f aca="false">COUNTIFS($N$81:$N$1080,"&gt;="&amp;A75,$N$81:$N$1080,"&lt;"&amp;B75)</f>
        <v>28</v>
      </c>
    </row>
    <row r="76" customFormat="false" ht="15" hidden="false" customHeight="false" outlineLevel="0" collapsed="false">
      <c r="A76" s="49" t="n">
        <f aca="false">MIN($N$81:$N$1080)+(MAX($N$81:$N$1080)-MIN($N$81:$N$1080))*17/20</f>
        <v>218742424.224295</v>
      </c>
      <c r="B76" s="49" t="n">
        <f aca="false">MIN($N$81:$N$1080)+(MAX($N$81:$N$1080)-MIN($N$81:$N$1080))*18/20</f>
        <v>311708193.616247</v>
      </c>
      <c r="C76" s="26" t="n">
        <f aca="false">COUNTIFS($N$81:$N$1080,"&gt;="&amp;A76,$N$81:$N$1080,"&lt;"&amp;B76)</f>
        <v>29</v>
      </c>
    </row>
    <row r="77" customFormat="false" ht="15" hidden="false" customHeight="false" outlineLevel="0" collapsed="false">
      <c r="A77" s="49" t="n">
        <f aca="false">MIN($N$81:$N$1080)+(MAX($N$81:$N$1080)-MIN($N$81:$N$1080))*18/20</f>
        <v>311708193.616247</v>
      </c>
      <c r="B77" s="49" t="n">
        <f aca="false">MIN($N$81:$N$1080)+(MAX($N$81:$N$1080)-MIN($N$81:$N$1080))*19/20</f>
        <v>404673963.0082</v>
      </c>
      <c r="C77" s="26" t="n">
        <f aca="false">COUNTIFS($N$81:$N$1080,"&gt;="&amp;A77,$N$81:$N$1080,"&lt;"&amp;B77)</f>
        <v>11</v>
      </c>
    </row>
    <row r="78" customFormat="false" ht="15" hidden="false" customHeight="false" outlineLevel="0" collapsed="false">
      <c r="A78" s="49" t="n">
        <f aca="false">MIN($N$81:$N$1080)+(MAX($N$81:$N$1080)-MIN($N$81:$N$1080))*19/20</f>
        <v>404673963.0082</v>
      </c>
      <c r="B78" s="49" t="n">
        <f aca="false">MIN($N$81:$N$1080)+(MAX($N$81:$N$1080)-MIN($N$81:$N$1080))*20/20</f>
        <v>497639732.400153</v>
      </c>
      <c r="C78" s="26" t="n">
        <f aca="false">COUNTIFS($N$81:$N$1080,"&gt;="&amp;A78,$N$81:$N$1080,"&lt;="&amp;B78)</f>
        <v>8</v>
      </c>
    </row>
    <row r="80" customFormat="false" ht="23.85" hidden="false" customHeight="false" outlineLevel="0" collapsed="false">
      <c r="A80" s="12" t="s">
        <v>893</v>
      </c>
      <c r="B80" s="12" t="s">
        <v>848</v>
      </c>
      <c r="C80" s="12" t="s">
        <v>849</v>
      </c>
      <c r="D80" s="12" t="s">
        <v>850</v>
      </c>
      <c r="E80" s="12" t="s">
        <v>851</v>
      </c>
      <c r="F80" s="12" t="s">
        <v>852</v>
      </c>
      <c r="G80" s="12" t="s">
        <v>853</v>
      </c>
      <c r="H80" s="12" t="s">
        <v>854</v>
      </c>
      <c r="I80" s="12" t="s">
        <v>855</v>
      </c>
      <c r="J80" s="12" t="s">
        <v>856</v>
      </c>
      <c r="K80" s="12" t="s">
        <v>857</v>
      </c>
      <c r="L80" s="12" t="s">
        <v>858</v>
      </c>
      <c r="M80" s="12" t="s">
        <v>859</v>
      </c>
      <c r="N80" s="12" t="s">
        <v>794</v>
      </c>
      <c r="P80" s="12" t="s">
        <v>894</v>
      </c>
      <c r="Q80" s="12" t="s">
        <v>895</v>
      </c>
      <c r="R80" s="12" t="s">
        <v>896</v>
      </c>
      <c r="S80" s="12" t="s">
        <v>897</v>
      </c>
      <c r="T80" s="12" t="s">
        <v>898</v>
      </c>
      <c r="U80" s="12" t="s">
        <v>899</v>
      </c>
    </row>
    <row r="81" customFormat="false" ht="15" hidden="false" customHeight="false" outlineLevel="0" collapsed="false">
      <c r="A81" s="50" t="n">
        <v>1</v>
      </c>
      <c r="B81" s="51" t="n">
        <f aca="false">1+IF($G$6=$E$6,$F$6,IF(P81&lt;($F$6-$E$6)/($G$6-$E$6),$E$6+SQRT(P81*($G$6-$E$6)*($F$6-$E$6)),$G$6-SQRT((1-P81)*($G$6-$E$6)*($G$6-$F$6))))</f>
        <v>0.997183393055311</v>
      </c>
      <c r="C81" s="51" t="n">
        <f aca="false">1+IF($G$7=$E$7,$F$7,IF(Q81&lt;($F$7-$E$7)/($G$7-$E$7),$E$7+SQRT(Q81*($G$7-$E$7)*($F$7-$E$7)),$G$7-SQRT((1-Q81)*($G$7-$E$7)*($G$7-$F$7))))</f>
        <v>1.03943397893181</v>
      </c>
      <c r="D81" s="51" t="n">
        <f aca="false">1+IF($G$8=$E$8,$F$8,IF(R81&lt;($F$8-$E$8)/($G$8-$E$8),$E$8+SQRT(R81*($G$8-$E$8)*($F$8-$E$8)),$G$8-SQRT((1-R81)*($G$8-$E$8)*($G$8-$F$8))))</f>
        <v>1.01903699855062</v>
      </c>
      <c r="E81" s="51" t="n">
        <f aca="false">1+IF($G$9=$E$9,$F$9,IF(S81&lt;($F$9-$E$9)/($G$9-$E$9),$E$9+SQRT(S81*($G$9-$E$9)*($F$9-$E$9)),$G$9-SQRT((1-S81)*($G$9-$E$9)*($G$9-$F$9))))</f>
        <v>0.995302664242194</v>
      </c>
      <c r="F81" s="51" t="n">
        <f aca="false">1+IF($G$10=$E$10,$F$10,IF(T81&lt;($F$10-$E$10)/($G$10-$E$10),$E$10+SQRT(T81*($G$10-$E$10)*($F$10-$E$10)),$G$10-SQRT((1-T81)*($G$10-$E$10)*($G$10-$F$10))))</f>
        <v>1.07934162286106</v>
      </c>
      <c r="G81" s="52" t="n">
        <f aca="false">IF($G$11=$E$11,$F$11,IF(U81&lt;($F$11-$E$11)/($G$11-$E$11),$E$11+SQRT(U81*($G$11-$E$11)*($F$11-$E$11)),$G$11-SQRT((1-U81)*($G$11-$E$11)*($G$11-$F$11))))</f>
        <v>0.102528929657966</v>
      </c>
      <c r="H81" s="53" t="n">
        <f aca="false">(('Business Case'!B11*$C81*'Business Case'!B12*$B81)-'Business Case'!B11*$C81*'Business Case'!B13*$D81-'Business Case'!B14*$E81)-MAX(0,(('Business Case'!B11*$C81*'Business Case'!B12*$B81)-'Business Case'!B11*$C81*'Business Case'!B13*$D81-'Business Case'!B14*$E81))*'Business Case'!$B$7-'Business Case'!$B$8*('Business Case'!B11*$C81*'Business Case'!B12*$B81)-'Business Case'!B15*$F81</f>
        <v>-2158683245.72211</v>
      </c>
      <c r="I81" s="53" t="n">
        <f aca="false">(('Business Case'!C11*$C81*'Business Case'!C12*$B81)-'Business Case'!C11*$C81*'Business Case'!C13*$D81-'Business Case'!C14*$E81)-MAX(0,(('Business Case'!C11*$C81*'Business Case'!C12*$B81)-'Business Case'!C11*$C81*'Business Case'!C13*$D81-'Business Case'!C14*$E81))*'Business Case'!$B$7-'Business Case'!$B$8*(('Business Case'!C11*$C81*'Business Case'!C12*$B81)-('Business Case'!B11*$C81*'Business Case'!B12*$B81))-'Business Case'!C15*$F81</f>
        <v>3537838.43880346</v>
      </c>
      <c r="J81" s="53" t="n">
        <f aca="false">(('Business Case'!D11*$C81*'Business Case'!D12*$B81)-'Business Case'!D11*$C81*'Business Case'!D13*$D81-'Business Case'!D14*$E81)-MAX(0,(('Business Case'!D11*$C81*'Business Case'!D12*$B81)-'Business Case'!D11*$C81*'Business Case'!D13*$D81-'Business Case'!D14*$E81))*'Business Case'!$B$7-'Business Case'!$B$8*(('Business Case'!D11*$C81*'Business Case'!D12*$B81)-('Business Case'!C11*$C81*'Business Case'!C12*$B81))-'Business Case'!D15*$F81</f>
        <v>310274364.712984</v>
      </c>
      <c r="K81" s="53" t="n">
        <f aca="false">(('Business Case'!E11*$C81*'Business Case'!E12*$B81)-'Business Case'!E11*$C81*'Business Case'!E13*$D81-'Business Case'!E14*$E81)-MAX(0,(('Business Case'!E11*$C81*'Business Case'!E12*$B81)-'Business Case'!E11*$C81*'Business Case'!E13*$D81-'Business Case'!E14*$E81))*'Business Case'!$B$7-'Business Case'!$B$8*(('Business Case'!E11*$C81*'Business Case'!E12*$B81)-('Business Case'!D11*$C81*'Business Case'!D12*$B81))-'Business Case'!E15*$F81</f>
        <v>670977972.130219</v>
      </c>
      <c r="L81" s="53" t="n">
        <f aca="false">(('Business Case'!F11*$C81*'Business Case'!F12*$B81)-'Business Case'!F11*$C81*'Business Case'!F13*$D81-'Business Case'!F14*$E81)-MAX(0,(('Business Case'!F11*$C81*'Business Case'!F12*$B81)-'Business Case'!F11*$C81*'Business Case'!F13*$D81-'Business Case'!F14*$E81))*'Business Case'!$B$7-'Business Case'!$B$8*(('Business Case'!F11*$C81*'Business Case'!F12*$B81)-('Business Case'!E11*$C81*'Business Case'!E12*$B81))-'Business Case'!F15*$F81</f>
        <v>809045138.6843</v>
      </c>
      <c r="M81" s="53" t="n">
        <f aca="false">(('Business Case'!G11*$C81*'Business Case'!G12*$B81)-'Business Case'!G11*$C81*'Business Case'!G13*$D81-'Business Case'!G14*$E81)-MAX(0,(('Business Case'!G11*$C81*'Business Case'!G12*$B81)-'Business Case'!G11*$C81*'Business Case'!G13*$D81-'Business Case'!G14*$E81))*'Business Case'!$B$7-'Business Case'!$B$8*(('Business Case'!G11*$C81*'Business Case'!G12*$B81)-('Business Case'!F11*$C81*'Business Case'!F12*$B81))-'Business Case'!G15*$F81+'Business Case'!$B$8*('Business Case'!G11*$C81*'Business Case'!G12*$B81)</f>
        <v>1006064256.56242</v>
      </c>
      <c r="N81" s="53" t="n">
        <f aca="false">IF(COUNT('Business Case'!B11:G11)=0,"",H81+NPV(G81,I81:M81))</f>
        <v>-234478356.106468</v>
      </c>
      <c r="P81" s="54" t="n">
        <f aca="true">RAND()</f>
        <v>0.620549600367773</v>
      </c>
      <c r="Q81" s="54" t="n">
        <f aca="true">RAND()</f>
        <v>0.767145809240925</v>
      </c>
      <c r="R81" s="54" t="n">
        <f aca="true">RAND()</f>
        <v>0.642645428296448</v>
      </c>
      <c r="S81" s="54" t="n">
        <f aca="true">RAND()</f>
        <v>0.273644184992123</v>
      </c>
      <c r="T81" s="54" t="n">
        <f aca="true">RAND()</f>
        <v>0.708831120523932</v>
      </c>
      <c r="U81" s="54" t="n">
        <f aca="true">RAND()</f>
        <v>0.491269501839523</v>
      </c>
    </row>
    <row r="82" customFormat="false" ht="15" hidden="false" customHeight="false" outlineLevel="0" collapsed="false">
      <c r="A82" s="50" t="n">
        <v>2</v>
      </c>
      <c r="B82" s="51" t="n">
        <f aca="false">1+IF($G$6=$E$6,$F$6,IF(P82&lt;($F$6-$E$6)/($G$6-$E$6),$E$6+SQRT(P82*($G$6-$E$6)*($F$6-$E$6)),$G$6-SQRT((1-P82)*($G$6-$E$6)*($G$6-$F$6))))</f>
        <v>0.958150937445603</v>
      </c>
      <c r="C82" s="51" t="n">
        <f aca="false">1+IF($G$7=$E$7,$F$7,IF(Q82&lt;($F$7-$E$7)/($G$7-$E$7),$E$7+SQRT(Q82*($G$7-$E$7)*($F$7-$E$7)),$G$7-SQRT((1-Q82)*($G$7-$E$7)*($G$7-$F$7))))</f>
        <v>0.942020261671902</v>
      </c>
      <c r="D82" s="51" t="n">
        <f aca="false">1+IF($G$8=$E$8,$F$8,IF(R82&lt;($F$8-$E$8)/($G$8-$E$8),$E$8+SQRT(R82*($G$8-$E$8)*($F$8-$E$8)),$G$8-SQRT((1-R82)*($G$8-$E$8)*($G$8-$F$8))))</f>
        <v>0.960608917854691</v>
      </c>
      <c r="E82" s="51" t="n">
        <f aca="false">1+IF($G$9=$E$9,$F$9,IF(S82&lt;($F$9-$E$9)/($G$9-$E$9),$E$9+SQRT(S82*($G$9-$E$9)*($F$9-$E$9)),$G$9-SQRT((1-S82)*($G$9-$E$9)*($G$9-$F$9))))</f>
        <v>1.03044155327207</v>
      </c>
      <c r="F82" s="51" t="n">
        <f aca="false">1+IF($G$10=$E$10,$F$10,IF(T82&lt;($F$10-$E$10)/($G$10-$E$10),$E$10+SQRT(T82*($G$10-$E$10)*($F$10-$E$10)),$G$10-SQRT((1-T82)*($G$10-$E$10)*($G$10-$F$10))))</f>
        <v>1.03259772852811</v>
      </c>
      <c r="G82" s="52" t="n">
        <f aca="false">IF($G$11=$E$11,$F$11,IF(U82&lt;($F$11-$E$11)/($G$11-$E$11),$E$11+SQRT(U82*($G$11-$E$11)*($F$11-$E$11)),$G$11-SQRT((1-U82)*($G$11-$E$11)*($G$11-$F$11))))</f>
        <v>0.106343852676949</v>
      </c>
      <c r="H82" s="53" t="n">
        <f aca="false">(('Business Case'!B11*$C82*'Business Case'!B12*$B82)-'Business Case'!B11*$C82*'Business Case'!B13*$D82-'Business Case'!B14*$E82)-MAX(0,(('Business Case'!B11*$C82*'Business Case'!B12*$B82)-'Business Case'!B11*$C82*'Business Case'!B13*$D82-'Business Case'!B14*$E82))*'Business Case'!$B$7-'Business Case'!$B$8*('Business Case'!B11*$C82*'Business Case'!B12*$B82)-'Business Case'!B15*$F82</f>
        <v>-2065195457.05623</v>
      </c>
      <c r="I82" s="53" t="n">
        <f aca="false">(('Business Case'!C11*$C82*'Business Case'!C12*$B82)-'Business Case'!C11*$C82*'Business Case'!C13*$D82-'Business Case'!C14*$E82)-MAX(0,(('Business Case'!C11*$C82*'Business Case'!C12*$B82)-'Business Case'!C11*$C82*'Business Case'!C13*$D82-'Business Case'!C14*$E82))*'Business Case'!$B$7-'Business Case'!$B$8*(('Business Case'!C11*$C82*'Business Case'!C12*$B82)-('Business Case'!B11*$C82*'Business Case'!B12*$B82))-'Business Case'!C15*$F82</f>
        <v>-20529898.13527</v>
      </c>
      <c r="J82" s="53" t="n">
        <f aca="false">(('Business Case'!D11*$C82*'Business Case'!D12*$B82)-'Business Case'!D11*$C82*'Business Case'!D13*$D82-'Business Case'!D14*$E82)-MAX(0,(('Business Case'!D11*$C82*'Business Case'!D12*$B82)-'Business Case'!D11*$C82*'Business Case'!D13*$D82-'Business Case'!D14*$E82))*'Business Case'!$B$7-'Business Case'!$B$8*(('Business Case'!D11*$C82*'Business Case'!D12*$B82)-('Business Case'!C11*$C82*'Business Case'!C12*$B82))-'Business Case'!D15*$F82</f>
        <v>255519424.876381</v>
      </c>
      <c r="K82" s="53" t="n">
        <f aca="false">(('Business Case'!E11*$C82*'Business Case'!E12*$B82)-'Business Case'!E11*$C82*'Business Case'!E13*$D82-'Business Case'!E14*$E82)-MAX(0,(('Business Case'!E11*$C82*'Business Case'!E12*$B82)-'Business Case'!E11*$C82*'Business Case'!E13*$D82-'Business Case'!E14*$E82))*'Business Case'!$B$7-'Business Case'!$B$8*(('Business Case'!E11*$C82*'Business Case'!E12*$B82)-('Business Case'!D11*$C82*'Business Case'!D12*$B82))-'Business Case'!E15*$F82</f>
        <v>583198634.314437</v>
      </c>
      <c r="L82" s="53" t="n">
        <f aca="false">(('Business Case'!F11*$C82*'Business Case'!F12*$B82)-'Business Case'!F11*$C82*'Business Case'!F13*$D82-'Business Case'!F14*$E82)-MAX(0,(('Business Case'!F11*$C82*'Business Case'!F12*$B82)-'Business Case'!F11*$C82*'Business Case'!F13*$D82-'Business Case'!F14*$E82))*'Business Case'!$B$7-'Business Case'!$B$8*(('Business Case'!F11*$C82*'Business Case'!F12*$B82)-('Business Case'!E11*$C82*'Business Case'!E12*$B82))-'Business Case'!F15*$F82</f>
        <v>706408848.264202</v>
      </c>
      <c r="M82" s="53" t="n">
        <f aca="false">(('Business Case'!G11*$C82*'Business Case'!G12*$B82)-'Business Case'!G11*$C82*'Business Case'!G13*$D82-'Business Case'!G14*$E82)-MAX(0,(('Business Case'!G11*$C82*'Business Case'!G12*$B82)-'Business Case'!G11*$C82*'Business Case'!G13*$D82-'Business Case'!G14*$E82))*'Business Case'!$B$7-'Business Case'!$B$8*(('Business Case'!G11*$C82*'Business Case'!G12*$B82)-('Business Case'!F11*$C82*'Business Case'!F12*$B82))-'Business Case'!G15*$F82+'Business Case'!$B$8*('Business Case'!G11*$C82*'Business Case'!G12*$B82)</f>
        <v>877974599.466547</v>
      </c>
      <c r="N82" s="53" t="n">
        <f aca="false">IF(COUNT('Business Case'!B11:G11)=0,"",H82+NPV(G82,I82:M82))</f>
        <v>-443105482.366782</v>
      </c>
      <c r="P82" s="54" t="n">
        <f aca="true">RAND()</f>
        <v>0.151613961247744</v>
      </c>
      <c r="Q82" s="54" t="n">
        <f aca="true">RAND()</f>
        <v>0.288139353219365</v>
      </c>
      <c r="R82" s="54" t="n">
        <f aca="true">RAND()</f>
        <v>0.0173152520073206</v>
      </c>
      <c r="S82" s="54" t="n">
        <f aca="true">RAND()</f>
        <v>0.677441499253137</v>
      </c>
      <c r="T82" s="54" t="n">
        <f aca="true">RAND()</f>
        <v>0.439529590121062</v>
      </c>
      <c r="U82" s="54" t="n">
        <f aca="true">RAND()</f>
        <v>0.689182733818541</v>
      </c>
    </row>
    <row r="83" customFormat="false" ht="15" hidden="false" customHeight="false" outlineLevel="0" collapsed="false">
      <c r="A83" s="50" t="n">
        <v>3</v>
      </c>
      <c r="B83" s="51" t="n">
        <f aca="false">1+IF($G$6=$E$6,$F$6,IF(P83&lt;($F$6-$E$6)/($G$6-$E$6),$E$6+SQRT(P83*($G$6-$E$6)*($F$6-$E$6)),$G$6-SQRT((1-P83)*($G$6-$E$6)*($G$6-$F$6))))</f>
        <v>0.942984668459796</v>
      </c>
      <c r="C83" s="51" t="n">
        <f aca="false">1+IF($G$7=$E$7,$F$7,IF(Q83&lt;($F$7-$E$7)/($G$7-$E$7),$E$7+SQRT(Q83*($G$7-$E$7)*($F$7-$E$7)),$G$7-SQRT((1-Q83)*($G$7-$E$7)*($G$7-$F$7))))</f>
        <v>0.990987745181049</v>
      </c>
      <c r="D83" s="51" t="n">
        <f aca="false">1+IF($G$8=$E$8,$F$8,IF(R83&lt;($F$8-$E$8)/($G$8-$E$8),$E$8+SQRT(R83*($G$8-$E$8)*($F$8-$E$8)),$G$8-SQRT((1-R83)*($G$8-$E$8)*($G$8-$F$8))))</f>
        <v>0.998698866896278</v>
      </c>
      <c r="E83" s="51" t="n">
        <f aca="false">1+IF($G$9=$E$9,$F$9,IF(S83&lt;($F$9-$E$9)/($G$9-$E$9),$E$9+SQRT(S83*($G$9-$E$9)*($F$9-$E$9)),$G$9-SQRT((1-S83)*($G$9-$E$9)*($G$9-$F$9))))</f>
        <v>0.987361099803062</v>
      </c>
      <c r="F83" s="51" t="n">
        <f aca="false">1+IF($G$10=$E$10,$F$10,IF(T83&lt;($F$10-$E$10)/($G$10-$E$10),$E$10+SQRT(T83*($G$10-$E$10)*($F$10-$E$10)),$G$10-SQRT((1-T83)*($G$10-$E$10)*($G$10-$F$10))))</f>
        <v>1.18642091022473</v>
      </c>
      <c r="G83" s="52" t="n">
        <f aca="false">IF($G$11=$E$11,$F$11,IF(U83&lt;($F$11-$E$11)/($G$11-$E$11),$E$11+SQRT(U83*($G$11-$E$11)*($F$11-$E$11)),$G$11-SQRT((1-U83)*($G$11-$E$11)*($G$11-$F$11))))</f>
        <v>0.100830932545152</v>
      </c>
      <c r="H83" s="53" t="n">
        <f aca="false">(('Business Case'!B11*$C83*'Business Case'!B12*$B83)-'Business Case'!B11*$C83*'Business Case'!B13*$D83-'Business Case'!B14*$E83)-MAX(0,(('Business Case'!B11*$C83*'Business Case'!B12*$B83)-'Business Case'!B11*$C83*'Business Case'!B13*$D83-'Business Case'!B14*$E83))*'Business Case'!$B$7-'Business Case'!$B$8*('Business Case'!B11*$C83*'Business Case'!B12*$B83)-'Business Case'!B15*$F83</f>
        <v>-2372841820.44946</v>
      </c>
      <c r="I83" s="53" t="n">
        <f aca="false">(('Business Case'!C11*$C83*'Business Case'!C12*$B83)-'Business Case'!C11*$C83*'Business Case'!C13*$D83-'Business Case'!C14*$E83)-MAX(0,(('Business Case'!C11*$C83*'Business Case'!C12*$B83)-'Business Case'!C11*$C83*'Business Case'!C13*$D83-'Business Case'!C14*$E83))*'Business Case'!$B$7-'Business Case'!$B$8*(('Business Case'!C11*$C83*'Business Case'!C12*$B83)-('Business Case'!B11*$C83*'Business Case'!B12*$B83))-'Business Case'!C15*$F83</f>
        <v>-48723457.8974955</v>
      </c>
      <c r="J83" s="53" t="n">
        <f aca="false">(('Business Case'!D11*$C83*'Business Case'!D12*$B83)-'Business Case'!D11*$C83*'Business Case'!D13*$D83-'Business Case'!D14*$E83)-MAX(0,(('Business Case'!D11*$C83*'Business Case'!D12*$B83)-'Business Case'!D11*$C83*'Business Case'!D13*$D83-'Business Case'!D14*$E83))*'Business Case'!$B$7-'Business Case'!$B$8*(('Business Case'!D11*$C83*'Business Case'!D12*$B83)-('Business Case'!C11*$C83*'Business Case'!C12*$B83))-'Business Case'!D15*$F83</f>
        <v>210041690.836961</v>
      </c>
      <c r="K83" s="53" t="n">
        <f aca="false">(('Business Case'!E11*$C83*'Business Case'!E12*$B83)-'Business Case'!E11*$C83*'Business Case'!E13*$D83-'Business Case'!E14*$E83)-MAX(0,(('Business Case'!E11*$C83*'Business Case'!E12*$B83)-'Business Case'!E11*$C83*'Business Case'!E13*$D83-'Business Case'!E14*$E83))*'Business Case'!$B$7-'Business Case'!$B$8*(('Business Case'!E11*$C83*'Business Case'!E12*$B83)-('Business Case'!D11*$C83*'Business Case'!D12*$B83))-'Business Case'!E15*$F83</f>
        <v>528127885.082655</v>
      </c>
      <c r="L83" s="53" t="n">
        <f aca="false">(('Business Case'!F11*$C83*'Business Case'!F12*$B83)-'Business Case'!F11*$C83*'Business Case'!F13*$D83-'Business Case'!F14*$E83)-MAX(0,(('Business Case'!F11*$C83*'Business Case'!F12*$B83)-'Business Case'!F11*$C83*'Business Case'!F13*$D83-'Business Case'!F14*$E83))*'Business Case'!$B$7-'Business Case'!$B$8*(('Business Case'!F11*$C83*'Business Case'!F12*$B83)-('Business Case'!E11*$C83*'Business Case'!E12*$B83))-'Business Case'!F15*$F83</f>
        <v>646678779.472463</v>
      </c>
      <c r="M83" s="53" t="n">
        <f aca="false">(('Business Case'!G11*$C83*'Business Case'!G12*$B83)-'Business Case'!G11*$C83*'Business Case'!G13*$D83-'Business Case'!G14*$E83)-MAX(0,(('Business Case'!G11*$C83*'Business Case'!G12*$B83)-'Business Case'!G11*$C83*'Business Case'!G13*$D83-'Business Case'!G14*$E83))*'Business Case'!$B$7-'Business Case'!$B$8*(('Business Case'!G11*$C83*'Business Case'!G12*$B83)-('Business Case'!F11*$C83*'Business Case'!F12*$B83))-'Business Case'!G15*$F83+'Business Case'!$B$8*('Business Case'!G11*$C83*'Business Case'!G12*$B83)</f>
        <v>824305925.936572</v>
      </c>
      <c r="N83" s="53" t="n">
        <f aca="false">IF(COUNT('Business Case'!B11:G11)=0,"",H83+NPV(G83,I83:M83))</f>
        <v>-897625204.115211</v>
      </c>
      <c r="P83" s="54" t="n">
        <f aca="true">RAND()</f>
        <v>0.0550307275215332</v>
      </c>
      <c r="Q83" s="54" t="n">
        <f aca="true">RAND()</f>
        <v>0.521090268704874</v>
      </c>
      <c r="R83" s="54" t="n">
        <f aca="true">RAND()</f>
        <v>0.36485840568945</v>
      </c>
      <c r="S83" s="54" t="n">
        <f aca="true">RAND()</f>
        <v>0.18611357046591</v>
      </c>
      <c r="T83" s="54" t="n">
        <f aca="true">RAND()</f>
        <v>0.996312166417503</v>
      </c>
      <c r="U83" s="54" t="n">
        <f aca="true">RAND()</f>
        <v>0.387578088185811</v>
      </c>
    </row>
    <row r="84" customFormat="false" ht="15" hidden="false" customHeight="false" outlineLevel="0" collapsed="false">
      <c r="A84" s="50" t="n">
        <v>4</v>
      </c>
      <c r="B84" s="51" t="n">
        <f aca="false">1+IF($G$6=$E$6,$F$6,IF(P84&lt;($F$6-$E$6)/($G$6-$E$6),$E$6+SQRT(P84*($G$6-$E$6)*($F$6-$E$6)),$G$6-SQRT((1-P84)*($G$6-$E$6)*($G$6-$F$6))))</f>
        <v>1.001904107683</v>
      </c>
      <c r="C84" s="51" t="n">
        <f aca="false">1+IF($G$7=$E$7,$F$7,IF(Q84&lt;($F$7-$E$7)/($G$7-$E$7),$E$7+SQRT(Q84*($G$7-$E$7)*($F$7-$E$7)),$G$7-SQRT((1-Q84)*($G$7-$E$7)*($G$7-$F$7))))</f>
        <v>0.970777446731072</v>
      </c>
      <c r="D84" s="51" t="n">
        <f aca="false">1+IF($G$8=$E$8,$F$8,IF(R84&lt;($F$8-$E$8)/($G$8-$E$8),$E$8+SQRT(R84*($G$8-$E$8)*($F$8-$E$8)),$G$8-SQRT((1-R84)*($G$8-$E$8)*($G$8-$F$8))))</f>
        <v>0.982109714688304</v>
      </c>
      <c r="E84" s="51" t="n">
        <f aca="false">1+IF($G$9=$E$9,$F$9,IF(S84&lt;($F$9-$E$9)/($G$9-$E$9),$E$9+SQRT(S84*($G$9-$E$9)*($F$9-$E$9)),$G$9-SQRT((1-S84)*($G$9-$E$9)*($G$9-$F$9))))</f>
        <v>0.991376057279828</v>
      </c>
      <c r="F84" s="51" t="n">
        <f aca="false">1+IF($G$10=$E$10,$F$10,IF(T84&lt;($F$10-$E$10)/($G$10-$E$10),$E$10+SQRT(T84*($G$10-$E$10)*($F$10-$E$10)),$G$10-SQRT((1-T84)*($G$10-$E$10)*($G$10-$F$10))))</f>
        <v>1.13875919213438</v>
      </c>
      <c r="G84" s="52" t="n">
        <f aca="false">IF($G$11=$E$11,$F$11,IF(U84&lt;($F$11-$E$11)/($G$11-$E$11),$E$11+SQRT(U84*($G$11-$E$11)*($F$11-$E$11)),$G$11-SQRT((1-U84)*($G$11-$E$11)*($G$11-$F$11))))</f>
        <v>0.100375093954629</v>
      </c>
      <c r="H84" s="53" t="n">
        <f aca="false">(('Business Case'!B11*$C84*'Business Case'!B12*$B84)-'Business Case'!B11*$C84*'Business Case'!B13*$D84-'Business Case'!B14*$E84)-MAX(0,(('Business Case'!B11*$C84*'Business Case'!B12*$B84)-'Business Case'!B11*$C84*'Business Case'!B13*$D84-'Business Case'!B14*$E84))*'Business Case'!$B$7-'Business Case'!$B$8*('Business Case'!B11*$C84*'Business Case'!B12*$B84)-'Business Case'!B15*$F84</f>
        <v>-2277518384.26877</v>
      </c>
      <c r="I84" s="53" t="n">
        <f aca="false">(('Business Case'!C11*$C84*'Business Case'!C12*$B84)-'Business Case'!C11*$C84*'Business Case'!C13*$D84-'Business Case'!C14*$E84)-MAX(0,(('Business Case'!C11*$C84*'Business Case'!C12*$B84)-'Business Case'!C11*$C84*'Business Case'!C13*$D84-'Business Case'!C14*$E84))*'Business Case'!$B$7-'Business Case'!$B$8*(('Business Case'!C11*$C84*'Business Case'!C12*$B84)-('Business Case'!B11*$C84*'Business Case'!B12*$B84))-'Business Case'!C15*$F84</f>
        <v>3310501.43782181</v>
      </c>
      <c r="J84" s="53" t="n">
        <f aca="false">(('Business Case'!D11*$C84*'Business Case'!D12*$B84)-'Business Case'!D11*$C84*'Business Case'!D13*$D84-'Business Case'!D14*$E84)-MAX(0,(('Business Case'!D11*$C84*'Business Case'!D12*$B84)-'Business Case'!D11*$C84*'Business Case'!D13*$D84-'Business Case'!D14*$E84))*'Business Case'!$B$7-'Business Case'!$B$8*(('Business Case'!D11*$C84*'Business Case'!D12*$B84)-('Business Case'!C11*$C84*'Business Case'!C12*$B84))-'Business Case'!D15*$F84</f>
        <v>311891524.687775</v>
      </c>
      <c r="K84" s="53" t="n">
        <f aca="false">(('Business Case'!E11*$C84*'Business Case'!E12*$B84)-'Business Case'!E11*$C84*'Business Case'!E13*$D84-'Business Case'!E14*$E84)-MAX(0,(('Business Case'!E11*$C84*'Business Case'!E12*$B84)-'Business Case'!E11*$C84*'Business Case'!E13*$D84-'Business Case'!E14*$E84))*'Business Case'!$B$7-'Business Case'!$B$8*(('Business Case'!E11*$C84*'Business Case'!E12*$B84)-('Business Case'!D11*$C84*'Business Case'!D12*$B84))-'Business Case'!E15*$F84</f>
        <v>677410507.544447</v>
      </c>
      <c r="L84" s="53" t="n">
        <f aca="false">(('Business Case'!F11*$C84*'Business Case'!F12*$B84)-'Business Case'!F11*$C84*'Business Case'!F13*$D84-'Business Case'!F14*$E84)-MAX(0,(('Business Case'!F11*$C84*'Business Case'!F12*$B84)-'Business Case'!F11*$C84*'Business Case'!F13*$D84-'Business Case'!F14*$E84))*'Business Case'!$B$7-'Business Case'!$B$8*(('Business Case'!F11*$C84*'Business Case'!F12*$B84)-('Business Case'!E11*$C84*'Business Case'!E12*$B84))-'Business Case'!F15*$F84</f>
        <v>813884800.130099</v>
      </c>
      <c r="M84" s="53" t="n">
        <f aca="false">(('Business Case'!G11*$C84*'Business Case'!G12*$B84)-'Business Case'!G11*$C84*'Business Case'!G13*$D84-'Business Case'!G14*$E84)-MAX(0,(('Business Case'!G11*$C84*'Business Case'!G12*$B84)-'Business Case'!G11*$C84*'Business Case'!G13*$D84-'Business Case'!G14*$E84))*'Business Case'!$B$7-'Business Case'!$B$8*(('Business Case'!G11*$C84*'Business Case'!G12*$B84)-('Business Case'!F11*$C84*'Business Case'!F12*$B84))-'Business Case'!G15*$F84+'Business Case'!$B$8*('Business Case'!G11*$C84*'Business Case'!G12*$B84)</f>
        <v>998761533.392936</v>
      </c>
      <c r="N84" s="53" t="n">
        <f aca="false">IF(COUNT('Business Case'!B11:G11)=0,"",H84+NPV(G84,I84:M84))</f>
        <v>-334262965.11705</v>
      </c>
      <c r="P84" s="54" t="n">
        <f aca="true">RAND()</f>
        <v>0.69764645595235</v>
      </c>
      <c r="Q84" s="54" t="n">
        <f aca="true">RAND()</f>
        <v>0.41664194731406</v>
      </c>
      <c r="R84" s="54" t="n">
        <f aca="true">RAND()</f>
        <v>0.158620581132967</v>
      </c>
      <c r="S84" s="54" t="n">
        <f aca="true">RAND()</f>
        <v>0.228263748803142</v>
      </c>
      <c r="T84" s="54" t="n">
        <f aca="true">RAND()</f>
        <v>0.924991269039333</v>
      </c>
      <c r="U84" s="54" t="n">
        <f aca="true">RAND()</f>
        <v>0.358105104517279</v>
      </c>
    </row>
    <row r="85" customFormat="false" ht="15" hidden="false" customHeight="false" outlineLevel="0" collapsed="false">
      <c r="A85" s="50" t="n">
        <v>5</v>
      </c>
      <c r="B85" s="51" t="n">
        <f aca="false">1+IF($G$6=$E$6,$F$6,IF(P85&lt;($F$6-$E$6)/($G$6-$E$6),$E$6+SQRT(P85*($G$6-$E$6)*($F$6-$E$6)),$G$6-SQRT((1-P85)*($G$6-$E$6)*($G$6-$F$6))))</f>
        <v>0.943148882706194</v>
      </c>
      <c r="C85" s="51" t="n">
        <f aca="false">1+IF($G$7=$E$7,$F$7,IF(Q85&lt;($F$7-$E$7)/($G$7-$E$7),$E$7+SQRT(Q85*($G$7-$E$7)*($F$7-$E$7)),$G$7-SQRT((1-Q85)*($G$7-$E$7)*($G$7-$F$7))))</f>
        <v>0.895335732094297</v>
      </c>
      <c r="D85" s="51" t="n">
        <f aca="false">1+IF($G$8=$E$8,$F$8,IF(R85&lt;($F$8-$E$8)/($G$8-$E$8),$E$8+SQRT(R85*($G$8-$E$8)*($F$8-$E$8)),$G$8-SQRT((1-R85)*($G$8-$E$8)*($G$8-$F$8))))</f>
        <v>0.973877507803126</v>
      </c>
      <c r="E85" s="51" t="n">
        <f aca="false">1+IF($G$9=$E$9,$F$9,IF(S85&lt;($F$9-$E$9)/($G$9-$E$9),$E$9+SQRT(S85*($G$9-$E$9)*($F$9-$E$9)),$G$9-SQRT((1-S85)*($G$9-$E$9)*($G$9-$F$9))))</f>
        <v>0.978732774437753</v>
      </c>
      <c r="F85" s="51" t="n">
        <f aca="false">1+IF($G$10=$E$10,$F$10,IF(T85&lt;($F$10-$E$10)/($G$10-$E$10),$E$10+SQRT(T85*($G$10-$E$10)*($F$10-$E$10)),$G$10-SQRT((1-T85)*($G$10-$E$10)*($G$10-$F$10))))</f>
        <v>1.02978975898501</v>
      </c>
      <c r="G85" s="52" t="n">
        <f aca="false">IF($G$11=$E$11,$F$11,IF(U85&lt;($F$11-$E$11)/($G$11-$E$11),$E$11+SQRT(U85*($G$11-$E$11)*($F$11-$E$11)),$G$11-SQRT((1-U85)*($G$11-$E$11)*($G$11-$F$11))))</f>
        <v>0.10560480759024</v>
      </c>
      <c r="H85" s="53" t="n">
        <f aca="false">(('Business Case'!B11*$C85*'Business Case'!B12*$B85)-'Business Case'!B11*$C85*'Business Case'!B13*$D85-'Business Case'!B14*$E85)-MAX(0,(('Business Case'!B11*$C85*'Business Case'!B12*$B85)-'Business Case'!B11*$C85*'Business Case'!B13*$D85-'Business Case'!B14*$E85))*'Business Case'!$B$7-'Business Case'!$B$8*('Business Case'!B11*$C85*'Business Case'!B12*$B85)-'Business Case'!B15*$F85</f>
        <v>-2059579517.97003</v>
      </c>
      <c r="I85" s="53" t="n">
        <f aca="false">(('Business Case'!C11*$C85*'Business Case'!C12*$B85)-'Business Case'!C11*$C85*'Business Case'!C13*$D85-'Business Case'!C14*$E85)-MAX(0,(('Business Case'!C11*$C85*'Business Case'!C12*$B85)-'Business Case'!C11*$C85*'Business Case'!C13*$D85-'Business Case'!C14*$E85))*'Business Case'!$B$7-'Business Case'!$B$8*(('Business Case'!C11*$C85*'Business Case'!C12*$B85)-('Business Case'!B11*$C85*'Business Case'!B12*$B85))-'Business Case'!C15*$F85</f>
        <v>-40644580.67781</v>
      </c>
      <c r="J85" s="53" t="n">
        <f aca="false">(('Business Case'!D11*$C85*'Business Case'!D12*$B85)-'Business Case'!D11*$C85*'Business Case'!D13*$D85-'Business Case'!D14*$E85)-MAX(0,(('Business Case'!D11*$C85*'Business Case'!D12*$B85)-'Business Case'!D11*$C85*'Business Case'!D13*$D85-'Business Case'!D14*$E85))*'Business Case'!$B$7-'Business Case'!$B$8*(('Business Case'!D11*$C85*'Business Case'!D12*$B85)-('Business Case'!C11*$C85*'Business Case'!C12*$B85))-'Business Case'!D15*$F85</f>
        <v>204641120.043997</v>
      </c>
      <c r="K85" s="53" t="n">
        <f aca="false">(('Business Case'!E11*$C85*'Business Case'!E12*$B85)-'Business Case'!E11*$C85*'Business Case'!E13*$D85-'Business Case'!E14*$E85)-MAX(0,(('Business Case'!E11*$C85*'Business Case'!E12*$B85)-'Business Case'!E11*$C85*'Business Case'!E13*$D85-'Business Case'!E14*$E85))*'Business Case'!$B$7-'Business Case'!$B$8*(('Business Case'!E11*$C85*'Business Case'!E12*$B85)-('Business Case'!D11*$C85*'Business Case'!D12*$B85))-'Business Case'!E15*$F85</f>
        <v>501416308.715055</v>
      </c>
      <c r="L85" s="53" t="n">
        <f aca="false">(('Business Case'!F11*$C85*'Business Case'!F12*$B85)-'Business Case'!F11*$C85*'Business Case'!F13*$D85-'Business Case'!F14*$E85)-MAX(0,(('Business Case'!F11*$C85*'Business Case'!F12*$B85)-'Business Case'!F11*$C85*'Business Case'!F13*$D85-'Business Case'!F14*$E85))*'Business Case'!$B$7-'Business Case'!$B$8*(('Business Case'!F11*$C85*'Business Case'!F12*$B85)-('Business Case'!E11*$C85*'Business Case'!E12*$B85))-'Business Case'!F15*$F85</f>
        <v>612361878.939702</v>
      </c>
      <c r="M85" s="53" t="n">
        <f aca="false">(('Business Case'!G11*$C85*'Business Case'!G12*$B85)-'Business Case'!G11*$C85*'Business Case'!G13*$D85-'Business Case'!G14*$E85)-MAX(0,(('Business Case'!G11*$C85*'Business Case'!G12*$B85)-'Business Case'!G11*$C85*'Business Case'!G13*$D85-'Business Case'!G14*$E85))*'Business Case'!$B$7-'Business Case'!$B$8*(('Business Case'!G11*$C85*'Business Case'!G12*$B85)-('Business Case'!F11*$C85*'Business Case'!F12*$B85))-'Business Case'!G15*$F85+'Business Case'!$B$8*('Business Case'!G11*$C85*'Business Case'!G12*$B85)</f>
        <v>772872063.851949</v>
      </c>
      <c r="N85" s="53" t="n">
        <f aca="false">IF(COUNT('Business Case'!B11:G11)=0,"",H85+NPV(G85,I85:M85))</f>
        <v>-680220195.077308</v>
      </c>
      <c r="P85" s="54" t="n">
        <f aca="true">RAND()</f>
        <v>0.055819871931783</v>
      </c>
      <c r="Q85" s="54" t="n">
        <f aca="true">RAND()</f>
        <v>0.12984145448508</v>
      </c>
      <c r="R85" s="54" t="n">
        <f aca="true">RAND()</f>
        <v>0.0877131352135891</v>
      </c>
      <c r="S85" s="54" t="n">
        <f aca="true">RAND()</f>
        <v>0.110076310252108</v>
      </c>
      <c r="T85" s="54" t="n">
        <f aca="true">RAND()</f>
        <v>0.420569477072406</v>
      </c>
      <c r="U85" s="54" t="n">
        <f aca="true">RAND()</f>
        <v>0.654630725809999</v>
      </c>
    </row>
    <row r="86" customFormat="false" ht="15" hidden="false" customHeight="false" outlineLevel="0" collapsed="false">
      <c r="A86" s="50" t="n">
        <v>6</v>
      </c>
      <c r="B86" s="51" t="n">
        <f aca="false">1+IF($G$6=$E$6,$F$6,IF(P86&lt;($F$6-$E$6)/($G$6-$E$6),$E$6+SQRT(P86*($G$6-$E$6)*($F$6-$E$6)),$G$6-SQRT((1-P86)*($G$6-$E$6)*($G$6-$F$6))))</f>
        <v>1.0141577237432</v>
      </c>
      <c r="C86" s="51" t="n">
        <f aca="false">1+IF($G$7=$E$7,$F$7,IF(Q86&lt;($F$7-$E$7)/($G$7-$E$7),$E$7+SQRT(Q86*($G$7-$E$7)*($F$7-$E$7)),$G$7-SQRT((1-Q86)*($G$7-$E$7)*($G$7-$F$7))))</f>
        <v>1.07255451800042</v>
      </c>
      <c r="D86" s="51" t="n">
        <f aca="false">1+IF($G$8=$E$8,$F$8,IF(R86&lt;($F$8-$E$8)/($G$8-$E$8),$E$8+SQRT(R86*($G$8-$E$8)*($F$8-$E$8)),$G$8-SQRT((1-R86)*($G$8-$E$8)*($G$8-$F$8))))</f>
        <v>0.976598436839985</v>
      </c>
      <c r="E86" s="51" t="n">
        <f aca="false">1+IF($G$9=$E$9,$F$9,IF(S86&lt;($F$9-$E$9)/($G$9-$E$9),$E$9+SQRT(S86*($G$9-$E$9)*($F$9-$E$9)),$G$9-SQRT((1-S86)*($G$9-$E$9)*($G$9-$F$9))))</f>
        <v>1.00122876419593</v>
      </c>
      <c r="F86" s="51" t="n">
        <f aca="false">1+IF($G$10=$E$10,$F$10,IF(T86&lt;($F$10-$E$10)/($G$10-$E$10),$E$10+SQRT(T86*($G$10-$E$10)*($F$10-$E$10)),$G$10-SQRT((1-T86)*($G$10-$E$10)*($G$10-$F$10))))</f>
        <v>1.00099716895854</v>
      </c>
      <c r="G86" s="52" t="n">
        <f aca="false">IF($G$11=$E$11,$F$11,IF(U86&lt;($F$11-$E$11)/($G$11-$E$11),$E$11+SQRT(U86*($G$11-$E$11)*($F$11-$E$11)),$G$11-SQRT((1-U86)*($G$11-$E$11)*($G$11-$F$11))))</f>
        <v>0.0952766178331684</v>
      </c>
      <c r="H86" s="53" t="n">
        <f aca="false">(('Business Case'!B11*$C86*'Business Case'!B12*$B86)-'Business Case'!B11*$C86*'Business Case'!B13*$D86-'Business Case'!B14*$E86)-MAX(0,(('Business Case'!B11*$C86*'Business Case'!B12*$B86)-'Business Case'!B11*$C86*'Business Case'!B13*$D86-'Business Case'!B14*$E86))*'Business Case'!$B$7-'Business Case'!$B$8*('Business Case'!B11*$C86*'Business Case'!B12*$B86)-'Business Case'!B15*$F86</f>
        <v>-2001994337.91709</v>
      </c>
      <c r="I86" s="53" t="n">
        <f aca="false">(('Business Case'!C11*$C86*'Business Case'!C12*$B86)-'Business Case'!C11*$C86*'Business Case'!C13*$D86-'Business Case'!C14*$E86)-MAX(0,(('Business Case'!C11*$C86*'Business Case'!C12*$B86)-'Business Case'!C11*$C86*'Business Case'!C13*$D86-'Business Case'!C14*$E86))*'Business Case'!$B$7-'Business Case'!$B$8*(('Business Case'!C11*$C86*'Business Case'!C12*$B86)-('Business Case'!B11*$C86*'Business Case'!B12*$B86))-'Business Case'!C15*$F86</f>
        <v>55860868.2018731</v>
      </c>
      <c r="J86" s="53" t="n">
        <f aca="false">(('Business Case'!D11*$C86*'Business Case'!D12*$B86)-'Business Case'!D11*$C86*'Business Case'!D13*$D86-'Business Case'!D14*$E86)-MAX(0,(('Business Case'!D11*$C86*'Business Case'!D12*$B86)-'Business Case'!D11*$C86*'Business Case'!D13*$D86-'Business Case'!D14*$E86))*'Business Case'!$B$7-'Business Case'!$B$8*(('Business Case'!D11*$C86*'Business Case'!D12*$B86)-('Business Case'!C11*$C86*'Business Case'!C12*$B86))-'Business Case'!D15*$F86</f>
        <v>410584596.581913</v>
      </c>
      <c r="K86" s="53" t="n">
        <f aca="false">(('Business Case'!E11*$C86*'Business Case'!E12*$B86)-'Business Case'!E11*$C86*'Business Case'!E13*$D86-'Business Case'!E14*$E86)-MAX(0,(('Business Case'!E11*$C86*'Business Case'!E12*$B86)-'Business Case'!E11*$C86*'Business Case'!E13*$D86-'Business Case'!E14*$E86))*'Business Case'!$B$7-'Business Case'!$B$8*(('Business Case'!E11*$C86*'Business Case'!E12*$B86)-('Business Case'!D11*$C86*'Business Case'!D12*$B86))-'Business Case'!E15*$F86</f>
        <v>815358183.40988</v>
      </c>
      <c r="L86" s="53" t="n">
        <f aca="false">(('Business Case'!F11*$C86*'Business Case'!F12*$B86)-'Business Case'!F11*$C86*'Business Case'!F13*$D86-'Business Case'!F14*$E86)-MAX(0,(('Business Case'!F11*$C86*'Business Case'!F12*$B86)-'Business Case'!F11*$C86*'Business Case'!F13*$D86-'Business Case'!F14*$E86))*'Business Case'!$B$7-'Business Case'!$B$8*(('Business Case'!F11*$C86*'Business Case'!F12*$B86)-('Business Case'!E11*$C86*'Business Case'!E12*$B86))-'Business Case'!F15*$F86</f>
        <v>971191701.54566</v>
      </c>
      <c r="M86" s="53" t="n">
        <f aca="false">(('Business Case'!G11*$C86*'Business Case'!G12*$B86)-'Business Case'!G11*$C86*'Business Case'!G13*$D86-'Business Case'!G14*$E86)-MAX(0,(('Business Case'!G11*$C86*'Business Case'!G12*$B86)-'Business Case'!G11*$C86*'Business Case'!G13*$D86-'Business Case'!G14*$E86))*'Business Case'!$B$7-'Business Case'!$B$8*(('Business Case'!G11*$C86*'Business Case'!G12*$B86)-('Business Case'!F11*$C86*'Business Case'!F12*$B86))-'Business Case'!G15*$F86+'Business Case'!$B$8*('Business Case'!G11*$C86*'Business Case'!G12*$B86)</f>
        <v>1177949215.92905</v>
      </c>
      <c r="N86" s="53" t="n">
        <f aca="false">IF(COUNT('Business Case'!B11:G11)=0,"",H86+NPV(G86,I86:M86))</f>
        <v>433991989.982134</v>
      </c>
      <c r="P86" s="54" t="n">
        <f aca="true">RAND()</f>
        <v>0.860870157888999</v>
      </c>
      <c r="Q86" s="54" t="n">
        <f aca="true">RAND()</f>
        <v>0.885756139387669</v>
      </c>
      <c r="R86" s="54" t="n">
        <f aca="true">RAND()</f>
        <v>0.108842591127795</v>
      </c>
      <c r="S86" s="54" t="n">
        <f aca="true">RAND()</f>
        <v>0.349616198515843</v>
      </c>
      <c r="T86" s="54" t="n">
        <f aca="true">RAND()</f>
        <v>0.207957464749713</v>
      </c>
      <c r="U86" s="54" t="n">
        <f aca="true">RAND()</f>
        <v>0.0928089858577018</v>
      </c>
    </row>
    <row r="87" customFormat="false" ht="15" hidden="false" customHeight="false" outlineLevel="0" collapsed="false">
      <c r="A87" s="50" t="n">
        <v>7</v>
      </c>
      <c r="B87" s="51" t="n">
        <f aca="false">1+IF($G$6=$E$6,$F$6,IF(P87&lt;($F$6-$E$6)/($G$6-$E$6),$E$6+SQRT(P87*($G$6-$E$6)*($F$6-$E$6)),$G$6-SQRT((1-P87)*($G$6-$E$6)*($G$6-$F$6))))</f>
        <v>0.946493487382862</v>
      </c>
      <c r="C87" s="51" t="n">
        <f aca="false">1+IF($G$7=$E$7,$F$7,IF(Q87&lt;($F$7-$E$7)/($G$7-$E$7),$E$7+SQRT(Q87*($G$7-$E$7)*($F$7-$E$7)),$G$7-SQRT((1-Q87)*($G$7-$E$7)*($G$7-$F$7))))</f>
        <v>0.959361944113952</v>
      </c>
      <c r="D87" s="51" t="n">
        <f aca="false">1+IF($G$8=$E$8,$F$8,IF(R87&lt;($F$8-$E$8)/($G$8-$E$8),$E$8+SQRT(R87*($G$8-$E$8)*($F$8-$E$8)),$G$8-SQRT((1-R87)*($G$8-$E$8)*($G$8-$F$8))))</f>
        <v>1.01790446404805</v>
      </c>
      <c r="E87" s="51" t="n">
        <f aca="false">1+IF($G$9=$E$9,$F$9,IF(S87&lt;($F$9-$E$9)/($G$9-$E$9),$E$9+SQRT(S87*($G$9-$E$9)*($F$9-$E$9)),$G$9-SQRT((1-S87)*($G$9-$E$9)*($G$9-$F$9))))</f>
        <v>0.976491113779958</v>
      </c>
      <c r="F87" s="51" t="n">
        <f aca="false">1+IF($G$10=$E$10,$F$10,IF(T87&lt;($F$10-$E$10)/($G$10-$E$10),$E$10+SQRT(T87*($G$10-$E$10)*($F$10-$E$10)),$G$10-SQRT((1-T87)*($G$10-$E$10)*($G$10-$F$10))))</f>
        <v>1.15954030158329</v>
      </c>
      <c r="G87" s="52" t="n">
        <f aca="false">IF($G$11=$E$11,$F$11,IF(U87&lt;($F$11-$E$11)/($G$11-$E$11),$E$11+SQRT(U87*($G$11-$E$11)*($F$11-$E$11)),$G$11-SQRT((1-U87)*($G$11-$E$11)*($G$11-$F$11))))</f>
        <v>0.0968429914591195</v>
      </c>
      <c r="H87" s="53" t="n">
        <f aca="false">(('Business Case'!B11*$C87*'Business Case'!B12*$B87)-'Business Case'!B11*$C87*'Business Case'!B13*$D87-'Business Case'!B14*$E87)-MAX(0,(('Business Case'!B11*$C87*'Business Case'!B12*$B87)-'Business Case'!B11*$C87*'Business Case'!B13*$D87-'Business Case'!B14*$E87))*'Business Case'!$B$7-'Business Case'!$B$8*('Business Case'!B11*$C87*'Business Case'!B12*$B87)-'Business Case'!B15*$F87</f>
        <v>-2319080603.16657</v>
      </c>
      <c r="I87" s="53" t="n">
        <f aca="false">(('Business Case'!C11*$C87*'Business Case'!C12*$B87)-'Business Case'!C11*$C87*'Business Case'!C13*$D87-'Business Case'!C14*$E87)-MAX(0,(('Business Case'!C11*$C87*'Business Case'!C12*$B87)-'Business Case'!C11*$C87*'Business Case'!C13*$D87-'Business Case'!C14*$E87))*'Business Case'!$B$7-'Business Case'!$B$8*(('Business Case'!C11*$C87*'Business Case'!C12*$B87)-('Business Case'!B11*$C87*'Business Case'!B12*$B87))-'Business Case'!C15*$F87</f>
        <v>-58051267.6980491</v>
      </c>
      <c r="J87" s="53" t="n">
        <f aca="false">(('Business Case'!D11*$C87*'Business Case'!D12*$B87)-'Business Case'!D11*$C87*'Business Case'!D13*$D87-'Business Case'!D14*$E87)-MAX(0,(('Business Case'!D11*$C87*'Business Case'!D12*$B87)-'Business Case'!D11*$C87*'Business Case'!D13*$D87-'Business Case'!D14*$E87))*'Business Case'!$B$7-'Business Case'!$B$8*(('Business Case'!D11*$C87*'Business Case'!D12*$B87)-('Business Case'!C11*$C87*'Business Case'!C12*$B87))-'Business Case'!D15*$F87</f>
        <v>185780797.640232</v>
      </c>
      <c r="K87" s="53" t="n">
        <f aca="false">(('Business Case'!E11*$C87*'Business Case'!E12*$B87)-'Business Case'!E11*$C87*'Business Case'!E13*$D87-'Business Case'!E14*$E87)-MAX(0,(('Business Case'!E11*$C87*'Business Case'!E12*$B87)-'Business Case'!E11*$C87*'Business Case'!E13*$D87-'Business Case'!E14*$E87))*'Business Case'!$B$7-'Business Case'!$B$8*(('Business Case'!E11*$C87*'Business Case'!E12*$B87)-('Business Case'!D11*$C87*'Business Case'!D12*$B87))-'Business Case'!E15*$F87</f>
        <v>487589878.057676</v>
      </c>
      <c r="L87" s="53" t="n">
        <f aca="false">(('Business Case'!F11*$C87*'Business Case'!F12*$B87)-'Business Case'!F11*$C87*'Business Case'!F13*$D87-'Business Case'!F14*$E87)-MAX(0,(('Business Case'!F11*$C87*'Business Case'!F12*$B87)-'Business Case'!F11*$C87*'Business Case'!F13*$D87-'Business Case'!F14*$E87))*'Business Case'!$B$7-'Business Case'!$B$8*(('Business Case'!F11*$C87*'Business Case'!F12*$B87)-('Business Case'!E11*$C87*'Business Case'!E12*$B87))-'Business Case'!F15*$F87</f>
        <v>600248744.169431</v>
      </c>
      <c r="M87" s="53" t="n">
        <f aca="false">(('Business Case'!G11*$C87*'Business Case'!G12*$B87)-'Business Case'!G11*$C87*'Business Case'!G13*$D87-'Business Case'!G14*$E87)-MAX(0,(('Business Case'!G11*$C87*'Business Case'!G12*$B87)-'Business Case'!G11*$C87*'Business Case'!G13*$D87-'Business Case'!G14*$E87))*'Business Case'!$B$7-'Business Case'!$B$8*(('Business Case'!G11*$C87*'Business Case'!G12*$B87)-('Business Case'!F11*$C87*'Business Case'!F12*$B87))-'Business Case'!G15*$F87+'Business Case'!$B$8*('Business Case'!G11*$C87*'Business Case'!G12*$B87)</f>
        <v>772847054.663898</v>
      </c>
      <c r="N87" s="53" t="n">
        <f aca="false">IF(COUNT('Business Case'!B11:G11)=0,"",H87+NPV(G87,I87:M87))</f>
        <v>-946535933.216396</v>
      </c>
      <c r="P87" s="54" t="n">
        <f aca="true">RAND()</f>
        <v>0.0731150910110305</v>
      </c>
      <c r="Q87" s="54" t="n">
        <f aca="true">RAND()</f>
        <v>0.362803274739692</v>
      </c>
      <c r="R87" s="54" t="n">
        <f aca="true">RAND()</f>
        <v>0.629244655273101</v>
      </c>
      <c r="S87" s="54" t="n">
        <f aca="true">RAND()</f>
        <v>0.0935705479070266</v>
      </c>
      <c r="T87" s="54" t="n">
        <f aca="true">RAND()</f>
        <v>0.967260256080573</v>
      </c>
      <c r="U87" s="54" t="n">
        <f aca="true">RAND()</f>
        <v>0.156088440365276</v>
      </c>
    </row>
    <row r="88" customFormat="false" ht="15" hidden="false" customHeight="false" outlineLevel="0" collapsed="false">
      <c r="A88" s="50" t="n">
        <v>8</v>
      </c>
      <c r="B88" s="51" t="n">
        <f aca="false">1+IF($G$6=$E$6,$F$6,IF(P88&lt;($F$6-$E$6)/($G$6-$E$6),$E$6+SQRT(P88*($G$6-$E$6)*($F$6-$E$6)),$G$6-SQRT((1-P88)*($G$6-$E$6)*($G$6-$F$6))))</f>
        <v>1.00419278633145</v>
      </c>
      <c r="C88" s="51" t="n">
        <f aca="false">1+IF($G$7=$E$7,$F$7,IF(Q88&lt;($F$7-$E$7)/($G$7-$E$7),$E$7+SQRT(Q88*($G$7-$E$7)*($F$7-$E$7)),$G$7-SQRT((1-Q88)*($G$7-$E$7)*($G$7-$F$7))))</f>
        <v>1.01215769094558</v>
      </c>
      <c r="D88" s="51" t="n">
        <f aca="false">1+IF($G$8=$E$8,$F$8,IF(R88&lt;($F$8-$E$8)/($G$8-$E$8),$E$8+SQRT(R88*($G$8-$E$8)*($F$8-$E$8)),$G$8-SQRT((1-R88)*($G$8-$E$8)*($G$8-$F$8))))</f>
        <v>1.03671861448126</v>
      </c>
      <c r="E88" s="51" t="n">
        <f aca="false">1+IF($G$9=$E$9,$F$9,IF(S88&lt;($F$9-$E$9)/($G$9-$E$9),$E$9+SQRT(S88*($G$9-$E$9)*($F$9-$E$9)),$G$9-SQRT((1-S88)*($G$9-$E$9)*($G$9-$F$9))))</f>
        <v>0.96326651350359</v>
      </c>
      <c r="F88" s="51" t="n">
        <f aca="false">1+IF($G$10=$E$10,$F$10,IF(T88&lt;($F$10-$E$10)/($G$10-$E$10),$E$10+SQRT(T88*($G$10-$E$10)*($F$10-$E$10)),$G$10-SQRT((1-T88)*($G$10-$E$10)*($G$10-$F$10))))</f>
        <v>0.962395074452179</v>
      </c>
      <c r="G88" s="52" t="n">
        <f aca="false">IF($G$11=$E$11,$F$11,IF(U88&lt;($F$11-$E$11)/($G$11-$E$11),$E$11+SQRT(U88*($G$11-$E$11)*($F$11-$E$11)),$G$11-SQRT((1-U88)*($G$11-$E$11)*($G$11-$F$11))))</f>
        <v>0.107631307262064</v>
      </c>
      <c r="H88" s="53" t="n">
        <f aca="false">(('Business Case'!B11*$C88*'Business Case'!B12*$B88)-'Business Case'!B11*$C88*'Business Case'!B13*$D88-'Business Case'!B14*$E88)-MAX(0,(('Business Case'!B11*$C88*'Business Case'!B12*$B88)-'Business Case'!B11*$C88*'Business Case'!B13*$D88-'Business Case'!B14*$E88))*'Business Case'!$B$7-'Business Case'!$B$8*('Business Case'!B11*$C88*'Business Case'!B12*$B88)-'Business Case'!B15*$F88</f>
        <v>-1924790148.90436</v>
      </c>
      <c r="I88" s="53" t="n">
        <f aca="false">(('Business Case'!C11*$C88*'Business Case'!C12*$B88)-'Business Case'!C11*$C88*'Business Case'!C13*$D88-'Business Case'!C14*$E88)-MAX(0,(('Business Case'!C11*$C88*'Business Case'!C12*$B88)-'Business Case'!C11*$C88*'Business Case'!C13*$D88-'Business Case'!C14*$E88))*'Business Case'!$B$7-'Business Case'!$B$8*(('Business Case'!C11*$C88*'Business Case'!C12*$B88)-('Business Case'!B11*$C88*'Business Case'!B12*$B88))-'Business Case'!C15*$F88</f>
        <v>9430426.75418091</v>
      </c>
      <c r="J88" s="53" t="n">
        <f aca="false">(('Business Case'!D11*$C88*'Business Case'!D12*$B88)-'Business Case'!D11*$C88*'Business Case'!D13*$D88-'Business Case'!D14*$E88)-MAX(0,(('Business Case'!D11*$C88*'Business Case'!D12*$B88)-'Business Case'!D11*$C88*'Business Case'!D13*$D88-'Business Case'!D14*$E88))*'Business Case'!$B$7-'Business Case'!$B$8*(('Business Case'!D11*$C88*'Business Case'!D12*$B88)-('Business Case'!C11*$C88*'Business Case'!C12*$B88))-'Business Case'!D15*$F88</f>
        <v>304767110.439117</v>
      </c>
      <c r="K88" s="53" t="n">
        <f aca="false">(('Business Case'!E11*$C88*'Business Case'!E12*$B88)-'Business Case'!E11*$C88*'Business Case'!E13*$D88-'Business Case'!E14*$E88)-MAX(0,(('Business Case'!E11*$C88*'Business Case'!E12*$B88)-'Business Case'!E11*$C88*'Business Case'!E13*$D88-'Business Case'!E14*$E88))*'Business Case'!$B$7-'Business Case'!$B$8*(('Business Case'!E11*$C88*'Business Case'!E12*$B88)-('Business Case'!D11*$C88*'Business Case'!D12*$B88))-'Business Case'!E15*$F88</f>
        <v>648223547.846662</v>
      </c>
      <c r="L88" s="53" t="n">
        <f aca="false">(('Business Case'!F11*$C88*'Business Case'!F12*$B88)-'Business Case'!F11*$C88*'Business Case'!F13*$D88-'Business Case'!F14*$E88)-MAX(0,(('Business Case'!F11*$C88*'Business Case'!F12*$B88)-'Business Case'!F11*$C88*'Business Case'!F13*$D88-'Business Case'!F14*$E88))*'Business Case'!$B$7-'Business Case'!$B$8*(('Business Case'!F11*$C88*'Business Case'!F12*$B88)-('Business Case'!E11*$C88*'Business Case'!E12*$B88))-'Business Case'!F15*$F88</f>
        <v>781795943.251859</v>
      </c>
      <c r="M88" s="53" t="n">
        <f aca="false">(('Business Case'!G11*$C88*'Business Case'!G12*$B88)-'Business Case'!G11*$C88*'Business Case'!G13*$D88-'Business Case'!G14*$E88)-MAX(0,(('Business Case'!G11*$C88*'Business Case'!G12*$B88)-'Business Case'!G11*$C88*'Business Case'!G13*$D88-'Business Case'!G14*$E88))*'Business Case'!$B$7-'Business Case'!$B$8*(('Business Case'!G11*$C88*'Business Case'!G12*$B88)-('Business Case'!F11*$C88*'Business Case'!F12*$B88))-'Business Case'!G15*$F88+'Business Case'!$B$8*('Business Case'!G11*$C88*'Business Case'!G12*$B88)</f>
        <v>974993531.224725</v>
      </c>
      <c r="N88" s="53" t="n">
        <f aca="false">IF(COUNT('Business Case'!B11:G11)=0,"",H88+NPV(G88,I88:M88))</f>
        <v>-86601161.3091412</v>
      </c>
      <c r="P88" s="54" t="n">
        <f aca="true">RAND()</f>
        <v>0.732884051936405</v>
      </c>
      <c r="Q88" s="54" t="n">
        <f aca="true">RAND()</f>
        <v>0.63808567303899</v>
      </c>
      <c r="R88" s="54" t="n">
        <f aca="true">RAND()</f>
        <v>0.819877083420964</v>
      </c>
      <c r="S88" s="54" t="n">
        <f aca="true">RAND()</f>
        <v>0.0234667174054576</v>
      </c>
      <c r="T88" s="54" t="n">
        <f aca="true">RAND()</f>
        <v>0.0122910296540042</v>
      </c>
      <c r="U88" s="54" t="n">
        <f aca="true">RAND()</f>
        <v>0.745025733257557</v>
      </c>
    </row>
    <row r="89" customFormat="false" ht="15" hidden="false" customHeight="false" outlineLevel="0" collapsed="false">
      <c r="A89" s="50" t="n">
        <v>9</v>
      </c>
      <c r="B89" s="51" t="n">
        <f aca="false">1+IF($G$6=$E$6,$F$6,IF(P89&lt;($F$6-$E$6)/($G$6-$E$6),$E$6+SQRT(P89*($G$6-$E$6)*($F$6-$E$6)),$G$6-SQRT((1-P89)*($G$6-$E$6)*($G$6-$F$6))))</f>
        <v>0.994998125891048</v>
      </c>
      <c r="C89" s="51" t="n">
        <f aca="false">1+IF($G$7=$E$7,$F$7,IF(Q89&lt;($F$7-$E$7)/($G$7-$E$7),$E$7+SQRT(Q89*($G$7-$E$7)*($F$7-$E$7)),$G$7-SQRT((1-Q89)*($G$7-$E$7)*($G$7-$F$7))))</f>
        <v>0.84136336037163</v>
      </c>
      <c r="D89" s="51" t="n">
        <f aca="false">1+IF($G$8=$E$8,$F$8,IF(R89&lt;($F$8-$E$8)/($G$8-$E$8),$E$8+SQRT(R89*($G$8-$E$8)*($F$8-$E$8)),$G$8-SQRT((1-R89)*($G$8-$E$8)*($G$8-$F$8))))</f>
        <v>1.0122565640979</v>
      </c>
      <c r="E89" s="51" t="n">
        <f aca="false">1+IF($G$9=$E$9,$F$9,IF(S89&lt;($F$9-$E$9)/($G$9-$E$9),$E$9+SQRT(S89*($G$9-$E$9)*($F$9-$E$9)),$G$9-SQRT((1-S89)*($G$9-$E$9)*($G$9-$F$9))))</f>
        <v>0.989524792055362</v>
      </c>
      <c r="F89" s="51" t="n">
        <f aca="false">1+IF($G$10=$E$10,$F$10,IF(T89&lt;($F$10-$E$10)/($G$10-$E$10),$E$10+SQRT(T89*($G$10-$E$10)*($F$10-$E$10)),$G$10-SQRT((1-T89)*($G$10-$E$10)*($G$10-$F$10))))</f>
        <v>1.02058207113966</v>
      </c>
      <c r="G89" s="52" t="n">
        <f aca="false">IF($G$11=$E$11,$F$11,IF(U89&lt;($F$11-$E$11)/($G$11-$E$11),$E$11+SQRT(U89*($G$11-$E$11)*($F$11-$E$11)),$G$11-SQRT((1-U89)*($G$11-$E$11)*($G$11-$F$11))))</f>
        <v>0.0954237454584247</v>
      </c>
      <c r="H89" s="53" t="n">
        <f aca="false">(('Business Case'!B11*$C89*'Business Case'!B12*$B89)-'Business Case'!B11*$C89*'Business Case'!B13*$D89-'Business Case'!B14*$E89)-MAX(0,(('Business Case'!B11*$C89*'Business Case'!B12*$B89)-'Business Case'!B11*$C89*'Business Case'!B13*$D89-'Business Case'!B14*$E89))*'Business Case'!$B$7-'Business Case'!$B$8*('Business Case'!B11*$C89*'Business Case'!B12*$B89)-'Business Case'!B15*$F89</f>
        <v>-2041164142.27932</v>
      </c>
      <c r="I89" s="53" t="n">
        <f aca="false">(('Business Case'!C11*$C89*'Business Case'!C12*$B89)-'Business Case'!C11*$C89*'Business Case'!C13*$D89-'Business Case'!C14*$E89)-MAX(0,(('Business Case'!C11*$C89*'Business Case'!C12*$B89)-'Business Case'!C11*$C89*'Business Case'!C13*$D89-'Business Case'!C14*$E89))*'Business Case'!$B$7-'Business Case'!$B$8*(('Business Case'!C11*$C89*'Business Case'!C12*$B89)-('Business Case'!B11*$C89*'Business Case'!B12*$B89))-'Business Case'!C15*$F89</f>
        <v>-36466318.2136094</v>
      </c>
      <c r="J89" s="53" t="n">
        <f aca="false">(('Business Case'!D11*$C89*'Business Case'!D12*$B89)-'Business Case'!D11*$C89*'Business Case'!D13*$D89-'Business Case'!D14*$E89)-MAX(0,(('Business Case'!D11*$C89*'Business Case'!D12*$B89)-'Business Case'!D11*$C89*'Business Case'!D13*$D89-'Business Case'!D14*$E89))*'Business Case'!$B$7-'Business Case'!$B$8*(('Business Case'!D11*$C89*'Business Case'!D12*$B89)-('Business Case'!C11*$C89*'Business Case'!C12*$B89))-'Business Case'!D15*$F89</f>
        <v>213234109.594022</v>
      </c>
      <c r="K89" s="53" t="n">
        <f aca="false">(('Business Case'!E11*$C89*'Business Case'!E12*$B89)-'Business Case'!E11*$C89*'Business Case'!E13*$D89-'Business Case'!E14*$E89)-MAX(0,(('Business Case'!E11*$C89*'Business Case'!E12*$B89)-'Business Case'!E11*$C89*'Business Case'!E13*$D89-'Business Case'!E14*$E89))*'Business Case'!$B$7-'Business Case'!$B$8*(('Business Case'!E11*$C89*'Business Case'!E12*$B89)-('Business Case'!D11*$C89*'Business Case'!D12*$B89))-'Business Case'!E15*$F89</f>
        <v>513963640.958637</v>
      </c>
      <c r="L89" s="53" t="n">
        <f aca="false">(('Business Case'!F11*$C89*'Business Case'!F12*$B89)-'Business Case'!F11*$C89*'Business Case'!F13*$D89-'Business Case'!F14*$E89)-MAX(0,(('Business Case'!F11*$C89*'Business Case'!F12*$B89)-'Business Case'!F11*$C89*'Business Case'!F13*$D89-'Business Case'!F14*$E89))*'Business Case'!$B$7-'Business Case'!$B$8*(('Business Case'!F11*$C89*'Business Case'!F12*$B89)-('Business Case'!E11*$C89*'Business Case'!E12*$B89))-'Business Case'!F15*$F89</f>
        <v>626129192.545849</v>
      </c>
      <c r="M89" s="53" t="n">
        <f aca="false">(('Business Case'!G11*$C89*'Business Case'!G12*$B89)-'Business Case'!G11*$C89*'Business Case'!G13*$D89-'Business Case'!G14*$E89)-MAX(0,(('Business Case'!G11*$C89*'Business Case'!G12*$B89)-'Business Case'!G11*$C89*'Business Case'!G13*$D89-'Business Case'!G14*$E89))*'Business Case'!$B$7-'Business Case'!$B$8*(('Business Case'!G11*$C89*'Business Case'!G12*$B89)-('Business Case'!F11*$C89*'Business Case'!F12*$B89))-'Business Case'!G15*$F89+'Business Case'!$B$8*('Business Case'!G11*$C89*'Business Case'!G12*$B89)</f>
        <v>785255608.628192</v>
      </c>
      <c r="N89" s="53" t="n">
        <f aca="false">IF(COUNT('Business Case'!B11:G11)=0,"",H89+NPV(G89,I89:M89))</f>
        <v>-573045626.538663</v>
      </c>
      <c r="P89" s="54" t="n">
        <f aca="true">RAND()</f>
        <v>0.585908217413489</v>
      </c>
      <c r="Q89" s="54" t="n">
        <f aca="true">RAND()</f>
        <v>0.024441822589048</v>
      </c>
      <c r="R89" s="54" t="n">
        <f aca="true">RAND()</f>
        <v>0.558733355017074</v>
      </c>
      <c r="S89" s="54" t="n">
        <f aca="true">RAND()</f>
        <v>0.208294558269282</v>
      </c>
      <c r="T89" s="54" t="n">
        <f aca="true">RAND()</f>
        <v>0.35618413606932</v>
      </c>
      <c r="U89" s="54" t="n">
        <f aca="true">RAND()</f>
        <v>0.09805671599261</v>
      </c>
    </row>
    <row r="90" customFormat="false" ht="15" hidden="false" customHeight="false" outlineLevel="0" collapsed="false">
      <c r="A90" s="50" t="n">
        <v>10</v>
      </c>
      <c r="B90" s="51" t="n">
        <f aca="false">1+IF($G$6=$E$6,$F$6,IF(P90&lt;($F$6-$E$6)/($G$6-$E$6),$E$6+SQRT(P90*($G$6-$E$6)*($F$6-$E$6)),$G$6-SQRT((1-P90)*($G$6-$E$6)*($G$6-$F$6))))</f>
        <v>0.993407725301383</v>
      </c>
      <c r="C90" s="51" t="n">
        <f aca="false">1+IF($G$7=$E$7,$F$7,IF(Q90&lt;($F$7-$E$7)/($G$7-$E$7),$E$7+SQRT(Q90*($G$7-$E$7)*($F$7-$E$7)),$G$7-SQRT((1-Q90)*($G$7-$E$7)*($G$7-$F$7))))</f>
        <v>0.993121662159221</v>
      </c>
      <c r="D90" s="51" t="n">
        <f aca="false">1+IF($G$8=$E$8,$F$8,IF(R90&lt;($F$8-$E$8)/($G$8-$E$8),$E$8+SQRT(R90*($G$8-$E$8)*($F$8-$E$8)),$G$8-SQRT((1-R90)*($G$8-$E$8)*($G$8-$F$8))))</f>
        <v>1.02516535298287</v>
      </c>
      <c r="E90" s="51" t="n">
        <f aca="false">1+IF($G$9=$E$9,$F$9,IF(S90&lt;($F$9-$E$9)/($G$9-$E$9),$E$9+SQRT(S90*($G$9-$E$9)*($F$9-$E$9)),$G$9-SQRT((1-S90)*($G$9-$E$9)*($G$9-$F$9))))</f>
        <v>0.982940854832859</v>
      </c>
      <c r="F90" s="51" t="n">
        <f aca="false">1+IF($G$10=$E$10,$F$10,IF(T90&lt;($F$10-$E$10)/($G$10-$E$10),$E$10+SQRT(T90*($G$10-$E$10)*($F$10-$E$10)),$G$10-SQRT((1-T90)*($G$10-$E$10)*($G$10-$F$10))))</f>
        <v>1.07758305789546</v>
      </c>
      <c r="G90" s="52" t="n">
        <f aca="false">IF($G$11=$E$11,$F$11,IF(U90&lt;($F$11-$E$11)/($G$11-$E$11),$E$11+SQRT(U90*($G$11-$E$11)*($F$11-$E$11)),$G$11-SQRT((1-U90)*($G$11-$E$11)*($G$11-$F$11))))</f>
        <v>0.0983759826132936</v>
      </c>
      <c r="H90" s="53" t="n">
        <f aca="false">(('Business Case'!B11*$C90*'Business Case'!B12*$B90)-'Business Case'!B11*$C90*'Business Case'!B13*$D90-'Business Case'!B14*$E90)-MAX(0,(('Business Case'!B11*$C90*'Business Case'!B12*$B90)-'Business Case'!B11*$C90*'Business Case'!B13*$D90-'Business Case'!B14*$E90))*'Business Case'!$B$7-'Business Case'!$B$8*('Business Case'!B11*$C90*'Business Case'!B12*$B90)-'Business Case'!B15*$F90</f>
        <v>-2155166115.79091</v>
      </c>
      <c r="I90" s="53" t="n">
        <f aca="false">(('Business Case'!C11*$C90*'Business Case'!C12*$B90)-'Business Case'!C11*$C90*'Business Case'!C13*$D90-'Business Case'!C14*$E90)-MAX(0,(('Business Case'!C11*$C90*'Business Case'!C12*$B90)-'Business Case'!C11*$C90*'Business Case'!C13*$D90-'Business Case'!C14*$E90))*'Business Case'!$B$7-'Business Case'!$B$8*(('Business Case'!C11*$C90*'Business Case'!C12*$B90)-('Business Case'!B11*$C90*'Business Case'!B12*$B90))-'Business Case'!C15*$F90</f>
        <v>-11793668.651018</v>
      </c>
      <c r="J90" s="53" t="n">
        <f aca="false">(('Business Case'!D11*$C90*'Business Case'!D12*$B90)-'Business Case'!D11*$C90*'Business Case'!D13*$D90-'Business Case'!D14*$E90)-MAX(0,(('Business Case'!D11*$C90*'Business Case'!D12*$B90)-'Business Case'!D11*$C90*'Business Case'!D13*$D90-'Business Case'!D14*$E90))*'Business Case'!$B$7-'Business Case'!$B$8*(('Business Case'!D11*$C90*'Business Case'!D12*$B90)-('Business Case'!C11*$C90*'Business Case'!C12*$B90))-'Business Case'!D15*$F90</f>
        <v>275089192.118088</v>
      </c>
      <c r="K90" s="53" t="n">
        <f aca="false">(('Business Case'!E11*$C90*'Business Case'!E12*$B90)-'Business Case'!E11*$C90*'Business Case'!E13*$D90-'Business Case'!E14*$E90)-MAX(0,(('Business Case'!E11*$C90*'Business Case'!E12*$B90)-'Business Case'!E11*$C90*'Business Case'!E13*$D90-'Business Case'!E14*$E90))*'Business Case'!$B$7-'Business Case'!$B$8*(('Business Case'!E11*$C90*'Business Case'!E12*$B90)-('Business Case'!D11*$C90*'Business Case'!D12*$B90))-'Business Case'!E15*$F90</f>
        <v>615851205.781966</v>
      </c>
      <c r="L90" s="53" t="n">
        <f aca="false">(('Business Case'!F11*$C90*'Business Case'!F12*$B90)-'Business Case'!F11*$C90*'Business Case'!F13*$D90-'Business Case'!F14*$E90)-MAX(0,(('Business Case'!F11*$C90*'Business Case'!F12*$B90)-'Business Case'!F11*$C90*'Business Case'!F13*$D90-'Business Case'!F14*$E90))*'Business Case'!$B$7-'Business Case'!$B$8*(('Business Case'!F11*$C90*'Business Case'!F12*$B90)-('Business Case'!E11*$C90*'Business Case'!E12*$B90))-'Business Case'!F15*$F90</f>
        <v>745574848.753899</v>
      </c>
      <c r="M90" s="53" t="n">
        <f aca="false">(('Business Case'!G11*$C90*'Business Case'!G12*$B90)-'Business Case'!G11*$C90*'Business Case'!G13*$D90-'Business Case'!G14*$E90)-MAX(0,(('Business Case'!G11*$C90*'Business Case'!G12*$B90)-'Business Case'!G11*$C90*'Business Case'!G13*$D90-'Business Case'!G14*$E90))*'Business Case'!$B$7-'Business Case'!$B$8*(('Business Case'!G11*$C90*'Business Case'!G12*$B90)-('Business Case'!F11*$C90*'Business Case'!F12*$B90))-'Business Case'!G15*$F90+'Business Case'!$B$8*('Business Case'!G11*$C90*'Business Case'!G12*$B90)</f>
        <v>933102973.6895</v>
      </c>
      <c r="N90" s="53" t="n">
        <f aca="false">IF(COUNT('Business Case'!B11:G11)=0,"",H90+NPV(G90,I90:M90))</f>
        <v>-377195120.687573</v>
      </c>
      <c r="P90" s="54" t="n">
        <f aca="true">RAND()</f>
        <v>0.561322305617013</v>
      </c>
      <c r="Q90" s="54" t="n">
        <f aca="true">RAND()</f>
        <v>0.532799662787716</v>
      </c>
      <c r="R90" s="54" t="n">
        <f aca="true">RAND()</f>
        <v>0.710880912164103</v>
      </c>
      <c r="S90" s="54" t="n">
        <f aca="true">RAND()</f>
        <v>0.144679988949263</v>
      </c>
      <c r="T90" s="54" t="n">
        <f aca="true">RAND()</f>
        <v>0.700281845715453</v>
      </c>
      <c r="U90" s="54" t="n">
        <f aca="true">RAND()</f>
        <v>0.233856949127323</v>
      </c>
    </row>
    <row r="91" customFormat="false" ht="15" hidden="false" customHeight="false" outlineLevel="0" collapsed="false">
      <c r="A91" s="50" t="n">
        <v>11</v>
      </c>
      <c r="B91" s="51" t="n">
        <f aca="false">1+IF($G$6=$E$6,$F$6,IF(P91&lt;($F$6-$E$6)/($G$6-$E$6),$E$6+SQRT(P91*($G$6-$E$6)*($F$6-$E$6)),$G$6-SQRT((1-P91)*($G$6-$E$6)*($G$6-$F$6))))</f>
        <v>1.01085753848719</v>
      </c>
      <c r="C91" s="51" t="n">
        <f aca="false">1+IF($G$7=$E$7,$F$7,IF(Q91&lt;($F$7-$E$7)/($G$7-$E$7),$E$7+SQRT(Q91*($G$7-$E$7)*($F$7-$E$7)),$G$7-SQRT((1-Q91)*($G$7-$E$7)*($G$7-$F$7))))</f>
        <v>0.966842930578903</v>
      </c>
      <c r="D91" s="51" t="n">
        <f aca="false">1+IF($G$8=$E$8,$F$8,IF(R91&lt;($F$8-$E$8)/($G$8-$E$8),$E$8+SQRT(R91*($G$8-$E$8)*($F$8-$E$8)),$G$8-SQRT((1-R91)*($G$8-$E$8)*($G$8-$F$8))))</f>
        <v>0.994956998713774</v>
      </c>
      <c r="E91" s="51" t="n">
        <f aca="false">1+IF($G$9=$E$9,$F$9,IF(S91&lt;($F$9-$E$9)/($G$9-$E$9),$E$9+SQRT(S91*($G$9-$E$9)*($F$9-$E$9)),$G$9-SQRT((1-S91)*($G$9-$E$9)*($G$9-$F$9))))</f>
        <v>1.00696694717359</v>
      </c>
      <c r="F91" s="51" t="n">
        <f aca="false">1+IF($G$10=$E$10,$F$10,IF(T91&lt;($F$10-$E$10)/($G$10-$E$10),$E$10+SQRT(T91*($G$10-$E$10)*($F$10-$E$10)),$G$10-SQRT((1-T91)*($G$10-$E$10)*($G$10-$F$10))))</f>
        <v>0.961981795303836</v>
      </c>
      <c r="G91" s="52" t="n">
        <f aca="false">IF($G$11=$E$11,$F$11,IF(U91&lt;($F$11-$E$11)/($G$11-$E$11),$E$11+SQRT(U91*($G$11-$E$11)*($F$11-$E$11)),$G$11-SQRT((1-U91)*($G$11-$E$11)*($G$11-$F$11))))</f>
        <v>0.0935646483339907</v>
      </c>
      <c r="H91" s="53" t="n">
        <f aca="false">(('Business Case'!B11*$C91*'Business Case'!B12*$B91)-'Business Case'!B11*$C91*'Business Case'!B13*$D91-'Business Case'!B14*$E91)-MAX(0,(('Business Case'!B11*$C91*'Business Case'!B12*$B91)-'Business Case'!B11*$C91*'Business Case'!B13*$D91-'Business Case'!B14*$E91))*'Business Case'!$B$7-'Business Case'!$B$8*('Business Case'!B11*$C91*'Business Case'!B12*$B91)-'Business Case'!B15*$F91</f>
        <v>-1923963590.60767</v>
      </c>
      <c r="I91" s="53" t="n">
        <f aca="false">(('Business Case'!C11*$C91*'Business Case'!C12*$B91)-'Business Case'!C11*$C91*'Business Case'!C13*$D91-'Business Case'!C14*$E91)-MAX(0,(('Business Case'!C11*$C91*'Business Case'!C12*$B91)-'Business Case'!C11*$C91*'Business Case'!C13*$D91-'Business Case'!C14*$E91))*'Business Case'!$B$7-'Business Case'!$B$8*(('Business Case'!C11*$C91*'Business Case'!C12*$B91)-('Business Case'!B11*$C91*'Business Case'!B12*$B91))-'Business Case'!C15*$F91</f>
        <v>18007781.622179</v>
      </c>
      <c r="J91" s="53" t="n">
        <f aca="false">(('Business Case'!D11*$C91*'Business Case'!D12*$B91)-'Business Case'!D11*$C91*'Business Case'!D13*$D91-'Business Case'!D14*$E91)-MAX(0,(('Business Case'!D11*$C91*'Business Case'!D12*$B91)-'Business Case'!D11*$C91*'Business Case'!D13*$D91-'Business Case'!D14*$E91))*'Business Case'!$B$7-'Business Case'!$B$8*(('Business Case'!D11*$C91*'Business Case'!D12*$B91)-('Business Case'!C11*$C91*'Business Case'!C12*$B91))-'Business Case'!D15*$F91</f>
        <v>326069772.363695</v>
      </c>
      <c r="K91" s="53" t="n">
        <f aca="false">(('Business Case'!E11*$C91*'Business Case'!E12*$B91)-'Business Case'!E11*$C91*'Business Case'!E13*$D91-'Business Case'!E14*$E91)-MAX(0,(('Business Case'!E11*$C91*'Business Case'!E12*$B91)-'Business Case'!E11*$C91*'Business Case'!E13*$D91-'Business Case'!E14*$E91))*'Business Case'!$B$7-'Business Case'!$B$8*(('Business Case'!E11*$C91*'Business Case'!E12*$B91)-('Business Case'!D11*$C91*'Business Case'!D12*$B91))-'Business Case'!E15*$F91</f>
        <v>682230852.870403</v>
      </c>
      <c r="L91" s="53" t="n">
        <f aca="false">(('Business Case'!F11*$C91*'Business Case'!F12*$B91)-'Business Case'!F11*$C91*'Business Case'!F13*$D91-'Business Case'!F14*$E91)-MAX(0,(('Business Case'!F11*$C91*'Business Case'!F12*$B91)-'Business Case'!F11*$C91*'Business Case'!F13*$D91-'Business Case'!F14*$E91))*'Business Case'!$B$7-'Business Case'!$B$8*(('Business Case'!F11*$C91*'Business Case'!F12*$B91)-('Business Case'!E11*$C91*'Business Case'!E12*$B91))-'Business Case'!F15*$F91</f>
        <v>818695069.584821</v>
      </c>
      <c r="M91" s="53" t="n">
        <f aca="false">(('Business Case'!G11*$C91*'Business Case'!G12*$B91)-'Business Case'!G11*$C91*'Business Case'!G13*$D91-'Business Case'!G14*$E91)-MAX(0,(('Business Case'!G11*$C91*'Business Case'!G12*$B91)-'Business Case'!G11*$C91*'Business Case'!G13*$D91-'Business Case'!G14*$E91))*'Business Case'!$B$7-'Business Case'!$B$8*(('Business Case'!G11*$C91*'Business Case'!G12*$B91)-('Business Case'!F11*$C91*'Business Case'!F12*$B91))-'Business Case'!G15*$F91+'Business Case'!$B$8*('Business Case'!G11*$C91*'Business Case'!G12*$B91)</f>
        <v>1004467945.15467</v>
      </c>
      <c r="N91" s="53" t="n">
        <f aca="false">IF(COUNT('Business Case'!B11:G11)=0,"",H91+NPV(G91,I91:M91))</f>
        <v>101559304.11786</v>
      </c>
      <c r="P91" s="54" t="n">
        <f aca="true">RAND()</f>
        <v>0.823066028536349</v>
      </c>
      <c r="Q91" s="54" t="n">
        <f aca="true">RAND()</f>
        <v>0.397665192630811</v>
      </c>
      <c r="R91" s="54" t="n">
        <f aca="true">RAND()</f>
        <v>0.310943343592343</v>
      </c>
      <c r="S91" s="54" t="n">
        <f aca="true">RAND()</f>
        <v>0.422990072119924</v>
      </c>
      <c r="T91" s="54" t="n">
        <f aca="true">RAND()</f>
        <v>0.0114850734962413</v>
      </c>
      <c r="U91" s="54" t="n">
        <f aca="true">RAND()</f>
        <v>0.0423557258167423</v>
      </c>
    </row>
    <row r="92" customFormat="false" ht="15" hidden="false" customHeight="false" outlineLevel="0" collapsed="false">
      <c r="A92" s="50" t="n">
        <v>12</v>
      </c>
      <c r="B92" s="51" t="n">
        <f aca="false">1+IF($G$6=$E$6,$F$6,IF(P92&lt;($F$6-$E$6)/($G$6-$E$6),$E$6+SQRT(P92*($G$6-$E$6)*($F$6-$E$6)),$G$6-SQRT((1-P92)*($G$6-$E$6)*($G$6-$F$6))))</f>
        <v>1.03028737958233</v>
      </c>
      <c r="C92" s="51" t="n">
        <f aca="false">1+IF($G$7=$E$7,$F$7,IF(Q92&lt;($F$7-$E$7)/($G$7-$E$7),$E$7+SQRT(Q92*($G$7-$E$7)*($F$7-$E$7)),$G$7-SQRT((1-Q92)*($G$7-$E$7)*($G$7-$F$7))))</f>
        <v>0.992266571348665</v>
      </c>
      <c r="D92" s="51" t="n">
        <f aca="false">1+IF($G$8=$E$8,$F$8,IF(R92&lt;($F$8-$E$8)/($G$8-$E$8),$E$8+SQRT(R92*($G$8-$E$8)*($F$8-$E$8)),$G$8-SQRT((1-R92)*($G$8-$E$8)*($G$8-$F$8))))</f>
        <v>0.964836044493058</v>
      </c>
      <c r="E92" s="51" t="n">
        <f aca="false">1+IF($G$9=$E$9,$F$9,IF(S92&lt;($F$9-$E$9)/($G$9-$E$9),$E$9+SQRT(S92*($G$9-$E$9)*($F$9-$E$9)),$G$9-SQRT((1-S92)*($G$9-$E$9)*($G$9-$F$9))))</f>
        <v>0.990862381691924</v>
      </c>
      <c r="F92" s="51" t="n">
        <f aca="false">1+IF($G$10=$E$10,$F$10,IF(T92&lt;($F$10-$E$10)/($G$10-$E$10),$E$10+SQRT(T92*($G$10-$E$10)*($F$10-$E$10)),$G$10-SQRT((1-T92)*($G$10-$E$10)*($G$10-$F$10))))</f>
        <v>1.12248144844164</v>
      </c>
      <c r="G92" s="52" t="n">
        <f aca="false">IF($G$11=$E$11,$F$11,IF(U92&lt;($F$11-$E$11)/($G$11-$E$11),$E$11+SQRT(U92*($G$11-$E$11)*($F$11-$E$11)),$G$11-SQRT((1-U92)*($G$11-$E$11)*($G$11-$F$11))))</f>
        <v>0.103247922733058</v>
      </c>
      <c r="H92" s="53" t="n">
        <f aca="false">(('Business Case'!B11*$C92*'Business Case'!B12*$B92)-'Business Case'!B11*$C92*'Business Case'!B13*$D92-'Business Case'!B14*$E92)-MAX(0,(('Business Case'!B11*$C92*'Business Case'!B12*$B92)-'Business Case'!B11*$C92*'Business Case'!B13*$D92-'Business Case'!B14*$E92))*'Business Case'!$B$7-'Business Case'!$B$8*('Business Case'!B11*$C92*'Business Case'!B12*$B92)-'Business Case'!B15*$F92</f>
        <v>-2244962896.88328</v>
      </c>
      <c r="I92" s="53" t="n">
        <f aca="false">(('Business Case'!C11*$C92*'Business Case'!C12*$B92)-'Business Case'!C11*$C92*'Business Case'!C13*$D92-'Business Case'!C14*$E92)-MAX(0,(('Business Case'!C11*$C92*'Business Case'!C12*$B92)-'Business Case'!C11*$C92*'Business Case'!C13*$D92-'Business Case'!C14*$E92))*'Business Case'!$B$7-'Business Case'!$B$8*(('Business Case'!C11*$C92*'Business Case'!C12*$B92)-('Business Case'!B11*$C92*'Business Case'!B12*$B92))-'Business Case'!C15*$F92</f>
        <v>41108450.6505158</v>
      </c>
      <c r="J92" s="53" t="n">
        <f aca="false">(('Business Case'!D11*$C92*'Business Case'!D12*$B92)-'Business Case'!D11*$C92*'Business Case'!D13*$D92-'Business Case'!D14*$E92)-MAX(0,(('Business Case'!D11*$C92*'Business Case'!D12*$B92)-'Business Case'!D11*$C92*'Business Case'!D13*$D92-'Business Case'!D14*$E92))*'Business Case'!$B$7-'Business Case'!$B$8*(('Business Case'!D11*$C92*'Business Case'!D12*$B92)-('Business Case'!C11*$C92*'Business Case'!C12*$B92))-'Business Case'!D15*$F92</f>
        <v>388362731.399066</v>
      </c>
      <c r="K92" s="53" t="n">
        <f aca="false">(('Business Case'!E11*$C92*'Business Case'!E12*$B92)-'Business Case'!E11*$C92*'Business Case'!E13*$D92-'Business Case'!E14*$E92)-MAX(0,(('Business Case'!E11*$C92*'Business Case'!E12*$B92)-'Business Case'!E11*$C92*'Business Case'!E13*$D92-'Business Case'!E14*$E92))*'Business Case'!$B$7-'Business Case'!$B$8*(('Business Case'!E11*$C92*'Business Case'!E12*$B92)-('Business Case'!D11*$C92*'Business Case'!D12*$B92))-'Business Case'!E15*$F92</f>
        <v>791741084.569698</v>
      </c>
      <c r="L92" s="53" t="n">
        <f aca="false">(('Business Case'!F11*$C92*'Business Case'!F12*$B92)-'Business Case'!F11*$C92*'Business Case'!F13*$D92-'Business Case'!F14*$E92)-MAX(0,(('Business Case'!F11*$C92*'Business Case'!F12*$B92)-'Business Case'!F11*$C92*'Business Case'!F13*$D92-'Business Case'!F14*$E92))*'Business Case'!$B$7-'Business Case'!$B$8*(('Business Case'!F11*$C92*'Business Case'!F12*$B92)-('Business Case'!E11*$C92*'Business Case'!E12*$B92))-'Business Case'!F15*$F92</f>
        <v>942823881.204067</v>
      </c>
      <c r="M92" s="53" t="n">
        <f aca="false">(('Business Case'!G11*$C92*'Business Case'!G12*$B92)-'Business Case'!G11*$C92*'Business Case'!G13*$D92-'Business Case'!G14*$E92)-MAX(0,(('Business Case'!G11*$C92*'Business Case'!G12*$B92)-'Business Case'!G11*$C92*'Business Case'!G13*$D92-'Business Case'!G14*$E92))*'Business Case'!$B$7-'Business Case'!$B$8*(('Business Case'!G11*$C92*'Business Case'!G12*$B92)-('Business Case'!F11*$C92*'Business Case'!F12*$B92))-'Business Case'!G15*$F92+'Business Case'!$B$8*('Business Case'!G11*$C92*'Business Case'!G12*$B92)</f>
        <v>1137146414.65409</v>
      </c>
      <c r="N92" s="53" t="n">
        <f aca="false">IF(COUNT('Business Case'!B11:G11)=0,"",H92+NPV(G92,I92:M92))</f>
        <v>33138689.0354071</v>
      </c>
      <c r="P92" s="54" t="n">
        <f aca="true">RAND()</f>
        <v>0.980346875962955</v>
      </c>
      <c r="Q92" s="54" t="n">
        <f aca="true">RAND()</f>
        <v>0.52809192083102</v>
      </c>
      <c r="R92" s="54" t="n">
        <f aca="true">RAND()</f>
        <v>0.0338628024923076</v>
      </c>
      <c r="S92" s="54" t="n">
        <f aca="true">RAND()</f>
        <v>0.222631231671527</v>
      </c>
      <c r="T92" s="54" t="n">
        <f aca="true">RAND()</f>
        <v>0.879817483285871</v>
      </c>
      <c r="U92" s="54" t="n">
        <f aca="true">RAND()</f>
        <v>0.532279845404036</v>
      </c>
    </row>
    <row r="93" customFormat="false" ht="15" hidden="false" customHeight="false" outlineLevel="0" collapsed="false">
      <c r="A93" s="50" t="n">
        <v>13</v>
      </c>
      <c r="B93" s="51" t="n">
        <f aca="false">1+IF($G$6=$E$6,$F$6,IF(P93&lt;($F$6-$E$6)/($G$6-$E$6),$E$6+SQRT(P93*($G$6-$E$6)*($F$6-$E$6)),$G$6-SQRT((1-P93)*($G$6-$E$6)*($G$6-$F$6))))</f>
        <v>0.988508127447043</v>
      </c>
      <c r="C93" s="51" t="n">
        <f aca="false">1+IF($G$7=$E$7,$F$7,IF(Q93&lt;($F$7-$E$7)/($G$7-$E$7),$E$7+SQRT(Q93*($G$7-$E$7)*($F$7-$E$7)),$G$7-SQRT((1-Q93)*($G$7-$E$7)*($G$7-$F$7))))</f>
        <v>0.996287684616908</v>
      </c>
      <c r="D93" s="51" t="n">
        <f aca="false">1+IF($G$8=$E$8,$F$8,IF(R93&lt;($F$8-$E$8)/($G$8-$E$8),$E$8+SQRT(R93*($G$8-$E$8)*($F$8-$E$8)),$G$8-SQRT((1-R93)*($G$8-$E$8)*($G$8-$F$8))))</f>
        <v>1.01138946274137</v>
      </c>
      <c r="E93" s="51" t="n">
        <f aca="false">1+IF($G$9=$E$9,$F$9,IF(S93&lt;($F$9-$E$9)/($G$9-$E$9),$E$9+SQRT(S93*($G$9-$E$9)*($F$9-$E$9)),$G$9-SQRT((1-S93)*($G$9-$E$9)*($G$9-$F$9))))</f>
        <v>1.00083876901893</v>
      </c>
      <c r="F93" s="51" t="n">
        <f aca="false">1+IF($G$10=$E$10,$F$10,IF(T93&lt;($F$10-$E$10)/($G$10-$E$10),$E$10+SQRT(T93*($G$10-$E$10)*($F$10-$E$10)),$G$10-SQRT((1-T93)*($G$10-$E$10)*($G$10-$F$10))))</f>
        <v>1.05538431902225</v>
      </c>
      <c r="G93" s="52" t="n">
        <f aca="false">IF($G$11=$E$11,$F$11,IF(U93&lt;($F$11-$E$11)/($G$11-$E$11),$E$11+SQRT(U93*($G$11-$E$11)*($F$11-$E$11)),$G$11-SQRT((1-U93)*($G$11-$E$11)*($G$11-$F$11))))</f>
        <v>0.110831390851109</v>
      </c>
      <c r="H93" s="53" t="n">
        <f aca="false">(('Business Case'!B11*$C93*'Business Case'!B12*$B93)-'Business Case'!B11*$C93*'Business Case'!B13*$D93-'Business Case'!B14*$E93)-MAX(0,(('Business Case'!B11*$C93*'Business Case'!B12*$B93)-'Business Case'!B11*$C93*'Business Case'!B13*$D93-'Business Case'!B14*$E93))*'Business Case'!$B$7-'Business Case'!$B$8*('Business Case'!B11*$C93*'Business Case'!B12*$B93)-'Business Case'!B15*$F93</f>
        <v>-2110768638.04449</v>
      </c>
      <c r="I93" s="53" t="n">
        <f aca="false">(('Business Case'!C11*$C93*'Business Case'!C12*$B93)-'Business Case'!C11*$C93*'Business Case'!C13*$D93-'Business Case'!C14*$E93)-MAX(0,(('Business Case'!C11*$C93*'Business Case'!C12*$B93)-'Business Case'!C11*$C93*'Business Case'!C13*$D93-'Business Case'!C14*$E93))*'Business Case'!$B$7-'Business Case'!$B$8*(('Business Case'!C11*$C93*'Business Case'!C12*$B93)-('Business Case'!B11*$C93*'Business Case'!B12*$B93))-'Business Case'!C15*$F93</f>
        <v>-8086553.78557712</v>
      </c>
      <c r="J93" s="53" t="n">
        <f aca="false">(('Business Case'!D11*$C93*'Business Case'!D12*$B93)-'Business Case'!D11*$C93*'Business Case'!D13*$D93-'Business Case'!D14*$E93)-MAX(0,(('Business Case'!D11*$C93*'Business Case'!D12*$B93)-'Business Case'!D11*$C93*'Business Case'!D13*$D93-'Business Case'!D14*$E93))*'Business Case'!$B$7-'Business Case'!$B$8*(('Business Case'!D11*$C93*'Business Case'!D12*$B93)-('Business Case'!C11*$C93*'Business Case'!C12*$B93))-'Business Case'!D15*$F93</f>
        <v>282738623.752798</v>
      </c>
      <c r="K93" s="53" t="n">
        <f aca="false">(('Business Case'!E11*$C93*'Business Case'!E12*$B93)-'Business Case'!E11*$C93*'Business Case'!E13*$D93-'Business Case'!E14*$E93)-MAX(0,(('Business Case'!E11*$C93*'Business Case'!E12*$B93)-'Business Case'!E11*$C93*'Business Case'!E13*$D93-'Business Case'!E14*$E93))*'Business Case'!$B$7-'Business Case'!$B$8*(('Business Case'!E11*$C93*'Business Case'!E12*$B93)-('Business Case'!D11*$C93*'Business Case'!D12*$B93))-'Business Case'!E15*$F93</f>
        <v>626333017.242285</v>
      </c>
      <c r="L93" s="53" t="n">
        <f aca="false">(('Business Case'!F11*$C93*'Business Case'!F12*$B93)-'Business Case'!F11*$C93*'Business Case'!F13*$D93-'Business Case'!F14*$E93)-MAX(0,(('Business Case'!F11*$C93*'Business Case'!F12*$B93)-'Business Case'!F11*$C93*'Business Case'!F13*$D93-'Business Case'!F14*$E93))*'Business Case'!$B$7-'Business Case'!$B$8*(('Business Case'!F11*$C93*'Business Case'!F12*$B93)-('Business Case'!E11*$C93*'Business Case'!E12*$B93))-'Business Case'!F15*$F93</f>
        <v>757310760.733234</v>
      </c>
      <c r="M93" s="53" t="n">
        <f aca="false">(('Business Case'!G11*$C93*'Business Case'!G12*$B93)-'Business Case'!G11*$C93*'Business Case'!G13*$D93-'Business Case'!G14*$E93)-MAX(0,(('Business Case'!G11*$C93*'Business Case'!G12*$B93)-'Business Case'!G11*$C93*'Business Case'!G13*$D93-'Business Case'!G14*$E93))*'Business Case'!$B$7-'Business Case'!$B$8*(('Business Case'!G11*$C93*'Business Case'!G12*$B93)-('Business Case'!F11*$C93*'Business Case'!F12*$B93))-'Business Case'!G15*$F93+'Business Case'!$B$8*('Business Case'!G11*$C93*'Business Case'!G12*$B93)</f>
        <v>944508857.779765</v>
      </c>
      <c r="N93" s="53" t="n">
        <f aca="false">IF(COUNT('Business Case'!B11:G11)=0,"",H93+NPV(G93,I93:M93))</f>
        <v>-376175098.602696</v>
      </c>
      <c r="P93" s="54" t="n">
        <f aca="true">RAND()</f>
        <v>0.488892033989611</v>
      </c>
      <c r="Q93" s="54" t="n">
        <f aca="true">RAND()</f>
        <v>0.55041221617524</v>
      </c>
      <c r="R93" s="54" t="n">
        <f aca="true">RAND()</f>
        <v>0.547364824719494</v>
      </c>
      <c r="S93" s="54" t="n">
        <f aca="true">RAND()</f>
        <v>0.344470018021236</v>
      </c>
      <c r="T93" s="54" t="n">
        <f aca="true">RAND()</f>
        <v>0.581726096306808</v>
      </c>
      <c r="U93" s="54" t="n">
        <f aca="true">RAND()</f>
        <v>0.859894343791451</v>
      </c>
    </row>
    <row r="94" customFormat="false" ht="15" hidden="false" customHeight="false" outlineLevel="0" collapsed="false">
      <c r="A94" s="50" t="n">
        <v>14</v>
      </c>
      <c r="B94" s="51" t="n">
        <f aca="false">1+IF($G$6=$E$6,$F$6,IF(P94&lt;($F$6-$E$6)/($G$6-$E$6),$E$6+SQRT(P94*($G$6-$E$6)*($F$6-$E$6)),$G$6-SQRT((1-P94)*($G$6-$E$6)*($G$6-$F$6))))</f>
        <v>1.01577164418958</v>
      </c>
      <c r="C94" s="51" t="n">
        <f aca="false">1+IF($G$7=$E$7,$F$7,IF(Q94&lt;($F$7-$E$7)/($G$7-$E$7),$E$7+SQRT(Q94*($G$7-$E$7)*($F$7-$E$7)),$G$7-SQRT((1-Q94)*($G$7-$E$7)*($G$7-$F$7))))</f>
        <v>0.987461726743537</v>
      </c>
      <c r="D94" s="51" t="n">
        <f aca="false">1+IF($G$8=$E$8,$F$8,IF(R94&lt;($F$8-$E$8)/($G$8-$E$8),$E$8+SQRT(R94*($G$8-$E$8)*($F$8-$E$8)),$G$8-SQRT((1-R94)*($G$8-$E$8)*($G$8-$F$8))))</f>
        <v>1.02657316765521</v>
      </c>
      <c r="E94" s="51" t="n">
        <f aca="false">1+IF($G$9=$E$9,$F$9,IF(S94&lt;($F$9-$E$9)/($G$9-$E$9),$E$9+SQRT(S94*($G$9-$E$9)*($F$9-$E$9)),$G$9-SQRT((1-S94)*($G$9-$E$9)*($G$9-$F$9))))</f>
        <v>1.03777268220713</v>
      </c>
      <c r="F94" s="51" t="n">
        <f aca="false">1+IF($G$10=$E$10,$F$10,IF(T94&lt;($F$10-$E$10)/($G$10-$E$10),$E$10+SQRT(T94*($G$10-$E$10)*($F$10-$E$10)),$G$10-SQRT((1-T94)*($G$10-$E$10)*($G$10-$F$10))))</f>
        <v>0.999252903061207</v>
      </c>
      <c r="G94" s="52" t="n">
        <f aca="false">IF($G$11=$E$11,$F$11,IF(U94&lt;($F$11-$E$11)/($G$11-$E$11),$E$11+SQRT(U94*($G$11-$E$11)*($F$11-$E$11)),$G$11-SQRT((1-U94)*($G$11-$E$11)*($G$11-$F$11))))</f>
        <v>0.0929289729340485</v>
      </c>
      <c r="H94" s="53" t="n">
        <f aca="false">(('Business Case'!B11*$C94*'Business Case'!B12*$B94)-'Business Case'!B11*$C94*'Business Case'!B13*$D94-'Business Case'!B14*$E94)-MAX(0,(('Business Case'!B11*$C94*'Business Case'!B12*$B94)-'Business Case'!B11*$C94*'Business Case'!B13*$D94-'Business Case'!B14*$E94))*'Business Case'!$B$7-'Business Case'!$B$8*('Business Case'!B11*$C94*'Business Case'!B12*$B94)-'Business Case'!B15*$F94</f>
        <v>-1998505806.12241</v>
      </c>
      <c r="I94" s="53" t="n">
        <f aca="false">(('Business Case'!C11*$C94*'Business Case'!C12*$B94)-'Business Case'!C11*$C94*'Business Case'!C13*$D94-'Business Case'!C14*$E94)-MAX(0,(('Business Case'!C11*$C94*'Business Case'!C12*$B94)-'Business Case'!C11*$C94*'Business Case'!C13*$D94-'Business Case'!C14*$E94))*'Business Case'!$B$7-'Business Case'!$B$8*(('Business Case'!C11*$C94*'Business Case'!C12*$B94)-('Business Case'!B11*$C94*'Business Case'!B12*$B94))-'Business Case'!C15*$F94</f>
        <v>3130279.63260314</v>
      </c>
      <c r="J94" s="53" t="n">
        <f aca="false">(('Business Case'!D11*$C94*'Business Case'!D12*$B94)-'Business Case'!D11*$C94*'Business Case'!D13*$D94-'Business Case'!D14*$E94)-MAX(0,(('Business Case'!D11*$C94*'Business Case'!D12*$B94)-'Business Case'!D11*$C94*'Business Case'!D13*$D94-'Business Case'!D14*$E94))*'Business Case'!$B$7-'Business Case'!$B$8*(('Business Case'!D11*$C94*'Business Case'!D12*$B94)-('Business Case'!C11*$C94*'Business Case'!C12*$B94))-'Business Case'!D15*$F94</f>
        <v>305754491.612627</v>
      </c>
      <c r="K94" s="53" t="n">
        <f aca="false">(('Business Case'!E11*$C94*'Business Case'!E12*$B94)-'Business Case'!E11*$C94*'Business Case'!E13*$D94-'Business Case'!E14*$E94)-MAX(0,(('Business Case'!E11*$C94*'Business Case'!E12*$B94)-'Business Case'!E11*$C94*'Business Case'!E13*$D94-'Business Case'!E14*$E94))*'Business Case'!$B$7-'Business Case'!$B$8*(('Business Case'!E11*$C94*'Business Case'!E12*$B94)-('Business Case'!D11*$C94*'Business Case'!D12*$B94))-'Business Case'!E15*$F94</f>
        <v>658341348.745711</v>
      </c>
      <c r="L94" s="53" t="n">
        <f aca="false">(('Business Case'!F11*$C94*'Business Case'!F12*$B94)-'Business Case'!F11*$C94*'Business Case'!F13*$D94-'Business Case'!F14*$E94)-MAX(0,(('Business Case'!F11*$C94*'Business Case'!F12*$B94)-'Business Case'!F11*$C94*'Business Case'!F13*$D94-'Business Case'!F14*$E94))*'Business Case'!$B$7-'Business Case'!$B$8*(('Business Case'!F11*$C94*'Business Case'!F12*$B94)-('Business Case'!E11*$C94*'Business Case'!E12*$B94))-'Business Case'!F15*$F94</f>
        <v>793880997.160015</v>
      </c>
      <c r="M94" s="53" t="n">
        <f aca="false">(('Business Case'!G11*$C94*'Business Case'!G12*$B94)-'Business Case'!G11*$C94*'Business Case'!G13*$D94-'Business Case'!G14*$E94)-MAX(0,(('Business Case'!G11*$C94*'Business Case'!G12*$B94)-'Business Case'!G11*$C94*'Business Case'!G13*$D94-'Business Case'!G14*$E94))*'Business Case'!$B$7-'Business Case'!$B$8*(('Business Case'!G11*$C94*'Business Case'!G12*$B94)-('Business Case'!F11*$C94*'Business Case'!F12*$B94))-'Business Case'!G15*$F94+'Business Case'!$B$8*('Business Case'!G11*$C94*'Business Case'!G12*$B94)</f>
        <v>984538008.141982</v>
      </c>
      <c r="N94" s="53" t="n">
        <f aca="false">IF(COUNT('Business Case'!B11:G11)=0,"",H94+NPV(G94,I94:M94))</f>
        <v>-47633130.7735379</v>
      </c>
      <c r="P94" s="54" t="n">
        <f aca="true">RAND()</f>
        <v>0.877705578067396</v>
      </c>
      <c r="Q94" s="54" t="n">
        <f aca="true">RAND()</f>
        <v>0.50202712848098</v>
      </c>
      <c r="R94" s="54" t="n">
        <f aca="true">RAND()</f>
        <v>0.725535921692462</v>
      </c>
      <c r="S94" s="54" t="n">
        <f aca="true">RAND()</f>
        <v>0.741850728020372</v>
      </c>
      <c r="T94" s="54" t="n">
        <f aca="true">RAND()</f>
        <v>0.194067876796532</v>
      </c>
      <c r="U94" s="54" t="n">
        <f aca="true">RAND()</f>
        <v>0.0285962748279621</v>
      </c>
    </row>
    <row r="95" customFormat="false" ht="15" hidden="false" customHeight="false" outlineLevel="0" collapsed="false">
      <c r="A95" s="50" t="n">
        <v>15</v>
      </c>
      <c r="B95" s="51" t="n">
        <f aca="false">1+IF($G$6=$E$6,$F$6,IF(P95&lt;($F$6-$E$6)/($G$6-$E$6),$E$6+SQRT(P95*($G$6-$E$6)*($F$6-$E$6)),$G$6-SQRT((1-P95)*($G$6-$E$6)*($G$6-$F$6))))</f>
        <v>0.972350715163462</v>
      </c>
      <c r="C95" s="51" t="n">
        <f aca="false">1+IF($G$7=$E$7,$F$7,IF(Q95&lt;($F$7-$E$7)/($G$7-$E$7),$E$7+SQRT(Q95*($G$7-$E$7)*($F$7-$E$7)),$G$7-SQRT((1-Q95)*($G$7-$E$7)*($G$7-$F$7))))</f>
        <v>1.04291394640501</v>
      </c>
      <c r="D95" s="51" t="n">
        <f aca="false">1+IF($G$8=$E$8,$F$8,IF(R95&lt;($F$8-$E$8)/($G$8-$E$8),$E$8+SQRT(R95*($G$8-$E$8)*($F$8-$E$8)),$G$8-SQRT((1-R95)*($G$8-$E$8)*($G$8-$F$8))))</f>
        <v>1.00914858816577</v>
      </c>
      <c r="E95" s="51" t="n">
        <f aca="false">1+IF($G$9=$E$9,$F$9,IF(S95&lt;($F$9-$E$9)/($G$9-$E$9),$E$9+SQRT(S95*($G$9-$E$9)*($F$9-$E$9)),$G$9-SQRT((1-S95)*($G$9-$E$9)*($G$9-$F$9))))</f>
        <v>1.01601892601873</v>
      </c>
      <c r="F95" s="51" t="n">
        <f aca="false">1+IF($G$10=$E$10,$F$10,IF(T95&lt;($F$10-$E$10)/($G$10-$E$10),$E$10+SQRT(T95*($G$10-$E$10)*($F$10-$E$10)),$G$10-SQRT((1-T95)*($G$10-$E$10)*($G$10-$F$10))))</f>
        <v>1.05093106190315</v>
      </c>
      <c r="G95" s="52" t="n">
        <f aca="false">IF($G$11=$E$11,$F$11,IF(U95&lt;($F$11-$E$11)/($G$11-$E$11),$E$11+SQRT(U95*($G$11-$E$11)*($F$11-$E$11)),$G$11-SQRT((1-U95)*($G$11-$E$11)*($G$11-$F$11))))</f>
        <v>0.10815171252723</v>
      </c>
      <c r="H95" s="53" t="n">
        <f aca="false">(('Business Case'!B11*$C95*'Business Case'!B12*$B95)-'Business Case'!B11*$C95*'Business Case'!B13*$D95-'Business Case'!B14*$E95)-MAX(0,(('Business Case'!B11*$C95*'Business Case'!B12*$B95)-'Business Case'!B11*$C95*'Business Case'!B13*$D95-'Business Case'!B14*$E95))*'Business Case'!$B$7-'Business Case'!$B$8*('Business Case'!B11*$C95*'Business Case'!B12*$B95)-'Business Case'!B15*$F95</f>
        <v>-2101862123.8063</v>
      </c>
      <c r="I95" s="53" t="n">
        <f aca="false">(('Business Case'!C11*$C95*'Business Case'!C12*$B95)-'Business Case'!C11*$C95*'Business Case'!C13*$D95-'Business Case'!C14*$E95)-MAX(0,(('Business Case'!C11*$C95*'Business Case'!C12*$B95)-'Business Case'!C11*$C95*'Business Case'!C13*$D95-'Business Case'!C14*$E95))*'Business Case'!$B$7-'Business Case'!$B$8*(('Business Case'!C11*$C95*'Business Case'!C12*$B95)-('Business Case'!B11*$C95*'Business Case'!B12*$B95))-'Business Case'!C15*$F95</f>
        <v>-10310645.5721104</v>
      </c>
      <c r="J95" s="53" t="n">
        <f aca="false">(('Business Case'!D11*$C95*'Business Case'!D12*$B95)-'Business Case'!D11*$C95*'Business Case'!D13*$D95-'Business Case'!D14*$E95)-MAX(0,(('Business Case'!D11*$C95*'Business Case'!D12*$B95)-'Business Case'!D11*$C95*'Business Case'!D13*$D95-'Business Case'!D14*$E95))*'Business Case'!$B$7-'Business Case'!$B$8*(('Business Case'!D11*$C95*'Business Case'!D12*$B95)-('Business Case'!C11*$C95*'Business Case'!C12*$B95))-'Business Case'!D15*$F95</f>
        <v>281519516.151819</v>
      </c>
      <c r="K95" s="53" t="n">
        <f aca="false">(('Business Case'!E11*$C95*'Business Case'!E12*$B95)-'Business Case'!E11*$C95*'Business Case'!E13*$D95-'Business Case'!E14*$E95)-MAX(0,(('Business Case'!E11*$C95*'Business Case'!E12*$B95)-'Business Case'!E11*$C95*'Business Case'!E13*$D95-'Business Case'!E14*$E95))*'Business Case'!$B$7-'Business Case'!$B$8*(('Business Case'!E11*$C95*'Business Case'!E12*$B95)-('Business Case'!D11*$C95*'Business Case'!D12*$B95))-'Business Case'!E15*$F95</f>
        <v>625896230.970907</v>
      </c>
      <c r="L95" s="53" t="n">
        <f aca="false">(('Business Case'!F11*$C95*'Business Case'!F12*$B95)-'Business Case'!F11*$C95*'Business Case'!F13*$D95-'Business Case'!F14*$E95)-MAX(0,(('Business Case'!F11*$C95*'Business Case'!F12*$B95)-'Business Case'!F11*$C95*'Business Case'!F13*$D95-'Business Case'!F14*$E95))*'Business Case'!$B$7-'Business Case'!$B$8*(('Business Case'!F11*$C95*'Business Case'!F12*$B95)-('Business Case'!E11*$C95*'Business Case'!E12*$B95))-'Business Case'!F15*$F95</f>
        <v>758219491.429458</v>
      </c>
      <c r="M95" s="53" t="n">
        <f aca="false">(('Business Case'!G11*$C95*'Business Case'!G12*$B95)-'Business Case'!G11*$C95*'Business Case'!G13*$D95-'Business Case'!G14*$E95)-MAX(0,(('Business Case'!G11*$C95*'Business Case'!G12*$B95)-'Business Case'!G11*$C95*'Business Case'!G13*$D95-'Business Case'!G14*$E95))*'Business Case'!$B$7-'Business Case'!$B$8*(('Business Case'!G11*$C95*'Business Case'!G12*$B95)-('Business Case'!F11*$C95*'Business Case'!F12*$B95))-'Business Case'!G15*$F95+'Business Case'!$B$8*('Business Case'!G11*$C95*'Business Case'!G12*$B95)</f>
        <v>950975460.790953</v>
      </c>
      <c r="N95" s="53" t="n">
        <f aca="false">IF(COUNT('Business Case'!B11:G11)=0,"",H95+NPV(G95,I95:M95))</f>
        <v>-350089343.82425</v>
      </c>
      <c r="P95" s="54" t="n">
        <f aca="true">RAND()</f>
        <v>0.285478893554779</v>
      </c>
      <c r="Q95" s="54" t="n">
        <f aca="true">RAND()</f>
        <v>0.781572897627637</v>
      </c>
      <c r="R95" s="54" t="n">
        <f aca="true">RAND()</f>
        <v>0.517315138566954</v>
      </c>
      <c r="S95" s="54" t="n">
        <f aca="true">RAND()</f>
        <v>0.529811947530127</v>
      </c>
      <c r="T95" s="54" t="n">
        <f aca="true">RAND()</f>
        <v>0.555569033893559</v>
      </c>
      <c r="U95" s="54" t="n">
        <f aca="true">RAND()</f>
        <v>0.766030139937654</v>
      </c>
    </row>
    <row r="96" customFormat="false" ht="15" hidden="false" customHeight="false" outlineLevel="0" collapsed="false">
      <c r="A96" s="50" t="n">
        <v>16</v>
      </c>
      <c r="B96" s="51" t="n">
        <f aca="false">1+IF($G$6=$E$6,$F$6,IF(P96&lt;($F$6-$E$6)/($G$6-$E$6),$E$6+SQRT(P96*($G$6-$E$6)*($F$6-$E$6)),$G$6-SQRT((1-P96)*($G$6-$E$6)*($G$6-$F$6))))</f>
        <v>1.01485974551589</v>
      </c>
      <c r="C96" s="51" t="n">
        <f aca="false">1+IF($G$7=$E$7,$F$7,IF(Q96&lt;($F$7-$E$7)/($G$7-$E$7),$E$7+SQRT(Q96*($G$7-$E$7)*($F$7-$E$7)),$G$7-SQRT((1-Q96)*($G$7-$E$7)*($G$7-$F$7))))</f>
        <v>1.08884155834738</v>
      </c>
      <c r="D96" s="51" t="n">
        <f aca="false">1+IF($G$8=$E$8,$F$8,IF(R96&lt;($F$8-$E$8)/($G$8-$E$8),$E$8+SQRT(R96*($G$8-$E$8)*($F$8-$E$8)),$G$8-SQRT((1-R96)*($G$8-$E$8)*($G$8-$F$8))))</f>
        <v>0.97827560547774</v>
      </c>
      <c r="E96" s="51" t="n">
        <f aca="false">1+IF($G$9=$E$9,$F$9,IF(S96&lt;($F$9-$E$9)/($G$9-$E$9),$E$9+SQRT(S96*($G$9-$E$9)*($F$9-$E$9)),$G$9-SQRT((1-S96)*($G$9-$E$9)*($G$9-$F$9))))</f>
        <v>1.01279128617551</v>
      </c>
      <c r="F96" s="51" t="n">
        <f aca="false">1+IF($G$10=$E$10,$F$10,IF(T96&lt;($F$10-$E$10)/($G$10-$E$10),$E$10+SQRT(T96*($G$10-$E$10)*($F$10-$E$10)),$G$10-SQRT((1-T96)*($G$10-$E$10)*($G$10-$F$10))))</f>
        <v>1.05115292563993</v>
      </c>
      <c r="G96" s="52" t="n">
        <f aca="false">IF($G$11=$E$11,$F$11,IF(U96&lt;($F$11-$E$11)/($G$11-$E$11),$E$11+SQRT(U96*($G$11-$E$11)*($F$11-$E$11)),$G$11-SQRT((1-U96)*($G$11-$E$11)*($G$11-$F$11))))</f>
        <v>0.0970869279437261</v>
      </c>
      <c r="H96" s="53" t="n">
        <f aca="false">(('Business Case'!B11*$C96*'Business Case'!B12*$B96)-'Business Case'!B11*$C96*'Business Case'!B13*$D96-'Business Case'!B14*$E96)-MAX(0,(('Business Case'!B11*$C96*'Business Case'!B12*$B96)-'Business Case'!B11*$C96*'Business Case'!B13*$D96-'Business Case'!B14*$E96))*'Business Case'!$B$7-'Business Case'!$B$8*('Business Case'!B11*$C96*'Business Case'!B12*$B96)-'Business Case'!B15*$F96</f>
        <v>-2102305851.27986</v>
      </c>
      <c r="I96" s="53" t="n">
        <f aca="false">(('Business Case'!C11*$C96*'Business Case'!C12*$B96)-'Business Case'!C11*$C96*'Business Case'!C13*$D96-'Business Case'!C14*$E96)-MAX(0,(('Business Case'!C11*$C96*'Business Case'!C12*$B96)-'Business Case'!C11*$C96*'Business Case'!C13*$D96-'Business Case'!C14*$E96))*'Business Case'!$B$7-'Business Case'!$B$8*(('Business Case'!C11*$C96*'Business Case'!C12*$B96)-('Business Case'!B11*$C96*'Business Case'!B12*$B96))-'Business Case'!C15*$F96</f>
        <v>53383018.5394411</v>
      </c>
      <c r="J96" s="53" t="n">
        <f aca="false">(('Business Case'!D11*$C96*'Business Case'!D12*$B96)-'Business Case'!D11*$C96*'Business Case'!D13*$D96-'Business Case'!D14*$E96)-MAX(0,(('Business Case'!D11*$C96*'Business Case'!D12*$B96)-'Business Case'!D11*$C96*'Business Case'!D13*$D96-'Business Case'!D14*$E96))*'Business Case'!$B$7-'Business Case'!$B$8*(('Business Case'!D11*$C96*'Business Case'!D12*$B96)-('Business Case'!C11*$C96*'Business Case'!C12*$B96))-'Business Case'!D15*$F96</f>
        <v>413184563.376543</v>
      </c>
      <c r="K96" s="53" t="n">
        <f aca="false">(('Business Case'!E11*$C96*'Business Case'!E12*$B96)-'Business Case'!E11*$C96*'Business Case'!E13*$D96-'Business Case'!E14*$E96)-MAX(0,(('Business Case'!E11*$C96*'Business Case'!E12*$B96)-'Business Case'!E11*$C96*'Business Case'!E13*$D96-'Business Case'!E14*$E96))*'Business Case'!$B$7-'Business Case'!$B$8*(('Business Case'!E11*$C96*'Business Case'!E12*$B96)-('Business Case'!D11*$C96*'Business Case'!D12*$B96))-'Business Case'!E15*$F96</f>
        <v>825543754.495641</v>
      </c>
      <c r="L96" s="53" t="n">
        <f aca="false">(('Business Case'!F11*$C96*'Business Case'!F12*$B96)-'Business Case'!F11*$C96*'Business Case'!F13*$D96-'Business Case'!F14*$E96)-MAX(0,(('Business Case'!F11*$C96*'Business Case'!F12*$B96)-'Business Case'!F11*$C96*'Business Case'!F13*$D96-'Business Case'!F14*$E96))*'Business Case'!$B$7-'Business Case'!$B$8*(('Business Case'!F11*$C96*'Business Case'!F12*$B96)-('Business Case'!E11*$C96*'Business Case'!E12*$B96))-'Business Case'!F15*$F96</f>
        <v>983667144.667681</v>
      </c>
      <c r="M96" s="53" t="n">
        <f aca="false">(('Business Case'!G11*$C96*'Business Case'!G12*$B96)-'Business Case'!G11*$C96*'Business Case'!G13*$D96-'Business Case'!G14*$E96)-MAX(0,(('Business Case'!G11*$C96*'Business Case'!G12*$B96)-'Business Case'!G11*$C96*'Business Case'!G13*$D96-'Business Case'!G14*$E96))*'Business Case'!$B$7-'Business Case'!$B$8*(('Business Case'!G11*$C96*'Business Case'!G12*$B96)-('Business Case'!F11*$C96*'Business Case'!F12*$B96))-'Business Case'!G15*$F96+'Business Case'!$B$8*('Business Case'!G11*$C96*'Business Case'!G12*$B96)</f>
        <v>1193709625.07922</v>
      </c>
      <c r="N96" s="53" t="n">
        <f aca="false">IF(COUNT('Business Case'!B11:G11)=0,"",H96+NPV(G96,I96:M96))</f>
        <v>344955697.719259</v>
      </c>
      <c r="P96" s="54" t="n">
        <f aca="true">RAND()</f>
        <v>0.868326584265439</v>
      </c>
      <c r="Q96" s="54" t="n">
        <f aca="true">RAND()</f>
        <v>0.928755143135666</v>
      </c>
      <c r="R96" s="54" t="n">
        <f aca="true">RAND()</f>
        <v>0.123001517712739</v>
      </c>
      <c r="S96" s="54" t="n">
        <f aca="true">RAND()</f>
        <v>0.492976015538516</v>
      </c>
      <c r="T96" s="54" t="n">
        <f aca="true">RAND()</f>
        <v>0.556890969088955</v>
      </c>
      <c r="U96" s="54" t="n">
        <f aca="true">RAND()</f>
        <v>0.167415158931886</v>
      </c>
    </row>
    <row r="97" customFormat="false" ht="15" hidden="false" customHeight="false" outlineLevel="0" collapsed="false">
      <c r="A97" s="50" t="n">
        <v>17</v>
      </c>
      <c r="B97" s="51" t="n">
        <f aca="false">1+IF($G$6=$E$6,$F$6,IF(P97&lt;($F$6-$E$6)/($G$6-$E$6),$E$6+SQRT(P97*($G$6-$E$6)*($F$6-$E$6)),$G$6-SQRT((1-P97)*($G$6-$E$6)*($G$6-$F$6))))</f>
        <v>0.954607459884902</v>
      </c>
      <c r="C97" s="51" t="n">
        <f aca="false">1+IF($G$7=$E$7,$F$7,IF(Q97&lt;($F$7-$E$7)/($G$7-$E$7),$E$7+SQRT(Q97*($G$7-$E$7)*($F$7-$E$7)),$G$7-SQRT((1-Q97)*($G$7-$E$7)*($G$7-$F$7))))</f>
        <v>0.929600245237303</v>
      </c>
      <c r="D97" s="51" t="n">
        <f aca="false">1+IF($G$8=$E$8,$F$8,IF(R97&lt;($F$8-$E$8)/($G$8-$E$8),$E$8+SQRT(R97*($G$8-$E$8)*($F$8-$E$8)),$G$8-SQRT((1-R97)*($G$8-$E$8)*($G$8-$F$8))))</f>
        <v>0.9966398108137</v>
      </c>
      <c r="E97" s="51" t="n">
        <f aca="false">1+IF($G$9=$E$9,$F$9,IF(S97&lt;($F$9-$E$9)/($G$9-$E$9),$E$9+SQRT(S97*($G$9-$E$9)*($F$9-$E$9)),$G$9-SQRT((1-S97)*($G$9-$E$9)*($G$9-$F$9))))</f>
        <v>1.00402905364625</v>
      </c>
      <c r="F97" s="51" t="n">
        <f aca="false">1+IF($G$10=$E$10,$F$10,IF(T97&lt;($F$10-$E$10)/($G$10-$E$10),$E$10+SQRT(T97*($G$10-$E$10)*($F$10-$E$10)),$G$10-SQRT((1-T97)*($G$10-$E$10)*($G$10-$F$10))))</f>
        <v>1.07238254053272</v>
      </c>
      <c r="G97" s="52" t="n">
        <f aca="false">IF($G$11=$E$11,$F$11,IF(U97&lt;($F$11-$E$11)/($G$11-$E$11),$E$11+SQRT(U97*($G$11-$E$11)*($F$11-$E$11)),$G$11-SQRT((1-U97)*($G$11-$E$11)*($G$11-$F$11))))</f>
        <v>0.115394874898255</v>
      </c>
      <c r="H97" s="53" t="n">
        <f aca="false">(('Business Case'!B11*$C97*'Business Case'!B12*$B97)-'Business Case'!B11*$C97*'Business Case'!B13*$D97-'Business Case'!B14*$E97)-MAX(0,(('Business Case'!B11*$C97*'Business Case'!B12*$B97)-'Business Case'!B11*$C97*'Business Case'!B13*$D97-'Business Case'!B14*$E97))*'Business Case'!$B$7-'Business Case'!$B$8*('Business Case'!B11*$C97*'Business Case'!B12*$B97)-'Business Case'!B15*$F97</f>
        <v>-2144765081.06545</v>
      </c>
      <c r="I97" s="53" t="n">
        <f aca="false">(('Business Case'!C11*$C97*'Business Case'!C12*$B97)-'Business Case'!C11*$C97*'Business Case'!C13*$D97-'Business Case'!C14*$E97)-MAX(0,(('Business Case'!C11*$C97*'Business Case'!C12*$B97)-'Business Case'!C11*$C97*'Business Case'!C13*$D97-'Business Case'!C14*$E97))*'Business Case'!$B$7-'Business Case'!$B$8*(('Business Case'!C11*$C97*'Business Case'!C12*$B97)-('Business Case'!B11*$C97*'Business Case'!B12*$B97))-'Business Case'!C15*$F97</f>
        <v>-43448862.2032497</v>
      </c>
      <c r="J97" s="53" t="n">
        <f aca="false">(('Business Case'!D11*$C97*'Business Case'!D12*$B97)-'Business Case'!D11*$C97*'Business Case'!D13*$D97-'Business Case'!D14*$E97)-MAX(0,(('Business Case'!D11*$C97*'Business Case'!D12*$B97)-'Business Case'!D11*$C97*'Business Case'!D13*$D97-'Business Case'!D14*$E97))*'Business Case'!$B$7-'Business Case'!$B$8*(('Business Case'!D11*$C97*'Business Case'!D12*$B97)-('Business Case'!C11*$C97*'Business Case'!C12*$B97))-'Business Case'!D15*$F97</f>
        <v>209116449.641007</v>
      </c>
      <c r="K97" s="53" t="n">
        <f aca="false">(('Business Case'!E11*$C97*'Business Case'!E12*$B97)-'Business Case'!E11*$C97*'Business Case'!E13*$D97-'Business Case'!E14*$E97)-MAX(0,(('Business Case'!E11*$C97*'Business Case'!E12*$B97)-'Business Case'!E11*$C97*'Business Case'!E13*$D97-'Business Case'!E14*$E97))*'Business Case'!$B$7-'Business Case'!$B$8*(('Business Case'!E11*$C97*'Business Case'!E12*$B97)-('Business Case'!D11*$C97*'Business Case'!D12*$B97))-'Business Case'!E15*$F97</f>
        <v>515300888.5119</v>
      </c>
      <c r="L97" s="53" t="n">
        <f aca="false">(('Business Case'!F11*$C97*'Business Case'!F12*$B97)-'Business Case'!F11*$C97*'Business Case'!F13*$D97-'Business Case'!F14*$E97)-MAX(0,(('Business Case'!F11*$C97*'Business Case'!F12*$B97)-'Business Case'!F11*$C97*'Business Case'!F13*$D97-'Business Case'!F14*$E97))*'Business Case'!$B$7-'Business Case'!$B$8*(('Business Case'!F11*$C97*'Business Case'!F12*$B97)-('Business Case'!E11*$C97*'Business Case'!E12*$B97))-'Business Case'!F15*$F97</f>
        <v>630157984.837143</v>
      </c>
      <c r="M97" s="53" t="n">
        <f aca="false">(('Business Case'!G11*$C97*'Business Case'!G12*$B97)-'Business Case'!G11*$C97*'Business Case'!G13*$D97-'Business Case'!G14*$E97)-MAX(0,(('Business Case'!G11*$C97*'Business Case'!G12*$B97)-'Business Case'!G11*$C97*'Business Case'!G13*$D97-'Business Case'!G14*$E97))*'Business Case'!$B$7-'Business Case'!$B$8*(('Business Case'!G11*$C97*'Business Case'!G12*$B97)-('Business Case'!F11*$C97*'Business Case'!F12*$B97))-'Business Case'!G15*$F97+'Business Case'!$B$8*('Business Case'!G11*$C97*'Business Case'!G12*$B97)</f>
        <v>798835609.578177</v>
      </c>
      <c r="N97" s="53" t="n">
        <f aca="false">IF(COUNT('Business Case'!B11:G11)=0,"",H97+NPV(G97,I97:M97))</f>
        <v>-774443059.157203</v>
      </c>
      <c r="P97" s="54" t="n">
        <f aca="true">RAND()</f>
        <v>0.12475794580053</v>
      </c>
      <c r="Q97" s="54" t="n">
        <f aca="true">RAND()</f>
        <v>0.239946050936702</v>
      </c>
      <c r="R97" s="54" t="n">
        <f aca="true">RAND()</f>
        <v>0.33465722349811</v>
      </c>
      <c r="S97" s="54" t="n">
        <f aca="true">RAND()</f>
        <v>0.385971830397741</v>
      </c>
      <c r="T97" s="54" t="n">
        <f aca="true">RAND()</f>
        <v>0.674275680782366</v>
      </c>
      <c r="U97" s="54" t="n">
        <f aca="true">RAND()</f>
        <v>0.964654704662132</v>
      </c>
    </row>
    <row r="98" customFormat="false" ht="15" hidden="false" customHeight="false" outlineLevel="0" collapsed="false">
      <c r="A98" s="50" t="n">
        <v>18</v>
      </c>
      <c r="B98" s="51" t="n">
        <f aca="false">1+IF($G$6=$E$6,$F$6,IF(P98&lt;($F$6-$E$6)/($G$6-$E$6),$E$6+SQRT(P98*($G$6-$E$6)*($F$6-$E$6)),$G$6-SQRT((1-P98)*($G$6-$E$6)*($G$6-$F$6))))</f>
        <v>1.00914886123823</v>
      </c>
      <c r="C98" s="51" t="n">
        <f aca="false">1+IF($G$7=$E$7,$F$7,IF(Q98&lt;($F$7-$E$7)/($G$7-$E$7),$E$7+SQRT(Q98*($G$7-$E$7)*($F$7-$E$7)),$G$7-SQRT((1-Q98)*($G$7-$E$7)*($G$7-$F$7))))</f>
        <v>1.04357962631442</v>
      </c>
      <c r="D98" s="51" t="n">
        <f aca="false">1+IF($G$8=$E$8,$F$8,IF(R98&lt;($F$8-$E$8)/($G$8-$E$8),$E$8+SQRT(R98*($G$8-$E$8)*($F$8-$E$8)),$G$8-SQRT((1-R98)*($G$8-$E$8)*($G$8-$F$8))))</f>
        <v>1.00996667543305</v>
      </c>
      <c r="E98" s="51" t="n">
        <f aca="false">1+IF($G$9=$E$9,$F$9,IF(S98&lt;($F$9-$E$9)/($G$9-$E$9),$E$9+SQRT(S98*($G$9-$E$9)*($F$9-$E$9)),$G$9-SQRT((1-S98)*($G$9-$E$9)*($G$9-$F$9))))</f>
        <v>1.04362282580071</v>
      </c>
      <c r="F98" s="51" t="n">
        <f aca="false">1+IF($G$10=$E$10,$F$10,IF(T98&lt;($F$10-$E$10)/($G$10-$E$10),$E$10+SQRT(T98*($G$10-$E$10)*($F$10-$E$10)),$G$10-SQRT((1-T98)*($G$10-$E$10)*($G$10-$F$10))))</f>
        <v>1.10383362854952</v>
      </c>
      <c r="G98" s="52" t="n">
        <f aca="false">IF($G$11=$E$11,$F$11,IF(U98&lt;($F$11-$E$11)/($G$11-$E$11),$E$11+SQRT(U98*($G$11-$E$11)*($F$11-$E$11)),$G$11-SQRT((1-U98)*($G$11-$E$11)*($G$11-$F$11))))</f>
        <v>0.1017074012886</v>
      </c>
      <c r="H98" s="53" t="n">
        <f aca="false">(('Business Case'!B11*$C98*'Business Case'!B12*$B98)-'Business Case'!B11*$C98*'Business Case'!B13*$D98-'Business Case'!B14*$E98)-MAX(0,(('Business Case'!B11*$C98*'Business Case'!B12*$B98)-'Business Case'!B11*$C98*'Business Case'!B13*$D98-'Business Case'!B14*$E98))*'Business Case'!$B$7-'Business Case'!$B$8*('Business Case'!B11*$C98*'Business Case'!B12*$B98)-'Business Case'!B15*$F98</f>
        <v>-2207667257.09905</v>
      </c>
      <c r="I98" s="53" t="n">
        <f aca="false">(('Business Case'!C11*$C98*'Business Case'!C12*$B98)-'Business Case'!C11*$C98*'Business Case'!C13*$D98-'Business Case'!C14*$E98)-MAX(0,(('Business Case'!C11*$C98*'Business Case'!C12*$B98)-'Business Case'!C11*$C98*'Business Case'!C13*$D98-'Business Case'!C14*$E98))*'Business Case'!$B$7-'Business Case'!$B$8*(('Business Case'!C11*$C98*'Business Case'!C12*$B98)-('Business Case'!B11*$C98*'Business Case'!B12*$B98))-'Business Case'!C15*$F98</f>
        <v>9652580.54376799</v>
      </c>
      <c r="J98" s="53" t="n">
        <f aca="false">(('Business Case'!D11*$C98*'Business Case'!D12*$B98)-'Business Case'!D11*$C98*'Business Case'!D13*$D98-'Business Case'!D14*$E98)-MAX(0,(('Business Case'!D11*$C98*'Business Case'!D12*$B98)-'Business Case'!D11*$C98*'Business Case'!D13*$D98-'Business Case'!D14*$E98))*'Business Case'!$B$7-'Business Case'!$B$8*(('Business Case'!D11*$C98*'Business Case'!D12*$B98)-('Business Case'!C11*$C98*'Business Case'!C12*$B98))-'Business Case'!D15*$F98</f>
        <v>332685803.379052</v>
      </c>
      <c r="K98" s="53" t="n">
        <f aca="false">(('Business Case'!E11*$C98*'Business Case'!E12*$B98)-'Business Case'!E11*$C98*'Business Case'!E13*$D98-'Business Case'!E14*$E98)-MAX(0,(('Business Case'!E11*$C98*'Business Case'!E12*$B98)-'Business Case'!E11*$C98*'Business Case'!E13*$D98-'Business Case'!E14*$E98))*'Business Case'!$B$7-'Business Case'!$B$8*(('Business Case'!E11*$C98*'Business Case'!E12*$B98)-('Business Case'!D11*$C98*'Business Case'!D12*$B98))-'Business Case'!E15*$F98</f>
        <v>710910707.641812</v>
      </c>
      <c r="L98" s="53" t="n">
        <f aca="false">(('Business Case'!F11*$C98*'Business Case'!F12*$B98)-'Business Case'!F11*$C98*'Business Case'!F13*$D98-'Business Case'!F14*$E98)-MAX(0,(('Business Case'!F11*$C98*'Business Case'!F12*$B98)-'Business Case'!F11*$C98*'Business Case'!F13*$D98-'Business Case'!F14*$E98))*'Business Case'!$B$7-'Business Case'!$B$8*(('Business Case'!F11*$C98*'Business Case'!F12*$B98)-('Business Case'!E11*$C98*'Business Case'!E12*$B98))-'Business Case'!F15*$F98</f>
        <v>854984524.325375</v>
      </c>
      <c r="M98" s="53" t="n">
        <f aca="false">(('Business Case'!G11*$C98*'Business Case'!G12*$B98)-'Business Case'!G11*$C98*'Business Case'!G13*$D98-'Business Case'!G14*$E98)-MAX(0,(('Business Case'!G11*$C98*'Business Case'!G12*$B98)-'Business Case'!G11*$C98*'Business Case'!G13*$D98-'Business Case'!G14*$E98))*'Business Case'!$B$7-'Business Case'!$B$8*(('Business Case'!G11*$C98*'Business Case'!G12*$B98)-('Business Case'!F11*$C98*'Business Case'!F12*$B98))-'Business Case'!G15*$F98+'Business Case'!$B$8*('Business Case'!G11*$C98*'Business Case'!G12*$B98)</f>
        <v>1055162940.88695</v>
      </c>
      <c r="N98" s="53" t="n">
        <f aca="false">IF(COUNT('Business Case'!B11:G11)=0,"",H98+NPV(G98,I98:M98))</f>
        <v>-162705808.693983</v>
      </c>
      <c r="P98" s="54" t="n">
        <f aca="true">RAND()</f>
        <v>0.801709841062882</v>
      </c>
      <c r="Q98" s="54" t="n">
        <f aca="true">RAND()</f>
        <v>0.784280077421375</v>
      </c>
      <c r="R98" s="54" t="n">
        <f aca="true">RAND()</f>
        <v>0.528397447124978</v>
      </c>
      <c r="S98" s="54" t="n">
        <f aca="true">RAND()</f>
        <v>0.788107615286855</v>
      </c>
      <c r="T98" s="54" t="n">
        <f aca="true">RAND()</f>
        <v>0.815040580040979</v>
      </c>
      <c r="U98" s="54" t="n">
        <f aca="true">RAND()</f>
        <v>0.442301387306119</v>
      </c>
    </row>
    <row r="99" customFormat="false" ht="15" hidden="false" customHeight="false" outlineLevel="0" collapsed="false">
      <c r="A99" s="50" t="n">
        <v>19</v>
      </c>
      <c r="B99" s="51" t="n">
        <f aca="false">1+IF($G$6=$E$6,$F$6,IF(P99&lt;($F$6-$E$6)/($G$6-$E$6),$E$6+SQRT(P99*($G$6-$E$6)*($F$6-$E$6)),$G$6-SQRT((1-P99)*($G$6-$E$6)*($G$6-$F$6))))</f>
        <v>1.02321744537519</v>
      </c>
      <c r="C99" s="51" t="n">
        <f aca="false">1+IF($G$7=$E$7,$F$7,IF(Q99&lt;($F$7-$E$7)/($G$7-$E$7),$E$7+SQRT(Q99*($G$7-$E$7)*($F$7-$E$7)),$G$7-SQRT((1-Q99)*($G$7-$E$7)*($G$7-$F$7))))</f>
        <v>0.863156003065453</v>
      </c>
      <c r="D99" s="51" t="n">
        <f aca="false">1+IF($G$8=$E$8,$F$8,IF(R99&lt;($F$8-$E$8)/($G$8-$E$8),$E$8+SQRT(R99*($G$8-$E$8)*($F$8-$E$8)),$G$8-SQRT((1-R99)*($G$8-$E$8)*($G$8-$F$8))))</f>
        <v>1.02400827717737</v>
      </c>
      <c r="E99" s="51" t="n">
        <f aca="false">1+IF($G$9=$E$9,$F$9,IF(S99&lt;($F$9-$E$9)/($G$9-$E$9),$E$9+SQRT(S99*($G$9-$E$9)*($F$9-$E$9)),$G$9-SQRT((1-S99)*($G$9-$E$9)*($G$9-$F$9))))</f>
        <v>0.989062619410977</v>
      </c>
      <c r="F99" s="51" t="n">
        <f aca="false">1+IF($G$10=$E$10,$F$10,IF(T99&lt;($F$10-$E$10)/($G$10-$E$10),$E$10+SQRT(T99*($G$10-$E$10)*($F$10-$E$10)),$G$10-SQRT((1-T99)*($G$10-$E$10)*($G$10-$F$10))))</f>
        <v>0.986460917301951</v>
      </c>
      <c r="G99" s="52" t="n">
        <f aca="false">IF($G$11=$E$11,$F$11,IF(U99&lt;($F$11-$E$11)/($G$11-$E$11),$E$11+SQRT(U99*($G$11-$E$11)*($F$11-$E$11)),$G$11-SQRT((1-U99)*($G$11-$E$11)*($G$11-$F$11))))</f>
        <v>0.114151515883891</v>
      </c>
      <c r="H99" s="53" t="n">
        <f aca="false">(('Business Case'!B11*$C99*'Business Case'!B12*$B99)-'Business Case'!B11*$C99*'Business Case'!B13*$D99-'Business Case'!B14*$E99)-MAX(0,(('Business Case'!B11*$C99*'Business Case'!B12*$B99)-'Business Case'!B11*$C99*'Business Case'!B13*$D99-'Business Case'!B14*$E99))*'Business Case'!$B$7-'Business Case'!$B$8*('Business Case'!B11*$C99*'Business Case'!B12*$B99)-'Business Case'!B15*$F99</f>
        <v>-1972921834.6039</v>
      </c>
      <c r="I99" s="53" t="n">
        <f aca="false">(('Business Case'!C11*$C99*'Business Case'!C12*$B99)-'Business Case'!C11*$C99*'Business Case'!C13*$D99-'Business Case'!C14*$E99)-MAX(0,(('Business Case'!C11*$C99*'Business Case'!C12*$B99)-'Business Case'!C11*$C99*'Business Case'!C13*$D99-'Business Case'!C14*$E99))*'Business Case'!$B$7-'Business Case'!$B$8*(('Business Case'!C11*$C99*'Business Case'!C12*$B99)-('Business Case'!B11*$C99*'Business Case'!B12*$B99))-'Business Case'!C15*$F99</f>
        <v>-14149629.7990841</v>
      </c>
      <c r="J99" s="53" t="n">
        <f aca="false">(('Business Case'!D11*$C99*'Business Case'!D12*$B99)-'Business Case'!D11*$C99*'Business Case'!D13*$D99-'Business Case'!D14*$E99)-MAX(0,(('Business Case'!D11*$C99*'Business Case'!D12*$B99)-'Business Case'!D11*$C99*'Business Case'!D13*$D99-'Business Case'!D14*$E99))*'Business Case'!$B$7-'Business Case'!$B$8*(('Business Case'!D11*$C99*'Business Case'!D12*$B99)-('Business Case'!C11*$C99*'Business Case'!C12*$B99))-'Business Case'!D15*$F99</f>
        <v>256776431.789079</v>
      </c>
      <c r="K99" s="53" t="n">
        <f aca="false">(('Business Case'!E11*$C99*'Business Case'!E12*$B99)-'Business Case'!E11*$C99*'Business Case'!E13*$D99-'Business Case'!E14*$E99)-MAX(0,(('Business Case'!E11*$C99*'Business Case'!E12*$B99)-'Business Case'!E11*$C99*'Business Case'!E13*$D99-'Business Case'!E14*$E99))*'Business Case'!$B$7-'Business Case'!$B$8*(('Business Case'!E11*$C99*'Business Case'!E12*$B99)-('Business Case'!D11*$C99*'Business Case'!D12*$B99))-'Business Case'!E15*$F99</f>
        <v>577025539.24234</v>
      </c>
      <c r="L99" s="53" t="n">
        <f aca="false">(('Business Case'!F11*$C99*'Business Case'!F12*$B99)-'Business Case'!F11*$C99*'Business Case'!F13*$D99-'Business Case'!F14*$E99)-MAX(0,(('Business Case'!F11*$C99*'Business Case'!F12*$B99)-'Business Case'!F11*$C99*'Business Case'!F13*$D99-'Business Case'!F14*$E99))*'Business Case'!$B$7-'Business Case'!$B$8*(('Business Case'!F11*$C99*'Business Case'!F12*$B99)-('Business Case'!E11*$C99*'Business Case'!E12*$B99))-'Business Case'!F15*$F99</f>
        <v>697857489.889603</v>
      </c>
      <c r="M99" s="53" t="n">
        <f aca="false">(('Business Case'!G11*$C99*'Business Case'!G12*$B99)-'Business Case'!G11*$C99*'Business Case'!G13*$D99-'Business Case'!G14*$E99)-MAX(0,(('Business Case'!G11*$C99*'Business Case'!G12*$B99)-'Business Case'!G11*$C99*'Business Case'!G13*$D99-'Business Case'!G14*$E99))*'Business Case'!$B$7-'Business Case'!$B$8*(('Business Case'!G11*$C99*'Business Case'!G12*$B99)-('Business Case'!F11*$C99*'Business Case'!F12*$B99))-'Business Case'!G15*$F99+'Business Case'!$B$8*('Business Case'!G11*$C99*'Business Case'!G12*$B99)</f>
        <v>865735438.871245</v>
      </c>
      <c r="N99" s="53" t="n">
        <f aca="false">IF(COUNT('Business Case'!B11:G11)=0,"",H99+NPV(G99,I99:M99))</f>
        <v>-404391414.779756</v>
      </c>
      <c r="P99" s="54" t="n">
        <f aca="true">RAND()</f>
        <v>0.941322054221912</v>
      </c>
      <c r="Q99" s="54" t="n">
        <f aca="true">RAND()</f>
        <v>0.0569811531886223</v>
      </c>
      <c r="R99" s="54" t="n">
        <f aca="true">RAND()</f>
        <v>0.698550670707059</v>
      </c>
      <c r="S99" s="54" t="n">
        <f aca="true">RAND()</f>
        <v>0.203451764699574</v>
      </c>
      <c r="T99" s="54" t="n">
        <f aca="true">RAND()</f>
        <v>0.106351879239974</v>
      </c>
      <c r="U99" s="54" t="n">
        <f aca="true">RAND()</f>
        <v>0.942992055906039</v>
      </c>
    </row>
    <row r="100" customFormat="false" ht="15" hidden="false" customHeight="false" outlineLevel="0" collapsed="false">
      <c r="A100" s="50" t="n">
        <v>20</v>
      </c>
      <c r="B100" s="51" t="n">
        <f aca="false">1+IF($G$6=$E$6,$F$6,IF(P100&lt;($F$6-$E$6)/($G$6-$E$6),$E$6+SQRT(P100*($G$6-$E$6)*($F$6-$E$6)),$G$6-SQRT((1-P100)*($G$6-$E$6)*($G$6-$F$6))))</f>
        <v>0.995791488443073</v>
      </c>
      <c r="C100" s="51" t="n">
        <f aca="false">1+IF($G$7=$E$7,$F$7,IF(Q100&lt;($F$7-$E$7)/($G$7-$E$7),$E$7+SQRT(Q100*($G$7-$E$7)*($F$7-$E$7)),$G$7-SQRT((1-Q100)*($G$7-$E$7)*($G$7-$F$7))))</f>
        <v>0.912025829531159</v>
      </c>
      <c r="D100" s="51" t="n">
        <f aca="false">1+IF($G$8=$E$8,$F$8,IF(R100&lt;($F$8-$E$8)/($G$8-$E$8),$E$8+SQRT(R100*($G$8-$E$8)*($F$8-$E$8)),$G$8-SQRT((1-R100)*($G$8-$E$8)*($G$8-$F$8))))</f>
        <v>0.995526207866988</v>
      </c>
      <c r="E100" s="51" t="n">
        <f aca="false">1+IF($G$9=$E$9,$F$9,IF(S100&lt;($F$9-$E$9)/($G$9-$E$9),$E$9+SQRT(S100*($G$9-$E$9)*($F$9-$E$9)),$G$9-SQRT((1-S100)*($G$9-$E$9)*($G$9-$F$9))))</f>
        <v>1.05656418969858</v>
      </c>
      <c r="F100" s="51" t="n">
        <f aca="false">1+IF($G$10=$E$10,$F$10,IF(T100&lt;($F$10-$E$10)/($G$10-$E$10),$E$10+SQRT(T100*($G$10-$E$10)*($F$10-$E$10)),$G$10-SQRT((1-T100)*($G$10-$E$10)*($G$10-$F$10))))</f>
        <v>1.01769273195762</v>
      </c>
      <c r="G100" s="52" t="n">
        <f aca="false">IF($G$11=$E$11,$F$11,IF(U100&lt;($F$11-$E$11)/($G$11-$E$11),$E$11+SQRT(U100*($G$11-$E$11)*($F$11-$E$11)),$G$11-SQRT((1-U100)*($G$11-$E$11)*($G$11-$F$11))))</f>
        <v>0.110489673949618</v>
      </c>
      <c r="H100" s="53" t="n">
        <f aca="false">(('Business Case'!B11*$C100*'Business Case'!B12*$B100)-'Business Case'!B11*$C100*'Business Case'!B13*$D100-'Business Case'!B14*$E100)-MAX(0,(('Business Case'!B11*$C100*'Business Case'!B12*$B100)-'Business Case'!B11*$C100*'Business Case'!B13*$D100-'Business Case'!B14*$E100))*'Business Case'!$B$7-'Business Case'!$B$8*('Business Case'!B11*$C100*'Business Case'!B12*$B100)-'Business Case'!B15*$F100</f>
        <v>-2035385463.91524</v>
      </c>
      <c r="I100" s="53" t="n">
        <f aca="false">(('Business Case'!C11*$C100*'Business Case'!C12*$B100)-'Business Case'!C11*$C100*'Business Case'!C13*$D100-'Business Case'!C14*$E100)-MAX(0,(('Business Case'!C11*$C100*'Business Case'!C12*$B100)-'Business Case'!C11*$C100*'Business Case'!C13*$D100-'Business Case'!C14*$E100))*'Business Case'!$B$7-'Business Case'!$B$8*(('Business Case'!C11*$C100*'Business Case'!C12*$B100)-('Business Case'!B11*$C100*'Business Case'!B12*$B100))-'Business Case'!C15*$F100</f>
        <v>-20017663.7632755</v>
      </c>
      <c r="J100" s="53" t="n">
        <f aca="false">(('Business Case'!D11*$C100*'Business Case'!D12*$B100)-'Business Case'!D11*$C100*'Business Case'!D13*$D100-'Business Case'!D14*$E100)-MAX(0,(('Business Case'!D11*$C100*'Business Case'!D12*$B100)-'Business Case'!D11*$C100*'Business Case'!D13*$D100-'Business Case'!D14*$E100))*'Business Case'!$B$7-'Business Case'!$B$8*(('Business Case'!D11*$C100*'Business Case'!D12*$B100)-('Business Case'!C11*$C100*'Business Case'!C12*$B100))-'Business Case'!D15*$F100</f>
        <v>259057816.465966</v>
      </c>
      <c r="K100" s="53" t="n">
        <f aca="false">(('Business Case'!E11*$C100*'Business Case'!E12*$B100)-'Business Case'!E11*$C100*'Business Case'!E13*$D100-'Business Case'!E14*$E100)-MAX(0,(('Business Case'!E11*$C100*'Business Case'!E12*$B100)-'Business Case'!E11*$C100*'Business Case'!E13*$D100-'Business Case'!E14*$E100))*'Business Case'!$B$7-'Business Case'!$B$8*(('Business Case'!E11*$C100*'Business Case'!E12*$B100)-('Business Case'!D11*$C100*'Business Case'!D12*$B100))-'Business Case'!E15*$F100</f>
        <v>589017933.293088</v>
      </c>
      <c r="L100" s="53" t="n">
        <f aca="false">(('Business Case'!F11*$C100*'Business Case'!F12*$B100)-'Business Case'!F11*$C100*'Business Case'!F13*$D100-'Business Case'!F14*$E100)-MAX(0,(('Business Case'!F11*$C100*'Business Case'!F12*$B100)-'Business Case'!F11*$C100*'Business Case'!F13*$D100-'Business Case'!F14*$E100))*'Business Case'!$B$7-'Business Case'!$B$8*(('Business Case'!F11*$C100*'Business Case'!F12*$B100)-('Business Case'!E11*$C100*'Business Case'!E12*$B100))-'Business Case'!F15*$F100</f>
        <v>713430055.383913</v>
      </c>
      <c r="M100" s="53" t="n">
        <f aca="false">(('Business Case'!G11*$C100*'Business Case'!G12*$B100)-'Business Case'!G11*$C100*'Business Case'!G13*$D100-'Business Case'!G14*$E100)-MAX(0,(('Business Case'!G11*$C100*'Business Case'!G12*$B100)-'Business Case'!G11*$C100*'Business Case'!G13*$D100-'Business Case'!G14*$E100))*'Business Case'!$B$7-'Business Case'!$B$8*(('Business Case'!G11*$C100*'Business Case'!G12*$B100)-('Business Case'!F11*$C100*'Business Case'!F12*$B100))-'Business Case'!G15*$F100+'Business Case'!$B$8*('Business Case'!G11*$C100*'Business Case'!G12*$B100)</f>
        <v>886058346.463175</v>
      </c>
      <c r="N100" s="53" t="n">
        <f aca="false">IF(COUNT('Business Case'!B11:G11)=0,"",H100+NPV(G100,I100:M100))</f>
        <v>-419420050.47248</v>
      </c>
      <c r="P100" s="54" t="n">
        <f aca="true">RAND()</f>
        <v>0.598369762543381</v>
      </c>
      <c r="Q100" s="54" t="n">
        <f aca="true">RAND()</f>
        <v>0.179282664030634</v>
      </c>
      <c r="R100" s="54" t="n">
        <f aca="true">RAND()</f>
        <v>0.318867015807418</v>
      </c>
      <c r="S100" s="54" t="n">
        <f aca="true">RAND()</f>
        <v>0.874222025563937</v>
      </c>
      <c r="T100" s="54" t="n">
        <f aca="true">RAND()</f>
        <v>0.335281200378473</v>
      </c>
      <c r="U100" s="54" t="n">
        <f aca="true">RAND()</f>
        <v>0.849256164025721</v>
      </c>
    </row>
    <row r="101" customFormat="false" ht="15" hidden="false" customHeight="false" outlineLevel="0" collapsed="false">
      <c r="A101" s="50" t="n">
        <v>21</v>
      </c>
      <c r="B101" s="51" t="n">
        <f aca="false">1+IF($G$6=$E$6,$F$6,IF(P101&lt;($F$6-$E$6)/($G$6-$E$6),$E$6+SQRT(P101*($G$6-$E$6)*($F$6-$E$6)),$G$6-SQRT((1-P101)*($G$6-$E$6)*($G$6-$F$6))))</f>
        <v>0.930342243980311</v>
      </c>
      <c r="C101" s="51" t="n">
        <f aca="false">1+IF($G$7=$E$7,$F$7,IF(Q101&lt;($F$7-$E$7)/($G$7-$E$7),$E$7+SQRT(Q101*($G$7-$E$7)*($F$7-$E$7)),$G$7-SQRT((1-Q101)*($G$7-$E$7)*($G$7-$F$7))))</f>
        <v>1.02610924664327</v>
      </c>
      <c r="D101" s="51" t="n">
        <f aca="false">1+IF($G$8=$E$8,$F$8,IF(R101&lt;($F$8-$E$8)/($G$8-$E$8),$E$8+SQRT(R101*($G$8-$E$8)*($F$8-$E$8)),$G$8-SQRT((1-R101)*($G$8-$E$8)*($G$8-$F$8))))</f>
        <v>0.973619579254018</v>
      </c>
      <c r="E101" s="51" t="n">
        <f aca="false">1+IF($G$9=$E$9,$F$9,IF(S101&lt;($F$9-$E$9)/($G$9-$E$9),$E$9+SQRT(S101*($G$9-$E$9)*($F$9-$E$9)),$G$9-SQRT((1-S101)*($G$9-$E$9)*($G$9-$F$9))))</f>
        <v>0.978620726466998</v>
      </c>
      <c r="F101" s="51" t="n">
        <f aca="false">1+IF($G$10=$E$10,$F$10,IF(T101&lt;($F$10-$E$10)/($G$10-$E$10),$E$10+SQRT(T101*($G$10-$E$10)*($F$10-$E$10)),$G$10-SQRT((1-T101)*($G$10-$E$10)*($G$10-$F$10))))</f>
        <v>1.1025824162801</v>
      </c>
      <c r="G101" s="52" t="n">
        <f aca="false">IF($G$11=$E$11,$F$11,IF(U101&lt;($F$11-$E$11)/($G$11-$E$11),$E$11+SQRT(U101*($G$11-$E$11)*($F$11-$E$11)),$G$11-SQRT((1-U101)*($G$11-$E$11)*($G$11-$F$11))))</f>
        <v>0.096445035834047</v>
      </c>
      <c r="H101" s="53" t="n">
        <f aca="false">(('Business Case'!B11*$C101*'Business Case'!B12*$B101)-'Business Case'!B11*$C101*'Business Case'!B13*$D101-'Business Case'!B14*$E101)-MAX(0,(('Business Case'!B11*$C101*'Business Case'!B12*$B101)-'Business Case'!B11*$C101*'Business Case'!B13*$D101-'Business Case'!B14*$E101))*'Business Case'!$B$7-'Business Case'!$B$8*('Business Case'!B11*$C101*'Business Case'!B12*$B101)-'Business Case'!B15*$F101</f>
        <v>-2205164832.56021</v>
      </c>
      <c r="I101" s="53" t="n">
        <f aca="false">(('Business Case'!C11*$C101*'Business Case'!C12*$B101)-'Business Case'!C11*$C101*'Business Case'!C13*$D101-'Business Case'!C14*$E101)-MAX(0,(('Business Case'!C11*$C101*'Business Case'!C12*$B101)-'Business Case'!C11*$C101*'Business Case'!C13*$D101-'Business Case'!C14*$E101))*'Business Case'!$B$7-'Business Case'!$B$8*(('Business Case'!C11*$C101*'Business Case'!C12*$B101)-('Business Case'!B11*$C101*'Business Case'!B12*$B101))-'Business Case'!C15*$F101</f>
        <v>-28421876.4883624</v>
      </c>
      <c r="J101" s="53" t="n">
        <f aca="false">(('Business Case'!D11*$C101*'Business Case'!D12*$B101)-'Business Case'!D11*$C101*'Business Case'!D13*$D101-'Business Case'!D14*$E101)-MAX(0,(('Business Case'!D11*$C101*'Business Case'!D12*$B101)-'Business Case'!D11*$C101*'Business Case'!D13*$D101-'Business Case'!D14*$E101))*'Business Case'!$B$7-'Business Case'!$B$8*(('Business Case'!D11*$C101*'Business Case'!D12*$B101)-('Business Case'!C11*$C101*'Business Case'!C12*$B101))-'Business Case'!D15*$F101</f>
        <v>242062519.222972</v>
      </c>
      <c r="K101" s="53" t="n">
        <f aca="false">(('Business Case'!E11*$C101*'Business Case'!E12*$B101)-'Business Case'!E11*$C101*'Business Case'!E13*$D101-'Business Case'!E14*$E101)-MAX(0,(('Business Case'!E11*$C101*'Business Case'!E12*$B101)-'Business Case'!E11*$C101*'Business Case'!E13*$D101-'Business Case'!E14*$E101))*'Business Case'!$B$7-'Business Case'!$B$8*(('Business Case'!E11*$C101*'Business Case'!E12*$B101)-('Business Case'!D11*$C101*'Business Case'!D12*$B101))-'Business Case'!E15*$F101</f>
        <v>567676035.748313</v>
      </c>
      <c r="L101" s="53" t="n">
        <f aca="false">(('Business Case'!F11*$C101*'Business Case'!F12*$B101)-'Business Case'!F11*$C101*'Business Case'!F13*$D101-'Business Case'!F14*$E101)-MAX(0,(('Business Case'!F11*$C101*'Business Case'!F12*$B101)-'Business Case'!F11*$C101*'Business Case'!F13*$D101-'Business Case'!F14*$E101))*'Business Case'!$B$7-'Business Case'!$B$8*(('Business Case'!F11*$C101*'Business Case'!F12*$B101)-('Business Case'!E11*$C101*'Business Case'!E12*$B101))-'Business Case'!F15*$F101</f>
        <v>690829609.830811</v>
      </c>
      <c r="M101" s="53" t="n">
        <f aca="false">(('Business Case'!G11*$C101*'Business Case'!G12*$B101)-'Business Case'!G11*$C101*'Business Case'!G13*$D101-'Business Case'!G14*$E101)-MAX(0,(('Business Case'!G11*$C101*'Business Case'!G12*$B101)-'Business Case'!G11*$C101*'Business Case'!G13*$D101-'Business Case'!G14*$E101))*'Business Case'!$B$7-'Business Case'!$B$8*(('Business Case'!G11*$C101*'Business Case'!G12*$B101)-('Business Case'!F11*$C101*'Business Case'!F12*$B101))-'Business Case'!G15*$F101+'Business Case'!$B$8*('Business Case'!G11*$C101*'Business Case'!G12*$B101)</f>
        <v>872286208.480437</v>
      </c>
      <c r="N101" s="53" t="n">
        <f aca="false">IF(COUNT('Business Case'!B11:G11)=0,"",H101+NPV(G101,I101:M101))</f>
        <v>-570616519.492564</v>
      </c>
      <c r="P101" s="54" t="n">
        <f aca="true">RAND()</f>
        <v>0.0111418760987785</v>
      </c>
      <c r="Q101" s="54" t="n">
        <f aca="true">RAND()</f>
        <v>0.707639642527653</v>
      </c>
      <c r="R101" s="54" t="n">
        <f aca="true">RAND()</f>
        <v>0.0858283883287477</v>
      </c>
      <c r="S101" s="54" t="n">
        <f aca="true">RAND()</f>
        <v>0.109219464466495</v>
      </c>
      <c r="T101" s="54" t="n">
        <f aca="true">RAND()</f>
        <v>0.810196287643539</v>
      </c>
      <c r="U101" s="54" t="n">
        <f aca="true">RAND()</f>
        <v>0.138461623007166</v>
      </c>
    </row>
    <row r="102" customFormat="false" ht="15" hidden="false" customHeight="false" outlineLevel="0" collapsed="false">
      <c r="A102" s="50" t="n">
        <v>22</v>
      </c>
      <c r="B102" s="51" t="n">
        <f aca="false">1+IF($G$6=$E$6,$F$6,IF(P102&lt;($F$6-$E$6)/($G$6-$E$6),$E$6+SQRT(P102*($G$6-$E$6)*($F$6-$E$6)),$G$6-SQRT((1-P102)*($G$6-$E$6)*($G$6-$F$6))))</f>
        <v>0.964579560428036</v>
      </c>
      <c r="C102" s="51" t="n">
        <f aca="false">1+IF($G$7=$E$7,$F$7,IF(Q102&lt;($F$7-$E$7)/($G$7-$E$7),$E$7+SQRT(Q102*($G$7-$E$7)*($F$7-$E$7)),$G$7-SQRT((1-Q102)*($G$7-$E$7)*($G$7-$F$7))))</f>
        <v>0.938185558327473</v>
      </c>
      <c r="D102" s="51" t="n">
        <f aca="false">1+IF($G$8=$E$8,$F$8,IF(R102&lt;($F$8-$E$8)/($G$8-$E$8),$E$8+SQRT(R102*($G$8-$E$8)*($F$8-$E$8)),$G$8-SQRT((1-R102)*($G$8-$E$8)*($G$8-$F$8))))</f>
        <v>1.04510023954464</v>
      </c>
      <c r="E102" s="51" t="n">
        <f aca="false">1+IF($G$9=$E$9,$F$9,IF(S102&lt;($F$9-$E$9)/($G$9-$E$9),$E$9+SQRT(S102*($G$9-$E$9)*($F$9-$E$9)),$G$9-SQRT((1-S102)*($G$9-$E$9)*($G$9-$F$9))))</f>
        <v>1.02593456271969</v>
      </c>
      <c r="F102" s="51" t="n">
        <f aca="false">1+IF($G$10=$E$10,$F$10,IF(T102&lt;($F$10-$E$10)/($G$10-$E$10),$E$10+SQRT(T102*($G$10-$E$10)*($F$10-$E$10)),$G$10-SQRT((1-T102)*($G$10-$E$10)*($G$10-$F$10))))</f>
        <v>1.14185355077383</v>
      </c>
      <c r="G102" s="52" t="n">
        <f aca="false">IF($G$11=$E$11,$F$11,IF(U102&lt;($F$11-$E$11)/($G$11-$E$11),$E$11+SQRT(U102*($G$11-$E$11)*($F$11-$E$11)),$G$11-SQRT((1-U102)*($G$11-$E$11)*($G$11-$F$11))))</f>
        <v>0.101670461887429</v>
      </c>
      <c r="H102" s="53" t="n">
        <f aca="false">(('Business Case'!B11*$C102*'Business Case'!B12*$B102)-'Business Case'!B11*$C102*'Business Case'!B13*$D102-'Business Case'!B14*$E102)-MAX(0,(('Business Case'!B11*$C102*'Business Case'!B12*$B102)-'Business Case'!B11*$C102*'Business Case'!B13*$D102-'Business Case'!B14*$E102))*'Business Case'!$B$7-'Business Case'!$B$8*('Business Case'!B11*$C102*'Business Case'!B12*$B102)-'Business Case'!B15*$F102</f>
        <v>-2283707101.54765</v>
      </c>
      <c r="I102" s="53" t="n">
        <f aca="false">(('Business Case'!C11*$C102*'Business Case'!C12*$B102)-'Business Case'!C11*$C102*'Business Case'!C13*$D102-'Business Case'!C14*$E102)-MAX(0,(('Business Case'!C11*$C102*'Business Case'!C12*$B102)-'Business Case'!C11*$C102*'Business Case'!C13*$D102-'Business Case'!C14*$E102))*'Business Case'!$B$7-'Business Case'!$B$8*(('Business Case'!C11*$C102*'Business Case'!C12*$B102)-('Business Case'!B11*$C102*'Business Case'!B12*$B102))-'Business Case'!C15*$F102</f>
        <v>-67699623.3660313</v>
      </c>
      <c r="J102" s="53" t="n">
        <f aca="false">(('Business Case'!D11*$C102*'Business Case'!D12*$B102)-'Business Case'!D11*$C102*'Business Case'!D13*$D102-'Business Case'!D14*$E102)-MAX(0,(('Business Case'!D11*$C102*'Business Case'!D12*$B102)-'Business Case'!D11*$C102*'Business Case'!D13*$D102-'Business Case'!D14*$E102))*'Business Case'!$B$7-'Business Case'!$B$8*(('Business Case'!D11*$C102*'Business Case'!D12*$B102)-('Business Case'!C11*$C102*'Business Case'!C12*$B102))-'Business Case'!D15*$F102</f>
        <v>171586850.325383</v>
      </c>
      <c r="K102" s="53" t="n">
        <f aca="false">(('Business Case'!E11*$C102*'Business Case'!E12*$B102)-'Business Case'!E11*$C102*'Business Case'!E13*$D102-'Business Case'!E14*$E102)-MAX(0,(('Business Case'!E11*$C102*'Business Case'!E12*$B102)-'Business Case'!E11*$C102*'Business Case'!E13*$D102-'Business Case'!E14*$E102))*'Business Case'!$B$7-'Business Case'!$B$8*(('Business Case'!E11*$C102*'Business Case'!E12*$B102)-('Business Case'!D11*$C102*'Business Case'!D12*$B102))-'Business Case'!E15*$F102</f>
        <v>467966001.555488</v>
      </c>
      <c r="L102" s="53" t="n">
        <f aca="false">(('Business Case'!F11*$C102*'Business Case'!F12*$B102)-'Business Case'!F11*$C102*'Business Case'!F13*$D102-'Business Case'!F14*$E102)-MAX(0,(('Business Case'!F11*$C102*'Business Case'!F12*$B102)-'Business Case'!F11*$C102*'Business Case'!F13*$D102-'Business Case'!F14*$E102))*'Business Case'!$B$7-'Business Case'!$B$8*(('Business Case'!F11*$C102*'Business Case'!F12*$B102)-('Business Case'!E11*$C102*'Business Case'!E12*$B102))-'Business Case'!F15*$F102</f>
        <v>579003390.893508</v>
      </c>
      <c r="M102" s="53" t="n">
        <f aca="false">(('Business Case'!G11*$C102*'Business Case'!G12*$B102)-'Business Case'!G11*$C102*'Business Case'!G13*$D102-'Business Case'!G14*$E102)-MAX(0,(('Business Case'!G11*$C102*'Business Case'!G12*$B102)-'Business Case'!G11*$C102*'Business Case'!G13*$D102-'Business Case'!G14*$E102))*'Business Case'!$B$7-'Business Case'!$B$8*(('Business Case'!G11*$C102*'Business Case'!G12*$B102)-('Business Case'!F11*$C102*'Business Case'!F12*$B102))-'Business Case'!G15*$F102+'Business Case'!$B$8*('Business Case'!G11*$C102*'Business Case'!G12*$B102)</f>
        <v>751017163.818359</v>
      </c>
      <c r="N102" s="53" t="n">
        <f aca="false">IF(COUNT('Business Case'!B11:G11)=0,"",H102+NPV(G102,I102:M102))</f>
        <v>-997916610.865077</v>
      </c>
      <c r="P102" s="54" t="n">
        <f aca="true">RAND()</f>
        <v>0.207014292495509</v>
      </c>
      <c r="Q102" s="54" t="n">
        <f aca="true">RAND()</f>
        <v>0.272789264718222</v>
      </c>
      <c r="R102" s="54" t="n">
        <f aca="true">RAND()</f>
        <v>0.882885261553721</v>
      </c>
      <c r="S102" s="54" t="n">
        <f aca="true">RAND()</f>
        <v>0.634287400031752</v>
      </c>
      <c r="T102" s="54" t="n">
        <f aca="true">RAND()</f>
        <v>0.93237980884776</v>
      </c>
      <c r="U102" s="54" t="n">
        <f aca="true">RAND()</f>
        <v>0.44004672096635</v>
      </c>
    </row>
    <row r="103" customFormat="false" ht="15" hidden="false" customHeight="false" outlineLevel="0" collapsed="false">
      <c r="A103" s="50" t="n">
        <v>23</v>
      </c>
      <c r="B103" s="51" t="n">
        <f aca="false">1+IF($G$6=$E$6,$F$6,IF(P103&lt;($F$6-$E$6)/($G$6-$E$6),$E$6+SQRT(P103*($G$6-$E$6)*($F$6-$E$6)),$G$6-SQRT((1-P103)*($G$6-$E$6)*($G$6-$F$6))))</f>
        <v>0.929449755887945</v>
      </c>
      <c r="C103" s="51" t="n">
        <f aca="false">1+IF($G$7=$E$7,$F$7,IF(Q103&lt;($F$7-$E$7)/($G$7-$E$7),$E$7+SQRT(Q103*($G$7-$E$7)*($F$7-$E$7)),$G$7-SQRT((1-Q103)*($G$7-$E$7)*($G$7-$F$7))))</f>
        <v>0.925125459861156</v>
      </c>
      <c r="D103" s="51" t="n">
        <f aca="false">1+IF($G$8=$E$8,$F$8,IF(R103&lt;($F$8-$E$8)/($G$8-$E$8),$E$8+SQRT(R103*($G$8-$E$8)*($F$8-$E$8)),$G$8-SQRT((1-R103)*($G$8-$E$8)*($G$8-$F$8))))</f>
        <v>0.988989025634567</v>
      </c>
      <c r="E103" s="51" t="n">
        <f aca="false">1+IF($G$9=$E$9,$F$9,IF(S103&lt;($F$9-$E$9)/($G$9-$E$9),$E$9+SQRT(S103*($G$9-$E$9)*($F$9-$E$9)),$G$9-SQRT((1-S103)*($G$9-$E$9)*($G$9-$F$9))))</f>
        <v>0.983918348310075</v>
      </c>
      <c r="F103" s="51" t="n">
        <f aca="false">1+IF($G$10=$E$10,$F$10,IF(T103&lt;($F$10-$E$10)/($G$10-$E$10),$E$10+SQRT(T103*($G$10-$E$10)*($F$10-$E$10)),$G$10-SQRT((1-T103)*($G$10-$E$10)*($G$10-$F$10))))</f>
        <v>0.974936164779908</v>
      </c>
      <c r="G103" s="52" t="n">
        <f aca="false">IF($G$11=$E$11,$F$11,IF(U103&lt;($F$11-$E$11)/($G$11-$E$11),$E$11+SQRT(U103*($G$11-$E$11)*($F$11-$E$11)),$G$11-SQRT((1-U103)*($G$11-$E$11)*($G$11-$F$11))))</f>
        <v>0.100802516928372</v>
      </c>
      <c r="H103" s="53" t="n">
        <f aca="false">(('Business Case'!B11*$C103*'Business Case'!B12*$B103)-'Business Case'!B11*$C103*'Business Case'!B13*$D103-'Business Case'!B14*$E103)-MAX(0,(('Business Case'!B11*$C103*'Business Case'!B12*$B103)-'Business Case'!B11*$C103*'Business Case'!B13*$D103-'Business Case'!B14*$E103))*'Business Case'!$B$7-'Business Case'!$B$8*('Business Case'!B11*$C103*'Business Case'!B12*$B103)-'Business Case'!B15*$F103</f>
        <v>-1949872329.55982</v>
      </c>
      <c r="I103" s="53" t="n">
        <f aca="false">(('Business Case'!C11*$C103*'Business Case'!C12*$B103)-'Business Case'!C11*$C103*'Business Case'!C13*$D103-'Business Case'!C14*$E103)-MAX(0,(('Business Case'!C11*$C103*'Business Case'!C12*$B103)-'Business Case'!C11*$C103*'Business Case'!C13*$D103-'Business Case'!C14*$E103))*'Business Case'!$B$7-'Business Case'!$B$8*(('Business Case'!C11*$C103*'Business Case'!C12*$B103)-('Business Case'!B11*$C103*'Business Case'!B12*$B103))-'Business Case'!C15*$F103</f>
        <v>-46072049.8338282</v>
      </c>
      <c r="J103" s="53" t="n">
        <f aca="false">(('Business Case'!D11*$C103*'Business Case'!D12*$B103)-'Business Case'!D11*$C103*'Business Case'!D13*$D103-'Business Case'!D14*$E103)-MAX(0,(('Business Case'!D11*$C103*'Business Case'!D12*$B103)-'Business Case'!D11*$C103*'Business Case'!D13*$D103-'Business Case'!D14*$E103))*'Business Case'!$B$7-'Business Case'!$B$8*(('Business Case'!D11*$C103*'Business Case'!D12*$B103)-('Business Case'!C11*$C103*'Business Case'!C12*$B103))-'Business Case'!D15*$F103</f>
        <v>189837725.626125</v>
      </c>
      <c r="K103" s="53" t="n">
        <f aca="false">(('Business Case'!E11*$C103*'Business Case'!E12*$B103)-'Business Case'!E11*$C103*'Business Case'!E13*$D103-'Business Case'!E14*$E103)-MAX(0,(('Business Case'!E11*$C103*'Business Case'!E12*$B103)-'Business Case'!E11*$C103*'Business Case'!E13*$D103-'Business Case'!E14*$E103))*'Business Case'!$B$7-'Business Case'!$B$8*(('Business Case'!E11*$C103*'Business Case'!E12*$B103)-('Business Case'!D11*$C103*'Business Case'!D12*$B103))-'Business Case'!E15*$F103</f>
        <v>474494309.325073</v>
      </c>
      <c r="L103" s="53" t="n">
        <f aca="false">(('Business Case'!F11*$C103*'Business Case'!F12*$B103)-'Business Case'!F11*$C103*'Business Case'!F13*$D103-'Business Case'!F14*$E103)-MAX(0,(('Business Case'!F11*$C103*'Business Case'!F12*$B103)-'Business Case'!F11*$C103*'Business Case'!F13*$D103-'Business Case'!F14*$E103))*'Business Case'!$B$7-'Business Case'!$B$8*(('Business Case'!F11*$C103*'Business Case'!F12*$B103)-('Business Case'!E11*$C103*'Business Case'!E12*$B103))-'Business Case'!F15*$F103</f>
        <v>582847580.93579</v>
      </c>
      <c r="M103" s="53" t="n">
        <f aca="false">(('Business Case'!G11*$C103*'Business Case'!G12*$B103)-'Business Case'!G11*$C103*'Business Case'!G13*$D103-'Business Case'!G14*$E103)-MAX(0,(('Business Case'!G11*$C103*'Business Case'!G12*$B103)-'Business Case'!G11*$C103*'Business Case'!G13*$D103-'Business Case'!G14*$E103))*'Business Case'!$B$7-'Business Case'!$B$8*(('Business Case'!G11*$C103*'Business Case'!G12*$B103)-('Business Case'!F11*$C103*'Business Case'!F12*$B103))-'Business Case'!G15*$F103+'Business Case'!$B$8*('Business Case'!G11*$C103*'Business Case'!G12*$B103)</f>
        <v>746289319.784814</v>
      </c>
      <c r="N103" s="53" t="n">
        <f aca="false">IF(COUNT('Business Case'!B11:G11)=0,"",H103+NPV(G103,I103:M103))</f>
        <v>-620714560.864218</v>
      </c>
      <c r="P103" s="54" t="n">
        <f aca="true">RAND()</f>
        <v>0.00930186316059968</v>
      </c>
      <c r="Q103" s="54" t="n">
        <f aca="true">RAND()</f>
        <v>0.223662581506652</v>
      </c>
      <c r="R103" s="54" t="n">
        <f aca="true">RAND()</f>
        <v>0.233868326143524</v>
      </c>
      <c r="S103" s="54" t="n">
        <f aca="true">RAND()</f>
        <v>0.153393913611144</v>
      </c>
      <c r="T103" s="54" t="n">
        <f aca="true">RAND()</f>
        <v>0.0497449851144591</v>
      </c>
      <c r="U103" s="54" t="n">
        <f aca="true">RAND()</f>
        <v>0.385761072857601</v>
      </c>
    </row>
    <row r="104" customFormat="false" ht="15" hidden="false" customHeight="false" outlineLevel="0" collapsed="false">
      <c r="A104" s="50" t="n">
        <v>24</v>
      </c>
      <c r="B104" s="51" t="n">
        <f aca="false">1+IF($G$6=$E$6,$F$6,IF(P104&lt;($F$6-$E$6)/($G$6-$E$6),$E$6+SQRT(P104*($G$6-$E$6)*($F$6-$E$6)),$G$6-SQRT((1-P104)*($G$6-$E$6)*($G$6-$F$6))))</f>
        <v>1.00485736789126</v>
      </c>
      <c r="C104" s="51" t="n">
        <f aca="false">1+IF($G$7=$E$7,$F$7,IF(Q104&lt;($F$7-$E$7)/($G$7-$E$7),$E$7+SQRT(Q104*($G$7-$E$7)*($F$7-$E$7)),$G$7-SQRT((1-Q104)*($G$7-$E$7)*($G$7-$F$7))))</f>
        <v>0.984052514894082</v>
      </c>
      <c r="D104" s="51" t="n">
        <f aca="false">1+IF($G$8=$E$8,$F$8,IF(R104&lt;($F$8-$E$8)/($G$8-$E$8),$E$8+SQRT(R104*($G$8-$E$8)*($F$8-$E$8)),$G$8-SQRT((1-R104)*($G$8-$E$8)*($G$8-$F$8))))</f>
        <v>1.00246729358764</v>
      </c>
      <c r="E104" s="51" t="n">
        <f aca="false">1+IF($G$9=$E$9,$F$9,IF(S104&lt;($F$9-$E$9)/($G$9-$E$9),$E$9+SQRT(S104*($G$9-$E$9)*($F$9-$E$9)),$G$9-SQRT((1-S104)*($G$9-$E$9)*($G$9-$F$9))))</f>
        <v>1.03545334558892</v>
      </c>
      <c r="F104" s="51" t="n">
        <f aca="false">1+IF($G$10=$E$10,$F$10,IF(T104&lt;($F$10-$E$10)/($G$10-$E$10),$E$10+SQRT(T104*($G$10-$E$10)*($F$10-$E$10)),$G$10-SQRT((1-T104)*($G$10-$E$10)*($G$10-$F$10))))</f>
        <v>1.09212742866458</v>
      </c>
      <c r="G104" s="52" t="n">
        <f aca="false">IF($G$11=$E$11,$F$11,IF(U104&lt;($F$11-$E$11)/($G$11-$E$11),$E$11+SQRT(U104*($G$11-$E$11)*($F$11-$E$11)),$G$11-SQRT((1-U104)*($G$11-$E$11)*($G$11-$F$11))))</f>
        <v>0.102701089124268</v>
      </c>
      <c r="H104" s="53" t="n">
        <f aca="false">(('Business Case'!B11*$C104*'Business Case'!B12*$B104)-'Business Case'!B11*$C104*'Business Case'!B13*$D104-'Business Case'!B14*$E104)-MAX(0,(('Business Case'!B11*$C104*'Business Case'!B12*$B104)-'Business Case'!B11*$C104*'Business Case'!B13*$D104-'Business Case'!B14*$E104))*'Business Case'!$B$7-'Business Case'!$B$8*('Business Case'!B11*$C104*'Business Case'!B12*$B104)-'Business Case'!B15*$F104</f>
        <v>-2184254857.32915</v>
      </c>
      <c r="I104" s="53" t="n">
        <f aca="false">(('Business Case'!C11*$C104*'Business Case'!C12*$B104)-'Business Case'!C11*$C104*'Business Case'!C13*$D104-'Business Case'!C14*$E104)-MAX(0,(('Business Case'!C11*$C104*'Business Case'!C12*$B104)-'Business Case'!C11*$C104*'Business Case'!C13*$D104-'Business Case'!C14*$E104))*'Business Case'!$B$7-'Business Case'!$B$8*(('Business Case'!C11*$C104*'Business Case'!C12*$B104)-('Business Case'!B11*$C104*'Business Case'!B12*$B104))-'Business Case'!C15*$F104</f>
        <v>-2789411.13694847</v>
      </c>
      <c r="J104" s="53" t="n">
        <f aca="false">(('Business Case'!D11*$C104*'Business Case'!D12*$B104)-'Business Case'!D11*$C104*'Business Case'!D13*$D104-'Business Case'!D14*$E104)-MAX(0,(('Business Case'!D11*$C104*'Business Case'!D12*$B104)-'Business Case'!D11*$C104*'Business Case'!D13*$D104-'Business Case'!D14*$E104))*'Business Case'!$B$7-'Business Case'!$B$8*(('Business Case'!D11*$C104*'Business Case'!D12*$B104)-('Business Case'!C11*$C104*'Business Case'!C12*$B104))-'Business Case'!D15*$F104</f>
        <v>302136458.987236</v>
      </c>
      <c r="K104" s="53" t="n">
        <f aca="false">(('Business Case'!E11*$C104*'Business Case'!E12*$B104)-'Business Case'!E11*$C104*'Business Case'!E13*$D104-'Business Case'!E14*$E104)-MAX(0,(('Business Case'!E11*$C104*'Business Case'!E12*$B104)-'Business Case'!E11*$C104*'Business Case'!E13*$D104-'Business Case'!E14*$E104))*'Business Case'!$B$7-'Business Case'!$B$8*(('Business Case'!E11*$C104*'Business Case'!E12*$B104)-('Business Case'!D11*$C104*'Business Case'!D12*$B104))-'Business Case'!E15*$F104</f>
        <v>661668700.54465</v>
      </c>
      <c r="L104" s="53" t="n">
        <f aca="false">(('Business Case'!F11*$C104*'Business Case'!F12*$B104)-'Business Case'!F11*$C104*'Business Case'!F13*$D104-'Business Case'!F14*$E104)-MAX(0,(('Business Case'!F11*$C104*'Business Case'!F12*$B104)-'Business Case'!F11*$C104*'Business Case'!F13*$D104-'Business Case'!F14*$E104))*'Business Case'!$B$7-'Business Case'!$B$8*(('Business Case'!F11*$C104*'Business Case'!F12*$B104)-('Business Case'!E11*$C104*'Business Case'!E12*$B104))-'Business Case'!F15*$F104</f>
        <v>797484705.687332</v>
      </c>
      <c r="M104" s="53" t="n">
        <f aca="false">(('Business Case'!G11*$C104*'Business Case'!G12*$B104)-'Business Case'!G11*$C104*'Business Case'!G13*$D104-'Business Case'!G14*$E104)-MAX(0,(('Business Case'!G11*$C104*'Business Case'!G12*$B104)-'Business Case'!G11*$C104*'Business Case'!G13*$D104-'Business Case'!G14*$E104))*'Business Case'!$B$7-'Business Case'!$B$8*(('Business Case'!G11*$C104*'Business Case'!G12*$B104)-('Business Case'!F11*$C104*'Business Case'!F12*$B104))-'Business Case'!G15*$F104+'Business Case'!$B$8*('Business Case'!G11*$C104*'Business Case'!G12*$B104)</f>
        <v>985441972.077747</v>
      </c>
      <c r="N104" s="53" t="n">
        <f aca="false">IF(COUNT('Business Case'!B11:G11)=0,"",H104+NPV(G104,I104:M104))</f>
        <v>-301029523.601081</v>
      </c>
      <c r="P104" s="54" t="n">
        <f aca="true">RAND()</f>
        <v>0.742707376764542</v>
      </c>
      <c r="Q104" s="54" t="n">
        <f aca="true">RAND()</f>
        <v>0.483933260554804</v>
      </c>
      <c r="R104" s="54" t="n">
        <f aca="true">RAND()</f>
        <v>0.421988407343727</v>
      </c>
      <c r="S104" s="54" t="n">
        <f aca="true">RAND()</f>
        <v>0.722248626955769</v>
      </c>
      <c r="T104" s="54" t="n">
        <f aca="true">RAND()</f>
        <v>0.767270167069678</v>
      </c>
      <c r="U104" s="54" t="n">
        <f aca="true">RAND()</f>
        <v>0.501246137522484</v>
      </c>
    </row>
    <row r="105" customFormat="false" ht="15" hidden="false" customHeight="false" outlineLevel="0" collapsed="false">
      <c r="A105" s="50" t="n">
        <v>25</v>
      </c>
      <c r="B105" s="51" t="n">
        <f aca="false">1+IF($G$6=$E$6,$F$6,IF(P105&lt;($F$6-$E$6)/($G$6-$E$6),$E$6+SQRT(P105*($G$6-$E$6)*($F$6-$E$6)),$G$6-SQRT((1-P105)*($G$6-$E$6)*($G$6-$F$6))))</f>
        <v>1.02963542776907</v>
      </c>
      <c r="C105" s="51" t="n">
        <f aca="false">1+IF($G$7=$E$7,$F$7,IF(Q105&lt;($F$7-$E$7)/($G$7-$E$7),$E$7+SQRT(Q105*($G$7-$E$7)*($F$7-$E$7)),$G$7-SQRT((1-Q105)*($G$7-$E$7)*($G$7-$F$7))))</f>
        <v>0.948876200099134</v>
      </c>
      <c r="D105" s="51" t="n">
        <f aca="false">1+IF($G$8=$E$8,$F$8,IF(R105&lt;($F$8-$E$8)/($G$8-$E$8),$E$8+SQRT(R105*($G$8-$E$8)*($F$8-$E$8)),$G$8-SQRT((1-R105)*($G$8-$E$8)*($G$8-$F$8))))</f>
        <v>1.00342730850952</v>
      </c>
      <c r="E105" s="51" t="n">
        <f aca="false">1+IF($G$9=$E$9,$F$9,IF(S105&lt;($F$9-$E$9)/($G$9-$E$9),$E$9+SQRT(S105*($G$9-$E$9)*($F$9-$E$9)),$G$9-SQRT((1-S105)*($G$9-$E$9)*($G$9-$F$9))))</f>
        <v>1.05714033181866</v>
      </c>
      <c r="F105" s="51" t="n">
        <f aca="false">1+IF($G$10=$E$10,$F$10,IF(T105&lt;($F$10-$E$10)/($G$10-$E$10),$E$10+SQRT(T105*($G$10-$E$10)*($F$10-$E$10)),$G$10-SQRT((1-T105)*($G$10-$E$10)*($G$10-$F$10))))</f>
        <v>0.99749774240735</v>
      </c>
      <c r="G105" s="52" t="n">
        <f aca="false">IF($G$11=$E$11,$F$11,IF(U105&lt;($F$11-$E$11)/($G$11-$E$11),$E$11+SQRT(U105*($G$11-$E$11)*($F$11-$E$11)),$G$11-SQRT((1-U105)*($G$11-$E$11)*($G$11-$F$11))))</f>
        <v>0.103433975995426</v>
      </c>
      <c r="H105" s="53" t="n">
        <f aca="false">(('Business Case'!B11*$C105*'Business Case'!B12*$B105)-'Business Case'!B11*$C105*'Business Case'!B13*$D105-'Business Case'!B14*$E105)-MAX(0,(('Business Case'!B11*$C105*'Business Case'!B12*$B105)-'Business Case'!B11*$C105*'Business Case'!B13*$D105-'Business Case'!B14*$E105))*'Business Case'!$B$7-'Business Case'!$B$8*('Business Case'!B11*$C105*'Business Case'!B12*$B105)-'Business Case'!B15*$F105</f>
        <v>-1994995484.8147</v>
      </c>
      <c r="I105" s="53" t="n">
        <f aca="false">(('Business Case'!C11*$C105*'Business Case'!C12*$B105)-'Business Case'!C11*$C105*'Business Case'!C13*$D105-'Business Case'!C14*$E105)-MAX(0,(('Business Case'!C11*$C105*'Business Case'!C12*$B105)-'Business Case'!C11*$C105*'Business Case'!C13*$D105-'Business Case'!C14*$E105))*'Business Case'!$B$7-'Business Case'!$B$8*(('Business Case'!C11*$C105*'Business Case'!C12*$B105)-('Business Case'!B11*$C105*'Business Case'!B12*$B105))-'Business Case'!C15*$F105</f>
        <v>12094374.2810182</v>
      </c>
      <c r="J105" s="53" t="n">
        <f aca="false">(('Business Case'!D11*$C105*'Business Case'!D12*$B105)-'Business Case'!D11*$C105*'Business Case'!D13*$D105-'Business Case'!D14*$E105)-MAX(0,(('Business Case'!D11*$C105*'Business Case'!D12*$B105)-'Business Case'!D11*$C105*'Business Case'!D13*$D105-'Business Case'!D14*$E105))*'Business Case'!$B$7-'Business Case'!$B$8*(('Business Case'!D11*$C105*'Business Case'!D12*$B105)-('Business Case'!C11*$C105*'Business Case'!C12*$B105))-'Business Case'!D15*$F105</f>
        <v>324911379.252861</v>
      </c>
      <c r="K105" s="53" t="n">
        <f aca="false">(('Business Case'!E11*$C105*'Business Case'!E12*$B105)-'Business Case'!E11*$C105*'Business Case'!E13*$D105-'Business Case'!E14*$E105)-MAX(0,(('Business Case'!E11*$C105*'Business Case'!E12*$B105)-'Business Case'!E11*$C105*'Business Case'!E13*$D105-'Business Case'!E14*$E105))*'Business Case'!$B$7-'Business Case'!$B$8*(('Business Case'!E11*$C105*'Business Case'!E12*$B105)-('Business Case'!D11*$C105*'Business Case'!D12*$B105))-'Business Case'!E15*$F105</f>
        <v>687603271.345072</v>
      </c>
      <c r="L105" s="53" t="n">
        <f aca="false">(('Business Case'!F11*$C105*'Business Case'!F12*$B105)-'Business Case'!F11*$C105*'Business Case'!F13*$D105-'Business Case'!F14*$E105)-MAX(0,(('Business Case'!F11*$C105*'Business Case'!F12*$B105)-'Business Case'!F11*$C105*'Business Case'!F13*$D105-'Business Case'!F14*$E105))*'Business Case'!$B$7-'Business Case'!$B$8*(('Business Case'!F11*$C105*'Business Case'!F12*$B105)-('Business Case'!E11*$C105*'Business Case'!E12*$B105))-'Business Case'!F15*$F105</f>
        <v>825640607.179337</v>
      </c>
      <c r="M105" s="53" t="n">
        <f aca="false">(('Business Case'!G11*$C105*'Business Case'!G12*$B105)-'Business Case'!G11*$C105*'Business Case'!G13*$D105-'Business Case'!G14*$E105)-MAX(0,(('Business Case'!G11*$C105*'Business Case'!G12*$B105)-'Business Case'!G11*$C105*'Business Case'!G13*$D105-'Business Case'!G14*$E105))*'Business Case'!$B$7-'Business Case'!$B$8*(('Business Case'!G11*$C105*'Business Case'!G12*$B105)-('Business Case'!F11*$C105*'Business Case'!F12*$B105))-'Business Case'!G15*$F105+'Business Case'!$B$8*('Business Case'!G11*$C105*'Business Case'!G12*$B105)</f>
        <v>1011348111.81941</v>
      </c>
      <c r="N105" s="53" t="n">
        <f aca="false">IF(COUNT('Business Case'!B11:G11)=0,"",H105+NPV(G105,I105:M105))</f>
        <v>-30190143.7489898</v>
      </c>
      <c r="P105" s="54" t="n">
        <f aca="true">RAND()</f>
        <v>0.977619925514544</v>
      </c>
      <c r="Q105" s="54" t="n">
        <f aca="true">RAND()</f>
        <v>0.316630327942247</v>
      </c>
      <c r="R105" s="54" t="n">
        <f aca="true">RAND()</f>
        <v>0.436213742106161</v>
      </c>
      <c r="S105" s="54" t="n">
        <f aca="true">RAND()</f>
        <v>0.877536589559054</v>
      </c>
      <c r="T105" s="54" t="n">
        <f aca="true">RAND()</f>
        <v>0.180482842703598</v>
      </c>
      <c r="U105" s="54" t="n">
        <f aca="true">RAND()</f>
        <v>0.542611414466455</v>
      </c>
    </row>
    <row r="106" customFormat="false" ht="15" hidden="false" customHeight="false" outlineLevel="0" collapsed="false">
      <c r="A106" s="50" t="n">
        <v>26</v>
      </c>
      <c r="B106" s="51" t="n">
        <f aca="false">1+IF($G$6=$E$6,$F$6,IF(P106&lt;($F$6-$E$6)/($G$6-$E$6),$E$6+SQRT(P106*($G$6-$E$6)*($F$6-$E$6)),$G$6-SQRT((1-P106)*($G$6-$E$6)*($G$6-$F$6))))</f>
        <v>0.965229752321097</v>
      </c>
      <c r="C106" s="51" t="n">
        <f aca="false">1+IF($G$7=$E$7,$F$7,IF(Q106&lt;($F$7-$E$7)/($G$7-$E$7),$E$7+SQRT(Q106*($G$7-$E$7)*($F$7-$E$7)),$G$7-SQRT((1-Q106)*($G$7-$E$7)*($G$7-$F$7))))</f>
        <v>0.949951194845544</v>
      </c>
      <c r="D106" s="51" t="n">
        <f aca="false">1+IF($G$8=$E$8,$F$8,IF(R106&lt;($F$8-$E$8)/($G$8-$E$8),$E$8+SQRT(R106*($G$8-$E$8)*($F$8-$E$8)),$G$8-SQRT((1-R106)*($G$8-$E$8)*($G$8-$F$8))))</f>
        <v>0.96358823474694</v>
      </c>
      <c r="E106" s="51" t="n">
        <f aca="false">1+IF($G$9=$E$9,$F$9,IF(S106&lt;($F$9-$E$9)/($G$9-$E$9),$E$9+SQRT(S106*($G$9-$E$9)*($F$9-$E$9)),$G$9-SQRT((1-S106)*($G$9-$E$9)*($G$9-$F$9))))</f>
        <v>0.989950021385787</v>
      </c>
      <c r="F106" s="51" t="n">
        <f aca="false">1+IF($G$10=$E$10,$F$10,IF(T106&lt;($F$10-$E$10)/($G$10-$E$10),$E$10+SQRT(T106*($G$10-$E$10)*($F$10-$E$10)),$G$10-SQRT((1-T106)*($G$10-$E$10)*($G$10-$F$10))))</f>
        <v>1.08279939716114</v>
      </c>
      <c r="G106" s="52" t="n">
        <f aca="false">IF($G$11=$E$11,$F$11,IF(U106&lt;($F$11-$E$11)/($G$11-$E$11),$E$11+SQRT(U106*($G$11-$E$11)*($F$11-$E$11)),$G$11-SQRT((1-U106)*($G$11-$E$11)*($G$11-$F$11))))</f>
        <v>0.0981661968655576</v>
      </c>
      <c r="H106" s="53" t="n">
        <f aca="false">(('Business Case'!B11*$C106*'Business Case'!B12*$B106)-'Business Case'!B11*$C106*'Business Case'!B13*$D106-'Business Case'!B14*$E106)-MAX(0,(('Business Case'!B11*$C106*'Business Case'!B12*$B106)-'Business Case'!B11*$C106*'Business Case'!B13*$D106-'Business Case'!B14*$E106))*'Business Case'!$B$7-'Business Case'!$B$8*('Business Case'!B11*$C106*'Business Case'!B12*$B106)-'Business Case'!B15*$F106</f>
        <v>-2165598794.32228</v>
      </c>
      <c r="I106" s="53" t="n">
        <f aca="false">(('Business Case'!C11*$C106*'Business Case'!C12*$B106)-'Business Case'!C11*$C106*'Business Case'!C13*$D106-'Business Case'!C14*$E106)-MAX(0,(('Business Case'!C11*$C106*'Business Case'!C12*$B106)-'Business Case'!C11*$C106*'Business Case'!C13*$D106-'Business Case'!C14*$E106))*'Business Case'!$B$7-'Business Case'!$B$8*(('Business Case'!C11*$C106*'Business Case'!C12*$B106)-('Business Case'!B11*$C106*'Business Case'!B12*$B106))-'Business Case'!C15*$F106</f>
        <v>-14151590.0637664</v>
      </c>
      <c r="J106" s="53" t="n">
        <f aca="false">(('Business Case'!D11*$C106*'Business Case'!D12*$B106)-'Business Case'!D11*$C106*'Business Case'!D13*$D106-'Business Case'!D14*$E106)-MAX(0,(('Business Case'!D11*$C106*'Business Case'!D12*$B106)-'Business Case'!D11*$C106*'Business Case'!D13*$D106-'Business Case'!D14*$E106))*'Business Case'!$B$7-'Business Case'!$B$8*(('Business Case'!D11*$C106*'Business Case'!D12*$B106)-('Business Case'!C11*$C106*'Business Case'!C12*$B106))-'Business Case'!D15*$F106</f>
        <v>268280845.383528</v>
      </c>
      <c r="K106" s="53" t="n">
        <f aca="false">(('Business Case'!E11*$C106*'Business Case'!E12*$B106)-'Business Case'!E11*$C106*'Business Case'!E13*$D106-'Business Case'!E14*$E106)-MAX(0,(('Business Case'!E11*$C106*'Business Case'!E12*$B106)-'Business Case'!E11*$C106*'Business Case'!E13*$D106-'Business Case'!E14*$E106))*'Business Case'!$B$7-'Business Case'!$B$8*(('Business Case'!E11*$C106*'Business Case'!E12*$B106)-('Business Case'!D11*$C106*'Business Case'!D12*$B106))-'Business Case'!E15*$F106</f>
        <v>604853250.68888</v>
      </c>
      <c r="L106" s="53" t="n">
        <f aca="false">(('Business Case'!F11*$C106*'Business Case'!F12*$B106)-'Business Case'!F11*$C106*'Business Case'!F13*$D106-'Business Case'!F14*$E106)-MAX(0,(('Business Case'!F11*$C106*'Business Case'!F12*$B106)-'Business Case'!F11*$C106*'Business Case'!F13*$D106-'Business Case'!F14*$E106))*'Business Case'!$B$7-'Business Case'!$B$8*(('Business Case'!F11*$C106*'Business Case'!F12*$B106)-('Business Case'!E11*$C106*'Business Case'!E12*$B106))-'Business Case'!F15*$F106</f>
        <v>730686191.007236</v>
      </c>
      <c r="M106" s="53" t="n">
        <f aca="false">(('Business Case'!G11*$C106*'Business Case'!G12*$B106)-'Business Case'!G11*$C106*'Business Case'!G13*$D106-'Business Case'!G14*$E106)-MAX(0,(('Business Case'!G11*$C106*'Business Case'!G12*$B106)-'Business Case'!G11*$C106*'Business Case'!G13*$D106-'Business Case'!G14*$E106))*'Business Case'!$B$7-'Business Case'!$B$8*(('Business Case'!G11*$C106*'Business Case'!G12*$B106)-('Business Case'!F11*$C106*'Business Case'!F12*$B106))-'Business Case'!G15*$F106+'Business Case'!$B$8*('Business Case'!G11*$C106*'Business Case'!G12*$B106)</f>
        <v>904974564.438157</v>
      </c>
      <c r="N106" s="53" t="n">
        <f aca="false">IF(COUNT('Business Case'!B11:G11)=0,"",H106+NPV(G106,I106:M106))</f>
        <v>-430273224.709735</v>
      </c>
      <c r="P106" s="54" t="n">
        <f aca="true">RAND()</f>
        <v>0.21309692656539</v>
      </c>
      <c r="Q106" s="54" t="n">
        <f aca="true">RAND()</f>
        <v>0.321219440508663</v>
      </c>
      <c r="R106" s="54" t="n">
        <f aca="true">RAND()</f>
        <v>0.0284061728519901</v>
      </c>
      <c r="S106" s="54" t="n">
        <f aca="true">RAND()</f>
        <v>0.212800561163311</v>
      </c>
      <c r="T106" s="54" t="n">
        <f aca="true">RAND()</f>
        <v>0.72528037388416</v>
      </c>
      <c r="U106" s="54" t="n">
        <f aca="true">RAND()</f>
        <v>0.22228923749014</v>
      </c>
    </row>
    <row r="107" customFormat="false" ht="15" hidden="false" customHeight="false" outlineLevel="0" collapsed="false">
      <c r="A107" s="50" t="n">
        <v>27</v>
      </c>
      <c r="B107" s="51" t="n">
        <f aca="false">1+IF($G$6=$E$6,$F$6,IF(P107&lt;($F$6-$E$6)/($G$6-$E$6),$E$6+SQRT(P107*($G$6-$E$6)*($F$6-$E$6)),$G$6-SQRT((1-P107)*($G$6-$E$6)*($G$6-$F$6))))</f>
        <v>0.984711678006166</v>
      </c>
      <c r="C107" s="51" t="n">
        <f aca="false">1+IF($G$7=$E$7,$F$7,IF(Q107&lt;($F$7-$E$7)/($G$7-$E$7),$E$7+SQRT(Q107*($G$7-$E$7)*($F$7-$E$7)),$G$7-SQRT((1-Q107)*($G$7-$E$7)*($G$7-$F$7))))</f>
        <v>0.901914009427489</v>
      </c>
      <c r="D107" s="51" t="n">
        <f aca="false">1+IF($G$8=$E$8,$F$8,IF(R107&lt;($F$8-$E$8)/($G$8-$E$8),$E$8+SQRT(R107*($G$8-$E$8)*($F$8-$E$8)),$G$8-SQRT((1-R107)*($G$8-$E$8)*($G$8-$F$8))))</f>
        <v>1.00112900357803</v>
      </c>
      <c r="E107" s="51" t="n">
        <f aca="false">1+IF($G$9=$E$9,$F$9,IF(S107&lt;($F$9-$E$9)/($G$9-$E$9),$E$9+SQRT(S107*($G$9-$E$9)*($F$9-$E$9)),$G$9-SQRT((1-S107)*($G$9-$E$9)*($G$9-$F$9))))</f>
        <v>0.97860465241361</v>
      </c>
      <c r="F107" s="51" t="n">
        <f aca="false">1+IF($G$10=$E$10,$F$10,IF(T107&lt;($F$10-$E$10)/($G$10-$E$10),$E$10+SQRT(T107*($G$10-$E$10)*($F$10-$E$10)),$G$10-SQRT((1-T107)*($G$10-$E$10)*($G$10-$F$10))))</f>
        <v>1.02500490636542</v>
      </c>
      <c r="G107" s="52" t="n">
        <f aca="false">IF($G$11=$E$11,$F$11,IF(U107&lt;($F$11-$E$11)/($G$11-$E$11),$E$11+SQRT(U107*($G$11-$E$11)*($F$11-$E$11)),$G$11-SQRT((1-U107)*($G$11-$E$11)*($G$11-$F$11))))</f>
        <v>0.0987769881479998</v>
      </c>
      <c r="H107" s="53" t="n">
        <f aca="false">(('Business Case'!B11*$C107*'Business Case'!B12*$B107)-'Business Case'!B11*$C107*'Business Case'!B13*$D107-'Business Case'!B14*$E107)-MAX(0,(('Business Case'!B11*$C107*'Business Case'!B12*$B107)-'Business Case'!B11*$C107*'Business Case'!B13*$D107-'Business Case'!B14*$E107))*'Business Case'!$B$7-'Business Case'!$B$8*('Business Case'!B11*$C107*'Business Case'!B12*$B107)-'Business Case'!B15*$F107</f>
        <v>-2050009812.73084</v>
      </c>
      <c r="I107" s="53" t="n">
        <f aca="false">(('Business Case'!C11*$C107*'Business Case'!C12*$B107)-'Business Case'!C11*$C107*'Business Case'!C13*$D107-'Business Case'!C14*$E107)-MAX(0,(('Business Case'!C11*$C107*'Business Case'!C12*$B107)-'Business Case'!C11*$C107*'Business Case'!C13*$D107-'Business Case'!C14*$E107))*'Business Case'!$B$7-'Business Case'!$B$8*(('Business Case'!C11*$C107*'Business Case'!C12*$B107)-('Business Case'!B11*$C107*'Business Case'!B12*$B107))-'Business Case'!C15*$F107</f>
        <v>-22489044.0262081</v>
      </c>
      <c r="J107" s="53" t="n">
        <f aca="false">(('Business Case'!D11*$C107*'Business Case'!D12*$B107)-'Business Case'!D11*$C107*'Business Case'!D13*$D107-'Business Case'!D14*$E107)-MAX(0,(('Business Case'!D11*$C107*'Business Case'!D12*$B107)-'Business Case'!D11*$C107*'Business Case'!D13*$D107-'Business Case'!D14*$E107))*'Business Case'!$B$7-'Business Case'!$B$8*(('Business Case'!D11*$C107*'Business Case'!D12*$B107)-('Business Case'!C11*$C107*'Business Case'!C12*$B107))-'Business Case'!D15*$F107</f>
        <v>242720397.51343</v>
      </c>
      <c r="K107" s="53" t="n">
        <f aca="false">(('Business Case'!E11*$C107*'Business Case'!E12*$B107)-'Business Case'!E11*$C107*'Business Case'!E13*$D107-'Business Case'!E14*$E107)-MAX(0,(('Business Case'!E11*$C107*'Business Case'!E12*$B107)-'Business Case'!E11*$C107*'Business Case'!E13*$D107-'Business Case'!E14*$E107))*'Business Case'!$B$7-'Business Case'!$B$8*(('Business Case'!E11*$C107*'Business Case'!E12*$B107)-('Business Case'!D11*$C107*'Business Case'!D12*$B107))-'Business Case'!E15*$F107</f>
        <v>559180084.37134</v>
      </c>
      <c r="L107" s="53" t="n">
        <f aca="false">(('Business Case'!F11*$C107*'Business Case'!F12*$B107)-'Business Case'!F11*$C107*'Business Case'!F13*$D107-'Business Case'!F14*$E107)-MAX(0,(('Business Case'!F11*$C107*'Business Case'!F12*$B107)-'Business Case'!F11*$C107*'Business Case'!F13*$D107-'Business Case'!F14*$E107))*'Business Case'!$B$7-'Business Case'!$B$8*(('Business Case'!F11*$C107*'Business Case'!F12*$B107)-('Business Case'!E11*$C107*'Business Case'!E12*$B107))-'Business Case'!F15*$F107</f>
        <v>678276840.455279</v>
      </c>
      <c r="M107" s="53" t="n">
        <f aca="false">(('Business Case'!G11*$C107*'Business Case'!G12*$B107)-'Business Case'!G11*$C107*'Business Case'!G13*$D107-'Business Case'!G14*$E107)-MAX(0,(('Business Case'!G11*$C107*'Business Case'!G12*$B107)-'Business Case'!G11*$C107*'Business Case'!G13*$D107-'Business Case'!G14*$E107))*'Business Case'!$B$7-'Business Case'!$B$8*(('Business Case'!G11*$C107*'Business Case'!G12*$B107)-('Business Case'!F11*$C107*'Business Case'!F12*$B107))-'Business Case'!G15*$F107+'Business Case'!$B$8*('Business Case'!G11*$C107*'Business Case'!G12*$B107)</f>
        <v>847091689.427606</v>
      </c>
      <c r="N107" s="53" t="n">
        <f aca="false">IF(COUNT('Business Case'!B11:G11)=0,"",H107+NPV(G107,I107:M107))</f>
        <v>-453660962.211676</v>
      </c>
      <c r="P107" s="54" t="n">
        <f aca="true">RAND()</f>
        <v>0.436208465663927</v>
      </c>
      <c r="Q107" s="54" t="n">
        <f aca="true">RAND()</f>
        <v>0.14837807596552</v>
      </c>
      <c r="R107" s="54" t="n">
        <f aca="true">RAND()</f>
        <v>0.401862108019765</v>
      </c>
      <c r="S107" s="54" t="n">
        <f aca="true">RAND()</f>
        <v>0.109096818627129</v>
      </c>
      <c r="T107" s="54" t="n">
        <f aca="true">RAND()</f>
        <v>0.387534344076482</v>
      </c>
      <c r="U107" s="54" t="n">
        <f aca="true">RAND()</f>
        <v>0.256785069833762</v>
      </c>
    </row>
    <row r="108" customFormat="false" ht="15" hidden="false" customHeight="false" outlineLevel="0" collapsed="false">
      <c r="A108" s="50" t="n">
        <v>28</v>
      </c>
      <c r="B108" s="51" t="n">
        <f aca="false">1+IF($G$6=$E$6,$F$6,IF(P108&lt;($F$6-$E$6)/($G$6-$E$6),$E$6+SQRT(P108*($G$6-$E$6)*($F$6-$E$6)),$G$6-SQRT((1-P108)*($G$6-$E$6)*($G$6-$F$6))))</f>
        <v>0.979512561379059</v>
      </c>
      <c r="C108" s="51" t="n">
        <f aca="false">1+IF($G$7=$E$7,$F$7,IF(Q108&lt;($F$7-$E$7)/($G$7-$E$7),$E$7+SQRT(Q108*($G$7-$E$7)*($F$7-$E$7)),$G$7-SQRT((1-Q108)*($G$7-$E$7)*($G$7-$F$7))))</f>
        <v>0.905911607688454</v>
      </c>
      <c r="D108" s="51" t="n">
        <f aca="false">1+IF($G$8=$E$8,$F$8,IF(R108&lt;($F$8-$E$8)/($G$8-$E$8),$E$8+SQRT(R108*($G$8-$E$8)*($F$8-$E$8)),$G$8-SQRT((1-R108)*($G$8-$E$8)*($G$8-$F$8))))</f>
        <v>1.0299482663172</v>
      </c>
      <c r="E108" s="51" t="n">
        <f aca="false">1+IF($G$9=$E$9,$F$9,IF(S108&lt;($F$9-$E$9)/($G$9-$E$9),$E$9+SQRT(S108*($G$9-$E$9)*($F$9-$E$9)),$G$9-SQRT((1-S108)*($G$9-$E$9)*($G$9-$F$9))))</f>
        <v>0.984981119872273</v>
      </c>
      <c r="F108" s="51" t="n">
        <f aca="false">1+IF($G$10=$E$10,$F$10,IF(T108&lt;($F$10-$E$10)/($G$10-$E$10),$E$10+SQRT(T108*($G$10-$E$10)*($F$10-$E$10)),$G$10-SQRT((1-T108)*($G$10-$E$10)*($G$10-$F$10))))</f>
        <v>0.956850307944335</v>
      </c>
      <c r="G108" s="52" t="n">
        <f aca="false">IF($G$11=$E$11,$F$11,IF(U108&lt;($F$11-$E$11)/($G$11-$E$11),$E$11+SQRT(U108*($G$11-$E$11)*($F$11-$E$11)),$G$11-SQRT((1-U108)*($G$11-$E$11)*($G$11-$F$11))))</f>
        <v>0.0990751145733687</v>
      </c>
      <c r="H108" s="53" t="n">
        <f aca="false">(('Business Case'!B11*$C108*'Business Case'!B12*$B108)-'Business Case'!B11*$C108*'Business Case'!B13*$D108-'Business Case'!B14*$E108)-MAX(0,(('Business Case'!B11*$C108*'Business Case'!B12*$B108)-'Business Case'!B11*$C108*'Business Case'!B13*$D108-'Business Case'!B14*$E108))*'Business Case'!$B$7-'Business Case'!$B$8*('Business Case'!B11*$C108*'Business Case'!B12*$B108)-'Business Case'!B15*$F108</f>
        <v>-1913700615.88867</v>
      </c>
      <c r="I108" s="53" t="n">
        <f aca="false">(('Business Case'!C11*$C108*'Business Case'!C12*$B108)-'Business Case'!C11*$C108*'Business Case'!C13*$D108-'Business Case'!C14*$E108)-MAX(0,(('Business Case'!C11*$C108*'Business Case'!C12*$B108)-'Business Case'!C11*$C108*'Business Case'!C13*$D108-'Business Case'!C14*$E108))*'Business Case'!$B$7-'Business Case'!$B$8*(('Business Case'!C11*$C108*'Business Case'!C12*$B108)-('Business Case'!B11*$C108*'Business Case'!B12*$B108))-'Business Case'!C15*$F108</f>
        <v>-32587557.0112835</v>
      </c>
      <c r="J108" s="53" t="n">
        <f aca="false">(('Business Case'!D11*$C108*'Business Case'!D12*$B108)-'Business Case'!D11*$C108*'Business Case'!D13*$D108-'Business Case'!D14*$E108)-MAX(0,(('Business Case'!D11*$C108*'Business Case'!D12*$B108)-'Business Case'!D11*$C108*'Business Case'!D13*$D108-'Business Case'!D14*$E108))*'Business Case'!$B$7-'Business Case'!$B$8*(('Business Case'!D11*$C108*'Business Case'!D12*$B108)-('Business Case'!C11*$C108*'Business Case'!C12*$B108))-'Business Case'!D15*$F108</f>
        <v>216574549.289784</v>
      </c>
      <c r="K108" s="53" t="n">
        <f aca="false">(('Business Case'!E11*$C108*'Business Case'!E12*$B108)-'Business Case'!E11*$C108*'Business Case'!E13*$D108-'Business Case'!E14*$E108)-MAX(0,(('Business Case'!E11*$C108*'Business Case'!E12*$B108)-'Business Case'!E11*$C108*'Business Case'!E13*$D108-'Business Case'!E14*$E108))*'Business Case'!$B$7-'Business Case'!$B$8*(('Business Case'!E11*$C108*'Business Case'!E12*$B108)-('Business Case'!D11*$C108*'Business Case'!D12*$B108))-'Business Case'!E15*$F108</f>
        <v>513579170.988068</v>
      </c>
      <c r="L108" s="53" t="n">
        <f aca="false">(('Business Case'!F11*$C108*'Business Case'!F12*$B108)-'Business Case'!F11*$C108*'Business Case'!F13*$D108-'Business Case'!F14*$E108)-MAX(0,(('Business Case'!F11*$C108*'Business Case'!F12*$B108)-'Business Case'!F11*$C108*'Business Case'!F13*$D108-'Business Case'!F14*$E108))*'Business Case'!$B$7-'Business Case'!$B$8*(('Business Case'!F11*$C108*'Business Case'!F12*$B108)-('Business Case'!E11*$C108*'Business Case'!E12*$B108))-'Business Case'!F15*$F108</f>
        <v>627300084.603144</v>
      </c>
      <c r="M108" s="53" t="n">
        <f aca="false">(('Business Case'!G11*$C108*'Business Case'!G12*$B108)-'Business Case'!G11*$C108*'Business Case'!G13*$D108-'Business Case'!G14*$E108)-MAX(0,(('Business Case'!G11*$C108*'Business Case'!G12*$B108)-'Business Case'!G11*$C108*'Business Case'!G13*$D108-'Business Case'!G14*$E108))*'Business Case'!$B$7-'Business Case'!$B$8*(('Business Case'!G11*$C108*'Business Case'!G12*$B108)-('Business Case'!F11*$C108*'Business Case'!F12*$B108))-'Business Case'!G15*$F108+'Business Case'!$B$8*('Business Case'!G11*$C108*'Business Case'!G12*$B108)</f>
        <v>795967914.60077</v>
      </c>
      <c r="N108" s="53" t="n">
        <f aca="false">IF(COUNT('Business Case'!B11:G11)=0,"",H108+NPV(G108,I108:M108))</f>
        <v>-451012540.118563</v>
      </c>
      <c r="P108" s="54" t="n">
        <f aca="true">RAND()</f>
        <v>0.368931766864199</v>
      </c>
      <c r="Q108" s="54" t="n">
        <f aca="true">RAND()</f>
        <v>0.160246694902186</v>
      </c>
      <c r="R108" s="54" t="n">
        <f aca="true">RAND()</f>
        <v>0.759117688014045</v>
      </c>
      <c r="S108" s="54" t="n">
        <f aca="true">RAND()</f>
        <v>0.163157166335777</v>
      </c>
      <c r="T108" s="54" t="n">
        <f aca="true">RAND()</f>
        <v>0.00375413751457747</v>
      </c>
      <c r="U108" s="54" t="n">
        <f aca="true">RAND()</f>
        <v>0.274525681732561</v>
      </c>
    </row>
    <row r="109" customFormat="false" ht="15" hidden="false" customHeight="false" outlineLevel="0" collapsed="false">
      <c r="A109" s="50" t="n">
        <v>29</v>
      </c>
      <c r="B109" s="51" t="n">
        <f aca="false">1+IF($G$6=$E$6,$F$6,IF(P109&lt;($F$6-$E$6)/($G$6-$E$6),$E$6+SQRT(P109*($G$6-$E$6)*($F$6-$E$6)),$G$6-SQRT((1-P109)*($G$6-$E$6)*($G$6-$F$6))))</f>
        <v>0.956882823712723</v>
      </c>
      <c r="C109" s="51" t="n">
        <f aca="false">1+IF($G$7=$E$7,$F$7,IF(Q109&lt;($F$7-$E$7)/($G$7-$E$7),$E$7+SQRT(Q109*($G$7-$E$7)*($F$7-$E$7)),$G$7-SQRT((1-Q109)*($G$7-$E$7)*($G$7-$F$7))))</f>
        <v>0.990386025805349</v>
      </c>
      <c r="D109" s="51" t="n">
        <f aca="false">1+IF($G$8=$E$8,$F$8,IF(R109&lt;($F$8-$E$8)/($G$8-$E$8),$E$8+SQRT(R109*($G$8-$E$8)*($F$8-$E$8)),$G$8-SQRT((1-R109)*($G$8-$E$8)*($G$8-$F$8))))</f>
        <v>1.00546551501826</v>
      </c>
      <c r="E109" s="51" t="n">
        <f aca="false">1+IF($G$9=$E$9,$F$9,IF(S109&lt;($F$9-$E$9)/($G$9-$E$9),$E$9+SQRT(S109*($G$9-$E$9)*($F$9-$E$9)),$G$9-SQRT((1-S109)*($G$9-$E$9)*($G$9-$F$9))))</f>
        <v>0.953429855434826</v>
      </c>
      <c r="F109" s="51" t="n">
        <f aca="false">1+IF($G$10=$E$10,$F$10,IF(T109&lt;($F$10-$E$10)/($G$10-$E$10),$E$10+SQRT(T109*($G$10-$E$10)*($F$10-$E$10)),$G$10-SQRT((1-T109)*($G$10-$E$10)*($G$10-$F$10))))</f>
        <v>1.02250296581483</v>
      </c>
      <c r="G109" s="52" t="n">
        <f aca="false">IF($G$11=$E$11,$F$11,IF(U109&lt;($F$11-$E$11)/($G$11-$E$11),$E$11+SQRT(U109*($G$11-$E$11)*($F$11-$E$11)),$G$11-SQRT((1-U109)*($G$11-$E$11)*($G$11-$F$11))))</f>
        <v>0.105309683505485</v>
      </c>
      <c r="H109" s="53" t="n">
        <f aca="false">(('Business Case'!B11*$C109*'Business Case'!B12*$B109)-'Business Case'!B11*$C109*'Business Case'!B13*$D109-'Business Case'!B14*$E109)-MAX(0,(('Business Case'!B11*$C109*'Business Case'!B12*$B109)-'Business Case'!B11*$C109*'Business Case'!B13*$D109-'Business Case'!B14*$E109))*'Business Case'!$B$7-'Business Case'!$B$8*('Business Case'!B11*$C109*'Business Case'!B12*$B109)-'Business Case'!B15*$F109</f>
        <v>-2045005931.62967</v>
      </c>
      <c r="I109" s="53" t="n">
        <f aca="false">(('Business Case'!C11*$C109*'Business Case'!C12*$B109)-'Business Case'!C11*$C109*'Business Case'!C13*$D109-'Business Case'!C14*$E109)-MAX(0,(('Business Case'!C11*$C109*'Business Case'!C12*$B109)-'Business Case'!C11*$C109*'Business Case'!C13*$D109-'Business Case'!C14*$E109))*'Business Case'!$B$7-'Business Case'!$B$8*(('Business Case'!C11*$C109*'Business Case'!C12*$B109)-('Business Case'!B11*$C109*'Business Case'!B12*$B109))-'Business Case'!C15*$F109</f>
        <v>-20504431.1472622</v>
      </c>
      <c r="J109" s="53" t="n">
        <f aca="false">(('Business Case'!D11*$C109*'Business Case'!D12*$B109)-'Business Case'!D11*$C109*'Business Case'!D13*$D109-'Business Case'!D14*$E109)-MAX(0,(('Business Case'!D11*$C109*'Business Case'!D12*$B109)-'Business Case'!D11*$C109*'Business Case'!D13*$D109-'Business Case'!D14*$E109))*'Business Case'!$B$7-'Business Case'!$B$8*(('Business Case'!D11*$C109*'Business Case'!D12*$B109)-('Business Case'!C11*$C109*'Business Case'!C12*$B109))-'Business Case'!D15*$F109</f>
        <v>245947065.99027</v>
      </c>
      <c r="K109" s="53" t="n">
        <f aca="false">(('Business Case'!E11*$C109*'Business Case'!E12*$B109)-'Business Case'!E11*$C109*'Business Case'!E13*$D109-'Business Case'!E14*$E109)-MAX(0,(('Business Case'!E11*$C109*'Business Case'!E12*$B109)-'Business Case'!E11*$C109*'Business Case'!E13*$D109-'Business Case'!E14*$E109))*'Business Case'!$B$7-'Business Case'!$B$8*(('Business Case'!E11*$C109*'Business Case'!E12*$B109)-('Business Case'!D11*$C109*'Business Case'!D12*$B109))-'Business Case'!E15*$F109</f>
        <v>563523711.418544</v>
      </c>
      <c r="L109" s="53" t="n">
        <f aca="false">(('Business Case'!F11*$C109*'Business Case'!F12*$B109)-'Business Case'!F11*$C109*'Business Case'!F13*$D109-'Business Case'!F14*$E109)-MAX(0,(('Business Case'!F11*$C109*'Business Case'!F12*$B109)-'Business Case'!F11*$C109*'Business Case'!F13*$D109-'Business Case'!F14*$E109))*'Business Case'!$B$7-'Business Case'!$B$8*(('Business Case'!F11*$C109*'Business Case'!F12*$B109)-('Business Case'!E11*$C109*'Business Case'!E12*$B109))-'Business Case'!F15*$F109</f>
        <v>685092814.63804</v>
      </c>
      <c r="M109" s="53" t="n">
        <f aca="false">(('Business Case'!G11*$C109*'Business Case'!G12*$B109)-'Business Case'!G11*$C109*'Business Case'!G13*$D109-'Business Case'!G14*$E109)-MAX(0,(('Business Case'!G11*$C109*'Business Case'!G12*$B109)-'Business Case'!G11*$C109*'Business Case'!G13*$D109-'Business Case'!G14*$E109))*'Business Case'!$B$7-'Business Case'!$B$8*(('Business Case'!G11*$C109*'Business Case'!G12*$B109)-('Business Case'!F11*$C109*'Business Case'!F12*$B109))-'Business Case'!G15*$F109+'Business Case'!$B$8*('Business Case'!G11*$C109*'Business Case'!G12*$B109)</f>
        <v>865228470.926461</v>
      </c>
      <c r="N109" s="53" t="n">
        <f aca="false">IF(COUNT('Business Case'!B11:G11)=0,"",H109+NPV(G109,I109:M109))</f>
        <v>-461472357.100525</v>
      </c>
      <c r="P109" s="54" t="n">
        <f aca="true">RAND()</f>
        <v>0.141702363023309</v>
      </c>
      <c r="Q109" s="54" t="n">
        <f aca="true">RAND()</f>
        <v>0.517811983170784</v>
      </c>
      <c r="R109" s="54" t="n">
        <f aca="true">RAND()</f>
        <v>0.465827937356381</v>
      </c>
      <c r="S109" s="54" t="n">
        <f aca="true">RAND()</f>
        <v>0.00156852110717375</v>
      </c>
      <c r="T109" s="54" t="n">
        <f aca="true">RAND()</f>
        <v>0.369896057109406</v>
      </c>
      <c r="U109" s="54" t="n">
        <f aca="true">RAND()</f>
        <v>0.640324335484968</v>
      </c>
    </row>
    <row r="110" customFormat="false" ht="15" hidden="false" customHeight="false" outlineLevel="0" collapsed="false">
      <c r="A110" s="50" t="n">
        <v>30</v>
      </c>
      <c r="B110" s="51" t="n">
        <f aca="false">1+IF($G$6=$E$6,$F$6,IF(P110&lt;($F$6-$E$6)/($G$6-$E$6),$E$6+SQRT(P110*($G$6-$E$6)*($F$6-$E$6)),$G$6-SQRT((1-P110)*($G$6-$E$6)*($G$6-$F$6))))</f>
        <v>0.99498154154768</v>
      </c>
      <c r="C110" s="51" t="n">
        <f aca="false">1+IF($G$7=$E$7,$F$7,IF(Q110&lt;($F$7-$E$7)/($G$7-$E$7),$E$7+SQRT(Q110*($G$7-$E$7)*($F$7-$E$7)),$G$7-SQRT((1-Q110)*($G$7-$E$7)*($G$7-$F$7))))</f>
        <v>1.00656799092042</v>
      </c>
      <c r="D110" s="51" t="n">
        <f aca="false">1+IF($G$8=$E$8,$F$8,IF(R110&lt;($F$8-$E$8)/($G$8-$E$8),$E$8+SQRT(R110*($G$8-$E$8)*($F$8-$E$8)),$G$8-SQRT((1-R110)*($G$8-$E$8)*($G$8-$F$8))))</f>
        <v>1.01133071817515</v>
      </c>
      <c r="E110" s="51" t="n">
        <f aca="false">1+IF($G$9=$E$9,$F$9,IF(S110&lt;($F$9-$E$9)/($G$9-$E$9),$E$9+SQRT(S110*($G$9-$E$9)*($F$9-$E$9)),$G$9-SQRT((1-S110)*($G$9-$E$9)*($G$9-$F$9))))</f>
        <v>1.01526412035912</v>
      </c>
      <c r="F110" s="51" t="n">
        <f aca="false">1+IF($G$10=$E$10,$F$10,IF(T110&lt;($F$10-$E$10)/($G$10-$E$10),$E$10+SQRT(T110*($G$10-$E$10)*($F$10-$E$10)),$G$10-SQRT((1-T110)*($G$10-$E$10)*($G$10-$F$10))))</f>
        <v>1.07388677506028</v>
      </c>
      <c r="G110" s="52" t="n">
        <f aca="false">IF($G$11=$E$11,$F$11,IF(U110&lt;($F$11-$E$11)/($G$11-$E$11),$E$11+SQRT(U110*($G$11-$E$11)*($F$11-$E$11)),$G$11-SQRT((1-U110)*($G$11-$E$11)*($G$11-$F$11))))</f>
        <v>0.101823609349145</v>
      </c>
      <c r="H110" s="53" t="n">
        <f aca="false">(('Business Case'!B11*$C110*'Business Case'!B12*$B110)-'Business Case'!B11*$C110*'Business Case'!B13*$D110-'Business Case'!B14*$E110)-MAX(0,(('Business Case'!B11*$C110*'Business Case'!B12*$B110)-'Business Case'!B11*$C110*'Business Case'!B13*$D110-'Business Case'!B14*$E110))*'Business Case'!$B$7-'Business Case'!$B$8*('Business Case'!B11*$C110*'Business Case'!B12*$B110)-'Business Case'!B15*$F110</f>
        <v>-2147773550.12055</v>
      </c>
      <c r="I110" s="53" t="n">
        <f aca="false">(('Business Case'!C11*$C110*'Business Case'!C12*$B110)-'Business Case'!C11*$C110*'Business Case'!C13*$D110-'Business Case'!C14*$E110)-MAX(0,(('Business Case'!C11*$C110*'Business Case'!C12*$B110)-'Business Case'!C11*$C110*'Business Case'!C13*$D110-'Business Case'!C14*$E110))*'Business Case'!$B$7-'Business Case'!$B$8*(('Business Case'!C11*$C110*'Business Case'!C12*$B110)-('Business Case'!B11*$C110*'Business Case'!B12*$B110))-'Business Case'!C15*$F110</f>
        <v>-4484477.68020898</v>
      </c>
      <c r="J110" s="53" t="n">
        <f aca="false">(('Business Case'!D11*$C110*'Business Case'!D12*$B110)-'Business Case'!D11*$C110*'Business Case'!D13*$D110-'Business Case'!D14*$E110)-MAX(0,(('Business Case'!D11*$C110*'Business Case'!D12*$B110)-'Business Case'!D11*$C110*'Business Case'!D13*$D110-'Business Case'!D14*$E110))*'Business Case'!$B$7-'Business Case'!$B$8*(('Business Case'!D11*$C110*'Business Case'!D12*$B110)-('Business Case'!C11*$C110*'Business Case'!C12*$B110))-'Business Case'!D15*$F110</f>
        <v>294708899.115757</v>
      </c>
      <c r="K110" s="53" t="n">
        <f aca="false">(('Business Case'!E11*$C110*'Business Case'!E12*$B110)-'Business Case'!E11*$C110*'Business Case'!E13*$D110-'Business Case'!E14*$E110)-MAX(0,(('Business Case'!E11*$C110*'Business Case'!E12*$B110)-'Business Case'!E11*$C110*'Business Case'!E13*$D110-'Business Case'!E14*$E110))*'Business Case'!$B$7-'Business Case'!$B$8*(('Business Case'!E11*$C110*'Business Case'!E12*$B110)-('Business Case'!D11*$C110*'Business Case'!D12*$B110))-'Business Case'!E15*$F110</f>
        <v>647596614.664737</v>
      </c>
      <c r="L110" s="53" t="n">
        <f aca="false">(('Business Case'!F11*$C110*'Business Case'!F12*$B110)-'Business Case'!F11*$C110*'Business Case'!F13*$D110-'Business Case'!F14*$E110)-MAX(0,(('Business Case'!F11*$C110*'Business Case'!F12*$B110)-'Business Case'!F11*$C110*'Business Case'!F13*$D110-'Business Case'!F14*$E110))*'Business Case'!$B$7-'Business Case'!$B$8*(('Business Case'!F11*$C110*'Business Case'!F12*$B110)-('Business Case'!E11*$C110*'Business Case'!E12*$B110))-'Business Case'!F15*$F110</f>
        <v>781940152.966779</v>
      </c>
      <c r="M110" s="53" t="n">
        <f aca="false">(('Business Case'!G11*$C110*'Business Case'!G12*$B110)-'Business Case'!G11*$C110*'Business Case'!G13*$D110-'Business Case'!G14*$E110)-MAX(0,(('Business Case'!G11*$C110*'Business Case'!G12*$B110)-'Business Case'!G11*$C110*'Business Case'!G13*$D110-'Business Case'!G14*$E110))*'Business Case'!$B$7-'Business Case'!$B$8*(('Business Case'!G11*$C110*'Business Case'!G12*$B110)-('Business Case'!F11*$C110*'Business Case'!F12*$B110))-'Business Case'!G15*$F110+'Business Case'!$B$8*('Business Case'!G11*$C110*'Business Case'!G12*$B110)</f>
        <v>972308422.835405</v>
      </c>
      <c r="N110" s="53" t="n">
        <f aca="false">IF(COUNT('Business Case'!B11:G11)=0,"",H110+NPV(G110,I110:M110))</f>
        <v>-295654897.836608</v>
      </c>
      <c r="P110" s="54" t="n">
        <f aca="true">RAND()</f>
        <v>0.585649122173591</v>
      </c>
      <c r="Q110" s="54" t="n">
        <f aca="true">RAND()</f>
        <v>0.608138262312275</v>
      </c>
      <c r="R110" s="54" t="n">
        <f aca="true">RAND()</f>
        <v>0.546589397467271</v>
      </c>
      <c r="S110" s="54" t="n">
        <f aca="true">RAND()</f>
        <v>0.521322046765803</v>
      </c>
      <c r="T110" s="54" t="n">
        <f aca="true">RAND()</f>
        <v>0.68190908990605</v>
      </c>
      <c r="U110" s="54" t="n">
        <f aca="true">RAND()</f>
        <v>0.449364704845852</v>
      </c>
    </row>
    <row r="111" customFormat="false" ht="15" hidden="false" customHeight="false" outlineLevel="0" collapsed="false">
      <c r="A111" s="50" t="n">
        <v>31</v>
      </c>
      <c r="B111" s="51" t="n">
        <f aca="false">1+IF($G$6=$E$6,$F$6,IF(P111&lt;($F$6-$E$6)/($G$6-$E$6),$E$6+SQRT(P111*($G$6-$E$6)*($F$6-$E$6)),$G$6-SQRT((1-P111)*($G$6-$E$6)*($G$6-$F$6))))</f>
        <v>1.00822629742223</v>
      </c>
      <c r="C111" s="51" t="n">
        <f aca="false">1+IF($G$7=$E$7,$F$7,IF(Q111&lt;($F$7-$E$7)/($G$7-$E$7),$E$7+SQRT(Q111*($G$7-$E$7)*($F$7-$E$7)),$G$7-SQRT((1-Q111)*($G$7-$E$7)*($G$7-$F$7))))</f>
        <v>0.895780560839128</v>
      </c>
      <c r="D111" s="51" t="n">
        <f aca="false">1+IF($G$8=$E$8,$F$8,IF(R111&lt;($F$8-$E$8)/($G$8-$E$8),$E$8+SQRT(R111*($G$8-$E$8)*($F$8-$E$8)),$G$8-SQRT((1-R111)*($G$8-$E$8)*($G$8-$F$8))))</f>
        <v>1.01621758412492</v>
      </c>
      <c r="E111" s="51" t="n">
        <f aca="false">1+IF($G$9=$E$9,$F$9,IF(S111&lt;($F$9-$E$9)/($G$9-$E$9),$E$9+SQRT(S111*($G$9-$E$9)*($F$9-$E$9)),$G$9-SQRT((1-S111)*($G$9-$E$9)*($G$9-$F$9))))</f>
        <v>0.972862426827882</v>
      </c>
      <c r="F111" s="51" t="n">
        <f aca="false">1+IF($G$10=$E$10,$F$10,IF(T111&lt;($F$10-$E$10)/($G$10-$E$10),$E$10+SQRT(T111*($G$10-$E$10)*($F$10-$E$10)),$G$10-SQRT((1-T111)*($G$10-$E$10)*($G$10-$F$10))))</f>
        <v>1.04845363459717</v>
      </c>
      <c r="G111" s="52" t="n">
        <f aca="false">IF($G$11=$E$11,$F$11,IF(U111&lt;($F$11-$E$11)/($G$11-$E$11),$E$11+SQRT(U111*($G$11-$E$11)*($F$11-$E$11)),$G$11-SQRT((1-U111)*($G$11-$E$11)*($G$11-$F$11))))</f>
        <v>0.111697626733055</v>
      </c>
      <c r="H111" s="53" t="n">
        <f aca="false">(('Business Case'!B11*$C111*'Business Case'!B12*$B111)-'Business Case'!B11*$C111*'Business Case'!B13*$D111-'Business Case'!B14*$E111)-MAX(0,(('Business Case'!B11*$C111*'Business Case'!B12*$B111)-'Business Case'!B11*$C111*'Business Case'!B13*$D111-'Business Case'!B14*$E111))*'Business Case'!$B$7-'Business Case'!$B$8*('Business Case'!B11*$C111*'Business Case'!B12*$B111)-'Business Case'!B15*$F111</f>
        <v>-2096907269.19435</v>
      </c>
      <c r="I111" s="53" t="n">
        <f aca="false">(('Business Case'!C11*$C111*'Business Case'!C12*$B111)-'Business Case'!C11*$C111*'Business Case'!C13*$D111-'Business Case'!C14*$E111)-MAX(0,(('Business Case'!C11*$C111*'Business Case'!C12*$B111)-'Business Case'!C11*$C111*'Business Case'!C13*$D111-'Business Case'!C14*$E111))*'Business Case'!$B$7-'Business Case'!$B$8*(('Business Case'!C11*$C111*'Business Case'!C12*$B111)-('Business Case'!B11*$C111*'Business Case'!B12*$B111))-'Business Case'!C15*$F111</f>
        <v>-16266039.013225</v>
      </c>
      <c r="J111" s="53" t="n">
        <f aca="false">(('Business Case'!D11*$C111*'Business Case'!D12*$B111)-'Business Case'!D11*$C111*'Business Case'!D13*$D111-'Business Case'!D14*$E111)-MAX(0,(('Business Case'!D11*$C111*'Business Case'!D12*$B111)-'Business Case'!D11*$C111*'Business Case'!D13*$D111-'Business Case'!D14*$E111))*'Business Case'!$B$7-'Business Case'!$B$8*(('Business Case'!D11*$C111*'Business Case'!D12*$B111)-('Business Case'!C11*$C111*'Business Case'!C12*$B111))-'Business Case'!D15*$F111</f>
        <v>257473593.549484</v>
      </c>
      <c r="K111" s="53" t="n">
        <f aca="false">(('Business Case'!E11*$C111*'Business Case'!E12*$B111)-'Business Case'!E11*$C111*'Business Case'!E13*$D111-'Business Case'!E14*$E111)-MAX(0,(('Business Case'!E11*$C111*'Business Case'!E12*$B111)-'Business Case'!E11*$C111*'Business Case'!E13*$D111-'Business Case'!E14*$E111))*'Business Case'!$B$7-'Business Case'!$B$8*(('Business Case'!E11*$C111*'Business Case'!E12*$B111)-('Business Case'!D11*$C111*'Business Case'!D12*$B111))-'Business Case'!E15*$F111</f>
        <v>583635907.842052</v>
      </c>
      <c r="L111" s="53" t="n">
        <f aca="false">(('Business Case'!F11*$C111*'Business Case'!F12*$B111)-'Business Case'!F11*$C111*'Business Case'!F13*$D111-'Business Case'!F14*$E111)-MAX(0,(('Business Case'!F11*$C111*'Business Case'!F12*$B111)-'Business Case'!F11*$C111*'Business Case'!F13*$D111-'Business Case'!F14*$E111))*'Business Case'!$B$7-'Business Case'!$B$8*(('Business Case'!F11*$C111*'Business Case'!F12*$B111)-('Business Case'!E11*$C111*'Business Case'!E12*$B111))-'Business Case'!F15*$F111</f>
        <v>706095299.377151</v>
      </c>
      <c r="M111" s="53" t="n">
        <f aca="false">(('Business Case'!G11*$C111*'Business Case'!G12*$B111)-'Business Case'!G11*$C111*'Business Case'!G13*$D111-'Business Case'!G14*$E111)-MAX(0,(('Business Case'!G11*$C111*'Business Case'!G12*$B111)-'Business Case'!G11*$C111*'Business Case'!G13*$D111-'Business Case'!G14*$E111))*'Business Case'!$B$7-'Business Case'!$B$8*(('Business Case'!G11*$C111*'Business Case'!G12*$B111)-('Business Case'!F11*$C111*'Business Case'!F12*$B111))-'Business Case'!G15*$F111+'Business Case'!$B$8*('Business Case'!G11*$C111*'Business Case'!G12*$B111)</f>
        <v>877765959.788556</v>
      </c>
      <c r="N111" s="53" t="n">
        <f aca="false">IF(COUNT('Business Case'!B11:G11)=0,"",H111+NPV(G111,I111:M111))</f>
        <v>-499169419.282715</v>
      </c>
      <c r="P111" s="54" t="n">
        <f aca="true">RAND()</f>
        <v>0.789673296770763</v>
      </c>
      <c r="Q111" s="54" t="n">
        <f aca="true">RAND()</f>
        <v>0.131055940495113</v>
      </c>
      <c r="R111" s="54" t="n">
        <f aca="true">RAND()</f>
        <v>0.608827252417128</v>
      </c>
      <c r="S111" s="54" t="n">
        <f aca="true">RAND()</f>
        <v>0.0696920747280311</v>
      </c>
      <c r="T111" s="54" t="n">
        <f aca="true">RAND()</f>
        <v>0.540673982663864</v>
      </c>
      <c r="U111" s="54" t="n">
        <f aca="true">RAND()</f>
        <v>0.885117663560523</v>
      </c>
    </row>
    <row r="112" customFormat="false" ht="15" hidden="false" customHeight="false" outlineLevel="0" collapsed="false">
      <c r="A112" s="50" t="n">
        <v>32</v>
      </c>
      <c r="B112" s="51" t="n">
        <f aca="false">1+IF($G$6=$E$6,$F$6,IF(P112&lt;($F$6-$E$6)/($G$6-$E$6),$E$6+SQRT(P112*($G$6-$E$6)*($F$6-$E$6)),$G$6-SQRT((1-P112)*($G$6-$E$6)*($G$6-$F$6))))</f>
        <v>0.942538206900249</v>
      </c>
      <c r="C112" s="51" t="n">
        <f aca="false">1+IF($G$7=$E$7,$F$7,IF(Q112&lt;($F$7-$E$7)/($G$7-$E$7),$E$7+SQRT(Q112*($G$7-$E$7)*($F$7-$E$7)),$G$7-SQRT((1-Q112)*($G$7-$E$7)*($G$7-$F$7))))</f>
        <v>1.12379258729309</v>
      </c>
      <c r="D112" s="51" t="n">
        <f aca="false">1+IF($G$8=$E$8,$F$8,IF(R112&lt;($F$8-$E$8)/($G$8-$E$8),$E$8+SQRT(R112*($G$8-$E$8)*($F$8-$E$8)),$G$8-SQRT((1-R112)*($G$8-$E$8)*($G$8-$F$8))))</f>
        <v>1.02884158590121</v>
      </c>
      <c r="E112" s="51" t="n">
        <f aca="false">1+IF($G$9=$E$9,$F$9,IF(S112&lt;($F$9-$E$9)/($G$9-$E$9),$E$9+SQRT(S112*($G$9-$E$9)*($F$9-$E$9)),$G$9-SQRT((1-S112)*($G$9-$E$9)*($G$9-$F$9))))</f>
        <v>0.986285507565441</v>
      </c>
      <c r="F112" s="51" t="n">
        <f aca="false">1+IF($G$10=$E$10,$F$10,IF(T112&lt;($F$10-$E$10)/($G$10-$E$10),$E$10+SQRT(T112*($G$10-$E$10)*($F$10-$E$10)),$G$10-SQRT((1-T112)*($G$10-$E$10)*($G$10-$F$10))))</f>
        <v>1.10667658617245</v>
      </c>
      <c r="G112" s="52" t="n">
        <f aca="false">IF($G$11=$E$11,$F$11,IF(U112&lt;($F$11-$E$11)/($G$11-$E$11),$E$11+SQRT(U112*($G$11-$E$11)*($F$11-$E$11)),$G$11-SQRT((1-U112)*($G$11-$E$11)*($G$11-$F$11))))</f>
        <v>0.0994682512880287</v>
      </c>
      <c r="H112" s="53" t="n">
        <f aca="false">(('Business Case'!B11*$C112*'Business Case'!B12*$B112)-'Business Case'!B11*$C112*'Business Case'!B13*$D112-'Business Case'!B14*$E112)-MAX(0,(('Business Case'!B11*$C112*'Business Case'!B12*$B112)-'Business Case'!B11*$C112*'Business Case'!B13*$D112-'Business Case'!B14*$E112))*'Business Case'!$B$7-'Business Case'!$B$8*('Business Case'!B11*$C112*'Business Case'!B12*$B112)-'Business Case'!B15*$F112</f>
        <v>-2213353172.3449</v>
      </c>
      <c r="I112" s="53" t="n">
        <f aca="false">(('Business Case'!C11*$C112*'Business Case'!C12*$B112)-'Business Case'!C11*$C112*'Business Case'!C13*$D112-'Business Case'!C14*$E112)-MAX(0,(('Business Case'!C11*$C112*'Business Case'!C12*$B112)-'Business Case'!C11*$C112*'Business Case'!C13*$D112-'Business Case'!C14*$E112))*'Business Case'!$B$7-'Business Case'!$B$8*(('Business Case'!C11*$C112*'Business Case'!C12*$B112)-('Business Case'!B11*$C112*'Business Case'!B12*$B112))-'Business Case'!C15*$F112</f>
        <v>-30136167.1520331</v>
      </c>
      <c r="J112" s="53" t="n">
        <f aca="false">(('Business Case'!D11*$C112*'Business Case'!D12*$B112)-'Business Case'!D11*$C112*'Business Case'!D13*$D112-'Business Case'!D14*$E112)-MAX(0,(('Business Case'!D11*$C112*'Business Case'!D12*$B112)-'Business Case'!D11*$C112*'Business Case'!D13*$D112-'Business Case'!D14*$E112))*'Business Case'!$B$7-'Business Case'!$B$8*(('Business Case'!D11*$C112*'Business Case'!D12*$B112)-('Business Case'!C11*$C112*'Business Case'!C12*$B112))-'Business Case'!D15*$F112</f>
        <v>245554956.105021</v>
      </c>
      <c r="K112" s="53" t="n">
        <f aca="false">(('Business Case'!E11*$C112*'Business Case'!E12*$B112)-'Business Case'!E11*$C112*'Business Case'!E13*$D112-'Business Case'!E14*$E112)-MAX(0,(('Business Case'!E11*$C112*'Business Case'!E12*$B112)-'Business Case'!E11*$C112*'Business Case'!E13*$D112-'Business Case'!E14*$E112))*'Business Case'!$B$7-'Business Case'!$B$8*(('Business Case'!E11*$C112*'Business Case'!E12*$B112)-('Business Case'!D11*$C112*'Business Case'!D12*$B112))-'Business Case'!E15*$F112</f>
        <v>576579908.670698</v>
      </c>
      <c r="L112" s="53" t="n">
        <f aca="false">(('Business Case'!F11*$C112*'Business Case'!F12*$B112)-'Business Case'!F11*$C112*'Business Case'!F13*$D112-'Business Case'!F14*$E112)-MAX(0,(('Business Case'!F11*$C112*'Business Case'!F12*$B112)-'Business Case'!F11*$C112*'Business Case'!F13*$D112-'Business Case'!F14*$E112))*'Business Case'!$B$7-'Business Case'!$B$8*(('Business Case'!F11*$C112*'Business Case'!F12*$B112)-('Business Case'!E11*$C112*'Business Case'!E12*$B112))-'Business Case'!F15*$F112</f>
        <v>705083504.83374</v>
      </c>
      <c r="M112" s="53" t="n">
        <f aca="false">(('Business Case'!G11*$C112*'Business Case'!G12*$B112)-'Business Case'!G11*$C112*'Business Case'!G13*$D112-'Business Case'!G14*$E112)-MAX(0,(('Business Case'!G11*$C112*'Business Case'!G12*$B112)-'Business Case'!G11*$C112*'Business Case'!G13*$D112-'Business Case'!G14*$E112))*'Business Case'!$B$7-'Business Case'!$B$8*(('Business Case'!G11*$C112*'Business Case'!G12*$B112)-('Business Case'!F11*$C112*'Business Case'!F12*$B112))-'Business Case'!G15*$F112+'Business Case'!$B$8*('Business Case'!G11*$C112*'Business Case'!G12*$B112)</f>
        <v>906419557.759206</v>
      </c>
      <c r="N112" s="53" t="n">
        <f aca="false">IF(COUNT('Business Case'!B11:G11)=0,"",H112+NPV(G112,I112:M112))</f>
        <v>-557115356.31007</v>
      </c>
      <c r="P112" s="54" t="n">
        <f aca="true">RAND()</f>
        <v>0.0529136219040027</v>
      </c>
      <c r="Q112" s="54" t="n">
        <f aca="true">RAND()</f>
        <v>0.986917552746853</v>
      </c>
      <c r="R112" s="54" t="n">
        <f aca="true">RAND()</f>
        <v>0.748347756432363</v>
      </c>
      <c r="S112" s="54" t="n">
        <f aca="true">RAND()</f>
        <v>0.175551741237556</v>
      </c>
      <c r="T112" s="54" t="n">
        <f aca="true">RAND()</f>
        <v>0.825814808631434</v>
      </c>
      <c r="U112" s="54" t="n">
        <f aca="true">RAND()</f>
        <v>0.298825941510859</v>
      </c>
    </row>
    <row r="113" customFormat="false" ht="15" hidden="false" customHeight="false" outlineLevel="0" collapsed="false">
      <c r="A113" s="50" t="n">
        <v>33</v>
      </c>
      <c r="B113" s="51" t="n">
        <f aca="false">1+IF($G$6=$E$6,$F$6,IF(P113&lt;($F$6-$E$6)/($G$6-$E$6),$E$6+SQRT(P113*($G$6-$E$6)*($F$6-$E$6)),$G$6-SQRT((1-P113)*($G$6-$E$6)*($G$6-$F$6))))</f>
        <v>1.01296300625498</v>
      </c>
      <c r="C113" s="51" t="n">
        <f aca="false">1+IF($G$7=$E$7,$F$7,IF(Q113&lt;($F$7-$E$7)/($G$7-$E$7),$E$7+SQRT(Q113*($G$7-$E$7)*($F$7-$E$7)),$G$7-SQRT((1-Q113)*($G$7-$E$7)*($G$7-$F$7))))</f>
        <v>0.878025416061556</v>
      </c>
      <c r="D113" s="51" t="n">
        <f aca="false">1+IF($G$8=$E$8,$F$8,IF(R113&lt;($F$8-$E$8)/($G$8-$E$8),$E$8+SQRT(R113*($G$8-$E$8)*($F$8-$E$8)),$G$8-SQRT((1-R113)*($G$8-$E$8)*($G$8-$F$8))))</f>
        <v>1.04506127141692</v>
      </c>
      <c r="E113" s="51" t="n">
        <f aca="false">1+IF($G$9=$E$9,$F$9,IF(S113&lt;($F$9-$E$9)/($G$9-$E$9),$E$9+SQRT(S113*($G$9-$E$9)*($F$9-$E$9)),$G$9-SQRT((1-S113)*($G$9-$E$9)*($G$9-$F$9))))</f>
        <v>0.973395265474297</v>
      </c>
      <c r="F113" s="51" t="n">
        <f aca="false">1+IF($G$10=$E$10,$F$10,IF(T113&lt;($F$10-$E$10)/($G$10-$E$10),$E$10+SQRT(T113*($G$10-$E$10)*($F$10-$E$10)),$G$10-SQRT((1-T113)*($G$10-$E$10)*($G$10-$F$10))))</f>
        <v>0.997986964909588</v>
      </c>
      <c r="G113" s="52" t="n">
        <f aca="false">IF($G$11=$E$11,$F$11,IF(U113&lt;($F$11-$E$11)/($G$11-$E$11),$E$11+SQRT(U113*($G$11-$E$11)*($F$11-$E$11)),$G$11-SQRT((1-U113)*($G$11-$E$11)*($G$11-$F$11))))</f>
        <v>0.0978220576843858</v>
      </c>
      <c r="H113" s="53" t="n">
        <f aca="false">(('Business Case'!B11*$C113*'Business Case'!B12*$B113)-'Business Case'!B11*$C113*'Business Case'!B13*$D113-'Business Case'!B14*$E113)-MAX(0,(('Business Case'!B11*$C113*'Business Case'!B12*$B113)-'Business Case'!B11*$C113*'Business Case'!B13*$D113-'Business Case'!B14*$E113))*'Business Case'!$B$7-'Business Case'!$B$8*('Business Case'!B11*$C113*'Business Case'!B12*$B113)-'Business Case'!B15*$F113</f>
        <v>-1995973929.81918</v>
      </c>
      <c r="I113" s="53" t="n">
        <f aca="false">(('Business Case'!C11*$C113*'Business Case'!C12*$B113)-'Business Case'!C11*$C113*'Business Case'!C13*$D113-'Business Case'!C14*$E113)-MAX(0,(('Business Case'!C11*$C113*'Business Case'!C12*$B113)-'Business Case'!C11*$C113*'Business Case'!C13*$D113-'Business Case'!C14*$E113))*'Business Case'!$B$7-'Business Case'!$B$8*(('Business Case'!C11*$C113*'Business Case'!C12*$B113)-('Business Case'!B11*$C113*'Business Case'!B12*$B113))-'Business Case'!C15*$F113</f>
        <v>-25566644.3700181</v>
      </c>
      <c r="J113" s="53" t="n">
        <f aca="false">(('Business Case'!D11*$C113*'Business Case'!D12*$B113)-'Business Case'!D11*$C113*'Business Case'!D13*$D113-'Business Case'!D14*$E113)-MAX(0,(('Business Case'!D11*$C113*'Business Case'!D12*$B113)-'Business Case'!D11*$C113*'Business Case'!D13*$D113-'Business Case'!D14*$E113))*'Business Case'!$B$7-'Business Case'!$B$8*(('Business Case'!D11*$C113*'Business Case'!D12*$B113)-('Business Case'!C11*$C113*'Business Case'!C12*$B113))-'Business Case'!D15*$F113</f>
        <v>233189087.120108</v>
      </c>
      <c r="K113" s="53" t="n">
        <f aca="false">(('Business Case'!E11*$C113*'Business Case'!E12*$B113)-'Business Case'!E11*$C113*'Business Case'!E13*$D113-'Business Case'!E14*$E113)-MAX(0,(('Business Case'!E11*$C113*'Business Case'!E12*$B113)-'Business Case'!E11*$C113*'Business Case'!E13*$D113-'Business Case'!E14*$E113))*'Business Case'!$B$7-'Business Case'!$B$8*(('Business Case'!E11*$C113*'Business Case'!E12*$B113)-('Business Case'!D11*$C113*'Business Case'!D12*$B113))-'Business Case'!E15*$F113</f>
        <v>541844166.855712</v>
      </c>
      <c r="L113" s="53" t="n">
        <f aca="false">(('Business Case'!F11*$C113*'Business Case'!F12*$B113)-'Business Case'!F11*$C113*'Business Case'!F13*$D113-'Business Case'!F14*$E113)-MAX(0,(('Business Case'!F11*$C113*'Business Case'!F12*$B113)-'Business Case'!F11*$C113*'Business Case'!F13*$D113-'Business Case'!F14*$E113))*'Business Case'!$B$7-'Business Case'!$B$8*(('Business Case'!F11*$C113*'Business Case'!F12*$B113)-('Business Case'!E11*$C113*'Business Case'!E12*$B113))-'Business Case'!F15*$F113</f>
        <v>658833992.431581</v>
      </c>
      <c r="M113" s="53" t="n">
        <f aca="false">(('Business Case'!G11*$C113*'Business Case'!G12*$B113)-'Business Case'!G11*$C113*'Business Case'!G13*$D113-'Business Case'!G14*$E113)-MAX(0,(('Business Case'!G11*$C113*'Business Case'!G12*$B113)-'Business Case'!G11*$C113*'Business Case'!G13*$D113-'Business Case'!G14*$E113))*'Business Case'!$B$7-'Business Case'!$B$8*(('Business Case'!G11*$C113*'Business Case'!G12*$B113)-('Business Case'!F11*$C113*'Business Case'!F12*$B113))-'Business Case'!G15*$F113+'Business Case'!$B$8*('Business Case'!G11*$C113*'Business Case'!G12*$B113)</f>
        <v>827892525.366961</v>
      </c>
      <c r="N113" s="53" t="n">
        <f aca="false">IF(COUNT('Business Case'!B11:G11)=0,"",H113+NPV(G113,I113:M113))</f>
        <v>-443505990.967191</v>
      </c>
      <c r="P113" s="54" t="n">
        <f aca="true">RAND()</f>
        <v>0.847708535256574</v>
      </c>
      <c r="Q113" s="54" t="n">
        <f aca="true">RAND()</f>
        <v>0.0869709364511271</v>
      </c>
      <c r="R113" s="54" t="n">
        <f aca="true">RAND()</f>
        <v>0.882623581249791</v>
      </c>
      <c r="S113" s="54" t="n">
        <f aca="true">RAND()</f>
        <v>0.0729784595483758</v>
      </c>
      <c r="T113" s="54" t="n">
        <f aca="true">RAND()</f>
        <v>0.184219904098721</v>
      </c>
      <c r="U113" s="54" t="n">
        <f aca="true">RAND()</f>
        <v>0.203948621392863</v>
      </c>
    </row>
    <row r="114" customFormat="false" ht="15" hidden="false" customHeight="false" outlineLevel="0" collapsed="false">
      <c r="A114" s="50" t="n">
        <v>34</v>
      </c>
      <c r="B114" s="51" t="n">
        <f aca="false">1+IF($G$6=$E$6,$F$6,IF(P114&lt;($F$6-$E$6)/($G$6-$E$6),$E$6+SQRT(P114*($G$6-$E$6)*($F$6-$E$6)),$G$6-SQRT((1-P114)*($G$6-$E$6)*($G$6-$F$6))))</f>
        <v>1.01539854994325</v>
      </c>
      <c r="C114" s="51" t="n">
        <f aca="false">1+IF($G$7=$E$7,$F$7,IF(Q114&lt;($F$7-$E$7)/($G$7-$E$7),$E$7+SQRT(Q114*($G$7-$E$7)*($F$7-$E$7)),$G$7-SQRT((1-Q114)*($G$7-$E$7)*($G$7-$F$7))))</f>
        <v>0.895302972718895</v>
      </c>
      <c r="D114" s="51" t="n">
        <f aca="false">1+IF($G$8=$E$8,$F$8,IF(R114&lt;($F$8-$E$8)/($G$8-$E$8),$E$8+SQRT(R114*($G$8-$E$8)*($F$8-$E$8)),$G$8-SQRT((1-R114)*($G$8-$E$8)*($G$8-$F$8))))</f>
        <v>1.0436312606113</v>
      </c>
      <c r="E114" s="51" t="n">
        <f aca="false">1+IF($G$9=$E$9,$F$9,IF(S114&lt;($F$9-$E$9)/($G$9-$E$9),$E$9+SQRT(S114*($G$9-$E$9)*($F$9-$E$9)),$G$9-SQRT((1-S114)*($G$9-$E$9)*($G$9-$F$9))))</f>
        <v>0.966026527616732</v>
      </c>
      <c r="F114" s="51" t="n">
        <f aca="false">1+IF($G$10=$E$10,$F$10,IF(T114&lt;($F$10-$E$10)/($G$10-$E$10),$E$10+SQRT(T114*($G$10-$E$10)*($F$10-$E$10)),$G$10-SQRT((1-T114)*($G$10-$E$10)*($G$10-$F$10))))</f>
        <v>1.06465582503277</v>
      </c>
      <c r="G114" s="52" t="n">
        <f aca="false">IF($G$11=$E$11,$F$11,IF(U114&lt;($F$11-$E$11)/($G$11-$E$11),$E$11+SQRT(U114*($G$11-$E$11)*($F$11-$E$11)),$G$11-SQRT((1-U114)*($G$11-$E$11)*($G$11-$F$11))))</f>
        <v>0.115426682433172</v>
      </c>
      <c r="H114" s="53" t="n">
        <f aca="false">(('Business Case'!B11*$C114*'Business Case'!B12*$B114)-'Business Case'!B11*$C114*'Business Case'!B13*$D114-'Business Case'!B14*$E114)-MAX(0,(('Business Case'!B11*$C114*'Business Case'!B12*$B114)-'Business Case'!B11*$C114*'Business Case'!B13*$D114-'Business Case'!B14*$E114))*'Business Case'!$B$7-'Business Case'!$B$8*('Business Case'!B11*$C114*'Business Case'!B12*$B114)-'Business Case'!B15*$F114</f>
        <v>-2129311650.06555</v>
      </c>
      <c r="I114" s="53" t="n">
        <f aca="false">(('Business Case'!C11*$C114*'Business Case'!C12*$B114)-'Business Case'!C11*$C114*'Business Case'!C13*$D114-'Business Case'!C14*$E114)-MAX(0,(('Business Case'!C11*$C114*'Business Case'!C12*$B114)-'Business Case'!C11*$C114*'Business Case'!C13*$D114-'Business Case'!C14*$E114))*'Business Case'!$B$7-'Business Case'!$B$8*(('Business Case'!C11*$C114*'Business Case'!C12*$B114)-('Business Case'!B11*$C114*'Business Case'!B12*$B114))-'Business Case'!C15*$F114</f>
        <v>-24672851.7958542</v>
      </c>
      <c r="J114" s="53" t="n">
        <f aca="false">(('Business Case'!D11*$C114*'Business Case'!D12*$B114)-'Business Case'!D11*$C114*'Business Case'!D13*$D114-'Business Case'!D14*$E114)-MAX(0,(('Business Case'!D11*$C114*'Business Case'!D12*$B114)-'Business Case'!D11*$C114*'Business Case'!D13*$D114-'Business Case'!D14*$E114))*'Business Case'!$B$7-'Business Case'!$B$8*(('Business Case'!D11*$C114*'Business Case'!D12*$B114)-('Business Case'!C11*$C114*'Business Case'!C12*$B114))-'Business Case'!D15*$F114</f>
        <v>241616042.537676</v>
      </c>
      <c r="K114" s="53" t="n">
        <f aca="false">(('Business Case'!E11*$C114*'Business Case'!E12*$B114)-'Business Case'!E11*$C114*'Business Case'!E13*$D114-'Business Case'!E14*$E114)-MAX(0,(('Business Case'!E11*$C114*'Business Case'!E12*$B114)-'Business Case'!E11*$C114*'Business Case'!E13*$D114-'Business Case'!E14*$E114))*'Business Case'!$B$7-'Business Case'!$B$8*(('Business Case'!E11*$C114*'Business Case'!E12*$B114)-('Business Case'!D11*$C114*'Business Case'!D12*$B114))-'Business Case'!E15*$F114</f>
        <v>561137728.122846</v>
      </c>
      <c r="L114" s="53" t="n">
        <f aca="false">(('Business Case'!F11*$C114*'Business Case'!F12*$B114)-'Business Case'!F11*$C114*'Business Case'!F13*$D114-'Business Case'!F14*$E114)-MAX(0,(('Business Case'!F11*$C114*'Business Case'!F12*$B114)-'Business Case'!F11*$C114*'Business Case'!F13*$D114-'Business Case'!F14*$E114))*'Business Case'!$B$7-'Business Case'!$B$8*(('Business Case'!F11*$C114*'Business Case'!F12*$B114)-('Business Case'!E11*$C114*'Business Case'!E12*$B114))-'Business Case'!F15*$F114</f>
        <v>681318820.500029</v>
      </c>
      <c r="M114" s="53" t="n">
        <f aca="false">(('Business Case'!G11*$C114*'Business Case'!G12*$B114)-'Business Case'!G11*$C114*'Business Case'!G13*$D114-'Business Case'!G14*$E114)-MAX(0,(('Business Case'!G11*$C114*'Business Case'!G12*$B114)-'Business Case'!G11*$C114*'Business Case'!G13*$D114-'Business Case'!G14*$E114))*'Business Case'!$B$7-'Business Case'!$B$8*(('Business Case'!G11*$C114*'Business Case'!G12*$B114)-('Business Case'!F11*$C114*'Business Case'!F12*$B114))-'Business Case'!G15*$F114+'Business Case'!$B$8*('Business Case'!G11*$C114*'Business Case'!G12*$B114)</f>
        <v>854118522.296392</v>
      </c>
      <c r="N114" s="53" t="n">
        <f aca="false">IF(COUNT('Business Case'!B11:G11)=0,"",H114+NPV(G114,I114:M114))</f>
        <v>-618091641.344121</v>
      </c>
      <c r="P114" s="54" t="n">
        <f aca="true">RAND()</f>
        <v>0.873910136480256</v>
      </c>
      <c r="Q114" s="54" t="n">
        <f aca="true">RAND()</f>
        <v>0.129752237272263</v>
      </c>
      <c r="R114" s="54" t="n">
        <f aca="true">RAND()</f>
        <v>0.872818730315065</v>
      </c>
      <c r="S114" s="54" t="n">
        <f aca="true">RAND()</f>
        <v>0.0342466116599821</v>
      </c>
      <c r="T114" s="54" t="n">
        <f aca="true">RAND()</f>
        <v>0.633639086048819</v>
      </c>
      <c r="U114" s="54" t="n">
        <f aca="true">RAND()</f>
        <v>0.965141277388238</v>
      </c>
    </row>
    <row r="115" customFormat="false" ht="15" hidden="false" customHeight="false" outlineLevel="0" collapsed="false">
      <c r="A115" s="50" t="n">
        <v>35</v>
      </c>
      <c r="B115" s="51" t="n">
        <f aca="false">1+IF($G$6=$E$6,$F$6,IF(P115&lt;($F$6-$E$6)/($G$6-$E$6),$E$6+SQRT(P115*($G$6-$E$6)*($F$6-$E$6)),$G$6-SQRT((1-P115)*($G$6-$E$6)*($G$6-$F$6))))</f>
        <v>0.992814198916972</v>
      </c>
      <c r="C115" s="51" t="n">
        <f aca="false">1+IF($G$7=$E$7,$F$7,IF(Q115&lt;($F$7-$E$7)/($G$7-$E$7),$E$7+SQRT(Q115*($G$7-$E$7)*($F$7-$E$7)),$G$7-SQRT((1-Q115)*($G$7-$E$7)*($G$7-$F$7))))</f>
        <v>0.877974824608668</v>
      </c>
      <c r="D115" s="51" t="n">
        <f aca="false">1+IF($G$8=$E$8,$F$8,IF(R115&lt;($F$8-$E$8)/($G$8-$E$8),$E$8+SQRT(R115*($G$8-$E$8)*($F$8-$E$8)),$G$8-SQRT((1-R115)*($G$8-$E$8)*($G$8-$F$8))))</f>
        <v>1.01291555990592</v>
      </c>
      <c r="E115" s="51" t="n">
        <f aca="false">1+IF($G$9=$E$9,$F$9,IF(S115&lt;($F$9-$E$9)/($G$9-$E$9),$E$9+SQRT(S115*($G$9-$E$9)*($F$9-$E$9)),$G$9-SQRT((1-S115)*($G$9-$E$9)*($G$9-$F$9))))</f>
        <v>1.00753253890847</v>
      </c>
      <c r="F115" s="51" t="n">
        <f aca="false">1+IF($G$10=$E$10,$F$10,IF(T115&lt;($F$10-$E$10)/($G$10-$E$10),$E$10+SQRT(T115*($G$10-$E$10)*($F$10-$E$10)),$G$10-SQRT((1-T115)*($G$10-$E$10)*($G$10-$F$10))))</f>
        <v>1.02220569702177</v>
      </c>
      <c r="G115" s="52" t="n">
        <f aca="false">IF($G$11=$E$11,$F$11,IF(U115&lt;($F$11-$E$11)/($G$11-$E$11),$E$11+SQRT(U115*($G$11-$E$11)*($F$11-$E$11)),$G$11-SQRT((1-U115)*($G$11-$E$11)*($G$11-$F$11))))</f>
        <v>0.107032432558185</v>
      </c>
      <c r="H115" s="53" t="n">
        <f aca="false">(('Business Case'!B11*$C115*'Business Case'!B12*$B115)-'Business Case'!B11*$C115*'Business Case'!B13*$D115-'Business Case'!B14*$E115)-MAX(0,(('Business Case'!B11*$C115*'Business Case'!B12*$B115)-'Business Case'!B11*$C115*'Business Case'!B13*$D115-'Business Case'!B14*$E115))*'Business Case'!$B$7-'Business Case'!$B$8*('Business Case'!B11*$C115*'Business Case'!B12*$B115)-'Business Case'!B15*$F115</f>
        <v>-2044411394.04353</v>
      </c>
      <c r="I115" s="53" t="n">
        <f aca="false">(('Business Case'!C11*$C115*'Business Case'!C12*$B115)-'Business Case'!C11*$C115*'Business Case'!C13*$D115-'Business Case'!C14*$E115)-MAX(0,(('Business Case'!C11*$C115*'Business Case'!C12*$B115)-'Business Case'!C11*$C115*'Business Case'!C13*$D115-'Business Case'!C14*$E115))*'Business Case'!$B$7-'Business Case'!$B$8*(('Business Case'!C11*$C115*'Business Case'!C12*$B115)-('Business Case'!B11*$C115*'Business Case'!B12*$B115))-'Business Case'!C15*$F115</f>
        <v>-31979554.0131375</v>
      </c>
      <c r="J115" s="53" t="n">
        <f aca="false">(('Business Case'!D11*$C115*'Business Case'!D12*$B115)-'Business Case'!D11*$C115*'Business Case'!D13*$D115-'Business Case'!D14*$E115)-MAX(0,(('Business Case'!D11*$C115*'Business Case'!D12*$B115)-'Business Case'!D11*$C115*'Business Case'!D13*$D115-'Business Case'!D14*$E115))*'Business Case'!$B$7-'Business Case'!$B$8*(('Business Case'!D11*$C115*'Business Case'!D12*$B115)-('Business Case'!C11*$C115*'Business Case'!C12*$B115))-'Business Case'!D15*$F115</f>
        <v>226719747.521622</v>
      </c>
      <c r="K115" s="53" t="n">
        <f aca="false">(('Business Case'!E11*$C115*'Business Case'!E12*$B115)-'Business Case'!E11*$C115*'Business Case'!E13*$D115-'Business Case'!E14*$E115)-MAX(0,(('Business Case'!E11*$C115*'Business Case'!E12*$B115)-'Business Case'!E11*$C115*'Business Case'!E13*$D115-'Business Case'!E14*$E115))*'Business Case'!$B$7-'Business Case'!$B$8*(('Business Case'!E11*$C115*'Business Case'!E12*$B115)-('Business Case'!D11*$C115*'Business Case'!D12*$B115))-'Business Case'!E15*$F115</f>
        <v>536529333.907471</v>
      </c>
      <c r="L115" s="53" t="n">
        <f aca="false">(('Business Case'!F11*$C115*'Business Case'!F12*$B115)-'Business Case'!F11*$C115*'Business Case'!F13*$D115-'Business Case'!F14*$E115)-MAX(0,(('Business Case'!F11*$C115*'Business Case'!F12*$B115)-'Business Case'!F11*$C115*'Business Case'!F13*$D115-'Business Case'!F14*$E115))*'Business Case'!$B$7-'Business Case'!$B$8*(('Business Case'!F11*$C115*'Business Case'!F12*$B115)-('Business Case'!E11*$C115*'Business Case'!E12*$B115))-'Business Case'!F15*$F115</f>
        <v>652887206.961015</v>
      </c>
      <c r="M115" s="53" t="n">
        <f aca="false">(('Business Case'!G11*$C115*'Business Case'!G12*$B115)-'Business Case'!G11*$C115*'Business Case'!G13*$D115-'Business Case'!G14*$E115)-MAX(0,(('Business Case'!G11*$C115*'Business Case'!G12*$B115)-'Business Case'!G11*$C115*'Business Case'!G13*$D115-'Business Case'!G14*$E115))*'Business Case'!$B$7-'Business Case'!$B$8*(('Business Case'!G11*$C115*'Business Case'!G12*$B115)-('Business Case'!F11*$C115*'Business Case'!F12*$B115))-'Business Case'!G15*$F115+'Business Case'!$B$8*('Business Case'!G11*$C115*'Business Case'!G12*$B115)</f>
        <v>818573455.941782</v>
      </c>
      <c r="N115" s="53" t="n">
        <f aca="false">IF(COUNT('Business Case'!B11:G11)=0,"",H115+NPV(G115,I115:M115))</f>
        <v>-565794614.665707</v>
      </c>
      <c r="P115" s="54" t="n">
        <f aca="true">RAND()</f>
        <v>0.552282037908374</v>
      </c>
      <c r="Q115" s="54" t="n">
        <f aca="true">RAND()</f>
        <v>0.0868581896107508</v>
      </c>
      <c r="R115" s="54" t="n">
        <f aca="true">RAND()</f>
        <v>0.567276720890795</v>
      </c>
      <c r="S115" s="54" t="n">
        <f aca="true">RAND()</f>
        <v>0.429984575952431</v>
      </c>
      <c r="T115" s="54" t="n">
        <f aca="true">RAND()</f>
        <v>0.367783716569675</v>
      </c>
      <c r="U115" s="54" t="n">
        <f aca="true">RAND()</f>
        <v>0.719736991069964</v>
      </c>
    </row>
    <row r="116" customFormat="false" ht="15" hidden="false" customHeight="false" outlineLevel="0" collapsed="false">
      <c r="A116" s="50" t="n">
        <v>36</v>
      </c>
      <c r="B116" s="51" t="n">
        <f aca="false">1+IF($G$6=$E$6,$F$6,IF(P116&lt;($F$6-$E$6)/($G$6-$E$6),$E$6+SQRT(P116*($G$6-$E$6)*($F$6-$E$6)),$G$6-SQRT((1-P116)*($G$6-$E$6)*($G$6-$F$6))))</f>
        <v>0.980380359247943</v>
      </c>
      <c r="C116" s="51" t="n">
        <f aca="false">1+IF($G$7=$E$7,$F$7,IF(Q116&lt;($F$7-$E$7)/($G$7-$E$7),$E$7+SQRT(Q116*($G$7-$E$7)*($F$7-$E$7)),$G$7-SQRT((1-Q116)*($G$7-$E$7)*($G$7-$F$7))))</f>
        <v>1.06399213020552</v>
      </c>
      <c r="D116" s="51" t="n">
        <f aca="false">1+IF($G$8=$E$8,$F$8,IF(R116&lt;($F$8-$E$8)/($G$8-$E$8),$E$8+SQRT(R116*($G$8-$E$8)*($F$8-$E$8)),$G$8-SQRT((1-R116)*($G$8-$E$8)*($G$8-$F$8))))</f>
        <v>1.05106942757633</v>
      </c>
      <c r="E116" s="51" t="n">
        <f aca="false">1+IF($G$9=$E$9,$F$9,IF(S116&lt;($F$9-$E$9)/($G$9-$E$9),$E$9+SQRT(S116*($G$9-$E$9)*($F$9-$E$9)),$G$9-SQRT((1-S116)*($G$9-$E$9)*($G$9-$F$9))))</f>
        <v>0.992512910435988</v>
      </c>
      <c r="F116" s="51" t="n">
        <f aca="false">1+IF($G$10=$E$10,$F$10,IF(T116&lt;($F$10-$E$10)/($G$10-$E$10),$E$10+SQRT(T116*($G$10-$E$10)*($F$10-$E$10)),$G$10-SQRT((1-T116)*($G$10-$E$10)*($G$10-$F$10))))</f>
        <v>1.03693525727134</v>
      </c>
      <c r="G116" s="52" t="n">
        <f aca="false">IF($G$11=$E$11,$F$11,IF(U116&lt;($F$11-$E$11)/($G$11-$E$11),$E$11+SQRT(U116*($G$11-$E$11)*($F$11-$E$11)),$G$11-SQRT((1-U116)*($G$11-$E$11)*($G$11-$F$11))))</f>
        <v>0.102437687348883</v>
      </c>
      <c r="H116" s="53" t="n">
        <f aca="false">(('Business Case'!B11*$C116*'Business Case'!B12*$B116)-'Business Case'!B11*$C116*'Business Case'!B13*$D116-'Business Case'!B14*$E116)-MAX(0,(('Business Case'!B11*$C116*'Business Case'!B12*$B116)-'Business Case'!B11*$C116*'Business Case'!B13*$D116-'Business Case'!B14*$E116))*'Business Case'!$B$7-'Business Case'!$B$8*('Business Case'!B11*$C116*'Business Case'!B12*$B116)-'Business Case'!B15*$F116</f>
        <v>-2073870514.54267</v>
      </c>
      <c r="I116" s="53" t="n">
        <f aca="false">(('Business Case'!C11*$C116*'Business Case'!C12*$B116)-'Business Case'!C11*$C116*'Business Case'!C13*$D116-'Business Case'!C14*$E116)-MAX(0,(('Business Case'!C11*$C116*'Business Case'!C12*$B116)-'Business Case'!C11*$C116*'Business Case'!C13*$D116-'Business Case'!C14*$E116))*'Business Case'!$B$7-'Business Case'!$B$8*(('Business Case'!C11*$C116*'Business Case'!C12*$B116)-('Business Case'!B11*$C116*'Business Case'!B12*$B116))-'Business Case'!C15*$F116</f>
        <v>-17011417.9812318</v>
      </c>
      <c r="J116" s="53" t="n">
        <f aca="false">(('Business Case'!D11*$C116*'Business Case'!D12*$B116)-'Business Case'!D11*$C116*'Business Case'!D13*$D116-'Business Case'!D14*$E116)-MAX(0,(('Business Case'!D11*$C116*'Business Case'!D12*$B116)-'Business Case'!D11*$C116*'Business Case'!D13*$D116-'Business Case'!D14*$E116))*'Business Case'!$B$7-'Business Case'!$B$8*(('Business Case'!D11*$C116*'Business Case'!D12*$B116)-('Business Case'!C11*$C116*'Business Case'!C12*$B116))-'Business Case'!D15*$F116</f>
        <v>264881210.226861</v>
      </c>
      <c r="K116" s="53" t="n">
        <f aca="false">(('Business Case'!E11*$C116*'Business Case'!E12*$B116)-'Business Case'!E11*$C116*'Business Case'!E13*$D116-'Business Case'!E14*$E116)-MAX(0,(('Business Case'!E11*$C116*'Business Case'!E12*$B116)-'Business Case'!E11*$C116*'Business Case'!E13*$D116-'Business Case'!E14*$E116))*'Business Case'!$B$7-'Business Case'!$B$8*(('Business Case'!E11*$C116*'Business Case'!E12*$B116)-('Business Case'!D11*$C116*'Business Case'!D12*$B116))-'Business Case'!E15*$F116</f>
        <v>598620601.298521</v>
      </c>
      <c r="L116" s="53" t="n">
        <f aca="false">(('Business Case'!F11*$C116*'Business Case'!F12*$B116)-'Business Case'!F11*$C116*'Business Case'!F13*$D116-'Business Case'!F14*$E116)-MAX(0,(('Business Case'!F11*$C116*'Business Case'!F12*$B116)-'Business Case'!F11*$C116*'Business Case'!F13*$D116-'Business Case'!F14*$E116))*'Business Case'!$B$7-'Business Case'!$B$8*(('Business Case'!F11*$C116*'Business Case'!F12*$B116)-('Business Case'!E11*$C116*'Business Case'!E12*$B116))-'Business Case'!F15*$F116</f>
        <v>728634933.766681</v>
      </c>
      <c r="M116" s="53" t="n">
        <f aca="false">(('Business Case'!G11*$C116*'Business Case'!G12*$B116)-'Business Case'!G11*$C116*'Business Case'!G13*$D116-'Business Case'!G14*$E116)-MAX(0,(('Business Case'!G11*$C116*'Business Case'!G12*$B116)-'Business Case'!G11*$C116*'Business Case'!G13*$D116-'Business Case'!G14*$E116))*'Business Case'!$B$7-'Business Case'!$B$8*(('Business Case'!G11*$C116*'Business Case'!G12*$B116)-('Business Case'!F11*$C116*'Business Case'!F12*$B116))-'Business Case'!G15*$F116+'Business Case'!$B$8*('Business Case'!G11*$C116*'Business Case'!G12*$B116)</f>
        <v>926910610.626724</v>
      </c>
      <c r="N116" s="53" t="n">
        <f aca="false">IF(COUNT('Business Case'!B11:G11)=0,"",H116+NPV(G116,I116:M116))</f>
        <v>-362098662.407142</v>
      </c>
      <c r="P116" s="54" t="n">
        <f aca="true">RAND()</f>
        <v>0.37976956071986</v>
      </c>
      <c r="Q116" s="54" t="n">
        <f aca="true">RAND()</f>
        <v>0.859098025398386</v>
      </c>
      <c r="R116" s="54" t="n">
        <f aca="true">RAND()</f>
        <v>0.919521344157553</v>
      </c>
      <c r="S116" s="54" t="n">
        <f aca="true">RAND()</f>
        <v>0.240979673831781</v>
      </c>
      <c r="T116" s="54" t="n">
        <f aca="true">RAND()</f>
        <v>0.468197793576691</v>
      </c>
      <c r="U116" s="54" t="n">
        <f aca="true">RAND()</f>
        <v>0.485941957240694</v>
      </c>
    </row>
    <row r="117" customFormat="false" ht="15" hidden="false" customHeight="false" outlineLevel="0" collapsed="false">
      <c r="A117" s="50" t="n">
        <v>37</v>
      </c>
      <c r="B117" s="51" t="n">
        <f aca="false">1+IF($G$6=$E$6,$F$6,IF(P117&lt;($F$6-$E$6)/($G$6-$E$6),$E$6+SQRT(P117*($G$6-$E$6)*($F$6-$E$6)),$G$6-SQRT((1-P117)*($G$6-$E$6)*($G$6-$F$6))))</f>
        <v>1.00946774446513</v>
      </c>
      <c r="C117" s="51" t="n">
        <f aca="false">1+IF($G$7=$E$7,$F$7,IF(Q117&lt;($F$7-$E$7)/($G$7-$E$7),$E$7+SQRT(Q117*($G$7-$E$7)*($F$7-$E$7)),$G$7-SQRT((1-Q117)*($G$7-$E$7)*($G$7-$F$7))))</f>
        <v>0.977165575339652</v>
      </c>
      <c r="D117" s="51" t="n">
        <f aca="false">1+IF($G$8=$E$8,$F$8,IF(R117&lt;($F$8-$E$8)/($G$8-$E$8),$E$8+SQRT(R117*($G$8-$E$8)*($F$8-$E$8)),$G$8-SQRT((1-R117)*($G$8-$E$8)*($G$8-$F$8))))</f>
        <v>0.974487660256188</v>
      </c>
      <c r="E117" s="51" t="n">
        <f aca="false">1+IF($G$9=$E$9,$F$9,IF(S117&lt;($F$9-$E$9)/($G$9-$E$9),$E$9+SQRT(S117*($G$9-$E$9)*($F$9-$E$9)),$G$9-SQRT((1-S117)*($G$9-$E$9)*($G$9-$F$9))))</f>
        <v>0.983207404670264</v>
      </c>
      <c r="F117" s="51" t="n">
        <f aca="false">1+IF($G$10=$E$10,$F$10,IF(T117&lt;($F$10-$E$10)/($G$10-$E$10),$E$10+SQRT(T117*($G$10-$E$10)*($F$10-$E$10)),$G$10-SQRT((1-T117)*($G$10-$E$10)*($G$10-$F$10))))</f>
        <v>1.14112190557192</v>
      </c>
      <c r="G117" s="52" t="n">
        <f aca="false">IF($G$11=$E$11,$F$11,IF(U117&lt;($F$11-$E$11)/($G$11-$E$11),$E$11+SQRT(U117*($G$11-$E$11)*($F$11-$E$11)),$G$11-SQRT((1-U117)*($G$11-$E$11)*($G$11-$F$11))))</f>
        <v>0.105732798989074</v>
      </c>
      <c r="H117" s="53" t="n">
        <f aca="false">(('Business Case'!B11*$C117*'Business Case'!B12*$B117)-'Business Case'!B11*$C117*'Business Case'!B13*$D117-'Business Case'!B14*$E117)-MAX(0,(('Business Case'!B11*$C117*'Business Case'!B12*$B117)-'Business Case'!B11*$C117*'Business Case'!B13*$D117-'Business Case'!B14*$E117))*'Business Case'!$B$7-'Business Case'!$B$8*('Business Case'!B11*$C117*'Business Case'!B12*$B117)-'Business Case'!B15*$F117</f>
        <v>-2282243811.14385</v>
      </c>
      <c r="I117" s="53" t="n">
        <f aca="false">(('Business Case'!C11*$C117*'Business Case'!C12*$B117)-'Business Case'!C11*$C117*'Business Case'!C13*$D117-'Business Case'!C14*$E117)-MAX(0,(('Business Case'!C11*$C117*'Business Case'!C12*$B117)-'Business Case'!C11*$C117*'Business Case'!C13*$D117-'Business Case'!C14*$E117))*'Business Case'!$B$7-'Business Case'!$B$8*(('Business Case'!C11*$C117*'Business Case'!C12*$B117)-('Business Case'!B11*$C117*'Business Case'!B12*$B117))-'Business Case'!C15*$F117</f>
        <v>15417955.1746891</v>
      </c>
      <c r="J117" s="53" t="n">
        <f aca="false">(('Business Case'!D11*$C117*'Business Case'!D12*$B117)-'Business Case'!D11*$C117*'Business Case'!D13*$D117-'Business Case'!D14*$E117)-MAX(0,(('Business Case'!D11*$C117*'Business Case'!D12*$B117)-'Business Case'!D11*$C117*'Business Case'!D13*$D117-'Business Case'!D14*$E117))*'Business Case'!$B$7-'Business Case'!$B$8*(('Business Case'!D11*$C117*'Business Case'!D12*$B117)-('Business Case'!C11*$C117*'Business Case'!C12*$B117))-'Business Case'!D15*$F117</f>
        <v>335896057.833962</v>
      </c>
      <c r="K117" s="53" t="n">
        <f aca="false">(('Business Case'!E11*$C117*'Business Case'!E12*$B117)-'Business Case'!E11*$C117*'Business Case'!E13*$D117-'Business Case'!E14*$E117)-MAX(0,(('Business Case'!E11*$C117*'Business Case'!E12*$B117)-'Business Case'!E11*$C117*'Business Case'!E13*$D117-'Business Case'!E14*$E117))*'Business Case'!$B$7-'Business Case'!$B$8*(('Business Case'!E11*$C117*'Business Case'!E12*$B117)-('Business Case'!D11*$C117*'Business Case'!D12*$B117))-'Business Case'!E15*$F117</f>
        <v>713430255.771831</v>
      </c>
      <c r="L117" s="53" t="n">
        <f aca="false">(('Business Case'!F11*$C117*'Business Case'!F12*$B117)-'Business Case'!F11*$C117*'Business Case'!F13*$D117-'Business Case'!F14*$E117)-MAX(0,(('Business Case'!F11*$C117*'Business Case'!F12*$B117)-'Business Case'!F11*$C117*'Business Case'!F13*$D117-'Business Case'!F14*$E117))*'Business Case'!$B$7-'Business Case'!$B$8*(('Business Case'!F11*$C117*'Business Case'!F12*$B117)-('Business Case'!E11*$C117*'Business Case'!E12*$B117))-'Business Case'!F15*$F117</f>
        <v>854346865.980441</v>
      </c>
      <c r="M117" s="53" t="n">
        <f aca="false">(('Business Case'!G11*$C117*'Business Case'!G12*$B117)-'Business Case'!G11*$C117*'Business Case'!G13*$D117-'Business Case'!G14*$E117)-MAX(0,(('Business Case'!G11*$C117*'Business Case'!G12*$B117)-'Business Case'!G11*$C117*'Business Case'!G13*$D117-'Business Case'!G14*$E117))*'Business Case'!$B$7-'Business Case'!$B$8*(('Business Case'!G11*$C117*'Business Case'!G12*$B117)-('Business Case'!F11*$C117*'Business Case'!F12*$B117))-'Business Case'!G15*$F117+'Business Case'!$B$8*('Business Case'!G11*$C117*'Business Case'!G12*$B117)</f>
        <v>1041845033.91913</v>
      </c>
      <c r="N117" s="53" t="n">
        <f aca="false">IF(COUNT('Business Case'!B11:G11)=0,"",H117+NPV(G117,I117:M117))</f>
        <v>-264024592.719612</v>
      </c>
      <c r="P117" s="54" t="n">
        <f aca="true">RAND()</f>
        <v>0.805787785823665</v>
      </c>
      <c r="Q117" s="54" t="n">
        <f aca="true">RAND()</f>
        <v>0.448394872649001</v>
      </c>
      <c r="R117" s="54" t="n">
        <f aca="true">RAND()</f>
        <v>0.0922531545880744</v>
      </c>
      <c r="S117" s="54" t="n">
        <f aca="true">RAND()</f>
        <v>0.147030896657955</v>
      </c>
      <c r="T117" s="54" t="n">
        <f aca="true">RAND()</f>
        <v>0.930667399930371</v>
      </c>
      <c r="U117" s="54" t="n">
        <f aca="true">RAND()</f>
        <v>0.660744958856396</v>
      </c>
    </row>
    <row r="118" customFormat="false" ht="15" hidden="false" customHeight="false" outlineLevel="0" collapsed="false">
      <c r="A118" s="50" t="n">
        <v>38</v>
      </c>
      <c r="B118" s="51" t="n">
        <f aca="false">1+IF($G$6=$E$6,$F$6,IF(P118&lt;($F$6-$E$6)/($G$6-$E$6),$E$6+SQRT(P118*($G$6-$E$6)*($F$6-$E$6)),$G$6-SQRT((1-P118)*($G$6-$E$6)*($G$6-$F$6))))</f>
        <v>0.951375253057047</v>
      </c>
      <c r="C118" s="51" t="n">
        <f aca="false">1+IF($G$7=$E$7,$F$7,IF(Q118&lt;($F$7-$E$7)/($G$7-$E$7),$E$7+SQRT(Q118*($G$7-$E$7)*($F$7-$E$7)),$G$7-SQRT((1-Q118)*($G$7-$E$7)*($G$7-$F$7))))</f>
        <v>1.02028149022823</v>
      </c>
      <c r="D118" s="51" t="n">
        <f aca="false">1+IF($G$8=$E$8,$F$8,IF(R118&lt;($F$8-$E$8)/($G$8-$E$8),$E$8+SQRT(R118*($G$8-$E$8)*($F$8-$E$8)),$G$8-SQRT((1-R118)*($G$8-$E$8)*($G$8-$F$8))))</f>
        <v>1.02761685224294</v>
      </c>
      <c r="E118" s="51" t="n">
        <f aca="false">1+IF($G$9=$E$9,$F$9,IF(S118&lt;($F$9-$E$9)/($G$9-$E$9),$E$9+SQRT(S118*($G$9-$E$9)*($F$9-$E$9)),$G$9-SQRT((1-S118)*($G$9-$E$9)*($G$9-$F$9))))</f>
        <v>1.04793888937032</v>
      </c>
      <c r="F118" s="51" t="n">
        <f aca="false">1+IF($G$10=$E$10,$F$10,IF(T118&lt;($F$10-$E$10)/($G$10-$E$10),$E$10+SQRT(T118*($G$10-$E$10)*($F$10-$E$10)),$G$10-SQRT((1-T118)*($G$10-$E$10)*($G$10-$F$10))))</f>
        <v>1.02442122072666</v>
      </c>
      <c r="G118" s="52" t="n">
        <f aca="false">IF($G$11=$E$11,$F$11,IF(U118&lt;($F$11-$E$11)/($G$11-$E$11),$E$11+SQRT(U118*($G$11-$E$11)*($F$11-$E$11)),$G$11-SQRT((1-U118)*($G$11-$E$11)*($G$11-$F$11))))</f>
        <v>0.111467726830043</v>
      </c>
      <c r="H118" s="53" t="n">
        <f aca="false">(('Business Case'!B11*$C118*'Business Case'!B12*$B118)-'Business Case'!B11*$C118*'Business Case'!B13*$D118-'Business Case'!B14*$E118)-MAX(0,(('Business Case'!B11*$C118*'Business Case'!B12*$B118)-'Business Case'!B11*$C118*'Business Case'!B13*$D118-'Business Case'!B14*$E118))*'Business Case'!$B$7-'Business Case'!$B$8*('Business Case'!B11*$C118*'Business Case'!B12*$B118)-'Business Case'!B15*$F118</f>
        <v>-2048842441.45332</v>
      </c>
      <c r="I118" s="53" t="n">
        <f aca="false">(('Business Case'!C11*$C118*'Business Case'!C12*$B118)-'Business Case'!C11*$C118*'Business Case'!C13*$D118-'Business Case'!C14*$E118)-MAX(0,(('Business Case'!C11*$C118*'Business Case'!C12*$B118)-'Business Case'!C11*$C118*'Business Case'!C13*$D118-'Business Case'!C14*$E118))*'Business Case'!$B$7-'Business Case'!$B$8*(('Business Case'!C11*$C118*'Business Case'!C12*$B118)-('Business Case'!B11*$C118*'Business Case'!B12*$B118))-'Business Case'!C15*$F118</f>
        <v>-43456367.7777133</v>
      </c>
      <c r="J118" s="53" t="n">
        <f aca="false">(('Business Case'!D11*$C118*'Business Case'!D12*$B118)-'Business Case'!D11*$C118*'Business Case'!D13*$D118-'Business Case'!D14*$E118)-MAX(0,(('Business Case'!D11*$C118*'Business Case'!D12*$B118)-'Business Case'!D11*$C118*'Business Case'!D13*$D118-'Business Case'!D14*$E118))*'Business Case'!$B$7-'Business Case'!$B$8*(('Business Case'!D11*$C118*'Business Case'!D12*$B118)-('Business Case'!C11*$C118*'Business Case'!C12*$B118))-'Business Case'!D15*$F118</f>
        <v>214865858.465622</v>
      </c>
      <c r="K118" s="53" t="n">
        <f aca="false">(('Business Case'!E11*$C118*'Business Case'!E12*$B118)-'Business Case'!E11*$C118*'Business Case'!E13*$D118-'Business Case'!E14*$E118)-MAX(0,(('Business Case'!E11*$C118*'Business Case'!E12*$B118)-'Business Case'!E11*$C118*'Business Case'!E13*$D118-'Business Case'!E14*$E118))*'Business Case'!$B$7-'Business Case'!$B$8*(('Business Case'!E11*$C118*'Business Case'!E12*$B118)-('Business Case'!D11*$C118*'Business Case'!D12*$B118))-'Business Case'!E15*$F118</f>
        <v>524409145.745292</v>
      </c>
      <c r="L118" s="53" t="n">
        <f aca="false">(('Business Case'!F11*$C118*'Business Case'!F12*$B118)-'Business Case'!F11*$C118*'Business Case'!F13*$D118-'Business Case'!F14*$E118)-MAX(0,(('Business Case'!F11*$C118*'Business Case'!F12*$B118)-'Business Case'!F11*$C118*'Business Case'!F13*$D118-'Business Case'!F14*$E118))*'Business Case'!$B$7-'Business Case'!$B$8*(('Business Case'!F11*$C118*'Business Case'!F12*$B118)-('Business Case'!E11*$C118*'Business Case'!E12*$B118))-'Business Case'!F15*$F118</f>
        <v>644062929.079685</v>
      </c>
      <c r="M118" s="53" t="n">
        <f aca="false">(('Business Case'!G11*$C118*'Business Case'!G12*$B118)-'Business Case'!G11*$C118*'Business Case'!G13*$D118-'Business Case'!G14*$E118)-MAX(0,(('Business Case'!G11*$C118*'Business Case'!G12*$B118)-'Business Case'!G11*$C118*'Business Case'!G13*$D118-'Business Case'!G14*$E118))*'Business Case'!$B$7-'Business Case'!$B$8*(('Business Case'!G11*$C118*'Business Case'!G12*$B118)-('Business Case'!F11*$C118*'Business Case'!F12*$B118))-'Business Case'!G15*$F118+'Business Case'!$B$8*('Business Case'!G11*$C118*'Business Case'!G12*$B118)</f>
        <v>828567989.306069</v>
      </c>
      <c r="N118" s="53" t="n">
        <f aca="false">IF(COUNT('Business Case'!B11:G11)=0,"",H118+NPV(G118,I118:M118))</f>
        <v>-621580200.249497</v>
      </c>
      <c r="P118" s="54" t="n">
        <f aca="true">RAND()</f>
        <v>0.102542344207681</v>
      </c>
      <c r="Q118" s="54" t="n">
        <f aca="true">RAND()</f>
        <v>0.679487775668403</v>
      </c>
      <c r="R118" s="54" t="n">
        <f aca="true">RAND()</f>
        <v>0.736154406832923</v>
      </c>
      <c r="S118" s="54" t="n">
        <f aca="true">RAND()</f>
        <v>0.819309384000312</v>
      </c>
      <c r="T118" s="54" t="n">
        <f aca="true">RAND()</f>
        <v>0.383441845377669</v>
      </c>
      <c r="U118" s="54" t="n">
        <f aca="true">RAND()</f>
        <v>0.878667190922053</v>
      </c>
    </row>
    <row r="119" customFormat="false" ht="15" hidden="false" customHeight="false" outlineLevel="0" collapsed="false">
      <c r="A119" s="50" t="n">
        <v>39</v>
      </c>
      <c r="B119" s="51" t="n">
        <f aca="false">1+IF($G$6=$E$6,$F$6,IF(P119&lt;($F$6-$E$6)/($G$6-$E$6),$E$6+SQRT(P119*($G$6-$E$6)*($F$6-$E$6)),$G$6-SQRT((1-P119)*($G$6-$E$6)*($G$6-$F$6))))</f>
        <v>0.996575485261621</v>
      </c>
      <c r="C119" s="51" t="n">
        <f aca="false">1+IF($G$7=$E$7,$F$7,IF(Q119&lt;($F$7-$E$7)/($G$7-$E$7),$E$7+SQRT(Q119*($G$7-$E$7)*($F$7-$E$7)),$G$7-SQRT((1-Q119)*($G$7-$E$7)*($G$7-$F$7))))</f>
        <v>0.99987815017639</v>
      </c>
      <c r="D119" s="51" t="n">
        <f aca="false">1+IF($G$8=$E$8,$F$8,IF(R119&lt;($F$8-$E$8)/($G$8-$E$8),$E$8+SQRT(R119*($G$8-$E$8)*($F$8-$E$8)),$G$8-SQRT((1-R119)*($G$8-$E$8)*($G$8-$F$8))))</f>
        <v>1.03647509615227</v>
      </c>
      <c r="E119" s="51" t="n">
        <f aca="false">1+IF($G$9=$E$9,$F$9,IF(S119&lt;($F$9-$E$9)/($G$9-$E$9),$E$9+SQRT(S119*($G$9-$E$9)*($F$9-$E$9)),$G$9-SQRT((1-S119)*($G$9-$E$9)*($G$9-$F$9))))</f>
        <v>1.02244830120966</v>
      </c>
      <c r="F119" s="51" t="n">
        <f aca="false">1+IF($G$10=$E$10,$F$10,IF(T119&lt;($F$10-$E$10)/($G$10-$E$10),$E$10+SQRT(T119*($G$10-$E$10)*($F$10-$E$10)),$G$10-SQRT((1-T119)*($G$10-$E$10)*($G$10-$F$10))))</f>
        <v>1.11710134919156</v>
      </c>
      <c r="G119" s="52" t="n">
        <f aca="false">IF($G$11=$E$11,$F$11,IF(U119&lt;($F$11-$E$11)/($G$11-$E$11),$E$11+SQRT(U119*($G$11-$E$11)*($F$11-$E$11)),$G$11-SQRT((1-U119)*($G$11-$E$11)*($G$11-$F$11))))</f>
        <v>0.0917795457991198</v>
      </c>
      <c r="H119" s="53" t="n">
        <f aca="false">(('Business Case'!B11*$C119*'Business Case'!B12*$B119)-'Business Case'!B11*$C119*'Business Case'!B13*$D119-'Business Case'!B14*$E119)-MAX(0,(('Business Case'!B11*$C119*'Business Case'!B12*$B119)-'Business Case'!B11*$C119*'Business Case'!B13*$D119-'Business Case'!B14*$E119))*'Business Case'!$B$7-'Business Case'!$B$8*('Business Case'!B11*$C119*'Business Case'!B12*$B119)-'Business Case'!B15*$F119</f>
        <v>-2234202698.38313</v>
      </c>
      <c r="I119" s="53" t="n">
        <f aca="false">(('Business Case'!C11*$C119*'Business Case'!C12*$B119)-'Business Case'!C11*$C119*'Business Case'!C13*$D119-'Business Case'!C14*$E119)-MAX(0,(('Business Case'!C11*$C119*'Business Case'!C12*$B119)-'Business Case'!C11*$C119*'Business Case'!C13*$D119-'Business Case'!C14*$E119))*'Business Case'!$B$7-'Business Case'!$B$8*(('Business Case'!C11*$C119*'Business Case'!C12*$B119)-('Business Case'!B11*$C119*'Business Case'!B12*$B119))-'Business Case'!C15*$F119</f>
        <v>-23118526.2192</v>
      </c>
      <c r="J119" s="53" t="n">
        <f aca="false">(('Business Case'!D11*$C119*'Business Case'!D12*$B119)-'Business Case'!D11*$C119*'Business Case'!D13*$D119-'Business Case'!D14*$E119)-MAX(0,(('Business Case'!D11*$C119*'Business Case'!D12*$B119)-'Business Case'!D11*$C119*'Business Case'!D13*$D119-'Business Case'!D14*$E119))*'Business Case'!$B$7-'Business Case'!$B$8*(('Business Case'!D11*$C119*'Business Case'!D12*$B119)-('Business Case'!C11*$C119*'Business Case'!C12*$B119))-'Business Case'!D15*$F119</f>
        <v>262521409.005491</v>
      </c>
      <c r="K119" s="53" t="n">
        <f aca="false">(('Business Case'!E11*$C119*'Business Case'!E12*$B119)-'Business Case'!E11*$C119*'Business Case'!E13*$D119-'Business Case'!E14*$E119)-MAX(0,(('Business Case'!E11*$C119*'Business Case'!E12*$B119)-'Business Case'!E11*$C119*'Business Case'!E13*$D119-'Business Case'!E14*$E119))*'Business Case'!$B$7-'Business Case'!$B$8*(('Business Case'!E11*$C119*'Business Case'!E12*$B119)-('Business Case'!D11*$C119*'Business Case'!D12*$B119))-'Business Case'!E15*$F119</f>
        <v>604016411.689761</v>
      </c>
      <c r="L119" s="53" t="n">
        <f aca="false">(('Business Case'!F11*$C119*'Business Case'!F12*$B119)-'Business Case'!F11*$C119*'Business Case'!F13*$D119-'Business Case'!F14*$E119)-MAX(0,(('Business Case'!F11*$C119*'Business Case'!F12*$B119)-'Business Case'!F11*$C119*'Business Case'!F13*$D119-'Business Case'!F14*$E119))*'Business Case'!$B$7-'Business Case'!$B$8*(('Business Case'!F11*$C119*'Business Case'!F12*$B119)-('Business Case'!E11*$C119*'Business Case'!E12*$B119))-'Business Case'!F15*$F119</f>
        <v>733667175.493139</v>
      </c>
      <c r="M119" s="53" t="n">
        <f aca="false">(('Business Case'!G11*$C119*'Business Case'!G12*$B119)-'Business Case'!G11*$C119*'Business Case'!G13*$D119-'Business Case'!G14*$E119)-MAX(0,(('Business Case'!G11*$C119*'Business Case'!G12*$B119)-'Business Case'!G11*$C119*'Business Case'!G13*$D119-'Business Case'!G14*$E119))*'Business Case'!$B$7-'Business Case'!$B$8*(('Business Case'!G11*$C119*'Business Case'!G12*$B119)-('Business Case'!F11*$C119*'Business Case'!F12*$B119))-'Business Case'!G15*$F119+'Business Case'!$B$8*('Business Case'!G11*$C119*'Business Case'!G12*$B119)</f>
        <v>923073161.833116</v>
      </c>
      <c r="N119" s="53" t="n">
        <f aca="false">IF(COUNT('Business Case'!B11:G11)=0,"",H119+NPV(G119,I119:M119))</f>
        <v>-459575191.589627</v>
      </c>
      <c r="P119" s="54" t="n">
        <f aca="true">RAND()</f>
        <v>0.610813014901333</v>
      </c>
      <c r="Q119" s="54" t="n">
        <f aca="true">RAND()</f>
        <v>0.570732498827652</v>
      </c>
      <c r="R119" s="54" t="n">
        <f aca="true">RAND()</f>
        <v>0.817844494715967</v>
      </c>
      <c r="S119" s="54" t="n">
        <f aca="true">RAND()</f>
        <v>0.599048934315502</v>
      </c>
      <c r="T119" s="54" t="n">
        <f aca="true">RAND()</f>
        <v>0.862556273882816</v>
      </c>
      <c r="U119" s="54" t="n">
        <f aca="true">RAND()</f>
        <v>0.0105559441705491</v>
      </c>
    </row>
    <row r="120" customFormat="false" ht="15" hidden="false" customHeight="false" outlineLevel="0" collapsed="false">
      <c r="A120" s="50" t="n">
        <v>40</v>
      </c>
      <c r="B120" s="51" t="n">
        <f aca="false">1+IF($G$6=$E$6,$F$6,IF(P120&lt;($F$6-$E$6)/($G$6-$E$6),$E$6+SQRT(P120*($G$6-$E$6)*($F$6-$E$6)),$G$6-SQRT((1-P120)*($G$6-$E$6)*($G$6-$F$6))))</f>
        <v>1.00596906034526</v>
      </c>
      <c r="C120" s="51" t="n">
        <f aca="false">1+IF($G$7=$E$7,$F$7,IF(Q120&lt;($F$7-$E$7)/($G$7-$E$7),$E$7+SQRT(Q120*($G$7-$E$7)*($F$7-$E$7)),$G$7-SQRT((1-Q120)*($G$7-$E$7)*($G$7-$F$7))))</f>
        <v>1.00828426173146</v>
      </c>
      <c r="D120" s="51" t="n">
        <f aca="false">1+IF($G$8=$E$8,$F$8,IF(R120&lt;($F$8-$E$8)/($G$8-$E$8),$E$8+SQRT(R120*($G$8-$E$8)*($F$8-$E$8)),$G$8-SQRT((1-R120)*($G$8-$E$8)*($G$8-$F$8))))</f>
        <v>1.00340213046362</v>
      </c>
      <c r="E120" s="51" t="n">
        <f aca="false">1+IF($G$9=$E$9,$F$9,IF(S120&lt;($F$9-$E$9)/($G$9-$E$9),$E$9+SQRT(S120*($G$9-$E$9)*($F$9-$E$9)),$G$9-SQRT((1-S120)*($G$9-$E$9)*($G$9-$F$9))))</f>
        <v>1.03833377451957</v>
      </c>
      <c r="F120" s="51" t="n">
        <f aca="false">1+IF($G$10=$E$10,$F$10,IF(T120&lt;($F$10-$E$10)/($G$10-$E$10),$E$10+SQRT(T120*($G$10-$E$10)*($F$10-$E$10)),$G$10-SQRT((1-T120)*($G$10-$E$10)*($G$10-$F$10))))</f>
        <v>1.06288143123349</v>
      </c>
      <c r="G120" s="52" t="n">
        <f aca="false">IF($G$11=$E$11,$F$11,IF(U120&lt;($F$11-$E$11)/($G$11-$E$11),$E$11+SQRT(U120*($G$11-$E$11)*($F$11-$E$11)),$G$11-SQRT((1-U120)*($G$11-$E$11)*($G$11-$F$11))))</f>
        <v>0.0957472118733207</v>
      </c>
      <c r="H120" s="53" t="n">
        <f aca="false">(('Business Case'!B11*$C120*'Business Case'!B12*$B120)-'Business Case'!B11*$C120*'Business Case'!B13*$D120-'Business Case'!B14*$E120)-MAX(0,(('Business Case'!B11*$C120*'Business Case'!B12*$B120)-'Business Case'!B11*$C120*'Business Case'!B13*$D120-'Business Case'!B14*$E120))*'Business Case'!$B$7-'Business Case'!$B$8*('Business Case'!B11*$C120*'Business Case'!B12*$B120)-'Business Case'!B15*$F120</f>
        <v>-2125762862.46697</v>
      </c>
      <c r="I120" s="53" t="n">
        <f aca="false">(('Business Case'!C11*$C120*'Business Case'!C12*$B120)-'Business Case'!C11*$C120*'Business Case'!C13*$D120-'Business Case'!C14*$E120)-MAX(0,(('Business Case'!C11*$C120*'Business Case'!C12*$B120)-'Business Case'!C11*$C120*'Business Case'!C13*$D120-'Business Case'!C14*$E120))*'Business Case'!$B$7-'Business Case'!$B$8*(('Business Case'!C11*$C120*'Business Case'!C12*$B120)-('Business Case'!B11*$C120*'Business Case'!B12*$B120))-'Business Case'!C15*$F120</f>
        <v>6349412.07975203</v>
      </c>
      <c r="J120" s="53" t="n">
        <f aca="false">(('Business Case'!D11*$C120*'Business Case'!D12*$B120)-'Business Case'!D11*$C120*'Business Case'!D13*$D120-'Business Case'!D14*$E120)-MAX(0,(('Business Case'!D11*$C120*'Business Case'!D12*$B120)-'Business Case'!D11*$C120*'Business Case'!D13*$D120-'Business Case'!D14*$E120))*'Business Case'!$B$7-'Business Case'!$B$8*(('Business Case'!D11*$C120*'Business Case'!D12*$B120)-('Business Case'!C11*$C120*'Business Case'!C12*$B120))-'Business Case'!D15*$F120</f>
        <v>319219485.685538</v>
      </c>
      <c r="K120" s="53" t="n">
        <f aca="false">(('Business Case'!E11*$C120*'Business Case'!E12*$B120)-'Business Case'!E11*$C120*'Business Case'!E13*$D120-'Business Case'!E14*$E120)-MAX(0,(('Business Case'!E11*$C120*'Business Case'!E12*$B120)-'Business Case'!E11*$C120*'Business Case'!E13*$D120-'Business Case'!E14*$E120))*'Business Case'!$B$7-'Business Case'!$B$8*(('Business Case'!E11*$C120*'Business Case'!E12*$B120)-('Business Case'!D11*$C120*'Business Case'!D12*$B120))-'Business Case'!E15*$F120</f>
        <v>685233630.852997</v>
      </c>
      <c r="L120" s="53" t="n">
        <f aca="false">(('Business Case'!F11*$C120*'Business Case'!F12*$B120)-'Business Case'!F11*$C120*'Business Case'!F13*$D120-'Business Case'!F14*$E120)-MAX(0,(('Business Case'!F11*$C120*'Business Case'!F12*$B120)-'Business Case'!F11*$C120*'Business Case'!F13*$D120-'Business Case'!F14*$E120))*'Business Case'!$B$7-'Business Case'!$B$8*(('Business Case'!F11*$C120*'Business Case'!F12*$B120)-('Business Case'!E11*$C120*'Business Case'!E12*$B120))-'Business Case'!F15*$F120</f>
        <v>824577959.165595</v>
      </c>
      <c r="M120" s="53" t="n">
        <f aca="false">(('Business Case'!G11*$C120*'Business Case'!G12*$B120)-'Business Case'!G11*$C120*'Business Case'!G13*$D120-'Business Case'!G14*$E120)-MAX(0,(('Business Case'!G11*$C120*'Business Case'!G12*$B120)-'Business Case'!G11*$C120*'Business Case'!G13*$D120-'Business Case'!G14*$E120))*'Business Case'!$B$7-'Business Case'!$B$8*(('Business Case'!G11*$C120*'Business Case'!G12*$B120)-('Business Case'!F11*$C120*'Business Case'!F12*$B120))-'Business Case'!G15*$F120+'Business Case'!$B$8*('Business Case'!G11*$C120*'Business Case'!G12*$B120)</f>
        <v>1017376629.94094</v>
      </c>
      <c r="N120" s="53" t="n">
        <f aca="false">IF(COUNT('Business Case'!B11:G11)=0,"",H120+NPV(G120,I120:M120))</f>
        <v>-117197198.954346</v>
      </c>
      <c r="P120" s="54" t="n">
        <f aca="true">RAND()</f>
        <v>0.758728155461588</v>
      </c>
      <c r="Q120" s="54" t="n">
        <f aca="true">RAND()</f>
        <v>0.61745999099054</v>
      </c>
      <c r="R120" s="54" t="n">
        <f aca="true">RAND()</f>
        <v>0.435842921393001</v>
      </c>
      <c r="S120" s="54" t="n">
        <f aca="true">RAND()</f>
        <v>0.746485108999798</v>
      </c>
      <c r="T120" s="54" t="n">
        <f aca="true">RAND()</f>
        <v>0.623969961988451</v>
      </c>
      <c r="U120" s="54" t="n">
        <f aca="true">RAND()</f>
        <v>0.110101481056129</v>
      </c>
    </row>
    <row r="121" customFormat="false" ht="15" hidden="false" customHeight="false" outlineLevel="0" collapsed="false">
      <c r="A121" s="50" t="n">
        <v>41</v>
      </c>
      <c r="B121" s="51" t="n">
        <f aca="false">1+IF($G$6=$E$6,$F$6,IF(P121&lt;($F$6-$E$6)/($G$6-$E$6),$E$6+SQRT(P121*($G$6-$E$6)*($F$6-$E$6)),$G$6-SQRT((1-P121)*($G$6-$E$6)*($G$6-$F$6))))</f>
        <v>0.991930347949463</v>
      </c>
      <c r="C121" s="51" t="n">
        <f aca="false">1+IF($G$7=$E$7,$F$7,IF(Q121&lt;($F$7-$E$7)/($G$7-$E$7),$E$7+SQRT(Q121*($G$7-$E$7)*($F$7-$E$7)),$G$7-SQRT((1-Q121)*($G$7-$E$7)*($G$7-$F$7))))</f>
        <v>1.07866242660649</v>
      </c>
      <c r="D121" s="51" t="n">
        <f aca="false">1+IF($G$8=$E$8,$F$8,IF(R121&lt;($F$8-$E$8)/($G$8-$E$8),$E$8+SQRT(R121*($G$8-$E$8)*($F$8-$E$8)),$G$8-SQRT((1-R121)*($G$8-$E$8)*($G$8-$F$8))))</f>
        <v>1.02856150206935</v>
      </c>
      <c r="E121" s="51" t="n">
        <f aca="false">1+IF($G$9=$E$9,$F$9,IF(S121&lt;($F$9-$E$9)/($G$9-$E$9),$E$9+SQRT(S121*($G$9-$E$9)*($F$9-$E$9)),$G$9-SQRT((1-S121)*($G$9-$E$9)*($G$9-$F$9))))</f>
        <v>1.04663883969468</v>
      </c>
      <c r="F121" s="51" t="n">
        <f aca="false">1+IF($G$10=$E$10,$F$10,IF(T121&lt;($F$10-$E$10)/($G$10-$E$10),$E$10+SQRT(T121*($G$10-$E$10)*($F$10-$E$10)),$G$10-SQRT((1-T121)*($G$10-$E$10)*($G$10-$F$10))))</f>
        <v>1.05561727303558</v>
      </c>
      <c r="G121" s="52" t="n">
        <f aca="false">IF($G$11=$E$11,$F$11,IF(U121&lt;($F$11-$E$11)/($G$11-$E$11),$E$11+SQRT(U121*($G$11-$E$11)*($F$11-$E$11)),$G$11-SQRT((1-U121)*($G$11-$E$11)*($G$11-$F$11))))</f>
        <v>0.10996877113096</v>
      </c>
      <c r="H121" s="53" t="n">
        <f aca="false">(('Business Case'!B11*$C121*'Business Case'!B12*$B121)-'Business Case'!B11*$C121*'Business Case'!B13*$D121-'Business Case'!B14*$E121)-MAX(0,(('Business Case'!B11*$C121*'Business Case'!B12*$B121)-'Business Case'!B11*$C121*'Business Case'!B13*$D121-'Business Case'!B14*$E121))*'Business Case'!$B$7-'Business Case'!$B$8*('Business Case'!B11*$C121*'Business Case'!B12*$B121)-'Business Case'!B15*$F121</f>
        <v>-2111234546.07115</v>
      </c>
      <c r="I121" s="53" t="n">
        <f aca="false">(('Business Case'!C11*$C121*'Business Case'!C12*$B121)-'Business Case'!C11*$C121*'Business Case'!C13*$D121-'Business Case'!C14*$E121)-MAX(0,(('Business Case'!C11*$C121*'Business Case'!C12*$B121)-'Business Case'!C11*$C121*'Business Case'!C13*$D121-'Business Case'!C14*$E121))*'Business Case'!$B$7-'Business Case'!$B$8*(('Business Case'!C11*$C121*'Business Case'!C12*$B121)-('Business Case'!B11*$C121*'Business Case'!B12*$B121))-'Business Case'!C15*$F121</f>
        <v>-1447969.97599466</v>
      </c>
      <c r="J121" s="53" t="n">
        <f aca="false">(('Business Case'!D11*$C121*'Business Case'!D12*$B121)-'Business Case'!D11*$C121*'Business Case'!D13*$D121-'Business Case'!D14*$E121)-MAX(0,(('Business Case'!D11*$C121*'Business Case'!D12*$B121)-'Business Case'!D11*$C121*'Business Case'!D13*$D121-'Business Case'!D14*$E121))*'Business Case'!$B$7-'Business Case'!$B$8*(('Business Case'!D11*$C121*'Business Case'!D12*$B121)-('Business Case'!C11*$C121*'Business Case'!C12*$B121))-'Business Case'!D15*$F121</f>
        <v>306964452.876245</v>
      </c>
      <c r="K121" s="53" t="n">
        <f aca="false">(('Business Case'!E11*$C121*'Business Case'!E12*$B121)-'Business Case'!E11*$C121*'Business Case'!E13*$D121-'Business Case'!E14*$E121)-MAX(0,(('Business Case'!E11*$C121*'Business Case'!E12*$B121)-'Business Case'!E11*$C121*'Business Case'!E13*$D121-'Business Case'!E14*$E121))*'Business Case'!$B$7-'Business Case'!$B$8*(('Business Case'!E11*$C121*'Business Case'!E12*$B121)-('Business Case'!D11*$C121*'Business Case'!D12*$B121))-'Business Case'!E15*$F121</f>
        <v>668157739.380264</v>
      </c>
      <c r="L121" s="53" t="n">
        <f aca="false">(('Business Case'!F11*$C121*'Business Case'!F12*$B121)-'Business Case'!F11*$C121*'Business Case'!F13*$D121-'Business Case'!F14*$E121)-MAX(0,(('Business Case'!F11*$C121*'Business Case'!F12*$B121)-'Business Case'!F11*$C121*'Business Case'!F13*$D121-'Business Case'!F14*$E121))*'Business Case'!$B$7-'Business Case'!$B$8*(('Business Case'!F11*$C121*'Business Case'!F12*$B121)-('Business Case'!E11*$C121*'Business Case'!E12*$B121))-'Business Case'!F15*$F121</f>
        <v>807939628.67774</v>
      </c>
      <c r="M121" s="53" t="n">
        <f aca="false">(('Business Case'!G11*$C121*'Business Case'!G12*$B121)-'Business Case'!G11*$C121*'Business Case'!G13*$D121-'Business Case'!G14*$E121)-MAX(0,(('Business Case'!G11*$C121*'Business Case'!G12*$B121)-'Business Case'!G11*$C121*'Business Case'!G13*$D121-'Business Case'!G14*$E121))*'Business Case'!$B$7-'Business Case'!$B$8*(('Business Case'!G11*$C121*'Business Case'!G12*$B121)-('Business Case'!F11*$C121*'Business Case'!F12*$B121))-'Business Case'!G15*$F121+'Business Case'!$B$8*('Business Case'!G11*$C121*'Business Case'!G12*$B121)</f>
        <v>1011317244.58475</v>
      </c>
      <c r="N121" s="53" t="n">
        <f aca="false">IF(COUNT('Business Case'!B11:G11)=0,"",H121+NPV(G121,I121:M121))</f>
        <v>-242266635.903342</v>
      </c>
      <c r="P121" s="54" t="n">
        <f aca="true">RAND()</f>
        <v>0.538955724596955</v>
      </c>
      <c r="Q121" s="54" t="n">
        <f aca="true">RAND()</f>
        <v>0.903065726139544</v>
      </c>
      <c r="R121" s="54" t="n">
        <f aca="true">RAND()</f>
        <v>0.745584704869083</v>
      </c>
      <c r="S121" s="54" t="n">
        <f aca="true">RAND()</f>
        <v>0.810172438057972</v>
      </c>
      <c r="T121" s="54" t="n">
        <f aca="true">RAND()</f>
        <v>0.583072563086331</v>
      </c>
      <c r="U121" s="54" t="n">
        <f aca="true">RAND()</f>
        <v>0.832290745628242</v>
      </c>
    </row>
    <row r="122" customFormat="false" ht="15" hidden="false" customHeight="false" outlineLevel="0" collapsed="false">
      <c r="A122" s="50" t="n">
        <v>42</v>
      </c>
      <c r="B122" s="51" t="n">
        <f aca="false">1+IF($G$6=$E$6,$F$6,IF(P122&lt;($F$6-$E$6)/($G$6-$E$6),$E$6+SQRT(P122*($G$6-$E$6)*($F$6-$E$6)),$G$6-SQRT((1-P122)*($G$6-$E$6)*($G$6-$F$6))))</f>
        <v>0.986583092858716</v>
      </c>
      <c r="C122" s="51" t="n">
        <f aca="false">1+IF($G$7=$E$7,$F$7,IF(Q122&lt;($F$7-$E$7)/($G$7-$E$7),$E$7+SQRT(Q122*($G$7-$E$7)*($F$7-$E$7)),$G$7-SQRT((1-Q122)*($G$7-$E$7)*($G$7-$F$7))))</f>
        <v>1.04280622420318</v>
      </c>
      <c r="D122" s="51" t="n">
        <f aca="false">1+IF($G$8=$E$8,$F$8,IF(R122&lt;($F$8-$E$8)/($G$8-$E$8),$E$8+SQRT(R122*($G$8-$E$8)*($F$8-$E$8)),$G$8-SQRT((1-R122)*($G$8-$E$8)*($G$8-$F$8))))</f>
        <v>1.03728389821369</v>
      </c>
      <c r="E122" s="51" t="n">
        <f aca="false">1+IF($G$9=$E$9,$F$9,IF(S122&lt;($F$9-$E$9)/($G$9-$E$9),$E$9+SQRT(S122*($G$9-$E$9)*($F$9-$E$9)),$G$9-SQRT((1-S122)*($G$9-$E$9)*($G$9-$F$9))))</f>
        <v>0.978386847919729</v>
      </c>
      <c r="F122" s="51" t="n">
        <f aca="false">1+IF($G$10=$E$10,$F$10,IF(T122&lt;($F$10-$E$10)/($G$10-$E$10),$E$10+SQRT(T122*($G$10-$E$10)*($F$10-$E$10)),$G$10-SQRT((1-T122)*($G$10-$E$10)*($G$10-$F$10))))</f>
        <v>1.15736212705623</v>
      </c>
      <c r="G122" s="52" t="n">
        <f aca="false">IF($G$11=$E$11,$F$11,IF(U122&lt;($F$11-$E$11)/($G$11-$E$11),$E$11+SQRT(U122*($G$11-$E$11)*($F$11-$E$11)),$G$11-SQRT((1-U122)*($G$11-$E$11)*($G$11-$F$11))))</f>
        <v>0.0924045975668773</v>
      </c>
      <c r="H122" s="53" t="n">
        <f aca="false">(('Business Case'!B11*$C122*'Business Case'!B12*$B122)-'Business Case'!B11*$C122*'Business Case'!B13*$D122-'Business Case'!B14*$E122)-MAX(0,(('Business Case'!B11*$C122*'Business Case'!B12*$B122)-'Business Case'!B11*$C122*'Business Case'!B13*$D122-'Business Case'!B14*$E122))*'Business Case'!$B$7-'Business Case'!$B$8*('Business Case'!B11*$C122*'Business Case'!B12*$B122)-'Business Case'!B15*$F122</f>
        <v>-2314724254.11247</v>
      </c>
      <c r="I122" s="53" t="n">
        <f aca="false">(('Business Case'!C11*$C122*'Business Case'!C12*$B122)-'Business Case'!C11*$C122*'Business Case'!C13*$D122-'Business Case'!C14*$E122)-MAX(0,(('Business Case'!C11*$C122*'Business Case'!C12*$B122)-'Business Case'!C11*$C122*'Business Case'!C13*$D122-'Business Case'!C14*$E122))*'Business Case'!$B$7-'Business Case'!$B$8*(('Business Case'!C11*$C122*'Business Case'!C12*$B122)-('Business Case'!B11*$C122*'Business Case'!B12*$B122))-'Business Case'!C15*$F122</f>
        <v>-19259791.1653091</v>
      </c>
      <c r="J122" s="53" t="n">
        <f aca="false">(('Business Case'!D11*$C122*'Business Case'!D12*$B122)-'Business Case'!D11*$C122*'Business Case'!D13*$D122-'Business Case'!D14*$E122)-MAX(0,(('Business Case'!D11*$C122*'Business Case'!D12*$B122)-'Business Case'!D11*$C122*'Business Case'!D13*$D122-'Business Case'!D14*$E122))*'Business Case'!$B$7-'Business Case'!$B$8*(('Business Case'!D11*$C122*'Business Case'!D12*$B122)-('Business Case'!C11*$C122*'Business Case'!C12*$B122))-'Business Case'!D15*$F122</f>
        <v>269677009.22699</v>
      </c>
      <c r="K122" s="53" t="n">
        <f aca="false">(('Business Case'!E11*$C122*'Business Case'!E12*$B122)-'Business Case'!E11*$C122*'Business Case'!E13*$D122-'Business Case'!E14*$E122)-MAX(0,(('Business Case'!E11*$C122*'Business Case'!E12*$B122)-'Business Case'!E11*$C122*'Business Case'!E13*$D122-'Business Case'!E14*$E122))*'Business Case'!$B$7-'Business Case'!$B$8*(('Business Case'!E11*$C122*'Business Case'!E12*$B122)-('Business Case'!D11*$C122*'Business Case'!D12*$B122))-'Business Case'!E15*$F122</f>
        <v>616481915.972101</v>
      </c>
      <c r="L122" s="53" t="n">
        <f aca="false">(('Business Case'!F11*$C122*'Business Case'!F12*$B122)-'Business Case'!F11*$C122*'Business Case'!F13*$D122-'Business Case'!F14*$E122)-MAX(0,(('Business Case'!F11*$C122*'Business Case'!F12*$B122)-'Business Case'!F11*$C122*'Business Case'!F13*$D122-'Business Case'!F14*$E122))*'Business Case'!$B$7-'Business Case'!$B$8*(('Business Case'!F11*$C122*'Business Case'!F12*$B122)-('Business Case'!E11*$C122*'Business Case'!E12*$B122))-'Business Case'!F15*$F122</f>
        <v>748350028.821401</v>
      </c>
      <c r="M122" s="53" t="n">
        <f aca="false">(('Business Case'!G11*$C122*'Business Case'!G12*$B122)-'Business Case'!G11*$C122*'Business Case'!G13*$D122-'Business Case'!G14*$E122)-MAX(0,(('Business Case'!G11*$C122*'Business Case'!G12*$B122)-'Business Case'!G11*$C122*'Business Case'!G13*$D122-'Business Case'!G14*$E122))*'Business Case'!$B$7-'Business Case'!$B$8*(('Business Case'!G11*$C122*'Business Case'!G12*$B122)-('Business Case'!F11*$C122*'Business Case'!F12*$B122))-'Business Case'!G15*$F122+'Business Case'!$B$8*('Business Case'!G11*$C122*'Business Case'!G12*$B122)</f>
        <v>943907182.106666</v>
      </c>
      <c r="N122" s="53" t="n">
        <f aca="false">IF(COUNT('Business Case'!B11:G11)=0,"",H122+NPV(G122,I122:M122))</f>
        <v>-501220575.809118</v>
      </c>
      <c r="P122" s="54" t="n">
        <f aca="true">RAND()</f>
        <v>0.461802943190867</v>
      </c>
      <c r="Q122" s="54" t="n">
        <f aca="true">RAND()</f>
        <v>0.781133227246113</v>
      </c>
      <c r="R122" s="54" t="n">
        <f aca="true">RAND()</f>
        <v>0.824551408478994</v>
      </c>
      <c r="S122" s="54" t="n">
        <f aca="true">RAND()</f>
        <v>0.107441751309043</v>
      </c>
      <c r="T122" s="54" t="n">
        <f aca="true">RAND()</f>
        <v>0.963640235816623</v>
      </c>
      <c r="U122" s="54" t="n">
        <f aca="true">RAND()</f>
        <v>0.0192736315287745</v>
      </c>
    </row>
    <row r="123" customFormat="false" ht="15" hidden="false" customHeight="false" outlineLevel="0" collapsed="false">
      <c r="A123" s="50" t="n">
        <v>43</v>
      </c>
      <c r="B123" s="51" t="n">
        <f aca="false">1+IF($G$6=$E$6,$F$6,IF(P123&lt;($F$6-$E$6)/($G$6-$E$6),$E$6+SQRT(P123*($G$6-$E$6)*($F$6-$E$6)),$G$6-SQRT((1-P123)*($G$6-$E$6)*($G$6-$F$6))))</f>
        <v>0.958814452597835</v>
      </c>
      <c r="C123" s="51" t="n">
        <f aca="false">1+IF($G$7=$E$7,$F$7,IF(Q123&lt;($F$7-$E$7)/($G$7-$E$7),$E$7+SQRT(Q123*($G$7-$E$7)*($F$7-$E$7)),$G$7-SQRT((1-Q123)*($G$7-$E$7)*($G$7-$F$7))))</f>
        <v>0.974612564823907</v>
      </c>
      <c r="D123" s="51" t="n">
        <f aca="false">1+IF($G$8=$E$8,$F$8,IF(R123&lt;($F$8-$E$8)/($G$8-$E$8),$E$8+SQRT(R123*($G$8-$E$8)*($F$8-$E$8)),$G$8-SQRT((1-R123)*($G$8-$E$8)*($G$8-$F$8))))</f>
        <v>1.02628259756961</v>
      </c>
      <c r="E123" s="51" t="n">
        <f aca="false">1+IF($G$9=$E$9,$F$9,IF(S123&lt;($F$9-$E$9)/($G$9-$E$9),$E$9+SQRT(S123*($G$9-$E$9)*($F$9-$E$9)),$G$9-SQRT((1-S123)*($G$9-$E$9)*($G$9-$F$9))))</f>
        <v>1.00203448410729</v>
      </c>
      <c r="F123" s="51" t="n">
        <f aca="false">1+IF($G$10=$E$10,$F$10,IF(T123&lt;($F$10-$E$10)/($G$10-$E$10),$E$10+SQRT(T123*($G$10-$E$10)*($F$10-$E$10)),$G$10-SQRT((1-T123)*($G$10-$E$10)*($G$10-$F$10))))</f>
        <v>1.04084457317776</v>
      </c>
      <c r="G123" s="52" t="n">
        <f aca="false">IF($G$11=$E$11,$F$11,IF(U123&lt;($F$11-$E$11)/($G$11-$E$11),$E$11+SQRT(U123*($G$11-$E$11)*($F$11-$E$11)),$G$11-SQRT((1-U123)*($G$11-$E$11)*($G$11-$F$11))))</f>
        <v>0.113893145394481</v>
      </c>
      <c r="H123" s="53" t="n">
        <f aca="false">(('Business Case'!B11*$C123*'Business Case'!B12*$B123)-'Business Case'!B11*$C123*'Business Case'!B13*$D123-'Business Case'!B14*$E123)-MAX(0,(('Business Case'!B11*$C123*'Business Case'!B12*$B123)-'Business Case'!B11*$C123*'Business Case'!B13*$D123-'Business Case'!B14*$E123))*'Business Case'!$B$7-'Business Case'!$B$8*('Business Case'!B11*$C123*'Business Case'!B12*$B123)-'Business Case'!B15*$F123</f>
        <v>-2081689146.35552</v>
      </c>
      <c r="I123" s="53" t="n">
        <f aca="false">(('Business Case'!C11*$C123*'Business Case'!C12*$B123)-'Business Case'!C11*$C123*'Business Case'!C13*$D123-'Business Case'!C14*$E123)-MAX(0,(('Business Case'!C11*$C123*'Business Case'!C12*$B123)-'Business Case'!C11*$C123*'Business Case'!C13*$D123-'Business Case'!C14*$E123))*'Business Case'!$B$7-'Business Case'!$B$8*(('Business Case'!C11*$C123*'Business Case'!C12*$B123)-('Business Case'!B11*$C123*'Business Case'!B12*$B123))-'Business Case'!C15*$F123</f>
        <v>-41653143.3343531</v>
      </c>
      <c r="J123" s="53" t="n">
        <f aca="false">(('Business Case'!D11*$C123*'Business Case'!D12*$B123)-'Business Case'!D11*$C123*'Business Case'!D13*$D123-'Business Case'!D14*$E123)-MAX(0,(('Business Case'!D11*$C123*'Business Case'!D12*$B123)-'Business Case'!D11*$C123*'Business Case'!D13*$D123-'Business Case'!D14*$E123))*'Business Case'!$B$7-'Business Case'!$B$8*(('Business Case'!D11*$C123*'Business Case'!D12*$B123)-('Business Case'!C11*$C123*'Business Case'!C12*$B123))-'Business Case'!D15*$F123</f>
        <v>211710534.538576</v>
      </c>
      <c r="K123" s="53" t="n">
        <f aca="false">(('Business Case'!E11*$C123*'Business Case'!E12*$B123)-'Business Case'!E11*$C123*'Business Case'!E13*$D123-'Business Case'!E14*$E123)-MAX(0,(('Business Case'!E11*$C123*'Business Case'!E12*$B123)-'Business Case'!E11*$C123*'Business Case'!E13*$D123-'Business Case'!E14*$E123))*'Business Case'!$B$7-'Business Case'!$B$8*(('Business Case'!E11*$C123*'Business Case'!E12*$B123)-('Business Case'!D11*$C123*'Business Case'!D12*$B123))-'Business Case'!E15*$F123</f>
        <v>517116441.070393</v>
      </c>
      <c r="L123" s="53" t="n">
        <f aca="false">(('Business Case'!F11*$C123*'Business Case'!F12*$B123)-'Business Case'!F11*$C123*'Business Case'!F13*$D123-'Business Case'!F14*$E123)-MAX(0,(('Business Case'!F11*$C123*'Business Case'!F12*$B123)-'Business Case'!F11*$C123*'Business Case'!F13*$D123-'Business Case'!F14*$E123))*'Business Case'!$B$7-'Business Case'!$B$8*(('Business Case'!F11*$C123*'Business Case'!F12*$B123)-('Business Case'!E11*$C123*'Business Case'!E12*$B123))-'Business Case'!F15*$F123</f>
        <v>633866373.861002</v>
      </c>
      <c r="M123" s="53" t="n">
        <f aca="false">(('Business Case'!G11*$C123*'Business Case'!G12*$B123)-'Business Case'!G11*$C123*'Business Case'!G13*$D123-'Business Case'!G14*$E123)-MAX(0,(('Business Case'!G11*$C123*'Business Case'!G12*$B123)-'Business Case'!G11*$C123*'Business Case'!G13*$D123-'Business Case'!G14*$E123))*'Business Case'!$B$7-'Business Case'!$B$8*(('Business Case'!G11*$C123*'Business Case'!G12*$B123)-('Business Case'!F11*$C123*'Business Case'!F12*$B123))-'Business Case'!G15*$F123+'Business Case'!$B$8*('Business Case'!G11*$C123*'Business Case'!G12*$B123)</f>
        <v>811490928.108985</v>
      </c>
      <c r="N123" s="53" t="n">
        <f aca="false">IF(COUNT('Business Case'!B11:G11)=0,"",H123+NPV(G123,I123:M123))</f>
        <v>-689329317.953972</v>
      </c>
      <c r="P123" s="54" t="n">
        <f aca="true">RAND()</f>
        <v>0.156933513590582</v>
      </c>
      <c r="Q123" s="54" t="n">
        <f aca="true">RAND()</f>
        <v>0.435564968491189</v>
      </c>
      <c r="R123" s="54" t="n">
        <f aca="true">RAND()</f>
        <v>0.722542372704974</v>
      </c>
      <c r="S123" s="54" t="n">
        <f aca="true">RAND()</f>
        <v>0.360183846391687</v>
      </c>
      <c r="T123" s="54" t="n">
        <f aca="true">RAND()</f>
        <v>0.493391002260597</v>
      </c>
      <c r="U123" s="54" t="n">
        <f aca="true">RAND()</f>
        <v>0.937843878045085</v>
      </c>
    </row>
    <row r="124" customFormat="false" ht="15" hidden="false" customHeight="false" outlineLevel="0" collapsed="false">
      <c r="A124" s="50" t="n">
        <v>44</v>
      </c>
      <c r="B124" s="51" t="n">
        <f aca="false">1+IF($G$6=$E$6,$F$6,IF(P124&lt;($F$6-$E$6)/($G$6-$E$6),$E$6+SQRT(P124*($G$6-$E$6)*($F$6-$E$6)),$G$6-SQRT((1-P124)*($G$6-$E$6)*($G$6-$F$6))))</f>
        <v>1.01852818186194</v>
      </c>
      <c r="C124" s="51" t="n">
        <f aca="false">1+IF($G$7=$E$7,$F$7,IF(Q124&lt;($F$7-$E$7)/($G$7-$E$7),$E$7+SQRT(Q124*($G$7-$E$7)*($F$7-$E$7)),$G$7-SQRT((1-Q124)*($G$7-$E$7)*($G$7-$F$7))))</f>
        <v>0.945339842894366</v>
      </c>
      <c r="D124" s="51" t="n">
        <f aca="false">1+IF($G$8=$E$8,$F$8,IF(R124&lt;($F$8-$E$8)/($G$8-$E$8),$E$8+SQRT(R124*($G$8-$E$8)*($F$8-$E$8)),$G$8-SQRT((1-R124)*($G$8-$E$8)*($G$8-$F$8))))</f>
        <v>1.01549542004614</v>
      </c>
      <c r="E124" s="51" t="n">
        <f aca="false">1+IF($G$9=$E$9,$F$9,IF(S124&lt;($F$9-$E$9)/($G$9-$E$9),$E$9+SQRT(S124*($G$9-$E$9)*($F$9-$E$9)),$G$9-SQRT((1-S124)*($G$9-$E$9)*($G$9-$F$9))))</f>
        <v>0.993616163014068</v>
      </c>
      <c r="F124" s="51" t="n">
        <f aca="false">1+IF($G$10=$E$10,$F$10,IF(T124&lt;($F$10-$E$10)/($G$10-$E$10),$E$10+SQRT(T124*($G$10-$E$10)*($F$10-$E$10)),$G$10-SQRT((1-T124)*($G$10-$E$10)*($G$10-$F$10))))</f>
        <v>0.986875166361355</v>
      </c>
      <c r="G124" s="52" t="n">
        <f aca="false">IF($G$11=$E$11,$F$11,IF(U124&lt;($F$11-$E$11)/($G$11-$E$11),$E$11+SQRT(U124*($G$11-$E$11)*($F$11-$E$11)),$G$11-SQRT((1-U124)*($G$11-$E$11)*($G$11-$F$11))))</f>
        <v>0.097352841548039</v>
      </c>
      <c r="H124" s="53" t="n">
        <f aca="false">(('Business Case'!B11*$C124*'Business Case'!B12*$B124)-'Business Case'!B11*$C124*'Business Case'!B13*$D124-'Business Case'!B14*$E124)-MAX(0,(('Business Case'!B11*$C124*'Business Case'!B12*$B124)-'Business Case'!B11*$C124*'Business Case'!B13*$D124-'Business Case'!B14*$E124))*'Business Case'!$B$7-'Business Case'!$B$8*('Business Case'!B11*$C124*'Business Case'!B12*$B124)-'Business Case'!B15*$F124</f>
        <v>-1973750332.72271</v>
      </c>
      <c r="I124" s="53" t="n">
        <f aca="false">(('Business Case'!C11*$C124*'Business Case'!C12*$B124)-'Business Case'!C11*$C124*'Business Case'!C13*$D124-'Business Case'!C14*$E124)-MAX(0,(('Business Case'!C11*$C124*'Business Case'!C12*$B124)-'Business Case'!C11*$C124*'Business Case'!C13*$D124-'Business Case'!C14*$E124))*'Business Case'!$B$7-'Business Case'!$B$8*(('Business Case'!C11*$C124*'Business Case'!C12*$B124)-('Business Case'!B11*$C124*'Business Case'!B12*$B124))-'Business Case'!C15*$F124</f>
        <v>7316439.85822304</v>
      </c>
      <c r="J124" s="53" t="n">
        <f aca="false">(('Business Case'!D11*$C124*'Business Case'!D12*$B124)-'Business Case'!D11*$C124*'Business Case'!D13*$D124-'Business Case'!D14*$E124)-MAX(0,(('Business Case'!D11*$C124*'Business Case'!D12*$B124)-'Business Case'!D11*$C124*'Business Case'!D13*$D124-'Business Case'!D14*$E124))*'Business Case'!$B$7-'Business Case'!$B$8*(('Business Case'!D11*$C124*'Business Case'!D12*$B124)-('Business Case'!C11*$C124*'Business Case'!C12*$B124))-'Business Case'!D15*$F124</f>
        <v>304527032.003846</v>
      </c>
      <c r="K124" s="53" t="n">
        <f aca="false">(('Business Case'!E11*$C124*'Business Case'!E12*$B124)-'Business Case'!E11*$C124*'Business Case'!E13*$D124-'Business Case'!E14*$E124)-MAX(0,(('Business Case'!E11*$C124*'Business Case'!E12*$B124)-'Business Case'!E11*$C124*'Business Case'!E13*$D124-'Business Case'!E14*$E124))*'Business Case'!$B$7-'Business Case'!$B$8*(('Business Case'!E11*$C124*'Business Case'!E12*$B124)-('Business Case'!D11*$C124*'Business Case'!D12*$B124))-'Business Case'!E15*$F124</f>
        <v>651081382.467537</v>
      </c>
      <c r="L124" s="53" t="n">
        <f aca="false">(('Business Case'!F11*$C124*'Business Case'!F12*$B124)-'Business Case'!F11*$C124*'Business Case'!F13*$D124-'Business Case'!F14*$E124)-MAX(0,(('Business Case'!F11*$C124*'Business Case'!F12*$B124)-'Business Case'!F11*$C124*'Business Case'!F13*$D124-'Business Case'!F14*$E124))*'Business Case'!$B$7-'Business Case'!$B$8*(('Business Case'!F11*$C124*'Business Case'!F12*$B124)-('Business Case'!E11*$C124*'Business Case'!E12*$B124))-'Business Case'!F15*$F124</f>
        <v>783427858.029854</v>
      </c>
      <c r="M124" s="53" t="n">
        <f aca="false">(('Business Case'!G11*$C124*'Business Case'!G12*$B124)-'Business Case'!G11*$C124*'Business Case'!G13*$D124-'Business Case'!G14*$E124)-MAX(0,(('Business Case'!G11*$C124*'Business Case'!G12*$B124)-'Business Case'!G11*$C124*'Business Case'!G13*$D124-'Business Case'!G14*$E124))*'Business Case'!$B$7-'Business Case'!$B$8*(('Business Case'!G11*$C124*'Business Case'!G12*$B124)-('Business Case'!F11*$C124*'Business Case'!F12*$B124))-'Business Case'!G15*$F124+'Business Case'!$B$8*('Business Case'!G11*$C124*'Business Case'!G12*$B124)</f>
        <v>966447388.02229</v>
      </c>
      <c r="N124" s="53" t="n">
        <f aca="false">IF(COUNT('Business Case'!B11:G11)=0,"",H124+NPV(G124,I124:M124))</f>
        <v>-73841834.0839078</v>
      </c>
      <c r="P124" s="54" t="n">
        <f aca="true">RAND()</f>
        <v>0.903950213717946</v>
      </c>
      <c r="Q124" s="54" t="n">
        <f aca="true">RAND()</f>
        <v>0.301766713322272</v>
      </c>
      <c r="R124" s="54" t="n">
        <f aca="true">RAND()</f>
        <v>0.599919150478506</v>
      </c>
      <c r="S124" s="54" t="n">
        <f aca="true">RAND()</f>
        <v>0.25364929014263</v>
      </c>
      <c r="T124" s="54" t="n">
        <f aca="true">RAND()</f>
        <v>0.108782231534209</v>
      </c>
      <c r="U124" s="54" t="n">
        <f aca="true">RAND()</f>
        <v>0.180214262768563</v>
      </c>
    </row>
    <row r="125" customFormat="false" ht="15" hidden="false" customHeight="false" outlineLevel="0" collapsed="false">
      <c r="A125" s="50" t="n">
        <v>45</v>
      </c>
      <c r="B125" s="51" t="n">
        <f aca="false">1+IF($G$6=$E$6,$F$6,IF(P125&lt;($F$6-$E$6)/($G$6-$E$6),$E$6+SQRT(P125*($G$6-$E$6)*($F$6-$E$6)),$G$6-SQRT((1-P125)*($G$6-$E$6)*($G$6-$F$6))))</f>
        <v>1.02474013221006</v>
      </c>
      <c r="C125" s="51" t="n">
        <f aca="false">1+IF($G$7=$E$7,$F$7,IF(Q125&lt;($F$7-$E$7)/($G$7-$E$7),$E$7+SQRT(Q125*($G$7-$E$7)*($F$7-$E$7)),$G$7-SQRT((1-Q125)*($G$7-$E$7)*($G$7-$F$7))))</f>
        <v>0.943370292883594</v>
      </c>
      <c r="D125" s="51" t="n">
        <f aca="false">1+IF($G$8=$E$8,$F$8,IF(R125&lt;($F$8-$E$8)/($G$8-$E$8),$E$8+SQRT(R125*($G$8-$E$8)*($F$8-$E$8)),$G$8-SQRT((1-R125)*($G$8-$E$8)*($G$8-$F$8))))</f>
        <v>1.03230856257416</v>
      </c>
      <c r="E125" s="51" t="n">
        <f aca="false">1+IF($G$9=$E$9,$F$9,IF(S125&lt;($F$9-$E$9)/($G$9-$E$9),$E$9+SQRT(S125*($G$9-$E$9)*($F$9-$E$9)),$G$9-SQRT((1-S125)*($G$9-$E$9)*($G$9-$F$9))))</f>
        <v>1.04768926309449</v>
      </c>
      <c r="F125" s="51" t="n">
        <f aca="false">1+IF($G$10=$E$10,$F$10,IF(T125&lt;($F$10-$E$10)/($G$10-$E$10),$E$10+SQRT(T125*($G$10-$E$10)*($F$10-$E$10)),$G$10-SQRT((1-T125)*($G$10-$E$10)*($G$10-$F$10))))</f>
        <v>1.05576233583334</v>
      </c>
      <c r="G125" s="52" t="n">
        <f aca="false">IF($G$11=$E$11,$F$11,IF(U125&lt;($F$11-$E$11)/($G$11-$E$11),$E$11+SQRT(U125*($G$11-$E$11)*($F$11-$E$11)),$G$11-SQRT((1-U125)*($G$11-$E$11)*($G$11-$F$11))))</f>
        <v>0.107097294493441</v>
      </c>
      <c r="H125" s="53" t="n">
        <f aca="false">(('Business Case'!B11*$C125*'Business Case'!B12*$B125)-'Business Case'!B11*$C125*'Business Case'!B13*$D125-'Business Case'!B14*$E125)-MAX(0,(('Business Case'!B11*$C125*'Business Case'!B12*$B125)-'Business Case'!B11*$C125*'Business Case'!B13*$D125-'Business Case'!B14*$E125))*'Business Case'!$B$7-'Business Case'!$B$8*('Business Case'!B11*$C125*'Business Case'!B12*$B125)-'Business Case'!B15*$F125</f>
        <v>-2111524671.66667</v>
      </c>
      <c r="I125" s="53" t="n">
        <f aca="false">(('Business Case'!C11*$C125*'Business Case'!C12*$B125)-'Business Case'!C11*$C125*'Business Case'!C13*$D125-'Business Case'!C14*$E125)-MAX(0,(('Business Case'!C11*$C125*'Business Case'!C12*$B125)-'Business Case'!C11*$C125*'Business Case'!C13*$D125-'Business Case'!C14*$E125))*'Business Case'!$B$7-'Business Case'!$B$8*(('Business Case'!C11*$C125*'Business Case'!C12*$B125)-('Business Case'!B11*$C125*'Business Case'!B12*$B125))-'Business Case'!C15*$F125</f>
        <v>-11400159.7930491</v>
      </c>
      <c r="J125" s="53" t="n">
        <f aca="false">(('Business Case'!D11*$C125*'Business Case'!D12*$B125)-'Business Case'!D11*$C125*'Business Case'!D13*$D125-'Business Case'!D14*$E125)-MAX(0,(('Business Case'!D11*$C125*'Business Case'!D12*$B125)-'Business Case'!D11*$C125*'Business Case'!D13*$D125-'Business Case'!D14*$E125))*'Business Case'!$B$7-'Business Case'!$B$8*(('Business Case'!D11*$C125*'Business Case'!D12*$B125)-('Business Case'!C11*$C125*'Business Case'!C12*$B125))-'Business Case'!D15*$F125</f>
        <v>281871542.435421</v>
      </c>
      <c r="K125" s="53" t="n">
        <f aca="false">(('Business Case'!E11*$C125*'Business Case'!E12*$B125)-'Business Case'!E11*$C125*'Business Case'!E13*$D125-'Business Case'!E14*$E125)-MAX(0,(('Business Case'!E11*$C125*'Business Case'!E12*$B125)-'Business Case'!E11*$C125*'Business Case'!E13*$D125-'Business Case'!E14*$E125))*'Business Case'!$B$7-'Business Case'!$B$8*(('Business Case'!E11*$C125*'Business Case'!E12*$B125)-('Business Case'!D11*$C125*'Business Case'!D12*$B125))-'Business Case'!E15*$F125</f>
        <v>627931361.455559</v>
      </c>
      <c r="L125" s="53" t="n">
        <f aca="false">(('Business Case'!F11*$C125*'Business Case'!F12*$B125)-'Business Case'!F11*$C125*'Business Case'!F13*$D125-'Business Case'!F14*$E125)-MAX(0,(('Business Case'!F11*$C125*'Business Case'!F12*$B125)-'Business Case'!F11*$C125*'Business Case'!F13*$D125-'Business Case'!F14*$E125))*'Business Case'!$B$7-'Business Case'!$B$8*(('Business Case'!F11*$C125*'Business Case'!F12*$B125)-('Business Case'!E11*$C125*'Business Case'!E12*$B125))-'Business Case'!F15*$F125</f>
        <v>759098072.349149</v>
      </c>
      <c r="M125" s="53" t="n">
        <f aca="false">(('Business Case'!G11*$C125*'Business Case'!G12*$B125)-'Business Case'!G11*$C125*'Business Case'!G13*$D125-'Business Case'!G14*$E125)-MAX(0,(('Business Case'!G11*$C125*'Business Case'!G12*$B125)-'Business Case'!G11*$C125*'Business Case'!G13*$D125-'Business Case'!G14*$E125))*'Business Case'!$B$7-'Business Case'!$B$8*(('Business Case'!G11*$C125*'Business Case'!G12*$B125)-('Business Case'!F11*$C125*'Business Case'!F12*$B125))-'Business Case'!G15*$F125+'Business Case'!$B$8*('Business Case'!G11*$C125*'Business Case'!G12*$B125)</f>
        <v>942850194.845031</v>
      </c>
      <c r="N125" s="53" t="n">
        <f aca="false">IF(COUNT('Business Case'!B11:G11)=0,"",H125+NPV(G125,I125:M125))</f>
        <v>-356872764.649435</v>
      </c>
      <c r="P125" s="54" t="n">
        <f aca="true">RAND()</f>
        <v>0.951486757298664</v>
      </c>
      <c r="Q125" s="54" t="n">
        <f aca="true">RAND()</f>
        <v>0.293643441164681</v>
      </c>
      <c r="R125" s="54" t="n">
        <f aca="true">RAND()</f>
        <v>0.781300653486276</v>
      </c>
      <c r="S125" s="54" t="n">
        <f aca="true">RAND()</f>
        <v>0.817572453626824</v>
      </c>
      <c r="T125" s="54" t="n">
        <f aca="true">RAND()</f>
        <v>0.583909924714889</v>
      </c>
      <c r="U125" s="54" t="n">
        <f aca="true">RAND()</f>
        <v>0.722533651018341</v>
      </c>
    </row>
    <row r="126" customFormat="false" ht="15" hidden="false" customHeight="false" outlineLevel="0" collapsed="false">
      <c r="A126" s="50" t="n">
        <v>46</v>
      </c>
      <c r="B126" s="51" t="n">
        <f aca="false">1+IF($G$6=$E$6,$F$6,IF(P126&lt;($F$6-$E$6)/($G$6-$E$6),$E$6+SQRT(P126*($G$6-$E$6)*($F$6-$E$6)),$G$6-SQRT((1-P126)*($G$6-$E$6)*($G$6-$F$6))))</f>
        <v>1.01130856554081</v>
      </c>
      <c r="C126" s="51" t="n">
        <f aca="false">1+IF($G$7=$E$7,$F$7,IF(Q126&lt;($F$7-$E$7)/($G$7-$E$7),$E$7+SQRT(Q126*($G$7-$E$7)*($F$7-$E$7)),$G$7-SQRT((1-Q126)*($G$7-$E$7)*($G$7-$F$7))))</f>
        <v>1.02465886757552</v>
      </c>
      <c r="D126" s="51" t="n">
        <f aca="false">1+IF($G$8=$E$8,$F$8,IF(R126&lt;($F$8-$E$8)/($G$8-$E$8),$E$8+SQRT(R126*($G$8-$E$8)*($F$8-$E$8)),$G$8-SQRT((1-R126)*($G$8-$E$8)*($G$8-$F$8))))</f>
        <v>0.986725723880289</v>
      </c>
      <c r="E126" s="51" t="n">
        <f aca="false">1+IF($G$9=$E$9,$F$9,IF(S126&lt;($F$9-$E$9)/($G$9-$E$9),$E$9+SQRT(S126*($G$9-$E$9)*($F$9-$E$9)),$G$9-SQRT((1-S126)*($G$9-$E$9)*($G$9-$F$9))))</f>
        <v>1.05323871246524</v>
      </c>
      <c r="F126" s="51" t="n">
        <f aca="false">1+IF($G$10=$E$10,$F$10,IF(T126&lt;($F$10-$E$10)/($G$10-$E$10),$E$10+SQRT(T126*($G$10-$E$10)*($F$10-$E$10)),$G$10-SQRT((1-T126)*($G$10-$E$10)*($G$10-$F$10))))</f>
        <v>1.01332713300982</v>
      </c>
      <c r="G126" s="52" t="n">
        <f aca="false">IF($G$11=$E$11,$F$11,IF(U126&lt;($F$11-$E$11)/($G$11-$E$11),$E$11+SQRT(U126*($G$11-$E$11)*($F$11-$E$11)),$G$11-SQRT((1-U126)*($G$11-$E$11)*($G$11-$F$11))))</f>
        <v>0.107731183443352</v>
      </c>
      <c r="H126" s="53" t="n">
        <f aca="false">(('Business Case'!B11*$C126*'Business Case'!B12*$B126)-'Business Case'!B11*$C126*'Business Case'!B13*$D126-'Business Case'!B14*$E126)-MAX(0,(('Business Case'!B11*$C126*'Business Case'!B12*$B126)-'Business Case'!B11*$C126*'Business Case'!B13*$D126-'Business Case'!B14*$E126))*'Business Case'!$B$7-'Business Case'!$B$8*('Business Case'!B11*$C126*'Business Case'!B12*$B126)-'Business Case'!B15*$F126</f>
        <v>-2026654266.01965</v>
      </c>
      <c r="I126" s="53" t="n">
        <f aca="false">(('Business Case'!C11*$C126*'Business Case'!C12*$B126)-'Business Case'!C11*$C126*'Business Case'!C13*$D126-'Business Case'!C14*$E126)-MAX(0,(('Business Case'!C11*$C126*'Business Case'!C12*$B126)-'Business Case'!C11*$C126*'Business Case'!C13*$D126-'Business Case'!C14*$E126))*'Business Case'!$B$7-'Business Case'!$B$8*(('Business Case'!C11*$C126*'Business Case'!C12*$B126)-('Business Case'!B11*$C126*'Business Case'!B12*$B126))-'Business Case'!C15*$F126</f>
        <v>26357621.0076619</v>
      </c>
      <c r="J126" s="53" t="n">
        <f aca="false">(('Business Case'!D11*$C126*'Business Case'!D12*$B126)-'Business Case'!D11*$C126*'Business Case'!D13*$D126-'Business Case'!D14*$E126)-MAX(0,(('Business Case'!D11*$C126*'Business Case'!D12*$B126)-'Business Case'!D11*$C126*'Business Case'!D13*$D126-'Business Case'!D14*$E126))*'Business Case'!$B$7-'Business Case'!$B$8*(('Business Case'!D11*$C126*'Business Case'!D12*$B126)-('Business Case'!C11*$C126*'Business Case'!C12*$B126))-'Business Case'!D15*$F126</f>
        <v>357537507.878434</v>
      </c>
      <c r="K126" s="53" t="n">
        <f aca="false">(('Business Case'!E11*$C126*'Business Case'!E12*$B126)-'Business Case'!E11*$C126*'Business Case'!E13*$D126-'Business Case'!E14*$E126)-MAX(0,(('Business Case'!E11*$C126*'Business Case'!E12*$B126)-'Business Case'!E11*$C126*'Business Case'!E13*$D126-'Business Case'!E14*$E126))*'Business Case'!$B$7-'Business Case'!$B$8*(('Business Case'!E11*$C126*'Business Case'!E12*$B126)-('Business Case'!D11*$C126*'Business Case'!D12*$B126))-'Business Case'!E15*$F126</f>
        <v>739383751.399697</v>
      </c>
      <c r="L126" s="53" t="n">
        <f aca="false">(('Business Case'!F11*$C126*'Business Case'!F12*$B126)-'Business Case'!F11*$C126*'Business Case'!F13*$D126-'Business Case'!F14*$E126)-MAX(0,(('Business Case'!F11*$C126*'Business Case'!F12*$B126)-'Business Case'!F11*$C126*'Business Case'!F13*$D126-'Business Case'!F14*$E126))*'Business Case'!$B$7-'Business Case'!$B$8*(('Business Case'!F11*$C126*'Business Case'!F12*$B126)-('Business Case'!E11*$C126*'Business Case'!E12*$B126))-'Business Case'!F15*$F126</f>
        <v>885589718.789668</v>
      </c>
      <c r="M126" s="53" t="n">
        <f aca="false">(('Business Case'!G11*$C126*'Business Case'!G12*$B126)-'Business Case'!G11*$C126*'Business Case'!G13*$D126-'Business Case'!G14*$E126)-MAX(0,(('Business Case'!G11*$C126*'Business Case'!G12*$B126)-'Business Case'!G11*$C126*'Business Case'!G13*$D126-'Business Case'!G14*$E126))*'Business Case'!$B$7-'Business Case'!$B$8*(('Business Case'!G11*$C126*'Business Case'!G12*$B126)-('Business Case'!F11*$C126*'Business Case'!F12*$B126))-'Business Case'!G15*$F126+'Business Case'!$B$8*('Business Case'!G11*$C126*'Business Case'!G12*$B126)</f>
        <v>1082559413.50476</v>
      </c>
      <c r="N126" s="53" t="n">
        <f aca="false">IF(COUNT('Business Case'!B11:G11)=0,"",H126+NPV(G126,I126:M126))</f>
        <v>69686993.4885993</v>
      </c>
      <c r="P126" s="54" t="n">
        <f aca="true">RAND()</f>
        <v>0.828500330973778</v>
      </c>
      <c r="Q126" s="54" t="n">
        <f aca="true">RAND()</f>
        <v>0.700754295667587</v>
      </c>
      <c r="R126" s="54" t="n">
        <f aca="true">RAND()</f>
        <v>0.207504429927877</v>
      </c>
      <c r="S126" s="54" t="n">
        <f aca="true">RAND()</f>
        <v>0.854225465872776</v>
      </c>
      <c r="T126" s="54" t="n">
        <f aca="true">RAND()</f>
        <v>0.303064814593356</v>
      </c>
      <c r="U126" s="54" t="n">
        <f aca="true">RAND()</f>
        <v>0.749126900498853</v>
      </c>
    </row>
    <row r="127" customFormat="false" ht="15" hidden="false" customHeight="false" outlineLevel="0" collapsed="false">
      <c r="A127" s="50" t="n">
        <v>47</v>
      </c>
      <c r="B127" s="51" t="n">
        <f aca="false">1+IF($G$6=$E$6,$F$6,IF(P127&lt;($F$6-$E$6)/($G$6-$E$6),$E$6+SQRT(P127*($G$6-$E$6)*($F$6-$E$6)),$G$6-SQRT((1-P127)*($G$6-$E$6)*($G$6-$F$6))))</f>
        <v>0.978579850931125</v>
      </c>
      <c r="C127" s="51" t="n">
        <f aca="false">1+IF($G$7=$E$7,$F$7,IF(Q127&lt;($F$7-$E$7)/($G$7-$E$7),$E$7+SQRT(Q127*($G$7-$E$7)*($F$7-$E$7)),$G$7-SQRT((1-Q127)*($G$7-$E$7)*($G$7-$F$7))))</f>
        <v>0.974227115761294</v>
      </c>
      <c r="D127" s="51" t="n">
        <f aca="false">1+IF($G$8=$E$8,$F$8,IF(R127&lt;($F$8-$E$8)/($G$8-$E$8),$E$8+SQRT(R127*($G$8-$E$8)*($F$8-$E$8)),$G$8-SQRT((1-R127)*($G$8-$E$8)*($G$8-$F$8))))</f>
        <v>1.00231481446124</v>
      </c>
      <c r="E127" s="51" t="n">
        <f aca="false">1+IF($G$9=$E$9,$F$9,IF(S127&lt;($F$9-$E$9)/($G$9-$E$9),$E$9+SQRT(S127*($G$9-$E$9)*($F$9-$E$9)),$G$9-SQRT((1-S127)*($G$9-$E$9)*($G$9-$F$9))))</f>
        <v>1.01710842164828</v>
      </c>
      <c r="F127" s="51" t="n">
        <f aca="false">1+IF($G$10=$E$10,$F$10,IF(T127&lt;($F$10-$E$10)/($G$10-$E$10),$E$10+SQRT(T127*($G$10-$E$10)*($F$10-$E$10)),$G$10-SQRT((1-T127)*($G$10-$E$10)*($G$10-$F$10))))</f>
        <v>1.01234652712733</v>
      </c>
      <c r="G127" s="52" t="n">
        <f aca="false">IF($G$11=$E$11,$F$11,IF(U127&lt;($F$11-$E$11)/($G$11-$E$11),$E$11+SQRT(U127*($G$11-$E$11)*($F$11-$E$11)),$G$11-SQRT((1-U127)*($G$11-$E$11)*($G$11-$F$11))))</f>
        <v>0.114311125958318</v>
      </c>
      <c r="H127" s="53" t="n">
        <f aca="false">(('Business Case'!B11*$C127*'Business Case'!B12*$B127)-'Business Case'!B11*$C127*'Business Case'!B13*$D127-'Business Case'!B14*$E127)-MAX(0,(('Business Case'!B11*$C127*'Business Case'!B12*$B127)-'Business Case'!B11*$C127*'Business Case'!B13*$D127-'Business Case'!B14*$E127))*'Business Case'!$B$7-'Business Case'!$B$8*('Business Case'!B11*$C127*'Business Case'!B12*$B127)-'Business Case'!B15*$F127</f>
        <v>-2024693054.25465</v>
      </c>
      <c r="I127" s="53" t="n">
        <f aca="false">(('Business Case'!C11*$C127*'Business Case'!C12*$B127)-'Business Case'!C11*$C127*'Business Case'!C13*$D127-'Business Case'!C14*$E127)-MAX(0,(('Business Case'!C11*$C127*'Business Case'!C12*$B127)-'Business Case'!C11*$C127*'Business Case'!C13*$D127-'Business Case'!C14*$E127))*'Business Case'!$B$7-'Business Case'!$B$8*(('Business Case'!C11*$C127*'Business Case'!C12*$B127)-('Business Case'!B11*$C127*'Business Case'!B12*$B127))-'Business Case'!C15*$F127</f>
        <v>-14300722.310304</v>
      </c>
      <c r="J127" s="53" t="n">
        <f aca="false">(('Business Case'!D11*$C127*'Business Case'!D12*$B127)-'Business Case'!D11*$C127*'Business Case'!D13*$D127-'Business Case'!D14*$E127)-MAX(0,(('Business Case'!D11*$C127*'Business Case'!D12*$B127)-'Business Case'!D11*$C127*'Business Case'!D13*$D127-'Business Case'!D14*$E127))*'Business Case'!$B$7-'Business Case'!$B$8*(('Business Case'!D11*$C127*'Business Case'!D12*$B127)-('Business Case'!C11*$C127*'Business Case'!C12*$B127))-'Business Case'!D15*$F127</f>
        <v>266688157.543562</v>
      </c>
      <c r="K127" s="53" t="n">
        <f aca="false">(('Business Case'!E11*$C127*'Business Case'!E12*$B127)-'Business Case'!E11*$C127*'Business Case'!E13*$D127-'Business Case'!E14*$E127)-MAX(0,(('Business Case'!E11*$C127*'Business Case'!E12*$B127)-'Business Case'!E11*$C127*'Business Case'!E13*$D127-'Business Case'!E14*$E127))*'Business Case'!$B$7-'Business Case'!$B$8*(('Business Case'!E11*$C127*'Business Case'!E12*$B127)-('Business Case'!D11*$C127*'Business Case'!D12*$B127))-'Business Case'!E15*$F127</f>
        <v>598294363.753795</v>
      </c>
      <c r="L127" s="53" t="n">
        <f aca="false">(('Business Case'!F11*$C127*'Business Case'!F12*$B127)-'Business Case'!F11*$C127*'Business Case'!F13*$D127-'Business Case'!F14*$E127)-MAX(0,(('Business Case'!F11*$C127*'Business Case'!F12*$B127)-'Business Case'!F11*$C127*'Business Case'!F13*$D127-'Business Case'!F14*$E127))*'Business Case'!$B$7-'Business Case'!$B$8*(('Business Case'!F11*$C127*'Business Case'!F12*$B127)-('Business Case'!E11*$C127*'Business Case'!E12*$B127))-'Business Case'!F15*$F127</f>
        <v>724905411.633786</v>
      </c>
      <c r="M127" s="53" t="n">
        <f aca="false">(('Business Case'!G11*$C127*'Business Case'!G12*$B127)-'Business Case'!G11*$C127*'Business Case'!G13*$D127-'Business Case'!G14*$E127)-MAX(0,(('Business Case'!G11*$C127*'Business Case'!G12*$B127)-'Business Case'!G11*$C127*'Business Case'!G13*$D127-'Business Case'!G14*$E127))*'Business Case'!$B$7-'Business Case'!$B$8*(('Business Case'!G11*$C127*'Business Case'!G12*$B127)-('Business Case'!F11*$C127*'Business Case'!F12*$B127))-'Business Case'!G15*$F127+'Business Case'!$B$8*('Business Case'!G11*$C127*'Business Case'!G12*$B127)</f>
        <v>906119895.241645</v>
      </c>
      <c r="N127" s="53" t="n">
        <f aca="false">IF(COUNT('Business Case'!B11:G11)=0,"",H127+NPV(G127,I127:M127))</f>
        <v>-392751819.369427</v>
      </c>
      <c r="P127" s="54" t="n">
        <f aca="true">RAND()</f>
        <v>0.357458222407587</v>
      </c>
      <c r="Q127" s="54" t="n">
        <f aca="true">RAND()</f>
        <v>0.433644112378563</v>
      </c>
      <c r="R127" s="54" t="n">
        <f aca="true">RAND()</f>
        <v>0.419712687289307</v>
      </c>
      <c r="S127" s="54" t="n">
        <f aca="true">RAND()</f>
        <v>0.541932415890703</v>
      </c>
      <c r="T127" s="54" t="n">
        <f aca="true">RAND()</f>
        <v>0.295723482376489</v>
      </c>
      <c r="U127" s="54" t="n">
        <f aca="true">RAND()</f>
        <v>0.946061186896469</v>
      </c>
    </row>
    <row r="128" customFormat="false" ht="15" hidden="false" customHeight="false" outlineLevel="0" collapsed="false">
      <c r="A128" s="50" t="n">
        <v>48</v>
      </c>
      <c r="B128" s="51" t="n">
        <f aca="false">1+IF($G$6=$E$6,$F$6,IF(P128&lt;($F$6-$E$6)/($G$6-$E$6),$E$6+SQRT(P128*($G$6-$E$6)*($F$6-$E$6)),$G$6-SQRT((1-P128)*($G$6-$E$6)*($G$6-$F$6))))</f>
        <v>1.01882404269323</v>
      </c>
      <c r="C128" s="51" t="n">
        <f aca="false">1+IF($G$7=$E$7,$F$7,IF(Q128&lt;($F$7-$E$7)/($G$7-$E$7),$E$7+SQRT(Q128*($G$7-$E$7)*($F$7-$E$7)),$G$7-SQRT((1-Q128)*($G$7-$E$7)*($G$7-$F$7))))</f>
        <v>1.05482050095899</v>
      </c>
      <c r="D128" s="51" t="n">
        <f aca="false">1+IF($G$8=$E$8,$F$8,IF(R128&lt;($F$8-$E$8)/($G$8-$E$8),$E$8+SQRT(R128*($G$8-$E$8)*($F$8-$E$8)),$G$8-SQRT((1-R128)*($G$8-$E$8)*($G$8-$F$8))))</f>
        <v>1.04711278489684</v>
      </c>
      <c r="E128" s="51" t="n">
        <f aca="false">1+IF($G$9=$E$9,$F$9,IF(S128&lt;($F$9-$E$9)/($G$9-$E$9),$E$9+SQRT(S128*($G$9-$E$9)*($F$9-$E$9)),$G$9-SQRT((1-S128)*($G$9-$E$9)*($G$9-$F$9))))</f>
        <v>0.950660439776682</v>
      </c>
      <c r="F128" s="51" t="n">
        <f aca="false">1+IF($G$10=$E$10,$F$10,IF(T128&lt;($F$10-$E$10)/($G$10-$E$10),$E$10+SQRT(T128*($G$10-$E$10)*($F$10-$E$10)),$G$10-SQRT((1-T128)*($G$10-$E$10)*($G$10-$F$10))))</f>
        <v>0.960025399608887</v>
      </c>
      <c r="G128" s="52" t="n">
        <f aca="false">IF($G$11=$E$11,$F$11,IF(U128&lt;($F$11-$E$11)/($G$11-$E$11),$E$11+SQRT(U128*($G$11-$E$11)*($F$11-$E$11)),$G$11-SQRT((1-U128)*($G$11-$E$11)*($G$11-$F$11))))</f>
        <v>0.114880226239054</v>
      </c>
      <c r="H128" s="53" t="n">
        <f aca="false">(('Business Case'!B11*$C128*'Business Case'!B12*$B128)-'Business Case'!B11*$C128*'Business Case'!B13*$D128-'Business Case'!B14*$E128)-MAX(0,(('Business Case'!B11*$C128*'Business Case'!B12*$B128)-'Business Case'!B11*$C128*'Business Case'!B13*$D128-'Business Case'!B14*$E128))*'Business Case'!$B$7-'Business Case'!$B$8*('Business Case'!B11*$C128*'Business Case'!B12*$B128)-'Business Case'!B15*$F128</f>
        <v>-1920050799.21777</v>
      </c>
      <c r="I128" s="53" t="n">
        <f aca="false">(('Business Case'!C11*$C128*'Business Case'!C12*$B128)-'Business Case'!C11*$C128*'Business Case'!C13*$D128-'Business Case'!C14*$E128)-MAX(0,(('Business Case'!C11*$C128*'Business Case'!C12*$B128)-'Business Case'!C11*$C128*'Business Case'!C13*$D128-'Business Case'!C14*$E128))*'Business Case'!$B$7-'Business Case'!$B$8*(('Business Case'!C11*$C128*'Business Case'!C12*$B128)-('Business Case'!B11*$C128*'Business Case'!B12*$B128))-'Business Case'!C15*$F128</f>
        <v>27915888.7876283</v>
      </c>
      <c r="J128" s="53" t="n">
        <f aca="false">(('Business Case'!D11*$C128*'Business Case'!D12*$B128)-'Business Case'!D11*$C128*'Business Case'!D13*$D128-'Business Case'!D14*$E128)-MAX(0,(('Business Case'!D11*$C128*'Business Case'!D12*$B128)-'Business Case'!D11*$C128*'Business Case'!D13*$D128-'Business Case'!D14*$E128))*'Business Case'!$B$7-'Business Case'!$B$8*(('Business Case'!D11*$C128*'Business Case'!D12*$B128)-('Business Case'!C11*$C128*'Business Case'!C12*$B128))-'Business Case'!D15*$F128</f>
        <v>342729461.163795</v>
      </c>
      <c r="K128" s="53" t="n">
        <f aca="false">(('Business Case'!E11*$C128*'Business Case'!E12*$B128)-'Business Case'!E11*$C128*'Business Case'!E13*$D128-'Business Case'!E14*$E128)-MAX(0,(('Business Case'!E11*$C128*'Business Case'!E12*$B128)-'Business Case'!E11*$C128*'Business Case'!E13*$D128-'Business Case'!E14*$E128))*'Business Case'!$B$7-'Business Case'!$B$8*(('Business Case'!E11*$C128*'Business Case'!E12*$B128)-('Business Case'!D11*$C128*'Business Case'!D12*$B128))-'Business Case'!E15*$F128</f>
        <v>705544303.520406</v>
      </c>
      <c r="L128" s="53" t="n">
        <f aca="false">(('Business Case'!F11*$C128*'Business Case'!F12*$B128)-'Business Case'!F11*$C128*'Business Case'!F13*$D128-'Business Case'!F14*$E128)-MAX(0,(('Business Case'!F11*$C128*'Business Case'!F12*$B128)-'Business Case'!F11*$C128*'Business Case'!F13*$D128-'Business Case'!F14*$E128))*'Business Case'!$B$7-'Business Case'!$B$8*(('Business Case'!F11*$C128*'Business Case'!F12*$B128)-('Business Case'!E11*$C128*'Business Case'!E12*$B128))-'Business Case'!F15*$F128</f>
        <v>847622980.373399</v>
      </c>
      <c r="M128" s="53" t="n">
        <f aca="false">(('Business Case'!G11*$C128*'Business Case'!G12*$B128)-'Business Case'!G11*$C128*'Business Case'!G13*$D128-'Business Case'!G14*$E128)-MAX(0,(('Business Case'!G11*$C128*'Business Case'!G12*$B128)-'Business Case'!G11*$C128*'Business Case'!G13*$D128-'Business Case'!G14*$E128))*'Business Case'!$B$7-'Business Case'!$B$8*(('Business Case'!G11*$C128*'Business Case'!G12*$B128)-('Business Case'!F11*$C128*'Business Case'!F12*$B128))-'Business Case'!G15*$F128+'Business Case'!$B$8*('Business Case'!G11*$C128*'Business Case'!G12*$B128)</f>
        <v>1051897487.04189</v>
      </c>
      <c r="N128" s="53" t="n">
        <f aca="false">IF(COUNT('Business Case'!B11:G11)=0,"",H128+NPV(G128,I128:M128))</f>
        <v>49217664.4434042</v>
      </c>
      <c r="P128" s="54" t="n">
        <f aca="true">RAND()</f>
        <v>0.906578923362856</v>
      </c>
      <c r="Q128" s="54" t="n">
        <f aca="true">RAND()</f>
        <v>0.827445008805756</v>
      </c>
      <c r="R128" s="54" t="n">
        <f aca="true">RAND()</f>
        <v>0.896002988726767</v>
      </c>
      <c r="S128" s="54" t="n">
        <f aca="true">RAND()</f>
        <v>5.81574264830736E-005</v>
      </c>
      <c r="T128" s="54" t="n">
        <f aca="true">RAND()</f>
        <v>0.00804069098543036</v>
      </c>
      <c r="U128" s="54" t="n">
        <f aca="true">RAND()</f>
        <v>0.95631319439454</v>
      </c>
    </row>
    <row r="129" customFormat="false" ht="15" hidden="false" customHeight="false" outlineLevel="0" collapsed="false">
      <c r="A129" s="50" t="n">
        <v>49</v>
      </c>
      <c r="B129" s="51" t="n">
        <f aca="false">1+IF($G$6=$E$6,$F$6,IF(P129&lt;($F$6-$E$6)/($G$6-$E$6),$E$6+SQRT(P129*($G$6-$E$6)*($F$6-$E$6)),$G$6-SQRT((1-P129)*($G$6-$E$6)*($G$6-$F$6))))</f>
        <v>0.994843162923373</v>
      </c>
      <c r="C129" s="51" t="n">
        <f aca="false">1+IF($G$7=$E$7,$F$7,IF(Q129&lt;($F$7-$E$7)/($G$7-$E$7),$E$7+SQRT(Q129*($G$7-$E$7)*($F$7-$E$7)),$G$7-SQRT((1-Q129)*($G$7-$E$7)*($G$7-$F$7))))</f>
        <v>0.989534540440791</v>
      </c>
      <c r="D129" s="51" t="n">
        <f aca="false">1+IF($G$8=$E$8,$F$8,IF(R129&lt;($F$8-$E$8)/($G$8-$E$8),$E$8+SQRT(R129*($G$8-$E$8)*($F$8-$E$8)),$G$8-SQRT((1-R129)*($G$8-$E$8)*($G$8-$F$8))))</f>
        <v>1.02112404356717</v>
      </c>
      <c r="E129" s="51" t="n">
        <f aca="false">1+IF($G$9=$E$9,$F$9,IF(S129&lt;($F$9-$E$9)/($G$9-$E$9),$E$9+SQRT(S129*($G$9-$E$9)*($F$9-$E$9)),$G$9-SQRT((1-S129)*($G$9-$E$9)*($G$9-$F$9))))</f>
        <v>1.03045568732013</v>
      </c>
      <c r="F129" s="51" t="n">
        <f aca="false">1+IF($G$10=$E$10,$F$10,IF(T129&lt;($F$10-$E$10)/($G$10-$E$10),$E$10+SQRT(T129*($G$10-$E$10)*($F$10-$E$10)),$G$10-SQRT((1-T129)*($G$10-$E$10)*($G$10-$F$10))))</f>
        <v>1.02135962138306</v>
      </c>
      <c r="G129" s="52" t="n">
        <f aca="false">IF($G$11=$E$11,$F$11,IF(U129&lt;($F$11-$E$11)/($G$11-$E$11),$E$11+SQRT(U129*($G$11-$E$11)*($F$11-$E$11)),$G$11-SQRT((1-U129)*($G$11-$E$11)*($G$11-$F$11))))</f>
        <v>0.108346121874617</v>
      </c>
      <c r="H129" s="53" t="n">
        <f aca="false">(('Business Case'!B11*$C129*'Business Case'!B12*$B129)-'Business Case'!B11*$C129*'Business Case'!B13*$D129-'Business Case'!B14*$E129)-MAX(0,(('Business Case'!B11*$C129*'Business Case'!B12*$B129)-'Business Case'!B11*$C129*'Business Case'!B13*$D129-'Business Case'!B14*$E129))*'Business Case'!$B$7-'Business Case'!$B$8*('Business Case'!B11*$C129*'Business Case'!B12*$B129)-'Business Case'!B15*$F129</f>
        <v>-2042719242.76612</v>
      </c>
      <c r="I129" s="53" t="n">
        <f aca="false">(('Business Case'!C11*$C129*'Business Case'!C12*$B129)-'Business Case'!C11*$C129*'Business Case'!C13*$D129-'Business Case'!C14*$E129)-MAX(0,(('Business Case'!C11*$C129*'Business Case'!C12*$B129)-'Business Case'!C11*$C129*'Business Case'!C13*$D129-'Business Case'!C14*$E129))*'Business Case'!$B$7-'Business Case'!$B$8*(('Business Case'!C11*$C129*'Business Case'!C12*$B129)-('Business Case'!B11*$C129*'Business Case'!B12*$B129))-'Business Case'!C15*$F129</f>
        <v>-10642451.0026638</v>
      </c>
      <c r="J129" s="53" t="n">
        <f aca="false">(('Business Case'!D11*$C129*'Business Case'!D12*$B129)-'Business Case'!D11*$C129*'Business Case'!D13*$D129-'Business Case'!D14*$E129)-MAX(0,(('Business Case'!D11*$C129*'Business Case'!D12*$B129)-'Business Case'!D11*$C129*'Business Case'!D13*$D129-'Business Case'!D14*$E129))*'Business Case'!$B$7-'Business Case'!$B$8*(('Business Case'!D11*$C129*'Business Case'!D12*$B129)-('Business Case'!C11*$C129*'Business Case'!C12*$B129))-'Business Case'!D15*$F129</f>
        <v>278414796.748145</v>
      </c>
      <c r="K129" s="53" t="n">
        <f aca="false">(('Business Case'!E11*$C129*'Business Case'!E12*$B129)-'Business Case'!E11*$C129*'Business Case'!E13*$D129-'Business Case'!E14*$E129)-MAX(0,(('Business Case'!E11*$C129*'Business Case'!E12*$B129)-'Business Case'!E11*$C129*'Business Case'!E13*$D129-'Business Case'!E14*$E129))*'Business Case'!$B$7-'Business Case'!$B$8*(('Business Case'!E11*$C129*'Business Case'!E12*$B129)-('Business Case'!D11*$C129*'Business Case'!D12*$B129))-'Business Case'!E15*$F129</f>
        <v>618540025.568108</v>
      </c>
      <c r="L129" s="53" t="n">
        <f aca="false">(('Business Case'!F11*$C129*'Business Case'!F12*$B129)-'Business Case'!F11*$C129*'Business Case'!F13*$D129-'Business Case'!F14*$E129)-MAX(0,(('Business Case'!F11*$C129*'Business Case'!F12*$B129)-'Business Case'!F11*$C129*'Business Case'!F13*$D129-'Business Case'!F14*$E129))*'Business Case'!$B$7-'Business Case'!$B$8*(('Business Case'!F11*$C129*'Business Case'!F12*$B129)-('Business Case'!E11*$C129*'Business Case'!E12*$B129))-'Business Case'!F15*$F129</f>
        <v>748914400.070541</v>
      </c>
      <c r="M129" s="53" t="n">
        <f aca="false">(('Business Case'!G11*$C129*'Business Case'!G12*$B129)-'Business Case'!G11*$C129*'Business Case'!G13*$D129-'Business Case'!G14*$E129)-MAX(0,(('Business Case'!G11*$C129*'Business Case'!G12*$B129)-'Business Case'!G11*$C129*'Business Case'!G13*$D129-'Business Case'!G14*$E129))*'Business Case'!$B$7-'Business Case'!$B$8*(('Business Case'!G11*$C129*'Business Case'!G12*$B129)-('Business Case'!F11*$C129*'Business Case'!F12*$B129))-'Business Case'!G15*$F129+'Business Case'!$B$8*('Business Case'!G11*$C129*'Business Case'!G12*$B129)</f>
        <v>936035172.290771</v>
      </c>
      <c r="N129" s="53" t="n">
        <f aca="false">IF(COUNT('Business Case'!B11:G11)=0,"",H129+NPV(G129,I129:M129))</f>
        <v>-315447407.466542</v>
      </c>
      <c r="P129" s="54" t="n">
        <f aca="true">RAND()</f>
        <v>0.583489482955687</v>
      </c>
      <c r="Q129" s="54" t="n">
        <f aca="true">RAND()</f>
        <v>0.513190600287167</v>
      </c>
      <c r="R129" s="54" t="n">
        <f aca="true">RAND()</f>
        <v>0.666694399434588</v>
      </c>
      <c r="S129" s="54" t="n">
        <f aca="true">RAND()</f>
        <v>0.677572571592282</v>
      </c>
      <c r="T129" s="54" t="n">
        <f aca="true">RAND()</f>
        <v>0.36175230255193</v>
      </c>
      <c r="U129" s="54" t="n">
        <f aca="true">RAND()</f>
        <v>0.773645207731213</v>
      </c>
    </row>
    <row r="130" customFormat="false" ht="15" hidden="false" customHeight="false" outlineLevel="0" collapsed="false">
      <c r="A130" s="50" t="n">
        <v>50</v>
      </c>
      <c r="B130" s="51" t="n">
        <f aca="false">1+IF($G$6=$E$6,$F$6,IF(P130&lt;($F$6-$E$6)/($G$6-$E$6),$E$6+SQRT(P130*($G$6-$E$6)*($F$6-$E$6)),$G$6-SQRT((1-P130)*($G$6-$E$6)*($G$6-$F$6))))</f>
        <v>1.02433254180849</v>
      </c>
      <c r="C130" s="51" t="n">
        <f aca="false">1+IF($G$7=$E$7,$F$7,IF(Q130&lt;($F$7-$E$7)/($G$7-$E$7),$E$7+SQRT(Q130*($G$7-$E$7)*($F$7-$E$7)),$G$7-SQRT((1-Q130)*($G$7-$E$7)*($G$7-$F$7))))</f>
        <v>0.978160374705212</v>
      </c>
      <c r="D130" s="51" t="n">
        <f aca="false">1+IF($G$8=$E$8,$F$8,IF(R130&lt;($F$8-$E$8)/($G$8-$E$8),$E$8+SQRT(R130*($G$8-$E$8)*($F$8-$E$8)),$G$8-SQRT((1-R130)*($G$8-$E$8)*($G$8-$F$8))))</f>
        <v>1.06034467738817</v>
      </c>
      <c r="E130" s="51" t="n">
        <f aca="false">1+IF($G$9=$E$9,$F$9,IF(S130&lt;($F$9-$E$9)/($G$9-$E$9),$E$9+SQRT(S130*($G$9-$E$9)*($F$9-$E$9)),$G$9-SQRT((1-S130)*($G$9-$E$9)*($G$9-$F$9))))</f>
        <v>0.978808973463557</v>
      </c>
      <c r="F130" s="51" t="n">
        <f aca="false">1+IF($G$10=$E$10,$F$10,IF(T130&lt;($F$10-$E$10)/($G$10-$E$10),$E$10+SQRT(T130*($G$10-$E$10)*($F$10-$E$10)),$G$10-SQRT((1-T130)*($G$10-$E$10)*($G$10-$F$10))))</f>
        <v>0.967204465095463</v>
      </c>
      <c r="G130" s="52" t="n">
        <f aca="false">IF($G$11=$E$11,$F$11,IF(U130&lt;($F$11-$E$11)/($G$11-$E$11),$E$11+SQRT(U130*($G$11-$E$11)*($F$11-$E$11)),$G$11-SQRT((1-U130)*($G$11-$E$11)*($G$11-$F$11))))</f>
        <v>0.100902472012706</v>
      </c>
      <c r="H130" s="53" t="n">
        <f aca="false">(('Business Case'!B11*$C130*'Business Case'!B12*$B130)-'Business Case'!B11*$C130*'Business Case'!B13*$D130-'Business Case'!B14*$E130)-MAX(0,(('Business Case'!B11*$C130*'Business Case'!B12*$B130)-'Business Case'!B11*$C130*'Business Case'!B13*$D130-'Business Case'!B14*$E130))*'Business Case'!$B$7-'Business Case'!$B$8*('Business Case'!B11*$C130*'Business Case'!B12*$B130)-'Business Case'!B15*$F130</f>
        <v>-1934408930.19093</v>
      </c>
      <c r="I130" s="53" t="n">
        <f aca="false">(('Business Case'!C11*$C130*'Business Case'!C12*$B130)-'Business Case'!C11*$C130*'Business Case'!C13*$D130-'Business Case'!C14*$E130)-MAX(0,(('Business Case'!C11*$C130*'Business Case'!C12*$B130)-'Business Case'!C11*$C130*'Business Case'!C13*$D130-'Business Case'!C14*$E130))*'Business Case'!$B$7-'Business Case'!$B$8*(('Business Case'!C11*$C130*'Business Case'!C12*$B130)-('Business Case'!B11*$C130*'Business Case'!B12*$B130))-'Business Case'!C15*$F130</f>
        <v>1873001.00382532</v>
      </c>
      <c r="J130" s="53" t="n">
        <f aca="false">(('Business Case'!D11*$C130*'Business Case'!D12*$B130)-'Business Case'!D11*$C130*'Business Case'!D13*$D130-'Business Case'!D14*$E130)-MAX(0,(('Business Case'!D11*$C130*'Business Case'!D12*$B130)-'Business Case'!D11*$C130*'Business Case'!D13*$D130-'Business Case'!D14*$E130))*'Business Case'!$B$7-'Business Case'!$B$8*(('Business Case'!D11*$C130*'Business Case'!D12*$B130)-('Business Case'!C11*$C130*'Business Case'!C12*$B130))-'Business Case'!D15*$F130</f>
        <v>291594768.854991</v>
      </c>
      <c r="K130" s="53" t="n">
        <f aca="false">(('Business Case'!E11*$C130*'Business Case'!E12*$B130)-'Business Case'!E11*$C130*'Business Case'!E13*$D130-'Business Case'!E14*$E130)-MAX(0,(('Business Case'!E11*$C130*'Business Case'!E12*$B130)-'Business Case'!E11*$C130*'Business Case'!E13*$D130-'Business Case'!E14*$E130))*'Business Case'!$B$7-'Business Case'!$B$8*(('Business Case'!E11*$C130*'Business Case'!E12*$B130)-('Business Case'!D11*$C130*'Business Case'!D12*$B130))-'Business Case'!E15*$F130</f>
        <v>629676759.960929</v>
      </c>
      <c r="L130" s="53" t="n">
        <f aca="false">(('Business Case'!F11*$C130*'Business Case'!F12*$B130)-'Business Case'!F11*$C130*'Business Case'!F13*$D130-'Business Case'!F14*$E130)-MAX(0,(('Business Case'!F11*$C130*'Business Case'!F12*$B130)-'Business Case'!F11*$C130*'Business Case'!F13*$D130-'Business Case'!F14*$E130))*'Business Case'!$B$7-'Business Case'!$B$8*(('Business Case'!F11*$C130*'Business Case'!F12*$B130)-('Business Case'!E11*$C130*'Business Case'!E12*$B130))-'Business Case'!F15*$F130</f>
        <v>760878472.118835</v>
      </c>
      <c r="M130" s="53" t="n">
        <f aca="false">(('Business Case'!G11*$C130*'Business Case'!G12*$B130)-'Business Case'!G11*$C130*'Business Case'!G13*$D130-'Business Case'!G14*$E130)-MAX(0,(('Business Case'!G11*$C130*'Business Case'!G12*$B130)-'Business Case'!G11*$C130*'Business Case'!G13*$D130-'Business Case'!G14*$E130))*'Business Case'!$B$7-'Business Case'!$B$8*(('Business Case'!G11*$C130*'Business Case'!G12*$B130)-('Business Case'!F11*$C130*'Business Case'!F12*$B130))-'Business Case'!G15*$F130+'Business Case'!$B$8*('Business Case'!G11*$C130*'Business Case'!G12*$B130)</f>
        <v>951331314.593514</v>
      </c>
      <c r="N130" s="53" t="n">
        <f aca="false">IF(COUNT('Business Case'!B11:G11)=0,"",H130+NPV(G130,I130:M130))</f>
        <v>-113919190.592351</v>
      </c>
      <c r="P130" s="54" t="n">
        <f aca="true">RAND()</f>
        <v>0.948860573711936</v>
      </c>
      <c r="Q130" s="54" t="n">
        <f aca="true">RAND()</f>
        <v>0.453444558787164</v>
      </c>
      <c r="R130" s="54" t="n">
        <f aca="true">RAND()</f>
        <v>0.962852720483162</v>
      </c>
      <c r="S130" s="54" t="n">
        <f aca="true">RAND()</f>
        <v>0.110660926936521</v>
      </c>
      <c r="T130" s="54" t="n">
        <f aca="true">RAND()</f>
        <v>0.0236794895376794</v>
      </c>
      <c r="U130" s="54" t="n">
        <f aca="true">RAND()</f>
        <v>0.392140707957559</v>
      </c>
    </row>
    <row r="131" customFormat="false" ht="15" hidden="false" customHeight="false" outlineLevel="0" collapsed="false">
      <c r="A131" s="50" t="n">
        <v>51</v>
      </c>
      <c r="B131" s="51" t="n">
        <f aca="false">1+IF($G$6=$E$6,$F$6,IF(P131&lt;($F$6-$E$6)/($G$6-$E$6),$E$6+SQRT(P131*($G$6-$E$6)*($F$6-$E$6)),$G$6-SQRT((1-P131)*($G$6-$E$6)*($G$6-$F$6))))</f>
        <v>0.9858344289427</v>
      </c>
      <c r="C131" s="51" t="n">
        <f aca="false">1+IF($G$7=$E$7,$F$7,IF(Q131&lt;($F$7-$E$7)/($G$7-$E$7),$E$7+SQRT(Q131*($G$7-$E$7)*($F$7-$E$7)),$G$7-SQRT((1-Q131)*($G$7-$E$7)*($G$7-$F$7))))</f>
        <v>1.04584085604273</v>
      </c>
      <c r="D131" s="51" t="n">
        <f aca="false">1+IF($G$8=$E$8,$F$8,IF(R131&lt;($F$8-$E$8)/($G$8-$E$8),$E$8+SQRT(R131*($G$8-$E$8)*($F$8-$E$8)),$G$8-SQRT((1-R131)*($G$8-$E$8)*($G$8-$F$8))))</f>
        <v>1.00253264548229</v>
      </c>
      <c r="E131" s="51" t="n">
        <f aca="false">1+IF($G$9=$E$9,$F$9,IF(S131&lt;($F$9-$E$9)/($G$9-$E$9),$E$9+SQRT(S131*($G$9-$E$9)*($F$9-$E$9)),$G$9-SQRT((1-S131)*($G$9-$E$9)*($G$9-$F$9))))</f>
        <v>1.0551688789304</v>
      </c>
      <c r="F131" s="51" t="n">
        <f aca="false">1+IF($G$10=$E$10,$F$10,IF(T131&lt;($F$10-$E$10)/($G$10-$E$10),$E$10+SQRT(T131*($G$10-$E$10)*($F$10-$E$10)),$G$10-SQRT((1-T131)*($G$10-$E$10)*($G$10-$F$10))))</f>
        <v>1.04933009854358</v>
      </c>
      <c r="G131" s="52" t="n">
        <f aca="false">IF($G$11=$E$11,$F$11,IF(U131&lt;($F$11-$E$11)/($G$11-$E$11),$E$11+SQRT(U131*($G$11-$E$11)*($F$11-$E$11)),$G$11-SQRT((1-U131)*($G$11-$E$11)*($G$11-$F$11))))</f>
        <v>0.110845293113777</v>
      </c>
      <c r="H131" s="53" t="n">
        <f aca="false">(('Business Case'!B11*$C131*'Business Case'!B12*$B131)-'Business Case'!B11*$C131*'Business Case'!B13*$D131-'Business Case'!B14*$E131)-MAX(0,(('Business Case'!B11*$C131*'Business Case'!B12*$B131)-'Business Case'!B11*$C131*'Business Case'!B13*$D131-'Business Case'!B14*$E131))*'Business Case'!$B$7-'Business Case'!$B$8*('Business Case'!B11*$C131*'Business Case'!B12*$B131)-'Business Case'!B15*$F131</f>
        <v>-2098660197.08715</v>
      </c>
      <c r="I131" s="53" t="n">
        <f aca="false">(('Business Case'!C11*$C131*'Business Case'!C12*$B131)-'Business Case'!C11*$C131*'Business Case'!C13*$D131-'Business Case'!C14*$E131)-MAX(0,(('Business Case'!C11*$C131*'Business Case'!C12*$B131)-'Business Case'!C11*$C131*'Business Case'!C13*$D131-'Business Case'!C14*$E131))*'Business Case'!$B$7-'Business Case'!$B$8*(('Business Case'!C11*$C131*'Business Case'!C12*$B131)-('Business Case'!B11*$C131*'Business Case'!B12*$B131))-'Business Case'!C15*$F131</f>
        <v>-684739.535265595</v>
      </c>
      <c r="J131" s="53" t="n">
        <f aca="false">(('Business Case'!D11*$C131*'Business Case'!D12*$B131)-'Business Case'!D11*$C131*'Business Case'!D13*$D131-'Business Case'!D14*$E131)-MAX(0,(('Business Case'!D11*$C131*'Business Case'!D12*$B131)-'Business Case'!D11*$C131*'Business Case'!D13*$D131-'Business Case'!D14*$E131))*'Business Case'!$B$7-'Business Case'!$B$8*(('Business Case'!D11*$C131*'Business Case'!D12*$B131)-('Business Case'!C11*$C131*'Business Case'!C12*$B131))-'Business Case'!D15*$F131</f>
        <v>307056929.220291</v>
      </c>
      <c r="K131" s="53" t="n">
        <f aca="false">(('Business Case'!E11*$C131*'Business Case'!E12*$B131)-'Business Case'!E11*$C131*'Business Case'!E13*$D131-'Business Case'!E14*$E131)-MAX(0,(('Business Case'!E11*$C131*'Business Case'!E12*$B131)-'Business Case'!E11*$C131*'Business Case'!E13*$D131-'Business Case'!E14*$E131))*'Business Case'!$B$7-'Business Case'!$B$8*(('Business Case'!E11*$C131*'Business Case'!E12*$B131)-('Business Case'!D11*$C131*'Business Case'!D12*$B131))-'Business Case'!E15*$F131</f>
        <v>667265102.903027</v>
      </c>
      <c r="L131" s="53" t="n">
        <f aca="false">(('Business Case'!F11*$C131*'Business Case'!F12*$B131)-'Business Case'!F11*$C131*'Business Case'!F13*$D131-'Business Case'!F14*$E131)-MAX(0,(('Business Case'!F11*$C131*'Business Case'!F12*$B131)-'Business Case'!F11*$C131*'Business Case'!F13*$D131-'Business Case'!F14*$E131))*'Business Case'!$B$7-'Business Case'!$B$8*(('Business Case'!F11*$C131*'Business Case'!F12*$B131)-('Business Case'!E11*$C131*'Business Case'!E12*$B131))-'Business Case'!F15*$F131</f>
        <v>805477915.056588</v>
      </c>
      <c r="M131" s="53" t="n">
        <f aca="false">(('Business Case'!G11*$C131*'Business Case'!G12*$B131)-'Business Case'!G11*$C131*'Business Case'!G13*$D131-'Business Case'!G14*$E131)-MAX(0,(('Business Case'!G11*$C131*'Business Case'!G12*$B131)-'Business Case'!G11*$C131*'Business Case'!G13*$D131-'Business Case'!G14*$E131))*'Business Case'!$B$7-'Business Case'!$B$8*(('Business Case'!G11*$C131*'Business Case'!G12*$B131)-('Business Case'!F11*$C131*'Business Case'!F12*$B131))-'Business Case'!G15*$F131+'Business Case'!$B$8*('Business Case'!G11*$C131*'Business Case'!G12*$B131)</f>
        <v>1001455322.51598</v>
      </c>
      <c r="N131" s="53" t="n">
        <f aca="false">IF(COUNT('Business Case'!B11:G11)=0,"",H131+NPV(G131,I131:M131))</f>
        <v>-242618598.957897</v>
      </c>
      <c r="P131" s="54" t="n">
        <f aca="true">RAND()</f>
        <v>0.451476253563686</v>
      </c>
      <c r="Q131" s="54" t="n">
        <f aca="true">RAND()</f>
        <v>0.793349956763605</v>
      </c>
      <c r="R131" s="54" t="n">
        <f aca="true">RAND()</f>
        <v>0.422962402310398</v>
      </c>
      <c r="S131" s="54" t="n">
        <f aca="true">RAND()</f>
        <v>0.866011372242853</v>
      </c>
      <c r="T131" s="54" t="n">
        <f aca="true">RAND()</f>
        <v>0.545971615902223</v>
      </c>
      <c r="U131" s="54" t="n">
        <f aca="true">RAND()</f>
        <v>0.860318903045563</v>
      </c>
    </row>
    <row r="132" customFormat="false" ht="15" hidden="false" customHeight="false" outlineLevel="0" collapsed="false">
      <c r="A132" s="50" t="n">
        <v>52</v>
      </c>
      <c r="B132" s="51" t="n">
        <f aca="false">1+IF($G$6=$E$6,$F$6,IF(P132&lt;($F$6-$E$6)/($G$6-$E$6),$E$6+SQRT(P132*($G$6-$E$6)*($F$6-$E$6)),$G$6-SQRT((1-P132)*($G$6-$E$6)*($G$6-$F$6))))</f>
        <v>0.978917657807554</v>
      </c>
      <c r="C132" s="51" t="n">
        <f aca="false">1+IF($G$7=$E$7,$F$7,IF(Q132&lt;($F$7-$E$7)/($G$7-$E$7),$E$7+SQRT(Q132*($G$7-$E$7)*($F$7-$E$7)),$G$7-SQRT((1-Q132)*($G$7-$E$7)*($G$7-$F$7))))</f>
        <v>0.983129813528402</v>
      </c>
      <c r="D132" s="51" t="n">
        <f aca="false">1+IF($G$8=$E$8,$F$8,IF(R132&lt;($F$8-$E$8)/($G$8-$E$8),$E$8+SQRT(R132*($G$8-$E$8)*($F$8-$E$8)),$G$8-SQRT((1-R132)*($G$8-$E$8)*($G$8-$F$8))))</f>
        <v>1.02575209616135</v>
      </c>
      <c r="E132" s="51" t="n">
        <f aca="false">1+IF($G$9=$E$9,$F$9,IF(S132&lt;($F$9-$E$9)/($G$9-$E$9),$E$9+SQRT(S132*($G$9-$E$9)*($F$9-$E$9)),$G$9-SQRT((1-S132)*($G$9-$E$9)*($G$9-$F$9))))</f>
        <v>1.0773516003194</v>
      </c>
      <c r="F132" s="51" t="n">
        <f aca="false">1+IF($G$10=$E$10,$F$10,IF(T132&lt;($F$10-$E$10)/($G$10-$E$10),$E$10+SQRT(T132*($G$10-$E$10)*($F$10-$E$10)),$G$10-SQRT((1-T132)*($G$10-$E$10)*($G$10-$F$10))))</f>
        <v>1.10667103113258</v>
      </c>
      <c r="G132" s="52" t="n">
        <f aca="false">IF($G$11=$E$11,$F$11,IF(U132&lt;($F$11-$E$11)/($G$11-$E$11),$E$11+SQRT(U132*($G$11-$E$11)*($F$11-$E$11)),$G$11-SQRT((1-U132)*($G$11-$E$11)*($G$11-$F$11))))</f>
        <v>0.0992619803352588</v>
      </c>
      <c r="H132" s="53" t="n">
        <f aca="false">(('Business Case'!B11*$C132*'Business Case'!B12*$B132)-'Business Case'!B11*$C132*'Business Case'!B13*$D132-'Business Case'!B14*$E132)-MAX(0,(('Business Case'!B11*$C132*'Business Case'!B12*$B132)-'Business Case'!B11*$C132*'Business Case'!B13*$D132-'Business Case'!B14*$E132))*'Business Case'!$B$7-'Business Case'!$B$8*('Business Case'!B11*$C132*'Business Case'!B12*$B132)-'Business Case'!B15*$F132</f>
        <v>-2213342062.26517</v>
      </c>
      <c r="I132" s="53" t="n">
        <f aca="false">(('Business Case'!C11*$C132*'Business Case'!C12*$B132)-'Business Case'!C11*$C132*'Business Case'!C13*$D132-'Business Case'!C14*$E132)-MAX(0,(('Business Case'!C11*$C132*'Business Case'!C12*$B132)-'Business Case'!C11*$C132*'Business Case'!C13*$D132-'Business Case'!C14*$E132))*'Business Case'!$B$7-'Business Case'!$B$8*(('Business Case'!C11*$C132*'Business Case'!C12*$B132)-('Business Case'!B11*$C132*'Business Case'!B12*$B132))-'Business Case'!C15*$F132</f>
        <v>-41724446.4017238</v>
      </c>
      <c r="J132" s="53" t="n">
        <f aca="false">(('Business Case'!D11*$C132*'Business Case'!D12*$B132)-'Business Case'!D11*$C132*'Business Case'!D13*$D132-'Business Case'!D14*$E132)-MAX(0,(('Business Case'!D11*$C132*'Business Case'!D12*$B132)-'Business Case'!D11*$C132*'Business Case'!D13*$D132-'Business Case'!D14*$E132))*'Business Case'!$B$7-'Business Case'!$B$8*(('Business Case'!D11*$C132*'Business Case'!D12*$B132)-('Business Case'!C11*$C132*'Business Case'!C12*$B132))-'Business Case'!D15*$F132</f>
        <v>230308586.361489</v>
      </c>
      <c r="K132" s="53" t="n">
        <f aca="false">(('Business Case'!E11*$C132*'Business Case'!E12*$B132)-'Business Case'!E11*$C132*'Business Case'!E13*$D132-'Business Case'!E14*$E132)-MAX(0,(('Business Case'!E11*$C132*'Business Case'!E12*$B132)-'Business Case'!E11*$C132*'Business Case'!E13*$D132-'Business Case'!E14*$E132))*'Business Case'!$B$7-'Business Case'!$B$8*(('Business Case'!E11*$C132*'Business Case'!E12*$B132)-('Business Case'!D11*$C132*'Business Case'!D12*$B132))-'Business Case'!E15*$F132</f>
        <v>557675170.681331</v>
      </c>
      <c r="L132" s="53" t="n">
        <f aca="false">(('Business Case'!F11*$C132*'Business Case'!F12*$B132)-'Business Case'!F11*$C132*'Business Case'!F13*$D132-'Business Case'!F14*$E132)-MAX(0,(('Business Case'!F11*$C132*'Business Case'!F12*$B132)-'Business Case'!F11*$C132*'Business Case'!F13*$D132-'Business Case'!F14*$E132))*'Business Case'!$B$7-'Business Case'!$B$8*(('Business Case'!F11*$C132*'Business Case'!F12*$B132)-('Business Case'!E11*$C132*'Business Case'!E12*$B132))-'Business Case'!F15*$F132</f>
        <v>681613500.593242</v>
      </c>
      <c r="M132" s="53" t="n">
        <f aca="false">(('Business Case'!G11*$C132*'Business Case'!G12*$B132)-'Business Case'!G11*$C132*'Business Case'!G13*$D132-'Business Case'!G14*$E132)-MAX(0,(('Business Case'!G11*$C132*'Business Case'!G12*$B132)-'Business Case'!G11*$C132*'Business Case'!G13*$D132-'Business Case'!G14*$E132))*'Business Case'!$B$7-'Business Case'!$B$8*(('Business Case'!G11*$C132*'Business Case'!G12*$B132)-('Business Case'!F11*$C132*'Business Case'!F12*$B132))-'Business Case'!G15*$F132+'Business Case'!$B$8*('Business Case'!G11*$C132*'Business Case'!G12*$B132)</f>
        <v>864547088.376192</v>
      </c>
      <c r="N132" s="53" t="n">
        <f aca="false">IF(COUNT('Business Case'!B11:G11)=0,"",H132+NPV(G132,I132:M132))</f>
        <v>-635448561.938573</v>
      </c>
      <c r="P132" s="54" t="n">
        <f aca="true">RAND()</f>
        <v>0.361592750159164</v>
      </c>
      <c r="Q132" s="54" t="n">
        <f aca="true">RAND()</f>
        <v>0.479093265756388</v>
      </c>
      <c r="R132" s="54" t="n">
        <f aca="true">RAND()</f>
        <v>0.717035089337775</v>
      </c>
      <c r="S132" s="54" t="n">
        <f aca="true">RAND()</f>
        <v>0.965803332793863</v>
      </c>
      <c r="T132" s="54" t="n">
        <f aca="true">RAND()</f>
        <v>0.825794071402892</v>
      </c>
      <c r="U132" s="54" t="n">
        <f aca="true">RAND()</f>
        <v>0.285947599102399</v>
      </c>
    </row>
    <row r="133" customFormat="false" ht="15" hidden="false" customHeight="false" outlineLevel="0" collapsed="false">
      <c r="A133" s="50" t="n">
        <v>53</v>
      </c>
      <c r="B133" s="51" t="n">
        <f aca="false">1+IF($G$6=$E$6,$F$6,IF(P133&lt;($F$6-$E$6)/($G$6-$E$6),$E$6+SQRT(P133*($G$6-$E$6)*($F$6-$E$6)),$G$6-SQRT((1-P133)*($G$6-$E$6)*($G$6-$F$6))))</f>
        <v>0.997825038109862</v>
      </c>
      <c r="C133" s="51" t="n">
        <f aca="false">1+IF($G$7=$E$7,$F$7,IF(Q133&lt;($F$7-$E$7)/($G$7-$E$7),$E$7+SQRT(Q133*($G$7-$E$7)*($F$7-$E$7)),$G$7-SQRT((1-Q133)*($G$7-$E$7)*($G$7-$F$7))))</f>
        <v>1.05451744484232</v>
      </c>
      <c r="D133" s="51" t="n">
        <f aca="false">1+IF($G$8=$E$8,$F$8,IF(R133&lt;($F$8-$E$8)/($G$8-$E$8),$E$8+SQRT(R133*($G$8-$E$8)*($F$8-$E$8)),$G$8-SQRT((1-R133)*($G$8-$E$8)*($G$8-$F$8))))</f>
        <v>1.0478515116883</v>
      </c>
      <c r="E133" s="51" t="n">
        <f aca="false">1+IF($G$9=$E$9,$F$9,IF(S133&lt;($F$9-$E$9)/($G$9-$E$9),$E$9+SQRT(S133*($G$9-$E$9)*($F$9-$E$9)),$G$9-SQRT((1-S133)*($G$9-$E$9)*($G$9-$F$9))))</f>
        <v>0.975717823635995</v>
      </c>
      <c r="F133" s="51" t="n">
        <f aca="false">1+IF($G$10=$E$10,$F$10,IF(T133&lt;($F$10-$E$10)/($G$10-$E$10),$E$10+SQRT(T133*($G$10-$E$10)*($F$10-$E$10)),$G$10-SQRT((1-T133)*($G$10-$E$10)*($G$10-$F$10))))</f>
        <v>1.14138311753822</v>
      </c>
      <c r="G133" s="52" t="n">
        <f aca="false">IF($G$11=$E$11,$F$11,IF(U133&lt;($F$11-$E$11)/($G$11-$E$11),$E$11+SQRT(U133*($G$11-$E$11)*($F$11-$E$11)),$G$11-SQRT((1-U133)*($G$11-$E$11)*($G$11-$F$11))))</f>
        <v>0.103517501326787</v>
      </c>
      <c r="H133" s="53" t="n">
        <f aca="false">(('Business Case'!B11*$C133*'Business Case'!B12*$B133)-'Business Case'!B11*$C133*'Business Case'!B13*$D133-'Business Case'!B14*$E133)-MAX(0,(('Business Case'!B11*$C133*'Business Case'!B12*$B133)-'Business Case'!B11*$C133*'Business Case'!B13*$D133-'Business Case'!B14*$E133))*'Business Case'!$B$7-'Business Case'!$B$8*('Business Case'!B11*$C133*'Business Case'!B12*$B133)-'Business Case'!B15*$F133</f>
        <v>-2282766235.07644</v>
      </c>
      <c r="I133" s="53" t="n">
        <f aca="false">(('Business Case'!C11*$C133*'Business Case'!C12*$B133)-'Business Case'!C11*$C133*'Business Case'!C13*$D133-'Business Case'!C14*$E133)-MAX(0,(('Business Case'!C11*$C133*'Business Case'!C12*$B133)-'Business Case'!C11*$C133*'Business Case'!C13*$D133-'Business Case'!C14*$E133))*'Business Case'!$B$7-'Business Case'!$B$8*(('Business Case'!C11*$C133*'Business Case'!C12*$B133)-('Business Case'!B11*$C133*'Business Case'!B12*$B133))-'Business Case'!C15*$F133</f>
        <v>-11245715.182491</v>
      </c>
      <c r="J133" s="53" t="n">
        <f aca="false">(('Business Case'!D11*$C133*'Business Case'!D12*$B133)-'Business Case'!D11*$C133*'Business Case'!D13*$D133-'Business Case'!D14*$E133)-MAX(0,(('Business Case'!D11*$C133*'Business Case'!D12*$B133)-'Business Case'!D11*$C133*'Business Case'!D13*$D133-'Business Case'!D14*$E133))*'Business Case'!$B$7-'Business Case'!$B$8*(('Business Case'!D11*$C133*'Business Case'!D12*$B133)-('Business Case'!C11*$C133*'Business Case'!C12*$B133))-'Business Case'!D15*$F133</f>
        <v>284941243.382884</v>
      </c>
      <c r="K133" s="53" t="n">
        <f aca="false">(('Business Case'!E11*$C133*'Business Case'!E12*$B133)-'Business Case'!E11*$C133*'Business Case'!E13*$D133-'Business Case'!E14*$E133)-MAX(0,(('Business Case'!E11*$C133*'Business Case'!E12*$B133)-'Business Case'!E11*$C133*'Business Case'!E13*$D133-'Business Case'!E14*$E133))*'Business Case'!$B$7-'Business Case'!$B$8*(('Business Case'!E11*$C133*'Business Case'!E12*$B133)-('Business Case'!D11*$C133*'Business Case'!D12*$B133))-'Business Case'!E15*$F133</f>
        <v>638197357.82517</v>
      </c>
      <c r="L133" s="53" t="n">
        <f aca="false">(('Business Case'!F11*$C133*'Business Case'!F12*$B133)-'Business Case'!F11*$C133*'Business Case'!F13*$D133-'Business Case'!F14*$E133)-MAX(0,(('Business Case'!F11*$C133*'Business Case'!F12*$B133)-'Business Case'!F11*$C133*'Business Case'!F13*$D133-'Business Case'!F14*$E133))*'Business Case'!$B$7-'Business Case'!$B$8*(('Business Case'!F11*$C133*'Business Case'!F12*$B133)-('Business Case'!E11*$C133*'Business Case'!E12*$B133))-'Business Case'!F15*$F133</f>
        <v>773291202.328965</v>
      </c>
      <c r="M133" s="53" t="n">
        <f aca="false">(('Business Case'!G11*$C133*'Business Case'!G12*$B133)-'Business Case'!G11*$C133*'Business Case'!G13*$D133-'Business Case'!G14*$E133)-MAX(0,(('Business Case'!G11*$C133*'Business Case'!G12*$B133)-'Business Case'!G11*$C133*'Business Case'!G13*$D133-'Business Case'!G14*$E133))*'Business Case'!$B$7-'Business Case'!$B$8*(('Business Case'!G11*$C133*'Business Case'!G12*$B133)-('Business Case'!F11*$C133*'Business Case'!F12*$B133))-'Business Case'!G15*$F133+'Business Case'!$B$8*('Business Case'!G11*$C133*'Business Case'!G12*$B133)</f>
        <v>973297923.06332</v>
      </c>
      <c r="N133" s="53" t="n">
        <f aca="false">IF(COUNT('Business Case'!B11:G11)=0,"",H133+NPV(G133,I133:M133))</f>
        <v>-467813636.557656</v>
      </c>
      <c r="P133" s="54" t="n">
        <f aca="true">RAND()</f>
        <v>0.630910058000155</v>
      </c>
      <c r="Q133" s="54" t="n">
        <f aca="true">RAND()</f>
        <v>0.826344412582106</v>
      </c>
      <c r="R133" s="54" t="n">
        <f aca="true">RAND()</f>
        <v>0.900622567237733</v>
      </c>
      <c r="S133" s="54" t="n">
        <f aca="true">RAND()</f>
        <v>0.0881875270096217</v>
      </c>
      <c r="T133" s="54" t="n">
        <f aca="true">RAND()</f>
        <v>0.931281221809233</v>
      </c>
      <c r="U133" s="54" t="n">
        <f aca="true">RAND()</f>
        <v>0.547212062479198</v>
      </c>
    </row>
    <row r="134" customFormat="false" ht="15" hidden="false" customHeight="false" outlineLevel="0" collapsed="false">
      <c r="A134" s="50" t="n">
        <v>54</v>
      </c>
      <c r="B134" s="51" t="n">
        <f aca="false">1+IF($G$6=$E$6,$F$6,IF(P134&lt;($F$6-$E$6)/($G$6-$E$6),$E$6+SQRT(P134*($G$6-$E$6)*($F$6-$E$6)),$G$6-SQRT((1-P134)*($G$6-$E$6)*($G$6-$F$6))))</f>
        <v>0.979141633270325</v>
      </c>
      <c r="C134" s="51" t="n">
        <f aca="false">1+IF($G$7=$E$7,$F$7,IF(Q134&lt;($F$7-$E$7)/($G$7-$E$7),$E$7+SQRT(Q134*($G$7-$E$7)*($F$7-$E$7)),$G$7-SQRT((1-Q134)*($G$7-$E$7)*($G$7-$F$7))))</f>
        <v>0.994119456502035</v>
      </c>
      <c r="D134" s="51" t="n">
        <f aca="false">1+IF($G$8=$E$8,$F$8,IF(R134&lt;($F$8-$E$8)/($G$8-$E$8),$E$8+SQRT(R134*($G$8-$E$8)*($F$8-$E$8)),$G$8-SQRT((1-R134)*($G$8-$E$8)*($G$8-$F$8))))</f>
        <v>0.997307680476621</v>
      </c>
      <c r="E134" s="51" t="n">
        <f aca="false">1+IF($G$9=$E$9,$F$9,IF(S134&lt;($F$9-$E$9)/($G$9-$E$9),$E$9+SQRT(S134*($G$9-$E$9)*($F$9-$E$9)),$G$9-SQRT((1-S134)*($G$9-$E$9)*($G$9-$F$9))))</f>
        <v>1.02841219227605</v>
      </c>
      <c r="F134" s="51" t="n">
        <f aca="false">1+IF($G$10=$E$10,$F$10,IF(T134&lt;($F$10-$E$10)/($G$10-$E$10),$E$10+SQRT(T134*($G$10-$E$10)*($F$10-$E$10)),$G$10-SQRT((1-T134)*($G$10-$E$10)*($G$10-$F$10))))</f>
        <v>1.10866073115079</v>
      </c>
      <c r="G134" s="52" t="n">
        <f aca="false">IF($G$11=$E$11,$F$11,IF(U134&lt;($F$11-$E$11)/($G$11-$E$11),$E$11+SQRT(U134*($G$11-$E$11)*($F$11-$E$11)),$G$11-SQRT((1-U134)*($G$11-$E$11)*($G$11-$F$11))))</f>
        <v>0.113391145558739</v>
      </c>
      <c r="H134" s="53" t="n">
        <f aca="false">(('Business Case'!B11*$C134*'Business Case'!B12*$B134)-'Business Case'!B11*$C134*'Business Case'!B13*$D134-'Business Case'!B14*$E134)-MAX(0,(('Business Case'!B11*$C134*'Business Case'!B12*$B134)-'Business Case'!B11*$C134*'Business Case'!B13*$D134-'Business Case'!B14*$E134))*'Business Case'!$B$7-'Business Case'!$B$8*('Business Case'!B11*$C134*'Business Case'!B12*$B134)-'Business Case'!B15*$F134</f>
        <v>-2217321462.30158</v>
      </c>
      <c r="I134" s="53" t="n">
        <f aca="false">(('Business Case'!C11*$C134*'Business Case'!C12*$B134)-'Business Case'!C11*$C134*'Business Case'!C13*$D134-'Business Case'!C14*$E134)-MAX(0,(('Business Case'!C11*$C134*'Business Case'!C12*$B134)-'Business Case'!C11*$C134*'Business Case'!C13*$D134-'Business Case'!C14*$E134))*'Business Case'!$B$7-'Business Case'!$B$8*(('Business Case'!C11*$C134*'Business Case'!C12*$B134)-('Business Case'!B11*$C134*'Business Case'!B12*$B134))-'Business Case'!C15*$F134</f>
        <v>-17834611.7112175</v>
      </c>
      <c r="J134" s="53" t="n">
        <f aca="false">(('Business Case'!D11*$C134*'Business Case'!D12*$B134)-'Business Case'!D11*$C134*'Business Case'!D13*$D134-'Business Case'!D14*$E134)-MAX(0,(('Business Case'!D11*$C134*'Business Case'!D12*$B134)-'Business Case'!D11*$C134*'Business Case'!D13*$D134-'Business Case'!D14*$E134))*'Business Case'!$B$7-'Business Case'!$B$8*(('Business Case'!D11*$C134*'Business Case'!D12*$B134)-('Business Case'!C11*$C134*'Business Case'!C12*$B134))-'Business Case'!D15*$F134</f>
        <v>271897276.94644</v>
      </c>
      <c r="K134" s="53" t="n">
        <f aca="false">(('Business Case'!E11*$C134*'Business Case'!E12*$B134)-'Business Case'!E11*$C134*'Business Case'!E13*$D134-'Business Case'!E14*$E134)-MAX(0,(('Business Case'!E11*$C134*'Business Case'!E12*$B134)-'Business Case'!E11*$C134*'Business Case'!E13*$D134-'Business Case'!E14*$E134))*'Business Case'!$B$7-'Business Case'!$B$8*(('Business Case'!E11*$C134*'Business Case'!E12*$B134)-('Business Case'!D11*$C134*'Business Case'!D12*$B134))-'Business Case'!E15*$F134</f>
        <v>617062202.161636</v>
      </c>
      <c r="L134" s="53" t="n">
        <f aca="false">(('Business Case'!F11*$C134*'Business Case'!F12*$B134)-'Business Case'!F11*$C134*'Business Case'!F13*$D134-'Business Case'!F14*$E134)-MAX(0,(('Business Case'!F11*$C134*'Business Case'!F12*$B134)-'Business Case'!F11*$C134*'Business Case'!F13*$D134-'Business Case'!F14*$E134))*'Business Case'!$B$7-'Business Case'!$B$8*(('Business Case'!F11*$C134*'Business Case'!F12*$B134)-('Business Case'!E11*$C134*'Business Case'!E12*$B134))-'Business Case'!F15*$F134</f>
        <v>747279640.722283</v>
      </c>
      <c r="M134" s="53" t="n">
        <f aca="false">(('Business Case'!G11*$C134*'Business Case'!G12*$B134)-'Business Case'!G11*$C134*'Business Case'!G13*$D134-'Business Case'!G14*$E134)-MAX(0,(('Business Case'!G11*$C134*'Business Case'!G12*$B134)-'Business Case'!G11*$C134*'Business Case'!G13*$D134-'Business Case'!G14*$E134))*'Business Case'!$B$7-'Business Case'!$B$8*(('Business Case'!G11*$C134*'Business Case'!G12*$B134)-('Business Case'!F11*$C134*'Business Case'!F12*$B134))-'Business Case'!G15*$F134+'Business Case'!$B$8*('Business Case'!G11*$C134*'Business Case'!G12*$B134)</f>
        <v>932300423.600138</v>
      </c>
      <c r="N134" s="53" t="n">
        <f aca="false">IF(COUNT('Business Case'!B11:G11)=0,"",H134+NPV(G134,I134:M134))</f>
        <v>-535736920.337232</v>
      </c>
      <c r="P134" s="54" t="n">
        <f aca="true">RAND()</f>
        <v>0.364347165195996</v>
      </c>
      <c r="Q134" s="54" t="n">
        <f aca="true">RAND()</f>
        <v>0.538319477037794</v>
      </c>
      <c r="R134" s="54" t="n">
        <f aca="true">RAND()</f>
        <v>0.344310251088928</v>
      </c>
      <c r="S134" s="54" t="n">
        <f aca="true">RAND()</f>
        <v>0.658345719018547</v>
      </c>
      <c r="T134" s="54" t="n">
        <f aca="true">RAND()</f>
        <v>0.833142759321828</v>
      </c>
      <c r="U134" s="54" t="n">
        <f aca="true">RAND()</f>
        <v>0.927205071623705</v>
      </c>
    </row>
    <row r="135" customFormat="false" ht="15" hidden="false" customHeight="false" outlineLevel="0" collapsed="false">
      <c r="A135" s="50" t="n">
        <v>55</v>
      </c>
      <c r="B135" s="51" t="n">
        <f aca="false">1+IF($G$6=$E$6,$F$6,IF(P135&lt;($F$6-$E$6)/($G$6-$E$6),$E$6+SQRT(P135*($G$6-$E$6)*($F$6-$E$6)),$G$6-SQRT((1-P135)*($G$6-$E$6)*($G$6-$F$6))))</f>
        <v>0.98750740868788</v>
      </c>
      <c r="C135" s="51" t="n">
        <f aca="false">1+IF($G$7=$E$7,$F$7,IF(Q135&lt;($F$7-$E$7)/($G$7-$E$7),$E$7+SQRT(Q135*($G$7-$E$7)*($F$7-$E$7)),$G$7-SQRT((1-Q135)*($G$7-$E$7)*($G$7-$F$7))))</f>
        <v>1.04539141868346</v>
      </c>
      <c r="D135" s="51" t="n">
        <f aca="false">1+IF($G$8=$E$8,$F$8,IF(R135&lt;($F$8-$E$8)/($G$8-$E$8),$E$8+SQRT(R135*($G$8-$E$8)*($F$8-$E$8)),$G$8-SQRT((1-R135)*($G$8-$E$8)*($G$8-$F$8))))</f>
        <v>1.05616424012306</v>
      </c>
      <c r="E135" s="51" t="n">
        <f aca="false">1+IF($G$9=$E$9,$F$9,IF(S135&lt;($F$9-$E$9)/($G$9-$E$9),$E$9+SQRT(S135*($G$9-$E$9)*($F$9-$E$9)),$G$9-SQRT((1-S135)*($G$9-$E$9)*($G$9-$F$9))))</f>
        <v>1.02594484226344</v>
      </c>
      <c r="F135" s="51" t="n">
        <f aca="false">1+IF($G$10=$E$10,$F$10,IF(T135&lt;($F$10-$E$10)/($G$10-$E$10),$E$10+SQRT(T135*($G$10-$E$10)*($F$10-$E$10)),$G$10-SQRT((1-T135)*($G$10-$E$10)*($G$10-$F$10))))</f>
        <v>0.99868160986567</v>
      </c>
      <c r="G135" s="52" t="n">
        <f aca="false">IF($G$11=$E$11,$F$11,IF(U135&lt;($F$11-$E$11)/($G$11-$E$11),$E$11+SQRT(U135*($G$11-$E$11)*($F$11-$E$11)),$G$11-SQRT((1-U135)*($G$11-$E$11)*($G$11-$F$11))))</f>
        <v>0.107978892049859</v>
      </c>
      <c r="H135" s="53" t="n">
        <f aca="false">(('Business Case'!B11*$C135*'Business Case'!B12*$B135)-'Business Case'!B11*$C135*'Business Case'!B13*$D135-'Business Case'!B14*$E135)-MAX(0,(('Business Case'!B11*$C135*'Business Case'!B12*$B135)-'Business Case'!B11*$C135*'Business Case'!B13*$D135-'Business Case'!B14*$E135))*'Business Case'!$B$7-'Business Case'!$B$8*('Business Case'!B11*$C135*'Business Case'!B12*$B135)-'Business Case'!B15*$F135</f>
        <v>-1997363219.73134</v>
      </c>
      <c r="I135" s="53" t="n">
        <f aca="false">(('Business Case'!C11*$C135*'Business Case'!C12*$B135)-'Business Case'!C11*$C135*'Business Case'!C13*$D135-'Business Case'!C14*$E135)-MAX(0,(('Business Case'!C11*$C135*'Business Case'!C12*$B135)-'Business Case'!C11*$C135*'Business Case'!C13*$D135-'Business Case'!C14*$E135))*'Business Case'!$B$7-'Business Case'!$B$8*(('Business Case'!C11*$C135*'Business Case'!C12*$B135)-('Business Case'!B11*$C135*'Business Case'!B12*$B135))-'Business Case'!C15*$F135</f>
        <v>-18932996.9532639</v>
      </c>
      <c r="J135" s="53" t="n">
        <f aca="false">(('Business Case'!D11*$C135*'Business Case'!D12*$B135)-'Business Case'!D11*$C135*'Business Case'!D13*$D135-'Business Case'!D14*$E135)-MAX(0,(('Business Case'!D11*$C135*'Business Case'!D12*$B135)-'Business Case'!D11*$C135*'Business Case'!D13*$D135-'Business Case'!D14*$E135))*'Business Case'!$B$7-'Business Case'!$B$8*(('Business Case'!D11*$C135*'Business Case'!D12*$B135)-('Business Case'!C11*$C135*'Business Case'!C12*$B135))-'Business Case'!D15*$F135</f>
        <v>261407602.654841</v>
      </c>
      <c r="K135" s="53" t="n">
        <f aca="false">(('Business Case'!E11*$C135*'Business Case'!E12*$B135)-'Business Case'!E11*$C135*'Business Case'!E13*$D135-'Business Case'!E14*$E135)-MAX(0,(('Business Case'!E11*$C135*'Business Case'!E12*$B135)-'Business Case'!E11*$C135*'Business Case'!E13*$D135-'Business Case'!E14*$E135))*'Business Case'!$B$7-'Business Case'!$B$8*(('Business Case'!E11*$C135*'Business Case'!E12*$B135)-('Business Case'!D11*$C135*'Business Case'!D12*$B135))-'Business Case'!E15*$F135</f>
        <v>591682282.75623</v>
      </c>
      <c r="L135" s="53" t="n">
        <f aca="false">(('Business Case'!F11*$C135*'Business Case'!F12*$B135)-'Business Case'!F11*$C135*'Business Case'!F13*$D135-'Business Case'!F14*$E135)-MAX(0,(('Business Case'!F11*$C135*'Business Case'!F12*$B135)-'Business Case'!F11*$C135*'Business Case'!F13*$D135-'Business Case'!F14*$E135))*'Business Case'!$B$7-'Business Case'!$B$8*(('Business Case'!F11*$C135*'Business Case'!F12*$B135)-('Business Case'!E11*$C135*'Business Case'!E12*$B135))-'Business Case'!F15*$F135</f>
        <v>720806535.295559</v>
      </c>
      <c r="M135" s="53" t="n">
        <f aca="false">(('Business Case'!G11*$C135*'Business Case'!G12*$B135)-'Business Case'!G11*$C135*'Business Case'!G13*$D135-'Business Case'!G14*$E135)-MAX(0,(('Business Case'!G11*$C135*'Business Case'!G12*$B135)-'Business Case'!G11*$C135*'Business Case'!G13*$D135-'Business Case'!G14*$E135))*'Business Case'!$B$7-'Business Case'!$B$8*(('Business Case'!G11*$C135*'Business Case'!G12*$B135)-('Business Case'!F11*$C135*'Business Case'!F12*$B135))-'Business Case'!G15*$F135+'Business Case'!$B$8*('Business Case'!G11*$C135*'Business Case'!G12*$B135)</f>
        <v>917032158.313676</v>
      </c>
      <c r="N135" s="53" t="n">
        <f aca="false">IF(COUNT('Business Case'!B11:G11)=0,"",H135+NPV(G135,I135:M135))</f>
        <v>-339019896.330406</v>
      </c>
      <c r="P135" s="54" t="n">
        <f aca="true">RAND()</f>
        <v>0.474713565390879</v>
      </c>
      <c r="Q135" s="54" t="n">
        <f aca="true">RAND()</f>
        <v>0.791562756475045</v>
      </c>
      <c r="R135" s="54" t="n">
        <f aca="true">RAND()</f>
        <v>0.945370822220088</v>
      </c>
      <c r="S135" s="54" t="n">
        <f aca="true">RAND()</f>
        <v>0.634388907507536</v>
      </c>
      <c r="T135" s="54" t="n">
        <f aca="true">RAND()</f>
        <v>0.189591931129068</v>
      </c>
      <c r="U135" s="54" t="n">
        <f aca="true">RAND()</f>
        <v>0.759154939418432</v>
      </c>
    </row>
    <row r="136" customFormat="false" ht="15" hidden="false" customHeight="false" outlineLevel="0" collapsed="false">
      <c r="A136" s="50" t="n">
        <v>56</v>
      </c>
      <c r="B136" s="51" t="n">
        <f aca="false">1+IF($G$6=$E$6,$F$6,IF(P136&lt;($F$6-$E$6)/($G$6-$E$6),$E$6+SQRT(P136*($G$6-$E$6)*($F$6-$E$6)),$G$6-SQRT((1-P136)*($G$6-$E$6)*($G$6-$F$6))))</f>
        <v>0.984433020255638</v>
      </c>
      <c r="C136" s="51" t="n">
        <f aca="false">1+IF($G$7=$E$7,$F$7,IF(Q136&lt;($F$7-$E$7)/($G$7-$E$7),$E$7+SQRT(Q136*($G$7-$E$7)*($F$7-$E$7)),$G$7-SQRT((1-Q136)*($G$7-$E$7)*($G$7-$F$7))))</f>
        <v>1.08258230025039</v>
      </c>
      <c r="D136" s="51" t="n">
        <f aca="false">1+IF($G$8=$E$8,$F$8,IF(R136&lt;($F$8-$E$8)/($G$8-$E$8),$E$8+SQRT(R136*($G$8-$E$8)*($F$8-$E$8)),$G$8-SQRT((1-R136)*($G$8-$E$8)*($G$8-$F$8))))</f>
        <v>0.971562854669074</v>
      </c>
      <c r="E136" s="51" t="n">
        <f aca="false">1+IF($G$9=$E$9,$F$9,IF(S136&lt;($F$9-$E$9)/($G$9-$E$9),$E$9+SQRT(S136*($G$9-$E$9)*($F$9-$E$9)),$G$9-SQRT((1-S136)*($G$9-$E$9)*($G$9-$F$9))))</f>
        <v>0.987610500938597</v>
      </c>
      <c r="F136" s="51" t="n">
        <f aca="false">1+IF($G$10=$E$10,$F$10,IF(T136&lt;($F$10-$E$10)/($G$10-$E$10),$E$10+SQRT(T136*($G$10-$E$10)*($F$10-$E$10)),$G$10-SQRT((1-T136)*($G$10-$E$10)*($G$10-$F$10))))</f>
        <v>1.11126894393866</v>
      </c>
      <c r="G136" s="52" t="n">
        <f aca="false">IF($G$11=$E$11,$F$11,IF(U136&lt;($F$11-$E$11)/($G$11-$E$11),$E$11+SQRT(U136*($G$11-$E$11)*($F$11-$E$11)),$G$11-SQRT((1-U136)*($G$11-$E$11)*($G$11-$F$11))))</f>
        <v>0.111380150236224</v>
      </c>
      <c r="H136" s="53" t="n">
        <f aca="false">(('Business Case'!B11*$C136*'Business Case'!B12*$B136)-'Business Case'!B11*$C136*'Business Case'!B13*$D136-'Business Case'!B14*$E136)-MAX(0,(('Business Case'!B11*$C136*'Business Case'!B12*$B136)-'Business Case'!B11*$C136*'Business Case'!B13*$D136-'Business Case'!B14*$E136))*'Business Case'!$B$7-'Business Case'!$B$8*('Business Case'!B11*$C136*'Business Case'!B12*$B136)-'Business Case'!B15*$F136</f>
        <v>-2222537887.87732</v>
      </c>
      <c r="I136" s="53" t="n">
        <f aca="false">(('Business Case'!C11*$C136*'Business Case'!C12*$B136)-'Business Case'!C11*$C136*'Business Case'!C13*$D136-'Business Case'!C14*$E136)-MAX(0,(('Business Case'!C11*$C136*'Business Case'!C12*$B136)-'Business Case'!C11*$C136*'Business Case'!C13*$D136-'Business Case'!C14*$E136))*'Business Case'!$B$7-'Business Case'!$B$8*(('Business Case'!C11*$C136*'Business Case'!C12*$B136)-('Business Case'!B11*$C136*'Business Case'!B12*$B136))-'Business Case'!C15*$F136</f>
        <v>27661078.0072917</v>
      </c>
      <c r="J136" s="53" t="n">
        <f aca="false">(('Business Case'!D11*$C136*'Business Case'!D12*$B136)-'Business Case'!D11*$C136*'Business Case'!D13*$D136-'Business Case'!D14*$E136)-MAX(0,(('Business Case'!D11*$C136*'Business Case'!D12*$B136)-'Business Case'!D11*$C136*'Business Case'!D13*$D136-'Business Case'!D14*$E136))*'Business Case'!$B$7-'Business Case'!$B$8*(('Business Case'!D11*$C136*'Business Case'!D12*$B136)-('Business Case'!C11*$C136*'Business Case'!C12*$B136))-'Business Case'!D15*$F136</f>
        <v>362134694.582318</v>
      </c>
      <c r="K136" s="53" t="n">
        <f aca="false">(('Business Case'!E11*$C136*'Business Case'!E12*$B136)-'Business Case'!E11*$C136*'Business Case'!E13*$D136-'Business Case'!E14*$E136)-MAX(0,(('Business Case'!E11*$C136*'Business Case'!E12*$B136)-'Business Case'!E11*$C136*'Business Case'!E13*$D136-'Business Case'!E14*$E136))*'Business Case'!$B$7-'Business Case'!$B$8*(('Business Case'!E11*$C136*'Business Case'!E12*$B136)-('Business Case'!D11*$C136*'Business Case'!D12*$B136))-'Business Case'!E15*$F136</f>
        <v>752171758.354276</v>
      </c>
      <c r="L136" s="53" t="n">
        <f aca="false">(('Business Case'!F11*$C136*'Business Case'!F12*$B136)-'Business Case'!F11*$C136*'Business Case'!F13*$D136-'Business Case'!F14*$E136)-MAX(0,(('Business Case'!F11*$C136*'Business Case'!F12*$B136)-'Business Case'!F11*$C136*'Business Case'!F13*$D136-'Business Case'!F14*$E136))*'Business Case'!$B$7-'Business Case'!$B$8*(('Business Case'!F11*$C136*'Business Case'!F12*$B136)-('Business Case'!E11*$C136*'Business Case'!E12*$B136))-'Business Case'!F15*$F136</f>
        <v>900494584.506218</v>
      </c>
      <c r="M136" s="53" t="n">
        <f aca="false">(('Business Case'!G11*$C136*'Business Case'!G12*$B136)-'Business Case'!G11*$C136*'Business Case'!G13*$D136-'Business Case'!G14*$E136)-MAX(0,(('Business Case'!G11*$C136*'Business Case'!G12*$B136)-'Business Case'!G11*$C136*'Business Case'!G13*$D136-'Business Case'!G14*$E136))*'Business Case'!$B$7-'Business Case'!$B$8*(('Business Case'!G11*$C136*'Business Case'!G12*$B136)-('Business Case'!F11*$C136*'Business Case'!F12*$B136))-'Business Case'!G15*$F136+'Business Case'!$B$8*('Business Case'!G11*$C136*'Business Case'!G12*$B136)</f>
        <v>1103068497.95435</v>
      </c>
      <c r="N136" s="53" t="n">
        <f aca="false">IF(COUNT('Business Case'!B11:G11)=0,"",H136+NPV(G136,I136:M136))</f>
        <v>-115721218.227036</v>
      </c>
      <c r="P136" s="54" t="n">
        <f aca="true">RAND()</f>
        <v>0.432459802006607</v>
      </c>
      <c r="Q136" s="54" t="n">
        <f aca="true">RAND()</f>
        <v>0.913425785913751</v>
      </c>
      <c r="R136" s="54" t="n">
        <f aca="true">RAND()</f>
        <v>0.0715318002276296</v>
      </c>
      <c r="S136" s="54" t="n">
        <f aca="true">RAND()</f>
        <v>0.188606637446961</v>
      </c>
      <c r="T136" s="54" t="n">
        <f aca="true">RAND()</f>
        <v>0.84253599380479</v>
      </c>
      <c r="U136" s="54" t="n">
        <f aca="true">RAND()</f>
        <v>0.876163650083211</v>
      </c>
    </row>
    <row r="137" customFormat="false" ht="15" hidden="false" customHeight="false" outlineLevel="0" collapsed="false">
      <c r="A137" s="50" t="n">
        <v>57</v>
      </c>
      <c r="B137" s="51" t="n">
        <f aca="false">1+IF($G$6=$E$6,$F$6,IF(P137&lt;($F$6-$E$6)/($G$6-$E$6),$E$6+SQRT(P137*($G$6-$E$6)*($F$6-$E$6)),$G$6-SQRT((1-P137)*($G$6-$E$6)*($G$6-$F$6))))</f>
        <v>0.989948648950558</v>
      </c>
      <c r="C137" s="51" t="n">
        <f aca="false">1+IF($G$7=$E$7,$F$7,IF(Q137&lt;($F$7-$E$7)/($G$7-$E$7),$E$7+SQRT(Q137*($G$7-$E$7)*($F$7-$E$7)),$G$7-SQRT((1-Q137)*($G$7-$E$7)*($G$7-$F$7))))</f>
        <v>0.913994081306499</v>
      </c>
      <c r="D137" s="51" t="n">
        <f aca="false">1+IF($G$8=$E$8,$F$8,IF(R137&lt;($F$8-$E$8)/($G$8-$E$8),$E$8+SQRT(R137*($G$8-$E$8)*($F$8-$E$8)),$G$8-SQRT((1-R137)*($G$8-$E$8)*($G$8-$F$8))))</f>
        <v>0.980755360459128</v>
      </c>
      <c r="E137" s="51" t="n">
        <f aca="false">1+IF($G$9=$E$9,$F$9,IF(S137&lt;($F$9-$E$9)/($G$9-$E$9),$E$9+SQRT(S137*($G$9-$E$9)*($F$9-$E$9)),$G$9-SQRT((1-S137)*($G$9-$E$9)*($G$9-$F$9))))</f>
        <v>0.993935777169569</v>
      </c>
      <c r="F137" s="51" t="n">
        <f aca="false">1+IF($G$10=$E$10,$F$10,IF(T137&lt;($F$10-$E$10)/($G$10-$E$10),$E$10+SQRT(T137*($G$10-$E$10)*($F$10-$E$10)),$G$10-SQRT((1-T137)*($G$10-$E$10)*($G$10-$F$10))))</f>
        <v>1.01917680337182</v>
      </c>
      <c r="G137" s="52" t="n">
        <f aca="false">IF($G$11=$E$11,$F$11,IF(U137&lt;($F$11-$E$11)/($G$11-$E$11),$E$11+SQRT(U137*($G$11-$E$11)*($F$11-$E$11)),$G$11-SQRT((1-U137)*($G$11-$E$11)*($G$11-$F$11))))</f>
        <v>0.103699759530714</v>
      </c>
      <c r="H137" s="53" t="n">
        <f aca="false">(('Business Case'!B11*$C137*'Business Case'!B12*$B137)-'Business Case'!B11*$C137*'Business Case'!B13*$D137-'Business Case'!B14*$E137)-MAX(0,(('Business Case'!B11*$C137*'Business Case'!B12*$B137)-'Business Case'!B11*$C137*'Business Case'!B13*$D137-'Business Case'!B14*$E137))*'Business Case'!$B$7-'Business Case'!$B$8*('Business Case'!B11*$C137*'Business Case'!B12*$B137)-'Business Case'!B15*$F137</f>
        <v>-2038353606.74364</v>
      </c>
      <c r="I137" s="53" t="n">
        <f aca="false">(('Business Case'!C11*$C137*'Business Case'!C12*$B137)-'Business Case'!C11*$C137*'Business Case'!C13*$D137-'Business Case'!C14*$E137)-MAX(0,(('Business Case'!C11*$C137*'Business Case'!C12*$B137)-'Business Case'!C11*$C137*'Business Case'!C13*$D137-'Business Case'!C14*$E137))*'Business Case'!$B$7-'Business Case'!$B$8*(('Business Case'!C11*$C137*'Business Case'!C12*$B137)-('Business Case'!B11*$C137*'Business Case'!B12*$B137))-'Business Case'!C15*$F137</f>
        <v>-7945745.72742651</v>
      </c>
      <c r="J137" s="53" t="n">
        <f aca="false">(('Business Case'!D11*$C137*'Business Case'!D12*$B137)-'Business Case'!D11*$C137*'Business Case'!D13*$D137-'Business Case'!D14*$E137)-MAX(0,(('Business Case'!D11*$C137*'Business Case'!D12*$B137)-'Business Case'!D11*$C137*'Business Case'!D13*$D137-'Business Case'!D14*$E137))*'Business Case'!$B$7-'Business Case'!$B$8*(('Business Case'!D11*$C137*'Business Case'!D12*$B137)-('Business Case'!C11*$C137*'Business Case'!C12*$B137))-'Business Case'!D15*$F137</f>
        <v>274269061.951676</v>
      </c>
      <c r="K137" s="53" t="n">
        <f aca="false">(('Business Case'!E11*$C137*'Business Case'!E12*$B137)-'Business Case'!E11*$C137*'Business Case'!E13*$D137-'Business Case'!E14*$E137)-MAX(0,(('Business Case'!E11*$C137*'Business Case'!E12*$B137)-'Business Case'!E11*$C137*'Business Case'!E13*$D137-'Business Case'!E14*$E137))*'Business Case'!$B$7-'Business Case'!$B$8*(('Business Case'!E11*$C137*'Business Case'!E12*$B137)-('Business Case'!D11*$C137*'Business Case'!D12*$B137))-'Business Case'!E15*$F137</f>
        <v>607442709.79937</v>
      </c>
      <c r="L137" s="53" t="n">
        <f aca="false">(('Business Case'!F11*$C137*'Business Case'!F12*$B137)-'Business Case'!F11*$C137*'Business Case'!F13*$D137-'Business Case'!F14*$E137)-MAX(0,(('Business Case'!F11*$C137*'Business Case'!F12*$B137)-'Business Case'!F11*$C137*'Business Case'!F13*$D137-'Business Case'!F14*$E137))*'Business Case'!$B$7-'Business Case'!$B$8*(('Business Case'!F11*$C137*'Business Case'!F12*$B137)-('Business Case'!E11*$C137*'Business Case'!E12*$B137))-'Business Case'!F15*$F137</f>
        <v>732784449.396294</v>
      </c>
      <c r="M137" s="53" t="n">
        <f aca="false">(('Business Case'!G11*$C137*'Business Case'!G12*$B137)-'Business Case'!G11*$C137*'Business Case'!G13*$D137-'Business Case'!G14*$E137)-MAX(0,(('Business Case'!G11*$C137*'Business Case'!G12*$B137)-'Business Case'!G11*$C137*'Business Case'!G13*$D137-'Business Case'!G14*$E137))*'Business Case'!$B$7-'Business Case'!$B$8*(('Business Case'!G11*$C137*'Business Case'!G12*$B137)-('Business Case'!F11*$C137*'Business Case'!F12*$B137))-'Business Case'!G15*$F137+'Business Case'!$B$8*('Business Case'!G11*$C137*'Business Case'!G12*$B137)</f>
        <v>904770203.101023</v>
      </c>
      <c r="N137" s="53" t="n">
        <f aca="false">IF(COUNT('Business Case'!B11:G11)=0,"",H137+NPV(G137,I137:M137))</f>
        <v>-322332447.776488</v>
      </c>
      <c r="P137" s="54" t="n">
        <f aca="true">RAND()</f>
        <v>0.509668071875875</v>
      </c>
      <c r="Q137" s="54" t="n">
        <f aca="true">RAND()</f>
        <v>0.185637865327323</v>
      </c>
      <c r="R137" s="54" t="n">
        <f aca="true">RAND()</f>
        <v>0.145521876457057</v>
      </c>
      <c r="S137" s="54" t="n">
        <f aca="true">RAND()</f>
        <v>0.2573803353992</v>
      </c>
      <c r="T137" s="54" t="n">
        <f aca="true">RAND()</f>
        <v>0.346059431223314</v>
      </c>
      <c r="U137" s="54" t="n">
        <f aca="true">RAND()</f>
        <v>0.557170267739098</v>
      </c>
    </row>
    <row r="138" customFormat="false" ht="15" hidden="false" customHeight="false" outlineLevel="0" collapsed="false">
      <c r="A138" s="50" t="n">
        <v>58</v>
      </c>
      <c r="B138" s="51" t="n">
        <f aca="false">1+IF($G$6=$E$6,$F$6,IF(P138&lt;($F$6-$E$6)/($G$6-$E$6),$E$6+SQRT(P138*($G$6-$E$6)*($F$6-$E$6)),$G$6-SQRT((1-P138)*($G$6-$E$6)*($G$6-$F$6))))</f>
        <v>0.959496913138801</v>
      </c>
      <c r="C138" s="51" t="n">
        <f aca="false">1+IF($G$7=$E$7,$F$7,IF(Q138&lt;($F$7-$E$7)/($G$7-$E$7),$E$7+SQRT(Q138*($G$7-$E$7)*($F$7-$E$7)),$G$7-SQRT((1-Q138)*($G$7-$E$7)*($G$7-$F$7))))</f>
        <v>1.02676464990647</v>
      </c>
      <c r="D138" s="51" t="n">
        <f aca="false">1+IF($G$8=$E$8,$F$8,IF(R138&lt;($F$8-$E$8)/($G$8-$E$8),$E$8+SQRT(R138*($G$8-$E$8)*($F$8-$E$8)),$G$8-SQRT((1-R138)*($G$8-$E$8)*($G$8-$F$8))))</f>
        <v>0.993193953918366</v>
      </c>
      <c r="E138" s="51" t="n">
        <f aca="false">1+IF($G$9=$E$9,$F$9,IF(S138&lt;($F$9-$E$9)/($G$9-$E$9),$E$9+SQRT(S138*($G$9-$E$9)*($F$9-$E$9)),$G$9-SQRT((1-S138)*($G$9-$E$9)*($G$9-$F$9))))</f>
        <v>1.02380420528547</v>
      </c>
      <c r="F138" s="51" t="n">
        <f aca="false">1+IF($G$10=$E$10,$F$10,IF(T138&lt;($F$10-$E$10)/($G$10-$E$10),$E$10+SQRT(T138*($G$10-$E$10)*($F$10-$E$10)),$G$10-SQRT((1-T138)*($G$10-$E$10)*($G$10-$F$10))))</f>
        <v>1.11770197219968</v>
      </c>
      <c r="G138" s="52" t="n">
        <f aca="false">IF($G$11=$E$11,$F$11,IF(U138&lt;($F$11-$E$11)/($G$11-$E$11),$E$11+SQRT(U138*($G$11-$E$11)*($F$11-$E$11)),$G$11-SQRT((1-U138)*($G$11-$E$11)*($G$11-$F$11))))</f>
        <v>0.10936017929609</v>
      </c>
      <c r="H138" s="53" t="n">
        <f aca="false">(('Business Case'!B11*$C138*'Business Case'!B12*$B138)-'Business Case'!B11*$C138*'Business Case'!B13*$D138-'Business Case'!B14*$E138)-MAX(0,(('Business Case'!B11*$C138*'Business Case'!B12*$B138)-'Business Case'!B11*$C138*'Business Case'!B13*$D138-'Business Case'!B14*$E138))*'Business Case'!$B$7-'Business Case'!$B$8*('Business Case'!B11*$C138*'Business Case'!B12*$B138)-'Business Case'!B15*$F138</f>
        <v>-2235403944.39935</v>
      </c>
      <c r="I138" s="53" t="n">
        <f aca="false">(('Business Case'!C11*$C138*'Business Case'!C12*$B138)-'Business Case'!C11*$C138*'Business Case'!C13*$D138-'Business Case'!C14*$E138)-MAX(0,(('Business Case'!C11*$C138*'Business Case'!C12*$B138)-'Business Case'!C11*$C138*'Business Case'!C13*$D138-'Business Case'!C14*$E138))*'Business Case'!$B$7-'Business Case'!$B$8*(('Business Case'!C11*$C138*'Business Case'!C12*$B138)-('Business Case'!B11*$C138*'Business Case'!B12*$B138))-'Business Case'!C15*$F138</f>
        <v>-23539398.6293135</v>
      </c>
      <c r="J138" s="53" t="n">
        <f aca="false">(('Business Case'!D11*$C138*'Business Case'!D12*$B138)-'Business Case'!D11*$C138*'Business Case'!D13*$D138-'Business Case'!D14*$E138)-MAX(0,(('Business Case'!D11*$C138*'Business Case'!D12*$B138)-'Business Case'!D11*$C138*'Business Case'!D13*$D138-'Business Case'!D14*$E138))*'Business Case'!$B$7-'Business Case'!$B$8*(('Business Case'!D11*$C138*'Business Case'!D12*$B138)-('Business Case'!C11*$C138*'Business Case'!C12*$B138))-'Business Case'!D15*$F138</f>
        <v>261347960.180473</v>
      </c>
      <c r="K138" s="53" t="n">
        <f aca="false">(('Business Case'!E11*$C138*'Business Case'!E12*$B138)-'Business Case'!E11*$C138*'Business Case'!E13*$D138-'Business Case'!E14*$E138)-MAX(0,(('Business Case'!E11*$C138*'Business Case'!E12*$B138)-'Business Case'!E11*$C138*'Business Case'!E13*$D138-'Business Case'!E14*$E138))*'Business Case'!$B$7-'Business Case'!$B$8*(('Business Case'!E11*$C138*'Business Case'!E12*$B138)-('Business Case'!D11*$C138*'Business Case'!D12*$B138))-'Business Case'!E15*$F138</f>
        <v>602120417.600243</v>
      </c>
      <c r="L138" s="53" t="n">
        <f aca="false">(('Business Case'!F11*$C138*'Business Case'!F12*$B138)-'Business Case'!F11*$C138*'Business Case'!F13*$D138-'Business Case'!F14*$E138)-MAX(0,(('Business Case'!F11*$C138*'Business Case'!F12*$B138)-'Business Case'!F11*$C138*'Business Case'!F13*$D138-'Business Case'!F14*$E138))*'Business Case'!$B$7-'Business Case'!$B$8*(('Business Case'!F11*$C138*'Business Case'!F12*$B138)-('Business Case'!E11*$C138*'Business Case'!E12*$B138))-'Business Case'!F15*$F138</f>
        <v>731130605.355199</v>
      </c>
      <c r="M138" s="53" t="n">
        <f aca="false">(('Business Case'!G11*$C138*'Business Case'!G12*$B138)-'Business Case'!G11*$C138*'Business Case'!G13*$D138-'Business Case'!G14*$E138)-MAX(0,(('Business Case'!G11*$C138*'Business Case'!G12*$B138)-'Business Case'!G11*$C138*'Business Case'!G13*$D138-'Business Case'!G14*$E138))*'Business Case'!$B$7-'Business Case'!$B$8*(('Business Case'!G11*$C138*'Business Case'!G12*$B138)-('Business Case'!F11*$C138*'Business Case'!F12*$B138))-'Business Case'!G15*$F138+'Business Case'!$B$8*('Business Case'!G11*$C138*'Business Case'!G12*$B138)</f>
        <v>918393146.856175</v>
      </c>
      <c r="N138" s="53" t="n">
        <f aca="false">IF(COUNT('Business Case'!B11:G11)=0,"",H138+NPV(G138,I138:M138))</f>
        <v>-573909191.031558</v>
      </c>
      <c r="P138" s="54" t="n">
        <f aca="true">RAND()</f>
        <v>0.162500640363961</v>
      </c>
      <c r="Q138" s="54" t="n">
        <f aca="true">RAND()</f>
        <v>0.710724733091921</v>
      </c>
      <c r="R138" s="54" t="n">
        <f aca="true">RAND()</f>
        <v>0.287033485400291</v>
      </c>
      <c r="S138" s="54" t="n">
        <f aca="true">RAND()</f>
        <v>0.612946724521404</v>
      </c>
      <c r="T138" s="54" t="n">
        <f aca="true">RAND()</f>
        <v>0.864540692403542</v>
      </c>
      <c r="U138" s="54" t="n">
        <f aca="true">RAND()</f>
        <v>0.811323692314428</v>
      </c>
    </row>
    <row r="139" customFormat="false" ht="15" hidden="false" customHeight="false" outlineLevel="0" collapsed="false">
      <c r="A139" s="50" t="n">
        <v>59</v>
      </c>
      <c r="B139" s="51" t="n">
        <f aca="false">1+IF($G$6=$E$6,$F$6,IF(P139&lt;($F$6-$E$6)/($G$6-$E$6),$E$6+SQRT(P139*($G$6-$E$6)*($F$6-$E$6)),$G$6-SQRT((1-P139)*($G$6-$E$6)*($G$6-$F$6))))</f>
        <v>1.00861611123522</v>
      </c>
      <c r="C139" s="51" t="n">
        <f aca="false">1+IF($G$7=$E$7,$F$7,IF(Q139&lt;($F$7-$E$7)/($G$7-$E$7),$E$7+SQRT(Q139*($G$7-$E$7)*($F$7-$E$7)),$G$7-SQRT((1-Q139)*($G$7-$E$7)*($G$7-$F$7))))</f>
        <v>0.918426459607998</v>
      </c>
      <c r="D139" s="51" t="n">
        <f aca="false">1+IF($G$8=$E$8,$F$8,IF(R139&lt;($F$8-$E$8)/($G$8-$E$8),$E$8+SQRT(R139*($G$8-$E$8)*($F$8-$E$8)),$G$8-SQRT((1-R139)*($G$8-$E$8)*($G$8-$F$8))))</f>
        <v>1.01092580453249</v>
      </c>
      <c r="E139" s="51" t="n">
        <f aca="false">1+IF($G$9=$E$9,$F$9,IF(S139&lt;($F$9-$E$9)/($G$9-$E$9),$E$9+SQRT(S139*($G$9-$E$9)*($F$9-$E$9)),$G$9-SQRT((1-S139)*($G$9-$E$9)*($G$9-$F$9))))</f>
        <v>1.02387319228312</v>
      </c>
      <c r="F139" s="51" t="n">
        <f aca="false">1+IF($G$10=$E$10,$F$10,IF(T139&lt;($F$10-$E$10)/($G$10-$E$10),$E$10+SQRT(T139*($G$10-$E$10)*($F$10-$E$10)),$G$10-SQRT((1-T139)*($G$10-$E$10)*($G$10-$F$10))))</f>
        <v>1.06544581042704</v>
      </c>
      <c r="G139" s="52" t="n">
        <f aca="false">IF($G$11=$E$11,$F$11,IF(U139&lt;($F$11-$E$11)/($G$11-$E$11),$E$11+SQRT(U139*($G$11-$E$11)*($F$11-$E$11)),$G$11-SQRT((1-U139)*($G$11-$E$11)*($G$11-$F$11))))</f>
        <v>0.103253060501567</v>
      </c>
      <c r="H139" s="53" t="n">
        <f aca="false">(('Business Case'!B11*$C139*'Business Case'!B12*$B139)-'Business Case'!B11*$C139*'Business Case'!B13*$D139-'Business Case'!B14*$E139)-MAX(0,(('Business Case'!B11*$C139*'Business Case'!B12*$B139)-'Business Case'!B11*$C139*'Business Case'!B13*$D139-'Business Case'!B14*$E139))*'Business Case'!$B$7-'Business Case'!$B$8*('Business Case'!B11*$C139*'Business Case'!B12*$B139)-'Business Case'!B15*$F139</f>
        <v>-2130891620.85407</v>
      </c>
      <c r="I139" s="53" t="n">
        <f aca="false">(('Business Case'!C11*$C139*'Business Case'!C12*$B139)-'Business Case'!C11*$C139*'Business Case'!C13*$D139-'Business Case'!C14*$E139)-MAX(0,(('Business Case'!C11*$C139*'Business Case'!C12*$B139)-'Business Case'!C11*$C139*'Business Case'!C13*$D139-'Business Case'!C14*$E139))*'Business Case'!$B$7-'Business Case'!$B$8*(('Business Case'!C11*$C139*'Business Case'!C12*$B139)-('Business Case'!B11*$C139*'Business Case'!B12*$B139))-'Business Case'!C15*$F139</f>
        <v>-16719628.7518417</v>
      </c>
      <c r="J139" s="53" t="n">
        <f aca="false">(('Business Case'!D11*$C139*'Business Case'!D12*$B139)-'Business Case'!D11*$C139*'Business Case'!D13*$D139-'Business Case'!D14*$E139)-MAX(0,(('Business Case'!D11*$C139*'Business Case'!D12*$B139)-'Business Case'!D11*$C139*'Business Case'!D13*$D139-'Business Case'!D14*$E139))*'Business Case'!$B$7-'Business Case'!$B$8*(('Business Case'!D11*$C139*'Business Case'!D12*$B139)-('Business Case'!C11*$C139*'Business Case'!C12*$B139))-'Business Case'!D15*$F139</f>
        <v>266721542.781375</v>
      </c>
      <c r="K139" s="53" t="n">
        <f aca="false">(('Business Case'!E11*$C139*'Business Case'!E12*$B139)-'Business Case'!E11*$C139*'Business Case'!E13*$D139-'Business Case'!E14*$E139)-MAX(0,(('Business Case'!E11*$C139*'Business Case'!E12*$B139)-'Business Case'!E11*$C139*'Business Case'!E13*$D139-'Business Case'!E14*$E139))*'Business Case'!$B$7-'Business Case'!$B$8*(('Business Case'!E11*$C139*'Business Case'!E12*$B139)-('Business Case'!D11*$C139*'Business Case'!D12*$B139))-'Business Case'!E15*$F139</f>
        <v>603435004.835943</v>
      </c>
      <c r="L139" s="53" t="n">
        <f aca="false">(('Business Case'!F11*$C139*'Business Case'!F12*$B139)-'Business Case'!F11*$C139*'Business Case'!F13*$D139-'Business Case'!F14*$E139)-MAX(0,(('Business Case'!F11*$C139*'Business Case'!F12*$B139)-'Business Case'!F11*$C139*'Business Case'!F13*$D139-'Business Case'!F14*$E139))*'Business Case'!$B$7-'Business Case'!$B$8*(('Business Case'!F11*$C139*'Business Case'!F12*$B139)-('Business Case'!E11*$C139*'Business Case'!E12*$B139))-'Business Case'!F15*$F139</f>
        <v>729929696.213478</v>
      </c>
      <c r="M139" s="53" t="n">
        <f aca="false">(('Business Case'!G11*$C139*'Business Case'!G12*$B139)-'Business Case'!G11*$C139*'Business Case'!G13*$D139-'Business Case'!G14*$E139)-MAX(0,(('Business Case'!G11*$C139*'Business Case'!G12*$B139)-'Business Case'!G11*$C139*'Business Case'!G13*$D139-'Business Case'!G14*$E139))*'Business Case'!$B$7-'Business Case'!$B$8*(('Business Case'!G11*$C139*'Business Case'!G12*$B139)-('Business Case'!F11*$C139*'Business Case'!F12*$B139))-'Business Case'!G15*$F139+'Business Case'!$B$8*('Business Case'!G11*$C139*'Business Case'!G12*$B139)</f>
        <v>906008350.979026</v>
      </c>
      <c r="N139" s="53" t="n">
        <f aca="false">IF(COUNT('Business Case'!B11:G11)=0,"",H139+NPV(G139,I139:M139))</f>
        <v>-430529961.326115</v>
      </c>
      <c r="P139" s="54" t="n">
        <f aca="true">RAND()</f>
        <v>0.794802401249925</v>
      </c>
      <c r="Q139" s="54" t="n">
        <f aca="true">RAND()</f>
        <v>0.200354661932641</v>
      </c>
      <c r="R139" s="54" t="n">
        <f aca="true">RAND()</f>
        <v>0.541226492357286</v>
      </c>
      <c r="S139" s="54" t="n">
        <f aca="true">RAND()</f>
        <v>0.613647276455818</v>
      </c>
      <c r="T139" s="54" t="n">
        <f aca="true">RAND()</f>
        <v>0.637903401367261</v>
      </c>
      <c r="U139" s="54" t="n">
        <f aca="true">RAND()</f>
        <v>0.532566695726382</v>
      </c>
    </row>
    <row r="140" customFormat="false" ht="15" hidden="false" customHeight="false" outlineLevel="0" collapsed="false">
      <c r="A140" s="50" t="n">
        <v>60</v>
      </c>
      <c r="B140" s="51" t="n">
        <f aca="false">1+IF($G$6=$E$6,$F$6,IF(P140&lt;($F$6-$E$6)/($G$6-$E$6),$E$6+SQRT(P140*($G$6-$E$6)*($F$6-$E$6)),$G$6-SQRT((1-P140)*($G$6-$E$6)*($G$6-$F$6))))</f>
        <v>0.975566101702387</v>
      </c>
      <c r="C140" s="51" t="n">
        <f aca="false">1+IF($G$7=$E$7,$F$7,IF(Q140&lt;($F$7-$E$7)/($G$7-$E$7),$E$7+SQRT(Q140*($G$7-$E$7)*($F$7-$E$7)),$G$7-SQRT((1-Q140)*($G$7-$E$7)*($G$7-$F$7))))</f>
        <v>0.99665507025795</v>
      </c>
      <c r="D140" s="51" t="n">
        <f aca="false">1+IF($G$8=$E$8,$F$8,IF(R140&lt;($F$8-$E$8)/($G$8-$E$8),$E$8+SQRT(R140*($G$8-$E$8)*($F$8-$E$8)),$G$8-SQRT((1-R140)*($G$8-$E$8)*($G$8-$F$8))))</f>
        <v>1.02833546754548</v>
      </c>
      <c r="E140" s="51" t="n">
        <f aca="false">1+IF($G$9=$E$9,$F$9,IF(S140&lt;($F$9-$E$9)/($G$9-$E$9),$E$9+SQRT(S140*($G$9-$E$9)*($F$9-$E$9)),$G$9-SQRT((1-S140)*($G$9-$E$9)*($G$9-$F$9))))</f>
        <v>1.00596000137936</v>
      </c>
      <c r="F140" s="51" t="n">
        <f aca="false">1+IF($G$10=$E$10,$F$10,IF(T140&lt;($F$10-$E$10)/($G$10-$E$10),$E$10+SQRT(T140*($G$10-$E$10)*($F$10-$E$10)),$G$10-SQRT((1-T140)*($G$10-$E$10)*($G$10-$F$10))))</f>
        <v>1.04484404001663</v>
      </c>
      <c r="G140" s="52" t="n">
        <f aca="false">IF($G$11=$E$11,$F$11,IF(U140&lt;($F$11-$E$11)/($G$11-$E$11),$E$11+SQRT(U140*($G$11-$E$11)*($F$11-$E$11)),$G$11-SQRT((1-U140)*($G$11-$E$11)*($G$11-$F$11))))</f>
        <v>0.111724914620071</v>
      </c>
      <c r="H140" s="53" t="n">
        <f aca="false">(('Business Case'!B11*$C140*'Business Case'!B12*$B140)-'Business Case'!B11*$C140*'Business Case'!B13*$D140-'Business Case'!B14*$E140)-MAX(0,(('Business Case'!B11*$C140*'Business Case'!B12*$B140)-'Business Case'!B11*$C140*'Business Case'!B13*$D140-'Business Case'!B14*$E140))*'Business Case'!$B$7-'Business Case'!$B$8*('Business Case'!B11*$C140*'Business Case'!B12*$B140)-'Business Case'!B15*$F140</f>
        <v>-2089688080.03326</v>
      </c>
      <c r="I140" s="53" t="n">
        <f aca="false">(('Business Case'!C11*$C140*'Business Case'!C12*$B140)-'Business Case'!C11*$C140*'Business Case'!C13*$D140-'Business Case'!C14*$E140)-MAX(0,(('Business Case'!C11*$C140*'Business Case'!C12*$B140)-'Business Case'!C11*$C140*'Business Case'!C13*$D140-'Business Case'!C14*$E140))*'Business Case'!$B$7-'Business Case'!$B$8*(('Business Case'!C11*$C140*'Business Case'!C12*$B140)-('Business Case'!B11*$C140*'Business Case'!B12*$B140))-'Business Case'!C15*$F140</f>
        <v>-26214652.6306535</v>
      </c>
      <c r="J140" s="53" t="n">
        <f aca="false">(('Business Case'!D11*$C140*'Business Case'!D12*$B140)-'Business Case'!D11*$C140*'Business Case'!D13*$D140-'Business Case'!D14*$E140)-MAX(0,(('Business Case'!D11*$C140*'Business Case'!D12*$B140)-'Business Case'!D11*$C140*'Business Case'!D13*$D140-'Business Case'!D14*$E140))*'Business Case'!$B$7-'Business Case'!$B$8*(('Business Case'!D11*$C140*'Business Case'!D12*$B140)-('Business Case'!C11*$C140*'Business Case'!C12*$B140))-'Business Case'!D15*$F140</f>
        <v>245506793.35718</v>
      </c>
      <c r="K140" s="53" t="n">
        <f aca="false">(('Business Case'!E11*$C140*'Business Case'!E12*$B140)-'Business Case'!E11*$C140*'Business Case'!E13*$D140-'Business Case'!E14*$E140)-MAX(0,(('Business Case'!E11*$C140*'Business Case'!E12*$B140)-'Business Case'!E11*$C140*'Business Case'!E13*$D140-'Business Case'!E14*$E140))*'Business Case'!$B$7-'Business Case'!$B$8*(('Business Case'!E11*$C140*'Business Case'!E12*$B140)-('Business Case'!D11*$C140*'Business Case'!D12*$B140))-'Business Case'!E15*$F140</f>
        <v>569470441.345845</v>
      </c>
      <c r="L140" s="53" t="n">
        <f aca="false">(('Business Case'!F11*$C140*'Business Case'!F12*$B140)-'Business Case'!F11*$C140*'Business Case'!F13*$D140-'Business Case'!F14*$E140)-MAX(0,(('Business Case'!F11*$C140*'Business Case'!F12*$B140)-'Business Case'!F11*$C140*'Business Case'!F13*$D140-'Business Case'!F14*$E140))*'Business Case'!$B$7-'Business Case'!$B$8*(('Business Case'!F11*$C140*'Business Case'!F12*$B140)-('Business Case'!E11*$C140*'Business Case'!E12*$B140))-'Business Case'!F15*$F140</f>
        <v>693647044.955575</v>
      </c>
      <c r="M140" s="53" t="n">
        <f aca="false">(('Business Case'!G11*$C140*'Business Case'!G12*$B140)-'Business Case'!G11*$C140*'Business Case'!G13*$D140-'Business Case'!G14*$E140)-MAX(0,(('Business Case'!G11*$C140*'Business Case'!G12*$B140)-'Business Case'!G11*$C140*'Business Case'!G13*$D140-'Business Case'!G14*$E140))*'Business Case'!$B$7-'Business Case'!$B$8*(('Business Case'!G11*$C140*'Business Case'!G12*$B140)-('Business Case'!F11*$C140*'Business Case'!F12*$B140))-'Business Case'!G15*$F140+'Business Case'!$B$8*('Business Case'!G11*$C140*'Business Case'!G12*$B140)</f>
        <v>878462380.498064</v>
      </c>
      <c r="N140" s="53" t="n">
        <f aca="false">IF(COUNT('Business Case'!B11:G11)=0,"",H140+NPV(G140,I140:M140))</f>
        <v>-528780133.976172</v>
      </c>
      <c r="P140" s="54" t="n">
        <f aca="true">RAND()</f>
        <v>0.321624131083337</v>
      </c>
      <c r="Q140" s="54" t="n">
        <f aca="true">RAND()</f>
        <v>0.552474523687989</v>
      </c>
      <c r="R140" s="54" t="n">
        <f aca="true">RAND()</f>
        <v>0.743343854447713</v>
      </c>
      <c r="S140" s="54" t="n">
        <f aca="true">RAND()</f>
        <v>0.410431910628673</v>
      </c>
      <c r="T140" s="54" t="n">
        <f aca="true">RAND()</f>
        <v>0.518532561632775</v>
      </c>
      <c r="U140" s="54" t="n">
        <f aca="true">RAND()</f>
        <v>0.885871603258155</v>
      </c>
    </row>
    <row r="141" customFormat="false" ht="15" hidden="false" customHeight="false" outlineLevel="0" collapsed="false">
      <c r="A141" s="50" t="n">
        <v>61</v>
      </c>
      <c r="B141" s="51" t="n">
        <f aca="false">1+IF($G$6=$E$6,$F$6,IF(P141&lt;($F$6-$E$6)/($G$6-$E$6),$E$6+SQRT(P141*($G$6-$E$6)*($F$6-$E$6)),$G$6-SQRT((1-P141)*($G$6-$E$6)*($G$6-$F$6))))</f>
        <v>0.939723334323805</v>
      </c>
      <c r="C141" s="51" t="n">
        <f aca="false">1+IF($G$7=$E$7,$F$7,IF(Q141&lt;($F$7-$E$7)/($G$7-$E$7),$E$7+SQRT(Q141*($G$7-$E$7)*($F$7-$E$7)),$G$7-SQRT((1-Q141)*($G$7-$E$7)*($G$7-$F$7))))</f>
        <v>0.873072290114455</v>
      </c>
      <c r="D141" s="51" t="n">
        <f aca="false">1+IF($G$8=$E$8,$F$8,IF(R141&lt;($F$8-$E$8)/($G$8-$E$8),$E$8+SQRT(R141*($G$8-$E$8)*($F$8-$E$8)),$G$8-SQRT((1-R141)*($G$8-$E$8)*($G$8-$F$8))))</f>
        <v>0.990930695587802</v>
      </c>
      <c r="E141" s="51" t="n">
        <f aca="false">1+IF($G$9=$E$9,$F$9,IF(S141&lt;($F$9-$E$9)/($G$9-$E$9),$E$9+SQRT(S141*($G$9-$E$9)*($F$9-$E$9)),$G$9-SQRT((1-S141)*($G$9-$E$9)*($G$9-$F$9))))</f>
        <v>0.96275615627153</v>
      </c>
      <c r="F141" s="51" t="n">
        <f aca="false">1+IF($G$10=$E$10,$F$10,IF(T141&lt;($F$10-$E$10)/($G$10-$E$10),$E$10+SQRT(T141*($G$10-$E$10)*($F$10-$E$10)),$G$10-SQRT((1-T141)*($G$10-$E$10)*($G$10-$F$10))))</f>
        <v>1.07552338998689</v>
      </c>
      <c r="G141" s="52" t="n">
        <f aca="false">IF($G$11=$E$11,$F$11,IF(U141&lt;($F$11-$E$11)/($G$11-$E$11),$E$11+SQRT(U141*($G$11-$E$11)*($F$11-$E$11)),$G$11-SQRT((1-U141)*($G$11-$E$11)*($G$11-$F$11))))</f>
        <v>0.102793876559251</v>
      </c>
      <c r="H141" s="53" t="n">
        <f aca="false">(('Business Case'!B11*$C141*'Business Case'!B12*$B141)-'Business Case'!B11*$C141*'Business Case'!B13*$D141-'Business Case'!B14*$E141)-MAX(0,(('Business Case'!B11*$C141*'Business Case'!B12*$B141)-'Business Case'!B11*$C141*'Business Case'!B13*$D141-'Business Case'!B14*$E141))*'Business Case'!$B$7-'Business Case'!$B$8*('Business Case'!B11*$C141*'Business Case'!B12*$B141)-'Business Case'!B15*$F141</f>
        <v>-2151046779.97379</v>
      </c>
      <c r="I141" s="53" t="n">
        <f aca="false">(('Business Case'!C11*$C141*'Business Case'!C12*$B141)-'Business Case'!C11*$C141*'Business Case'!C13*$D141-'Business Case'!C14*$E141)-MAX(0,(('Business Case'!C11*$C141*'Business Case'!C12*$B141)-'Business Case'!C11*$C141*'Business Case'!C13*$D141-'Business Case'!C14*$E141))*'Business Case'!$B$7-'Business Case'!$B$8*(('Business Case'!C11*$C141*'Business Case'!C12*$B141)-('Business Case'!B11*$C141*'Business Case'!B12*$B141))-'Business Case'!C15*$F141</f>
        <v>-57873232.4362254</v>
      </c>
      <c r="J141" s="53" t="n">
        <f aca="false">(('Business Case'!D11*$C141*'Business Case'!D12*$B141)-'Business Case'!D11*$C141*'Business Case'!D13*$D141-'Business Case'!D14*$E141)-MAX(0,(('Business Case'!D11*$C141*'Business Case'!D12*$B141)-'Business Case'!D11*$C141*'Business Case'!D13*$D141-'Business Case'!D14*$E141))*'Business Case'!$B$7-'Business Case'!$B$8*(('Business Case'!D11*$C141*'Business Case'!D12*$B141)-('Business Case'!C11*$C141*'Business Case'!C12*$B141))-'Business Case'!D15*$F141</f>
        <v>171241741.109227</v>
      </c>
      <c r="K141" s="53" t="n">
        <f aca="false">(('Business Case'!E11*$C141*'Business Case'!E12*$B141)-'Business Case'!E11*$C141*'Business Case'!E13*$D141-'Business Case'!E14*$E141)-MAX(0,(('Business Case'!E11*$C141*'Business Case'!E12*$B141)-'Business Case'!E11*$C141*'Business Case'!E13*$D141-'Business Case'!E14*$E141))*'Business Case'!$B$7-'Business Case'!$B$8*(('Business Case'!E11*$C141*'Business Case'!E12*$B141)-('Business Case'!D11*$C141*'Business Case'!D12*$B141))-'Business Case'!E15*$F141</f>
        <v>454132884.154024</v>
      </c>
      <c r="L141" s="53" t="n">
        <f aca="false">(('Business Case'!F11*$C141*'Business Case'!F12*$B141)-'Business Case'!F11*$C141*'Business Case'!F13*$D141-'Business Case'!F14*$E141)-MAX(0,(('Business Case'!F11*$C141*'Business Case'!F12*$B141)-'Business Case'!F11*$C141*'Business Case'!F13*$D141-'Business Case'!F14*$E141))*'Business Case'!$B$7-'Business Case'!$B$8*(('Business Case'!F11*$C141*'Business Case'!F12*$B141)-('Business Case'!E11*$C141*'Business Case'!E12*$B141))-'Business Case'!F15*$F141</f>
        <v>558859169.709959</v>
      </c>
      <c r="M141" s="53" t="n">
        <f aca="false">(('Business Case'!G11*$C141*'Business Case'!G12*$B141)-'Business Case'!G11*$C141*'Business Case'!G13*$D141-'Business Case'!G14*$E141)-MAX(0,(('Business Case'!G11*$C141*'Business Case'!G12*$B141)-'Business Case'!G11*$C141*'Business Case'!G13*$D141-'Business Case'!G14*$E141))*'Business Case'!$B$7-'Business Case'!$B$8*(('Business Case'!G11*$C141*'Business Case'!G12*$B141)-('Business Case'!F11*$C141*'Business Case'!F12*$B141))-'Business Case'!G15*$F141+'Business Case'!$B$8*('Business Case'!G11*$C141*'Business Case'!G12*$B141)</f>
        <v>714809622.100939</v>
      </c>
      <c r="N141" s="53" t="n">
        <f aca="false">IF(COUNT('Business Case'!B11:G11)=0,"",H141+NPV(G141,I141:M141))</f>
        <v>-908007933.841494</v>
      </c>
      <c r="P141" s="54" t="n">
        <f aca="true">RAND()</f>
        <v>0.040521866338395</v>
      </c>
      <c r="Q141" s="54" t="n">
        <f aca="true">RAND()</f>
        <v>0.076279422608159</v>
      </c>
      <c r="R141" s="54" t="n">
        <f aca="true">RAND()</f>
        <v>0.257741821738669</v>
      </c>
      <c r="S141" s="54" t="n">
        <f aca="true">RAND()</f>
        <v>0.021695936376493</v>
      </c>
      <c r="T141" s="54" t="n">
        <f aca="true">RAND()</f>
        <v>0.690111471192904</v>
      </c>
      <c r="U141" s="54" t="n">
        <f aca="true">RAND()</f>
        <v>0.50658219356954</v>
      </c>
    </row>
    <row r="142" customFormat="false" ht="15" hidden="false" customHeight="false" outlineLevel="0" collapsed="false">
      <c r="A142" s="50" t="n">
        <v>62</v>
      </c>
      <c r="B142" s="51" t="n">
        <f aca="false">1+IF($G$6=$E$6,$F$6,IF(P142&lt;($F$6-$E$6)/($G$6-$E$6),$E$6+SQRT(P142*($G$6-$E$6)*($F$6-$E$6)),$G$6-SQRT((1-P142)*($G$6-$E$6)*($G$6-$F$6))))</f>
        <v>1.03062076924893</v>
      </c>
      <c r="C142" s="51" t="n">
        <f aca="false">1+IF($G$7=$E$7,$F$7,IF(Q142&lt;($F$7-$E$7)/($G$7-$E$7),$E$7+SQRT(Q142*($G$7-$E$7)*($F$7-$E$7)),$G$7-SQRT((1-Q142)*($G$7-$E$7)*($G$7-$F$7))))</f>
        <v>0.905890354433661</v>
      </c>
      <c r="D142" s="51" t="n">
        <f aca="false">1+IF($G$8=$E$8,$F$8,IF(R142&lt;($F$8-$E$8)/($G$8-$E$8),$E$8+SQRT(R142*($G$8-$E$8)*($F$8-$E$8)),$G$8-SQRT((1-R142)*($G$8-$E$8)*($G$8-$F$8))))</f>
        <v>1.01320440923096</v>
      </c>
      <c r="E142" s="51" t="n">
        <f aca="false">1+IF($G$9=$E$9,$F$9,IF(S142&lt;($F$9-$E$9)/($G$9-$E$9),$E$9+SQRT(S142*($G$9-$E$9)*($F$9-$E$9)),$G$9-SQRT((1-S142)*($G$9-$E$9)*($G$9-$F$9))))</f>
        <v>0.997136107412272</v>
      </c>
      <c r="F142" s="51" t="n">
        <f aca="false">1+IF($G$10=$E$10,$F$10,IF(T142&lt;($F$10-$E$10)/($G$10-$E$10),$E$10+SQRT(T142*($G$10-$E$10)*($F$10-$E$10)),$G$10-SQRT((1-T142)*($G$10-$E$10)*($G$10-$F$10))))</f>
        <v>1.00939114024698</v>
      </c>
      <c r="G142" s="52" t="n">
        <f aca="false">IF($G$11=$E$11,$F$11,IF(U142&lt;($F$11-$E$11)/($G$11-$E$11),$E$11+SQRT(U142*($G$11-$E$11)*($F$11-$E$11)),$G$11-SQRT((1-U142)*($G$11-$E$11)*($G$11-$F$11))))</f>
        <v>0.105361433688952</v>
      </c>
      <c r="H142" s="53" t="n">
        <f aca="false">(('Business Case'!B11*$C142*'Business Case'!B12*$B142)-'Business Case'!B11*$C142*'Business Case'!B13*$D142-'Business Case'!B14*$E142)-MAX(0,(('Business Case'!B11*$C142*'Business Case'!B12*$B142)-'Business Case'!B11*$C142*'Business Case'!B13*$D142-'Business Case'!B14*$E142))*'Business Case'!$B$7-'Business Case'!$B$8*('Business Case'!B11*$C142*'Business Case'!B12*$B142)-'Business Case'!B15*$F142</f>
        <v>-2018782280.49397</v>
      </c>
      <c r="I142" s="53" t="n">
        <f aca="false">(('Business Case'!C11*$C142*'Business Case'!C12*$B142)-'Business Case'!C11*$C142*'Business Case'!C13*$D142-'Business Case'!C14*$E142)-MAX(0,(('Business Case'!C11*$C142*'Business Case'!C12*$B142)-'Business Case'!C11*$C142*'Business Case'!C13*$D142-'Business Case'!C14*$E142))*'Business Case'!$B$7-'Business Case'!$B$8*(('Business Case'!C11*$C142*'Business Case'!C12*$B142)-('Business Case'!B11*$C142*'Business Case'!B12*$B142))-'Business Case'!C15*$F142</f>
        <v>3711646.27393779</v>
      </c>
      <c r="J142" s="53" t="n">
        <f aca="false">(('Business Case'!D11*$C142*'Business Case'!D12*$B142)-'Business Case'!D11*$C142*'Business Case'!D13*$D142-'Business Case'!D14*$E142)-MAX(0,(('Business Case'!D11*$C142*'Business Case'!D12*$B142)-'Business Case'!D11*$C142*'Business Case'!D13*$D142-'Business Case'!D14*$E142))*'Business Case'!$B$7-'Business Case'!$B$8*(('Business Case'!D11*$C142*'Business Case'!D12*$B142)-('Business Case'!C11*$C142*'Business Case'!C12*$B142))-'Business Case'!D15*$F142</f>
        <v>298554509.865332</v>
      </c>
      <c r="K142" s="53" t="n">
        <f aca="false">(('Business Case'!E11*$C142*'Business Case'!E12*$B142)-'Business Case'!E11*$C142*'Business Case'!E13*$D142-'Business Case'!E14*$E142)-MAX(0,(('Business Case'!E11*$C142*'Business Case'!E12*$B142)-'Business Case'!E11*$C142*'Business Case'!E13*$D142-'Business Case'!E14*$E142))*'Business Case'!$B$7-'Business Case'!$B$8*(('Business Case'!E11*$C142*'Business Case'!E12*$B142)-('Business Case'!D11*$C142*'Business Case'!D12*$B142))-'Business Case'!E15*$F142</f>
        <v>643866930.469075</v>
      </c>
      <c r="L142" s="53" t="n">
        <f aca="false">(('Business Case'!F11*$C142*'Business Case'!F12*$B142)-'Business Case'!F11*$C142*'Business Case'!F13*$D142-'Business Case'!F14*$E142)-MAX(0,(('Business Case'!F11*$C142*'Business Case'!F12*$B142)-'Business Case'!F11*$C142*'Business Case'!F13*$D142-'Business Case'!F14*$E142))*'Business Case'!$B$7-'Business Case'!$B$8*(('Business Case'!F11*$C142*'Business Case'!F12*$B142)-('Business Case'!E11*$C142*'Business Case'!E12*$B142))-'Business Case'!F15*$F142</f>
        <v>774414117.545362</v>
      </c>
      <c r="M142" s="53" t="n">
        <f aca="false">(('Business Case'!G11*$C142*'Business Case'!G12*$B142)-'Business Case'!G11*$C142*'Business Case'!G13*$D142-'Business Case'!G14*$E142)-MAX(0,(('Business Case'!G11*$C142*'Business Case'!G12*$B142)-'Business Case'!G11*$C142*'Business Case'!G13*$D142-'Business Case'!G14*$E142))*'Business Case'!$B$7-'Business Case'!$B$8*(('Business Case'!G11*$C142*'Business Case'!G12*$B142)-('Business Case'!F11*$C142*'Business Case'!F12*$B142))-'Business Case'!G15*$F142+'Business Case'!$B$8*('Business Case'!G11*$C142*'Business Case'!G12*$B142)</f>
        <v>951878396.547383</v>
      </c>
      <c r="N142" s="53" t="n">
        <f aca="false">IF(COUNT('Business Case'!B11:G11)=0,"",H142+NPV(G142,I142:M142))</f>
        <v>-198737579.564347</v>
      </c>
      <c r="P142" s="54" t="n">
        <f aca="true">RAND()</f>
        <v>0.981672923024629</v>
      </c>
      <c r="Q142" s="54" t="n">
        <f aca="true">RAND()</f>
        <v>0.160182388029805</v>
      </c>
      <c r="R142" s="54" t="n">
        <f aca="true">RAND()</f>
        <v>0.570995101328423</v>
      </c>
      <c r="S142" s="54" t="n">
        <f aca="true">RAND()</f>
        <v>0.296241682930833</v>
      </c>
      <c r="T142" s="54" t="n">
        <f aca="true">RAND()</f>
        <v>0.273365251673097</v>
      </c>
      <c r="U142" s="54" t="n">
        <f aca="true">RAND()</f>
        <v>0.64285396059507</v>
      </c>
    </row>
    <row r="143" customFormat="false" ht="15" hidden="false" customHeight="false" outlineLevel="0" collapsed="false">
      <c r="A143" s="50" t="n">
        <v>63</v>
      </c>
      <c r="B143" s="51" t="n">
        <f aca="false">1+IF($G$6=$E$6,$F$6,IF(P143&lt;($F$6-$E$6)/($G$6-$E$6),$E$6+SQRT(P143*($G$6-$E$6)*($F$6-$E$6)),$G$6-SQRT((1-P143)*($G$6-$E$6)*($G$6-$F$6))))</f>
        <v>0.939067886330673</v>
      </c>
      <c r="C143" s="51" t="n">
        <f aca="false">1+IF($G$7=$E$7,$F$7,IF(Q143&lt;($F$7-$E$7)/($G$7-$E$7),$E$7+SQRT(Q143*($G$7-$E$7)*($F$7-$E$7)),$G$7-SQRT((1-Q143)*($G$7-$E$7)*($G$7-$F$7))))</f>
        <v>0.914805652665218</v>
      </c>
      <c r="D143" s="51" t="n">
        <f aca="false">1+IF($G$8=$E$8,$F$8,IF(R143&lt;($F$8-$E$8)/($G$8-$E$8),$E$8+SQRT(R143*($G$8-$E$8)*($F$8-$E$8)),$G$8-SQRT((1-R143)*($G$8-$E$8)*($G$8-$F$8))))</f>
        <v>0.971555179155547</v>
      </c>
      <c r="E143" s="51" t="n">
        <f aca="false">1+IF($G$9=$E$9,$F$9,IF(S143&lt;($F$9-$E$9)/($G$9-$E$9),$E$9+SQRT(S143*($G$9-$E$9)*($F$9-$E$9)),$G$9-SQRT((1-S143)*($G$9-$E$9)*($G$9-$F$9))))</f>
        <v>1.06993764449342</v>
      </c>
      <c r="F143" s="51" t="n">
        <f aca="false">1+IF($G$10=$E$10,$F$10,IF(T143&lt;($F$10-$E$10)/($G$10-$E$10),$E$10+SQRT(T143*($G$10-$E$10)*($F$10-$E$10)),$G$10-SQRT((1-T143)*($G$10-$E$10)*($G$10-$F$10))))</f>
        <v>1.00647433872229</v>
      </c>
      <c r="G143" s="52" t="n">
        <f aca="false">IF($G$11=$E$11,$F$11,IF(U143&lt;($F$11-$E$11)/($G$11-$E$11),$E$11+SQRT(U143*($G$11-$E$11)*($F$11-$E$11)),$G$11-SQRT((1-U143)*($G$11-$E$11)*($G$11-$F$11))))</f>
        <v>0.0966650357946926</v>
      </c>
      <c r="H143" s="53" t="n">
        <f aca="false">(('Business Case'!B11*$C143*'Business Case'!B12*$B143)-'Business Case'!B11*$C143*'Business Case'!B13*$D143-'Business Case'!B14*$E143)-MAX(0,(('Business Case'!B11*$C143*'Business Case'!B12*$B143)-'Business Case'!B11*$C143*'Business Case'!B13*$D143-'Business Case'!B14*$E143))*'Business Case'!$B$7-'Business Case'!$B$8*('Business Case'!B11*$C143*'Business Case'!B12*$B143)-'Business Case'!B15*$F143</f>
        <v>-2012948677.44457</v>
      </c>
      <c r="I143" s="53" t="n">
        <f aca="false">(('Business Case'!C11*$C143*'Business Case'!C12*$B143)-'Business Case'!C11*$C143*'Business Case'!C13*$D143-'Business Case'!C14*$E143)-MAX(0,(('Business Case'!C11*$C143*'Business Case'!C12*$B143)-'Business Case'!C11*$C143*'Business Case'!C13*$D143-'Business Case'!C14*$E143))*'Business Case'!$B$7-'Business Case'!$B$8*(('Business Case'!C11*$C143*'Business Case'!C12*$B143)-('Business Case'!B11*$C143*'Business Case'!B12*$B143))-'Business Case'!C15*$F143</f>
        <v>-48677099.7471458</v>
      </c>
      <c r="J143" s="53" t="n">
        <f aca="false">(('Business Case'!D11*$C143*'Business Case'!D12*$B143)-'Business Case'!D11*$C143*'Business Case'!D13*$D143-'Business Case'!D14*$E143)-MAX(0,(('Business Case'!D11*$C143*'Business Case'!D12*$B143)-'Business Case'!D11*$C143*'Business Case'!D13*$D143-'Business Case'!D14*$E143))*'Business Case'!$B$7-'Business Case'!$B$8*(('Business Case'!D11*$C143*'Business Case'!D12*$B143)-('Business Case'!C11*$C143*'Business Case'!C12*$B143))-'Business Case'!D15*$F143</f>
        <v>199972276.841084</v>
      </c>
      <c r="K143" s="53" t="n">
        <f aca="false">(('Business Case'!E11*$C143*'Business Case'!E12*$B143)-'Business Case'!E11*$C143*'Business Case'!E13*$D143-'Business Case'!E14*$E143)-MAX(0,(('Business Case'!E11*$C143*'Business Case'!E12*$B143)-'Business Case'!E11*$C143*'Business Case'!E13*$D143-'Business Case'!E14*$E143))*'Business Case'!$B$7-'Business Case'!$B$8*(('Business Case'!E11*$C143*'Business Case'!E12*$B143)-('Business Case'!D11*$C143*'Business Case'!D12*$B143))-'Business Case'!E15*$F143</f>
        <v>498945370.365427</v>
      </c>
      <c r="L143" s="53" t="n">
        <f aca="false">(('Business Case'!F11*$C143*'Business Case'!F12*$B143)-'Business Case'!F11*$C143*'Business Case'!F13*$D143-'Business Case'!F14*$E143)-MAX(0,(('Business Case'!F11*$C143*'Business Case'!F12*$B143)-'Business Case'!F11*$C143*'Business Case'!F13*$D143-'Business Case'!F14*$E143))*'Business Case'!$B$7-'Business Case'!$B$8*(('Business Case'!F11*$C143*'Business Case'!F12*$B143)-('Business Case'!E11*$C143*'Business Case'!E12*$B143))-'Business Case'!F15*$F143</f>
        <v>611517768.838959</v>
      </c>
      <c r="M143" s="53" t="n">
        <f aca="false">(('Business Case'!G11*$C143*'Business Case'!G12*$B143)-'Business Case'!G11*$C143*'Business Case'!G13*$D143-'Business Case'!G14*$E143)-MAX(0,(('Business Case'!G11*$C143*'Business Case'!G12*$B143)-'Business Case'!G11*$C143*'Business Case'!G13*$D143-'Business Case'!G14*$E143))*'Business Case'!$B$7-'Business Case'!$B$8*(('Business Case'!G11*$C143*'Business Case'!G12*$B143)-('Business Case'!F11*$C143*'Business Case'!F12*$B143))-'Business Case'!G15*$F143+'Business Case'!$B$8*('Business Case'!G11*$C143*'Business Case'!G12*$B143)</f>
        <v>774808770.03163</v>
      </c>
      <c r="N143" s="53" t="n">
        <f aca="false">IF(COUNT('Business Case'!B11:G11)=0,"",H143+NPV(G143,I143:M143))</f>
        <v>-601533108.738455</v>
      </c>
      <c r="P143" s="54" t="n">
        <f aca="true">RAND()</f>
        <v>0.0378733634499451</v>
      </c>
      <c r="Q143" s="54" t="n">
        <f aca="true">RAND()</f>
        <v>0.18829054119838</v>
      </c>
      <c r="R143" s="54" t="n">
        <f aca="true">RAND()</f>
        <v>0.0714808843734943</v>
      </c>
      <c r="S143" s="54" t="n">
        <f aca="true">RAND()</f>
        <v>0.939750318759716</v>
      </c>
      <c r="T143" s="54" t="n">
        <f aca="true">RAND()</f>
        <v>0.250956368540463</v>
      </c>
      <c r="U143" s="54" t="n">
        <f aca="true">RAND()</f>
        <v>0.148075673815114</v>
      </c>
    </row>
    <row r="144" customFormat="false" ht="15" hidden="false" customHeight="false" outlineLevel="0" collapsed="false">
      <c r="A144" s="50" t="n">
        <v>64</v>
      </c>
      <c r="B144" s="51" t="n">
        <f aca="false">1+IF($G$6=$E$6,$F$6,IF(P144&lt;($F$6-$E$6)/($G$6-$E$6),$E$6+SQRT(P144*($G$6-$E$6)*($F$6-$E$6)),$G$6-SQRT((1-P144)*($G$6-$E$6)*($G$6-$F$6))))</f>
        <v>1.01712559012503</v>
      </c>
      <c r="C144" s="51" t="n">
        <f aca="false">1+IF($G$7=$E$7,$F$7,IF(Q144&lt;($F$7-$E$7)/($G$7-$E$7),$E$7+SQRT(Q144*($G$7-$E$7)*($F$7-$E$7)),$G$7-SQRT((1-Q144)*($G$7-$E$7)*($G$7-$F$7))))</f>
        <v>1.03105901804978</v>
      </c>
      <c r="D144" s="51" t="n">
        <f aca="false">1+IF($G$8=$E$8,$F$8,IF(R144&lt;($F$8-$E$8)/($G$8-$E$8),$E$8+SQRT(R144*($G$8-$E$8)*($F$8-$E$8)),$G$8-SQRT((1-R144)*($G$8-$E$8)*($G$8-$F$8))))</f>
        <v>0.965717154476989</v>
      </c>
      <c r="E144" s="51" t="n">
        <f aca="false">1+IF($G$9=$E$9,$F$9,IF(S144&lt;($F$9-$E$9)/($G$9-$E$9),$E$9+SQRT(S144*($G$9-$E$9)*($F$9-$E$9)),$G$9-SQRT((1-S144)*($G$9-$E$9)*($G$9-$F$9))))</f>
        <v>1.02993913231909</v>
      </c>
      <c r="F144" s="51" t="n">
        <f aca="false">1+IF($G$10=$E$10,$F$10,IF(T144&lt;($F$10-$E$10)/($G$10-$E$10),$E$10+SQRT(T144*($G$10-$E$10)*($F$10-$E$10)),$G$10-SQRT((1-T144)*($G$10-$E$10)*($G$10-$F$10))))</f>
        <v>1.02333221551444</v>
      </c>
      <c r="G144" s="52" t="n">
        <f aca="false">IF($G$11=$E$11,$F$11,IF(U144&lt;($F$11-$E$11)/($G$11-$E$11),$E$11+SQRT(U144*($G$11-$E$11)*($F$11-$E$11)),$G$11-SQRT((1-U144)*($G$11-$E$11)*($G$11-$F$11))))</f>
        <v>0.106966207076919</v>
      </c>
      <c r="H144" s="53" t="n">
        <f aca="false">(('Business Case'!B11*$C144*'Business Case'!B12*$B144)-'Business Case'!B11*$C144*'Business Case'!B13*$D144-'Business Case'!B14*$E144)-MAX(0,(('Business Case'!B11*$C144*'Business Case'!B12*$B144)-'Business Case'!B11*$C144*'Business Case'!B13*$D144-'Business Case'!B14*$E144))*'Business Case'!$B$7-'Business Case'!$B$8*('Business Case'!B11*$C144*'Business Case'!B12*$B144)-'Business Case'!B15*$F144</f>
        <v>-2046664431.02887</v>
      </c>
      <c r="I144" s="53" t="n">
        <f aca="false">(('Business Case'!C11*$C144*'Business Case'!C12*$B144)-'Business Case'!C11*$C144*'Business Case'!C13*$D144-'Business Case'!C14*$E144)-MAX(0,(('Business Case'!C11*$C144*'Business Case'!C12*$B144)-'Business Case'!C11*$C144*'Business Case'!C13*$D144-'Business Case'!C14*$E144))*'Business Case'!$B$7-'Business Case'!$B$8*(('Business Case'!C11*$C144*'Business Case'!C12*$B144)-('Business Case'!B11*$C144*'Business Case'!B12*$B144))-'Business Case'!C15*$F144</f>
        <v>46093730.7454468</v>
      </c>
      <c r="J144" s="53" t="n">
        <f aca="false">(('Business Case'!D11*$C144*'Business Case'!D12*$B144)-'Business Case'!D11*$C144*'Business Case'!D13*$D144-'Business Case'!D14*$E144)-MAX(0,(('Business Case'!D11*$C144*'Business Case'!D12*$B144)-'Business Case'!D11*$C144*'Business Case'!D13*$D144-'Business Case'!D14*$E144))*'Business Case'!$B$7-'Business Case'!$B$8*(('Business Case'!D11*$C144*'Business Case'!D12*$B144)-('Business Case'!C11*$C144*'Business Case'!C12*$B144))-'Business Case'!D15*$F144</f>
        <v>395343491.649918</v>
      </c>
      <c r="K144" s="53" t="n">
        <f aca="false">(('Business Case'!E11*$C144*'Business Case'!E12*$B144)-'Business Case'!E11*$C144*'Business Case'!E13*$D144-'Business Case'!E14*$E144)-MAX(0,(('Business Case'!E11*$C144*'Business Case'!E12*$B144)-'Business Case'!E11*$C144*'Business Case'!E13*$D144-'Business Case'!E14*$E144))*'Business Case'!$B$7-'Business Case'!$B$8*(('Business Case'!E11*$C144*'Business Case'!E12*$B144)-('Business Case'!D11*$C144*'Business Case'!D12*$B144))-'Business Case'!E15*$F144</f>
        <v>795759863.33011</v>
      </c>
      <c r="L144" s="53" t="n">
        <f aca="false">(('Business Case'!F11*$C144*'Business Case'!F12*$B144)-'Business Case'!F11*$C144*'Business Case'!F13*$D144-'Business Case'!F14*$E144)-MAX(0,(('Business Case'!F11*$C144*'Business Case'!F12*$B144)-'Business Case'!F11*$C144*'Business Case'!F13*$D144-'Business Case'!F14*$E144))*'Business Case'!$B$7-'Business Case'!$B$8*(('Business Case'!F11*$C144*'Business Case'!F12*$B144)-('Business Case'!E11*$C144*'Business Case'!E12*$B144))-'Business Case'!F15*$F144</f>
        <v>948420092.959471</v>
      </c>
      <c r="M144" s="53" t="n">
        <f aca="false">(('Business Case'!G11*$C144*'Business Case'!G12*$B144)-'Business Case'!G11*$C144*'Business Case'!G13*$D144-'Business Case'!G14*$E144)-MAX(0,(('Business Case'!G11*$C144*'Business Case'!G12*$B144)-'Business Case'!G11*$C144*'Business Case'!G13*$D144-'Business Case'!G14*$E144))*'Business Case'!$B$7-'Business Case'!$B$8*(('Business Case'!G11*$C144*'Business Case'!G12*$B144)-('Business Case'!F11*$C144*'Business Case'!F12*$B144))-'Business Case'!G15*$F144+'Business Case'!$B$8*('Business Case'!G11*$C144*'Business Case'!G12*$B144)</f>
        <v>1147760127.59609</v>
      </c>
      <c r="N144" s="53" t="n">
        <f aca="false">IF(COUNT('Business Case'!B11:G11)=0,"",H144+NPV(G144,I144:M144))</f>
        <v>226411560.988893</v>
      </c>
      <c r="P144" s="54" t="n">
        <f aca="true">RAND()</f>
        <v>0.890991952681612</v>
      </c>
      <c r="Q144" s="54" t="n">
        <f aca="true">RAND()</f>
        <v>0.730534148813661</v>
      </c>
      <c r="R144" s="54" t="n">
        <f aca="true">RAND()</f>
        <v>0.0380044530543899</v>
      </c>
      <c r="S144" s="54" t="n">
        <f aca="true">RAND()</f>
        <v>0.672764987986539</v>
      </c>
      <c r="T144" s="54" t="n">
        <f aca="true">RAND()</f>
        <v>0.375769878499245</v>
      </c>
      <c r="U144" s="54" t="n">
        <f aca="true">RAND()</f>
        <v>0.716867070063727</v>
      </c>
    </row>
    <row r="145" customFormat="false" ht="15" hidden="false" customHeight="false" outlineLevel="0" collapsed="false">
      <c r="A145" s="50" t="n">
        <v>65</v>
      </c>
      <c r="B145" s="51" t="n">
        <f aca="false">1+IF($G$6=$E$6,$F$6,IF(P145&lt;($F$6-$E$6)/($G$6-$E$6),$E$6+SQRT(P145*($G$6-$E$6)*($F$6-$E$6)),$G$6-SQRT((1-P145)*($G$6-$E$6)*($G$6-$F$6))))</f>
        <v>0.990215994315949</v>
      </c>
      <c r="C145" s="51" t="n">
        <f aca="false">1+IF($G$7=$E$7,$F$7,IF(Q145&lt;($F$7-$E$7)/($G$7-$E$7),$E$7+SQRT(Q145*($G$7-$E$7)*($F$7-$E$7)),$G$7-SQRT((1-Q145)*($G$7-$E$7)*($G$7-$F$7))))</f>
        <v>1.02413444367665</v>
      </c>
      <c r="D145" s="51" t="n">
        <f aca="false">1+IF($G$8=$E$8,$F$8,IF(R145&lt;($F$8-$E$8)/($G$8-$E$8),$E$8+SQRT(R145*($G$8-$E$8)*($F$8-$E$8)),$G$8-SQRT((1-R145)*($G$8-$E$8)*($G$8-$F$8))))</f>
        <v>0.987755449600304</v>
      </c>
      <c r="E145" s="51" t="n">
        <f aca="false">1+IF($G$9=$E$9,$F$9,IF(S145&lt;($F$9-$E$9)/($G$9-$E$9),$E$9+SQRT(S145*($G$9-$E$9)*($F$9-$E$9)),$G$9-SQRT((1-S145)*($G$9-$E$9)*($G$9-$F$9))))</f>
        <v>1.00082094122649</v>
      </c>
      <c r="F145" s="51" t="n">
        <f aca="false">1+IF($G$10=$E$10,$F$10,IF(T145&lt;($F$10-$E$10)/($G$10-$E$10),$E$10+SQRT(T145*($G$10-$E$10)*($F$10-$E$10)),$G$10-SQRT((1-T145)*($G$10-$E$10)*($G$10-$F$10))))</f>
        <v>0.99986836609888</v>
      </c>
      <c r="G145" s="52" t="n">
        <f aca="false">IF($G$11=$E$11,$F$11,IF(U145&lt;($F$11-$E$11)/($G$11-$E$11),$E$11+SQRT(U145*($G$11-$E$11)*($F$11-$E$11)),$G$11-SQRT((1-U145)*($G$11-$E$11)*($G$11-$F$11))))</f>
        <v>0.0922193632104004</v>
      </c>
      <c r="H145" s="53" t="n">
        <f aca="false">(('Business Case'!B11*$C145*'Business Case'!B12*$B145)-'Business Case'!B11*$C145*'Business Case'!B13*$D145-'Business Case'!B14*$E145)-MAX(0,(('Business Case'!B11*$C145*'Business Case'!B12*$B145)-'Business Case'!B11*$C145*'Business Case'!B13*$D145-'Business Case'!B14*$E145))*'Business Case'!$B$7-'Business Case'!$B$8*('Business Case'!B11*$C145*'Business Case'!B12*$B145)-'Business Case'!B15*$F145</f>
        <v>-1999736732.19776</v>
      </c>
      <c r="I145" s="53" t="n">
        <f aca="false">(('Business Case'!C11*$C145*'Business Case'!C12*$B145)-'Business Case'!C11*$C145*'Business Case'!C13*$D145-'Business Case'!C14*$E145)-MAX(0,(('Business Case'!C11*$C145*'Business Case'!C12*$B145)-'Business Case'!C11*$C145*'Business Case'!C13*$D145-'Business Case'!C14*$E145))*'Business Case'!$B$7-'Business Case'!$B$8*(('Business Case'!C11*$C145*'Business Case'!C12*$B145)-('Business Case'!B11*$C145*'Business Case'!B12*$B145))-'Business Case'!C15*$F145</f>
        <v>17901979.2038179</v>
      </c>
      <c r="J145" s="53" t="n">
        <f aca="false">(('Business Case'!D11*$C145*'Business Case'!D12*$B145)-'Business Case'!D11*$C145*'Business Case'!D13*$D145-'Business Case'!D14*$E145)-MAX(0,(('Business Case'!D11*$C145*'Business Case'!D12*$B145)-'Business Case'!D11*$C145*'Business Case'!D13*$D145-'Business Case'!D14*$E145))*'Business Case'!$B$7-'Business Case'!$B$8*(('Business Case'!D11*$C145*'Business Case'!D12*$B145)-('Business Case'!C11*$C145*'Business Case'!C12*$B145))-'Business Case'!D15*$F145</f>
        <v>330679218.506738</v>
      </c>
      <c r="K145" s="53" t="n">
        <f aca="false">(('Business Case'!E11*$C145*'Business Case'!E12*$B145)-'Business Case'!E11*$C145*'Business Case'!E13*$D145-'Business Case'!E14*$E145)-MAX(0,(('Business Case'!E11*$C145*'Business Case'!E12*$B145)-'Business Case'!E11*$C145*'Business Case'!E13*$D145-'Business Case'!E14*$E145))*'Business Case'!$B$7-'Business Case'!$B$8*(('Business Case'!E11*$C145*'Business Case'!E12*$B145)-('Business Case'!D11*$C145*'Business Case'!D12*$B145))-'Business Case'!E15*$F145</f>
        <v>693449876.114602</v>
      </c>
      <c r="L145" s="53" t="n">
        <f aca="false">(('Business Case'!F11*$C145*'Business Case'!F12*$B145)-'Business Case'!F11*$C145*'Business Case'!F13*$D145-'Business Case'!F14*$E145)-MAX(0,(('Business Case'!F11*$C145*'Business Case'!F12*$B145)-'Business Case'!F11*$C145*'Business Case'!F13*$D145-'Business Case'!F14*$E145))*'Business Case'!$B$7-'Business Case'!$B$8*(('Business Case'!F11*$C145*'Business Case'!F12*$B145)-('Business Case'!E11*$C145*'Business Case'!E12*$B145))-'Business Case'!F15*$F145</f>
        <v>832756746.313448</v>
      </c>
      <c r="M145" s="53" t="n">
        <f aca="false">(('Business Case'!G11*$C145*'Business Case'!G12*$B145)-'Business Case'!G11*$C145*'Business Case'!G13*$D145-'Business Case'!G14*$E145)-MAX(0,(('Business Case'!G11*$C145*'Business Case'!G12*$B145)-'Business Case'!G11*$C145*'Business Case'!G13*$D145-'Business Case'!G14*$E145))*'Business Case'!$B$7-'Business Case'!$B$8*(('Business Case'!G11*$C145*'Business Case'!G12*$B145)-('Business Case'!F11*$C145*'Business Case'!F12*$B145))-'Business Case'!G15*$F145+'Business Case'!$B$8*('Business Case'!G11*$C145*'Business Case'!G12*$B145)</f>
        <v>1025519593.68508</v>
      </c>
      <c r="N145" s="53" t="n">
        <f aca="false">IF(COUNT('Business Case'!B11:G11)=0,"",H145+NPV(G145,I145:M145))</f>
        <v>71001380.6167095</v>
      </c>
      <c r="P145" s="54" t="n">
        <f aca="true">RAND()</f>
        <v>0.51357144351848</v>
      </c>
      <c r="Q145" s="54" t="n">
        <f aca="true">RAND()</f>
        <v>0.698244985360251</v>
      </c>
      <c r="R145" s="54" t="n">
        <f aca="true">RAND()</f>
        <v>0.219303688387858</v>
      </c>
      <c r="S145" s="54" t="n">
        <f aca="true">RAND()</f>
        <v>0.344234286720017</v>
      </c>
      <c r="T145" s="54" t="n">
        <f aca="true">RAND()</f>
        <v>0.198948314989756</v>
      </c>
      <c r="U145" s="54" t="n">
        <f aca="true">RAND()</f>
        <v>0.0164185768655955</v>
      </c>
    </row>
    <row r="146" customFormat="false" ht="15" hidden="false" customHeight="false" outlineLevel="0" collapsed="false">
      <c r="A146" s="50" t="n">
        <v>66</v>
      </c>
      <c r="B146" s="51" t="n">
        <f aca="false">1+IF($G$6=$E$6,$F$6,IF(P146&lt;($F$6-$E$6)/($G$6-$E$6),$E$6+SQRT(P146*($G$6-$E$6)*($F$6-$E$6)),$G$6-SQRT((1-P146)*($G$6-$E$6)*($G$6-$F$6))))</f>
        <v>0.976818186487059</v>
      </c>
      <c r="C146" s="51" t="n">
        <f aca="false">1+IF($G$7=$E$7,$F$7,IF(Q146&lt;($F$7-$E$7)/($G$7-$E$7),$E$7+SQRT(Q146*($G$7-$E$7)*($F$7-$E$7)),$G$7-SQRT((1-Q146)*($G$7-$E$7)*($G$7-$F$7))))</f>
        <v>1.04523645952252</v>
      </c>
      <c r="D146" s="51" t="n">
        <f aca="false">1+IF($G$8=$E$8,$F$8,IF(R146&lt;($F$8-$E$8)/($G$8-$E$8),$E$8+SQRT(R146*($G$8-$E$8)*($F$8-$E$8)),$G$8-SQRT((1-R146)*($G$8-$E$8)*($G$8-$F$8))))</f>
        <v>1.03470726023166</v>
      </c>
      <c r="E146" s="51" t="n">
        <f aca="false">1+IF($G$9=$E$9,$F$9,IF(S146&lt;($F$9-$E$9)/($G$9-$E$9),$E$9+SQRT(S146*($G$9-$E$9)*($F$9-$E$9)),$G$9-SQRT((1-S146)*($G$9-$E$9)*($G$9-$F$9))))</f>
        <v>0.999468501007571</v>
      </c>
      <c r="F146" s="51" t="n">
        <f aca="false">1+IF($G$10=$E$10,$F$10,IF(T146&lt;($F$10-$E$10)/($G$10-$E$10),$E$10+SQRT(T146*($G$10-$E$10)*($F$10-$E$10)),$G$10-SQRT((1-T146)*($G$10-$E$10)*($G$10-$F$10))))</f>
        <v>1.13581060290849</v>
      </c>
      <c r="G146" s="52" t="n">
        <f aca="false">IF($G$11=$E$11,$F$11,IF(U146&lt;($F$11-$E$11)/($G$11-$E$11),$E$11+SQRT(U146*($G$11-$E$11)*($F$11-$E$11)),$G$11-SQRT((1-U146)*($G$11-$E$11)*($G$11-$F$11))))</f>
        <v>0.109051589286159</v>
      </c>
      <c r="H146" s="53" t="n">
        <f aca="false">(('Business Case'!B11*$C146*'Business Case'!B12*$B146)-'Business Case'!B11*$C146*'Business Case'!B13*$D146-'Business Case'!B14*$E146)-MAX(0,(('Business Case'!B11*$C146*'Business Case'!B12*$B146)-'Business Case'!B11*$C146*'Business Case'!B13*$D146-'Business Case'!B14*$E146))*'Business Case'!$B$7-'Business Case'!$B$8*('Business Case'!B11*$C146*'Business Case'!B12*$B146)-'Business Case'!B15*$F146</f>
        <v>-2271621205.81697</v>
      </c>
      <c r="I146" s="53" t="n">
        <f aca="false">(('Business Case'!C11*$C146*'Business Case'!C12*$B146)-'Business Case'!C11*$C146*'Business Case'!C13*$D146-'Business Case'!C14*$E146)-MAX(0,(('Business Case'!C11*$C146*'Business Case'!C12*$B146)-'Business Case'!C11*$C146*'Business Case'!C13*$D146-'Business Case'!C14*$E146))*'Business Case'!$B$7-'Business Case'!$B$8*(('Business Case'!C11*$C146*'Business Case'!C12*$B146)-('Business Case'!B11*$C146*'Business Case'!B12*$B146))-'Business Case'!C15*$F146</f>
        <v>-26005539.5101544</v>
      </c>
      <c r="J146" s="53" t="n">
        <f aca="false">(('Business Case'!D11*$C146*'Business Case'!D12*$B146)-'Business Case'!D11*$C146*'Business Case'!D13*$D146-'Business Case'!D14*$E146)-MAX(0,(('Business Case'!D11*$C146*'Business Case'!D12*$B146)-'Business Case'!D11*$C146*'Business Case'!D13*$D146-'Business Case'!D14*$E146))*'Business Case'!$B$7-'Business Case'!$B$8*(('Business Case'!D11*$C146*'Business Case'!D12*$B146)-('Business Case'!C11*$C146*'Business Case'!C12*$B146))-'Business Case'!D15*$F146</f>
        <v>256623352.264291</v>
      </c>
      <c r="K146" s="53" t="n">
        <f aca="false">(('Business Case'!E11*$C146*'Business Case'!E12*$B146)-'Business Case'!E11*$C146*'Business Case'!E13*$D146-'Business Case'!E14*$E146)-MAX(0,(('Business Case'!E11*$C146*'Business Case'!E12*$B146)-'Business Case'!E11*$C146*'Business Case'!E13*$D146-'Business Case'!E14*$E146))*'Business Case'!$B$7-'Business Case'!$B$8*(('Business Case'!E11*$C146*'Business Case'!E12*$B146)-('Business Case'!D11*$C146*'Business Case'!D12*$B146))-'Business Case'!E15*$F146</f>
        <v>596042774.184161</v>
      </c>
      <c r="L146" s="53" t="n">
        <f aca="false">(('Business Case'!F11*$C146*'Business Case'!F12*$B146)-'Business Case'!F11*$C146*'Business Case'!F13*$D146-'Business Case'!F14*$E146)-MAX(0,(('Business Case'!F11*$C146*'Business Case'!F12*$B146)-'Business Case'!F11*$C146*'Business Case'!F13*$D146-'Business Case'!F14*$E146))*'Business Case'!$B$7-'Business Case'!$B$8*(('Business Case'!F11*$C146*'Business Case'!F12*$B146)-('Business Case'!E11*$C146*'Business Case'!E12*$B146))-'Business Case'!F15*$F146</f>
        <v>725538371.542626</v>
      </c>
      <c r="M146" s="53" t="n">
        <f aca="false">(('Business Case'!G11*$C146*'Business Case'!G12*$B146)-'Business Case'!G11*$C146*'Business Case'!G13*$D146-'Business Case'!G14*$E146)-MAX(0,(('Business Case'!G11*$C146*'Business Case'!G12*$B146)-'Business Case'!G11*$C146*'Business Case'!G13*$D146-'Business Case'!G14*$E146))*'Business Case'!$B$7-'Business Case'!$B$8*(('Business Case'!G11*$C146*'Business Case'!G12*$B146)-('Business Case'!F11*$C146*'Business Case'!F12*$B146))-'Business Case'!G15*$F146+'Business Case'!$B$8*('Business Case'!G11*$C146*'Business Case'!G12*$B146)</f>
        <v>919611188.761032</v>
      </c>
      <c r="N146" s="53" t="n">
        <f aca="false">IF(COUNT('Business Case'!B11:G11)=0,"",H146+NPV(G146,I146:M146))</f>
        <v>-621838143.382125</v>
      </c>
      <c r="P146" s="54" t="n">
        <f aca="true">RAND()</f>
        <v>0.336281907883143</v>
      </c>
      <c r="Q146" s="54" t="n">
        <f aca="true">RAND()</f>
        <v>0.790944773078538</v>
      </c>
      <c r="R146" s="54" t="n">
        <f aca="true">RAND()</f>
        <v>0.802746896565164</v>
      </c>
      <c r="S146" s="54" t="n">
        <f aca="true">RAND()</f>
        <v>0.326284345591471</v>
      </c>
      <c r="T146" s="54" t="n">
        <f aca="true">RAND()</f>
        <v>0.917594426020562</v>
      </c>
      <c r="U146" s="54" t="n">
        <f aca="true">RAND()</f>
        <v>0.800220504735085</v>
      </c>
    </row>
    <row r="147" customFormat="false" ht="15" hidden="false" customHeight="false" outlineLevel="0" collapsed="false">
      <c r="A147" s="50" t="n">
        <v>67</v>
      </c>
      <c r="B147" s="51" t="n">
        <f aca="false">1+IF($G$6=$E$6,$F$6,IF(P147&lt;($F$6-$E$6)/($G$6-$E$6),$E$6+SQRT(P147*($G$6-$E$6)*($F$6-$E$6)),$G$6-SQRT((1-P147)*($G$6-$E$6)*($G$6-$F$6))))</f>
        <v>1.00569265633232</v>
      </c>
      <c r="C147" s="51" t="n">
        <f aca="false">1+IF($G$7=$E$7,$F$7,IF(Q147&lt;($F$7-$E$7)/($G$7-$E$7),$E$7+SQRT(Q147*($G$7-$E$7)*($F$7-$E$7)),$G$7-SQRT((1-Q147)*($G$7-$E$7)*($G$7-$F$7))))</f>
        <v>1.06438938848543</v>
      </c>
      <c r="D147" s="51" t="n">
        <f aca="false">1+IF($G$8=$E$8,$F$8,IF(R147&lt;($F$8-$E$8)/($G$8-$E$8),$E$8+SQRT(R147*($G$8-$E$8)*($F$8-$E$8)),$G$8-SQRT((1-R147)*($G$8-$E$8)*($G$8-$F$8))))</f>
        <v>1.02025699080193</v>
      </c>
      <c r="E147" s="51" t="n">
        <f aca="false">1+IF($G$9=$E$9,$F$9,IF(S147&lt;($F$9-$E$9)/($G$9-$E$9),$E$9+SQRT(S147*($G$9-$E$9)*($F$9-$E$9)),$G$9-SQRT((1-S147)*($G$9-$E$9)*($G$9-$F$9))))</f>
        <v>1.08073592873787</v>
      </c>
      <c r="F147" s="51" t="n">
        <f aca="false">1+IF($G$10=$E$10,$F$10,IF(T147&lt;($F$10-$E$10)/($G$10-$E$10),$E$10+SQRT(T147*($G$10-$E$10)*($F$10-$E$10)),$G$10-SQRT((1-T147)*($G$10-$E$10)*($G$10-$F$10))))</f>
        <v>0.984914555005508</v>
      </c>
      <c r="G147" s="52" t="n">
        <f aca="false">IF($G$11=$E$11,$F$11,IF(U147&lt;($F$11-$E$11)/($G$11-$E$11),$E$11+SQRT(U147*($G$11-$E$11)*($F$11-$E$11)),$G$11-SQRT((1-U147)*($G$11-$E$11)*($G$11-$F$11))))</f>
        <v>0.0969068318834315</v>
      </c>
      <c r="H147" s="53" t="n">
        <f aca="false">(('Business Case'!B11*$C147*'Business Case'!B12*$B147)-'Business Case'!B11*$C147*'Business Case'!B13*$D147-'Business Case'!B14*$E147)-MAX(0,(('Business Case'!B11*$C147*'Business Case'!B12*$B147)-'Business Case'!B11*$C147*'Business Case'!B13*$D147-'Business Case'!B14*$E147))*'Business Case'!$B$7-'Business Case'!$B$8*('Business Case'!B11*$C147*'Business Case'!B12*$B147)-'Business Case'!B15*$F147</f>
        <v>-1969829110.01102</v>
      </c>
      <c r="I147" s="53" t="n">
        <f aca="false">(('Business Case'!C11*$C147*'Business Case'!C12*$B147)-'Business Case'!C11*$C147*'Business Case'!C13*$D147-'Business Case'!C14*$E147)-MAX(0,(('Business Case'!C11*$C147*'Business Case'!C12*$B147)-'Business Case'!C11*$C147*'Business Case'!C13*$D147-'Business Case'!C14*$E147))*'Business Case'!$B$7-'Business Case'!$B$8*(('Business Case'!C11*$C147*'Business Case'!C12*$B147)-('Business Case'!B11*$C147*'Business Case'!B12*$B147))-'Business Case'!C15*$F147</f>
        <v>13190419.3835429</v>
      </c>
      <c r="J147" s="53" t="n">
        <f aca="false">(('Business Case'!D11*$C147*'Business Case'!D12*$B147)-'Business Case'!D11*$C147*'Business Case'!D13*$D147-'Business Case'!D14*$E147)-MAX(0,(('Business Case'!D11*$C147*'Business Case'!D12*$B147)-'Business Case'!D11*$C147*'Business Case'!D13*$D147-'Business Case'!D14*$E147))*'Business Case'!$B$7-'Business Case'!$B$8*(('Business Case'!D11*$C147*'Business Case'!D12*$B147)-('Business Case'!C11*$C147*'Business Case'!C12*$B147))-'Business Case'!D15*$F147</f>
        <v>334044998.316373</v>
      </c>
      <c r="K147" s="53" t="n">
        <f aca="false">(('Business Case'!E11*$C147*'Business Case'!E12*$B147)-'Business Case'!E11*$C147*'Business Case'!E13*$D147-'Business Case'!E14*$E147)-MAX(0,(('Business Case'!E11*$C147*'Business Case'!E12*$B147)-'Business Case'!E11*$C147*'Business Case'!E13*$D147-'Business Case'!E14*$E147))*'Business Case'!$B$7-'Business Case'!$B$8*(('Business Case'!E11*$C147*'Business Case'!E12*$B147)-('Business Case'!D11*$C147*'Business Case'!D12*$B147))-'Business Case'!E15*$F147</f>
        <v>704145304.999479</v>
      </c>
      <c r="L147" s="53" t="n">
        <f aca="false">(('Business Case'!F11*$C147*'Business Case'!F12*$B147)-'Business Case'!F11*$C147*'Business Case'!F13*$D147-'Business Case'!F14*$E147)-MAX(0,(('Business Case'!F11*$C147*'Business Case'!F12*$B147)-'Business Case'!F11*$C147*'Business Case'!F13*$D147-'Business Case'!F14*$E147))*'Business Case'!$B$7-'Business Case'!$B$8*(('Business Case'!F11*$C147*'Business Case'!F12*$B147)-('Business Case'!E11*$C147*'Business Case'!E12*$B147))-'Business Case'!F15*$F147</f>
        <v>848091534.631897</v>
      </c>
      <c r="M147" s="53" t="n">
        <f aca="false">(('Business Case'!G11*$C147*'Business Case'!G12*$B147)-'Business Case'!G11*$C147*'Business Case'!G13*$D147-'Business Case'!G14*$E147)-MAX(0,(('Business Case'!G11*$C147*'Business Case'!G12*$B147)-'Business Case'!G11*$C147*'Business Case'!G13*$D147-'Business Case'!G14*$E147))*'Business Case'!$B$7-'Business Case'!$B$8*(('Business Case'!G11*$C147*'Business Case'!G12*$B147)-('Business Case'!F11*$C147*'Business Case'!F12*$B147))-'Business Case'!G15*$F147+'Business Case'!$B$8*('Business Case'!G11*$C147*'Business Case'!G12*$B147)</f>
        <v>1051562402.90001</v>
      </c>
      <c r="N147" s="53" t="n">
        <f aca="false">IF(COUNT('Business Case'!B11:G11)=0,"",H147+NPV(G147,I147:M147))</f>
        <v>101363413.130029</v>
      </c>
      <c r="P147" s="54" t="n">
        <f aca="true">RAND()</f>
        <v>0.754792952180828</v>
      </c>
      <c r="Q147" s="54" t="n">
        <f aca="true">RAND()</f>
        <v>0.8603966323067</v>
      </c>
      <c r="R147" s="54" t="n">
        <f aca="true">RAND()</f>
        <v>0.656805081919199</v>
      </c>
      <c r="S147" s="54" t="n">
        <f aca="true">RAND()</f>
        <v>0.975259703893833</v>
      </c>
      <c r="T147" s="54" t="n">
        <f aca="true">RAND()</f>
        <v>0.097522092098612</v>
      </c>
      <c r="U147" s="54" t="n">
        <f aca="true">RAND()</f>
        <v>0.159014422219952</v>
      </c>
    </row>
    <row r="148" customFormat="false" ht="15" hidden="false" customHeight="false" outlineLevel="0" collapsed="false">
      <c r="A148" s="50" t="n">
        <v>68</v>
      </c>
      <c r="B148" s="51" t="n">
        <f aca="false">1+IF($G$6=$E$6,$F$6,IF(P148&lt;($F$6-$E$6)/($G$6-$E$6),$E$6+SQRT(P148*($G$6-$E$6)*($F$6-$E$6)),$G$6-SQRT((1-P148)*($G$6-$E$6)*($G$6-$F$6))))</f>
        <v>1.01631238043818</v>
      </c>
      <c r="C148" s="51" t="n">
        <f aca="false">1+IF($G$7=$E$7,$F$7,IF(Q148&lt;($F$7-$E$7)/($G$7-$E$7),$E$7+SQRT(Q148*($G$7-$E$7)*($F$7-$E$7)),$G$7-SQRT((1-Q148)*($G$7-$E$7)*($G$7-$F$7))))</f>
        <v>1.07688161917127</v>
      </c>
      <c r="D148" s="51" t="n">
        <f aca="false">1+IF($G$8=$E$8,$F$8,IF(R148&lt;($F$8-$E$8)/($G$8-$E$8),$E$8+SQRT(R148*($G$8-$E$8)*($F$8-$E$8)),$G$8-SQRT((1-R148)*($G$8-$E$8)*($G$8-$F$8))))</f>
        <v>0.977817783696552</v>
      </c>
      <c r="E148" s="51" t="n">
        <f aca="false">1+IF($G$9=$E$9,$F$9,IF(S148&lt;($F$9-$E$9)/($G$9-$E$9),$E$9+SQRT(S148*($G$9-$E$9)*($F$9-$E$9)),$G$9-SQRT((1-S148)*($G$9-$E$9)*($G$9-$F$9))))</f>
        <v>1.04962059377473</v>
      </c>
      <c r="F148" s="51" t="n">
        <f aca="false">1+IF($G$10=$E$10,$F$10,IF(T148&lt;($F$10-$E$10)/($G$10-$E$10),$E$10+SQRT(T148*($G$10-$E$10)*($F$10-$E$10)),$G$10-SQRT((1-T148)*($G$10-$E$10)*($G$10-$F$10))))</f>
        <v>1.04927303148132</v>
      </c>
      <c r="G148" s="52" t="n">
        <f aca="false">IF($G$11=$E$11,$F$11,IF(U148&lt;($F$11-$E$11)/($G$11-$E$11),$E$11+SQRT(U148*($G$11-$E$11)*($F$11-$E$11)),$G$11-SQRT((1-U148)*($G$11-$E$11)*($G$11-$F$11))))</f>
        <v>0.100493517541114</v>
      </c>
      <c r="H148" s="53" t="n">
        <f aca="false">(('Business Case'!B11*$C148*'Business Case'!B12*$B148)-'Business Case'!B11*$C148*'Business Case'!B13*$D148-'Business Case'!B14*$E148)-MAX(0,(('Business Case'!B11*$C148*'Business Case'!B12*$B148)-'Business Case'!B11*$C148*'Business Case'!B13*$D148-'Business Case'!B14*$E148))*'Business Case'!$B$7-'Business Case'!$B$8*('Business Case'!B11*$C148*'Business Case'!B12*$B148)-'Business Case'!B15*$F148</f>
        <v>-2098546062.96265</v>
      </c>
      <c r="I148" s="53" t="n">
        <f aca="false">(('Business Case'!C11*$C148*'Business Case'!C12*$B148)-'Business Case'!C11*$C148*'Business Case'!C13*$D148-'Business Case'!C14*$E148)-MAX(0,(('Business Case'!C11*$C148*'Business Case'!C12*$B148)-'Business Case'!C11*$C148*'Business Case'!C13*$D148-'Business Case'!C14*$E148))*'Business Case'!$B$7-'Business Case'!$B$8*(('Business Case'!C11*$C148*'Business Case'!C12*$B148)-('Business Case'!B11*$C148*'Business Case'!B12*$B148))-'Business Case'!C15*$F148</f>
        <v>46463582.2861409</v>
      </c>
      <c r="J148" s="53" t="n">
        <f aca="false">(('Business Case'!D11*$C148*'Business Case'!D12*$B148)-'Business Case'!D11*$C148*'Business Case'!D13*$D148-'Business Case'!D14*$E148)-MAX(0,(('Business Case'!D11*$C148*'Business Case'!D12*$B148)-'Business Case'!D11*$C148*'Business Case'!D13*$D148-'Business Case'!D14*$E148))*'Business Case'!$B$7-'Business Case'!$B$8*(('Business Case'!D11*$C148*'Business Case'!D12*$B148)-('Business Case'!C11*$C148*'Business Case'!C12*$B148))-'Business Case'!D15*$F148</f>
        <v>403846706.790852</v>
      </c>
      <c r="K148" s="53" t="n">
        <f aca="false">(('Business Case'!E11*$C148*'Business Case'!E12*$B148)-'Business Case'!E11*$C148*'Business Case'!E13*$D148-'Business Case'!E14*$E148)-MAX(0,(('Business Case'!E11*$C148*'Business Case'!E12*$B148)-'Business Case'!E11*$C148*'Business Case'!E13*$D148-'Business Case'!E14*$E148))*'Business Case'!$B$7-'Business Case'!$B$8*(('Business Case'!E11*$C148*'Business Case'!E12*$B148)-('Business Case'!D11*$C148*'Business Case'!D12*$B148))-'Business Case'!E15*$F148</f>
        <v>813693482.86963</v>
      </c>
      <c r="L148" s="53" t="n">
        <f aca="false">(('Business Case'!F11*$C148*'Business Case'!F12*$B148)-'Business Case'!F11*$C148*'Business Case'!F13*$D148-'Business Case'!F14*$E148)-MAX(0,(('Business Case'!F11*$C148*'Business Case'!F12*$B148)-'Business Case'!F11*$C148*'Business Case'!F13*$D148-'Business Case'!F14*$E148))*'Business Case'!$B$7-'Business Case'!$B$8*(('Business Case'!F11*$C148*'Business Case'!F12*$B148)-('Business Case'!E11*$C148*'Business Case'!E12*$B148))-'Business Case'!F15*$F148</f>
        <v>970645318.128314</v>
      </c>
      <c r="M148" s="53" t="n">
        <f aca="false">(('Business Case'!G11*$C148*'Business Case'!G12*$B148)-'Business Case'!G11*$C148*'Business Case'!G13*$D148-'Business Case'!G14*$E148)-MAX(0,(('Business Case'!G11*$C148*'Business Case'!G12*$B148)-'Business Case'!G11*$C148*'Business Case'!G13*$D148-'Business Case'!G14*$E148))*'Business Case'!$B$7-'Business Case'!$B$8*(('Business Case'!G11*$C148*'Business Case'!G12*$B148)-('Business Case'!F11*$C148*'Business Case'!F12*$B148))-'Business Case'!G15*$F148+'Business Case'!$B$8*('Business Case'!G11*$C148*'Business Case'!G12*$B148)</f>
        <v>1178678017.12577</v>
      </c>
      <c r="N148" s="53" t="n">
        <f aca="false">IF(COUNT('Business Case'!B11:G11)=0,"",H148+NPV(G148,I148:M148))</f>
        <v>279652939.290254</v>
      </c>
      <c r="P148" s="54" t="n">
        <f aca="true">RAND()</f>
        <v>0.883103474894658</v>
      </c>
      <c r="Q148" s="54" t="n">
        <f aca="true">RAND()</f>
        <v>0.898165759713991</v>
      </c>
      <c r="R148" s="54" t="n">
        <f aca="true">RAND()</f>
        <v>0.119050629198177</v>
      </c>
      <c r="S148" s="54" t="n">
        <f aca="true">RAND()</f>
        <v>0.830794361892644</v>
      </c>
      <c r="T148" s="54" t="n">
        <f aca="true">RAND()</f>
        <v>0.545627619223394</v>
      </c>
      <c r="U148" s="54" t="n">
        <f aca="true">RAND()</f>
        <v>0.365828570135274</v>
      </c>
    </row>
    <row r="149" customFormat="false" ht="15" hidden="false" customHeight="false" outlineLevel="0" collapsed="false">
      <c r="A149" s="50" t="n">
        <v>69</v>
      </c>
      <c r="B149" s="51" t="n">
        <f aca="false">1+IF($G$6=$E$6,$F$6,IF(P149&lt;($F$6-$E$6)/($G$6-$E$6),$E$6+SQRT(P149*($G$6-$E$6)*($F$6-$E$6)),$G$6-SQRT((1-P149)*($G$6-$E$6)*($G$6-$F$6))))</f>
        <v>0.972937293388158</v>
      </c>
      <c r="C149" s="51" t="n">
        <f aca="false">1+IF($G$7=$E$7,$F$7,IF(Q149&lt;($F$7-$E$7)/($G$7-$E$7),$E$7+SQRT(Q149*($G$7-$E$7)*($F$7-$E$7)),$G$7-SQRT((1-Q149)*($G$7-$E$7)*($G$7-$F$7))))</f>
        <v>0.937238309920397</v>
      </c>
      <c r="D149" s="51" t="n">
        <f aca="false">1+IF($G$8=$E$8,$F$8,IF(R149&lt;($F$8-$E$8)/($G$8-$E$8),$E$8+SQRT(R149*($G$8-$E$8)*($F$8-$E$8)),$G$8-SQRT((1-R149)*($G$8-$E$8)*($G$8-$F$8))))</f>
        <v>0.999105973848124</v>
      </c>
      <c r="E149" s="51" t="n">
        <f aca="false">1+IF($G$9=$E$9,$F$9,IF(S149&lt;($F$9-$E$9)/($G$9-$E$9),$E$9+SQRT(S149*($G$9-$E$9)*($F$9-$E$9)),$G$9-SQRT((1-S149)*($G$9-$E$9)*($G$9-$F$9))))</f>
        <v>1.06519664645943</v>
      </c>
      <c r="F149" s="51" t="n">
        <f aca="false">1+IF($G$10=$E$10,$F$10,IF(T149&lt;($F$10-$E$10)/($G$10-$E$10),$E$10+SQRT(T149*($G$10-$E$10)*($F$10-$E$10)),$G$10-SQRT((1-T149)*($G$10-$E$10)*($G$10-$F$10))))</f>
        <v>1.06953349031241</v>
      </c>
      <c r="G149" s="52" t="n">
        <f aca="false">IF($G$11=$E$11,$F$11,IF(U149&lt;($F$11-$E$11)/($G$11-$E$11),$E$11+SQRT(U149*($G$11-$E$11)*($F$11-$E$11)),$G$11-SQRT((1-U149)*($G$11-$E$11)*($G$11-$F$11))))</f>
        <v>0.108322070265115</v>
      </c>
      <c r="H149" s="53" t="n">
        <f aca="false">(('Business Case'!B11*$C149*'Business Case'!B12*$B149)-'Business Case'!B11*$C149*'Business Case'!B13*$D149-'Business Case'!B14*$E149)-MAX(0,(('Business Case'!B11*$C149*'Business Case'!B12*$B149)-'Business Case'!B11*$C149*'Business Case'!B13*$D149-'Business Case'!B14*$E149))*'Business Case'!$B$7-'Business Case'!$B$8*('Business Case'!B11*$C149*'Business Case'!B12*$B149)-'Business Case'!B15*$F149</f>
        <v>-2139066980.62481</v>
      </c>
      <c r="I149" s="53" t="n">
        <f aca="false">(('Business Case'!C11*$C149*'Business Case'!C12*$B149)-'Business Case'!C11*$C149*'Business Case'!C13*$D149-'Business Case'!C14*$E149)-MAX(0,(('Business Case'!C11*$C149*'Business Case'!C12*$B149)-'Business Case'!C11*$C149*'Business Case'!C13*$D149-'Business Case'!C14*$E149))*'Business Case'!$B$7-'Business Case'!$B$8*(('Business Case'!C11*$C149*'Business Case'!C12*$B149)-('Business Case'!B11*$C149*'Business Case'!B12*$B149))-'Business Case'!C15*$F149</f>
        <v>-38167409.0847342</v>
      </c>
      <c r="J149" s="53" t="n">
        <f aca="false">(('Business Case'!D11*$C149*'Business Case'!D12*$B149)-'Business Case'!D11*$C149*'Business Case'!D13*$D149-'Business Case'!D14*$E149)-MAX(0,(('Business Case'!D11*$C149*'Business Case'!D12*$B149)-'Business Case'!D11*$C149*'Business Case'!D13*$D149-'Business Case'!D14*$E149))*'Business Case'!$B$7-'Business Case'!$B$8*(('Business Case'!D11*$C149*'Business Case'!D12*$B149)-('Business Case'!C11*$C149*'Business Case'!C12*$B149))-'Business Case'!D15*$F149</f>
        <v>229361047.56629</v>
      </c>
      <c r="K149" s="53" t="n">
        <f aca="false">(('Business Case'!E11*$C149*'Business Case'!E12*$B149)-'Business Case'!E11*$C149*'Business Case'!E13*$D149-'Business Case'!E14*$E149)-MAX(0,(('Business Case'!E11*$C149*'Business Case'!E12*$B149)-'Business Case'!E11*$C149*'Business Case'!E13*$D149-'Business Case'!E14*$E149))*'Business Case'!$B$7-'Business Case'!$B$8*(('Business Case'!E11*$C149*'Business Case'!E12*$B149)-('Business Case'!D11*$C149*'Business Case'!D12*$B149))-'Business Case'!E15*$F149</f>
        <v>550366178.732934</v>
      </c>
      <c r="L149" s="53" t="n">
        <f aca="false">(('Business Case'!F11*$C149*'Business Case'!F12*$B149)-'Business Case'!F11*$C149*'Business Case'!F13*$D149-'Business Case'!F14*$E149)-MAX(0,(('Business Case'!F11*$C149*'Business Case'!F12*$B149)-'Business Case'!F11*$C149*'Business Case'!F13*$D149-'Business Case'!F14*$E149))*'Business Case'!$B$7-'Business Case'!$B$8*(('Business Case'!F11*$C149*'Business Case'!F12*$B149)-('Business Case'!E11*$C149*'Business Case'!E12*$B149))-'Business Case'!F15*$F149</f>
        <v>671056700.001934</v>
      </c>
      <c r="M149" s="53" t="n">
        <f aca="false">(('Business Case'!G11*$C149*'Business Case'!G12*$B149)-'Business Case'!G11*$C149*'Business Case'!G13*$D149-'Business Case'!G14*$E149)-MAX(0,(('Business Case'!G11*$C149*'Business Case'!G12*$B149)-'Business Case'!G11*$C149*'Business Case'!G13*$D149-'Business Case'!G14*$E149))*'Business Case'!$B$7-'Business Case'!$B$8*(('Business Case'!G11*$C149*'Business Case'!G12*$B149)-('Business Case'!F11*$C149*'Business Case'!F12*$B149))-'Business Case'!G15*$F149+'Business Case'!$B$8*('Business Case'!G11*$C149*'Business Case'!G12*$B149)</f>
        <v>844385729.787887</v>
      </c>
      <c r="N149" s="53" t="n">
        <f aca="false">IF(COUNT('Business Case'!B11:G11)=0,"",H149+NPV(G149,I149:M149))</f>
        <v>-632896580.546003</v>
      </c>
      <c r="P149" s="54" t="n">
        <f aca="true">RAND()</f>
        <v>0.291912190756662</v>
      </c>
      <c r="Q149" s="54" t="n">
        <f aca="true">RAND()</f>
        <v>0.269062195854384</v>
      </c>
      <c r="R149" s="54" t="n">
        <f aca="true">RAND()</f>
        <v>0.370984102703475</v>
      </c>
      <c r="S149" s="54" t="n">
        <f aca="true">RAND()</f>
        <v>0.919248438821989</v>
      </c>
      <c r="T149" s="54" t="n">
        <f aca="true">RAND()</f>
        <v>0.659569796998742</v>
      </c>
      <c r="U149" s="54" t="n">
        <f aca="true">RAND()</f>
        <v>0.772709928511826</v>
      </c>
    </row>
    <row r="150" customFormat="false" ht="15" hidden="false" customHeight="false" outlineLevel="0" collapsed="false">
      <c r="A150" s="50" t="n">
        <v>70</v>
      </c>
      <c r="B150" s="51" t="n">
        <f aca="false">1+IF($G$6=$E$6,$F$6,IF(P150&lt;($F$6-$E$6)/($G$6-$E$6),$E$6+SQRT(P150*($G$6-$E$6)*($F$6-$E$6)),$G$6-SQRT((1-P150)*($G$6-$E$6)*($G$6-$F$6))))</f>
        <v>0.93134612118094</v>
      </c>
      <c r="C150" s="51" t="n">
        <f aca="false">1+IF($G$7=$E$7,$F$7,IF(Q150&lt;($F$7-$E$7)/($G$7-$E$7),$E$7+SQRT(Q150*($G$7-$E$7)*($F$7-$E$7)),$G$7-SQRT((1-Q150)*($G$7-$E$7)*($G$7-$F$7))))</f>
        <v>0.826405983303434</v>
      </c>
      <c r="D150" s="51" t="n">
        <f aca="false">1+IF($G$8=$E$8,$F$8,IF(R150&lt;($F$8-$E$8)/($G$8-$E$8),$E$8+SQRT(R150*($G$8-$E$8)*($F$8-$E$8)),$G$8-SQRT((1-R150)*($G$8-$E$8)*($G$8-$F$8))))</f>
        <v>1.03404386249679</v>
      </c>
      <c r="E150" s="51" t="n">
        <f aca="false">1+IF($G$9=$E$9,$F$9,IF(S150&lt;($F$9-$E$9)/($G$9-$E$9),$E$9+SQRT(S150*($G$9-$E$9)*($F$9-$E$9)),$G$9-SQRT((1-S150)*($G$9-$E$9)*($G$9-$F$9))))</f>
        <v>1.04636505684246</v>
      </c>
      <c r="F150" s="51" t="n">
        <f aca="false">1+IF($G$10=$E$10,$F$10,IF(T150&lt;($F$10-$E$10)/($G$10-$E$10),$E$10+SQRT(T150*($G$10-$E$10)*($F$10-$E$10)),$G$10-SQRT((1-T150)*($G$10-$E$10)*($G$10-$F$10))))</f>
        <v>0.967776348250593</v>
      </c>
      <c r="G150" s="52" t="n">
        <f aca="false">IF($G$11=$E$11,$F$11,IF(U150&lt;($F$11-$E$11)/($G$11-$E$11),$E$11+SQRT(U150*($G$11-$E$11)*($F$11-$E$11)),$G$11-SQRT((1-U150)*($G$11-$E$11)*($G$11-$F$11))))</f>
        <v>0.102288439624388</v>
      </c>
      <c r="H150" s="53" t="n">
        <f aca="false">(('Business Case'!B11*$C150*'Business Case'!B12*$B150)-'Business Case'!B11*$C150*'Business Case'!B13*$D150-'Business Case'!B14*$E150)-MAX(0,(('Business Case'!B11*$C150*'Business Case'!B12*$B150)-'Business Case'!B11*$C150*'Business Case'!B13*$D150-'Business Case'!B14*$E150))*'Business Case'!$B$7-'Business Case'!$B$8*('Business Case'!B11*$C150*'Business Case'!B12*$B150)-'Business Case'!B15*$F150</f>
        <v>-1935552696.50119</v>
      </c>
      <c r="I150" s="53" t="n">
        <f aca="false">(('Business Case'!C11*$C150*'Business Case'!C12*$B150)-'Business Case'!C11*$C150*'Business Case'!C13*$D150-'Business Case'!C14*$E150)-MAX(0,(('Business Case'!C11*$C150*'Business Case'!C12*$B150)-'Business Case'!C11*$C150*'Business Case'!C13*$D150-'Business Case'!C14*$E150))*'Business Case'!$B$7-'Business Case'!$B$8*(('Business Case'!C11*$C150*'Business Case'!C12*$B150)-('Business Case'!B11*$C150*'Business Case'!B12*$B150))-'Business Case'!C15*$F150</f>
        <v>-92511421.7429974</v>
      </c>
      <c r="J150" s="53" t="n">
        <f aca="false">(('Business Case'!D11*$C150*'Business Case'!D12*$B150)-'Business Case'!D11*$C150*'Business Case'!D13*$D150-'Business Case'!D14*$E150)-MAX(0,(('Business Case'!D11*$C150*'Business Case'!D12*$B150)-'Business Case'!D11*$C150*'Business Case'!D13*$D150-'Business Case'!D14*$E150))*'Business Case'!$B$7-'Business Case'!$B$8*(('Business Case'!D11*$C150*'Business Case'!D12*$B150)-('Business Case'!C11*$C150*'Business Case'!C12*$B150))-'Business Case'!D15*$F150</f>
        <v>100447595.58859</v>
      </c>
      <c r="K150" s="53" t="n">
        <f aca="false">(('Business Case'!E11*$C150*'Business Case'!E12*$B150)-'Business Case'!E11*$C150*'Business Case'!E13*$D150-'Business Case'!E14*$E150)-MAX(0,(('Business Case'!E11*$C150*'Business Case'!E12*$B150)-'Business Case'!E11*$C150*'Business Case'!E13*$D150-'Business Case'!E14*$E150))*'Business Case'!$B$7-'Business Case'!$B$8*(('Business Case'!E11*$C150*'Business Case'!E12*$B150)-('Business Case'!D11*$C150*'Business Case'!D12*$B150))-'Business Case'!E15*$F150</f>
        <v>341795430.332707</v>
      </c>
      <c r="L150" s="53" t="n">
        <f aca="false">(('Business Case'!F11*$C150*'Business Case'!F12*$B150)-'Business Case'!F11*$C150*'Business Case'!F13*$D150-'Business Case'!F14*$E150)-MAX(0,(('Business Case'!F11*$C150*'Business Case'!F12*$B150)-'Business Case'!F11*$C150*'Business Case'!F13*$D150-'Business Case'!F14*$E150))*'Business Case'!$B$7-'Business Case'!$B$8*(('Business Case'!F11*$C150*'Business Case'!F12*$B150)-('Business Case'!E11*$C150*'Business Case'!E12*$B150))-'Business Case'!F15*$F150</f>
        <v>432714898.220922</v>
      </c>
      <c r="M150" s="53" t="n">
        <f aca="false">(('Business Case'!G11*$C150*'Business Case'!G12*$B150)-'Business Case'!G11*$C150*'Business Case'!G13*$D150-'Business Case'!G14*$E150)-MAX(0,(('Business Case'!G11*$C150*'Business Case'!G12*$B150)-'Business Case'!G11*$C150*'Business Case'!G13*$D150-'Business Case'!G14*$E150))*'Business Case'!$B$7-'Business Case'!$B$8*(('Business Case'!G11*$C150*'Business Case'!G12*$B150)-('Business Case'!F11*$C150*'Business Case'!F12*$B150))-'Business Case'!G15*$F150+'Business Case'!$B$8*('Business Case'!G11*$C150*'Business Case'!G12*$B150)</f>
        <v>579013773.164859</v>
      </c>
      <c r="N150" s="53" t="n">
        <f aca="false">IF(COUNT('Business Case'!B11:G11)=0,"",H150+NPV(G150,I150:M150))</f>
        <v>-1032700415.92221</v>
      </c>
      <c r="P150" s="54" t="n">
        <f aca="true">RAND()</f>
        <v>0.0134098401929757</v>
      </c>
      <c r="Q150" s="54" t="n">
        <f aca="true">RAND()</f>
        <v>0.00996108506030348</v>
      </c>
      <c r="R150" s="54" t="n">
        <f aca="true">RAND()</f>
        <v>0.796926290940924</v>
      </c>
      <c r="S150" s="54" t="n">
        <f aca="true">RAND()</f>
        <v>0.80821952483248</v>
      </c>
      <c r="T150" s="54" t="n">
        <f aca="true">RAND()</f>
        <v>0.0252798845701082</v>
      </c>
      <c r="U150" s="54" t="n">
        <f aca="true">RAND()</f>
        <v>0.47716771510174</v>
      </c>
    </row>
    <row r="151" customFormat="false" ht="15" hidden="false" customHeight="false" outlineLevel="0" collapsed="false">
      <c r="A151" s="50" t="n">
        <v>71</v>
      </c>
      <c r="B151" s="51" t="n">
        <f aca="false">1+IF($G$6=$E$6,$F$6,IF(P151&lt;($F$6-$E$6)/($G$6-$E$6),$E$6+SQRT(P151*($G$6-$E$6)*($F$6-$E$6)),$G$6-SQRT((1-P151)*($G$6-$E$6)*($G$6-$F$6))))</f>
        <v>1.00865848963145</v>
      </c>
      <c r="C151" s="51" t="n">
        <f aca="false">1+IF($G$7=$E$7,$F$7,IF(Q151&lt;($F$7-$E$7)/($G$7-$E$7),$E$7+SQRT(Q151*($G$7-$E$7)*($F$7-$E$7)),$G$7-SQRT((1-Q151)*($G$7-$E$7)*($G$7-$F$7))))</f>
        <v>0.958435233760937</v>
      </c>
      <c r="D151" s="51" t="n">
        <f aca="false">1+IF($G$8=$E$8,$F$8,IF(R151&lt;($F$8-$E$8)/($G$8-$E$8),$E$8+SQRT(R151*($G$8-$E$8)*($F$8-$E$8)),$G$8-SQRT((1-R151)*($G$8-$E$8)*($G$8-$F$8))))</f>
        <v>0.96975639776583</v>
      </c>
      <c r="E151" s="51" t="n">
        <f aca="false">1+IF($G$9=$E$9,$F$9,IF(S151&lt;($F$9-$E$9)/($G$9-$E$9),$E$9+SQRT(S151*($G$9-$E$9)*($F$9-$E$9)),$G$9-SQRT((1-S151)*($G$9-$E$9)*($G$9-$F$9))))</f>
        <v>1.00136550146135</v>
      </c>
      <c r="F151" s="51" t="n">
        <f aca="false">1+IF($G$10=$E$10,$F$10,IF(T151&lt;($F$10-$E$10)/($G$10-$E$10),$E$10+SQRT(T151*($G$10-$E$10)*($F$10-$E$10)),$G$10-SQRT((1-T151)*($G$10-$E$10)*($G$10-$F$10))))</f>
        <v>1.05229296320137</v>
      </c>
      <c r="G151" s="52" t="n">
        <f aca="false">IF($G$11=$E$11,$F$11,IF(U151&lt;($F$11-$E$11)/($G$11-$E$11),$E$11+SQRT(U151*($G$11-$E$11)*($F$11-$E$11)),$G$11-SQRT((1-U151)*($G$11-$E$11)*($G$11-$F$11))))</f>
        <v>0.094153410501238</v>
      </c>
      <c r="H151" s="53" t="n">
        <f aca="false">(('Business Case'!B11*$C151*'Business Case'!B12*$B151)-'Business Case'!B11*$C151*'Business Case'!B13*$D151-'Business Case'!B14*$E151)-MAX(0,(('Business Case'!B11*$C151*'Business Case'!B12*$B151)-'Business Case'!B11*$C151*'Business Case'!B13*$D151-'Business Case'!B14*$E151))*'Business Case'!$B$7-'Business Case'!$B$8*('Business Case'!B11*$C151*'Business Case'!B12*$B151)-'Business Case'!B15*$F151</f>
        <v>-2104585926.40274</v>
      </c>
      <c r="I151" s="53" t="n">
        <f aca="false">(('Business Case'!C11*$C151*'Business Case'!C12*$B151)-'Business Case'!C11*$C151*'Business Case'!C13*$D151-'Business Case'!C14*$E151)-MAX(0,(('Business Case'!C11*$C151*'Business Case'!C12*$B151)-'Business Case'!C11*$C151*'Business Case'!C13*$D151-'Business Case'!C14*$E151))*'Business Case'!$B$7-'Business Case'!$B$8*(('Business Case'!C11*$C151*'Business Case'!C12*$B151)-('Business Case'!B11*$C151*'Business Case'!B12*$B151))-'Business Case'!C15*$F151</f>
        <v>18282284.8996594</v>
      </c>
      <c r="J151" s="53" t="n">
        <f aca="false">(('Business Case'!D11*$C151*'Business Case'!D12*$B151)-'Business Case'!D11*$C151*'Business Case'!D13*$D151-'Business Case'!D14*$E151)-MAX(0,(('Business Case'!D11*$C151*'Business Case'!D12*$B151)-'Business Case'!D11*$C151*'Business Case'!D13*$D151-'Business Case'!D14*$E151))*'Business Case'!$B$7-'Business Case'!$B$8*(('Business Case'!D11*$C151*'Business Case'!D12*$B151)-('Business Case'!C11*$C151*'Business Case'!C12*$B151))-'Business Case'!D15*$F151</f>
        <v>334303522.448947</v>
      </c>
      <c r="K151" s="53" t="n">
        <f aca="false">(('Business Case'!E11*$C151*'Business Case'!E12*$B151)-'Business Case'!E11*$C151*'Business Case'!E13*$D151-'Business Case'!E14*$E151)-MAX(0,(('Business Case'!E11*$C151*'Business Case'!E12*$B151)-'Business Case'!E11*$C151*'Business Case'!E13*$D151-'Business Case'!E14*$E151))*'Business Case'!$B$7-'Business Case'!$B$8*(('Business Case'!E11*$C151*'Business Case'!E12*$B151)-('Business Case'!D11*$C151*'Business Case'!D12*$B151))-'Business Case'!E15*$F151</f>
        <v>702939408.158302</v>
      </c>
      <c r="L151" s="53" t="n">
        <f aca="false">(('Business Case'!F11*$C151*'Business Case'!F12*$B151)-'Business Case'!F11*$C151*'Business Case'!F13*$D151-'Business Case'!F14*$E151)-MAX(0,(('Business Case'!F11*$C151*'Business Case'!F12*$B151)-'Business Case'!F11*$C151*'Business Case'!F13*$D151-'Business Case'!F14*$E151))*'Business Case'!$B$7-'Business Case'!$B$8*(('Business Case'!F11*$C151*'Business Case'!F12*$B151)-('Business Case'!E11*$C151*'Business Case'!E12*$B151))-'Business Case'!F15*$F151</f>
        <v>841690142.022522</v>
      </c>
      <c r="M151" s="53" t="n">
        <f aca="false">(('Business Case'!G11*$C151*'Business Case'!G12*$B151)-'Business Case'!G11*$C151*'Business Case'!G13*$D151-'Business Case'!G14*$E151)-MAX(0,(('Business Case'!G11*$C151*'Business Case'!G12*$B151)-'Business Case'!G11*$C151*'Business Case'!G13*$D151-'Business Case'!G14*$E151))*'Business Case'!$B$7-'Business Case'!$B$8*(('Business Case'!G11*$C151*'Business Case'!G12*$B151)-('Business Case'!F11*$C151*'Business Case'!F12*$B151))-'Business Case'!G15*$F151+'Business Case'!$B$8*('Business Case'!G11*$C151*'Business Case'!G12*$B151)</f>
        <v>1025446909.43537</v>
      </c>
      <c r="N151" s="53" t="n">
        <f aca="false">IF(COUNT('Business Case'!B11:G11)=0,"",H151+NPV(G151,I151:M151))</f>
        <v>-30803902.8936348</v>
      </c>
      <c r="P151" s="54" t="n">
        <f aca="true">RAND()</f>
        <v>0.795356193295396</v>
      </c>
      <c r="Q151" s="54" t="n">
        <f aca="true">RAND()</f>
        <v>0.358596047098327</v>
      </c>
      <c r="R151" s="54" t="n">
        <f aca="true">RAND()</f>
        <v>0.0600485004125698</v>
      </c>
      <c r="S151" s="54" t="n">
        <f aca="true">RAND()</f>
        <v>0.351415713202</v>
      </c>
      <c r="T151" s="54" t="n">
        <f aca="true">RAND()</f>
        <v>0.563652625603374</v>
      </c>
      <c r="U151" s="54" t="n">
        <f aca="true">RAND()</f>
        <v>0.0575027293059793</v>
      </c>
    </row>
    <row r="152" customFormat="false" ht="15" hidden="false" customHeight="false" outlineLevel="0" collapsed="false">
      <c r="A152" s="50" t="n">
        <v>72</v>
      </c>
      <c r="B152" s="51" t="n">
        <f aca="false">1+IF($G$6=$E$6,$F$6,IF(P152&lt;($F$6-$E$6)/($G$6-$E$6),$E$6+SQRT(P152*($G$6-$E$6)*($F$6-$E$6)),$G$6-SQRT((1-P152)*($G$6-$E$6)*($G$6-$F$6))))</f>
        <v>0.973019674496295</v>
      </c>
      <c r="C152" s="51" t="n">
        <f aca="false">1+IF($G$7=$E$7,$F$7,IF(Q152&lt;($F$7-$E$7)/($G$7-$E$7),$E$7+SQRT(Q152*($G$7-$E$7)*($F$7-$E$7)),$G$7-SQRT((1-Q152)*($G$7-$E$7)*($G$7-$F$7))))</f>
        <v>0.925334816010198</v>
      </c>
      <c r="D152" s="51" t="n">
        <f aca="false">1+IF($G$8=$E$8,$F$8,IF(R152&lt;($F$8-$E$8)/($G$8-$E$8),$E$8+SQRT(R152*($G$8-$E$8)*($F$8-$E$8)),$G$8-SQRT((1-R152)*($G$8-$E$8)*($G$8-$F$8))))</f>
        <v>1.03007228059477</v>
      </c>
      <c r="E152" s="51" t="n">
        <f aca="false">1+IF($G$9=$E$9,$F$9,IF(S152&lt;($F$9-$E$9)/($G$9-$E$9),$E$9+SQRT(S152*($G$9-$E$9)*($F$9-$E$9)),$G$9-SQRT((1-S152)*($G$9-$E$9)*($G$9-$F$9))))</f>
        <v>0.989933971472902</v>
      </c>
      <c r="F152" s="51" t="n">
        <f aca="false">1+IF($G$10=$E$10,$F$10,IF(T152&lt;($F$10-$E$10)/($G$10-$E$10),$E$10+SQRT(T152*($G$10-$E$10)*($F$10-$E$10)),$G$10-SQRT((1-T152)*($G$10-$E$10)*($G$10-$F$10))))</f>
        <v>1.11871816294783</v>
      </c>
      <c r="G152" s="52" t="n">
        <f aca="false">IF($G$11=$E$11,$F$11,IF(U152&lt;($F$11-$E$11)/($G$11-$E$11),$E$11+SQRT(U152*($G$11-$E$11)*($F$11-$E$11)),$G$11-SQRT((1-U152)*($G$11-$E$11)*($G$11-$F$11))))</f>
        <v>0.0995522489001685</v>
      </c>
      <c r="H152" s="53" t="n">
        <f aca="false">(('Business Case'!B11*$C152*'Business Case'!B12*$B152)-'Business Case'!B11*$C152*'Business Case'!B13*$D152-'Business Case'!B14*$E152)-MAX(0,(('Business Case'!B11*$C152*'Business Case'!B12*$B152)-'Business Case'!B11*$C152*'Business Case'!B13*$D152-'Business Case'!B14*$E152))*'Business Case'!$B$7-'Business Case'!$B$8*('Business Case'!B11*$C152*'Business Case'!B12*$B152)-'Business Case'!B15*$F152</f>
        <v>-2237436325.89565</v>
      </c>
      <c r="I152" s="53" t="n">
        <f aca="false">(('Business Case'!C11*$C152*'Business Case'!C12*$B152)-'Business Case'!C11*$C152*'Business Case'!C13*$D152-'Business Case'!C14*$E152)-MAX(0,(('Business Case'!C11*$C152*'Business Case'!C12*$B152)-'Business Case'!C11*$C152*'Business Case'!C13*$D152-'Business Case'!C14*$E152))*'Business Case'!$B$7-'Business Case'!$B$8*(('Business Case'!C11*$C152*'Business Case'!C12*$B152)-('Business Case'!B11*$C152*'Business Case'!B12*$B152))-'Business Case'!C15*$F152</f>
        <v>-49791092.7557523</v>
      </c>
      <c r="J152" s="53" t="n">
        <f aca="false">(('Business Case'!D11*$C152*'Business Case'!D12*$B152)-'Business Case'!D11*$C152*'Business Case'!D13*$D152-'Business Case'!D14*$E152)-MAX(0,(('Business Case'!D11*$C152*'Business Case'!D12*$B152)-'Business Case'!D11*$C152*'Business Case'!D13*$D152-'Business Case'!D14*$E152))*'Business Case'!$B$7-'Business Case'!$B$8*(('Business Case'!D11*$C152*'Business Case'!D12*$B152)-('Business Case'!C11*$C152*'Business Case'!C12*$B152))-'Business Case'!D15*$F152</f>
        <v>199733369.526354</v>
      </c>
      <c r="K152" s="53" t="n">
        <f aca="false">(('Business Case'!E11*$C152*'Business Case'!E12*$B152)-'Business Case'!E11*$C152*'Business Case'!E13*$D152-'Business Case'!E14*$E152)-MAX(0,(('Business Case'!E11*$C152*'Business Case'!E12*$B152)-'Business Case'!E11*$C152*'Business Case'!E13*$D152-'Business Case'!E14*$E152))*'Business Case'!$B$7-'Business Case'!$B$8*(('Business Case'!E11*$C152*'Business Case'!E12*$B152)-('Business Case'!D11*$C152*'Business Case'!D12*$B152))-'Business Case'!E15*$F152</f>
        <v>505193739.955851</v>
      </c>
      <c r="L152" s="53" t="n">
        <f aca="false">(('Business Case'!F11*$C152*'Business Case'!F12*$B152)-'Business Case'!F11*$C152*'Business Case'!F13*$D152-'Business Case'!F14*$E152)-MAX(0,(('Business Case'!F11*$C152*'Business Case'!F12*$B152)-'Business Case'!F11*$C152*'Business Case'!F13*$D152-'Business Case'!F14*$E152))*'Business Case'!$B$7-'Business Case'!$B$8*(('Business Case'!F11*$C152*'Business Case'!F12*$B152)-('Business Case'!E11*$C152*'Business Case'!E12*$B152))-'Business Case'!F15*$F152</f>
        <v>619485312.716306</v>
      </c>
      <c r="M152" s="53" t="n">
        <f aca="false">(('Business Case'!G11*$C152*'Business Case'!G12*$B152)-'Business Case'!G11*$C152*'Business Case'!G13*$D152-'Business Case'!G14*$E152)-MAX(0,(('Business Case'!G11*$C152*'Business Case'!G12*$B152)-'Business Case'!G11*$C152*'Business Case'!G13*$D152-'Business Case'!G14*$E152))*'Business Case'!$B$7-'Business Case'!$B$8*(('Business Case'!G11*$C152*'Business Case'!G12*$B152)-('Business Case'!F11*$C152*'Business Case'!F12*$B152))-'Business Case'!G15*$F152+'Business Case'!$B$8*('Business Case'!G11*$C152*'Business Case'!G12*$B152)</f>
        <v>790627448.714947</v>
      </c>
      <c r="N152" s="53" t="n">
        <f aca="false">IF(COUNT('Business Case'!B11:G11)=0,"",H152+NPV(G152,I152:M152))</f>
        <v>-821768405.063379</v>
      </c>
      <c r="P152" s="54" t="n">
        <f aca="true">RAND()</f>
        <v>0.292821446218032</v>
      </c>
      <c r="Q152" s="54" t="n">
        <f aca="true">RAND()</f>
        <v>0.224411658633004</v>
      </c>
      <c r="R152" s="54" t="n">
        <f aca="true">RAND()</f>
        <v>0.760309887980012</v>
      </c>
      <c r="S152" s="54" t="n">
        <f aca="true">RAND()</f>
        <v>0.212629610346474</v>
      </c>
      <c r="T152" s="54" t="n">
        <f aca="true">RAND()</f>
        <v>0.867865259308475</v>
      </c>
      <c r="U152" s="54" t="n">
        <f aca="true">RAND()</f>
        <v>0.304151530169234</v>
      </c>
    </row>
    <row r="153" customFormat="false" ht="15" hidden="false" customHeight="false" outlineLevel="0" collapsed="false">
      <c r="A153" s="50" t="n">
        <v>73</v>
      </c>
      <c r="B153" s="51" t="n">
        <f aca="false">1+IF($G$6=$E$6,$F$6,IF(P153&lt;($F$6-$E$6)/($G$6-$E$6),$E$6+SQRT(P153*($G$6-$E$6)*($F$6-$E$6)),$G$6-SQRT((1-P153)*($G$6-$E$6)*($G$6-$F$6))))</f>
        <v>0.966933401492356</v>
      </c>
      <c r="C153" s="51" t="n">
        <f aca="false">1+IF($G$7=$E$7,$F$7,IF(Q153&lt;($F$7-$E$7)/($G$7-$E$7),$E$7+SQRT(Q153*($G$7-$E$7)*($F$7-$E$7)),$G$7-SQRT((1-Q153)*($G$7-$E$7)*($G$7-$F$7))))</f>
        <v>0.933206169390558</v>
      </c>
      <c r="D153" s="51" t="n">
        <f aca="false">1+IF($G$8=$E$8,$F$8,IF(R153&lt;($F$8-$E$8)/($G$8-$E$8),$E$8+SQRT(R153*($G$8-$E$8)*($F$8-$E$8)),$G$8-SQRT((1-R153)*($G$8-$E$8)*($G$8-$F$8))))</f>
        <v>0.991836478897469</v>
      </c>
      <c r="E153" s="51" t="n">
        <f aca="false">1+IF($G$9=$E$9,$F$9,IF(S153&lt;($F$9-$E$9)/($G$9-$E$9),$E$9+SQRT(S153*($G$9-$E$9)*($F$9-$E$9)),$G$9-SQRT((1-S153)*($G$9-$E$9)*($G$9-$F$9))))</f>
        <v>0.999055151409851</v>
      </c>
      <c r="F153" s="51" t="n">
        <f aca="false">1+IF($G$10=$E$10,$F$10,IF(T153&lt;($F$10-$E$10)/($G$10-$E$10),$E$10+SQRT(T153*($G$10-$E$10)*($F$10-$E$10)),$G$10-SQRT((1-T153)*($G$10-$E$10)*($G$10-$F$10))))</f>
        <v>1.02351052267845</v>
      </c>
      <c r="G153" s="52" t="n">
        <f aca="false">IF($G$11=$E$11,$F$11,IF(U153&lt;($F$11-$E$11)/($G$11-$E$11),$E$11+SQRT(U153*($G$11-$E$11)*($F$11-$E$11)),$G$11-SQRT((1-U153)*($G$11-$E$11)*($G$11-$F$11))))</f>
        <v>0.112954124294331</v>
      </c>
      <c r="H153" s="53" t="n">
        <f aca="false">(('Business Case'!B11*$C153*'Business Case'!B12*$B153)-'Business Case'!B11*$C153*'Business Case'!B13*$D153-'Business Case'!B14*$E153)-MAX(0,(('Business Case'!B11*$C153*'Business Case'!B12*$B153)-'Business Case'!B11*$C153*'Business Case'!B13*$D153-'Business Case'!B14*$E153))*'Business Case'!$B$7-'Business Case'!$B$8*('Business Case'!B11*$C153*'Business Case'!B12*$B153)-'Business Case'!B15*$F153</f>
        <v>-2047021045.35691</v>
      </c>
      <c r="I153" s="53" t="n">
        <f aca="false">(('Business Case'!C11*$C153*'Business Case'!C12*$B153)-'Business Case'!C11*$C153*'Business Case'!C13*$D153-'Business Case'!C14*$E153)-MAX(0,(('Business Case'!C11*$C153*'Business Case'!C12*$B153)-'Business Case'!C11*$C153*'Business Case'!C13*$D153-'Business Case'!C14*$E153))*'Business Case'!$B$7-'Business Case'!$B$8*(('Business Case'!C11*$C153*'Business Case'!C12*$B153)-('Business Case'!B11*$C153*'Business Case'!B12*$B153))-'Business Case'!C15*$F153</f>
        <v>-25933237.1859599</v>
      </c>
      <c r="J153" s="53" t="n">
        <f aca="false">(('Business Case'!D11*$C153*'Business Case'!D12*$B153)-'Business Case'!D11*$C153*'Business Case'!D13*$D153-'Business Case'!D14*$E153)-MAX(0,(('Business Case'!D11*$C153*'Business Case'!D12*$B153)-'Business Case'!D11*$C153*'Business Case'!D13*$D153-'Business Case'!D14*$E153))*'Business Case'!$B$7-'Business Case'!$B$8*(('Business Case'!D11*$C153*'Business Case'!D12*$B153)-('Business Case'!C11*$C153*'Business Case'!C12*$B153))-'Business Case'!D15*$F153</f>
        <v>239327951.926349</v>
      </c>
      <c r="K153" s="53" t="n">
        <f aca="false">(('Business Case'!E11*$C153*'Business Case'!E12*$B153)-'Business Case'!E11*$C153*'Business Case'!E13*$D153-'Business Case'!E14*$E153)-MAX(0,(('Business Case'!E11*$C153*'Business Case'!E12*$B153)-'Business Case'!E11*$C153*'Business Case'!E13*$D153-'Business Case'!E14*$E153))*'Business Case'!$B$7-'Business Case'!$B$8*(('Business Case'!E11*$C153*'Business Case'!E12*$B153)-('Business Case'!D11*$C153*'Business Case'!D12*$B153))-'Business Case'!E15*$F153</f>
        <v>555764667.17258</v>
      </c>
      <c r="L153" s="53" t="n">
        <f aca="false">(('Business Case'!F11*$C153*'Business Case'!F12*$B153)-'Business Case'!F11*$C153*'Business Case'!F13*$D153-'Business Case'!F14*$E153)-MAX(0,(('Business Case'!F11*$C153*'Business Case'!F12*$B153)-'Business Case'!F11*$C153*'Business Case'!F13*$D153-'Business Case'!F14*$E153))*'Business Case'!$B$7-'Business Case'!$B$8*(('Business Case'!F11*$C153*'Business Case'!F12*$B153)-('Business Case'!E11*$C153*'Business Case'!E12*$B153))-'Business Case'!F15*$F153</f>
        <v>675370217.876644</v>
      </c>
      <c r="M153" s="53" t="n">
        <f aca="false">(('Business Case'!G11*$C153*'Business Case'!G12*$B153)-'Business Case'!G11*$C153*'Business Case'!G13*$D153-'Business Case'!G14*$E153)-MAX(0,(('Business Case'!G11*$C153*'Business Case'!G12*$B153)-'Business Case'!G11*$C153*'Business Case'!G13*$D153-'Business Case'!G14*$E153))*'Business Case'!$B$7-'Business Case'!$B$8*(('Business Case'!G11*$C153*'Business Case'!G12*$B153)-('Business Case'!F11*$C153*'Business Case'!F12*$B153))-'Business Case'!G15*$F153+'Business Case'!$B$8*('Business Case'!G11*$C153*'Business Case'!G12*$B153)</f>
        <v>846888566.709765</v>
      </c>
      <c r="N153" s="53" t="n">
        <f aca="false">IF(COUNT('Business Case'!B11:G11)=0,"",H153+NPV(G153,I153:M153))</f>
        <v>-537830221.055226</v>
      </c>
      <c r="P153" s="54" t="n">
        <f aca="true">RAND()</f>
        <v>0.229452518296109</v>
      </c>
      <c r="Q153" s="54" t="n">
        <f aca="true">RAND()</f>
        <v>0.253484050910086</v>
      </c>
      <c r="R153" s="54" t="n">
        <f aca="true">RAND()</f>
        <v>0.269275533313594</v>
      </c>
      <c r="S153" s="54" t="n">
        <f aca="true">RAND()</f>
        <v>0.32085438397912</v>
      </c>
      <c r="T153" s="54" t="n">
        <f aca="true">RAND()</f>
        <v>0.377029287895348</v>
      </c>
      <c r="U153" s="54" t="n">
        <f aca="true">RAND()</f>
        <v>0.917259392567099</v>
      </c>
    </row>
    <row r="154" customFormat="false" ht="15" hidden="false" customHeight="false" outlineLevel="0" collapsed="false">
      <c r="A154" s="50" t="n">
        <v>74</v>
      </c>
      <c r="B154" s="51" t="n">
        <f aca="false">1+IF($G$6=$E$6,$F$6,IF(P154&lt;($F$6-$E$6)/($G$6-$E$6),$E$6+SQRT(P154*($G$6-$E$6)*($F$6-$E$6)),$G$6-SQRT((1-P154)*($G$6-$E$6)*($G$6-$F$6))))</f>
        <v>0.989586636904186</v>
      </c>
      <c r="C154" s="51" t="n">
        <f aca="false">1+IF($G$7=$E$7,$F$7,IF(Q154&lt;($F$7-$E$7)/($G$7-$E$7),$E$7+SQRT(Q154*($G$7-$E$7)*($F$7-$E$7)),$G$7-SQRT((1-Q154)*($G$7-$E$7)*($G$7-$F$7))))</f>
        <v>1.07920522346432</v>
      </c>
      <c r="D154" s="51" t="n">
        <f aca="false">1+IF($G$8=$E$8,$F$8,IF(R154&lt;($F$8-$E$8)/($G$8-$E$8),$E$8+SQRT(R154*($G$8-$E$8)*($F$8-$E$8)),$G$8-SQRT((1-R154)*($G$8-$E$8)*($G$8-$F$8))))</f>
        <v>0.995091459152455</v>
      </c>
      <c r="E154" s="51" t="n">
        <f aca="false">1+IF($G$9=$E$9,$F$9,IF(S154&lt;($F$9-$E$9)/($G$9-$E$9),$E$9+SQRT(S154*($G$9-$E$9)*($F$9-$E$9)),$G$9-SQRT((1-S154)*($G$9-$E$9)*($G$9-$F$9))))</f>
        <v>1.01852159545345</v>
      </c>
      <c r="F154" s="51" t="n">
        <f aca="false">1+IF($G$10=$E$10,$F$10,IF(T154&lt;($F$10-$E$10)/($G$10-$E$10),$E$10+SQRT(T154*($G$10-$E$10)*($F$10-$E$10)),$G$10-SQRT((1-T154)*($G$10-$E$10)*($G$10-$F$10))))</f>
        <v>1.06153178125399</v>
      </c>
      <c r="G154" s="52" t="n">
        <f aca="false">IF($G$11=$E$11,$F$11,IF(U154&lt;($F$11-$E$11)/($G$11-$E$11),$E$11+SQRT(U154*($G$11-$E$11)*($F$11-$E$11)),$G$11-SQRT((1-U154)*($G$11-$E$11)*($G$11-$F$11))))</f>
        <v>0.09977330452021</v>
      </c>
      <c r="H154" s="53" t="n">
        <f aca="false">(('Business Case'!B11*$C154*'Business Case'!B12*$B154)-'Business Case'!B11*$C154*'Business Case'!B13*$D154-'Business Case'!B14*$E154)-MAX(0,(('Business Case'!B11*$C154*'Business Case'!B12*$B154)-'Business Case'!B11*$C154*'Business Case'!B13*$D154-'Business Case'!B14*$E154))*'Business Case'!$B$7-'Business Case'!$B$8*('Business Case'!B11*$C154*'Business Case'!B12*$B154)-'Business Case'!B15*$F154</f>
        <v>-2123063562.50799</v>
      </c>
      <c r="I154" s="53" t="n">
        <f aca="false">(('Business Case'!C11*$C154*'Business Case'!C12*$B154)-'Business Case'!C11*$C154*'Business Case'!C13*$D154-'Business Case'!C14*$E154)-MAX(0,(('Business Case'!C11*$C154*'Business Case'!C12*$B154)-'Business Case'!C11*$C154*'Business Case'!C13*$D154-'Business Case'!C14*$E154))*'Business Case'!$B$7-'Business Case'!$B$8*(('Business Case'!C11*$C154*'Business Case'!C12*$B154)-('Business Case'!B11*$C154*'Business Case'!B12*$B154))-'Business Case'!C15*$F154</f>
        <v>18636627.7779272</v>
      </c>
      <c r="J154" s="53" t="n">
        <f aca="false">(('Business Case'!D11*$C154*'Business Case'!D12*$B154)-'Business Case'!D11*$C154*'Business Case'!D13*$D154-'Business Case'!D14*$E154)-MAX(0,(('Business Case'!D11*$C154*'Business Case'!D12*$B154)-'Business Case'!D11*$C154*'Business Case'!D13*$D154-'Business Case'!D14*$E154))*'Business Case'!$B$7-'Business Case'!$B$8*(('Business Case'!D11*$C154*'Business Case'!D12*$B154)-('Business Case'!C11*$C154*'Business Case'!C12*$B154))-'Business Case'!D15*$F154</f>
        <v>343623617.340025</v>
      </c>
      <c r="K154" s="53" t="n">
        <f aca="false">(('Business Case'!E11*$C154*'Business Case'!E12*$B154)-'Business Case'!E11*$C154*'Business Case'!E13*$D154-'Business Case'!E14*$E154)-MAX(0,(('Business Case'!E11*$C154*'Business Case'!E12*$B154)-'Business Case'!E11*$C154*'Business Case'!E13*$D154-'Business Case'!E14*$E154))*'Business Case'!$B$7-'Business Case'!$B$8*(('Business Case'!E11*$C154*'Business Case'!E12*$B154)-('Business Case'!D11*$C154*'Business Case'!D12*$B154))-'Business Case'!E15*$F154</f>
        <v>721687195.964822</v>
      </c>
      <c r="L154" s="53" t="n">
        <f aca="false">(('Business Case'!F11*$C154*'Business Case'!F12*$B154)-'Business Case'!F11*$C154*'Business Case'!F13*$D154-'Business Case'!F14*$E154)-MAX(0,(('Business Case'!F11*$C154*'Business Case'!F12*$B154)-'Business Case'!F11*$C154*'Business Case'!F13*$D154-'Business Case'!F14*$E154))*'Business Case'!$B$7-'Business Case'!$B$8*(('Business Case'!F11*$C154*'Business Case'!F12*$B154)-('Business Case'!E11*$C154*'Business Case'!E12*$B154))-'Business Case'!F15*$F154</f>
        <v>866925134.342382</v>
      </c>
      <c r="M154" s="53" t="n">
        <f aca="false">(('Business Case'!G11*$C154*'Business Case'!G12*$B154)-'Business Case'!G11*$C154*'Business Case'!G13*$D154-'Business Case'!G14*$E154)-MAX(0,(('Business Case'!G11*$C154*'Business Case'!G12*$B154)-'Business Case'!G11*$C154*'Business Case'!G13*$D154-'Business Case'!G14*$E154))*'Business Case'!$B$7-'Business Case'!$B$8*(('Business Case'!G11*$C154*'Business Case'!G12*$B154)-('Business Case'!F11*$C154*'Business Case'!F12*$B154))-'Business Case'!G15*$F154+'Business Case'!$B$8*('Business Case'!G11*$C154*'Business Case'!G12*$B154)</f>
        <v>1069924314.55511</v>
      </c>
      <c r="N154" s="53" t="n">
        <f aca="false">IF(COUNT('Business Case'!B11:G11)=0,"",H154+NPV(G154,I154:M154))</f>
        <v>-21830794.409564</v>
      </c>
      <c r="P154" s="54" t="n">
        <f aca="true">RAND()</f>
        <v>0.50440625371198</v>
      </c>
      <c r="Q154" s="54" t="n">
        <f aca="true">RAND()</f>
        <v>0.904535230766911</v>
      </c>
      <c r="R154" s="54" t="n">
        <f aca="true">RAND()</f>
        <v>0.312806105922689</v>
      </c>
      <c r="S154" s="54" t="n">
        <f aca="true">RAND()</f>
        <v>0.557417972836592</v>
      </c>
      <c r="T154" s="54" t="n">
        <f aca="true">RAND()</f>
        <v>0.616531047946167</v>
      </c>
      <c r="U154" s="54" t="n">
        <f aca="true">RAND()</f>
        <v>0.318391604149189</v>
      </c>
    </row>
    <row r="155" customFormat="false" ht="15" hidden="false" customHeight="false" outlineLevel="0" collapsed="false">
      <c r="A155" s="50" t="n">
        <v>75</v>
      </c>
      <c r="B155" s="51" t="n">
        <f aca="false">1+IF($G$6=$E$6,$F$6,IF(P155&lt;($F$6-$E$6)/($G$6-$E$6),$E$6+SQRT(P155*($G$6-$E$6)*($F$6-$E$6)),$G$6-SQRT((1-P155)*($G$6-$E$6)*($G$6-$F$6))))</f>
        <v>0.983120987958311</v>
      </c>
      <c r="C155" s="51" t="n">
        <f aca="false">1+IF($G$7=$E$7,$F$7,IF(Q155&lt;($F$7-$E$7)/($G$7-$E$7),$E$7+SQRT(Q155*($G$7-$E$7)*($F$7-$E$7)),$G$7-SQRT((1-Q155)*($G$7-$E$7)*($G$7-$F$7))))</f>
        <v>0.994408922028921</v>
      </c>
      <c r="D155" s="51" t="n">
        <f aca="false">1+IF($G$8=$E$8,$F$8,IF(R155&lt;($F$8-$E$8)/($G$8-$E$8),$E$8+SQRT(R155*($G$8-$E$8)*($F$8-$E$8)),$G$8-SQRT((1-R155)*($G$8-$E$8)*($G$8-$F$8))))</f>
        <v>0.999180892735865</v>
      </c>
      <c r="E155" s="51" t="n">
        <f aca="false">1+IF($G$9=$E$9,$F$9,IF(S155&lt;($F$9-$E$9)/($G$9-$E$9),$E$9+SQRT(S155*($G$9-$E$9)*($F$9-$E$9)),$G$9-SQRT((1-S155)*($G$9-$E$9)*($G$9-$F$9))))</f>
        <v>0.983790272362181</v>
      </c>
      <c r="F155" s="51" t="n">
        <f aca="false">1+IF($G$10=$E$10,$F$10,IF(T155&lt;($F$10-$E$10)/($G$10-$E$10),$E$10+SQRT(T155*($G$10-$E$10)*($F$10-$E$10)),$G$10-SQRT((1-T155)*($G$10-$E$10)*($G$10-$F$10))))</f>
        <v>1.16719901000187</v>
      </c>
      <c r="G155" s="52" t="n">
        <f aca="false">IF($G$11=$E$11,$F$11,IF(U155&lt;($F$11-$E$11)/($G$11-$E$11),$E$11+SQRT(U155*($G$11-$E$11)*($F$11-$E$11)),$G$11-SQRT((1-U155)*($G$11-$E$11)*($G$11-$F$11))))</f>
        <v>0.094276538579076</v>
      </c>
      <c r="H155" s="53" t="n">
        <f aca="false">(('Business Case'!B11*$C155*'Business Case'!B12*$B155)-'Business Case'!B11*$C155*'Business Case'!B13*$D155-'Business Case'!B14*$E155)-MAX(0,(('Business Case'!B11*$C155*'Business Case'!B12*$B155)-'Business Case'!B11*$C155*'Business Case'!B13*$D155-'Business Case'!B14*$E155))*'Business Case'!$B$7-'Business Case'!$B$8*('Business Case'!B11*$C155*'Business Case'!B12*$B155)-'Business Case'!B15*$F155</f>
        <v>-2334398020.00375</v>
      </c>
      <c r="I155" s="53" t="n">
        <f aca="false">(('Business Case'!C11*$C155*'Business Case'!C12*$B155)-'Business Case'!C11*$C155*'Business Case'!C13*$D155-'Business Case'!C14*$E155)-MAX(0,(('Business Case'!C11*$C155*'Business Case'!C12*$B155)-'Business Case'!C11*$C155*'Business Case'!C13*$D155-'Business Case'!C14*$E155))*'Business Case'!$B$7-'Business Case'!$B$8*(('Business Case'!C11*$C155*'Business Case'!C12*$B155)-('Business Case'!B11*$C155*'Business Case'!B12*$B155))-'Business Case'!C15*$F155</f>
        <v>-15191087.1209755</v>
      </c>
      <c r="J155" s="53" t="n">
        <f aca="false">(('Business Case'!D11*$C155*'Business Case'!D12*$B155)-'Business Case'!D11*$C155*'Business Case'!D13*$D155-'Business Case'!D14*$E155)-MAX(0,(('Business Case'!D11*$C155*'Business Case'!D12*$B155)-'Business Case'!D11*$C155*'Business Case'!D13*$D155-'Business Case'!D14*$E155))*'Business Case'!$B$7-'Business Case'!$B$8*(('Business Case'!D11*$C155*'Business Case'!D12*$B155)-('Business Case'!C11*$C155*'Business Case'!C12*$B155))-'Business Case'!D15*$F155</f>
        <v>276912746.259742</v>
      </c>
      <c r="K155" s="53" t="n">
        <f aca="false">(('Business Case'!E11*$C155*'Business Case'!E12*$B155)-'Business Case'!E11*$C155*'Business Case'!E13*$D155-'Business Case'!E14*$E155)-MAX(0,(('Business Case'!E11*$C155*'Business Case'!E12*$B155)-'Business Case'!E11*$C155*'Business Case'!E13*$D155-'Business Case'!E14*$E155))*'Business Case'!$B$7-'Business Case'!$B$8*(('Business Case'!E11*$C155*'Business Case'!E12*$B155)-('Business Case'!D11*$C155*'Business Case'!D12*$B155))-'Business Case'!E15*$F155</f>
        <v>627376530.140553</v>
      </c>
      <c r="L155" s="53" t="n">
        <f aca="false">(('Business Case'!F11*$C155*'Business Case'!F12*$B155)-'Business Case'!F11*$C155*'Business Case'!F13*$D155-'Business Case'!F14*$E155)-MAX(0,(('Business Case'!F11*$C155*'Business Case'!F12*$B155)-'Business Case'!F11*$C155*'Business Case'!F13*$D155-'Business Case'!F14*$E155))*'Business Case'!$B$7-'Business Case'!$B$8*(('Business Case'!F11*$C155*'Business Case'!F12*$B155)-('Business Case'!E11*$C155*'Business Case'!E12*$B155))-'Business Case'!F15*$F155</f>
        <v>758531169.781861</v>
      </c>
      <c r="M155" s="53" t="n">
        <f aca="false">(('Business Case'!G11*$C155*'Business Case'!G12*$B155)-'Business Case'!G11*$C155*'Business Case'!G13*$D155-'Business Case'!G14*$E155)-MAX(0,(('Business Case'!G11*$C155*'Business Case'!G12*$B155)-'Business Case'!G11*$C155*'Business Case'!G13*$D155-'Business Case'!G14*$E155))*'Business Case'!$B$7-'Business Case'!$B$8*(('Business Case'!G11*$C155*'Business Case'!G12*$B155)-('Business Case'!F11*$C155*'Business Case'!F12*$B155))-'Business Case'!G15*$F155+'Business Case'!$B$8*('Business Case'!G11*$C155*'Business Case'!G12*$B155)</f>
        <v>944357993.27774</v>
      </c>
      <c r="N155" s="53" t="n">
        <f aca="false">IF(COUNT('Business Case'!B11:G11)=0,"",H155+NPV(G155,I155:M155))</f>
        <v>-507355043.353238</v>
      </c>
      <c r="P155" s="54" t="n">
        <f aca="true">RAND()</f>
        <v>0.415026991753466</v>
      </c>
      <c r="Q155" s="54" t="n">
        <f aca="true">RAND()</f>
        <v>0.539926128063528</v>
      </c>
      <c r="R155" s="54" t="n">
        <f aca="true">RAND()</f>
        <v>0.372116955430258</v>
      </c>
      <c r="S155" s="54" t="n">
        <f aca="true">RAND()</f>
        <v>0.152237667508051</v>
      </c>
      <c r="T155" s="54" t="n">
        <f aca="true">RAND()</f>
        <v>0.978481901102856</v>
      </c>
      <c r="U155" s="54" t="n">
        <f aca="true">RAND()</f>
        <v>0.0609626073944183</v>
      </c>
    </row>
    <row r="156" customFormat="false" ht="15" hidden="false" customHeight="false" outlineLevel="0" collapsed="false">
      <c r="A156" s="50" t="n">
        <v>76</v>
      </c>
      <c r="B156" s="51" t="n">
        <f aca="false">1+IF($G$6=$E$6,$F$6,IF(P156&lt;($F$6-$E$6)/($G$6-$E$6),$E$6+SQRT(P156*($G$6-$E$6)*($F$6-$E$6)),$G$6-SQRT((1-P156)*($G$6-$E$6)*($G$6-$F$6))))</f>
        <v>1.0147216999177</v>
      </c>
      <c r="C156" s="51" t="n">
        <f aca="false">1+IF($G$7=$E$7,$F$7,IF(Q156&lt;($F$7-$E$7)/($G$7-$E$7),$E$7+SQRT(Q156*($G$7-$E$7)*($F$7-$E$7)),$G$7-SQRT((1-Q156)*($G$7-$E$7)*($G$7-$F$7))))</f>
        <v>1.05704892038926</v>
      </c>
      <c r="D156" s="51" t="n">
        <f aca="false">1+IF($G$8=$E$8,$F$8,IF(R156&lt;($F$8-$E$8)/($G$8-$E$8),$E$8+SQRT(R156*($G$8-$E$8)*($F$8-$E$8)),$G$8-SQRT((1-R156)*($G$8-$E$8)*($G$8-$F$8))))</f>
        <v>0.973585759120948</v>
      </c>
      <c r="E156" s="51" t="n">
        <f aca="false">1+IF($G$9=$E$9,$F$9,IF(S156&lt;($F$9-$E$9)/($G$9-$E$9),$E$9+SQRT(S156*($G$9-$E$9)*($F$9-$E$9)),$G$9-SQRT((1-S156)*($G$9-$E$9)*($G$9-$F$9))))</f>
        <v>1.04248958086439</v>
      </c>
      <c r="F156" s="51" t="n">
        <f aca="false">1+IF($G$10=$E$10,$F$10,IF(T156&lt;($F$10-$E$10)/($G$10-$E$10),$E$10+SQRT(T156*($G$10-$E$10)*($F$10-$E$10)),$G$10-SQRT((1-T156)*($G$10-$E$10)*($G$10-$F$10))))</f>
        <v>1.04329595380956</v>
      </c>
      <c r="G156" s="52" t="n">
        <f aca="false">IF($G$11=$E$11,$F$11,IF(U156&lt;($F$11-$E$11)/($G$11-$E$11),$E$11+SQRT(U156*($G$11-$E$11)*($F$11-$E$11)),$G$11-SQRT((1-U156)*($G$11-$E$11)*($G$11-$F$11))))</f>
        <v>0.0953910916645959</v>
      </c>
      <c r="H156" s="53" t="n">
        <f aca="false">(('Business Case'!B11*$C156*'Business Case'!B12*$B156)-'Business Case'!B11*$C156*'Business Case'!B13*$D156-'Business Case'!B14*$E156)-MAX(0,(('Business Case'!B11*$C156*'Business Case'!B12*$B156)-'Business Case'!B11*$C156*'Business Case'!B13*$D156-'Business Case'!B14*$E156))*'Business Case'!$B$7-'Business Case'!$B$8*('Business Case'!B11*$C156*'Business Case'!B12*$B156)-'Business Case'!B15*$F156</f>
        <v>-2086591907.61912</v>
      </c>
      <c r="I156" s="53" t="n">
        <f aca="false">(('Business Case'!C11*$C156*'Business Case'!C12*$B156)-'Business Case'!C11*$C156*'Business Case'!C13*$D156-'Business Case'!C14*$E156)-MAX(0,(('Business Case'!C11*$C156*'Business Case'!C12*$B156)-'Business Case'!C11*$C156*'Business Case'!C13*$D156-'Business Case'!C14*$E156))*'Business Case'!$B$7-'Business Case'!$B$8*(('Business Case'!C11*$C156*'Business Case'!C12*$B156)-('Business Case'!B11*$C156*'Business Case'!B12*$B156))-'Business Case'!C15*$F156</f>
        <v>43538377.1341901</v>
      </c>
      <c r="J156" s="53" t="n">
        <f aca="false">(('Business Case'!D11*$C156*'Business Case'!D12*$B156)-'Business Case'!D11*$C156*'Business Case'!D13*$D156-'Business Case'!D14*$E156)-MAX(0,(('Business Case'!D11*$C156*'Business Case'!D12*$B156)-'Business Case'!D11*$C156*'Business Case'!D13*$D156-'Business Case'!D14*$E156))*'Business Case'!$B$7-'Business Case'!$B$8*(('Business Case'!D11*$C156*'Business Case'!D12*$B156)-('Business Case'!C11*$C156*'Business Case'!C12*$B156))-'Business Case'!D15*$F156</f>
        <v>395252495.196334</v>
      </c>
      <c r="K156" s="53" t="n">
        <f aca="false">(('Business Case'!E11*$C156*'Business Case'!E12*$B156)-'Business Case'!E11*$C156*'Business Case'!E13*$D156-'Business Case'!E14*$E156)-MAX(0,(('Business Case'!E11*$C156*'Business Case'!E12*$B156)-'Business Case'!E11*$C156*'Business Case'!E13*$D156-'Business Case'!E14*$E156))*'Business Case'!$B$7-'Business Case'!$B$8*(('Business Case'!E11*$C156*'Business Case'!E12*$B156)-('Business Case'!D11*$C156*'Business Case'!D12*$B156))-'Business Case'!E15*$F156</f>
        <v>799131410.948956</v>
      </c>
      <c r="L156" s="53" t="n">
        <f aca="false">(('Business Case'!F11*$C156*'Business Case'!F12*$B156)-'Business Case'!F11*$C156*'Business Case'!F13*$D156-'Business Case'!F14*$E156)-MAX(0,(('Business Case'!F11*$C156*'Business Case'!F12*$B156)-'Business Case'!F11*$C156*'Business Case'!F13*$D156-'Business Case'!F14*$E156))*'Business Case'!$B$7-'Business Case'!$B$8*(('Business Case'!F11*$C156*'Business Case'!F12*$B156)-('Business Case'!E11*$C156*'Business Case'!E12*$B156))-'Business Case'!F15*$F156</f>
        <v>953438868.401725</v>
      </c>
      <c r="M156" s="53" t="n">
        <f aca="false">(('Business Case'!G11*$C156*'Business Case'!G12*$B156)-'Business Case'!G11*$C156*'Business Case'!G13*$D156-'Business Case'!G14*$E156)-MAX(0,(('Business Case'!G11*$C156*'Business Case'!G12*$B156)-'Business Case'!G11*$C156*'Business Case'!G13*$D156-'Business Case'!G14*$E156))*'Business Case'!$B$7-'Business Case'!$B$8*(('Business Case'!G11*$C156*'Business Case'!G12*$B156)-('Business Case'!F11*$C156*'Business Case'!F12*$B156))-'Business Case'!G15*$F156+'Business Case'!$B$8*('Business Case'!G11*$C156*'Business Case'!G12*$B156)</f>
        <v>1157320667.94469</v>
      </c>
      <c r="N156" s="53" t="n">
        <f aca="false">IF(COUNT('Business Case'!B11:G11)=0,"",H156+NPV(G156,I156:M156))</f>
        <v>286665958.644694</v>
      </c>
      <c r="P156" s="54" t="n">
        <f aca="true">RAND()</f>
        <v>0.866876571864423</v>
      </c>
      <c r="Q156" s="54" t="n">
        <f aca="true">RAND()</f>
        <v>0.835430415222804</v>
      </c>
      <c r="R156" s="54" t="n">
        <f aca="true">RAND()</f>
        <v>0.0855827743555931</v>
      </c>
      <c r="S156" s="54" t="n">
        <f aca="true">RAND()</f>
        <v>0.779503446056415</v>
      </c>
      <c r="T156" s="54" t="n">
        <f aca="true">RAND()</f>
        <v>0.508876838150894</v>
      </c>
      <c r="U156" s="54" t="n">
        <f aca="true">RAND()</f>
        <v>0.0968795644535833</v>
      </c>
    </row>
    <row r="157" customFormat="false" ht="15" hidden="false" customHeight="false" outlineLevel="0" collapsed="false">
      <c r="A157" s="50" t="n">
        <v>77</v>
      </c>
      <c r="B157" s="51" t="n">
        <f aca="false">1+IF($G$6=$E$6,$F$6,IF(P157&lt;($F$6-$E$6)/($G$6-$E$6),$E$6+SQRT(P157*($G$6-$E$6)*($F$6-$E$6)),$G$6-SQRT((1-P157)*($G$6-$E$6)*($G$6-$F$6))))</f>
        <v>1.0012016803843</v>
      </c>
      <c r="C157" s="51" t="n">
        <f aca="false">1+IF($G$7=$E$7,$F$7,IF(Q157&lt;($F$7-$E$7)/($G$7-$E$7),$E$7+SQRT(Q157*($G$7-$E$7)*($F$7-$E$7)),$G$7-SQRT((1-Q157)*($G$7-$E$7)*($G$7-$F$7))))</f>
        <v>1.03243530854942</v>
      </c>
      <c r="D157" s="51" t="n">
        <f aca="false">1+IF($G$8=$E$8,$F$8,IF(R157&lt;($F$8-$E$8)/($G$8-$E$8),$E$8+SQRT(R157*($G$8-$E$8)*($F$8-$E$8)),$G$8-SQRT((1-R157)*($G$8-$E$8)*($G$8-$F$8))))</f>
        <v>0.969193153966825</v>
      </c>
      <c r="E157" s="51" t="n">
        <f aca="false">1+IF($G$9=$E$9,$F$9,IF(S157&lt;($F$9-$E$9)/($G$9-$E$9),$E$9+SQRT(S157*($G$9-$E$9)*($F$9-$E$9)),$G$9-SQRT((1-S157)*($G$9-$E$9)*($G$9-$F$9))))</f>
        <v>1.06438955064112</v>
      </c>
      <c r="F157" s="51" t="n">
        <f aca="false">1+IF($G$10=$E$10,$F$10,IF(T157&lt;($F$10-$E$10)/($G$10-$E$10),$E$10+SQRT(T157*($G$10-$E$10)*($F$10-$E$10)),$G$10-SQRT((1-T157)*($G$10-$E$10)*($G$10-$F$10))))</f>
        <v>1.01116657739454</v>
      </c>
      <c r="G157" s="52" t="n">
        <f aca="false">IF($G$11=$E$11,$F$11,IF(U157&lt;($F$11-$E$11)/($G$11-$E$11),$E$11+SQRT(U157*($G$11-$E$11)*($F$11-$E$11)),$G$11-SQRT((1-U157)*($G$11-$E$11)*($G$11-$F$11))))</f>
        <v>0.103567101367353</v>
      </c>
      <c r="H157" s="53" t="n">
        <f aca="false">(('Business Case'!B11*$C157*'Business Case'!B12*$B157)-'Business Case'!B11*$C157*'Business Case'!B13*$D157-'Business Case'!B14*$E157)-MAX(0,(('Business Case'!B11*$C157*'Business Case'!B12*$B157)-'Business Case'!B11*$C157*'Business Case'!B13*$D157-'Business Case'!B14*$E157))*'Business Case'!$B$7-'Business Case'!$B$8*('Business Case'!B11*$C157*'Business Case'!B12*$B157)-'Business Case'!B15*$F157</f>
        <v>-2022333154.78908</v>
      </c>
      <c r="I157" s="53" t="n">
        <f aca="false">(('Business Case'!C11*$C157*'Business Case'!C12*$B157)-'Business Case'!C11*$C157*'Business Case'!C13*$D157-'Business Case'!C14*$E157)-MAX(0,(('Business Case'!C11*$C157*'Business Case'!C12*$B157)-'Business Case'!C11*$C157*'Business Case'!C13*$D157-'Business Case'!C14*$E157))*'Business Case'!$B$7-'Business Case'!$B$8*(('Business Case'!C11*$C157*'Business Case'!C12*$B157)-('Business Case'!B11*$C157*'Business Case'!B12*$B157))-'Business Case'!C15*$F157</f>
        <v>28354309.8212616</v>
      </c>
      <c r="J157" s="53" t="n">
        <f aca="false">(('Business Case'!D11*$C157*'Business Case'!D12*$B157)-'Business Case'!D11*$C157*'Business Case'!D13*$D157-'Business Case'!D14*$E157)-MAX(0,(('Business Case'!D11*$C157*'Business Case'!D12*$B157)-'Business Case'!D11*$C157*'Business Case'!D13*$D157-'Business Case'!D14*$E157))*'Business Case'!$B$7-'Business Case'!$B$8*(('Business Case'!D11*$C157*'Business Case'!D12*$B157)-('Business Case'!C11*$C157*'Business Case'!C12*$B157))-'Business Case'!D15*$F157</f>
        <v>362767233.550619</v>
      </c>
      <c r="K157" s="53" t="n">
        <f aca="false">(('Business Case'!E11*$C157*'Business Case'!E12*$B157)-'Business Case'!E11*$C157*'Business Case'!E13*$D157-'Business Case'!E14*$E157)-MAX(0,(('Business Case'!E11*$C157*'Business Case'!E12*$B157)-'Business Case'!E11*$C157*'Business Case'!E13*$D157-'Business Case'!E14*$E157))*'Business Case'!$B$7-'Business Case'!$B$8*(('Business Case'!E11*$C157*'Business Case'!E12*$B157)-('Business Case'!D11*$C157*'Business Case'!D12*$B157))-'Business Case'!E15*$F157</f>
        <v>747738486.149704</v>
      </c>
      <c r="L157" s="53" t="n">
        <f aca="false">(('Business Case'!F11*$C157*'Business Case'!F12*$B157)-'Business Case'!F11*$C157*'Business Case'!F13*$D157-'Business Case'!F14*$E157)-MAX(0,(('Business Case'!F11*$C157*'Business Case'!F12*$B157)-'Business Case'!F11*$C157*'Business Case'!F13*$D157-'Business Case'!F14*$E157))*'Business Case'!$B$7-'Business Case'!$B$8*(('Business Case'!F11*$C157*'Business Case'!F12*$B157)-('Business Case'!E11*$C157*'Business Case'!E12*$B157))-'Business Case'!F15*$F157</f>
        <v>894933302.104472</v>
      </c>
      <c r="M157" s="53" t="n">
        <f aca="false">(('Business Case'!G11*$C157*'Business Case'!G12*$B157)-'Business Case'!G11*$C157*'Business Case'!G13*$D157-'Business Case'!G14*$E157)-MAX(0,(('Business Case'!G11*$C157*'Business Case'!G12*$B157)-'Business Case'!G11*$C157*'Business Case'!G13*$D157-'Business Case'!G14*$E157))*'Business Case'!$B$7-'Business Case'!$B$8*(('Business Case'!G11*$C157*'Business Case'!G12*$B157)-('Business Case'!F11*$C157*'Business Case'!F12*$B157))-'Business Case'!G15*$F157+'Business Case'!$B$8*('Business Case'!G11*$C157*'Business Case'!G12*$B157)</f>
        <v>1091414429.68521</v>
      </c>
      <c r="N157" s="53" t="n">
        <f aca="false">IF(COUNT('Business Case'!B11:G11)=0,"",H157+NPV(G157,I157:M157))</f>
        <v>127776915.033337</v>
      </c>
      <c r="P157" s="54" t="n">
        <f aca="true">RAND()</f>
        <v>0.686393832291317</v>
      </c>
      <c r="Q157" s="54" t="n">
        <f aca="true">RAND()</f>
        <v>0.736734158554859</v>
      </c>
      <c r="R157" s="54" t="n">
        <f aca="true">RAND()</f>
        <v>0.0566734091068052</v>
      </c>
      <c r="S157" s="54" t="n">
        <f aca="true">RAND()</f>
        <v>0.915459726430584</v>
      </c>
      <c r="T157" s="54" t="n">
        <f aca="true">RAND()</f>
        <v>0.286838770142153</v>
      </c>
      <c r="U157" s="54" t="n">
        <f aca="true">RAND()</f>
        <v>0.549933070881892</v>
      </c>
    </row>
    <row r="158" customFormat="false" ht="15" hidden="false" customHeight="false" outlineLevel="0" collapsed="false">
      <c r="A158" s="50" t="n">
        <v>78</v>
      </c>
      <c r="B158" s="51" t="n">
        <f aca="false">1+IF($G$6=$E$6,$F$6,IF(P158&lt;($F$6-$E$6)/($G$6-$E$6),$E$6+SQRT(P158*($G$6-$E$6)*($F$6-$E$6)),$G$6-SQRT((1-P158)*($G$6-$E$6)*($G$6-$F$6))))</f>
        <v>1.01537037523025</v>
      </c>
      <c r="C158" s="51" t="n">
        <f aca="false">1+IF($G$7=$E$7,$F$7,IF(Q158&lt;($F$7-$E$7)/($G$7-$E$7),$E$7+SQRT(Q158*($G$7-$E$7)*($F$7-$E$7)),$G$7-SQRT((1-Q158)*($G$7-$E$7)*($G$7-$F$7))))</f>
        <v>1.05297482660513</v>
      </c>
      <c r="D158" s="51" t="n">
        <f aca="false">1+IF($G$8=$E$8,$F$8,IF(R158&lt;($F$8-$E$8)/($G$8-$E$8),$E$8+SQRT(R158*($G$8-$E$8)*($F$8-$E$8)),$G$8-SQRT((1-R158)*($G$8-$E$8)*($G$8-$F$8))))</f>
        <v>1.02730237418798</v>
      </c>
      <c r="E158" s="51" t="n">
        <f aca="false">1+IF($G$9=$E$9,$F$9,IF(S158&lt;($F$9-$E$9)/($G$9-$E$9),$E$9+SQRT(S158*($G$9-$E$9)*($F$9-$E$9)),$G$9-SQRT((1-S158)*($G$9-$E$9)*($G$9-$F$9))))</f>
        <v>1.03173780677153</v>
      </c>
      <c r="F158" s="51" t="n">
        <f aca="false">1+IF($G$10=$E$10,$F$10,IF(T158&lt;($F$10-$E$10)/($G$10-$E$10),$E$10+SQRT(T158*($G$10-$E$10)*($F$10-$E$10)),$G$10-SQRT((1-T158)*($G$10-$E$10)*($G$10-$F$10))))</f>
        <v>1.05660485035754</v>
      </c>
      <c r="G158" s="52" t="n">
        <f aca="false">IF($G$11=$E$11,$F$11,IF(U158&lt;($F$11-$E$11)/($G$11-$E$11),$E$11+SQRT(U158*($G$11-$E$11)*($F$11-$E$11)),$G$11-SQRT((1-U158)*($G$11-$E$11)*($G$11-$F$11))))</f>
        <v>0.10281086734417</v>
      </c>
      <c r="H158" s="53" t="n">
        <f aca="false">(('Business Case'!B11*$C158*'Business Case'!B12*$B158)-'Business Case'!B11*$C158*'Business Case'!B13*$D158-'Business Case'!B14*$E158)-MAX(0,(('Business Case'!B11*$C158*'Business Case'!B12*$B158)-'Business Case'!B11*$C158*'Business Case'!B13*$D158-'Business Case'!B14*$E158))*'Business Case'!$B$7-'Business Case'!$B$8*('Business Case'!B11*$C158*'Business Case'!B12*$B158)-'Business Case'!B15*$F158</f>
        <v>-2113209700.71507</v>
      </c>
      <c r="I158" s="53" t="n">
        <f aca="false">(('Business Case'!C11*$C158*'Business Case'!C12*$B158)-'Business Case'!C11*$C158*'Business Case'!C13*$D158-'Business Case'!C14*$E158)-MAX(0,(('Business Case'!C11*$C158*'Business Case'!C12*$B158)-'Business Case'!C11*$C158*'Business Case'!C13*$D158-'Business Case'!C14*$E158))*'Business Case'!$B$7-'Business Case'!$B$8*(('Business Case'!C11*$C158*'Business Case'!C12*$B158)-('Business Case'!B11*$C158*'Business Case'!B12*$B158))-'Business Case'!C15*$F158</f>
        <v>14163823.7379913</v>
      </c>
      <c r="J158" s="53" t="n">
        <f aca="false">(('Business Case'!D11*$C158*'Business Case'!D12*$B158)-'Business Case'!D11*$C158*'Business Case'!D13*$D158-'Business Case'!D14*$E158)-MAX(0,(('Business Case'!D11*$C158*'Business Case'!D12*$B158)-'Business Case'!D11*$C158*'Business Case'!D13*$D158-'Business Case'!D14*$E158))*'Business Case'!$B$7-'Business Case'!$B$8*(('Business Case'!D11*$C158*'Business Case'!D12*$B158)-('Business Case'!C11*$C158*'Business Case'!C12*$B158))-'Business Case'!D15*$F158</f>
        <v>336126474.25298</v>
      </c>
      <c r="K158" s="53" t="n">
        <f aca="false">(('Business Case'!E11*$C158*'Business Case'!E12*$B158)-'Business Case'!E11*$C158*'Business Case'!E13*$D158-'Business Case'!E14*$E158)-MAX(0,(('Business Case'!E11*$C158*'Business Case'!E12*$B158)-'Business Case'!E11*$C158*'Business Case'!E13*$D158-'Business Case'!E14*$E158))*'Business Case'!$B$7-'Business Case'!$B$8*(('Business Case'!E11*$C158*'Business Case'!E12*$B158)-('Business Case'!D11*$C158*'Business Case'!D12*$B158))-'Business Case'!E15*$F158</f>
        <v>710919367.285844</v>
      </c>
      <c r="L158" s="53" t="n">
        <f aca="false">(('Business Case'!F11*$C158*'Business Case'!F12*$B158)-'Business Case'!F11*$C158*'Business Case'!F13*$D158-'Business Case'!F14*$E158)-MAX(0,(('Business Case'!F11*$C158*'Business Case'!F12*$B158)-'Business Case'!F11*$C158*'Business Case'!F13*$D158-'Business Case'!F14*$E158))*'Business Case'!$B$7-'Business Case'!$B$8*(('Business Case'!F11*$C158*'Business Case'!F12*$B158)-('Business Case'!E11*$C158*'Business Case'!E12*$B158))-'Business Case'!F15*$F158</f>
        <v>855190401.203061</v>
      </c>
      <c r="M158" s="53" t="n">
        <f aca="false">(('Business Case'!G11*$C158*'Business Case'!G12*$B158)-'Business Case'!G11*$C158*'Business Case'!G13*$D158-'Business Case'!G14*$E158)-MAX(0,(('Business Case'!G11*$C158*'Business Case'!G12*$B158)-'Business Case'!G11*$C158*'Business Case'!G13*$D158-'Business Case'!G14*$E158))*'Business Case'!$B$7-'Business Case'!$B$8*(('Business Case'!G11*$C158*'Business Case'!G12*$B158)-('Business Case'!F11*$C158*'Business Case'!F12*$B158))-'Business Case'!G15*$F158+'Business Case'!$B$8*('Business Case'!G11*$C158*'Business Case'!G12*$B158)</f>
        <v>1058416228.47028</v>
      </c>
      <c r="N158" s="53" t="n">
        <f aca="false">IF(COUNT('Business Case'!B11:G11)=0,"",H158+NPV(G158,I158:M158))</f>
        <v>-66905030.4829581</v>
      </c>
      <c r="P158" s="54" t="n">
        <f aca="true">RAND()</f>
        <v>0.873621163271092</v>
      </c>
      <c r="Q158" s="54" t="n">
        <f aca="true">RAND()</f>
        <v>0.820687918622761</v>
      </c>
      <c r="R158" s="54" t="n">
        <f aca="true">RAND()</f>
        <v>0.732976945555392</v>
      </c>
      <c r="S158" s="54" t="n">
        <f aca="true">RAND()</f>
        <v>0.689351531709302</v>
      </c>
      <c r="T158" s="54" t="n">
        <f aca="true">RAND()</f>
        <v>0.588756621180309</v>
      </c>
      <c r="U158" s="54" t="n">
        <f aca="true">RAND()</f>
        <v>0.507556197567151</v>
      </c>
    </row>
    <row r="159" customFormat="false" ht="15" hidden="false" customHeight="false" outlineLevel="0" collapsed="false">
      <c r="A159" s="50" t="n">
        <v>79</v>
      </c>
      <c r="B159" s="51" t="n">
        <f aca="false">1+IF($G$6=$E$6,$F$6,IF(P159&lt;($F$6-$E$6)/($G$6-$E$6),$E$6+SQRT(P159*($G$6-$E$6)*($F$6-$E$6)),$G$6-SQRT((1-P159)*($G$6-$E$6)*($G$6-$F$6))))</f>
        <v>1.00911894207959</v>
      </c>
      <c r="C159" s="51" t="n">
        <f aca="false">1+IF($G$7=$E$7,$F$7,IF(Q159&lt;($F$7-$E$7)/($G$7-$E$7),$E$7+SQRT(Q159*($G$7-$E$7)*($F$7-$E$7)),$G$7-SQRT((1-Q159)*($G$7-$E$7)*($G$7-$F$7))))</f>
        <v>1.06959488938414</v>
      </c>
      <c r="D159" s="51" t="n">
        <f aca="false">1+IF($G$8=$E$8,$F$8,IF(R159&lt;($F$8-$E$8)/($G$8-$E$8),$E$8+SQRT(R159*($G$8-$E$8)*($F$8-$E$8)),$G$8-SQRT((1-R159)*($G$8-$E$8)*($G$8-$F$8))))</f>
        <v>0.974053838930328</v>
      </c>
      <c r="E159" s="51" t="n">
        <f aca="false">1+IF($G$9=$E$9,$F$9,IF(S159&lt;($F$9-$E$9)/($G$9-$E$9),$E$9+SQRT(S159*($G$9-$E$9)*($F$9-$E$9)),$G$9-SQRT((1-S159)*($G$9-$E$9)*($G$9-$F$9))))</f>
        <v>1.01806223031248</v>
      </c>
      <c r="F159" s="51" t="n">
        <f aca="false">1+IF($G$10=$E$10,$F$10,IF(T159&lt;($F$10-$E$10)/($G$10-$E$10),$E$10+SQRT(T159*($G$10-$E$10)*($F$10-$E$10)),$G$10-SQRT((1-T159)*($G$10-$E$10)*($G$10-$F$10))))</f>
        <v>0.967255057725019</v>
      </c>
      <c r="G159" s="52" t="n">
        <f aca="false">IF($G$11=$E$11,$F$11,IF(U159&lt;($F$11-$E$11)/($G$11-$E$11),$E$11+SQRT(U159*($G$11-$E$11)*($F$11-$E$11)),$G$11-SQRT((1-U159)*($G$11-$E$11)*($G$11-$F$11))))</f>
        <v>0.092607195177056</v>
      </c>
      <c r="H159" s="53" t="n">
        <f aca="false">(('Business Case'!B11*$C159*'Business Case'!B12*$B159)-'Business Case'!B11*$C159*'Business Case'!B13*$D159-'Business Case'!B14*$E159)-MAX(0,(('Business Case'!B11*$C159*'Business Case'!B12*$B159)-'Business Case'!B11*$C159*'Business Case'!B13*$D159-'Business Case'!B14*$E159))*'Business Case'!$B$7-'Business Case'!$B$8*('Business Case'!B11*$C159*'Business Case'!B12*$B159)-'Business Case'!B15*$F159</f>
        <v>-1934510115.45004</v>
      </c>
      <c r="I159" s="53" t="n">
        <f aca="false">(('Business Case'!C11*$C159*'Business Case'!C12*$B159)-'Business Case'!C11*$C159*'Business Case'!C13*$D159-'Business Case'!C14*$E159)-MAX(0,(('Business Case'!C11*$C159*'Business Case'!C12*$B159)-'Business Case'!C11*$C159*'Business Case'!C13*$D159-'Business Case'!C14*$E159))*'Business Case'!$B$7-'Business Case'!$B$8*(('Business Case'!C11*$C159*'Business Case'!C12*$B159)-('Business Case'!B11*$C159*'Business Case'!B12*$B159))-'Business Case'!C15*$F159</f>
        <v>53276452.5081729</v>
      </c>
      <c r="J159" s="53" t="n">
        <f aca="false">(('Business Case'!D11*$C159*'Business Case'!D12*$B159)-'Business Case'!D11*$C159*'Business Case'!D13*$D159-'Business Case'!D14*$E159)-MAX(0,(('Business Case'!D11*$C159*'Business Case'!D12*$B159)-'Business Case'!D11*$C159*'Business Case'!D13*$D159-'Business Case'!D14*$E159))*'Business Case'!$B$7-'Business Case'!$B$8*(('Business Case'!D11*$C159*'Business Case'!D12*$B159)-('Business Case'!C11*$C159*'Business Case'!C12*$B159))-'Business Case'!D15*$F159</f>
        <v>404000284.273078</v>
      </c>
      <c r="K159" s="53" t="n">
        <f aca="false">(('Business Case'!E11*$C159*'Business Case'!E12*$B159)-'Business Case'!E11*$C159*'Business Case'!E13*$D159-'Business Case'!E14*$E159)-MAX(0,(('Business Case'!E11*$C159*'Business Case'!E12*$B159)-'Business Case'!E11*$C159*'Business Case'!E13*$D159-'Business Case'!E14*$E159))*'Business Case'!$B$7-'Business Case'!$B$8*(('Business Case'!E11*$C159*'Business Case'!E12*$B159)-('Business Case'!D11*$C159*'Business Case'!D12*$B159))-'Business Case'!E15*$F159</f>
        <v>803086868.924233</v>
      </c>
      <c r="L159" s="53" t="n">
        <f aca="false">(('Business Case'!F11*$C159*'Business Case'!F12*$B159)-'Business Case'!F11*$C159*'Business Case'!F13*$D159-'Business Case'!F14*$E159)-MAX(0,(('Business Case'!F11*$C159*'Business Case'!F12*$B159)-'Business Case'!F11*$C159*'Business Case'!F13*$D159-'Business Case'!F14*$E159))*'Business Case'!$B$7-'Business Case'!$B$8*(('Business Case'!F11*$C159*'Business Case'!F12*$B159)-('Business Case'!E11*$C159*'Business Case'!E12*$B159))-'Business Case'!F15*$F159</f>
        <v>957297095.735065</v>
      </c>
      <c r="M159" s="53" t="n">
        <f aca="false">(('Business Case'!G11*$C159*'Business Case'!G12*$B159)-'Business Case'!G11*$C159*'Business Case'!G13*$D159-'Business Case'!G14*$E159)-MAX(0,(('Business Case'!G11*$C159*'Business Case'!G12*$B159)-'Business Case'!G11*$C159*'Business Case'!G13*$D159-'Business Case'!G14*$E159))*'Business Case'!$B$7-'Business Case'!$B$8*(('Business Case'!G11*$C159*'Business Case'!G12*$B159)-('Business Case'!F11*$C159*'Business Case'!F12*$B159))-'Business Case'!G15*$F159+'Business Case'!$B$8*('Business Case'!G11*$C159*'Business Case'!G12*$B159)</f>
        <v>1162459651.62565</v>
      </c>
      <c r="N159" s="53" t="n">
        <f aca="false">IF(COUNT('Business Case'!B11:G11)=0,"",H159+NPV(G159,I159:M159))</f>
        <v>486641756.04709</v>
      </c>
      <c r="P159" s="54" t="n">
        <f aca="true">RAND()</f>
        <v>0.801325054524254</v>
      </c>
      <c r="Q159" s="54" t="n">
        <f aca="true">RAND()</f>
        <v>0.876857489273373</v>
      </c>
      <c r="R159" s="54" t="n">
        <f aca="true">RAND()</f>
        <v>0.0890134103517205</v>
      </c>
      <c r="S159" s="54" t="n">
        <f aca="true">RAND()</f>
        <v>0.552413459909047</v>
      </c>
      <c r="T159" s="54" t="n">
        <f aca="true">RAND()</f>
        <v>0.0238189613674981</v>
      </c>
      <c r="U159" s="54" t="n">
        <f aca="true">RAND()</f>
        <v>0.0226582223042132</v>
      </c>
    </row>
    <row r="160" customFormat="false" ht="15" hidden="false" customHeight="false" outlineLevel="0" collapsed="false">
      <c r="A160" s="50" t="n">
        <v>80</v>
      </c>
      <c r="B160" s="51" t="n">
        <f aca="false">1+IF($G$6=$E$6,$F$6,IF(P160&lt;($F$6-$E$6)/($G$6-$E$6),$E$6+SQRT(P160*($G$6-$E$6)*($F$6-$E$6)),$G$6-SQRT((1-P160)*($G$6-$E$6)*($G$6-$F$6))))</f>
        <v>0.957291196088859</v>
      </c>
      <c r="C160" s="51" t="n">
        <f aca="false">1+IF($G$7=$E$7,$F$7,IF(Q160&lt;($F$7-$E$7)/($G$7-$E$7),$E$7+SQRT(Q160*($G$7-$E$7)*($F$7-$E$7)),$G$7-SQRT((1-Q160)*($G$7-$E$7)*($G$7-$F$7))))</f>
        <v>1.09316497142565</v>
      </c>
      <c r="D160" s="51" t="n">
        <f aca="false">1+IF($G$8=$E$8,$F$8,IF(R160&lt;($F$8-$E$8)/($G$8-$E$8),$E$8+SQRT(R160*($G$8-$E$8)*($F$8-$E$8)),$G$8-SQRT((1-R160)*($G$8-$E$8)*($G$8-$F$8))))</f>
        <v>1.02597022038835</v>
      </c>
      <c r="E160" s="51" t="n">
        <f aca="false">1+IF($G$9=$E$9,$F$9,IF(S160&lt;($F$9-$E$9)/($G$9-$E$9),$E$9+SQRT(S160*($G$9-$E$9)*($F$9-$E$9)),$G$9-SQRT((1-S160)*($G$9-$E$9)*($G$9-$F$9))))</f>
        <v>1.01842298032541</v>
      </c>
      <c r="F160" s="51" t="n">
        <f aca="false">1+IF($G$10=$E$10,$F$10,IF(T160&lt;($F$10-$E$10)/($G$10-$E$10),$E$10+SQRT(T160*($G$10-$E$10)*($F$10-$E$10)),$G$10-SQRT((1-T160)*($G$10-$E$10)*($G$10-$F$10))))</f>
        <v>1.05704533912385</v>
      </c>
      <c r="G160" s="52" t="n">
        <f aca="false">IF($G$11=$E$11,$F$11,IF(U160&lt;($F$11-$E$11)/($G$11-$E$11),$E$11+SQRT(U160*($G$11-$E$11)*($F$11-$E$11)),$G$11-SQRT((1-U160)*($G$11-$E$11)*($G$11-$F$11))))</f>
        <v>0.0979428663994892</v>
      </c>
      <c r="H160" s="53" t="n">
        <f aca="false">(('Business Case'!B11*$C160*'Business Case'!B12*$B160)-'Business Case'!B11*$C160*'Business Case'!B13*$D160-'Business Case'!B14*$E160)-MAX(0,(('Business Case'!B11*$C160*'Business Case'!B12*$B160)-'Business Case'!B11*$C160*'Business Case'!B13*$D160-'Business Case'!B14*$E160))*'Business Case'!$B$7-'Business Case'!$B$8*('Business Case'!B11*$C160*'Business Case'!B12*$B160)-'Business Case'!B15*$F160</f>
        <v>-2114090678.24771</v>
      </c>
      <c r="I160" s="53" t="n">
        <f aca="false">(('Business Case'!C11*$C160*'Business Case'!C12*$B160)-'Business Case'!C11*$C160*'Business Case'!C13*$D160-'Business Case'!C14*$E160)-MAX(0,(('Business Case'!C11*$C160*'Business Case'!C12*$B160)-'Business Case'!C11*$C160*'Business Case'!C13*$D160-'Business Case'!C14*$E160))*'Business Case'!$B$7-'Business Case'!$B$8*(('Business Case'!C11*$C160*'Business Case'!C12*$B160)-('Business Case'!B11*$C160*'Business Case'!B12*$B160))-'Business Case'!C15*$F160</f>
        <v>-21779769.7188882</v>
      </c>
      <c r="J160" s="53" t="n">
        <f aca="false">(('Business Case'!D11*$C160*'Business Case'!D12*$B160)-'Business Case'!D11*$C160*'Business Case'!D13*$D160-'Business Case'!D14*$E160)-MAX(0,(('Business Case'!D11*$C160*'Business Case'!D12*$B160)-'Business Case'!D11*$C160*'Business Case'!D13*$D160-'Business Case'!D14*$E160))*'Business Case'!$B$7-'Business Case'!$B$8*(('Business Case'!D11*$C160*'Business Case'!D12*$B160)-('Business Case'!C11*$C160*'Business Case'!C12*$B160))-'Business Case'!D15*$F160</f>
        <v>261214120.481362</v>
      </c>
      <c r="K160" s="53" t="n">
        <f aca="false">(('Business Case'!E11*$C160*'Business Case'!E12*$B160)-'Business Case'!E11*$C160*'Business Case'!E13*$D160-'Business Case'!E14*$E160)-MAX(0,(('Business Case'!E11*$C160*'Business Case'!E12*$B160)-'Business Case'!E11*$C160*'Business Case'!E13*$D160-'Business Case'!E14*$E160))*'Business Case'!$B$7-'Business Case'!$B$8*(('Business Case'!E11*$C160*'Business Case'!E12*$B160)-('Business Case'!D11*$C160*'Business Case'!D12*$B160))-'Business Case'!E15*$F160</f>
        <v>597060277.637804</v>
      </c>
      <c r="L160" s="53" t="n">
        <f aca="false">(('Business Case'!F11*$C160*'Business Case'!F12*$B160)-'Business Case'!F11*$C160*'Business Case'!F13*$D160-'Business Case'!F14*$E160)-MAX(0,(('Business Case'!F11*$C160*'Business Case'!F12*$B160)-'Business Case'!F11*$C160*'Business Case'!F13*$D160-'Business Case'!F14*$E160))*'Business Case'!$B$7-'Business Case'!$B$8*(('Business Case'!F11*$C160*'Business Case'!F12*$B160)-('Business Case'!E11*$C160*'Business Case'!E12*$B160))-'Business Case'!F15*$F160</f>
        <v>727557826.50754</v>
      </c>
      <c r="M160" s="53" t="n">
        <f aca="false">(('Business Case'!G11*$C160*'Business Case'!G12*$B160)-'Business Case'!G11*$C160*'Business Case'!G13*$D160-'Business Case'!G14*$E160)-MAX(0,(('Business Case'!G11*$C160*'Business Case'!G12*$B160)-'Business Case'!G11*$C160*'Business Case'!G13*$D160-'Business Case'!G14*$E160))*'Business Case'!$B$7-'Business Case'!$B$8*(('Business Case'!G11*$C160*'Business Case'!G12*$B160)-('Business Case'!F11*$C160*'Business Case'!F12*$B160))-'Business Case'!G15*$F160+'Business Case'!$B$8*('Business Case'!G11*$C160*'Business Case'!G12*$B160)</f>
        <v>926472213.257296</v>
      </c>
      <c r="N160" s="53" t="n">
        <f aca="false">IF(COUNT('Business Case'!B11:G11)=0,"",H160+NPV(G160,I160:M160))</f>
        <v>-384789777.126217</v>
      </c>
      <c r="P160" s="54" t="n">
        <f aca="true">RAND()</f>
        <v>0.14485763601435</v>
      </c>
      <c r="Q160" s="54" t="n">
        <f aca="true">RAND()</f>
        <v>0.938471990989567</v>
      </c>
      <c r="R160" s="54" t="n">
        <f aca="true">RAND()</f>
        <v>0.719306049530468</v>
      </c>
      <c r="S160" s="54" t="n">
        <f aca="true">RAND()</f>
        <v>0.556345990734107</v>
      </c>
      <c r="T160" s="54" t="n">
        <f aca="true">RAND()</f>
        <v>0.591279298675725</v>
      </c>
      <c r="U160" s="54" t="n">
        <f aca="true">RAND()</f>
        <v>0.210297088800448</v>
      </c>
    </row>
    <row r="161" customFormat="false" ht="15" hidden="false" customHeight="false" outlineLevel="0" collapsed="false">
      <c r="A161" s="50" t="n">
        <v>81</v>
      </c>
      <c r="B161" s="51" t="n">
        <f aca="false">1+IF($G$6=$E$6,$F$6,IF(P161&lt;($F$6-$E$6)/($G$6-$E$6),$E$6+SQRT(P161*($G$6-$E$6)*($F$6-$E$6)),$G$6-SQRT((1-P161)*($G$6-$E$6)*($G$6-$F$6))))</f>
        <v>0.980832093428467</v>
      </c>
      <c r="C161" s="51" t="n">
        <f aca="false">1+IF($G$7=$E$7,$F$7,IF(Q161&lt;($F$7-$E$7)/($G$7-$E$7),$E$7+SQRT(Q161*($G$7-$E$7)*($F$7-$E$7)),$G$7-SQRT((1-Q161)*($G$7-$E$7)*($G$7-$F$7))))</f>
        <v>1.06962802341836</v>
      </c>
      <c r="D161" s="51" t="n">
        <f aca="false">1+IF($G$8=$E$8,$F$8,IF(R161&lt;($F$8-$E$8)/($G$8-$E$8),$E$8+SQRT(R161*($G$8-$E$8)*($F$8-$E$8)),$G$8-SQRT((1-R161)*($G$8-$E$8)*($G$8-$F$8))))</f>
        <v>1.02048657344457</v>
      </c>
      <c r="E161" s="51" t="n">
        <f aca="false">1+IF($G$9=$E$9,$F$9,IF(S161&lt;($F$9-$E$9)/($G$9-$E$9),$E$9+SQRT(S161*($G$9-$E$9)*($F$9-$E$9)),$G$9-SQRT((1-S161)*($G$9-$E$9)*($G$9-$F$9))))</f>
        <v>1.05764491144734</v>
      </c>
      <c r="F161" s="51" t="n">
        <f aca="false">1+IF($G$10=$E$10,$F$10,IF(T161&lt;($F$10-$E$10)/($G$10-$E$10),$E$10+SQRT(T161*($G$10-$E$10)*($F$10-$E$10)),$G$10-SQRT((1-T161)*($G$10-$E$10)*($G$10-$F$10))))</f>
        <v>0.995062498952325</v>
      </c>
      <c r="G161" s="52" t="n">
        <f aca="false">IF($G$11=$E$11,$F$11,IF(U161&lt;($F$11-$E$11)/($G$11-$E$11),$E$11+SQRT(U161*($G$11-$E$11)*($F$11-$E$11)),$G$11-SQRT((1-U161)*($G$11-$E$11)*($G$11-$F$11))))</f>
        <v>0.100745947595941</v>
      </c>
      <c r="H161" s="53" t="n">
        <f aca="false">(('Business Case'!B11*$C161*'Business Case'!B12*$B161)-'Business Case'!B11*$C161*'Business Case'!B13*$D161-'Business Case'!B14*$E161)-MAX(0,(('Business Case'!B11*$C161*'Business Case'!B12*$B161)-'Business Case'!B11*$C161*'Business Case'!B13*$D161-'Business Case'!B14*$E161))*'Business Case'!$B$7-'Business Case'!$B$8*('Business Case'!B11*$C161*'Business Case'!B12*$B161)-'Business Case'!B15*$F161</f>
        <v>-1990124997.90465</v>
      </c>
      <c r="I161" s="53" t="n">
        <f aca="false">(('Business Case'!C11*$C161*'Business Case'!C12*$B161)-'Business Case'!C11*$C161*'Business Case'!C13*$D161-'Business Case'!C14*$E161)-MAX(0,(('Business Case'!C11*$C161*'Business Case'!C12*$B161)-'Business Case'!C11*$C161*'Business Case'!C13*$D161-'Business Case'!C14*$E161))*'Business Case'!$B$7-'Business Case'!$B$8*(('Business Case'!C11*$C161*'Business Case'!C12*$B161)-('Business Case'!B11*$C161*'Business Case'!B12*$B161))-'Business Case'!C15*$F161</f>
        <v>-3762393.14547396</v>
      </c>
      <c r="J161" s="53" t="n">
        <f aca="false">(('Business Case'!D11*$C161*'Business Case'!D12*$B161)-'Business Case'!D11*$C161*'Business Case'!D13*$D161-'Business Case'!D14*$E161)-MAX(0,(('Business Case'!D11*$C161*'Business Case'!D12*$B161)-'Business Case'!D11*$C161*'Business Case'!D13*$D161-'Business Case'!D14*$E161))*'Business Case'!$B$7-'Business Case'!$B$8*(('Business Case'!D11*$C161*'Business Case'!D12*$B161)-('Business Case'!C11*$C161*'Business Case'!C12*$B161))-'Business Case'!D15*$F161</f>
        <v>296765235.58991</v>
      </c>
      <c r="K161" s="53" t="n">
        <f aca="false">(('Business Case'!E11*$C161*'Business Case'!E12*$B161)-'Business Case'!E11*$C161*'Business Case'!E13*$D161-'Business Case'!E14*$E161)-MAX(0,(('Business Case'!E11*$C161*'Business Case'!E12*$B161)-'Business Case'!E11*$C161*'Business Case'!E13*$D161-'Business Case'!E14*$E161))*'Business Case'!$B$7-'Business Case'!$B$8*(('Business Case'!E11*$C161*'Business Case'!E12*$B161)-('Business Case'!D11*$C161*'Business Case'!D12*$B161))-'Business Case'!E15*$F161</f>
        <v>647045989.272909</v>
      </c>
      <c r="L161" s="53" t="n">
        <f aca="false">(('Business Case'!F11*$C161*'Business Case'!F12*$B161)-'Business Case'!F11*$C161*'Business Case'!F13*$D161-'Business Case'!F14*$E161)-MAX(0,(('Business Case'!F11*$C161*'Business Case'!F12*$B161)-'Business Case'!F11*$C161*'Business Case'!F13*$D161-'Business Case'!F14*$E161))*'Business Case'!$B$7-'Business Case'!$B$8*(('Business Case'!F11*$C161*'Business Case'!F12*$B161)-('Business Case'!E11*$C161*'Business Case'!E12*$B161))-'Business Case'!F15*$F161</f>
        <v>783479642.569913</v>
      </c>
      <c r="M161" s="53" t="n">
        <f aca="false">(('Business Case'!G11*$C161*'Business Case'!G12*$B161)-'Business Case'!G11*$C161*'Business Case'!G13*$D161-'Business Case'!G14*$E161)-MAX(0,(('Business Case'!G11*$C161*'Business Case'!G12*$B161)-'Business Case'!G11*$C161*'Business Case'!G13*$D161-'Business Case'!G14*$E161))*'Business Case'!$B$7-'Business Case'!$B$8*(('Business Case'!G11*$C161*'Business Case'!G12*$B161)-('Business Case'!F11*$C161*'Business Case'!F12*$B161))-'Business Case'!G15*$F161+'Business Case'!$B$8*('Business Case'!G11*$C161*'Business Case'!G12*$B161)</f>
        <v>982897416.355229</v>
      </c>
      <c r="N161" s="53" t="n">
        <f aca="false">IF(COUNT('Business Case'!B11:G11)=0,"",H161+NPV(G161,I161:M161))</f>
        <v>-121552361.781257</v>
      </c>
      <c r="P161" s="54" t="n">
        <f aca="true">RAND()</f>
        <v>0.38547329071768</v>
      </c>
      <c r="Q161" s="54" t="n">
        <f aca="true">RAND()</f>
        <v>0.876958959625895</v>
      </c>
      <c r="R161" s="54" t="n">
        <f aca="true">RAND()</f>
        <v>0.659437698041528</v>
      </c>
      <c r="S161" s="54" t="n">
        <f aca="true">RAND()</f>
        <v>0.880403098246416</v>
      </c>
      <c r="T161" s="54" t="n">
        <f aca="true">RAND()</f>
        <v>0.162450304946266</v>
      </c>
      <c r="U161" s="54" t="n">
        <f aca="true">RAND()</f>
        <v>0.382135776702886</v>
      </c>
    </row>
    <row r="162" customFormat="false" ht="15" hidden="false" customHeight="false" outlineLevel="0" collapsed="false">
      <c r="A162" s="50" t="n">
        <v>82</v>
      </c>
      <c r="B162" s="51" t="n">
        <f aca="false">1+IF($G$6=$E$6,$F$6,IF(P162&lt;($F$6-$E$6)/($G$6-$E$6),$E$6+SQRT(P162*($G$6-$E$6)*($F$6-$E$6)),$G$6-SQRT((1-P162)*($G$6-$E$6)*($G$6-$F$6))))</f>
        <v>0.952918566937449</v>
      </c>
      <c r="C162" s="51" t="n">
        <f aca="false">1+IF($G$7=$E$7,$F$7,IF(Q162&lt;($F$7-$E$7)/($G$7-$E$7),$E$7+SQRT(Q162*($G$7-$E$7)*($F$7-$E$7)),$G$7-SQRT((1-Q162)*($G$7-$E$7)*($G$7-$F$7))))</f>
        <v>1.02306922954742</v>
      </c>
      <c r="D162" s="51" t="n">
        <f aca="false">1+IF($G$8=$E$8,$F$8,IF(R162&lt;($F$8-$E$8)/($G$8-$E$8),$E$8+SQRT(R162*($G$8-$E$8)*($F$8-$E$8)),$G$8-SQRT((1-R162)*($G$8-$E$8)*($G$8-$F$8))))</f>
        <v>0.993175866721969</v>
      </c>
      <c r="E162" s="51" t="n">
        <f aca="false">1+IF($G$9=$E$9,$F$9,IF(S162&lt;($F$9-$E$9)/($G$9-$E$9),$E$9+SQRT(S162*($G$9-$E$9)*($F$9-$E$9)),$G$9-SQRT((1-S162)*($G$9-$E$9)*($G$9-$F$9))))</f>
        <v>1.0722584112846</v>
      </c>
      <c r="F162" s="51" t="n">
        <f aca="false">1+IF($G$10=$E$10,$F$10,IF(T162&lt;($F$10-$E$10)/($G$10-$E$10),$E$10+SQRT(T162*($G$10-$E$10)*($F$10-$E$10)),$G$10-SQRT((1-T162)*($G$10-$E$10)*($G$10-$F$10))))</f>
        <v>1.01646319566108</v>
      </c>
      <c r="G162" s="52" t="n">
        <f aca="false">IF($G$11=$E$11,$F$11,IF(U162&lt;($F$11-$E$11)/($G$11-$E$11),$E$11+SQRT(U162*($G$11-$E$11)*($F$11-$E$11)),$G$11-SQRT((1-U162)*($G$11-$E$11)*($G$11-$F$11))))</f>
        <v>0.107003629257161</v>
      </c>
      <c r="H162" s="53" t="n">
        <f aca="false">(('Business Case'!B11*$C162*'Business Case'!B12*$B162)-'Business Case'!B11*$C162*'Business Case'!B13*$D162-'Business Case'!B14*$E162)-MAX(0,(('Business Case'!B11*$C162*'Business Case'!B12*$B162)-'Business Case'!B11*$C162*'Business Case'!B13*$D162-'Business Case'!B14*$E162))*'Business Case'!$B$7-'Business Case'!$B$8*('Business Case'!B11*$C162*'Business Case'!B12*$B162)-'Business Case'!B15*$F162</f>
        <v>-2032926391.32217</v>
      </c>
      <c r="I162" s="53" t="n">
        <f aca="false">(('Business Case'!C11*$C162*'Business Case'!C12*$B162)-'Business Case'!C11*$C162*'Business Case'!C13*$D162-'Business Case'!C14*$E162)-MAX(0,(('Business Case'!C11*$C162*'Business Case'!C12*$B162)-'Business Case'!C11*$C162*'Business Case'!C13*$D162-'Business Case'!C14*$E162))*'Business Case'!$B$7-'Business Case'!$B$8*(('Business Case'!C11*$C162*'Business Case'!C12*$B162)-('Business Case'!B11*$C162*'Business Case'!B12*$B162))-'Business Case'!C15*$F162</f>
        <v>-26301311.4993777</v>
      </c>
      <c r="J162" s="53" t="n">
        <f aca="false">(('Business Case'!D11*$C162*'Business Case'!D12*$B162)-'Business Case'!D11*$C162*'Business Case'!D13*$D162-'Business Case'!D14*$E162)-MAX(0,(('Business Case'!D11*$C162*'Business Case'!D12*$B162)-'Business Case'!D11*$C162*'Business Case'!D13*$D162-'Business Case'!D14*$E162))*'Business Case'!$B$7-'Business Case'!$B$8*(('Business Case'!D11*$C162*'Business Case'!D12*$B162)-('Business Case'!C11*$C162*'Business Case'!C12*$B162))-'Business Case'!D15*$F162</f>
        <v>252057744.918869</v>
      </c>
      <c r="K162" s="53" t="n">
        <f aca="false">(('Business Case'!E11*$C162*'Business Case'!E12*$B162)-'Business Case'!E11*$C162*'Business Case'!E13*$D162-'Business Case'!E14*$E162)-MAX(0,(('Business Case'!E11*$C162*'Business Case'!E12*$B162)-'Business Case'!E11*$C162*'Business Case'!E13*$D162-'Business Case'!E14*$E162))*'Business Case'!$B$7-'Business Case'!$B$8*(('Business Case'!E11*$C162*'Business Case'!E12*$B162)-('Business Case'!D11*$C162*'Business Case'!D12*$B162))-'Business Case'!E15*$F162</f>
        <v>581239961.12017</v>
      </c>
      <c r="L162" s="53" t="n">
        <f aca="false">(('Business Case'!F11*$C162*'Business Case'!F12*$B162)-'Business Case'!F11*$C162*'Business Case'!F13*$D162-'Business Case'!F14*$E162)-MAX(0,(('Business Case'!F11*$C162*'Business Case'!F12*$B162)-'Business Case'!F11*$C162*'Business Case'!F13*$D162-'Business Case'!F14*$E162))*'Business Case'!$B$7-'Business Case'!$B$8*(('Business Case'!F11*$C162*'Business Case'!F12*$B162)-('Business Case'!E11*$C162*'Business Case'!E12*$B162))-'Business Case'!F15*$F162</f>
        <v>707718914.770817</v>
      </c>
      <c r="M162" s="53" t="n">
        <f aca="false">(('Business Case'!G11*$C162*'Business Case'!G12*$B162)-'Business Case'!G11*$C162*'Business Case'!G13*$D162-'Business Case'!G14*$E162)-MAX(0,(('Business Case'!G11*$C162*'Business Case'!G12*$B162)-'Business Case'!G11*$C162*'Business Case'!G13*$D162-'Business Case'!G14*$E162))*'Business Case'!$B$7-'Business Case'!$B$8*(('Business Case'!G11*$C162*'Business Case'!G12*$B162)-('Business Case'!F11*$C162*'Business Case'!F12*$B162))-'Business Case'!G15*$F162+'Business Case'!$B$8*('Business Case'!G11*$C162*'Business Case'!G12*$B162)</f>
        <v>893028223.082589</v>
      </c>
      <c r="N162" s="53" t="n">
        <f aca="false">IF(COUNT('Business Case'!B11:G11)=0,"",H162+NPV(G162,I162:M162))</f>
        <v>-414098097.616101</v>
      </c>
      <c r="P162" s="54" t="n">
        <f aca="true">RAND()</f>
        <v>0.112878338459926</v>
      </c>
      <c r="Q162" s="54" t="n">
        <f aca="true">RAND()</f>
        <v>0.693115800234556</v>
      </c>
      <c r="R162" s="54" t="n">
        <f aca="true">RAND()</f>
        <v>0.286793148798955</v>
      </c>
      <c r="S162" s="54" t="n">
        <f aca="true">RAND()</f>
        <v>0.948693617036355</v>
      </c>
      <c r="T162" s="54" t="n">
        <f aca="true">RAND()</f>
        <v>0.326284829061165</v>
      </c>
      <c r="U162" s="54" t="n">
        <f aca="true">RAND()</f>
        <v>0.718490579191137</v>
      </c>
    </row>
    <row r="163" customFormat="false" ht="15" hidden="false" customHeight="false" outlineLevel="0" collapsed="false">
      <c r="A163" s="50" t="n">
        <v>83</v>
      </c>
      <c r="B163" s="51" t="n">
        <f aca="false">1+IF($G$6=$E$6,$F$6,IF(P163&lt;($F$6-$E$6)/($G$6-$E$6),$E$6+SQRT(P163*($G$6-$E$6)*($F$6-$E$6)),$G$6-SQRT((1-P163)*($G$6-$E$6)*($G$6-$F$6))))</f>
        <v>0.979942813697122</v>
      </c>
      <c r="C163" s="51" t="n">
        <f aca="false">1+IF($G$7=$E$7,$F$7,IF(Q163&lt;($F$7-$E$7)/($G$7-$E$7),$E$7+SQRT(Q163*($G$7-$E$7)*($F$7-$E$7)),$G$7-SQRT((1-Q163)*($G$7-$E$7)*($G$7-$F$7))))</f>
        <v>0.989099323194569</v>
      </c>
      <c r="D163" s="51" t="n">
        <f aca="false">1+IF($G$8=$E$8,$F$8,IF(R163&lt;($F$8-$E$8)/($G$8-$E$8),$E$8+SQRT(R163*($G$8-$E$8)*($F$8-$E$8)),$G$8-SQRT((1-R163)*($G$8-$E$8)*($G$8-$F$8))))</f>
        <v>0.991063924554713</v>
      </c>
      <c r="E163" s="51" t="n">
        <f aca="false">1+IF($G$9=$E$9,$F$9,IF(S163&lt;($F$9-$E$9)/($G$9-$E$9),$E$9+SQRT(S163*($G$9-$E$9)*($F$9-$E$9)),$G$9-SQRT((1-S163)*($G$9-$E$9)*($G$9-$F$9))))</f>
        <v>0.995779275469279</v>
      </c>
      <c r="F163" s="51" t="n">
        <f aca="false">1+IF($G$10=$E$10,$F$10,IF(T163&lt;($F$10-$E$10)/($G$10-$E$10),$E$10+SQRT(T163*($G$10-$E$10)*($F$10-$E$10)),$G$10-SQRT((1-T163)*($G$10-$E$10)*($G$10-$F$10))))</f>
        <v>0.979961800845443</v>
      </c>
      <c r="G163" s="52" t="n">
        <f aca="false">IF($G$11=$E$11,$F$11,IF(U163&lt;($F$11-$E$11)/($G$11-$E$11),$E$11+SQRT(U163*($G$11-$E$11)*($F$11-$E$11)),$G$11-SQRT((1-U163)*($G$11-$E$11)*($G$11-$F$11))))</f>
        <v>0.0990679511905779</v>
      </c>
      <c r="H163" s="53" t="n">
        <f aca="false">(('Business Case'!B11*$C163*'Business Case'!B12*$B163)-'Business Case'!B11*$C163*'Business Case'!B13*$D163-'Business Case'!B14*$E163)-MAX(0,(('Business Case'!B11*$C163*'Business Case'!B12*$B163)-'Business Case'!B11*$C163*'Business Case'!B13*$D163-'Business Case'!B14*$E163))*'Business Case'!$B$7-'Business Case'!$B$8*('Business Case'!B11*$C163*'Business Case'!B12*$B163)-'Business Case'!B15*$F163</f>
        <v>-1959923601.69089</v>
      </c>
      <c r="I163" s="53" t="n">
        <f aca="false">(('Business Case'!C11*$C163*'Business Case'!C12*$B163)-'Business Case'!C11*$C163*'Business Case'!C13*$D163-'Business Case'!C14*$E163)-MAX(0,(('Business Case'!C11*$C163*'Business Case'!C12*$B163)-'Business Case'!C11*$C163*'Business Case'!C13*$D163-'Business Case'!C14*$E163))*'Business Case'!$B$7-'Business Case'!$B$8*(('Business Case'!C11*$C163*'Business Case'!C12*$B163)-('Business Case'!B11*$C163*'Business Case'!B12*$B163))-'Business Case'!C15*$F163</f>
        <v>2236853.40421776</v>
      </c>
      <c r="J163" s="53" t="n">
        <f aca="false">(('Business Case'!D11*$C163*'Business Case'!D12*$B163)-'Business Case'!D11*$C163*'Business Case'!D13*$D163-'Business Case'!D14*$E163)-MAX(0,(('Business Case'!D11*$C163*'Business Case'!D12*$B163)-'Business Case'!D11*$C163*'Business Case'!D13*$D163-'Business Case'!D14*$E163))*'Business Case'!$B$7-'Business Case'!$B$8*(('Business Case'!D11*$C163*'Business Case'!D12*$B163)-('Business Case'!C11*$C163*'Business Case'!C12*$B163))-'Business Case'!D15*$F163</f>
        <v>294316178.378358</v>
      </c>
      <c r="K163" s="53" t="n">
        <f aca="false">(('Business Case'!E11*$C163*'Business Case'!E12*$B163)-'Business Case'!E11*$C163*'Business Case'!E13*$D163-'Business Case'!E14*$E163)-MAX(0,(('Business Case'!E11*$C163*'Business Case'!E12*$B163)-'Business Case'!E11*$C163*'Business Case'!E13*$D163-'Business Case'!E14*$E163))*'Business Case'!$B$7-'Business Case'!$B$8*(('Business Case'!E11*$C163*'Business Case'!E12*$B163)-('Business Case'!D11*$C163*'Business Case'!D12*$B163))-'Business Case'!E15*$F163</f>
        <v>635393593.394771</v>
      </c>
      <c r="L163" s="53" t="n">
        <f aca="false">(('Business Case'!F11*$C163*'Business Case'!F12*$B163)-'Business Case'!F11*$C163*'Business Case'!F13*$D163-'Business Case'!F14*$E163)-MAX(0,(('Business Case'!F11*$C163*'Business Case'!F12*$B163)-'Business Case'!F11*$C163*'Business Case'!F13*$D163-'Business Case'!F14*$E163))*'Business Case'!$B$7-'Business Case'!$B$8*(('Business Case'!F11*$C163*'Business Case'!F12*$B163)-('Business Case'!E11*$C163*'Business Case'!E12*$B163))-'Business Case'!F15*$F163</f>
        <v>766251020.728583</v>
      </c>
      <c r="M163" s="53" t="n">
        <f aca="false">(('Business Case'!G11*$C163*'Business Case'!G12*$B163)-'Business Case'!G11*$C163*'Business Case'!G13*$D163-'Business Case'!G14*$E163)-MAX(0,(('Business Case'!G11*$C163*'Business Case'!G12*$B163)-'Business Case'!G11*$C163*'Business Case'!G13*$D163-'Business Case'!G14*$E163))*'Business Case'!$B$7-'Business Case'!$B$8*(('Business Case'!G11*$C163*'Business Case'!G12*$B163)-('Business Case'!F11*$C163*'Business Case'!F12*$B163))-'Business Case'!G15*$F163+'Business Case'!$B$8*('Business Case'!G11*$C163*'Business Case'!G12*$B163)</f>
        <v>950488108.611955</v>
      </c>
      <c r="N163" s="53" t="n">
        <f aca="false">IF(COUNT('Business Case'!B11:G11)=0,"",H163+NPV(G163,I163:M163))</f>
        <v>-117820621.868601</v>
      </c>
      <c r="P163" s="54" t="n">
        <f aca="true">RAND()</f>
        <v>0.374285511867489</v>
      </c>
      <c r="Q163" s="54" t="n">
        <f aca="true">RAND()</f>
        <v>0.510836486180629</v>
      </c>
      <c r="R163" s="54" t="n">
        <f aca="true">RAND()</f>
        <v>0.259422446128484</v>
      </c>
      <c r="S163" s="54" t="n">
        <f aca="true">RAND()</f>
        <v>0.279432274998947</v>
      </c>
      <c r="T163" s="54" t="n">
        <f aca="true">RAND()</f>
        <v>0.0718167607921584</v>
      </c>
      <c r="U163" s="54" t="n">
        <f aca="true">RAND()</f>
        <v>0.274092462649011</v>
      </c>
    </row>
    <row r="164" customFormat="false" ht="15" hidden="false" customHeight="false" outlineLevel="0" collapsed="false">
      <c r="A164" s="50" t="n">
        <v>84</v>
      </c>
      <c r="B164" s="51" t="n">
        <f aca="false">1+IF($G$6=$E$6,$F$6,IF(P164&lt;($F$6-$E$6)/($G$6-$E$6),$E$6+SQRT(P164*($G$6-$E$6)*($F$6-$E$6)),$G$6-SQRT((1-P164)*($G$6-$E$6)*($G$6-$F$6))))</f>
        <v>0.975527841412294</v>
      </c>
      <c r="C164" s="51" t="n">
        <f aca="false">1+IF($G$7=$E$7,$F$7,IF(Q164&lt;($F$7-$E$7)/($G$7-$E$7),$E$7+SQRT(Q164*($G$7-$E$7)*($F$7-$E$7)),$G$7-SQRT((1-Q164)*($G$7-$E$7)*($G$7-$F$7))))</f>
        <v>0.988317061236461</v>
      </c>
      <c r="D164" s="51" t="n">
        <f aca="false">1+IF($G$8=$E$8,$F$8,IF(R164&lt;($F$8-$E$8)/($G$8-$E$8),$E$8+SQRT(R164*($G$8-$E$8)*($F$8-$E$8)),$G$8-SQRT((1-R164)*($G$8-$E$8)*($G$8-$F$8))))</f>
        <v>1.03076679785885</v>
      </c>
      <c r="E164" s="51" t="n">
        <f aca="false">1+IF($G$9=$E$9,$F$9,IF(S164&lt;($F$9-$E$9)/($G$9-$E$9),$E$9+SQRT(S164*($G$9-$E$9)*($F$9-$E$9)),$G$9-SQRT((1-S164)*($G$9-$E$9)*($G$9-$F$9))))</f>
        <v>1.04142136806471</v>
      </c>
      <c r="F164" s="51" t="n">
        <f aca="false">1+IF($G$10=$E$10,$F$10,IF(T164&lt;($F$10-$E$10)/($G$10-$E$10),$E$10+SQRT(T164*($G$10-$E$10)*($F$10-$E$10)),$G$10-SQRT((1-T164)*($G$10-$E$10)*($G$10-$F$10))))</f>
        <v>1.00820568431338</v>
      </c>
      <c r="G164" s="52" t="n">
        <f aca="false">IF($G$11=$E$11,$F$11,IF(U164&lt;($F$11-$E$11)/($G$11-$E$11),$E$11+SQRT(U164*($G$11-$E$11)*($F$11-$E$11)),$G$11-SQRT((1-U164)*($G$11-$E$11)*($G$11-$F$11))))</f>
        <v>0.106342982538152</v>
      </c>
      <c r="H164" s="53" t="n">
        <f aca="false">(('Business Case'!B11*$C164*'Business Case'!B12*$B164)-'Business Case'!B11*$C164*'Business Case'!B13*$D164-'Business Case'!B14*$E164)-MAX(0,(('Business Case'!B11*$C164*'Business Case'!B12*$B164)-'Business Case'!B11*$C164*'Business Case'!B13*$D164-'Business Case'!B14*$E164))*'Business Case'!$B$7-'Business Case'!$B$8*('Business Case'!B11*$C164*'Business Case'!B12*$B164)-'Business Case'!B15*$F164</f>
        <v>-2016411368.62676</v>
      </c>
      <c r="I164" s="53" t="n">
        <f aca="false">(('Business Case'!C11*$C164*'Business Case'!C12*$B164)-'Business Case'!C11*$C164*'Business Case'!C13*$D164-'Business Case'!C14*$E164)-MAX(0,(('Business Case'!C11*$C164*'Business Case'!C12*$B164)-'Business Case'!C11*$C164*'Business Case'!C13*$D164-'Business Case'!C14*$E164))*'Business Case'!$B$7-'Business Case'!$B$8*(('Business Case'!C11*$C164*'Business Case'!C12*$B164)-('Business Case'!B11*$C164*'Business Case'!B12*$B164))-'Business Case'!C15*$F164</f>
        <v>-30704079.0654593</v>
      </c>
      <c r="J164" s="53" t="n">
        <f aca="false">(('Business Case'!D11*$C164*'Business Case'!D12*$B164)-'Business Case'!D11*$C164*'Business Case'!D13*$D164-'Business Case'!D14*$E164)-MAX(0,(('Business Case'!D11*$C164*'Business Case'!D12*$B164)-'Business Case'!D11*$C164*'Business Case'!D13*$D164-'Business Case'!D14*$E164))*'Business Case'!$B$7-'Business Case'!$B$8*(('Business Case'!D11*$C164*'Business Case'!D12*$B164)-('Business Case'!C11*$C164*'Business Case'!C12*$B164))-'Business Case'!D15*$F164</f>
        <v>237483069.997426</v>
      </c>
      <c r="K164" s="53" t="n">
        <f aca="false">(('Business Case'!E11*$C164*'Business Case'!E12*$B164)-'Business Case'!E11*$C164*'Business Case'!E13*$D164-'Business Case'!E14*$E164)-MAX(0,(('Business Case'!E11*$C164*'Business Case'!E12*$B164)-'Business Case'!E11*$C164*'Business Case'!E13*$D164-'Business Case'!E14*$E164))*'Business Case'!$B$7-'Business Case'!$B$8*(('Business Case'!E11*$C164*'Business Case'!E12*$B164)-('Business Case'!D11*$C164*'Business Case'!D12*$B164))-'Business Case'!E15*$F164</f>
        <v>556080503.275979</v>
      </c>
      <c r="L164" s="53" t="n">
        <f aca="false">(('Business Case'!F11*$C164*'Business Case'!F12*$B164)-'Business Case'!F11*$C164*'Business Case'!F13*$D164-'Business Case'!F14*$E164)-MAX(0,(('Business Case'!F11*$C164*'Business Case'!F12*$B164)-'Business Case'!F11*$C164*'Business Case'!F13*$D164-'Business Case'!F14*$E164))*'Business Case'!$B$7-'Business Case'!$B$8*(('Business Case'!F11*$C164*'Business Case'!F12*$B164)-('Business Case'!E11*$C164*'Business Case'!E12*$B164))-'Business Case'!F15*$F164</f>
        <v>678796580.402411</v>
      </c>
      <c r="M164" s="53" t="n">
        <f aca="false">(('Business Case'!G11*$C164*'Business Case'!G12*$B164)-'Business Case'!G11*$C164*'Business Case'!G13*$D164-'Business Case'!G14*$E164)-MAX(0,(('Business Case'!G11*$C164*'Business Case'!G12*$B164)-'Business Case'!G11*$C164*'Business Case'!G13*$D164-'Business Case'!G14*$E164))*'Business Case'!$B$7-'Business Case'!$B$8*(('Business Case'!G11*$C164*'Business Case'!G12*$B164)-('Business Case'!F11*$C164*'Business Case'!F12*$B164))-'Business Case'!G15*$F164+'Business Case'!$B$8*('Business Case'!G11*$C164*'Business Case'!G12*$B164)</f>
        <v>862058564.649161</v>
      </c>
      <c r="N164" s="53" t="n">
        <f aca="false">IF(COUNT('Business Case'!B11:G11)=0,"",H164+NPV(G164,I164:M164))</f>
        <v>-466307478.28898</v>
      </c>
      <c r="P164" s="54" t="n">
        <f aca="true">RAND()</f>
        <v>0.321181372073844</v>
      </c>
      <c r="Q164" s="54" t="n">
        <f aca="true">RAND()</f>
        <v>0.50661879361053</v>
      </c>
      <c r="R164" s="54" t="n">
        <f aca="true">RAND()</f>
        <v>0.76693190451235</v>
      </c>
      <c r="S164" s="54" t="n">
        <f aca="true">RAND()</f>
        <v>0.771236258705966</v>
      </c>
      <c r="T164" s="54" t="n">
        <f aca="true">RAND()</f>
        <v>0.264298809406039</v>
      </c>
      <c r="U164" s="54" t="n">
        <f aca="true">RAND()</f>
        <v>0.68914312341129</v>
      </c>
    </row>
    <row r="165" customFormat="false" ht="15" hidden="false" customHeight="false" outlineLevel="0" collapsed="false">
      <c r="A165" s="50" t="n">
        <v>85</v>
      </c>
      <c r="B165" s="51" t="n">
        <f aca="false">1+IF($G$6=$E$6,$F$6,IF(P165&lt;($F$6-$E$6)/($G$6-$E$6),$E$6+SQRT(P165*($G$6-$E$6)*($F$6-$E$6)),$G$6-SQRT((1-P165)*($G$6-$E$6)*($G$6-$F$6))))</f>
        <v>0.979588927111887</v>
      </c>
      <c r="C165" s="51" t="n">
        <f aca="false">1+IF($G$7=$E$7,$F$7,IF(Q165&lt;($F$7-$E$7)/($G$7-$E$7),$E$7+SQRT(Q165*($G$7-$E$7)*($F$7-$E$7)),$G$7-SQRT((1-Q165)*($G$7-$E$7)*($G$7-$F$7))))</f>
        <v>1.03381574943739</v>
      </c>
      <c r="D165" s="51" t="n">
        <f aca="false">1+IF($G$8=$E$8,$F$8,IF(R165&lt;($F$8-$E$8)/($G$8-$E$8),$E$8+SQRT(R165*($G$8-$E$8)*($F$8-$E$8)),$G$8-SQRT((1-R165)*($G$8-$E$8)*($G$8-$F$8))))</f>
        <v>0.981717739622462</v>
      </c>
      <c r="E165" s="51" t="n">
        <f aca="false">1+IF($G$9=$E$9,$F$9,IF(S165&lt;($F$9-$E$9)/($G$9-$E$9),$E$9+SQRT(S165*($G$9-$E$9)*($F$9-$E$9)),$G$9-SQRT((1-S165)*($G$9-$E$9)*($G$9-$F$9))))</f>
        <v>1.05514095788274</v>
      </c>
      <c r="F165" s="51" t="n">
        <f aca="false">1+IF($G$10=$E$10,$F$10,IF(T165&lt;($F$10-$E$10)/($G$10-$E$10),$E$10+SQRT(T165*($G$10-$E$10)*($F$10-$E$10)),$G$10-SQRT((1-T165)*($G$10-$E$10)*($G$10-$F$10))))</f>
        <v>1.06559000024427</v>
      </c>
      <c r="G165" s="52" t="n">
        <f aca="false">IF($G$11=$E$11,$F$11,IF(U165&lt;($F$11-$E$11)/($G$11-$E$11),$E$11+SQRT(U165*($G$11-$E$11)*($F$11-$E$11)),$G$11-SQRT((1-U165)*($G$11-$E$11)*($G$11-$F$11))))</f>
        <v>0.106667365094925</v>
      </c>
      <c r="H165" s="53" t="n">
        <f aca="false">(('Business Case'!B11*$C165*'Business Case'!B12*$B165)-'Business Case'!B11*$C165*'Business Case'!B13*$D165-'Business Case'!B14*$E165)-MAX(0,(('Business Case'!B11*$C165*'Business Case'!B12*$B165)-'Business Case'!B11*$C165*'Business Case'!B13*$D165-'Business Case'!B14*$E165))*'Business Case'!$B$7-'Business Case'!$B$8*('Business Case'!B11*$C165*'Business Case'!B12*$B165)-'Business Case'!B15*$F165</f>
        <v>-2131180000.48853</v>
      </c>
      <c r="I165" s="53" t="n">
        <f aca="false">(('Business Case'!C11*$C165*'Business Case'!C12*$B165)-'Business Case'!C11*$C165*'Business Case'!C13*$D165-'Business Case'!C14*$E165)-MAX(0,(('Business Case'!C11*$C165*'Business Case'!C12*$B165)-'Business Case'!C11*$C165*'Business Case'!C13*$D165-'Business Case'!C14*$E165))*'Business Case'!$B$7-'Business Case'!$B$8*(('Business Case'!C11*$C165*'Business Case'!C12*$B165)-('Business Case'!B11*$C165*'Business Case'!B12*$B165))-'Business Case'!C15*$F165</f>
        <v>831476.700887814</v>
      </c>
      <c r="J165" s="53" t="n">
        <f aca="false">(('Business Case'!D11*$C165*'Business Case'!D12*$B165)-'Business Case'!D11*$C165*'Business Case'!D13*$D165-'Business Case'!D14*$E165)-MAX(0,(('Business Case'!D11*$C165*'Business Case'!D12*$B165)-'Business Case'!D11*$C165*'Business Case'!D13*$D165-'Business Case'!D14*$E165))*'Business Case'!$B$7-'Business Case'!$B$8*(('Business Case'!D11*$C165*'Business Case'!D12*$B165)-('Business Case'!C11*$C165*'Business Case'!C12*$B165))-'Business Case'!D15*$F165</f>
        <v>310762115.286179</v>
      </c>
      <c r="K165" s="53" t="n">
        <f aca="false">(('Business Case'!E11*$C165*'Business Case'!E12*$B165)-'Business Case'!E11*$C165*'Business Case'!E13*$D165-'Business Case'!E14*$E165)-MAX(0,(('Business Case'!E11*$C165*'Business Case'!E12*$B165)-'Business Case'!E11*$C165*'Business Case'!E13*$D165-'Business Case'!E14*$E165))*'Business Case'!$B$7-'Business Case'!$B$8*(('Business Case'!E11*$C165*'Business Case'!E12*$B165)-('Business Case'!D11*$C165*'Business Case'!D12*$B165))-'Business Case'!E15*$F165</f>
        <v>673972253.883683</v>
      </c>
      <c r="L165" s="53" t="n">
        <f aca="false">(('Business Case'!F11*$C165*'Business Case'!F12*$B165)-'Business Case'!F11*$C165*'Business Case'!F13*$D165-'Business Case'!F14*$E165)-MAX(0,(('Business Case'!F11*$C165*'Business Case'!F12*$B165)-'Business Case'!F11*$C165*'Business Case'!F13*$D165-'Business Case'!F14*$E165))*'Business Case'!$B$7-'Business Case'!$B$8*(('Business Case'!F11*$C165*'Business Case'!F12*$B165)-('Business Case'!E11*$C165*'Business Case'!E12*$B165))-'Business Case'!F15*$F165</f>
        <v>812281878.511481</v>
      </c>
      <c r="M165" s="53" t="n">
        <f aca="false">(('Business Case'!G11*$C165*'Business Case'!G12*$B165)-'Business Case'!G11*$C165*'Business Case'!G13*$D165-'Business Case'!G14*$E165)-MAX(0,(('Business Case'!G11*$C165*'Business Case'!G12*$B165)-'Business Case'!G11*$C165*'Business Case'!G13*$D165-'Business Case'!G14*$E165))*'Business Case'!$B$7-'Business Case'!$B$8*(('Business Case'!G11*$C165*'Business Case'!G12*$B165)-('Business Case'!F11*$C165*'Business Case'!F12*$B165))-'Business Case'!G15*$F165+'Business Case'!$B$8*('Business Case'!G11*$C165*'Business Case'!G12*$B165)</f>
        <v>1004778643.22467</v>
      </c>
      <c r="N165" s="53" t="n">
        <f aca="false">IF(COUNT('Business Case'!B11:G11)=0,"",H165+NPV(G165,I165:M165))</f>
        <v>-232548022.323069</v>
      </c>
      <c r="P165" s="54" t="n">
        <f aca="true">RAND()</f>
        <v>0.369879191077681</v>
      </c>
      <c r="Q165" s="54" t="n">
        <f aca="true">RAND()</f>
        <v>0.742880379451518</v>
      </c>
      <c r="R165" s="54" t="n">
        <f aca="true">RAND()</f>
        <v>0.154771539501276</v>
      </c>
      <c r="S165" s="54" t="n">
        <f aca="true">RAND()</f>
        <v>0.86584442268813</v>
      </c>
      <c r="T165" s="54" t="n">
        <f aca="true">RAND()</f>
        <v>0.638679039313271</v>
      </c>
      <c r="U165" s="54" t="n">
        <f aca="true">RAND()</f>
        <v>0.703734744146637</v>
      </c>
    </row>
    <row r="166" customFormat="false" ht="15" hidden="false" customHeight="false" outlineLevel="0" collapsed="false">
      <c r="A166" s="50" t="n">
        <v>86</v>
      </c>
      <c r="B166" s="51" t="n">
        <f aca="false">1+IF($G$6=$E$6,$F$6,IF(P166&lt;($F$6-$E$6)/($G$6-$E$6),$E$6+SQRT(P166*($G$6-$E$6)*($F$6-$E$6)),$G$6-SQRT((1-P166)*($G$6-$E$6)*($G$6-$F$6))))</f>
        <v>0.986865943831575</v>
      </c>
      <c r="C166" s="51" t="n">
        <f aca="false">1+IF($G$7=$E$7,$F$7,IF(Q166&lt;($F$7-$E$7)/($G$7-$E$7),$E$7+SQRT(Q166*($G$7-$E$7)*($F$7-$E$7)),$G$7-SQRT((1-Q166)*($G$7-$E$7)*($G$7-$F$7))))</f>
        <v>0.977303435046185</v>
      </c>
      <c r="D166" s="51" t="n">
        <f aca="false">1+IF($G$8=$E$8,$F$8,IF(R166&lt;($F$8-$E$8)/($G$8-$E$8),$E$8+SQRT(R166*($G$8-$E$8)*($F$8-$E$8)),$G$8-SQRT((1-R166)*($G$8-$E$8)*($G$8-$F$8))))</f>
        <v>0.959892781683645</v>
      </c>
      <c r="E166" s="51" t="n">
        <f aca="false">1+IF($G$9=$E$9,$F$9,IF(S166&lt;($F$9-$E$9)/($G$9-$E$9),$E$9+SQRT(S166*($G$9-$E$9)*($F$9-$E$9)),$G$9-SQRT((1-S166)*($G$9-$E$9)*($G$9-$F$9))))</f>
        <v>0.987847268642619</v>
      </c>
      <c r="F166" s="51" t="n">
        <f aca="false">1+IF($G$10=$E$10,$F$10,IF(T166&lt;($F$10-$E$10)/($G$10-$E$10),$E$10+SQRT(T166*($G$10-$E$10)*($F$10-$E$10)),$G$10-SQRT((1-T166)*($G$10-$E$10)*($G$10-$F$10))))</f>
        <v>1.08284315662652</v>
      </c>
      <c r="G166" s="52" t="n">
        <f aca="false">IF($G$11=$E$11,$F$11,IF(U166&lt;($F$11-$E$11)/($G$11-$E$11),$E$11+SQRT(U166*($G$11-$E$11)*($F$11-$E$11)),$G$11-SQRT((1-U166)*($G$11-$E$11)*($G$11-$F$11))))</f>
        <v>0.0962716443785748</v>
      </c>
      <c r="H166" s="53" t="n">
        <f aca="false">(('Business Case'!B11*$C166*'Business Case'!B12*$B166)-'Business Case'!B11*$C166*'Business Case'!B13*$D166-'Business Case'!B14*$E166)-MAX(0,(('Business Case'!B11*$C166*'Business Case'!B12*$B166)-'Business Case'!B11*$C166*'Business Case'!B13*$D166-'Business Case'!B14*$E166))*'Business Case'!$B$7-'Business Case'!$B$8*('Business Case'!B11*$C166*'Business Case'!B12*$B166)-'Business Case'!B15*$F166</f>
        <v>-2165686313.25303</v>
      </c>
      <c r="I166" s="53" t="n">
        <f aca="false">(('Business Case'!C11*$C166*'Business Case'!C12*$B166)-'Business Case'!C11*$C166*'Business Case'!C13*$D166-'Business Case'!C14*$E166)-MAX(0,(('Business Case'!C11*$C166*'Business Case'!C12*$B166)-'Business Case'!C11*$C166*'Business Case'!C13*$D166-'Business Case'!C14*$E166))*'Business Case'!$B$7-'Business Case'!$B$8*(('Business Case'!C11*$C166*'Business Case'!C12*$B166)-('Business Case'!B11*$C166*'Business Case'!B12*$B166))-'Business Case'!C15*$F166</f>
        <v>10978627.8842454</v>
      </c>
      <c r="J166" s="53" t="n">
        <f aca="false">(('Business Case'!D11*$C166*'Business Case'!D12*$B166)-'Business Case'!D11*$C166*'Business Case'!D13*$D166-'Business Case'!D14*$E166)-MAX(0,(('Business Case'!D11*$C166*'Business Case'!D12*$B166)-'Business Case'!D11*$C166*'Business Case'!D13*$D166-'Business Case'!D14*$E166))*'Business Case'!$B$7-'Business Case'!$B$8*(('Business Case'!D11*$C166*'Business Case'!D12*$B166)-('Business Case'!C11*$C166*'Business Case'!C12*$B166))-'Business Case'!D15*$F166</f>
        <v>320711447.031337</v>
      </c>
      <c r="K166" s="53" t="n">
        <f aca="false">(('Business Case'!E11*$C166*'Business Case'!E12*$B166)-'Business Case'!E11*$C166*'Business Case'!E13*$D166-'Business Case'!E14*$E166)-MAX(0,(('Business Case'!E11*$C166*'Business Case'!E12*$B166)-'Business Case'!E11*$C166*'Business Case'!E13*$D166-'Business Case'!E14*$E166))*'Business Case'!$B$7-'Business Case'!$B$8*(('Business Case'!E11*$C166*'Business Case'!E12*$B166)-('Business Case'!D11*$C166*'Business Case'!D12*$B166))-'Business Case'!E15*$F166</f>
        <v>684586424.009755</v>
      </c>
      <c r="L166" s="53" t="n">
        <f aca="false">(('Business Case'!F11*$C166*'Business Case'!F12*$B166)-'Business Case'!F11*$C166*'Business Case'!F13*$D166-'Business Case'!F14*$E166)-MAX(0,(('Business Case'!F11*$C166*'Business Case'!F12*$B166)-'Business Case'!F11*$C166*'Business Case'!F13*$D166-'Business Case'!F14*$E166))*'Business Case'!$B$7-'Business Case'!$B$8*(('Business Case'!F11*$C166*'Business Case'!F12*$B166)-('Business Case'!E11*$C166*'Business Case'!E12*$B166))-'Business Case'!F15*$F166</f>
        <v>821162693.058261</v>
      </c>
      <c r="M166" s="53" t="n">
        <f aca="false">(('Business Case'!G11*$C166*'Business Case'!G12*$B166)-'Business Case'!G11*$C166*'Business Case'!G13*$D166-'Business Case'!G14*$E166)-MAX(0,(('Business Case'!G11*$C166*'Business Case'!G12*$B166)-'Business Case'!G11*$C166*'Business Case'!G13*$D166-'Business Case'!G14*$E166))*'Business Case'!$B$7-'Business Case'!$B$8*(('Business Case'!G11*$C166*'Business Case'!G12*$B166)-('Business Case'!F11*$C166*'Business Case'!F12*$B166))-'Business Case'!G15*$F166+'Business Case'!$B$8*('Business Case'!G11*$C166*'Business Case'!G12*$B166)</f>
        <v>1004488671.05538</v>
      </c>
      <c r="N166" s="53" t="n">
        <f aca="false">IF(COUNT('Business Case'!B11:G11)=0,"",H166+NPV(G166,I166:M166))</f>
        <v>-166288748.040942</v>
      </c>
      <c r="P166" s="54" t="n">
        <f aca="true">RAND()</f>
        <v>0.465734837967425</v>
      </c>
      <c r="Q166" s="54" t="n">
        <f aca="true">RAND()</f>
        <v>0.449092972559668</v>
      </c>
      <c r="R166" s="54" t="n">
        <f aca="true">RAND()</f>
        <v>0.015056481452348</v>
      </c>
      <c r="S166" s="54" t="n">
        <f aca="true">RAND()</f>
        <v>0.190988765827544</v>
      </c>
      <c r="T166" s="54" t="n">
        <f aca="true">RAND()</f>
        <v>0.725485481015225</v>
      </c>
      <c r="U166" s="54" t="n">
        <f aca="true">RAND()</f>
        <v>0.131111744037695</v>
      </c>
    </row>
    <row r="167" customFormat="false" ht="15" hidden="false" customHeight="false" outlineLevel="0" collapsed="false">
      <c r="A167" s="50" t="n">
        <v>87</v>
      </c>
      <c r="B167" s="51" t="n">
        <f aca="false">1+IF($G$6=$E$6,$F$6,IF(P167&lt;($F$6-$E$6)/($G$6-$E$6),$E$6+SQRT(P167*($G$6-$E$6)*($F$6-$E$6)),$G$6-SQRT((1-P167)*($G$6-$E$6)*($G$6-$F$6))))</f>
        <v>0.95211190403504</v>
      </c>
      <c r="C167" s="51" t="n">
        <f aca="false">1+IF($G$7=$E$7,$F$7,IF(Q167&lt;($F$7-$E$7)/($G$7-$E$7),$E$7+SQRT(Q167*($G$7-$E$7)*($F$7-$E$7)),$G$7-SQRT((1-Q167)*($G$7-$E$7)*($G$7-$F$7))))</f>
        <v>1.04326523718094</v>
      </c>
      <c r="D167" s="51" t="n">
        <f aca="false">1+IF($G$8=$E$8,$F$8,IF(R167&lt;($F$8-$E$8)/($G$8-$E$8),$E$8+SQRT(R167*($G$8-$E$8)*($F$8-$E$8)),$G$8-SQRT((1-R167)*($G$8-$E$8)*($G$8-$F$8))))</f>
        <v>1.02642649875465</v>
      </c>
      <c r="E167" s="51" t="n">
        <f aca="false">1+IF($G$9=$E$9,$F$9,IF(S167&lt;($F$9-$E$9)/($G$9-$E$9),$E$9+SQRT(S167*($G$9-$E$9)*($F$9-$E$9)),$G$9-SQRT((1-S167)*($G$9-$E$9)*($G$9-$F$9))))</f>
        <v>1.04923001423273</v>
      </c>
      <c r="F167" s="51" t="n">
        <f aca="false">1+IF($G$10=$E$10,$F$10,IF(T167&lt;($F$10-$E$10)/($G$10-$E$10),$E$10+SQRT(T167*($G$10-$E$10)*($F$10-$E$10)),$G$10-SQRT((1-T167)*($G$10-$E$10)*($G$10-$F$10))))</f>
        <v>0.990320962908202</v>
      </c>
      <c r="G167" s="52" t="n">
        <f aca="false">IF($G$11=$E$11,$F$11,IF(U167&lt;($F$11-$E$11)/($G$11-$E$11),$E$11+SQRT(U167*($G$11-$E$11)*($F$11-$E$11)),$G$11-SQRT((1-U167)*($G$11-$E$11)*($G$11-$F$11))))</f>
        <v>0.101044824556092</v>
      </c>
      <c r="H167" s="53" t="n">
        <f aca="false">(('Business Case'!B11*$C167*'Business Case'!B12*$B167)-'Business Case'!B11*$C167*'Business Case'!B13*$D167-'Business Case'!B14*$E167)-MAX(0,(('Business Case'!B11*$C167*'Business Case'!B12*$B167)-'Business Case'!B11*$C167*'Business Case'!B13*$D167-'Business Case'!B14*$E167))*'Business Case'!$B$7-'Business Case'!$B$8*('Business Case'!B11*$C167*'Business Case'!B12*$B167)-'Business Case'!B15*$F167</f>
        <v>-1980641925.8164</v>
      </c>
      <c r="I167" s="53" t="n">
        <f aca="false">(('Business Case'!C11*$C167*'Business Case'!C12*$B167)-'Business Case'!C11*$C167*'Business Case'!C13*$D167-'Business Case'!C14*$E167)-MAX(0,(('Business Case'!C11*$C167*'Business Case'!C12*$B167)-'Business Case'!C11*$C167*'Business Case'!C13*$D167-'Business Case'!C14*$E167))*'Business Case'!$B$7-'Business Case'!$B$8*(('Business Case'!C11*$C167*'Business Case'!C12*$B167)-('Business Case'!B11*$C167*'Business Case'!B12*$B167))-'Business Case'!C15*$F167</f>
        <v>-34318926.2287245</v>
      </c>
      <c r="J167" s="53" t="n">
        <f aca="false">(('Business Case'!D11*$C167*'Business Case'!D12*$B167)-'Business Case'!D11*$C167*'Business Case'!D13*$D167-'Business Case'!D14*$E167)-MAX(0,(('Business Case'!D11*$C167*'Business Case'!D12*$B167)-'Business Case'!D11*$C167*'Business Case'!D13*$D167-'Business Case'!D14*$E167))*'Business Case'!$B$7-'Business Case'!$B$8*(('Business Case'!D11*$C167*'Business Case'!D12*$B167)-('Business Case'!C11*$C167*'Business Case'!C12*$B167))-'Business Case'!D15*$F167</f>
        <v>231087696.089111</v>
      </c>
      <c r="K167" s="53" t="n">
        <f aca="false">(('Business Case'!E11*$C167*'Business Case'!E12*$B167)-'Business Case'!E11*$C167*'Business Case'!E13*$D167-'Business Case'!E14*$E167)-MAX(0,(('Business Case'!E11*$C167*'Business Case'!E12*$B167)-'Business Case'!E11*$C167*'Business Case'!E13*$D167-'Business Case'!E14*$E167))*'Business Case'!$B$7-'Business Case'!$B$8*(('Business Case'!E11*$C167*'Business Case'!E12*$B167)-('Business Case'!D11*$C167*'Business Case'!D12*$B167))-'Business Case'!E15*$F167</f>
        <v>546010366.552358</v>
      </c>
      <c r="L167" s="53" t="n">
        <f aca="false">(('Business Case'!F11*$C167*'Business Case'!F12*$B167)-'Business Case'!F11*$C167*'Business Case'!F13*$D167-'Business Case'!F14*$E167)-MAX(0,(('Business Case'!F11*$C167*'Business Case'!F12*$B167)-'Business Case'!F11*$C167*'Business Case'!F13*$D167-'Business Case'!F14*$E167))*'Business Case'!$B$7-'Business Case'!$B$8*(('Business Case'!F11*$C167*'Business Case'!F12*$B167)-('Business Case'!E11*$C167*'Business Case'!E12*$B167))-'Business Case'!F15*$F167</f>
        <v>668807870.1462</v>
      </c>
      <c r="M167" s="53" t="n">
        <f aca="false">(('Business Case'!G11*$C167*'Business Case'!G12*$B167)-'Business Case'!G11*$C167*'Business Case'!G13*$D167-'Business Case'!G14*$E167)-MAX(0,(('Business Case'!G11*$C167*'Business Case'!G12*$B167)-'Business Case'!G11*$C167*'Business Case'!G13*$D167-'Business Case'!G14*$E167))*'Business Case'!$B$7-'Business Case'!$B$8*(('Business Case'!G11*$C167*'Business Case'!G12*$B167)-('Business Case'!F11*$C167*'Business Case'!F12*$B167))-'Business Case'!G15*$F167+'Business Case'!$B$8*('Business Case'!G11*$C167*'Business Case'!G12*$B167)</f>
        <v>857615332.329635</v>
      </c>
      <c r="N167" s="53" t="n">
        <f aca="false">IF(COUNT('Business Case'!B11:G11)=0,"",H167+NPV(G167,I167:M167))</f>
        <v>-427069971.594152</v>
      </c>
      <c r="P167" s="54" t="n">
        <f aca="true">RAND()</f>
        <v>0.107413997995379</v>
      </c>
      <c r="Q167" s="54" t="n">
        <f aca="true">RAND()</f>
        <v>0.783003626780175</v>
      </c>
      <c r="R167" s="54" t="n">
        <f aca="true">RAND()</f>
        <v>0.724026919645616</v>
      </c>
      <c r="S167" s="54" t="n">
        <f aca="true">RAND()</f>
        <v>0.828160569679425</v>
      </c>
      <c r="T167" s="54" t="n">
        <f aca="true">RAND()</f>
        <v>0.130062403987566</v>
      </c>
      <c r="U167" s="54" t="n">
        <f aca="true">RAND()</f>
        <v>0.401168873151139</v>
      </c>
    </row>
    <row r="168" customFormat="false" ht="15" hidden="false" customHeight="false" outlineLevel="0" collapsed="false">
      <c r="A168" s="50" t="n">
        <v>88</v>
      </c>
      <c r="B168" s="51" t="n">
        <f aca="false">1+IF($G$6=$E$6,$F$6,IF(P168&lt;($F$6-$E$6)/($G$6-$E$6),$E$6+SQRT(P168*($G$6-$E$6)*($F$6-$E$6)),$G$6-SQRT((1-P168)*($G$6-$E$6)*($G$6-$F$6))))</f>
        <v>1.01592422641277</v>
      </c>
      <c r="C168" s="51" t="n">
        <f aca="false">1+IF($G$7=$E$7,$F$7,IF(Q168&lt;($F$7-$E$7)/($G$7-$E$7),$E$7+SQRT(Q168*($G$7-$E$7)*($F$7-$E$7)),$G$7-SQRT((1-Q168)*($G$7-$E$7)*($G$7-$F$7))))</f>
        <v>0.995021333804486</v>
      </c>
      <c r="D168" s="51" t="n">
        <f aca="false">1+IF($G$8=$E$8,$F$8,IF(R168&lt;($F$8-$E$8)/($G$8-$E$8),$E$8+SQRT(R168*($G$8-$E$8)*($F$8-$E$8)),$G$8-SQRT((1-R168)*($G$8-$E$8)*($G$8-$F$8))))</f>
        <v>1.04488110325823</v>
      </c>
      <c r="E168" s="51" t="n">
        <f aca="false">1+IF($G$9=$E$9,$F$9,IF(S168&lt;($F$9-$E$9)/($G$9-$E$9),$E$9+SQRT(S168*($G$9-$E$9)*($F$9-$E$9)),$G$9-SQRT((1-S168)*($G$9-$E$9)*($G$9-$F$9))))</f>
        <v>0.98363918784686</v>
      </c>
      <c r="F168" s="51" t="n">
        <f aca="false">1+IF($G$10=$E$10,$F$10,IF(T168&lt;($F$10-$E$10)/($G$10-$E$10),$E$10+SQRT(T168*($G$10-$E$10)*($F$10-$E$10)),$G$10-SQRT((1-T168)*($G$10-$E$10)*($G$10-$F$10))))</f>
        <v>1.06342072397496</v>
      </c>
      <c r="G168" s="52" t="n">
        <f aca="false">IF($G$11=$E$11,$F$11,IF(U168&lt;($F$11-$E$11)/($G$11-$E$11),$E$11+SQRT(U168*($G$11-$E$11)*($F$11-$E$11)),$G$11-SQRT((1-U168)*($G$11-$E$11)*($G$11-$F$11))))</f>
        <v>0.100606861308765</v>
      </c>
      <c r="H168" s="53" t="n">
        <f aca="false">(('Business Case'!B11*$C168*'Business Case'!B12*$B168)-'Business Case'!B11*$C168*'Business Case'!B13*$D168-'Business Case'!B14*$E168)-MAX(0,(('Business Case'!B11*$C168*'Business Case'!B12*$B168)-'Business Case'!B11*$C168*'Business Case'!B13*$D168-'Business Case'!B14*$E168))*'Business Case'!$B$7-'Business Case'!$B$8*('Business Case'!B11*$C168*'Business Case'!B12*$B168)-'Business Case'!B15*$F168</f>
        <v>-2126841447.94992</v>
      </c>
      <c r="I168" s="53" t="n">
        <f aca="false">(('Business Case'!C11*$C168*'Business Case'!C12*$B168)-'Business Case'!C11*$C168*'Business Case'!C13*$D168-'Business Case'!C14*$E168)-MAX(0,(('Business Case'!C11*$C168*'Business Case'!C12*$B168)-'Business Case'!C11*$C168*'Business Case'!C13*$D168-'Business Case'!C14*$E168))*'Business Case'!$B$7-'Business Case'!$B$8*(('Business Case'!C11*$C168*'Business Case'!C12*$B168)-('Business Case'!B11*$C168*'Business Case'!B12*$B168))-'Business Case'!C15*$F168</f>
        <v>-2879076.1505373</v>
      </c>
      <c r="J168" s="53" t="n">
        <f aca="false">(('Business Case'!D11*$C168*'Business Case'!D12*$B168)-'Business Case'!D11*$C168*'Business Case'!D13*$D168-'Business Case'!D14*$E168)-MAX(0,(('Business Case'!D11*$C168*'Business Case'!D12*$B168)-'Business Case'!D11*$C168*'Business Case'!D13*$D168-'Business Case'!D14*$E168))*'Business Case'!$B$7-'Business Case'!$B$8*(('Business Case'!D11*$C168*'Business Case'!D12*$B168)-('Business Case'!C11*$C168*'Business Case'!C12*$B168))-'Business Case'!D15*$F168</f>
        <v>292860720.501731</v>
      </c>
      <c r="K168" s="53" t="n">
        <f aca="false">(('Business Case'!E11*$C168*'Business Case'!E12*$B168)-'Business Case'!E11*$C168*'Business Case'!E13*$D168-'Business Case'!E14*$E168)-MAX(0,(('Business Case'!E11*$C168*'Business Case'!E12*$B168)-'Business Case'!E11*$C168*'Business Case'!E13*$D168-'Business Case'!E14*$E168))*'Business Case'!$B$7-'Business Case'!$B$8*(('Business Case'!E11*$C168*'Business Case'!E12*$B168)-('Business Case'!D11*$C168*'Business Case'!D12*$B168))-'Business Case'!E15*$F168</f>
        <v>641771553.352747</v>
      </c>
      <c r="L168" s="53" t="n">
        <f aca="false">(('Business Case'!F11*$C168*'Business Case'!F12*$B168)-'Business Case'!F11*$C168*'Business Case'!F13*$D168-'Business Case'!F14*$E168)-MAX(0,(('Business Case'!F11*$C168*'Business Case'!F12*$B168)-'Business Case'!F11*$C168*'Business Case'!F13*$D168-'Business Case'!F14*$E168))*'Business Case'!$B$7-'Business Case'!$B$8*(('Business Case'!F11*$C168*'Business Case'!F12*$B168)-('Business Case'!E11*$C168*'Business Case'!E12*$B168))-'Business Case'!F15*$F168</f>
        <v>775287024.165827</v>
      </c>
      <c r="M168" s="53" t="n">
        <f aca="false">(('Business Case'!G11*$C168*'Business Case'!G12*$B168)-'Business Case'!G11*$C168*'Business Case'!G13*$D168-'Business Case'!G14*$E168)-MAX(0,(('Business Case'!G11*$C168*'Business Case'!G12*$B168)-'Business Case'!G11*$C168*'Business Case'!G13*$D168-'Business Case'!G14*$E168))*'Business Case'!$B$7-'Business Case'!$B$8*(('Business Case'!G11*$C168*'Business Case'!G12*$B168)-('Business Case'!F11*$C168*'Business Case'!F12*$B168))-'Business Case'!G15*$F168+'Business Case'!$B$8*('Business Case'!G11*$C168*'Business Case'!G12*$B168)</f>
        <v>967432486.441941</v>
      </c>
      <c r="N168" s="53" t="n">
        <f aca="false">IF(COUNT('Business Case'!B11:G11)=0,"",H168+NPV(G168,I168:M168))</f>
        <v>-278905495.800483</v>
      </c>
      <c r="P168" s="54" t="n">
        <f aca="true">RAND()</f>
        <v>0.879241067953386</v>
      </c>
      <c r="Q168" s="54" t="n">
        <f aca="true">RAND()</f>
        <v>0.543333151984012</v>
      </c>
      <c r="R168" s="54" t="n">
        <f aca="true">RAND()</f>
        <v>0.881409912657779</v>
      </c>
      <c r="S168" s="54" t="n">
        <f aca="true">RAND()</f>
        <v>0.150879327866179</v>
      </c>
      <c r="T168" s="54" t="n">
        <f aca="true">RAND()</f>
        <v>0.626922027209524</v>
      </c>
      <c r="U168" s="54" t="n">
        <f aca="true">RAND()</f>
        <v>0.373176952837541</v>
      </c>
    </row>
    <row r="169" customFormat="false" ht="15" hidden="false" customHeight="false" outlineLevel="0" collapsed="false">
      <c r="A169" s="50" t="n">
        <v>89</v>
      </c>
      <c r="B169" s="51" t="n">
        <f aca="false">1+IF($G$6=$E$6,$F$6,IF(P169&lt;($F$6-$E$6)/($G$6-$E$6),$E$6+SQRT(P169*($G$6-$E$6)*($F$6-$E$6)),$G$6-SQRT((1-P169)*($G$6-$E$6)*($G$6-$F$6))))</f>
        <v>0.968318114492737</v>
      </c>
      <c r="C169" s="51" t="n">
        <f aca="false">1+IF($G$7=$E$7,$F$7,IF(Q169&lt;($F$7-$E$7)/($G$7-$E$7),$E$7+SQRT(Q169*($G$7-$E$7)*($F$7-$E$7)),$G$7-SQRT((1-Q169)*($G$7-$E$7)*($G$7-$F$7))))</f>
        <v>0.94335388099445</v>
      </c>
      <c r="D169" s="51" t="n">
        <f aca="false">1+IF($G$8=$E$8,$F$8,IF(R169&lt;($F$8-$E$8)/($G$8-$E$8),$E$8+SQRT(R169*($G$8-$E$8)*($F$8-$E$8)),$G$8-SQRT((1-R169)*($G$8-$E$8)*($G$8-$F$8))))</f>
        <v>0.99979163665736</v>
      </c>
      <c r="E169" s="51" t="n">
        <f aca="false">1+IF($G$9=$E$9,$F$9,IF(S169&lt;($F$9-$E$9)/($G$9-$E$9),$E$9+SQRT(S169*($G$9-$E$9)*($F$9-$E$9)),$G$9-SQRT((1-S169)*($G$9-$E$9)*($G$9-$F$9))))</f>
        <v>1.02941329031932</v>
      </c>
      <c r="F169" s="51" t="n">
        <f aca="false">1+IF($G$10=$E$10,$F$10,IF(T169&lt;($F$10-$E$10)/($G$10-$E$10),$E$10+SQRT(T169*($G$10-$E$10)*($F$10-$E$10)),$G$10-SQRT((1-T169)*($G$10-$E$10)*($G$10-$F$10))))</f>
        <v>1.05570221158914</v>
      </c>
      <c r="G169" s="52" t="n">
        <f aca="false">IF($G$11=$E$11,$F$11,IF(U169&lt;($F$11-$E$11)/($G$11-$E$11),$E$11+SQRT(U169*($G$11-$E$11)*($F$11-$E$11)),$G$11-SQRT((1-U169)*($G$11-$E$11)*($G$11-$F$11))))</f>
        <v>0.113417126513678</v>
      </c>
      <c r="H169" s="53" t="n">
        <f aca="false">(('Business Case'!B11*$C169*'Business Case'!B12*$B169)-'Business Case'!B11*$C169*'Business Case'!B13*$D169-'Business Case'!B14*$E169)-MAX(0,(('Business Case'!B11*$C169*'Business Case'!B12*$B169)-'Business Case'!B11*$C169*'Business Case'!B13*$D169-'Business Case'!B14*$E169))*'Business Case'!$B$7-'Business Case'!$B$8*('Business Case'!B11*$C169*'Business Case'!B12*$B169)-'Business Case'!B15*$F169</f>
        <v>-2111404423.17829</v>
      </c>
      <c r="I169" s="53" t="n">
        <f aca="false">(('Business Case'!C11*$C169*'Business Case'!C12*$B169)-'Business Case'!C11*$C169*'Business Case'!C13*$D169-'Business Case'!C14*$E169)-MAX(0,(('Business Case'!C11*$C169*'Business Case'!C12*$B169)-'Business Case'!C11*$C169*'Business Case'!C13*$D169-'Business Case'!C14*$E169))*'Business Case'!$B$7-'Business Case'!$B$8*(('Business Case'!C11*$C169*'Business Case'!C12*$B169)-('Business Case'!B11*$C169*'Business Case'!B12*$B169))-'Business Case'!C15*$F169</f>
        <v>-33933040.7735237</v>
      </c>
      <c r="J169" s="53" t="n">
        <f aca="false">(('Business Case'!D11*$C169*'Business Case'!D12*$B169)-'Business Case'!D11*$C169*'Business Case'!D13*$D169-'Business Case'!D14*$E169)-MAX(0,(('Business Case'!D11*$C169*'Business Case'!D12*$B169)-'Business Case'!D11*$C169*'Business Case'!D13*$D169-'Business Case'!D14*$E169))*'Business Case'!$B$7-'Business Case'!$B$8*(('Business Case'!D11*$C169*'Business Case'!D12*$B169)-('Business Case'!C11*$C169*'Business Case'!C12*$B169))-'Business Case'!D15*$F169</f>
        <v>231440820.700945</v>
      </c>
      <c r="K169" s="53" t="n">
        <f aca="false">(('Business Case'!E11*$C169*'Business Case'!E12*$B169)-'Business Case'!E11*$C169*'Business Case'!E13*$D169-'Business Case'!E14*$E169)-MAX(0,(('Business Case'!E11*$C169*'Business Case'!E12*$B169)-'Business Case'!E11*$C169*'Business Case'!E13*$D169-'Business Case'!E14*$E169))*'Business Case'!$B$7-'Business Case'!$B$8*(('Business Case'!E11*$C169*'Business Case'!E12*$B169)-('Business Case'!D11*$C169*'Business Case'!D12*$B169))-'Business Case'!E15*$F169</f>
        <v>549599792.75487</v>
      </c>
      <c r="L169" s="53" t="n">
        <f aca="false">(('Business Case'!F11*$C169*'Business Case'!F12*$B169)-'Business Case'!F11*$C169*'Business Case'!F13*$D169-'Business Case'!F14*$E169)-MAX(0,(('Business Case'!F11*$C169*'Business Case'!F12*$B169)-'Business Case'!F11*$C169*'Business Case'!F13*$D169-'Business Case'!F14*$E169))*'Business Case'!$B$7-'Business Case'!$B$8*(('Business Case'!F11*$C169*'Business Case'!F12*$B169)-('Business Case'!E11*$C169*'Business Case'!E12*$B169))-'Business Case'!F15*$F169</f>
        <v>669627154.05014</v>
      </c>
      <c r="M169" s="53" t="n">
        <f aca="false">(('Business Case'!G11*$C169*'Business Case'!G12*$B169)-'Business Case'!G11*$C169*'Business Case'!G13*$D169-'Business Case'!G14*$E169)-MAX(0,(('Business Case'!G11*$C169*'Business Case'!G12*$B169)-'Business Case'!G11*$C169*'Business Case'!G13*$D169-'Business Case'!G14*$E169))*'Business Case'!$B$7-'Business Case'!$B$8*(('Business Case'!G11*$C169*'Business Case'!G12*$B169)-('Business Case'!F11*$C169*'Business Case'!F12*$B169))-'Business Case'!G15*$F169+'Business Case'!$B$8*('Business Case'!G11*$C169*'Business Case'!G12*$B169)</f>
        <v>843258895.137598</v>
      </c>
      <c r="N169" s="53" t="n">
        <f aca="false">IF(COUNT('Business Case'!B11:G11)=0,"",H169+NPV(G169,I169:M169))</f>
        <v>-628500800.516408</v>
      </c>
      <c r="P169" s="54" t="n">
        <f aca="true">RAND()</f>
        <v>0.243191686263881</v>
      </c>
      <c r="Q169" s="54" t="n">
        <f aca="true">RAND()</f>
        <v>0.293576217088158</v>
      </c>
      <c r="R169" s="54" t="n">
        <f aca="true">RAND()</f>
        <v>0.381416474002861</v>
      </c>
      <c r="S169" s="54" t="n">
        <f aca="true">RAND()</f>
        <v>0.667834427763687</v>
      </c>
      <c r="T169" s="54" t="n">
        <f aca="true">RAND()</f>
        <v>0.583562965194717</v>
      </c>
      <c r="U169" s="54" t="n">
        <f aca="true">RAND()</f>
        <v>0.927776294438474</v>
      </c>
    </row>
    <row r="170" customFormat="false" ht="15" hidden="false" customHeight="false" outlineLevel="0" collapsed="false">
      <c r="A170" s="50" t="n">
        <v>90</v>
      </c>
      <c r="B170" s="51" t="n">
        <f aca="false">1+IF($G$6=$E$6,$F$6,IF(P170&lt;($F$6-$E$6)/($G$6-$E$6),$E$6+SQRT(P170*($G$6-$E$6)*($F$6-$E$6)),$G$6-SQRT((1-P170)*($G$6-$E$6)*($G$6-$F$6))))</f>
        <v>0.966012105236019</v>
      </c>
      <c r="C170" s="51" t="n">
        <f aca="false">1+IF($G$7=$E$7,$F$7,IF(Q170&lt;($F$7-$E$7)/($G$7-$E$7),$E$7+SQRT(Q170*($G$7-$E$7)*($F$7-$E$7)),$G$7-SQRT((1-Q170)*($G$7-$E$7)*($G$7-$F$7))))</f>
        <v>0.912770248752003</v>
      </c>
      <c r="D170" s="51" t="n">
        <f aca="false">1+IF($G$8=$E$8,$F$8,IF(R170&lt;($F$8-$E$8)/($G$8-$E$8),$E$8+SQRT(R170*($G$8-$E$8)*($F$8-$E$8)),$G$8-SQRT((1-R170)*($G$8-$E$8)*($G$8-$F$8))))</f>
        <v>1.03383917166585</v>
      </c>
      <c r="E170" s="51" t="n">
        <f aca="false">1+IF($G$9=$E$9,$F$9,IF(S170&lt;($F$9-$E$9)/($G$9-$E$9),$E$9+SQRT(S170*($G$9-$E$9)*($F$9-$E$9)),$G$9-SQRT((1-S170)*($G$9-$E$9)*($G$9-$F$9))))</f>
        <v>1.00543194278361</v>
      </c>
      <c r="F170" s="51" t="n">
        <f aca="false">1+IF($G$10=$E$10,$F$10,IF(T170&lt;($F$10-$E$10)/($G$10-$E$10),$E$10+SQRT(T170*($G$10-$E$10)*($F$10-$E$10)),$G$10-SQRT((1-T170)*($G$10-$E$10)*($G$10-$F$10))))</f>
        <v>1.0013665689243</v>
      </c>
      <c r="G170" s="52" t="n">
        <f aca="false">IF($G$11=$E$11,$F$11,IF(U170&lt;($F$11-$E$11)/($G$11-$E$11),$E$11+SQRT(U170*($G$11-$E$11)*($F$11-$E$11)),$G$11-SQRT((1-U170)*($G$11-$E$11)*($G$11-$F$11))))</f>
        <v>0.101427463250849</v>
      </c>
      <c r="H170" s="53" t="n">
        <f aca="false">(('Business Case'!B11*$C170*'Business Case'!B12*$B170)-'Business Case'!B11*$C170*'Business Case'!B13*$D170-'Business Case'!B14*$E170)-MAX(0,(('Business Case'!B11*$C170*'Business Case'!B12*$B170)-'Business Case'!B11*$C170*'Business Case'!B13*$D170-'Business Case'!B14*$E170))*'Business Case'!$B$7-'Business Case'!$B$8*('Business Case'!B11*$C170*'Business Case'!B12*$B170)-'Business Case'!B15*$F170</f>
        <v>-2002733137.8486</v>
      </c>
      <c r="I170" s="53" t="n">
        <f aca="false">(('Business Case'!C11*$C170*'Business Case'!C12*$B170)-'Business Case'!C11*$C170*'Business Case'!C13*$D170-'Business Case'!C14*$E170)-MAX(0,(('Business Case'!C11*$C170*'Business Case'!C12*$B170)-'Business Case'!C11*$C170*'Business Case'!C13*$D170-'Business Case'!C14*$E170))*'Business Case'!$B$7-'Business Case'!$B$8*(('Business Case'!C11*$C170*'Business Case'!C12*$B170)-('Business Case'!B11*$C170*'Business Case'!B12*$B170))-'Business Case'!C15*$F170</f>
        <v>-49681698.7576068</v>
      </c>
      <c r="J170" s="53" t="n">
        <f aca="false">(('Business Case'!D11*$C170*'Business Case'!D12*$B170)-'Business Case'!D11*$C170*'Business Case'!D13*$D170-'Business Case'!D14*$E170)-MAX(0,(('Business Case'!D11*$C170*'Business Case'!D12*$B170)-'Business Case'!D11*$C170*'Business Case'!D13*$D170-'Business Case'!D14*$E170))*'Business Case'!$B$7-'Business Case'!$B$8*(('Business Case'!D11*$C170*'Business Case'!D12*$B170)-('Business Case'!C11*$C170*'Business Case'!C12*$B170))-'Business Case'!D15*$F170</f>
        <v>189455451.802385</v>
      </c>
      <c r="K170" s="53" t="n">
        <f aca="false">(('Business Case'!E11*$C170*'Business Case'!E12*$B170)-'Business Case'!E11*$C170*'Business Case'!E13*$D170-'Business Case'!E14*$E170)-MAX(0,(('Business Case'!E11*$C170*'Business Case'!E12*$B170)-'Business Case'!E11*$C170*'Business Case'!E13*$D170-'Business Case'!E14*$E170))*'Business Case'!$B$7-'Business Case'!$B$8*(('Business Case'!E11*$C170*'Business Case'!E12*$B170)-('Business Case'!D11*$C170*'Business Case'!D12*$B170))-'Business Case'!E15*$F170</f>
        <v>478660930.808592</v>
      </c>
      <c r="L170" s="53" t="n">
        <f aca="false">(('Business Case'!F11*$C170*'Business Case'!F12*$B170)-'Business Case'!F11*$C170*'Business Case'!F13*$D170-'Business Case'!F14*$E170)-MAX(0,(('Business Case'!F11*$C170*'Business Case'!F12*$B170)-'Business Case'!F11*$C170*'Business Case'!F13*$D170-'Business Case'!F14*$E170))*'Business Case'!$B$7-'Business Case'!$B$8*(('Business Case'!F11*$C170*'Business Case'!F12*$B170)-('Business Case'!E11*$C170*'Business Case'!E12*$B170))-'Business Case'!F15*$F170</f>
        <v>588846494.436148</v>
      </c>
      <c r="M170" s="53" t="n">
        <f aca="false">(('Business Case'!G11*$C170*'Business Case'!G12*$B170)-'Business Case'!G11*$C170*'Business Case'!G13*$D170-'Business Case'!G14*$E170)-MAX(0,(('Business Case'!G11*$C170*'Business Case'!G12*$B170)-'Business Case'!G11*$C170*'Business Case'!G13*$D170-'Business Case'!G14*$E170))*'Business Case'!$B$7-'Business Case'!$B$8*(('Business Case'!G11*$C170*'Business Case'!G12*$B170)-('Business Case'!F11*$C170*'Business Case'!F12*$B170))-'Business Case'!G15*$F170+'Business Case'!$B$8*('Business Case'!G11*$C170*'Business Case'!G12*$B170)</f>
        <v>756448985.027724</v>
      </c>
      <c r="N170" s="53" t="n">
        <f aca="false">IF(COUNT('Business Case'!B11:G11)=0,"",H170+NPV(G170,I170:M170))</f>
        <v>-666673309.171173</v>
      </c>
      <c r="P170" s="54" t="n">
        <f aca="true">RAND()</f>
        <v>0.22053269044276</v>
      </c>
      <c r="Q170" s="54" t="n">
        <f aca="true">RAND()</f>
        <v>0.181673271479839</v>
      </c>
      <c r="R170" s="54" t="n">
        <f aca="true">RAND()</f>
        <v>0.795113262260103</v>
      </c>
      <c r="S170" s="54" t="n">
        <f aca="true">RAND()</f>
        <v>0.403792170287856</v>
      </c>
      <c r="T170" s="54" t="n">
        <f aca="true">RAND()</f>
        <v>0.210895201181917</v>
      </c>
      <c r="U170" s="54" t="n">
        <f aca="true">RAND()</f>
        <v>0.425101464502404</v>
      </c>
    </row>
    <row r="171" customFormat="false" ht="15" hidden="false" customHeight="false" outlineLevel="0" collapsed="false">
      <c r="A171" s="50" t="n">
        <v>91</v>
      </c>
      <c r="B171" s="51" t="n">
        <f aca="false">1+IF($G$6=$E$6,$F$6,IF(P171&lt;($F$6-$E$6)/($G$6-$E$6),$E$6+SQRT(P171*($G$6-$E$6)*($F$6-$E$6)),$G$6-SQRT((1-P171)*($G$6-$E$6)*($G$6-$F$6))))</f>
        <v>1.02573866952026</v>
      </c>
      <c r="C171" s="51" t="n">
        <f aca="false">1+IF($G$7=$E$7,$F$7,IF(Q171&lt;($F$7-$E$7)/($G$7-$E$7),$E$7+SQRT(Q171*($G$7-$E$7)*($F$7-$E$7)),$G$7-SQRT((1-Q171)*($G$7-$E$7)*($G$7-$F$7))))</f>
        <v>1.08920736530074</v>
      </c>
      <c r="D171" s="51" t="n">
        <f aca="false">1+IF($G$8=$E$8,$F$8,IF(R171&lt;($F$8-$E$8)/($G$8-$E$8),$E$8+SQRT(R171*($G$8-$E$8)*($F$8-$E$8)),$G$8-SQRT((1-R171)*($G$8-$E$8)*($G$8-$F$8))))</f>
        <v>1.00427526450318</v>
      </c>
      <c r="E171" s="51" t="n">
        <f aca="false">1+IF($G$9=$E$9,$F$9,IF(S171&lt;($F$9-$E$9)/($G$9-$E$9),$E$9+SQRT(S171*($G$9-$E$9)*($F$9-$E$9)),$G$9-SQRT((1-S171)*($G$9-$E$9)*($G$9-$F$9))))</f>
        <v>1.02659929905294</v>
      </c>
      <c r="F171" s="51" t="n">
        <f aca="false">1+IF($G$10=$E$10,$F$10,IF(T171&lt;($F$10-$E$10)/($G$10-$E$10),$E$10+SQRT(T171*($G$10-$E$10)*($F$10-$E$10)),$G$10-SQRT((1-T171)*($G$10-$E$10)*($G$10-$F$10))))</f>
        <v>1.01054566107947</v>
      </c>
      <c r="G171" s="52" t="n">
        <f aca="false">IF($G$11=$E$11,$F$11,IF(U171&lt;($F$11-$E$11)/($G$11-$E$11),$E$11+SQRT(U171*($G$11-$E$11)*($F$11-$E$11)),$G$11-SQRT((1-U171)*($G$11-$E$11)*($G$11-$F$11))))</f>
        <v>0.103082972919339</v>
      </c>
      <c r="H171" s="53" t="n">
        <f aca="false">(('Business Case'!B11*$C171*'Business Case'!B12*$B171)-'Business Case'!B11*$C171*'Business Case'!B13*$D171-'Business Case'!B14*$E171)-MAX(0,(('Business Case'!B11*$C171*'Business Case'!B12*$B171)-'Business Case'!B11*$C171*'Business Case'!B13*$D171-'Business Case'!B14*$E171))*'Business Case'!$B$7-'Business Case'!$B$8*('Business Case'!B11*$C171*'Business Case'!B12*$B171)-'Business Case'!B15*$F171</f>
        <v>-2021091322.15894</v>
      </c>
      <c r="I171" s="53" t="n">
        <f aca="false">(('Business Case'!C11*$C171*'Business Case'!C12*$B171)-'Business Case'!C11*$C171*'Business Case'!C13*$D171-'Business Case'!C14*$E171)-MAX(0,(('Business Case'!C11*$C171*'Business Case'!C12*$B171)-'Business Case'!C11*$C171*'Business Case'!C13*$D171-'Business Case'!C14*$E171))*'Business Case'!$B$7-'Business Case'!$B$8*(('Business Case'!C11*$C171*'Business Case'!C12*$B171)-('Business Case'!B11*$C171*'Business Case'!B12*$B171))-'Business Case'!C15*$F171</f>
        <v>50176048.456151</v>
      </c>
      <c r="J171" s="53" t="n">
        <f aca="false">(('Business Case'!D11*$C171*'Business Case'!D12*$B171)-'Business Case'!D11*$C171*'Business Case'!D13*$D171-'Business Case'!D14*$E171)-MAX(0,(('Business Case'!D11*$C171*'Business Case'!D12*$B171)-'Business Case'!D11*$C171*'Business Case'!D13*$D171-'Business Case'!D14*$E171))*'Business Case'!$B$7-'Business Case'!$B$8*(('Business Case'!D11*$C171*'Business Case'!D12*$B171)-('Business Case'!C11*$C171*'Business Case'!C12*$B171))-'Business Case'!D15*$F171</f>
        <v>405306914.520576</v>
      </c>
      <c r="K171" s="53" t="n">
        <f aca="false">(('Business Case'!E11*$C171*'Business Case'!E12*$B171)-'Business Case'!E11*$C171*'Business Case'!E13*$D171-'Business Case'!E14*$E171)-MAX(0,(('Business Case'!E11*$C171*'Business Case'!E12*$B171)-'Business Case'!E11*$C171*'Business Case'!E13*$D171-'Business Case'!E14*$E171))*'Business Case'!$B$7-'Business Case'!$B$8*(('Business Case'!E11*$C171*'Business Case'!E12*$B171)-('Business Case'!D11*$C171*'Business Case'!D12*$B171))-'Business Case'!E15*$F171</f>
        <v>810965063.638975</v>
      </c>
      <c r="L171" s="53" t="n">
        <f aca="false">(('Business Case'!F11*$C171*'Business Case'!F12*$B171)-'Business Case'!F11*$C171*'Business Case'!F13*$D171-'Business Case'!F14*$E171)-MAX(0,(('Business Case'!F11*$C171*'Business Case'!F12*$B171)-'Business Case'!F11*$C171*'Business Case'!F13*$D171-'Business Case'!F14*$E171))*'Business Case'!$B$7-'Business Case'!$B$8*(('Business Case'!F11*$C171*'Business Case'!F12*$B171)-('Business Case'!E11*$C171*'Business Case'!E12*$B171))-'Business Case'!F15*$F171</f>
        <v>967953906.443782</v>
      </c>
      <c r="M171" s="53" t="n">
        <f aca="false">(('Business Case'!G11*$C171*'Business Case'!G12*$B171)-'Business Case'!G11*$C171*'Business Case'!G13*$D171-'Business Case'!G14*$E171)-MAX(0,(('Business Case'!G11*$C171*'Business Case'!G12*$B171)-'Business Case'!G11*$C171*'Business Case'!G13*$D171-'Business Case'!G14*$E171))*'Business Case'!$B$7-'Business Case'!$B$8*(('Business Case'!G11*$C171*'Business Case'!G12*$B171)-('Business Case'!F11*$C171*'Business Case'!F12*$B171))-'Business Case'!G15*$F171+'Business Case'!$B$8*('Business Case'!G11*$C171*'Business Case'!G12*$B171)</f>
        <v>1180319287.41878</v>
      </c>
      <c r="N171" s="53" t="n">
        <f aca="false">IF(COUNT('Business Case'!B11:G11)=0,"",H171+NPV(G171,I171:M171))</f>
        <v>338152425.253715</v>
      </c>
      <c r="P171" s="54" t="n">
        <f aca="true">RAND()</f>
        <v>0.957628011030766</v>
      </c>
      <c r="Q171" s="54" t="n">
        <f aca="true">RAND()</f>
        <v>0.929604867929947</v>
      </c>
      <c r="R171" s="54" t="n">
        <f aca="true">RAND()</f>
        <v>0.448631195570897</v>
      </c>
      <c r="S171" s="54" t="n">
        <f aca="true">RAND()</f>
        <v>0.640822473365381</v>
      </c>
      <c r="T171" s="54" t="n">
        <f aca="true">RAND()</f>
        <v>0.282141069283692</v>
      </c>
      <c r="U171" s="54" t="n">
        <f aca="true">RAND()</f>
        <v>0.523023657920302</v>
      </c>
    </row>
    <row r="172" customFormat="false" ht="15" hidden="false" customHeight="false" outlineLevel="0" collapsed="false">
      <c r="A172" s="50" t="n">
        <v>92</v>
      </c>
      <c r="B172" s="51" t="n">
        <f aca="false">1+IF($G$6=$E$6,$F$6,IF(P172&lt;($F$6-$E$6)/($G$6-$E$6),$E$6+SQRT(P172*($G$6-$E$6)*($F$6-$E$6)),$G$6-SQRT((1-P172)*($G$6-$E$6)*($G$6-$F$6))))</f>
        <v>0.978491204686138</v>
      </c>
      <c r="C172" s="51" t="n">
        <f aca="false">1+IF($G$7=$E$7,$F$7,IF(Q172&lt;($F$7-$E$7)/($G$7-$E$7),$E$7+SQRT(Q172*($G$7-$E$7)*($F$7-$E$7)),$G$7-SQRT((1-Q172)*($G$7-$E$7)*($G$7-$F$7))))</f>
        <v>0.84026226559847</v>
      </c>
      <c r="D172" s="51" t="n">
        <f aca="false">1+IF($G$8=$E$8,$F$8,IF(R172&lt;($F$8-$E$8)/($G$8-$E$8),$E$8+SQRT(R172*($G$8-$E$8)*($F$8-$E$8)),$G$8-SQRT((1-R172)*($G$8-$E$8)*($G$8-$F$8))))</f>
        <v>1.03317215336421</v>
      </c>
      <c r="E172" s="51" t="n">
        <f aca="false">1+IF($G$9=$E$9,$F$9,IF(S172&lt;($F$9-$E$9)/($G$9-$E$9),$E$9+SQRT(S172*($G$9-$E$9)*($F$9-$E$9)),$G$9-SQRT((1-S172)*($G$9-$E$9)*($G$9-$F$9))))</f>
        <v>0.99456310667225</v>
      </c>
      <c r="F172" s="51" t="n">
        <f aca="false">1+IF($G$10=$E$10,$F$10,IF(T172&lt;($F$10-$E$10)/($G$10-$E$10),$E$10+SQRT(T172*($G$10-$E$10)*($F$10-$E$10)),$G$10-SQRT((1-T172)*($G$10-$E$10)*($G$10-$F$10))))</f>
        <v>1.02793231515293</v>
      </c>
      <c r="G172" s="52" t="n">
        <f aca="false">IF($G$11=$E$11,$F$11,IF(U172&lt;($F$11-$E$11)/($G$11-$E$11),$E$11+SQRT(U172*($G$11-$E$11)*($F$11-$E$11)),$G$11-SQRT((1-U172)*($G$11-$E$11)*($G$11-$F$11))))</f>
        <v>0.0937013007750105</v>
      </c>
      <c r="H172" s="53" t="n">
        <f aca="false">(('Business Case'!B11*$C172*'Business Case'!B12*$B172)-'Business Case'!B11*$C172*'Business Case'!B13*$D172-'Business Case'!B14*$E172)-MAX(0,(('Business Case'!B11*$C172*'Business Case'!B12*$B172)-'Business Case'!B11*$C172*'Business Case'!B13*$D172-'Business Case'!B14*$E172))*'Business Case'!$B$7-'Business Case'!$B$8*('Business Case'!B11*$C172*'Business Case'!B12*$B172)-'Business Case'!B15*$F172</f>
        <v>-2055864630.30587</v>
      </c>
      <c r="I172" s="53" t="n">
        <f aca="false">(('Business Case'!C11*$C172*'Business Case'!C12*$B172)-'Business Case'!C11*$C172*'Business Case'!C13*$D172-'Business Case'!C14*$E172)-MAX(0,(('Business Case'!C11*$C172*'Business Case'!C12*$B172)-'Business Case'!C11*$C172*'Business Case'!C13*$D172-'Business Case'!C14*$E172))*'Business Case'!$B$7-'Business Case'!$B$8*(('Business Case'!C11*$C172*'Business Case'!C12*$B172)-('Business Case'!B11*$C172*'Business Case'!B12*$B172))-'Business Case'!C15*$F172</f>
        <v>-57826176.1877537</v>
      </c>
      <c r="J172" s="53" t="n">
        <f aca="false">(('Business Case'!D11*$C172*'Business Case'!D12*$B172)-'Business Case'!D11*$C172*'Business Case'!D13*$D172-'Business Case'!D14*$E172)-MAX(0,(('Business Case'!D11*$C172*'Business Case'!D12*$B172)-'Business Case'!D11*$C172*'Business Case'!D13*$D172-'Business Case'!D14*$E172))*'Business Case'!$B$7-'Business Case'!$B$8*(('Business Case'!D11*$C172*'Business Case'!D12*$B172)-('Business Case'!C11*$C172*'Business Case'!C12*$B172))-'Business Case'!D15*$F172</f>
        <v>171190042.92966</v>
      </c>
      <c r="K172" s="53" t="n">
        <f aca="false">(('Business Case'!E11*$C172*'Business Case'!E12*$B172)-'Business Case'!E11*$C172*'Business Case'!E13*$D172-'Business Case'!E14*$E172)-MAX(0,(('Business Case'!E11*$C172*'Business Case'!E12*$B172)-'Business Case'!E11*$C172*'Business Case'!E13*$D172-'Business Case'!E14*$E172))*'Business Case'!$B$7-'Business Case'!$B$8*(('Business Case'!E11*$C172*'Business Case'!E12*$B172)-('Business Case'!D11*$C172*'Business Case'!D12*$B172))-'Business Case'!E15*$F172</f>
        <v>451602877.804721</v>
      </c>
      <c r="L172" s="53" t="n">
        <f aca="false">(('Business Case'!F11*$C172*'Business Case'!F12*$B172)-'Business Case'!F11*$C172*'Business Case'!F13*$D172-'Business Case'!F14*$E172)-MAX(0,(('Business Case'!F11*$C172*'Business Case'!F12*$B172)-'Business Case'!F11*$C172*'Business Case'!F13*$D172-'Business Case'!F14*$E172))*'Business Case'!$B$7-'Business Case'!$B$8*(('Business Case'!F11*$C172*'Business Case'!F12*$B172)-('Business Case'!E11*$C172*'Business Case'!E12*$B172))-'Business Case'!F15*$F172</f>
        <v>556356477.524579</v>
      </c>
      <c r="M172" s="53" t="n">
        <f aca="false">(('Business Case'!G11*$C172*'Business Case'!G12*$B172)-'Business Case'!G11*$C172*'Business Case'!G13*$D172-'Business Case'!G14*$E172)-MAX(0,(('Business Case'!G11*$C172*'Business Case'!G12*$B172)-'Business Case'!G11*$C172*'Business Case'!G13*$D172-'Business Case'!G14*$E172))*'Business Case'!$B$7-'Business Case'!$B$8*(('Business Case'!G11*$C172*'Business Case'!G12*$B172)-('Business Case'!F11*$C172*'Business Case'!F12*$B172))-'Business Case'!G15*$F172+'Business Case'!$B$8*('Business Case'!G11*$C172*'Business Case'!G12*$B172)</f>
        <v>712638207.601873</v>
      </c>
      <c r="N172" s="53" t="n">
        <f aca="false">IF(COUNT('Business Case'!B11:G11)=0,"",H172+NPV(G172,I172:M172))</f>
        <v>-776220941.346659</v>
      </c>
      <c r="P172" s="54" t="n">
        <f aca="true">RAND()</f>
        <v>0.356377190170388</v>
      </c>
      <c r="Q172" s="54" t="n">
        <f aca="true">RAND()</f>
        <v>0.0231578575874533</v>
      </c>
      <c r="R172" s="54" t="n">
        <f aca="true">RAND()</f>
        <v>0.789149305716845</v>
      </c>
      <c r="S172" s="54" t="n">
        <f aca="true">RAND()</f>
        <v>0.264782730170976</v>
      </c>
      <c r="T172" s="54" t="n">
        <f aca="true">RAND()</f>
        <v>0.407854236627414</v>
      </c>
      <c r="U172" s="54" t="n">
        <f aca="true">RAND()</f>
        <v>0.0456654247569771</v>
      </c>
    </row>
    <row r="173" customFormat="false" ht="15" hidden="false" customHeight="false" outlineLevel="0" collapsed="false">
      <c r="A173" s="50" t="n">
        <v>93</v>
      </c>
      <c r="B173" s="51" t="n">
        <f aca="false">1+IF($G$6=$E$6,$F$6,IF(P173&lt;($F$6-$E$6)/($G$6-$E$6),$E$6+SQRT(P173*($G$6-$E$6)*($F$6-$E$6)),$G$6-SQRT((1-P173)*($G$6-$E$6)*($G$6-$F$6))))</f>
        <v>0.985055962442323</v>
      </c>
      <c r="C173" s="51" t="n">
        <f aca="false">1+IF($G$7=$E$7,$F$7,IF(Q173&lt;($F$7-$E$7)/($G$7-$E$7),$E$7+SQRT(Q173*($G$7-$E$7)*($F$7-$E$7)),$G$7-SQRT((1-Q173)*($G$7-$E$7)*($G$7-$F$7))))</f>
        <v>1.05330222702207</v>
      </c>
      <c r="D173" s="51" t="n">
        <f aca="false">1+IF($G$8=$E$8,$F$8,IF(R173&lt;($F$8-$E$8)/($G$8-$E$8),$E$8+SQRT(R173*($G$8-$E$8)*($F$8-$E$8)),$G$8-SQRT((1-R173)*($G$8-$E$8)*($G$8-$F$8))))</f>
        <v>1.01114771313477</v>
      </c>
      <c r="E173" s="51" t="n">
        <f aca="false">1+IF($G$9=$E$9,$F$9,IF(S173&lt;($F$9-$E$9)/($G$9-$E$9),$E$9+SQRT(S173*($G$9-$E$9)*($F$9-$E$9)),$G$9-SQRT((1-S173)*($G$9-$E$9)*($G$9-$F$9))))</f>
        <v>1.00666029288715</v>
      </c>
      <c r="F173" s="51" t="n">
        <f aca="false">1+IF($G$10=$E$10,$F$10,IF(T173&lt;($F$10-$E$10)/($G$10-$E$10),$E$10+SQRT(T173*($G$10-$E$10)*($F$10-$E$10)),$G$10-SQRT((1-T173)*($G$10-$E$10)*($G$10-$F$10))))</f>
        <v>1.03101629371569</v>
      </c>
      <c r="G173" s="52" t="n">
        <f aca="false">IF($G$11=$E$11,$F$11,IF(U173&lt;($F$11-$E$11)/($G$11-$E$11),$E$11+SQRT(U173*($G$11-$E$11)*($F$11-$E$11)),$G$11-SQRT((1-U173)*($G$11-$E$11)*($G$11-$F$11))))</f>
        <v>0.101084711935193</v>
      </c>
      <c r="H173" s="53" t="n">
        <f aca="false">(('Business Case'!B11*$C173*'Business Case'!B12*$B173)-'Business Case'!B11*$C173*'Business Case'!B13*$D173-'Business Case'!B14*$E173)-MAX(0,(('Business Case'!B11*$C173*'Business Case'!B12*$B173)-'Business Case'!B11*$C173*'Business Case'!B13*$D173-'Business Case'!B14*$E173))*'Business Case'!$B$7-'Business Case'!$B$8*('Business Case'!B11*$C173*'Business Case'!B12*$B173)-'Business Case'!B15*$F173</f>
        <v>-2062032587.43139</v>
      </c>
      <c r="I173" s="53" t="n">
        <f aca="false">(('Business Case'!C11*$C173*'Business Case'!C12*$B173)-'Business Case'!C11*$C173*'Business Case'!C13*$D173-'Business Case'!C14*$E173)-MAX(0,(('Business Case'!C11*$C173*'Business Case'!C12*$B173)-'Business Case'!C11*$C173*'Business Case'!C13*$D173-'Business Case'!C14*$E173))*'Business Case'!$B$7-'Business Case'!$B$8*(('Business Case'!C11*$C173*'Business Case'!C12*$B173)-('Business Case'!B11*$C173*'Business Case'!B12*$B173))-'Business Case'!C15*$F173</f>
        <v>4584373.20657834</v>
      </c>
      <c r="J173" s="53" t="n">
        <f aca="false">(('Business Case'!D11*$C173*'Business Case'!D12*$B173)-'Business Case'!D11*$C173*'Business Case'!D13*$D173-'Business Case'!D14*$E173)-MAX(0,(('Business Case'!D11*$C173*'Business Case'!D12*$B173)-'Business Case'!D11*$C173*'Business Case'!D13*$D173-'Business Case'!D14*$E173))*'Business Case'!$B$7-'Business Case'!$B$8*(('Business Case'!D11*$C173*'Business Case'!D12*$B173)-('Business Case'!C11*$C173*'Business Case'!C12*$B173))-'Business Case'!D15*$F173</f>
        <v>309204664.798099</v>
      </c>
      <c r="K173" s="53" t="n">
        <f aca="false">(('Business Case'!E11*$C173*'Business Case'!E12*$B173)-'Business Case'!E11*$C173*'Business Case'!E13*$D173-'Business Case'!E14*$E173)-MAX(0,(('Business Case'!E11*$C173*'Business Case'!E12*$B173)-'Business Case'!E11*$C173*'Business Case'!E13*$D173-'Business Case'!E14*$E173))*'Business Case'!$B$7-'Business Case'!$B$8*(('Business Case'!E11*$C173*'Business Case'!E12*$B173)-('Business Case'!D11*$C173*'Business Case'!D12*$B173))-'Business Case'!E15*$F173</f>
        <v>665375771.075406</v>
      </c>
      <c r="L173" s="53" t="n">
        <f aca="false">(('Business Case'!F11*$C173*'Business Case'!F12*$B173)-'Business Case'!F11*$C173*'Business Case'!F13*$D173-'Business Case'!F14*$E173)-MAX(0,(('Business Case'!F11*$C173*'Business Case'!F12*$B173)-'Business Case'!F11*$C173*'Business Case'!F13*$D173-'Business Case'!F14*$E173))*'Business Case'!$B$7-'Business Case'!$B$8*(('Business Case'!F11*$C173*'Business Case'!F12*$B173)-('Business Case'!E11*$C173*'Business Case'!E12*$B173))-'Business Case'!F15*$F173</f>
        <v>802773998.515792</v>
      </c>
      <c r="M173" s="53" t="n">
        <f aca="false">(('Business Case'!G11*$C173*'Business Case'!G12*$B173)-'Business Case'!G11*$C173*'Business Case'!G13*$D173-'Business Case'!G14*$E173)-MAX(0,(('Business Case'!G11*$C173*'Business Case'!G12*$B173)-'Business Case'!G11*$C173*'Business Case'!G13*$D173-'Business Case'!G14*$E173))*'Business Case'!$B$7-'Business Case'!$B$8*(('Business Case'!G11*$C173*'Business Case'!G12*$B173)-('Business Case'!F11*$C173*'Business Case'!F12*$B173))-'Business Case'!G15*$F173+'Business Case'!$B$8*('Business Case'!G11*$C173*'Business Case'!G12*$B173)</f>
        <v>999993714.853466</v>
      </c>
      <c r="N173" s="53" t="n">
        <f aca="false">IF(COUNT('Business Case'!B11:G11)=0,"",H173+NPV(G173,I173:M173))</f>
        <v>-140387528.429216</v>
      </c>
      <c r="P173" s="54" t="n">
        <f aca="true">RAND()</f>
        <v>0.440862317635093</v>
      </c>
      <c r="Q173" s="54" t="n">
        <f aca="true">RAND()</f>
        <v>0.821896013354451</v>
      </c>
      <c r="R173" s="54" t="n">
        <f aca="true">RAND()</f>
        <v>0.544169480137347</v>
      </c>
      <c r="S173" s="54" t="n">
        <f aca="true">RAND()</f>
        <v>0.419179938405876</v>
      </c>
      <c r="T173" s="54" t="n">
        <f aca="true">RAND()</f>
        <v>0.428890140208393</v>
      </c>
      <c r="U173" s="54" t="n">
        <f aca="true">RAND()</f>
        <v>0.403686462375625</v>
      </c>
    </row>
    <row r="174" customFormat="false" ht="15" hidden="false" customHeight="false" outlineLevel="0" collapsed="false">
      <c r="A174" s="50" t="n">
        <v>94</v>
      </c>
      <c r="B174" s="51" t="n">
        <f aca="false">1+IF($G$6=$E$6,$F$6,IF(P174&lt;($F$6-$E$6)/($G$6-$E$6),$E$6+SQRT(P174*($G$6-$E$6)*($F$6-$E$6)),$G$6-SQRT((1-P174)*($G$6-$E$6)*($G$6-$F$6))))</f>
        <v>0.946524089868957</v>
      </c>
      <c r="C174" s="51" t="n">
        <f aca="false">1+IF($G$7=$E$7,$F$7,IF(Q174&lt;($F$7-$E$7)/($G$7-$E$7),$E$7+SQRT(Q174*($G$7-$E$7)*($F$7-$E$7)),$G$7-SQRT((1-Q174)*($G$7-$E$7)*($G$7-$F$7))))</f>
        <v>0.870813039418326</v>
      </c>
      <c r="D174" s="51" t="n">
        <f aca="false">1+IF($G$8=$E$8,$F$8,IF(R174&lt;($F$8-$E$8)/($G$8-$E$8),$E$8+SQRT(R174*($G$8-$E$8)*($F$8-$E$8)),$G$8-SQRT((1-R174)*($G$8-$E$8)*($G$8-$F$8))))</f>
        <v>1.03515072661413</v>
      </c>
      <c r="E174" s="51" t="n">
        <f aca="false">1+IF($G$9=$E$9,$F$9,IF(S174&lt;($F$9-$E$9)/($G$9-$E$9),$E$9+SQRT(S174*($G$9-$E$9)*($F$9-$E$9)),$G$9-SQRT((1-S174)*($G$9-$E$9)*($G$9-$F$9))))</f>
        <v>1.02678456470906</v>
      </c>
      <c r="F174" s="51" t="n">
        <f aca="false">1+IF($G$10=$E$10,$F$10,IF(T174&lt;($F$10-$E$10)/($G$10-$E$10),$E$10+SQRT(T174*($G$10-$E$10)*($F$10-$E$10)),$G$10-SQRT((1-T174)*($G$10-$E$10)*($G$10-$F$10))))</f>
        <v>1.06519236148232</v>
      </c>
      <c r="G174" s="52" t="n">
        <f aca="false">IF($G$11=$E$11,$F$11,IF(U174&lt;($F$11-$E$11)/($G$11-$E$11),$E$11+SQRT(U174*($G$11-$E$11)*($F$11-$E$11)),$G$11-SQRT((1-U174)*($G$11-$E$11)*($G$11-$F$11))))</f>
        <v>0.116028420402512</v>
      </c>
      <c r="H174" s="53" t="n">
        <f aca="false">(('Business Case'!B11*$C174*'Business Case'!B12*$B174)-'Business Case'!B11*$C174*'Business Case'!B13*$D174-'Business Case'!B14*$E174)-MAX(0,(('Business Case'!B11*$C174*'Business Case'!B12*$B174)-'Business Case'!B11*$C174*'Business Case'!B13*$D174-'Business Case'!B14*$E174))*'Business Case'!$B$7-'Business Case'!$B$8*('Business Case'!B11*$C174*'Business Case'!B12*$B174)-'Business Case'!B15*$F174</f>
        <v>-2130384722.96463</v>
      </c>
      <c r="I174" s="53" t="n">
        <f aca="false">(('Business Case'!C11*$C174*'Business Case'!C12*$B174)-'Business Case'!C11*$C174*'Business Case'!C13*$D174-'Business Case'!C14*$E174)-MAX(0,(('Business Case'!C11*$C174*'Business Case'!C12*$B174)-'Business Case'!C11*$C174*'Business Case'!C13*$D174-'Business Case'!C14*$E174))*'Business Case'!$B$7-'Business Case'!$B$8*(('Business Case'!C11*$C174*'Business Case'!C12*$B174)-('Business Case'!B11*$C174*'Business Case'!B12*$B174))-'Business Case'!C15*$F174</f>
        <v>-81596797.2057583</v>
      </c>
      <c r="J174" s="53" t="n">
        <f aca="false">(('Business Case'!D11*$C174*'Business Case'!D12*$B174)-'Business Case'!D11*$C174*'Business Case'!D13*$D174-'Business Case'!D14*$E174)-MAX(0,(('Business Case'!D11*$C174*'Business Case'!D12*$B174)-'Business Case'!D11*$C174*'Business Case'!D13*$D174-'Business Case'!D14*$E174))*'Business Case'!$B$7-'Business Case'!$B$8*(('Business Case'!D11*$C174*'Business Case'!D12*$B174)-('Business Case'!C11*$C174*'Business Case'!C12*$B174))-'Business Case'!D15*$F174</f>
        <v>132063294.573446</v>
      </c>
      <c r="K174" s="53" t="n">
        <f aca="false">(('Business Case'!E11*$C174*'Business Case'!E12*$B174)-'Business Case'!E11*$C174*'Business Case'!E13*$D174-'Business Case'!E14*$E174)-MAX(0,(('Business Case'!E11*$C174*'Business Case'!E12*$B174)-'Business Case'!E11*$C174*'Business Case'!E13*$D174-'Business Case'!E14*$E174))*'Business Case'!$B$7-'Business Case'!$B$8*(('Business Case'!E11*$C174*'Business Case'!E12*$B174)-('Business Case'!D11*$C174*'Business Case'!D12*$B174))-'Business Case'!E15*$F174</f>
        <v>398983004.426765</v>
      </c>
      <c r="L174" s="53" t="n">
        <f aca="false">(('Business Case'!F11*$C174*'Business Case'!F12*$B174)-'Business Case'!F11*$C174*'Business Case'!F13*$D174-'Business Case'!F14*$E174)-MAX(0,(('Business Case'!F11*$C174*'Business Case'!F12*$B174)-'Business Case'!F11*$C174*'Business Case'!F13*$D174-'Business Case'!F14*$E174))*'Business Case'!$B$7-'Business Case'!$B$8*(('Business Case'!F11*$C174*'Business Case'!F12*$B174)-('Business Case'!E11*$C174*'Business Case'!E12*$B174))-'Business Case'!F15*$F174</f>
        <v>498688960.176568</v>
      </c>
      <c r="M174" s="53" t="n">
        <f aca="false">(('Business Case'!G11*$C174*'Business Case'!G12*$B174)-'Business Case'!G11*$C174*'Business Case'!G13*$D174-'Business Case'!G14*$E174)-MAX(0,(('Business Case'!G11*$C174*'Business Case'!G12*$B174)-'Business Case'!G11*$C174*'Business Case'!G13*$D174-'Business Case'!G14*$E174))*'Business Case'!$B$7-'Business Case'!$B$8*(('Business Case'!G11*$C174*'Business Case'!G12*$B174)-('Business Case'!F11*$C174*'Business Case'!F12*$B174))-'Business Case'!G15*$F174+'Business Case'!$B$8*('Business Case'!G11*$C174*'Business Case'!G12*$B174)</f>
        <v>655361548.538611</v>
      </c>
      <c r="N174" s="53" t="n">
        <f aca="false">IF(COUNT('Business Case'!B11:G11)=0,"",H174+NPV(G174,I174:M174))</f>
        <v>-1110441538.41657</v>
      </c>
      <c r="P174" s="54" t="n">
        <f aca="true">RAND()</f>
        <v>0.0732840982683886</v>
      </c>
      <c r="Q174" s="54" t="n">
        <f aca="true">RAND()</f>
        <v>0.0716355221665922</v>
      </c>
      <c r="R174" s="54" t="n">
        <f aca="true">RAND()</f>
        <v>0.806590641996067</v>
      </c>
      <c r="S174" s="54" t="n">
        <f aca="true">RAND()</f>
        <v>0.642633335677186</v>
      </c>
      <c r="T174" s="54" t="n">
        <f aca="true">RAND()</f>
        <v>0.63653801194571</v>
      </c>
      <c r="U174" s="54" t="n">
        <f aca="true">RAND()</f>
        <v>0.973710925834692</v>
      </c>
    </row>
    <row r="175" customFormat="false" ht="15" hidden="false" customHeight="false" outlineLevel="0" collapsed="false">
      <c r="A175" s="50" t="n">
        <v>95</v>
      </c>
      <c r="B175" s="51" t="n">
        <f aca="false">1+IF($G$6=$E$6,$F$6,IF(P175&lt;($F$6-$E$6)/($G$6-$E$6),$E$6+SQRT(P175*($G$6-$E$6)*($F$6-$E$6)),$G$6-SQRT((1-P175)*($G$6-$E$6)*($G$6-$F$6))))</f>
        <v>0.994782486520597</v>
      </c>
      <c r="C175" s="51" t="n">
        <f aca="false">1+IF($G$7=$E$7,$F$7,IF(Q175&lt;($F$7-$E$7)/($G$7-$E$7),$E$7+SQRT(Q175*($G$7-$E$7)*($F$7-$E$7)),$G$7-SQRT((1-Q175)*($G$7-$E$7)*($G$7-$F$7))))</f>
        <v>1.02272124846951</v>
      </c>
      <c r="D175" s="51" t="n">
        <f aca="false">1+IF($G$8=$E$8,$F$8,IF(R175&lt;($F$8-$E$8)/($G$8-$E$8),$E$8+SQRT(R175*($G$8-$E$8)*($F$8-$E$8)),$G$8-SQRT((1-R175)*($G$8-$E$8)*($G$8-$F$8))))</f>
        <v>0.994947410136411</v>
      </c>
      <c r="E175" s="51" t="n">
        <f aca="false">1+IF($G$9=$E$9,$F$9,IF(S175&lt;($F$9-$E$9)/($G$9-$E$9),$E$9+SQRT(S175*($G$9-$E$9)*($F$9-$E$9)),$G$9-SQRT((1-S175)*($G$9-$E$9)*($G$9-$F$9))))</f>
        <v>1.04783916279895</v>
      </c>
      <c r="F175" s="51" t="n">
        <f aca="false">1+IF($G$10=$E$10,$F$10,IF(T175&lt;($F$10-$E$10)/($G$10-$E$10),$E$10+SQRT(T175*($G$10-$E$10)*($F$10-$E$10)),$G$10-SQRT((1-T175)*($G$10-$E$10)*($G$10-$F$10))))</f>
        <v>0.982272633205719</v>
      </c>
      <c r="G175" s="52" t="n">
        <f aca="false">IF($G$11=$E$11,$F$11,IF(U175&lt;($F$11-$E$11)/($G$11-$E$11),$E$11+SQRT(U175*($G$11-$E$11)*($F$11-$E$11)),$G$11-SQRT((1-U175)*($G$11-$E$11)*($G$11-$F$11))))</f>
        <v>0.104185332984761</v>
      </c>
      <c r="H175" s="53" t="n">
        <f aca="false">(('Business Case'!B11*$C175*'Business Case'!B12*$B175)-'Business Case'!B11*$C175*'Business Case'!B13*$D175-'Business Case'!B14*$E175)-MAX(0,(('Business Case'!B11*$C175*'Business Case'!B12*$B175)-'Business Case'!B11*$C175*'Business Case'!B13*$D175-'Business Case'!B14*$E175))*'Business Case'!$B$7-'Business Case'!$B$8*('Business Case'!B11*$C175*'Business Case'!B12*$B175)-'Business Case'!B15*$F175</f>
        <v>-1964545266.41144</v>
      </c>
      <c r="I175" s="53" t="n">
        <f aca="false">(('Business Case'!C11*$C175*'Business Case'!C12*$B175)-'Business Case'!C11*$C175*'Business Case'!C13*$D175-'Business Case'!C14*$E175)-MAX(0,(('Business Case'!C11*$C175*'Business Case'!C12*$B175)-'Business Case'!C11*$C175*'Business Case'!C13*$D175-'Business Case'!C14*$E175))*'Business Case'!$B$7-'Business Case'!$B$8*(('Business Case'!C11*$C175*'Business Case'!C12*$B175)-('Business Case'!B11*$C175*'Business Case'!B12*$B175))-'Business Case'!C15*$F175</f>
        <v>12434308.4828668</v>
      </c>
      <c r="J175" s="53" t="n">
        <f aca="false">(('Business Case'!D11*$C175*'Business Case'!D12*$B175)-'Business Case'!D11*$C175*'Business Case'!D13*$D175-'Business Case'!D14*$E175)-MAX(0,(('Business Case'!D11*$C175*'Business Case'!D12*$B175)-'Business Case'!D11*$C175*'Business Case'!D13*$D175-'Business Case'!D14*$E175))*'Business Case'!$B$7-'Business Case'!$B$8*(('Business Case'!D11*$C175*'Business Case'!D12*$B175)-('Business Case'!C11*$C175*'Business Case'!C12*$B175))-'Business Case'!D15*$F175</f>
        <v>324839857.308102</v>
      </c>
      <c r="K175" s="53" t="n">
        <f aca="false">(('Business Case'!E11*$C175*'Business Case'!E12*$B175)-'Business Case'!E11*$C175*'Business Case'!E13*$D175-'Business Case'!E14*$E175)-MAX(0,(('Business Case'!E11*$C175*'Business Case'!E12*$B175)-'Business Case'!E11*$C175*'Business Case'!E13*$D175-'Business Case'!E14*$E175))*'Business Case'!$B$7-'Business Case'!$B$8*(('Business Case'!E11*$C175*'Business Case'!E12*$B175)-('Business Case'!D11*$C175*'Business Case'!D12*$B175))-'Business Case'!E15*$F175</f>
        <v>686359037.793623</v>
      </c>
      <c r="L175" s="53" t="n">
        <f aca="false">(('Business Case'!F11*$C175*'Business Case'!F12*$B175)-'Business Case'!F11*$C175*'Business Case'!F13*$D175-'Business Case'!F14*$E175)-MAX(0,(('Business Case'!F11*$C175*'Business Case'!F12*$B175)-'Business Case'!F11*$C175*'Business Case'!F13*$D175-'Business Case'!F14*$E175))*'Business Case'!$B$7-'Business Case'!$B$8*(('Business Case'!F11*$C175*'Business Case'!F12*$B175)-('Business Case'!E11*$C175*'Business Case'!E12*$B175))-'Business Case'!F15*$F175</f>
        <v>825655052.783225</v>
      </c>
      <c r="M175" s="53" t="n">
        <f aca="false">(('Business Case'!G11*$C175*'Business Case'!G12*$B175)-'Business Case'!G11*$C175*'Business Case'!G13*$D175-'Business Case'!G14*$E175)-MAX(0,(('Business Case'!G11*$C175*'Business Case'!G12*$B175)-'Business Case'!G11*$C175*'Business Case'!G13*$D175-'Business Case'!G14*$E175))*'Business Case'!$B$7-'Business Case'!$B$8*(('Business Case'!G11*$C175*'Business Case'!G12*$B175)-('Business Case'!F11*$C175*'Business Case'!F12*$B175))-'Business Case'!G15*$F175+'Business Case'!$B$8*('Business Case'!G11*$C175*'Business Case'!G12*$B175)</f>
        <v>1019039629.04644</v>
      </c>
      <c r="N175" s="53" t="n">
        <f aca="false">IF(COUNT('Business Case'!B11:G11)=0,"",H175+NPV(G175,I175:M175))</f>
        <v>-748797.028473854</v>
      </c>
      <c r="P175" s="54" t="n">
        <f aca="true">RAND()</f>
        <v>0.582543780229512</v>
      </c>
      <c r="Q175" s="54" t="n">
        <f aca="true">RAND()</f>
        <v>0.691430845882657</v>
      </c>
      <c r="R175" s="54" t="n">
        <f aca="true">RAND()</f>
        <v>0.3108107196878</v>
      </c>
      <c r="S175" s="54" t="n">
        <f aca="true">RAND()</f>
        <v>0.818616470832347</v>
      </c>
      <c r="T175" s="54" t="n">
        <f aca="true">RAND()</f>
        <v>0.0833218283224719</v>
      </c>
      <c r="U175" s="54" t="n">
        <f aca="true">RAND()</f>
        <v>0.583160511995184</v>
      </c>
    </row>
    <row r="176" customFormat="false" ht="15" hidden="false" customHeight="false" outlineLevel="0" collapsed="false">
      <c r="A176" s="50" t="n">
        <v>96</v>
      </c>
      <c r="B176" s="51" t="n">
        <f aca="false">1+IF($G$6=$E$6,$F$6,IF(P176&lt;($F$6-$E$6)/($G$6-$E$6),$E$6+SQRT(P176*($G$6-$E$6)*($F$6-$E$6)),$G$6-SQRT((1-P176)*($G$6-$E$6)*($G$6-$F$6))))</f>
        <v>0.987756052221776</v>
      </c>
      <c r="C176" s="51" t="n">
        <f aca="false">1+IF($G$7=$E$7,$F$7,IF(Q176&lt;($F$7-$E$7)/($G$7-$E$7),$E$7+SQRT(Q176*($G$7-$E$7)*($F$7-$E$7)),$G$7-SQRT((1-Q176)*($G$7-$E$7)*($G$7-$F$7))))</f>
        <v>0.998088217629511</v>
      </c>
      <c r="D176" s="51" t="n">
        <f aca="false">1+IF($G$8=$E$8,$F$8,IF(R176&lt;($F$8-$E$8)/($G$8-$E$8),$E$8+SQRT(R176*($G$8-$E$8)*($F$8-$E$8)),$G$8-SQRT((1-R176)*($G$8-$E$8)*($G$8-$F$8))))</f>
        <v>1.01628507951922</v>
      </c>
      <c r="E176" s="51" t="n">
        <f aca="false">1+IF($G$9=$E$9,$F$9,IF(S176&lt;($F$9-$E$9)/($G$9-$E$9),$E$9+SQRT(S176*($G$9-$E$9)*($F$9-$E$9)),$G$9-SQRT((1-S176)*($G$9-$E$9)*($G$9-$F$9))))</f>
        <v>1.00941950765383</v>
      </c>
      <c r="F176" s="51" t="n">
        <f aca="false">1+IF($G$10=$E$10,$F$10,IF(T176&lt;($F$10-$E$10)/($G$10-$E$10),$E$10+SQRT(T176*($G$10-$E$10)*($F$10-$E$10)),$G$10-SQRT((1-T176)*($G$10-$E$10)*($G$10-$F$10))))</f>
        <v>0.984453465305424</v>
      </c>
      <c r="G176" s="52" t="n">
        <f aca="false">IF($G$11=$E$11,$F$11,IF(U176&lt;($F$11-$E$11)/($G$11-$E$11),$E$11+SQRT(U176*($G$11-$E$11)*($F$11-$E$11)),$G$11-SQRT((1-U176)*($G$11-$E$11)*($G$11-$F$11))))</f>
        <v>0.101197541793551</v>
      </c>
      <c r="H176" s="53" t="n">
        <f aca="false">(('Business Case'!B11*$C176*'Business Case'!B12*$B176)-'Business Case'!B11*$C176*'Business Case'!B13*$D176-'Business Case'!B14*$E176)-MAX(0,(('Business Case'!B11*$C176*'Business Case'!B12*$B176)-'Business Case'!B11*$C176*'Business Case'!B13*$D176-'Business Case'!B14*$E176))*'Business Case'!$B$7-'Business Case'!$B$8*('Business Case'!B11*$C176*'Business Case'!B12*$B176)-'Business Case'!B15*$F176</f>
        <v>-1968906930.61085</v>
      </c>
      <c r="I176" s="53" t="n">
        <f aca="false">(('Business Case'!C11*$C176*'Business Case'!C12*$B176)-'Business Case'!C11*$C176*'Business Case'!C13*$D176-'Business Case'!C14*$E176)-MAX(0,(('Business Case'!C11*$C176*'Business Case'!C12*$B176)-'Business Case'!C11*$C176*'Business Case'!C13*$D176-'Business Case'!C14*$E176))*'Business Case'!$B$7-'Business Case'!$B$8*(('Business Case'!C11*$C176*'Business Case'!C12*$B176)-('Business Case'!B11*$C176*'Business Case'!B12*$B176))-'Business Case'!C15*$F176</f>
        <v>-4857610.88792488</v>
      </c>
      <c r="J176" s="53" t="n">
        <f aca="false">(('Business Case'!D11*$C176*'Business Case'!D12*$B176)-'Business Case'!D11*$C176*'Business Case'!D13*$D176-'Business Case'!D14*$E176)-MAX(0,(('Business Case'!D11*$C176*'Business Case'!D12*$B176)-'Business Case'!D11*$C176*'Business Case'!D13*$D176-'Business Case'!D14*$E176))*'Business Case'!$B$7-'Business Case'!$B$8*(('Business Case'!D11*$C176*'Business Case'!D12*$B176)-('Business Case'!C11*$C176*'Business Case'!C12*$B176))-'Business Case'!D15*$F176</f>
        <v>283376959.150618</v>
      </c>
      <c r="K176" s="53" t="n">
        <f aca="false">(('Business Case'!E11*$C176*'Business Case'!E12*$B176)-'Business Case'!E11*$C176*'Business Case'!E13*$D176-'Business Case'!E14*$E176)-MAX(0,(('Business Case'!E11*$C176*'Business Case'!E12*$B176)-'Business Case'!E11*$C176*'Business Case'!E13*$D176-'Business Case'!E14*$E176))*'Business Case'!$B$7-'Business Case'!$B$8*(('Business Case'!E11*$C176*'Business Case'!E12*$B176)-('Business Case'!D11*$C176*'Business Case'!D12*$B176))-'Business Case'!E15*$F176</f>
        <v>620834202.454431</v>
      </c>
      <c r="L176" s="53" t="n">
        <f aca="false">(('Business Case'!F11*$C176*'Business Case'!F12*$B176)-'Business Case'!F11*$C176*'Business Case'!F13*$D176-'Business Case'!F14*$E176)-MAX(0,(('Business Case'!F11*$C176*'Business Case'!F12*$B176)-'Business Case'!F11*$C176*'Business Case'!F13*$D176-'Business Case'!F14*$E176))*'Business Case'!$B$7-'Business Case'!$B$8*(('Business Case'!F11*$C176*'Business Case'!F12*$B176)-('Business Case'!E11*$C176*'Business Case'!E12*$B176))-'Business Case'!F15*$F176</f>
        <v>750983979.405646</v>
      </c>
      <c r="M176" s="53" t="n">
        <f aca="false">(('Business Case'!G11*$C176*'Business Case'!G12*$B176)-'Business Case'!G11*$C176*'Business Case'!G13*$D176-'Business Case'!G14*$E176)-MAX(0,(('Business Case'!G11*$C176*'Business Case'!G12*$B176)-'Business Case'!G11*$C176*'Business Case'!G13*$D176-'Business Case'!G14*$E176))*'Business Case'!$B$7-'Business Case'!$B$8*(('Business Case'!G11*$C176*'Business Case'!G12*$B176)-('Business Case'!F11*$C176*'Business Case'!F12*$B176))-'Business Case'!G15*$F176+'Business Case'!$B$8*('Business Case'!G11*$C176*'Business Case'!G12*$B176)</f>
        <v>938377707.566666</v>
      </c>
      <c r="N176" s="53" t="n">
        <f aca="false">IF(COUNT('Business Case'!B11:G11)=0,"",H176+NPV(G176,I176:M176))</f>
        <v>-184507576.083518</v>
      </c>
      <c r="P176" s="54" t="n">
        <f aca="true">RAND()</f>
        <v>0.478216938820837</v>
      </c>
      <c r="Q176" s="54" t="n">
        <f aca="true">RAND()</f>
        <v>0.560556313766236</v>
      </c>
      <c r="R176" s="54" t="n">
        <f aca="true">RAND()</f>
        <v>0.609654702704618</v>
      </c>
      <c r="S176" s="54" t="n">
        <f aca="true">RAND()</f>
        <v>0.453011627088305</v>
      </c>
      <c r="T176" s="54" t="n">
        <f aca="true">RAND()</f>
        <v>0.0949633017241647</v>
      </c>
      <c r="U176" s="54" t="n">
        <f aca="true">RAND()</f>
        <v>0.410779275657903</v>
      </c>
    </row>
    <row r="177" customFormat="false" ht="15" hidden="false" customHeight="false" outlineLevel="0" collapsed="false">
      <c r="A177" s="50" t="n">
        <v>97</v>
      </c>
      <c r="B177" s="51" t="n">
        <f aca="false">1+IF($G$6=$E$6,$F$6,IF(P177&lt;($F$6-$E$6)/($G$6-$E$6),$E$6+SQRT(P177*($G$6-$E$6)*($F$6-$E$6)),$G$6-SQRT((1-P177)*($G$6-$E$6)*($G$6-$F$6))))</f>
        <v>0.989025909135873</v>
      </c>
      <c r="C177" s="51" t="n">
        <f aca="false">1+IF($G$7=$E$7,$F$7,IF(Q177&lt;($F$7-$E$7)/($G$7-$E$7),$E$7+SQRT(Q177*($G$7-$E$7)*($F$7-$E$7)),$G$7-SQRT((1-Q177)*($G$7-$E$7)*($G$7-$F$7))))</f>
        <v>0.998649682565612</v>
      </c>
      <c r="D177" s="51" t="n">
        <f aca="false">1+IF($G$8=$E$8,$F$8,IF(R177&lt;($F$8-$E$8)/($G$8-$E$8),$E$8+SQRT(R177*($G$8-$E$8)*($F$8-$E$8)),$G$8-SQRT((1-R177)*($G$8-$E$8)*($G$8-$F$8))))</f>
        <v>0.966222259457363</v>
      </c>
      <c r="E177" s="51" t="n">
        <f aca="false">1+IF($G$9=$E$9,$F$9,IF(S177&lt;($F$9-$E$9)/($G$9-$E$9),$E$9+SQRT(S177*($G$9-$E$9)*($F$9-$E$9)),$G$9-SQRT((1-S177)*($G$9-$E$9)*($G$9-$F$9))))</f>
        <v>1.04107629276906</v>
      </c>
      <c r="F177" s="51" t="n">
        <f aca="false">1+IF($G$10=$E$10,$F$10,IF(T177&lt;($F$10-$E$10)/($G$10-$E$10),$E$10+SQRT(T177*($G$10-$E$10)*($F$10-$E$10)),$G$10-SQRT((1-T177)*($G$10-$E$10)*($G$10-$F$10))))</f>
        <v>1.01000165683144</v>
      </c>
      <c r="G177" s="52" t="n">
        <f aca="false">IF($G$11=$E$11,$F$11,IF(U177&lt;($F$11-$E$11)/($G$11-$E$11),$E$11+SQRT(U177*($G$11-$E$11)*($F$11-$E$11)),$G$11-SQRT((1-U177)*($G$11-$E$11)*($G$11-$F$11))))</f>
        <v>0.106102467753675</v>
      </c>
      <c r="H177" s="53" t="n">
        <f aca="false">(('Business Case'!B11*$C177*'Business Case'!B12*$B177)-'Business Case'!B11*$C177*'Business Case'!B13*$D177-'Business Case'!B14*$E177)-MAX(0,(('Business Case'!B11*$C177*'Business Case'!B12*$B177)-'Business Case'!B11*$C177*'Business Case'!B13*$D177-'Business Case'!B14*$E177))*'Business Case'!$B$7-'Business Case'!$B$8*('Business Case'!B11*$C177*'Business Case'!B12*$B177)-'Business Case'!B15*$F177</f>
        <v>-2020003313.66287</v>
      </c>
      <c r="I177" s="53" t="n">
        <f aca="false">(('Business Case'!C11*$C177*'Business Case'!C12*$B177)-'Business Case'!C11*$C177*'Business Case'!C13*$D177-'Business Case'!C14*$E177)-MAX(0,(('Business Case'!C11*$C177*'Business Case'!C12*$B177)-'Business Case'!C11*$C177*'Business Case'!C13*$D177-'Business Case'!C14*$E177))*'Business Case'!$B$7-'Business Case'!$B$8*(('Business Case'!C11*$C177*'Business Case'!C12*$B177)-('Business Case'!B11*$C177*'Business Case'!B12*$B177))-'Business Case'!C15*$F177</f>
        <v>14785880.713989</v>
      </c>
      <c r="J177" s="53" t="n">
        <f aca="false">(('Business Case'!D11*$C177*'Business Case'!D12*$B177)-'Business Case'!D11*$C177*'Business Case'!D13*$D177-'Business Case'!D14*$E177)-MAX(0,(('Business Case'!D11*$C177*'Business Case'!D12*$B177)-'Business Case'!D11*$C177*'Business Case'!D13*$D177-'Business Case'!D14*$E177))*'Business Case'!$B$7-'Business Case'!$B$8*(('Business Case'!D11*$C177*'Business Case'!D12*$B177)-('Business Case'!C11*$C177*'Business Case'!C12*$B177))-'Business Case'!D15*$F177</f>
        <v>329814846.808049</v>
      </c>
      <c r="K177" s="53" t="n">
        <f aca="false">(('Business Case'!E11*$C177*'Business Case'!E12*$B177)-'Business Case'!E11*$C177*'Business Case'!E13*$D177-'Business Case'!E14*$E177)-MAX(0,(('Business Case'!E11*$C177*'Business Case'!E12*$B177)-'Business Case'!E11*$C177*'Business Case'!E13*$D177-'Business Case'!E14*$E177))*'Business Case'!$B$7-'Business Case'!$B$8*(('Business Case'!E11*$C177*'Business Case'!E12*$B177)-('Business Case'!D11*$C177*'Business Case'!D12*$B177))-'Business Case'!E15*$F177</f>
        <v>695343895.743682</v>
      </c>
      <c r="L177" s="53" t="n">
        <f aca="false">(('Business Case'!F11*$C177*'Business Case'!F12*$B177)-'Business Case'!F11*$C177*'Business Case'!F13*$D177-'Business Case'!F14*$E177)-MAX(0,(('Business Case'!F11*$C177*'Business Case'!F12*$B177)-'Business Case'!F11*$C177*'Business Case'!F13*$D177-'Business Case'!F14*$E177))*'Business Case'!$B$7-'Business Case'!$B$8*(('Business Case'!F11*$C177*'Business Case'!F12*$B177)-('Business Case'!E11*$C177*'Business Case'!E12*$B177))-'Business Case'!F15*$F177</f>
        <v>834488131.685147</v>
      </c>
      <c r="M177" s="53" t="n">
        <f aca="false">(('Business Case'!G11*$C177*'Business Case'!G12*$B177)-'Business Case'!G11*$C177*'Business Case'!G13*$D177-'Business Case'!G14*$E177)-MAX(0,(('Business Case'!G11*$C177*'Business Case'!G12*$B177)-'Business Case'!G11*$C177*'Business Case'!G13*$D177-'Business Case'!G14*$E177))*'Business Case'!$B$7-'Business Case'!$B$8*(('Business Case'!G11*$C177*'Business Case'!G12*$B177)-('Business Case'!F11*$C177*'Business Case'!F12*$B177))-'Business Case'!G15*$F177+'Business Case'!$B$8*('Business Case'!G11*$C177*'Business Case'!G12*$B177)</f>
        <v>1022228324.85743</v>
      </c>
      <c r="N177" s="53" t="n">
        <f aca="false">IF(COUNT('Business Case'!B11:G11)=0,"",H177+NPV(G177,I177:M177))</f>
        <v>-48339350.2210946</v>
      </c>
      <c r="P177" s="54" t="n">
        <f aca="true">RAND()</f>
        <v>0.496310013753518</v>
      </c>
      <c r="Q177" s="54" t="n">
        <f aca="true">RAND()</f>
        <v>0.56373851976312</v>
      </c>
      <c r="R177" s="54" t="n">
        <f aca="true">RAND()</f>
        <v>0.0404864156772288</v>
      </c>
      <c r="S177" s="54" t="n">
        <f aca="true">RAND()</f>
        <v>0.768533115077492</v>
      </c>
      <c r="T177" s="54" t="n">
        <f aca="true">RAND()</f>
        <v>0.278012591864013</v>
      </c>
      <c r="U177" s="54" t="n">
        <f aca="true">RAND()</f>
        <v>0.678097662437282</v>
      </c>
    </row>
    <row r="178" customFormat="false" ht="15" hidden="false" customHeight="false" outlineLevel="0" collapsed="false">
      <c r="A178" s="50" t="n">
        <v>98</v>
      </c>
      <c r="B178" s="51" t="n">
        <f aca="false">1+IF($G$6=$E$6,$F$6,IF(P178&lt;($F$6-$E$6)/($G$6-$E$6),$E$6+SQRT(P178*($G$6-$E$6)*($F$6-$E$6)),$G$6-SQRT((1-P178)*($G$6-$E$6)*($G$6-$F$6))))</f>
        <v>0.967984060299081</v>
      </c>
      <c r="C178" s="51" t="n">
        <f aca="false">1+IF($G$7=$E$7,$F$7,IF(Q178&lt;($F$7-$E$7)/($G$7-$E$7),$E$7+SQRT(Q178*($G$7-$E$7)*($F$7-$E$7)),$G$7-SQRT((1-Q178)*($G$7-$E$7)*($G$7-$F$7))))</f>
        <v>1.00561652249829</v>
      </c>
      <c r="D178" s="51" t="n">
        <f aca="false">1+IF($G$8=$E$8,$F$8,IF(R178&lt;($F$8-$E$8)/($G$8-$E$8),$E$8+SQRT(R178*($G$8-$E$8)*($F$8-$E$8)),$G$8-SQRT((1-R178)*($G$8-$E$8)*($G$8-$F$8))))</f>
        <v>1.02841086119578</v>
      </c>
      <c r="E178" s="51" t="n">
        <f aca="false">1+IF($G$9=$E$9,$F$9,IF(S178&lt;($F$9-$E$9)/($G$9-$E$9),$E$9+SQRT(S178*($G$9-$E$9)*($F$9-$E$9)),$G$9-SQRT((1-S178)*($G$9-$E$9)*($G$9-$F$9))))</f>
        <v>1.000976008261</v>
      </c>
      <c r="F178" s="51" t="n">
        <f aca="false">1+IF($G$10=$E$10,$F$10,IF(T178&lt;($F$10-$E$10)/($G$10-$E$10),$E$10+SQRT(T178*($G$10-$E$10)*($F$10-$E$10)),$G$10-SQRT((1-T178)*($G$10-$E$10)*($G$10-$F$10))))</f>
        <v>0.982486029022863</v>
      </c>
      <c r="G178" s="52" t="n">
        <f aca="false">IF($G$11=$E$11,$F$11,IF(U178&lt;($F$11-$E$11)/($G$11-$E$11),$E$11+SQRT(U178*($G$11-$E$11)*($F$11-$E$11)),$G$11-SQRT((1-U178)*($G$11-$E$11)*($G$11-$F$11))))</f>
        <v>0.102349529611146</v>
      </c>
      <c r="H178" s="53" t="n">
        <f aca="false">(('Business Case'!B11*$C178*'Business Case'!B12*$B178)-'Business Case'!B11*$C178*'Business Case'!B13*$D178-'Business Case'!B14*$E178)-MAX(0,(('Business Case'!B11*$C178*'Business Case'!B12*$B178)-'Business Case'!B11*$C178*'Business Case'!B13*$D178-'Business Case'!B14*$E178))*'Business Case'!$B$7-'Business Case'!$B$8*('Business Case'!B11*$C178*'Business Case'!B12*$B178)-'Business Case'!B15*$F178</f>
        <v>-1964972058.04573</v>
      </c>
      <c r="I178" s="53" t="n">
        <f aca="false">(('Business Case'!C11*$C178*'Business Case'!C12*$B178)-'Business Case'!C11*$C178*'Business Case'!C13*$D178-'Business Case'!C14*$E178)-MAX(0,(('Business Case'!C11*$C178*'Business Case'!C12*$B178)-'Business Case'!C11*$C178*'Business Case'!C13*$D178-'Business Case'!C14*$E178))*'Business Case'!$B$7-'Business Case'!$B$8*(('Business Case'!C11*$C178*'Business Case'!C12*$B178)-('Business Case'!B11*$C178*'Business Case'!B12*$B178))-'Business Case'!C15*$F178</f>
        <v>-23168816.7069368</v>
      </c>
      <c r="J178" s="53" t="n">
        <f aca="false">(('Business Case'!D11*$C178*'Business Case'!D12*$B178)-'Business Case'!D11*$C178*'Business Case'!D13*$D178-'Business Case'!D14*$E178)-MAX(0,(('Business Case'!D11*$C178*'Business Case'!D12*$B178)-'Business Case'!D11*$C178*'Business Case'!D13*$D178-'Business Case'!D14*$E178))*'Business Case'!$B$7-'Business Case'!$B$8*(('Business Case'!D11*$C178*'Business Case'!D12*$B178)-('Business Case'!C11*$C178*'Business Case'!C12*$B178))-'Business Case'!D15*$F178</f>
        <v>244711890.297489</v>
      </c>
      <c r="K178" s="53" t="n">
        <f aca="false">(('Business Case'!E11*$C178*'Business Case'!E12*$B178)-'Business Case'!E11*$C178*'Business Case'!E13*$D178-'Business Case'!E14*$E178)-MAX(0,(('Business Case'!E11*$C178*'Business Case'!E12*$B178)-'Business Case'!E11*$C178*'Business Case'!E13*$D178-'Business Case'!E14*$E178))*'Business Case'!$B$7-'Business Case'!$B$8*(('Business Case'!E11*$C178*'Business Case'!E12*$B178)-('Business Case'!D11*$C178*'Business Case'!D12*$B178))-'Business Case'!E15*$F178</f>
        <v>561716898.753059</v>
      </c>
      <c r="L178" s="53" t="n">
        <f aca="false">(('Business Case'!F11*$C178*'Business Case'!F12*$B178)-'Business Case'!F11*$C178*'Business Case'!F13*$D178-'Business Case'!F14*$E178)-MAX(0,(('Business Case'!F11*$C178*'Business Case'!F12*$B178)-'Business Case'!F11*$C178*'Business Case'!F13*$D178-'Business Case'!F14*$E178))*'Business Case'!$B$7-'Business Case'!$B$8*(('Business Case'!F11*$C178*'Business Case'!F12*$B178)-('Business Case'!E11*$C178*'Business Case'!E12*$B178))-'Business Case'!F15*$F178</f>
        <v>684651889.377442</v>
      </c>
      <c r="M178" s="53" t="n">
        <f aca="false">(('Business Case'!G11*$C178*'Business Case'!G12*$B178)-'Business Case'!G11*$C178*'Business Case'!G13*$D178-'Business Case'!G14*$E178)-MAX(0,(('Business Case'!G11*$C178*'Business Case'!G12*$B178)-'Business Case'!G11*$C178*'Business Case'!G13*$D178-'Business Case'!G14*$E178))*'Business Case'!$B$7-'Business Case'!$B$8*(('Business Case'!G11*$C178*'Business Case'!G12*$B178)-('Business Case'!F11*$C178*'Business Case'!F12*$B178))-'Business Case'!G15*$F178+'Business Case'!$B$8*('Business Case'!G11*$C178*'Business Case'!G12*$B178)</f>
        <v>869679708.303436</v>
      </c>
      <c r="N178" s="53" t="n">
        <f aca="false">IF(COUNT('Business Case'!B11:G11)=0,"",H178+NPV(G178,I178:M178))</f>
        <v>-367351409.488041</v>
      </c>
      <c r="P178" s="54" t="n">
        <f aca="true">RAND()</f>
        <v>0.239840629456861</v>
      </c>
      <c r="Q178" s="54" t="n">
        <f aca="true">RAND()</f>
        <v>0.602922122371664</v>
      </c>
      <c r="R178" s="54" t="n">
        <f aca="true">RAND()</f>
        <v>0.744092380522979</v>
      </c>
      <c r="S178" s="54" t="n">
        <f aca="true">RAND()</f>
        <v>0.346283270671686</v>
      </c>
      <c r="T178" s="54" t="n">
        <f aca="true">RAND()</f>
        <v>0.0844273665339445</v>
      </c>
      <c r="U178" s="54" t="n">
        <f aca="true">RAND()</f>
        <v>0.480768158420339</v>
      </c>
    </row>
    <row r="179" customFormat="false" ht="15" hidden="false" customHeight="false" outlineLevel="0" collapsed="false">
      <c r="A179" s="50" t="n">
        <v>99</v>
      </c>
      <c r="B179" s="51" t="n">
        <f aca="false">1+IF($G$6=$E$6,$F$6,IF(P179&lt;($F$6-$E$6)/($G$6-$E$6),$E$6+SQRT(P179*($G$6-$E$6)*($F$6-$E$6)),$G$6-SQRT((1-P179)*($G$6-$E$6)*($G$6-$F$6))))</f>
        <v>0.972259881006073</v>
      </c>
      <c r="C179" s="51" t="n">
        <f aca="false">1+IF($G$7=$E$7,$F$7,IF(Q179&lt;($F$7-$E$7)/($G$7-$E$7),$E$7+SQRT(Q179*($G$7-$E$7)*($F$7-$E$7)),$G$7-SQRT((1-Q179)*($G$7-$E$7)*($G$7-$F$7))))</f>
        <v>1.00930475355346</v>
      </c>
      <c r="D179" s="51" t="n">
        <f aca="false">1+IF($G$8=$E$8,$F$8,IF(R179&lt;($F$8-$E$8)/($G$8-$E$8),$E$8+SQRT(R179*($G$8-$E$8)*($F$8-$E$8)),$G$8-SQRT((1-R179)*($G$8-$E$8)*($G$8-$F$8))))</f>
        <v>1.01133262699881</v>
      </c>
      <c r="E179" s="51" t="n">
        <f aca="false">1+IF($G$9=$E$9,$F$9,IF(S179&lt;($F$9-$E$9)/($G$9-$E$9),$E$9+SQRT(S179*($G$9-$E$9)*($F$9-$E$9)),$G$9-SQRT((1-S179)*($G$9-$E$9)*($G$9-$F$9))))</f>
        <v>1.01786916893384</v>
      </c>
      <c r="F179" s="51" t="n">
        <f aca="false">1+IF($G$10=$E$10,$F$10,IF(T179&lt;($F$10-$E$10)/($G$10-$E$10),$E$10+SQRT(T179*($G$10-$E$10)*($F$10-$E$10)),$G$10-SQRT((1-T179)*($G$10-$E$10)*($G$10-$F$10))))</f>
        <v>1.03738255049357</v>
      </c>
      <c r="G179" s="52" t="n">
        <f aca="false">IF($G$11=$E$11,$F$11,IF(U179&lt;($F$11-$E$11)/($G$11-$E$11),$E$11+SQRT(U179*($G$11-$E$11)*($F$11-$E$11)),$G$11-SQRT((1-U179)*($G$11-$E$11)*($G$11-$F$11))))</f>
        <v>0.103003955711986</v>
      </c>
      <c r="H179" s="53" t="n">
        <f aca="false">(('Business Case'!B11*$C179*'Business Case'!B12*$B179)-'Business Case'!B11*$C179*'Business Case'!B13*$D179-'Business Case'!B14*$E179)-MAX(0,(('Business Case'!B11*$C179*'Business Case'!B12*$B179)-'Business Case'!B11*$C179*'Business Case'!B13*$D179-'Business Case'!B14*$E179))*'Business Case'!$B$7-'Business Case'!$B$8*('Business Case'!B11*$C179*'Business Case'!B12*$B179)-'Business Case'!B15*$F179</f>
        <v>-2074765100.98715</v>
      </c>
      <c r="I179" s="53" t="n">
        <f aca="false">(('Business Case'!C11*$C179*'Business Case'!C12*$B179)-'Business Case'!C11*$C179*'Business Case'!C13*$D179-'Business Case'!C14*$E179)-MAX(0,(('Business Case'!C11*$C179*'Business Case'!C12*$B179)-'Business Case'!C11*$C179*'Business Case'!C13*$D179-'Business Case'!C14*$E179))*'Business Case'!$B$7-'Business Case'!$B$8*(('Business Case'!C11*$C179*'Business Case'!C12*$B179)-('Business Case'!B11*$C179*'Business Case'!B12*$B179))-'Business Case'!C15*$F179</f>
        <v>-18128155.6694543</v>
      </c>
      <c r="J179" s="53" t="n">
        <f aca="false">(('Business Case'!D11*$C179*'Business Case'!D12*$B179)-'Business Case'!D11*$C179*'Business Case'!D13*$D179-'Business Case'!D14*$E179)-MAX(0,(('Business Case'!D11*$C179*'Business Case'!D12*$B179)-'Business Case'!D11*$C179*'Business Case'!D13*$D179-'Business Case'!D14*$E179))*'Business Case'!$B$7-'Business Case'!$B$8*(('Business Case'!D11*$C179*'Business Case'!D12*$B179)-('Business Case'!C11*$C179*'Business Case'!C12*$B179))-'Business Case'!D15*$F179</f>
        <v>263093869.508322</v>
      </c>
      <c r="K179" s="53" t="n">
        <f aca="false">(('Business Case'!E11*$C179*'Business Case'!E12*$B179)-'Business Case'!E11*$C179*'Business Case'!E13*$D179-'Business Case'!E14*$E179)-MAX(0,(('Business Case'!E11*$C179*'Business Case'!E12*$B179)-'Business Case'!E11*$C179*'Business Case'!E13*$D179-'Business Case'!E14*$E179))*'Business Case'!$B$7-'Business Case'!$B$8*(('Business Case'!E11*$C179*'Business Case'!E12*$B179)-('Business Case'!D11*$C179*'Business Case'!D12*$B179))-'Business Case'!E15*$F179</f>
        <v>596185022.210777</v>
      </c>
      <c r="L179" s="53" t="n">
        <f aca="false">(('Business Case'!F11*$C179*'Business Case'!F12*$B179)-'Business Case'!F11*$C179*'Business Case'!F13*$D179-'Business Case'!F14*$E179)-MAX(0,(('Business Case'!F11*$C179*'Business Case'!F12*$B179)-'Business Case'!F11*$C179*'Business Case'!F13*$D179-'Business Case'!F14*$E179))*'Business Case'!$B$7-'Business Case'!$B$8*(('Business Case'!F11*$C179*'Business Case'!F12*$B179)-('Business Case'!E11*$C179*'Business Case'!E12*$B179))-'Business Case'!F15*$F179</f>
        <v>723839650.587023</v>
      </c>
      <c r="M179" s="53" t="n">
        <f aca="false">(('Business Case'!G11*$C179*'Business Case'!G12*$B179)-'Business Case'!G11*$C179*'Business Case'!G13*$D179-'Business Case'!G14*$E179)-MAX(0,(('Business Case'!G11*$C179*'Business Case'!G12*$B179)-'Business Case'!G11*$C179*'Business Case'!G13*$D179-'Business Case'!G14*$E179))*'Business Case'!$B$7-'Business Case'!$B$8*(('Business Case'!G11*$C179*'Business Case'!G12*$B179)-('Business Case'!F11*$C179*'Business Case'!F12*$B179))-'Business Case'!G15*$F179+'Business Case'!$B$8*('Business Case'!G11*$C179*'Business Case'!G12*$B179)</f>
        <v>910366393.830452</v>
      </c>
      <c r="N179" s="53" t="n">
        <f aca="false">IF(COUNT('Business Case'!B11:G11)=0,"",H179+NPV(G179,I179:M179))</f>
        <v>-384038383.16955</v>
      </c>
      <c r="P179" s="54" t="n">
        <f aca="true">RAND()</f>
        <v>0.28448907945509</v>
      </c>
      <c r="Q179" s="54" t="n">
        <f aca="true">RAND()</f>
        <v>0.622949478616121</v>
      </c>
      <c r="R179" s="54" t="n">
        <f aca="true">RAND()</f>
        <v>0.546614604338058</v>
      </c>
      <c r="S179" s="54" t="n">
        <f aca="true">RAND()</f>
        <v>0.550301772558818</v>
      </c>
      <c r="T179" s="54" t="n">
        <f aca="true">RAND()</f>
        <v>0.471111302320499</v>
      </c>
      <c r="U179" s="54" t="n">
        <f aca="true">RAND()</f>
        <v>0.518557464266437</v>
      </c>
    </row>
    <row r="180" customFormat="false" ht="15" hidden="false" customHeight="false" outlineLevel="0" collapsed="false">
      <c r="A180" s="50" t="n">
        <v>100</v>
      </c>
      <c r="B180" s="51" t="n">
        <f aca="false">1+IF($G$6=$E$6,$F$6,IF(P180&lt;($F$6-$E$6)/($G$6-$E$6),$E$6+SQRT(P180*($G$6-$E$6)*($F$6-$E$6)),$G$6-SQRT((1-P180)*($G$6-$E$6)*($G$6-$F$6))))</f>
        <v>0.986883306735308</v>
      </c>
      <c r="C180" s="51" t="n">
        <f aca="false">1+IF($G$7=$E$7,$F$7,IF(Q180&lt;($F$7-$E$7)/($G$7-$E$7),$E$7+SQRT(Q180*($G$7-$E$7)*($F$7-$E$7)),$G$7-SQRT((1-Q180)*($G$7-$E$7)*($G$7-$F$7))))</f>
        <v>0.9282625873652</v>
      </c>
      <c r="D180" s="51" t="n">
        <f aca="false">1+IF($G$8=$E$8,$F$8,IF(R180&lt;($F$8-$E$8)/($G$8-$E$8),$E$8+SQRT(R180*($G$8-$E$8)*($F$8-$E$8)),$G$8-SQRT((1-R180)*($G$8-$E$8)*($G$8-$F$8))))</f>
        <v>1.02600115275473</v>
      </c>
      <c r="E180" s="51" t="n">
        <f aca="false">1+IF($G$9=$E$9,$F$9,IF(S180&lt;($F$9-$E$9)/($G$9-$E$9),$E$9+SQRT(S180*($G$9-$E$9)*($F$9-$E$9)),$G$9-SQRT((1-S180)*($G$9-$E$9)*($G$9-$F$9))))</f>
        <v>0.985911233288989</v>
      </c>
      <c r="F180" s="51" t="n">
        <f aca="false">1+IF($G$10=$E$10,$F$10,IF(T180&lt;($F$10-$E$10)/($G$10-$E$10),$E$10+SQRT(T180*($G$10-$E$10)*($F$10-$E$10)),$G$10-SQRT((1-T180)*($G$10-$E$10)*($G$10-$F$10))))</f>
        <v>0.989417574364525</v>
      </c>
      <c r="G180" s="52" t="n">
        <f aca="false">IF($G$11=$E$11,$F$11,IF(U180&lt;($F$11-$E$11)/($G$11-$E$11),$E$11+SQRT(U180*($G$11-$E$11)*($F$11-$E$11)),$G$11-SQRT((1-U180)*($G$11-$E$11)*($G$11-$F$11))))</f>
        <v>0.0982092347136421</v>
      </c>
      <c r="H180" s="53" t="n">
        <f aca="false">(('Business Case'!B11*$C180*'Business Case'!B12*$B180)-'Business Case'!B11*$C180*'Business Case'!B13*$D180-'Business Case'!B14*$E180)-MAX(0,(('Business Case'!B11*$C180*'Business Case'!B12*$B180)-'Business Case'!B11*$C180*'Business Case'!B13*$D180-'Business Case'!B14*$E180))*'Business Case'!$B$7-'Business Case'!$B$8*('Business Case'!B11*$C180*'Business Case'!B12*$B180)-'Business Case'!B15*$F180</f>
        <v>-1978835148.72905</v>
      </c>
      <c r="I180" s="53" t="n">
        <f aca="false">(('Business Case'!C11*$C180*'Business Case'!C12*$B180)-'Business Case'!C11*$C180*'Business Case'!C13*$D180-'Business Case'!C14*$E180)-MAX(0,(('Business Case'!C11*$C180*'Business Case'!C12*$B180)-'Business Case'!C11*$C180*'Business Case'!C13*$D180-'Business Case'!C14*$E180))*'Business Case'!$B$7-'Business Case'!$B$8*(('Business Case'!C11*$C180*'Business Case'!C12*$B180)-('Business Case'!B11*$C180*'Business Case'!B12*$B180))-'Business Case'!C15*$F180</f>
        <v>-23839019.6632371</v>
      </c>
      <c r="J180" s="53" t="n">
        <f aca="false">(('Business Case'!D11*$C180*'Business Case'!D12*$B180)-'Business Case'!D11*$C180*'Business Case'!D13*$D180-'Business Case'!D14*$E180)-MAX(0,(('Business Case'!D11*$C180*'Business Case'!D12*$B180)-'Business Case'!D11*$C180*'Business Case'!D13*$D180-'Business Case'!D14*$E180))*'Business Case'!$B$7-'Business Case'!$B$8*(('Business Case'!D11*$C180*'Business Case'!D12*$B180)-('Business Case'!C11*$C180*'Business Case'!C12*$B180))-'Business Case'!D15*$F180</f>
        <v>238950237.877752</v>
      </c>
      <c r="K180" s="53" t="n">
        <f aca="false">(('Business Case'!E11*$C180*'Business Case'!E12*$B180)-'Business Case'!E11*$C180*'Business Case'!E13*$D180-'Business Case'!E14*$E180)-MAX(0,(('Business Case'!E11*$C180*'Business Case'!E12*$B180)-'Business Case'!E11*$C180*'Business Case'!E13*$D180-'Business Case'!E14*$E180))*'Business Case'!$B$7-'Business Case'!$B$8*(('Business Case'!E11*$C180*'Business Case'!E12*$B180)-('Business Case'!D11*$C180*'Business Case'!D12*$B180))-'Business Case'!E15*$F180</f>
        <v>551210374.136967</v>
      </c>
      <c r="L180" s="53" t="n">
        <f aca="false">(('Business Case'!F11*$C180*'Business Case'!F12*$B180)-'Business Case'!F11*$C180*'Business Case'!F13*$D180-'Business Case'!F14*$E180)-MAX(0,(('Business Case'!F11*$C180*'Business Case'!F12*$B180)-'Business Case'!F11*$C180*'Business Case'!F13*$D180-'Business Case'!F14*$E180))*'Business Case'!$B$7-'Business Case'!$B$8*(('Business Case'!F11*$C180*'Business Case'!F12*$B180)-('Business Case'!E11*$C180*'Business Case'!E12*$B180))-'Business Case'!F15*$F180</f>
        <v>670466754.913349</v>
      </c>
      <c r="M180" s="53" t="n">
        <f aca="false">(('Business Case'!G11*$C180*'Business Case'!G12*$B180)-'Business Case'!G11*$C180*'Business Case'!G13*$D180-'Business Case'!G14*$E180)-MAX(0,(('Business Case'!G11*$C180*'Business Case'!G12*$B180)-'Business Case'!G11*$C180*'Business Case'!G13*$D180-'Business Case'!G14*$E180))*'Business Case'!$B$7-'Business Case'!$B$8*(('Business Case'!G11*$C180*'Business Case'!G12*$B180)-('Business Case'!F11*$C180*'Business Case'!F12*$B180))-'Business Case'!G15*$F180+'Business Case'!$B$8*('Business Case'!G11*$C180*'Business Case'!G12*$B180)</f>
        <v>844596543.69164</v>
      </c>
      <c r="N180" s="53" t="n">
        <f aca="false">IF(COUNT('Business Case'!B11:G11)=0,"",H180+NPV(G180,I180:M180))</f>
        <v>-396606816.966145</v>
      </c>
      <c r="P180" s="54" t="n">
        <f aca="true">RAND()</f>
        <v>0.465976741650975</v>
      </c>
      <c r="Q180" s="54" t="n">
        <f aca="true">RAND()</f>
        <v>0.235018447394507</v>
      </c>
      <c r="R180" s="54" t="n">
        <f aca="true">RAND()</f>
        <v>0.719627355402098</v>
      </c>
      <c r="S180" s="54" t="n">
        <f aca="true">RAND()</f>
        <v>0.171948890178156</v>
      </c>
      <c r="T180" s="54" t="n">
        <f aca="true">RAND()</f>
        <v>0.124299613502629</v>
      </c>
      <c r="U180" s="54" t="n">
        <f aca="true">RAND()</f>
        <v>0.224638448612222</v>
      </c>
    </row>
    <row r="181" customFormat="false" ht="15" hidden="false" customHeight="false" outlineLevel="0" collapsed="false">
      <c r="A181" s="50" t="n">
        <v>101</v>
      </c>
      <c r="B181" s="51" t="n">
        <f aca="false">1+IF($G$6=$E$6,$F$6,IF(P181&lt;($F$6-$E$6)/($G$6-$E$6),$E$6+SQRT(P181*($G$6-$E$6)*($F$6-$E$6)),$G$6-SQRT((1-P181)*($G$6-$E$6)*($G$6-$F$6))))</f>
        <v>0.957536302088893</v>
      </c>
      <c r="C181" s="51" t="n">
        <f aca="false">1+IF($G$7=$E$7,$F$7,IF(Q181&lt;($F$7-$E$7)/($G$7-$E$7),$E$7+SQRT(Q181*($G$7-$E$7)*($F$7-$E$7)),$G$7-SQRT((1-Q181)*($G$7-$E$7)*($G$7-$F$7))))</f>
        <v>0.994744473634305</v>
      </c>
      <c r="D181" s="51" t="n">
        <f aca="false">1+IF($G$8=$E$8,$F$8,IF(R181&lt;($F$8-$E$8)/($G$8-$E$8),$E$8+SQRT(R181*($G$8-$E$8)*($F$8-$E$8)),$G$8-SQRT((1-R181)*($G$8-$E$8)*($G$8-$F$8))))</f>
        <v>1.02787889580186</v>
      </c>
      <c r="E181" s="51" t="n">
        <f aca="false">1+IF($G$9=$E$9,$F$9,IF(S181&lt;($F$9-$E$9)/($G$9-$E$9),$E$9+SQRT(S181*($G$9-$E$9)*($F$9-$E$9)),$G$9-SQRT((1-S181)*($G$9-$E$9)*($G$9-$F$9))))</f>
        <v>1.0491975536648</v>
      </c>
      <c r="F181" s="51" t="n">
        <f aca="false">1+IF($G$10=$E$10,$F$10,IF(T181&lt;($F$10-$E$10)/($G$10-$E$10),$E$10+SQRT(T181*($G$10-$E$10)*($F$10-$E$10)),$G$10-SQRT((1-T181)*($G$10-$E$10)*($G$10-$F$10))))</f>
        <v>0.973485821292326</v>
      </c>
      <c r="G181" s="52" t="n">
        <f aca="false">IF($G$11=$E$11,$F$11,IF(U181&lt;($F$11-$E$11)/($G$11-$E$11),$E$11+SQRT(U181*($G$11-$E$11)*($F$11-$E$11)),$G$11-SQRT((1-U181)*($G$11-$E$11)*($G$11-$F$11))))</f>
        <v>0.102173543763115</v>
      </c>
      <c r="H181" s="53" t="n">
        <f aca="false">(('Business Case'!B11*$C181*'Business Case'!B12*$B181)-'Business Case'!B11*$C181*'Business Case'!B13*$D181-'Business Case'!B14*$E181)-MAX(0,(('Business Case'!B11*$C181*'Business Case'!B12*$B181)-'Business Case'!B11*$C181*'Business Case'!B13*$D181-'Business Case'!B14*$E181))*'Business Case'!$B$7-'Business Case'!$B$8*('Business Case'!B11*$C181*'Business Case'!B12*$B181)-'Business Case'!B15*$F181</f>
        <v>-1946971642.58465</v>
      </c>
      <c r="I181" s="53" t="n">
        <f aca="false">(('Business Case'!C11*$C181*'Business Case'!C12*$B181)-'Business Case'!C11*$C181*'Business Case'!C13*$D181-'Business Case'!C14*$E181)-MAX(0,(('Business Case'!C11*$C181*'Business Case'!C12*$B181)-'Business Case'!C11*$C181*'Business Case'!C13*$D181-'Business Case'!C14*$E181))*'Business Case'!$B$7-'Business Case'!$B$8*(('Business Case'!C11*$C181*'Business Case'!C12*$B181)-('Business Case'!B11*$C181*'Business Case'!B12*$B181))-'Business Case'!C15*$F181</f>
        <v>-39179317.3260792</v>
      </c>
      <c r="J181" s="53" t="n">
        <f aca="false">(('Business Case'!D11*$C181*'Business Case'!D12*$B181)-'Business Case'!D11*$C181*'Business Case'!D13*$D181-'Business Case'!D14*$E181)-MAX(0,(('Business Case'!D11*$C181*'Business Case'!D12*$B181)-'Business Case'!D11*$C181*'Business Case'!D13*$D181-'Business Case'!D14*$E181))*'Business Case'!$B$7-'Business Case'!$B$8*(('Business Case'!D11*$C181*'Business Case'!D12*$B181)-('Business Case'!C11*$C181*'Business Case'!C12*$B181))-'Business Case'!D15*$F181</f>
        <v>217563644.107012</v>
      </c>
      <c r="K181" s="53" t="n">
        <f aca="false">(('Business Case'!E11*$C181*'Business Case'!E12*$B181)-'Business Case'!E11*$C181*'Business Case'!E13*$D181-'Business Case'!E14*$E181)-MAX(0,(('Business Case'!E11*$C181*'Business Case'!E12*$B181)-'Business Case'!E11*$C181*'Business Case'!E13*$D181-'Business Case'!E14*$E181))*'Business Case'!$B$7-'Business Case'!$B$8*(('Business Case'!E11*$C181*'Business Case'!E12*$B181)-('Business Case'!D11*$C181*'Business Case'!D12*$B181))-'Business Case'!E15*$F181</f>
        <v>522980896.60472</v>
      </c>
      <c r="L181" s="53" t="n">
        <f aca="false">(('Business Case'!F11*$C181*'Business Case'!F12*$B181)-'Business Case'!F11*$C181*'Business Case'!F13*$D181-'Business Case'!F14*$E181)-MAX(0,(('Business Case'!F11*$C181*'Business Case'!F12*$B181)-'Business Case'!F11*$C181*'Business Case'!F13*$D181-'Business Case'!F14*$E181))*'Business Case'!$B$7-'Business Case'!$B$8*(('Business Case'!F11*$C181*'Business Case'!F12*$B181)-('Business Case'!E11*$C181*'Business Case'!E12*$B181))-'Business Case'!F15*$F181</f>
        <v>641480420.081619</v>
      </c>
      <c r="M181" s="53" t="n">
        <f aca="false">(('Business Case'!G11*$C181*'Business Case'!G12*$B181)-'Business Case'!G11*$C181*'Business Case'!G13*$D181-'Business Case'!G14*$E181)-MAX(0,(('Business Case'!G11*$C181*'Business Case'!G12*$B181)-'Business Case'!G11*$C181*'Business Case'!G13*$D181-'Business Case'!G14*$E181))*'Business Case'!$B$7-'Business Case'!$B$8*(('Business Case'!G11*$C181*'Business Case'!G12*$B181)-('Business Case'!F11*$C181*'Business Case'!F12*$B181))-'Business Case'!G15*$F181+'Business Case'!$B$8*('Business Case'!G11*$C181*'Business Case'!G12*$B181)</f>
        <v>822532369.910563</v>
      </c>
      <c r="N181" s="53" t="n">
        <f aca="false">IF(COUNT('Business Case'!B11:G11)=0,"",H181+NPV(G181,I181:M181))</f>
        <v>-472413864.348514</v>
      </c>
      <c r="P181" s="54" t="n">
        <f aca="true">RAND()</f>
        <v>0.146768122344649</v>
      </c>
      <c r="Q181" s="54" t="n">
        <f aca="true">RAND()</f>
        <v>0.541791571587177</v>
      </c>
      <c r="R181" s="54" t="n">
        <f aca="true">RAND()</f>
        <v>0.738787547804498</v>
      </c>
      <c r="S181" s="54" t="n">
        <f aca="true">RAND()</f>
        <v>0.827940763090635</v>
      </c>
      <c r="T181" s="54" t="n">
        <f aca="true">RAND()</f>
        <v>0.0441267041420062</v>
      </c>
      <c r="U181" s="54" t="n">
        <f aca="true">RAND()</f>
        <v>0.470362430057402</v>
      </c>
    </row>
    <row r="182" customFormat="false" ht="15" hidden="false" customHeight="false" outlineLevel="0" collapsed="false">
      <c r="A182" s="50" t="n">
        <v>102</v>
      </c>
      <c r="B182" s="51" t="n">
        <f aca="false">1+IF($G$6=$E$6,$F$6,IF(P182&lt;($F$6-$E$6)/($G$6-$E$6),$E$6+SQRT(P182*($G$6-$E$6)*($F$6-$E$6)),$G$6-SQRT((1-P182)*($G$6-$E$6)*($G$6-$F$6))))</f>
        <v>0.992042886806535</v>
      </c>
      <c r="C182" s="51" t="n">
        <f aca="false">1+IF($G$7=$E$7,$F$7,IF(Q182&lt;($F$7-$E$7)/($G$7-$E$7),$E$7+SQRT(Q182*($G$7-$E$7)*($F$7-$E$7)),$G$7-SQRT((1-Q182)*($G$7-$E$7)*($G$7-$F$7))))</f>
        <v>1.03621374903633</v>
      </c>
      <c r="D182" s="51" t="n">
        <f aca="false">1+IF($G$8=$E$8,$F$8,IF(R182&lt;($F$8-$E$8)/($G$8-$E$8),$E$8+SQRT(R182*($G$8-$E$8)*($F$8-$E$8)),$G$8-SQRT((1-R182)*($G$8-$E$8)*($G$8-$F$8))))</f>
        <v>0.984159137425761</v>
      </c>
      <c r="E182" s="51" t="n">
        <f aca="false">1+IF($G$9=$E$9,$F$9,IF(S182&lt;($F$9-$E$9)/($G$9-$E$9),$E$9+SQRT(S182*($G$9-$E$9)*($F$9-$E$9)),$G$9-SQRT((1-S182)*($G$9-$E$9)*($G$9-$F$9))))</f>
        <v>0.962657979371226</v>
      </c>
      <c r="F182" s="51" t="n">
        <f aca="false">1+IF($G$10=$E$10,$F$10,IF(T182&lt;($F$10-$E$10)/($G$10-$E$10),$E$10+SQRT(T182*($G$10-$E$10)*($F$10-$E$10)),$G$10-SQRT((1-T182)*($G$10-$E$10)*($G$10-$F$10))))</f>
        <v>0.987804793437912</v>
      </c>
      <c r="G182" s="52" t="n">
        <f aca="false">IF($G$11=$E$11,$F$11,IF(U182&lt;($F$11-$E$11)/($G$11-$E$11),$E$11+SQRT(U182*($G$11-$E$11)*($F$11-$E$11)),$G$11-SQRT((1-U182)*($G$11-$E$11)*($G$11-$F$11))))</f>
        <v>0.103151505889788</v>
      </c>
      <c r="H182" s="53" t="n">
        <f aca="false">(('Business Case'!B11*$C182*'Business Case'!B12*$B182)-'Business Case'!B11*$C182*'Business Case'!B13*$D182-'Business Case'!B14*$E182)-MAX(0,(('Business Case'!B11*$C182*'Business Case'!B12*$B182)-'Business Case'!B11*$C182*'Business Case'!B13*$D182-'Business Case'!B14*$E182))*'Business Case'!$B$7-'Business Case'!$B$8*('Business Case'!B11*$C182*'Business Case'!B12*$B182)-'Business Case'!B15*$F182</f>
        <v>-1975609586.87582</v>
      </c>
      <c r="I182" s="53" t="n">
        <f aca="false">(('Business Case'!C11*$C182*'Business Case'!C12*$B182)-'Business Case'!C11*$C182*'Business Case'!C13*$D182-'Business Case'!C14*$E182)-MAX(0,(('Business Case'!C11*$C182*'Business Case'!C12*$B182)-'Business Case'!C11*$C182*'Business Case'!C13*$D182-'Business Case'!C14*$E182))*'Business Case'!$B$7-'Business Case'!$B$8*(('Business Case'!C11*$C182*'Business Case'!C12*$B182)-('Business Case'!B11*$C182*'Business Case'!B12*$B182))-'Business Case'!C15*$F182</f>
        <v>30964246.4906435</v>
      </c>
      <c r="J182" s="53" t="n">
        <f aca="false">(('Business Case'!D11*$C182*'Business Case'!D12*$B182)-'Business Case'!D11*$C182*'Business Case'!D13*$D182-'Business Case'!D14*$E182)-MAX(0,(('Business Case'!D11*$C182*'Business Case'!D12*$B182)-'Business Case'!D11*$C182*'Business Case'!D13*$D182-'Business Case'!D14*$E182))*'Business Case'!$B$7-'Business Case'!$B$8*(('Business Case'!D11*$C182*'Business Case'!D12*$B182)-('Business Case'!C11*$C182*'Business Case'!C12*$B182))-'Business Case'!D15*$F182</f>
        <v>350888822.940052</v>
      </c>
      <c r="K182" s="53" t="n">
        <f aca="false">(('Business Case'!E11*$C182*'Business Case'!E12*$B182)-'Business Case'!E11*$C182*'Business Case'!E13*$D182-'Business Case'!E14*$E182)-MAX(0,(('Business Case'!E11*$C182*'Business Case'!E12*$B182)-'Business Case'!E11*$C182*'Business Case'!E13*$D182-'Business Case'!E14*$E182))*'Business Case'!$B$7-'Business Case'!$B$8*(('Business Case'!E11*$C182*'Business Case'!E12*$B182)-('Business Case'!D11*$C182*'Business Case'!D12*$B182))-'Business Case'!E15*$F182</f>
        <v>720203639.061356</v>
      </c>
      <c r="L182" s="53" t="n">
        <f aca="false">(('Business Case'!F11*$C182*'Business Case'!F12*$B182)-'Business Case'!F11*$C182*'Business Case'!F13*$D182-'Business Case'!F14*$E182)-MAX(0,(('Business Case'!F11*$C182*'Business Case'!F12*$B182)-'Business Case'!F11*$C182*'Business Case'!F13*$D182-'Business Case'!F14*$E182))*'Business Case'!$B$7-'Business Case'!$B$8*(('Business Case'!F11*$C182*'Business Case'!F12*$B182)-('Business Case'!E11*$C182*'Business Case'!E12*$B182))-'Business Case'!F15*$F182</f>
        <v>862371755.176749</v>
      </c>
      <c r="M182" s="53" t="n">
        <f aca="false">(('Business Case'!G11*$C182*'Business Case'!G12*$B182)-'Business Case'!G11*$C182*'Business Case'!G13*$D182-'Business Case'!G14*$E182)-MAX(0,(('Business Case'!G11*$C182*'Business Case'!G12*$B182)-'Business Case'!G11*$C182*'Business Case'!G13*$D182-'Business Case'!G14*$E182))*'Business Case'!$B$7-'Business Case'!$B$8*(('Business Case'!G11*$C182*'Business Case'!G12*$B182)-('Business Case'!F11*$C182*'Business Case'!F12*$B182))-'Business Case'!G15*$F182+'Business Case'!$B$8*('Business Case'!G11*$C182*'Business Case'!G12*$B182)</f>
        <v>1057768003.65416</v>
      </c>
      <c r="N182" s="53" t="n">
        <f aca="false">IF(COUNT('Business Case'!B11:G11)=0,"",H182+NPV(G182,I182:M182))</f>
        <v>107042945.213597</v>
      </c>
      <c r="P182" s="54" t="n">
        <f aca="true">RAND()</f>
        <v>0.540643493689502</v>
      </c>
      <c r="Q182" s="54" t="n">
        <f aca="true">RAND()</f>
        <v>0.753384554126324</v>
      </c>
      <c r="R182" s="54" t="n">
        <f aca="true">RAND()</f>
        <v>0.179514872257239</v>
      </c>
      <c r="S182" s="54" t="n">
        <f aca="true">RAND()</f>
        <v>0.0213632589016497</v>
      </c>
      <c r="T182" s="54" t="n">
        <f aca="true">RAND()</f>
        <v>0.114336192550653</v>
      </c>
      <c r="U182" s="54" t="n">
        <f aca="true">RAND()</f>
        <v>0.526880410363597</v>
      </c>
    </row>
    <row r="183" customFormat="false" ht="15" hidden="false" customHeight="false" outlineLevel="0" collapsed="false">
      <c r="A183" s="50" t="n">
        <v>103</v>
      </c>
      <c r="B183" s="51" t="n">
        <f aca="false">1+IF($G$6=$E$6,$F$6,IF(P183&lt;($F$6-$E$6)/($G$6-$E$6),$E$6+SQRT(P183*($G$6-$E$6)*($F$6-$E$6)),$G$6-SQRT((1-P183)*($G$6-$E$6)*($G$6-$F$6))))</f>
        <v>0.985602100221517</v>
      </c>
      <c r="C183" s="51" t="n">
        <f aca="false">1+IF($G$7=$E$7,$F$7,IF(Q183&lt;($F$7-$E$7)/($G$7-$E$7),$E$7+SQRT(Q183*($G$7-$E$7)*($F$7-$E$7)),$G$7-SQRT((1-Q183)*($G$7-$E$7)*($G$7-$F$7))))</f>
        <v>0.936543761159485</v>
      </c>
      <c r="D183" s="51" t="n">
        <f aca="false">1+IF($G$8=$E$8,$F$8,IF(R183&lt;($F$8-$E$8)/($G$8-$E$8),$E$8+SQRT(R183*($G$8-$E$8)*($F$8-$E$8)),$G$8-SQRT((1-R183)*($G$8-$E$8)*($G$8-$F$8))))</f>
        <v>0.979752577529031</v>
      </c>
      <c r="E183" s="51" t="n">
        <f aca="false">1+IF($G$9=$E$9,$F$9,IF(S183&lt;($F$9-$E$9)/($G$9-$E$9),$E$9+SQRT(S183*($G$9-$E$9)*($F$9-$E$9)),$G$9-SQRT((1-S183)*($G$9-$E$9)*($G$9-$F$9))))</f>
        <v>1.01219974226646</v>
      </c>
      <c r="F183" s="51" t="n">
        <f aca="false">1+IF($G$10=$E$10,$F$10,IF(T183&lt;($F$10-$E$10)/($G$10-$E$10),$E$10+SQRT(T183*($G$10-$E$10)*($F$10-$E$10)),$G$10-SQRT((1-T183)*($G$10-$E$10)*($G$10-$F$10))))</f>
        <v>1.04570057586818</v>
      </c>
      <c r="G183" s="52" t="n">
        <f aca="false">IF($G$11=$E$11,$F$11,IF(U183&lt;($F$11-$E$11)/($G$11-$E$11),$E$11+SQRT(U183*($G$11-$E$11)*($F$11-$E$11)),$G$11-SQRT((1-U183)*($G$11-$E$11)*($G$11-$F$11))))</f>
        <v>0.100819229921835</v>
      </c>
      <c r="H183" s="53" t="n">
        <f aca="false">(('Business Case'!B11*$C183*'Business Case'!B12*$B183)-'Business Case'!B11*$C183*'Business Case'!B13*$D183-'Business Case'!B14*$E183)-MAX(0,(('Business Case'!B11*$C183*'Business Case'!B12*$B183)-'Business Case'!B11*$C183*'Business Case'!B13*$D183-'Business Case'!B14*$E183))*'Business Case'!$B$7-'Business Case'!$B$8*('Business Case'!B11*$C183*'Business Case'!B12*$B183)-'Business Case'!B15*$F183</f>
        <v>-2091401151.73635</v>
      </c>
      <c r="I183" s="53" t="n">
        <f aca="false">(('Business Case'!C11*$C183*'Business Case'!C12*$B183)-'Business Case'!C11*$C183*'Business Case'!C13*$D183-'Business Case'!C14*$E183)-MAX(0,(('Business Case'!C11*$C183*'Business Case'!C12*$B183)-'Business Case'!C11*$C183*'Business Case'!C13*$D183-'Business Case'!C14*$E183))*'Business Case'!$B$7-'Business Case'!$B$8*(('Business Case'!C11*$C183*'Business Case'!C12*$B183)-('Business Case'!B11*$C183*'Business Case'!B12*$B183))-'Business Case'!C15*$F183</f>
        <v>-10032225.6641847</v>
      </c>
      <c r="J183" s="53" t="n">
        <f aca="false">(('Business Case'!D11*$C183*'Business Case'!D12*$B183)-'Business Case'!D11*$C183*'Business Case'!D13*$D183-'Business Case'!D14*$E183)-MAX(0,(('Business Case'!D11*$C183*'Business Case'!D12*$B183)-'Business Case'!D11*$C183*'Business Case'!D13*$D183-'Business Case'!D14*$E183))*'Business Case'!$B$7-'Business Case'!$B$8*(('Business Case'!D11*$C183*'Business Case'!D12*$B183)-('Business Case'!C11*$C183*'Business Case'!C12*$B183))-'Business Case'!D15*$F183</f>
        <v>276291813.982371</v>
      </c>
      <c r="K183" s="53" t="n">
        <f aca="false">(('Business Case'!E11*$C183*'Business Case'!E12*$B183)-'Business Case'!E11*$C183*'Business Case'!E13*$D183-'Business Case'!E14*$E183)-MAX(0,(('Business Case'!E11*$C183*'Business Case'!E12*$B183)-'Business Case'!E11*$C183*'Business Case'!E13*$D183-'Business Case'!E14*$E183))*'Business Case'!$B$7-'Business Case'!$B$8*(('Business Case'!E11*$C183*'Business Case'!E12*$B183)-('Business Case'!D11*$C183*'Business Case'!D12*$B183))-'Business Case'!E15*$F183</f>
        <v>614900882.422335</v>
      </c>
      <c r="L183" s="53" t="n">
        <f aca="false">(('Business Case'!F11*$C183*'Business Case'!F12*$B183)-'Business Case'!F11*$C183*'Business Case'!F13*$D183-'Business Case'!F14*$E183)-MAX(0,(('Business Case'!F11*$C183*'Business Case'!F12*$B183)-'Business Case'!F11*$C183*'Business Case'!F13*$D183-'Business Case'!F14*$E183))*'Business Case'!$B$7-'Business Case'!$B$8*(('Business Case'!F11*$C183*'Business Case'!F12*$B183)-('Business Case'!E11*$C183*'Business Case'!E12*$B183))-'Business Case'!F15*$F183</f>
        <v>742243165.220275</v>
      </c>
      <c r="M183" s="53" t="n">
        <f aca="false">(('Business Case'!G11*$C183*'Business Case'!G12*$B183)-'Business Case'!G11*$C183*'Business Case'!G13*$D183-'Business Case'!G14*$E183)-MAX(0,(('Business Case'!G11*$C183*'Business Case'!G12*$B183)-'Business Case'!G11*$C183*'Business Case'!G13*$D183-'Business Case'!G14*$E183))*'Business Case'!$B$7-'Business Case'!$B$8*(('Business Case'!G11*$C183*'Business Case'!G12*$B183)-('Business Case'!F11*$C183*'Business Case'!F12*$B183))-'Business Case'!G15*$F183+'Business Case'!$B$8*('Business Case'!G11*$C183*'Business Case'!G12*$B183)</f>
        <v>917698314.590258</v>
      </c>
      <c r="N183" s="53" t="n">
        <f aca="false">IF(COUNT('Business Case'!B11:G11)=0,"",H183+NPV(G183,I183:M183))</f>
        <v>-338404549.837302</v>
      </c>
      <c r="P183" s="54" t="n">
        <f aca="true">RAND()</f>
        <v>0.448295370153532</v>
      </c>
      <c r="Q183" s="54" t="n">
        <f aca="true">RAND()</f>
        <v>0.266345695879691</v>
      </c>
      <c r="R183" s="54" t="n">
        <f aca="true">RAND()</f>
        <v>0.136187056864769</v>
      </c>
      <c r="S183" s="54" t="n">
        <f aca="true">RAND()</f>
        <v>0.486074316128271</v>
      </c>
      <c r="T183" s="54" t="n">
        <f aca="true">RAND()</f>
        <v>0.523833754251746</v>
      </c>
      <c r="U183" s="54" t="n">
        <f aca="true">RAND()</f>
        <v>0.386830098680933</v>
      </c>
    </row>
    <row r="184" customFormat="false" ht="15" hidden="false" customHeight="false" outlineLevel="0" collapsed="false">
      <c r="A184" s="50" t="n">
        <v>104</v>
      </c>
      <c r="B184" s="51" t="n">
        <f aca="false">1+IF($G$6=$E$6,$F$6,IF(P184&lt;($F$6-$E$6)/($G$6-$E$6),$E$6+SQRT(P184*($G$6-$E$6)*($F$6-$E$6)),$G$6-SQRT((1-P184)*($G$6-$E$6)*($G$6-$F$6))))</f>
        <v>0.923286892771092</v>
      </c>
      <c r="C184" s="51" t="n">
        <f aca="false">1+IF($G$7=$E$7,$F$7,IF(Q184&lt;($F$7-$E$7)/($G$7-$E$7),$E$7+SQRT(Q184*($G$7-$E$7)*($F$7-$E$7)),$G$7-SQRT((1-Q184)*($G$7-$E$7)*($G$7-$F$7))))</f>
        <v>0.991509561647675</v>
      </c>
      <c r="D184" s="51" t="n">
        <f aca="false">1+IF($G$8=$E$8,$F$8,IF(R184&lt;($F$8-$E$8)/($G$8-$E$8),$E$8+SQRT(R184*($G$8-$E$8)*($F$8-$E$8)),$G$8-SQRT((1-R184)*($G$8-$E$8)*($G$8-$F$8))))</f>
        <v>1.00831872476318</v>
      </c>
      <c r="E184" s="51" t="n">
        <f aca="false">1+IF($G$9=$E$9,$F$9,IF(S184&lt;($F$9-$E$9)/($G$9-$E$9),$E$9+SQRT(S184*($G$9-$E$9)*($F$9-$E$9)),$G$9-SQRT((1-S184)*($G$9-$E$9)*($G$9-$F$9))))</f>
        <v>1.04993541714551</v>
      </c>
      <c r="F184" s="51" t="n">
        <f aca="false">1+IF($G$10=$E$10,$F$10,IF(T184&lt;($F$10-$E$10)/($G$10-$E$10),$E$10+SQRT(T184*($G$10-$E$10)*($F$10-$E$10)),$G$10-SQRT((1-T184)*($G$10-$E$10)*($G$10-$F$10))))</f>
        <v>1.05802019609648</v>
      </c>
      <c r="G184" s="52" t="n">
        <f aca="false">IF($G$11=$E$11,$F$11,IF(U184&lt;($F$11-$E$11)/($G$11-$E$11),$E$11+SQRT(U184*($G$11-$E$11)*($F$11-$E$11)),$G$11-SQRT((1-U184)*($G$11-$E$11)*($G$11-$F$11))))</f>
        <v>0.0949566310372955</v>
      </c>
      <c r="H184" s="53" t="n">
        <f aca="false">(('Business Case'!B11*$C184*'Business Case'!B12*$B184)-'Business Case'!B11*$C184*'Business Case'!B13*$D184-'Business Case'!B14*$E184)-MAX(0,(('Business Case'!B11*$C184*'Business Case'!B12*$B184)-'Business Case'!B11*$C184*'Business Case'!B13*$D184-'Business Case'!B14*$E184))*'Business Case'!$B$7-'Business Case'!$B$8*('Business Case'!B11*$C184*'Business Case'!B12*$B184)-'Business Case'!B15*$F184</f>
        <v>-2116040392.19297</v>
      </c>
      <c r="I184" s="53" t="n">
        <f aca="false">(('Business Case'!C11*$C184*'Business Case'!C12*$B184)-'Business Case'!C11*$C184*'Business Case'!C13*$D184-'Business Case'!C14*$E184)-MAX(0,(('Business Case'!C11*$C184*'Business Case'!C12*$B184)-'Business Case'!C11*$C184*'Business Case'!C13*$D184-'Business Case'!C14*$E184))*'Business Case'!$B$7-'Business Case'!$B$8*(('Business Case'!C11*$C184*'Business Case'!C12*$B184)-('Business Case'!B11*$C184*'Business Case'!B12*$B184))-'Business Case'!C15*$F184</f>
        <v>-64537942.6623011</v>
      </c>
      <c r="J184" s="53" t="n">
        <f aca="false">(('Business Case'!D11*$C184*'Business Case'!D12*$B184)-'Business Case'!D11*$C184*'Business Case'!D13*$D184-'Business Case'!D14*$E184)-MAX(0,(('Business Case'!D11*$C184*'Business Case'!D12*$B184)-'Business Case'!D11*$C184*'Business Case'!D13*$D184-'Business Case'!D14*$E184))*'Business Case'!$B$7-'Business Case'!$B$8*(('Business Case'!D11*$C184*'Business Case'!D12*$B184)-('Business Case'!C11*$C184*'Business Case'!C12*$B184))-'Business Case'!D15*$F184</f>
        <v>173483763.638943</v>
      </c>
      <c r="K184" s="53" t="n">
        <f aca="false">(('Business Case'!E11*$C184*'Business Case'!E12*$B184)-'Business Case'!E11*$C184*'Business Case'!E13*$D184-'Business Case'!E14*$E184)-MAX(0,(('Business Case'!E11*$C184*'Business Case'!E12*$B184)-'Business Case'!E11*$C184*'Business Case'!E13*$D184-'Business Case'!E14*$E184))*'Business Case'!$B$7-'Business Case'!$B$8*(('Business Case'!E11*$C184*'Business Case'!E12*$B184)-('Business Case'!D11*$C184*'Business Case'!D12*$B184))-'Business Case'!E15*$F184</f>
        <v>464406479.745012</v>
      </c>
      <c r="L184" s="53" t="n">
        <f aca="false">(('Business Case'!F11*$C184*'Business Case'!F12*$B184)-'Business Case'!F11*$C184*'Business Case'!F13*$D184-'Business Case'!F14*$E184)-MAX(0,(('Business Case'!F11*$C184*'Business Case'!F12*$B184)-'Business Case'!F11*$C184*'Business Case'!F13*$D184-'Business Case'!F14*$E184))*'Business Case'!$B$7-'Business Case'!$B$8*(('Business Case'!F11*$C184*'Business Case'!F12*$B184)-('Business Case'!E11*$C184*'Business Case'!E12*$B184))-'Business Case'!F15*$F184</f>
        <v>575384923.869298</v>
      </c>
      <c r="M184" s="53" t="n">
        <f aca="false">(('Business Case'!G11*$C184*'Business Case'!G12*$B184)-'Business Case'!G11*$C184*'Business Case'!G13*$D184-'Business Case'!G14*$E184)-MAX(0,(('Business Case'!G11*$C184*'Business Case'!G12*$B184)-'Business Case'!G11*$C184*'Business Case'!G13*$D184-'Business Case'!G14*$E184))*'Business Case'!$B$7-'Business Case'!$B$8*(('Business Case'!G11*$C184*'Business Case'!G12*$B184)-('Business Case'!F11*$C184*'Business Case'!F12*$B184))-'Business Case'!G15*$F184+'Business Case'!$B$8*('Business Case'!G11*$C184*'Business Case'!G12*$B184)</f>
        <v>749393238.333921</v>
      </c>
      <c r="N184" s="53" t="n">
        <f aca="false">IF(COUNT('Business Case'!B11:G11)=0,"",H184+NPV(G184,I184:M184))</f>
        <v>-800107676.061323</v>
      </c>
      <c r="P184" s="54" t="n">
        <f aca="true">RAND()</f>
        <v>0.00112538167590149</v>
      </c>
      <c r="Q184" s="54" t="n">
        <f aca="true">RAND()</f>
        <v>0.523941602892635</v>
      </c>
      <c r="R184" s="54" t="n">
        <f aca="true">RAND()</f>
        <v>0.505941805809992</v>
      </c>
      <c r="S184" s="54" t="n">
        <f aca="true">RAND()</f>
        <v>0.832902502907042</v>
      </c>
      <c r="T184" s="54" t="n">
        <f aca="true">RAND()</f>
        <v>0.596834705670377</v>
      </c>
      <c r="U184" s="54" t="n">
        <f aca="true">RAND()</f>
        <v>0.0818939707996032</v>
      </c>
    </row>
    <row r="185" customFormat="false" ht="15" hidden="false" customHeight="false" outlineLevel="0" collapsed="false">
      <c r="A185" s="50" t="n">
        <v>105</v>
      </c>
      <c r="B185" s="51" t="n">
        <f aca="false">1+IF($G$6=$E$6,$F$6,IF(P185&lt;($F$6-$E$6)/($G$6-$E$6),$E$6+SQRT(P185*($G$6-$E$6)*($F$6-$E$6)),$G$6-SQRT((1-P185)*($G$6-$E$6)*($G$6-$F$6))))</f>
        <v>0.986603013912753</v>
      </c>
      <c r="C185" s="51" t="n">
        <f aca="false">1+IF($G$7=$E$7,$F$7,IF(Q185&lt;($F$7-$E$7)/($G$7-$E$7),$E$7+SQRT(Q185*($G$7-$E$7)*($F$7-$E$7)),$G$7-SQRT((1-Q185)*($G$7-$E$7)*($G$7-$F$7))))</f>
        <v>0.896323116147988</v>
      </c>
      <c r="D185" s="51" t="n">
        <f aca="false">1+IF($G$8=$E$8,$F$8,IF(R185&lt;($F$8-$E$8)/($G$8-$E$8),$E$8+SQRT(R185*($G$8-$E$8)*($F$8-$E$8)),$G$8-SQRT((1-R185)*($G$8-$E$8)*($G$8-$F$8))))</f>
        <v>1.02591252536328</v>
      </c>
      <c r="E185" s="51" t="n">
        <f aca="false">1+IF($G$9=$E$9,$F$9,IF(S185&lt;($F$9-$E$9)/($G$9-$E$9),$E$9+SQRT(S185*($G$9-$E$9)*($F$9-$E$9)),$G$9-SQRT((1-S185)*($G$9-$E$9)*($G$9-$F$9))))</f>
        <v>1.05031226595326</v>
      </c>
      <c r="F185" s="51" t="n">
        <f aca="false">1+IF($G$10=$E$10,$F$10,IF(T185&lt;($F$10-$E$10)/($G$10-$E$10),$E$10+SQRT(T185*($G$10-$E$10)*($F$10-$E$10)),$G$10-SQRT((1-T185)*($G$10-$E$10)*($G$10-$F$10))))</f>
        <v>1.06582781352743</v>
      </c>
      <c r="G185" s="52" t="n">
        <f aca="false">IF($G$11=$E$11,$F$11,IF(U185&lt;($F$11-$E$11)/($G$11-$E$11),$E$11+SQRT(U185*($G$11-$E$11)*($F$11-$E$11)),$G$11-SQRT((1-U185)*($G$11-$E$11)*($G$11-$F$11))))</f>
        <v>0.097007103659617</v>
      </c>
      <c r="H185" s="53" t="n">
        <f aca="false">(('Business Case'!B11*$C185*'Business Case'!B12*$B185)-'Business Case'!B11*$C185*'Business Case'!B13*$D185-'Business Case'!B14*$E185)-MAX(0,(('Business Case'!B11*$C185*'Business Case'!B12*$B185)-'Business Case'!B11*$C185*'Business Case'!B13*$D185-'Business Case'!B14*$E185))*'Business Case'!$B$7-'Business Case'!$B$8*('Business Case'!B11*$C185*'Business Case'!B12*$B185)-'Business Case'!B15*$F185</f>
        <v>-2131655627.05485</v>
      </c>
      <c r="I185" s="53" t="n">
        <f aca="false">(('Business Case'!C11*$C185*'Business Case'!C12*$B185)-'Business Case'!C11*$C185*'Business Case'!C13*$D185-'Business Case'!C14*$E185)-MAX(0,(('Business Case'!C11*$C185*'Business Case'!C12*$B185)-'Business Case'!C11*$C185*'Business Case'!C13*$D185-'Business Case'!C14*$E185))*'Business Case'!$B$7-'Business Case'!$B$8*(('Business Case'!C11*$C185*'Business Case'!C12*$B185)-('Business Case'!B11*$C185*'Business Case'!B12*$B185))-'Business Case'!C15*$F185</f>
        <v>-48197933.3293794</v>
      </c>
      <c r="J185" s="53" t="n">
        <f aca="false">(('Business Case'!D11*$C185*'Business Case'!D12*$B185)-'Business Case'!D11*$C185*'Business Case'!D13*$D185-'Business Case'!D14*$E185)-MAX(0,(('Business Case'!D11*$C185*'Business Case'!D12*$B185)-'Business Case'!D11*$C185*'Business Case'!D13*$D185-'Business Case'!D14*$E185))*'Business Case'!$B$7-'Business Case'!$B$8*(('Business Case'!D11*$C185*'Business Case'!D12*$B185)-('Business Case'!C11*$C185*'Business Case'!C12*$B185))-'Business Case'!D15*$F185</f>
        <v>205384213.06571</v>
      </c>
      <c r="K185" s="53" t="n">
        <f aca="false">(('Business Case'!E11*$C185*'Business Case'!E12*$B185)-'Business Case'!E11*$C185*'Business Case'!E13*$D185-'Business Case'!E14*$E185)-MAX(0,(('Business Case'!E11*$C185*'Business Case'!E12*$B185)-'Business Case'!E11*$C185*'Business Case'!E13*$D185-'Business Case'!E14*$E185))*'Business Case'!$B$7-'Business Case'!$B$8*(('Business Case'!E11*$C185*'Business Case'!E12*$B185)-('Business Case'!D11*$C185*'Business Case'!D12*$B185))-'Business Case'!E15*$F185</f>
        <v>512257750.137171</v>
      </c>
      <c r="L185" s="53" t="n">
        <f aca="false">(('Business Case'!F11*$C185*'Business Case'!F12*$B185)-'Business Case'!F11*$C185*'Business Case'!F13*$D185-'Business Case'!F14*$E185)-MAX(0,(('Business Case'!F11*$C185*'Business Case'!F12*$B185)-'Business Case'!F11*$C185*'Business Case'!F13*$D185-'Business Case'!F14*$E185))*'Business Case'!$B$7-'Business Case'!$B$8*(('Business Case'!F11*$C185*'Business Case'!F12*$B185)-('Business Case'!E11*$C185*'Business Case'!E12*$B185))-'Business Case'!F15*$F185</f>
        <v>627347061.704316</v>
      </c>
      <c r="M185" s="53" t="n">
        <f aca="false">(('Business Case'!G11*$C185*'Business Case'!G12*$B185)-'Business Case'!G11*$C185*'Business Case'!G13*$D185-'Business Case'!G14*$E185)-MAX(0,(('Business Case'!G11*$C185*'Business Case'!G12*$B185)-'Business Case'!G11*$C185*'Business Case'!G13*$D185-'Business Case'!G14*$E185))*'Business Case'!$B$7-'Business Case'!$B$8*(('Business Case'!G11*$C185*'Business Case'!G12*$B185)-('Business Case'!F11*$C185*'Business Case'!F12*$B185))-'Business Case'!G15*$F185+'Business Case'!$B$8*('Business Case'!G11*$C185*'Business Case'!G12*$B185)</f>
        <v>795437673.599285</v>
      </c>
      <c r="N185" s="53" t="n">
        <f aca="false">IF(COUNT('Business Case'!B11:G11)=0,"",H185+NPV(G185,I185:M185))</f>
        <v>-683039331.661079</v>
      </c>
      <c r="P185" s="54" t="n">
        <f aca="true">RAND()</f>
        <v>0.462079318985658</v>
      </c>
      <c r="Q185" s="54" t="n">
        <f aca="true">RAND()</f>
        <v>0.132544895777984</v>
      </c>
      <c r="R185" s="54" t="n">
        <f aca="true">RAND()</f>
        <v>0.718706258405963</v>
      </c>
      <c r="S185" s="54" t="n">
        <f aca="true">RAND()</f>
        <v>0.835408605686668</v>
      </c>
      <c r="T185" s="54" t="n">
        <f aca="true">RAND()</f>
        <v>0.639956487543375</v>
      </c>
      <c r="U185" s="54" t="n">
        <f aca="true">RAND()</f>
        <v>0.163665005655394</v>
      </c>
    </row>
    <row r="186" customFormat="false" ht="15" hidden="false" customHeight="false" outlineLevel="0" collapsed="false">
      <c r="A186" s="50" t="n">
        <v>106</v>
      </c>
      <c r="B186" s="51" t="n">
        <f aca="false">1+IF($G$6=$E$6,$F$6,IF(P186&lt;($F$6-$E$6)/($G$6-$E$6),$E$6+SQRT(P186*($G$6-$E$6)*($F$6-$E$6)),$G$6-SQRT((1-P186)*($G$6-$E$6)*($G$6-$F$6))))</f>
        <v>0.974886625836891</v>
      </c>
      <c r="C186" s="51" t="n">
        <f aca="false">1+IF($G$7=$E$7,$F$7,IF(Q186&lt;($F$7-$E$7)/($G$7-$E$7),$E$7+SQRT(Q186*($G$7-$E$7)*($F$7-$E$7)),$G$7-SQRT((1-Q186)*($G$7-$E$7)*($G$7-$F$7))))</f>
        <v>1.01628311741667</v>
      </c>
      <c r="D186" s="51" t="n">
        <f aca="false">1+IF($G$8=$E$8,$F$8,IF(R186&lt;($F$8-$E$8)/($G$8-$E$8),$E$8+SQRT(R186*($G$8-$E$8)*($F$8-$E$8)),$G$8-SQRT((1-R186)*($G$8-$E$8)*($G$8-$F$8))))</f>
        <v>1.04452561153731</v>
      </c>
      <c r="E186" s="51" t="n">
        <f aca="false">1+IF($G$9=$E$9,$F$9,IF(S186&lt;($F$9-$E$9)/($G$9-$E$9),$E$9+SQRT(S186*($G$9-$E$9)*($F$9-$E$9)),$G$9-SQRT((1-S186)*($G$9-$E$9)*($G$9-$F$9))))</f>
        <v>0.974747767936826</v>
      </c>
      <c r="F186" s="51" t="n">
        <f aca="false">1+IF($G$10=$E$10,$F$10,IF(T186&lt;($F$10-$E$10)/($G$10-$E$10),$E$10+SQRT(T186*($G$10-$E$10)*($F$10-$E$10)),$G$10-SQRT((1-T186)*($G$10-$E$10)*($G$10-$F$10))))</f>
        <v>0.970359071616394</v>
      </c>
      <c r="G186" s="52" t="n">
        <f aca="false">IF($G$11=$E$11,$F$11,IF(U186&lt;($F$11-$E$11)/($G$11-$E$11),$E$11+SQRT(U186*($G$11-$E$11)*($F$11-$E$11)),$G$11-SQRT((1-U186)*($G$11-$E$11)*($G$11-$F$11))))</f>
        <v>0.115524704100413</v>
      </c>
      <c r="H186" s="53" t="n">
        <f aca="false">(('Business Case'!B11*$C186*'Business Case'!B12*$B186)-'Business Case'!B11*$C186*'Business Case'!B13*$D186-'Business Case'!B14*$E186)-MAX(0,(('Business Case'!B11*$C186*'Business Case'!B12*$B186)-'Business Case'!B11*$C186*'Business Case'!B13*$D186-'Business Case'!B14*$E186))*'Business Case'!$B$7-'Business Case'!$B$8*('Business Case'!B11*$C186*'Business Case'!B12*$B186)-'Business Case'!B15*$F186</f>
        <v>-1940718143.23279</v>
      </c>
      <c r="I186" s="53" t="n">
        <f aca="false">(('Business Case'!C11*$C186*'Business Case'!C12*$B186)-'Business Case'!C11*$C186*'Business Case'!C13*$D186-'Business Case'!C14*$E186)-MAX(0,(('Business Case'!C11*$C186*'Business Case'!C12*$B186)-'Business Case'!C11*$C186*'Business Case'!C13*$D186-'Business Case'!C14*$E186))*'Business Case'!$B$7-'Business Case'!$B$8*(('Business Case'!C11*$C186*'Business Case'!C12*$B186)-('Business Case'!B11*$C186*'Business Case'!B12*$B186))-'Business Case'!C15*$F186</f>
        <v>-18921989.4945733</v>
      </c>
      <c r="J186" s="53" t="n">
        <f aca="false">(('Business Case'!D11*$C186*'Business Case'!D12*$B186)-'Business Case'!D11*$C186*'Business Case'!D13*$D186-'Business Case'!D14*$E186)-MAX(0,(('Business Case'!D11*$C186*'Business Case'!D12*$B186)-'Business Case'!D11*$C186*'Business Case'!D13*$D186-'Business Case'!D14*$E186))*'Business Case'!$B$7-'Business Case'!$B$8*(('Business Case'!D11*$C186*'Business Case'!D12*$B186)-('Business Case'!C11*$C186*'Business Case'!C12*$B186))-'Business Case'!D15*$F186</f>
        <v>249162101.642166</v>
      </c>
      <c r="K186" s="53" t="n">
        <f aca="false">(('Business Case'!E11*$C186*'Business Case'!E12*$B186)-'Business Case'!E11*$C186*'Business Case'!E13*$D186-'Business Case'!E14*$E186)-MAX(0,(('Business Case'!E11*$C186*'Business Case'!E12*$B186)-'Business Case'!E11*$C186*'Business Case'!E13*$D186-'Business Case'!E14*$E186))*'Business Case'!$B$7-'Business Case'!$B$8*(('Business Case'!E11*$C186*'Business Case'!E12*$B186)-('Business Case'!D11*$C186*'Business Case'!D12*$B186))-'Business Case'!E15*$F186</f>
        <v>565764146.359724</v>
      </c>
      <c r="L186" s="53" t="n">
        <f aca="false">(('Business Case'!F11*$C186*'Business Case'!F12*$B186)-'Business Case'!F11*$C186*'Business Case'!F13*$D186-'Business Case'!F14*$E186)-MAX(0,(('Business Case'!F11*$C186*'Business Case'!F12*$B186)-'Business Case'!F11*$C186*'Business Case'!F13*$D186-'Business Case'!F14*$E186))*'Business Case'!$B$7-'Business Case'!$B$8*(('Business Case'!F11*$C186*'Business Case'!F12*$B186)-('Business Case'!E11*$C186*'Business Case'!E12*$B186))-'Business Case'!F15*$F186</f>
        <v>689366203.984675</v>
      </c>
      <c r="M186" s="53" t="n">
        <f aca="false">(('Business Case'!G11*$C186*'Business Case'!G12*$B186)-'Business Case'!G11*$C186*'Business Case'!G13*$D186-'Business Case'!G14*$E186)-MAX(0,(('Business Case'!G11*$C186*'Business Case'!G12*$B186)-'Business Case'!G11*$C186*'Business Case'!G13*$D186-'Business Case'!G14*$E186))*'Business Case'!$B$7-'Business Case'!$B$8*(('Business Case'!G11*$C186*'Business Case'!G12*$B186)-('Business Case'!F11*$C186*'Business Case'!F12*$B186))-'Business Case'!G15*$F186+'Business Case'!$B$8*('Business Case'!G11*$C186*'Business Case'!G12*$B186)</f>
        <v>877690020.504547</v>
      </c>
      <c r="N186" s="53" t="n">
        <f aca="false">IF(COUNT('Business Case'!B11:G11)=0,"",H186+NPV(G186,I186:M186))</f>
        <v>-396614372.628115</v>
      </c>
      <c r="P186" s="54" t="n">
        <f aca="true">RAND()</f>
        <v>0.313806426641546</v>
      </c>
      <c r="Q186" s="54" t="n">
        <f aca="true">RAND()</f>
        <v>0.659424672613263</v>
      </c>
      <c r="R186" s="54" t="n">
        <f aca="true">RAND()</f>
        <v>0.878996900307547</v>
      </c>
      <c r="S186" s="54" t="n">
        <f aca="true">RAND()</f>
        <v>0.0816602690473307</v>
      </c>
      <c r="T186" s="54" t="n">
        <f aca="true">RAND()</f>
        <v>0.0331593437665165</v>
      </c>
      <c r="U186" s="54" t="n">
        <f aca="true">RAND()</f>
        <v>0.966619544351905</v>
      </c>
    </row>
    <row r="187" customFormat="false" ht="15" hidden="false" customHeight="false" outlineLevel="0" collapsed="false">
      <c r="A187" s="50" t="n">
        <v>107</v>
      </c>
      <c r="B187" s="51" t="n">
        <f aca="false">1+IF($G$6=$E$6,$F$6,IF(P187&lt;($F$6-$E$6)/($G$6-$E$6),$E$6+SQRT(P187*($G$6-$E$6)*($F$6-$E$6)),$G$6-SQRT((1-P187)*($G$6-$E$6)*($G$6-$F$6))))</f>
        <v>0.998970533152649</v>
      </c>
      <c r="C187" s="51" t="n">
        <f aca="false">1+IF($G$7=$E$7,$F$7,IF(Q187&lt;($F$7-$E$7)/($G$7-$E$7),$E$7+SQRT(Q187*($G$7-$E$7)*($F$7-$E$7)),$G$7-SQRT((1-Q187)*($G$7-$E$7)*($G$7-$F$7))))</f>
        <v>1.01553244110066</v>
      </c>
      <c r="D187" s="51" t="n">
        <f aca="false">1+IF($G$8=$E$8,$F$8,IF(R187&lt;($F$8-$E$8)/($G$8-$E$8),$E$8+SQRT(R187*($G$8-$E$8)*($F$8-$E$8)),$G$8-SQRT((1-R187)*($G$8-$E$8)*($G$8-$F$8))))</f>
        <v>1.00800691157627</v>
      </c>
      <c r="E187" s="51" t="n">
        <f aca="false">1+IF($G$9=$E$9,$F$9,IF(S187&lt;($F$9-$E$9)/($G$9-$E$9),$E$9+SQRT(S187*($G$9-$E$9)*($F$9-$E$9)),$G$9-SQRT((1-S187)*($G$9-$E$9)*($G$9-$F$9))))</f>
        <v>0.98525003441878</v>
      </c>
      <c r="F187" s="51" t="n">
        <f aca="false">1+IF($G$10=$E$10,$F$10,IF(T187&lt;($F$10-$E$10)/($G$10-$E$10),$E$10+SQRT(T187*($G$10-$E$10)*($F$10-$E$10)),$G$10-SQRT((1-T187)*($G$10-$E$10)*($G$10-$F$10))))</f>
        <v>1.12009097301367</v>
      </c>
      <c r="G187" s="52" t="n">
        <f aca="false">IF($G$11=$E$11,$F$11,IF(U187&lt;($F$11-$E$11)/($G$11-$E$11),$E$11+SQRT(U187*($G$11-$E$11)*($F$11-$E$11)),$G$11-SQRT((1-U187)*($G$11-$E$11)*($G$11-$F$11))))</f>
        <v>0.104412440108741</v>
      </c>
      <c r="H187" s="53" t="n">
        <f aca="false">(('Business Case'!B11*$C187*'Business Case'!B12*$B187)-'Business Case'!B11*$C187*'Business Case'!B13*$D187-'Business Case'!B14*$E187)-MAX(0,(('Business Case'!B11*$C187*'Business Case'!B12*$B187)-'Business Case'!B11*$C187*'Business Case'!B13*$D187-'Business Case'!B14*$E187))*'Business Case'!$B$7-'Business Case'!$B$8*('Business Case'!B11*$C187*'Business Case'!B12*$B187)-'Business Case'!B15*$F187</f>
        <v>-2240181946.02734</v>
      </c>
      <c r="I187" s="53" t="n">
        <f aca="false">(('Business Case'!C11*$C187*'Business Case'!C12*$B187)-'Business Case'!C11*$C187*'Business Case'!C13*$D187-'Business Case'!C14*$E187)-MAX(0,(('Business Case'!C11*$C187*'Business Case'!C12*$B187)-'Business Case'!C11*$C187*'Business Case'!C13*$D187-'Business Case'!C14*$E187))*'Business Case'!$B$7-'Business Case'!$B$8*(('Business Case'!C11*$C187*'Business Case'!C12*$B187)-('Business Case'!B11*$C187*'Business Case'!B12*$B187))-'Business Case'!C15*$F187</f>
        <v>2201294.28790319</v>
      </c>
      <c r="J187" s="53" t="n">
        <f aca="false">(('Business Case'!D11*$C187*'Business Case'!D12*$B187)-'Business Case'!D11*$C187*'Business Case'!D13*$D187-'Business Case'!D14*$E187)-MAX(0,(('Business Case'!D11*$C187*'Business Case'!D12*$B187)-'Business Case'!D11*$C187*'Business Case'!D13*$D187-'Business Case'!D14*$E187))*'Business Case'!$B$7-'Business Case'!$B$8*(('Business Case'!D11*$C187*'Business Case'!D12*$B187)-('Business Case'!C11*$C187*'Business Case'!C12*$B187))-'Business Case'!D15*$F187</f>
        <v>309105246.028312</v>
      </c>
      <c r="K187" s="53" t="n">
        <f aca="false">(('Business Case'!E11*$C187*'Business Case'!E12*$B187)-'Business Case'!E11*$C187*'Business Case'!E13*$D187-'Business Case'!E14*$E187)-MAX(0,(('Business Case'!E11*$C187*'Business Case'!E12*$B187)-'Business Case'!E11*$C187*'Business Case'!E13*$D187-'Business Case'!E14*$E187))*'Business Case'!$B$7-'Business Case'!$B$8*(('Business Case'!E11*$C187*'Business Case'!E12*$B187)-('Business Case'!D11*$C187*'Business Case'!D12*$B187))-'Business Case'!E15*$F187</f>
        <v>672013746.419404</v>
      </c>
      <c r="L187" s="53" t="n">
        <f aca="false">(('Business Case'!F11*$C187*'Business Case'!F12*$B187)-'Business Case'!F11*$C187*'Business Case'!F13*$D187-'Business Case'!F14*$E187)-MAX(0,(('Business Case'!F11*$C187*'Business Case'!F12*$B187)-'Business Case'!F11*$C187*'Business Case'!F13*$D187-'Business Case'!F14*$E187))*'Business Case'!$B$7-'Business Case'!$B$8*(('Business Case'!F11*$C187*'Business Case'!F12*$B187)-('Business Case'!E11*$C187*'Business Case'!E12*$B187))-'Business Case'!F15*$F187</f>
        <v>809375733.837399</v>
      </c>
      <c r="M187" s="53" t="n">
        <f aca="false">(('Business Case'!G11*$C187*'Business Case'!G12*$B187)-'Business Case'!G11*$C187*'Business Case'!G13*$D187-'Business Case'!G14*$E187)-MAX(0,(('Business Case'!G11*$C187*'Business Case'!G12*$B187)-'Business Case'!G11*$C187*'Business Case'!G13*$D187-'Business Case'!G14*$E187))*'Business Case'!$B$7-'Business Case'!$B$8*(('Business Case'!G11*$C187*'Business Case'!G12*$B187)-('Business Case'!F11*$C187*'Business Case'!F12*$B187))-'Business Case'!G15*$F187+'Business Case'!$B$8*('Business Case'!G11*$C187*'Business Case'!G12*$B187)</f>
        <v>1002209419.77895</v>
      </c>
      <c r="N187" s="53" t="n">
        <f aca="false">IF(COUNT('Business Case'!B11:G11)=0,"",H187+NPV(G187,I187:M187))</f>
        <v>-331906961.157153</v>
      </c>
      <c r="P187" s="54" t="n">
        <f aca="true">RAND()</f>
        <v>0.649619281918082</v>
      </c>
      <c r="Q187" s="54" t="n">
        <f aca="true">RAND()</f>
        <v>0.655590011498129</v>
      </c>
      <c r="R187" s="54" t="n">
        <f aca="true">RAND()</f>
        <v>0.501634155693517</v>
      </c>
      <c r="S187" s="54" t="n">
        <f aca="true">RAND()</f>
        <v>0.165675323536693</v>
      </c>
      <c r="T187" s="54" t="n">
        <f aca="true">RAND()</f>
        <v>0.872290948121957</v>
      </c>
      <c r="U187" s="54" t="n">
        <f aca="true">RAND()</f>
        <v>0.595046627727378</v>
      </c>
    </row>
    <row r="188" customFormat="false" ht="15" hidden="false" customHeight="false" outlineLevel="0" collapsed="false">
      <c r="A188" s="50" t="n">
        <v>108</v>
      </c>
      <c r="B188" s="51" t="n">
        <f aca="false">1+IF($G$6=$E$6,$F$6,IF(P188&lt;($F$6-$E$6)/($G$6-$E$6),$E$6+SQRT(P188*($G$6-$E$6)*($F$6-$E$6)),$G$6-SQRT((1-P188)*($G$6-$E$6)*($G$6-$F$6))))</f>
        <v>0.98423063454898</v>
      </c>
      <c r="C188" s="51" t="n">
        <f aca="false">1+IF($G$7=$E$7,$F$7,IF(Q188&lt;($F$7-$E$7)/($G$7-$E$7),$E$7+SQRT(Q188*($G$7-$E$7)*($F$7-$E$7)),$G$7-SQRT((1-Q188)*($G$7-$E$7)*($G$7-$F$7))))</f>
        <v>0.896124435478857</v>
      </c>
      <c r="D188" s="51" t="n">
        <f aca="false">1+IF($G$8=$E$8,$F$8,IF(R188&lt;($F$8-$E$8)/($G$8-$E$8),$E$8+SQRT(R188*($G$8-$E$8)*($F$8-$E$8)),$G$8-SQRT((1-R188)*($G$8-$E$8)*($G$8-$F$8))))</f>
        <v>1.00662902141051</v>
      </c>
      <c r="E188" s="51" t="n">
        <f aca="false">1+IF($G$9=$E$9,$F$9,IF(S188&lt;($F$9-$E$9)/($G$9-$E$9),$E$9+SQRT(S188*($G$9-$E$9)*($F$9-$E$9)),$G$9-SQRT((1-S188)*($G$9-$E$9)*($G$9-$F$9))))</f>
        <v>0.99723787108468</v>
      </c>
      <c r="F188" s="51" t="n">
        <f aca="false">1+IF($G$10=$E$10,$F$10,IF(T188&lt;($F$10-$E$10)/($G$10-$E$10),$E$10+SQRT(T188*($G$10-$E$10)*($F$10-$E$10)),$G$10-SQRT((1-T188)*($G$10-$E$10)*($G$10-$F$10))))</f>
        <v>1.18651487795782</v>
      </c>
      <c r="G188" s="52" t="n">
        <f aca="false">IF($G$11=$E$11,$F$11,IF(U188&lt;($F$11-$E$11)/($G$11-$E$11),$E$11+SQRT(U188*($G$11-$E$11)*($F$11-$E$11)),$G$11-SQRT((1-U188)*($G$11-$E$11)*($G$11-$F$11))))</f>
        <v>0.0973386073076593</v>
      </c>
      <c r="H188" s="53" t="n">
        <f aca="false">(('Business Case'!B11*$C188*'Business Case'!B12*$B188)-'Business Case'!B11*$C188*'Business Case'!B13*$D188-'Business Case'!B14*$E188)-MAX(0,(('Business Case'!B11*$C188*'Business Case'!B12*$B188)-'Business Case'!B11*$C188*'Business Case'!B13*$D188-'Business Case'!B14*$E188))*'Business Case'!$B$7-'Business Case'!$B$8*('Business Case'!B11*$C188*'Business Case'!B12*$B188)-'Business Case'!B15*$F188</f>
        <v>-2373029755.91564</v>
      </c>
      <c r="I188" s="53" t="n">
        <f aca="false">(('Business Case'!C11*$C188*'Business Case'!C12*$B188)-'Business Case'!C11*$C188*'Business Case'!C13*$D188-'Business Case'!C14*$E188)-MAX(0,(('Business Case'!C11*$C188*'Business Case'!C12*$B188)-'Business Case'!C11*$C188*'Business Case'!C13*$D188-'Business Case'!C14*$E188))*'Business Case'!$B$7-'Business Case'!$B$8*(('Business Case'!C11*$C188*'Business Case'!C12*$B188)-('Business Case'!B11*$C188*'Business Case'!B12*$B188))-'Business Case'!C15*$F188</f>
        <v>-45550411.2126545</v>
      </c>
      <c r="J188" s="53" t="n">
        <f aca="false">(('Business Case'!D11*$C188*'Business Case'!D12*$B188)-'Business Case'!D11*$C188*'Business Case'!D13*$D188-'Business Case'!D14*$E188)-MAX(0,(('Business Case'!D11*$C188*'Business Case'!D12*$B188)-'Business Case'!D11*$C188*'Business Case'!D13*$D188-'Business Case'!D14*$E188))*'Business Case'!$B$7-'Business Case'!$B$8*(('Business Case'!D11*$C188*'Business Case'!D12*$B188)-('Business Case'!C11*$C188*'Business Case'!C12*$B188))-'Business Case'!D15*$F188</f>
        <v>215080414.071075</v>
      </c>
      <c r="K188" s="53" t="n">
        <f aca="false">(('Business Case'!E11*$C188*'Business Case'!E12*$B188)-'Business Case'!E11*$C188*'Business Case'!E13*$D188-'Business Case'!E14*$E188)-MAX(0,(('Business Case'!E11*$C188*'Business Case'!E12*$B188)-'Business Case'!E11*$C188*'Business Case'!E13*$D188-'Business Case'!E14*$E188))*'Business Case'!$B$7-'Business Case'!$B$8*(('Business Case'!E11*$C188*'Business Case'!E12*$B188)-('Business Case'!D11*$C188*'Business Case'!D12*$B188))-'Business Case'!E15*$F188</f>
        <v>535036983.252695</v>
      </c>
      <c r="L188" s="53" t="n">
        <f aca="false">(('Business Case'!F11*$C188*'Business Case'!F12*$B188)-'Business Case'!F11*$C188*'Business Case'!F13*$D188-'Business Case'!F14*$E188)-MAX(0,(('Business Case'!F11*$C188*'Business Case'!F12*$B188)-'Business Case'!F11*$C188*'Business Case'!F13*$D188-'Business Case'!F14*$E188))*'Business Case'!$B$7-'Business Case'!$B$8*(('Business Case'!F11*$C188*'Business Case'!F12*$B188)-('Business Case'!E11*$C188*'Business Case'!E12*$B188))-'Business Case'!F15*$F188</f>
        <v>652395607.302177</v>
      </c>
      <c r="M188" s="53" t="n">
        <f aca="false">(('Business Case'!G11*$C188*'Business Case'!G12*$B188)-'Business Case'!G11*$C188*'Business Case'!G13*$D188-'Business Case'!G14*$E188)-MAX(0,(('Business Case'!G11*$C188*'Business Case'!G12*$B188)-'Business Case'!G11*$C188*'Business Case'!G13*$D188-'Business Case'!G14*$E188))*'Business Case'!$B$7-'Business Case'!$B$8*(('Business Case'!G11*$C188*'Business Case'!G12*$B188)-('Business Case'!F11*$C188*'Business Case'!F12*$B188))-'Business Case'!G15*$F188+'Business Case'!$B$8*('Business Case'!G11*$C188*'Business Case'!G12*$B188)</f>
        <v>820044859.887497</v>
      </c>
      <c r="N188" s="53" t="n">
        <f aca="false">IF(COUNT('Business Case'!B11:G11)=0,"",H188+NPV(G188,I188:M188))</f>
        <v>-865689309.229841</v>
      </c>
      <c r="P188" s="54" t="n">
        <f aca="true">RAND()</f>
        <v>0.429747334850476</v>
      </c>
      <c r="Q188" s="54" t="n">
        <f aca="true">RAND()</f>
        <v>0.131998672801842</v>
      </c>
      <c r="R188" s="54" t="n">
        <f aca="true">RAND()</f>
        <v>0.482374952001971</v>
      </c>
      <c r="S188" s="54" t="n">
        <f aca="true">RAND()</f>
        <v>0.297522195281716</v>
      </c>
      <c r="T188" s="54" t="n">
        <f aca="true">RAND()</f>
        <v>0.996363029670151</v>
      </c>
      <c r="U188" s="54" t="n">
        <f aca="true">RAND()</f>
        <v>0.179517190720103</v>
      </c>
    </row>
    <row r="189" customFormat="false" ht="15" hidden="false" customHeight="false" outlineLevel="0" collapsed="false">
      <c r="A189" s="50" t="n">
        <v>109</v>
      </c>
      <c r="B189" s="51" t="n">
        <f aca="false">1+IF($G$6=$E$6,$F$6,IF(P189&lt;($F$6-$E$6)/($G$6-$E$6),$E$6+SQRT(P189*($G$6-$E$6)*($F$6-$E$6)),$G$6-SQRT((1-P189)*($G$6-$E$6)*($G$6-$F$6))))</f>
        <v>1.01329522921482</v>
      </c>
      <c r="C189" s="51" t="n">
        <f aca="false">1+IF($G$7=$E$7,$F$7,IF(Q189&lt;($F$7-$E$7)/($G$7-$E$7),$E$7+SQRT(Q189*($G$7-$E$7)*($F$7-$E$7)),$G$7-SQRT((1-Q189)*($G$7-$E$7)*($G$7-$F$7))))</f>
        <v>0.951166831000461</v>
      </c>
      <c r="D189" s="51" t="n">
        <f aca="false">1+IF($G$8=$E$8,$F$8,IF(R189&lt;($F$8-$E$8)/($G$8-$E$8),$E$8+SQRT(R189*($G$8-$E$8)*($F$8-$E$8)),$G$8-SQRT((1-R189)*($G$8-$E$8)*($G$8-$F$8))))</f>
        <v>0.982081039979702</v>
      </c>
      <c r="E189" s="51" t="n">
        <f aca="false">1+IF($G$9=$E$9,$F$9,IF(S189&lt;($F$9-$E$9)/($G$9-$E$9),$E$9+SQRT(S189*($G$9-$E$9)*($F$9-$E$9)),$G$9-SQRT((1-S189)*($G$9-$E$9)*($G$9-$F$9))))</f>
        <v>1.04383602233687</v>
      </c>
      <c r="F189" s="51" t="n">
        <f aca="false">1+IF($G$10=$E$10,$F$10,IF(T189&lt;($F$10-$E$10)/($G$10-$E$10),$E$10+SQRT(T189*($G$10-$E$10)*($F$10-$E$10)),$G$10-SQRT((1-T189)*($G$10-$E$10)*($G$10-$F$10))))</f>
        <v>0.999072764802964</v>
      </c>
      <c r="G189" s="52" t="n">
        <f aca="false">IF($G$11=$E$11,$F$11,IF(U189&lt;($F$11-$E$11)/($G$11-$E$11),$E$11+SQRT(U189*($G$11-$E$11)*($F$11-$E$11)),$G$11-SQRT((1-U189)*($G$11-$E$11)*($G$11-$F$11))))</f>
        <v>0.107111093533195</v>
      </c>
      <c r="H189" s="53" t="n">
        <f aca="false">(('Business Case'!B11*$C189*'Business Case'!B12*$B189)-'Business Case'!B11*$C189*'Business Case'!B13*$D189-'Business Case'!B14*$E189)-MAX(0,(('Business Case'!B11*$C189*'Business Case'!B12*$B189)-'Business Case'!B11*$C189*'Business Case'!B13*$D189-'Business Case'!B14*$E189))*'Business Case'!$B$7-'Business Case'!$B$8*('Business Case'!B11*$C189*'Business Case'!B12*$B189)-'Business Case'!B15*$F189</f>
        <v>-1998145529.60593</v>
      </c>
      <c r="I189" s="53" t="n">
        <f aca="false">(('Business Case'!C11*$C189*'Business Case'!C12*$B189)-'Business Case'!C11*$C189*'Business Case'!C13*$D189-'Business Case'!C14*$E189)-MAX(0,(('Business Case'!C11*$C189*'Business Case'!C12*$B189)-'Business Case'!C11*$C189*'Business Case'!C13*$D189-'Business Case'!C14*$E189))*'Business Case'!$B$7-'Business Case'!$B$8*(('Business Case'!C11*$C189*'Business Case'!C12*$B189)-('Business Case'!B11*$C189*'Business Case'!B12*$B189))-'Business Case'!C15*$F189</f>
        <v>12931072.1648711</v>
      </c>
      <c r="J189" s="53" t="n">
        <f aca="false">(('Business Case'!D11*$C189*'Business Case'!D12*$B189)-'Business Case'!D11*$C189*'Business Case'!D13*$D189-'Business Case'!D14*$E189)-MAX(0,(('Business Case'!D11*$C189*'Business Case'!D12*$B189)-'Business Case'!D11*$C189*'Business Case'!D13*$D189-'Business Case'!D14*$E189))*'Business Case'!$B$7-'Business Case'!$B$8*(('Business Case'!D11*$C189*'Business Case'!D12*$B189)-('Business Case'!C11*$C189*'Business Case'!C12*$B189))-'Business Case'!D15*$F189</f>
        <v>324166959.362503</v>
      </c>
      <c r="K189" s="53" t="n">
        <f aca="false">(('Business Case'!E11*$C189*'Business Case'!E12*$B189)-'Business Case'!E11*$C189*'Business Case'!E13*$D189-'Business Case'!E14*$E189)-MAX(0,(('Business Case'!E11*$C189*'Business Case'!E12*$B189)-'Business Case'!E11*$C189*'Business Case'!E13*$D189-'Business Case'!E14*$E189))*'Business Case'!$B$7-'Business Case'!$B$8*(('Business Case'!E11*$C189*'Business Case'!E12*$B189)-('Business Case'!D11*$C189*'Business Case'!D12*$B189))-'Business Case'!E15*$F189</f>
        <v>685356484.800284</v>
      </c>
      <c r="L189" s="53" t="n">
        <f aca="false">(('Business Case'!F11*$C189*'Business Case'!F12*$B189)-'Business Case'!F11*$C189*'Business Case'!F13*$D189-'Business Case'!F14*$E189)-MAX(0,(('Business Case'!F11*$C189*'Business Case'!F12*$B189)-'Business Case'!F11*$C189*'Business Case'!F13*$D189-'Business Case'!F14*$E189))*'Business Case'!$B$7-'Business Case'!$B$8*(('Business Case'!F11*$C189*'Business Case'!F12*$B189)-('Business Case'!E11*$C189*'Business Case'!E12*$B189))-'Business Case'!F15*$F189</f>
        <v>822411151.316935</v>
      </c>
      <c r="M189" s="53" t="n">
        <f aca="false">(('Business Case'!G11*$C189*'Business Case'!G12*$B189)-'Business Case'!G11*$C189*'Business Case'!G13*$D189-'Business Case'!G14*$E189)-MAX(0,(('Business Case'!G11*$C189*'Business Case'!G12*$B189)-'Business Case'!G11*$C189*'Business Case'!G13*$D189-'Business Case'!G14*$E189))*'Business Case'!$B$7-'Business Case'!$B$8*(('Business Case'!G11*$C189*'Business Case'!G12*$B189)-('Business Case'!F11*$C189*'Business Case'!F12*$B189))-'Business Case'!G15*$F189+'Business Case'!$B$8*('Business Case'!G11*$C189*'Business Case'!G12*$B189)</f>
        <v>1005612690.62953</v>
      </c>
      <c r="N189" s="53" t="n">
        <f aca="false">IF(COUNT('Business Case'!B11:G11)=0,"",H189+NPV(G189,I189:M189))</f>
        <v>-64895924.6532645</v>
      </c>
      <c r="P189" s="54" t="n">
        <f aca="true">RAND()</f>
        <v>0.851428170273144</v>
      </c>
      <c r="Q189" s="54" t="n">
        <f aca="true">RAND()</f>
        <v>0.326448725638887</v>
      </c>
      <c r="R189" s="54" t="n">
        <f aca="true">RAND()</f>
        <v>0.158337404027575</v>
      </c>
      <c r="S189" s="54" t="n">
        <f aca="true">RAND()</f>
        <v>0.789707174203712</v>
      </c>
      <c r="T189" s="54" t="n">
        <f aca="true">RAND()</f>
        <v>0.19265089963256</v>
      </c>
      <c r="U189" s="54" t="n">
        <f aca="true">RAND()</f>
        <v>0.723126816816598</v>
      </c>
    </row>
    <row r="190" customFormat="false" ht="15" hidden="false" customHeight="false" outlineLevel="0" collapsed="false">
      <c r="A190" s="50" t="n">
        <v>110</v>
      </c>
      <c r="B190" s="51" t="n">
        <f aca="false">1+IF($G$6=$E$6,$F$6,IF(P190&lt;($F$6-$E$6)/($G$6-$E$6),$E$6+SQRT(P190*($G$6-$E$6)*($F$6-$E$6)),$G$6-SQRT((1-P190)*($G$6-$E$6)*($G$6-$F$6))))</f>
        <v>0.991657615273836</v>
      </c>
      <c r="C190" s="51" t="n">
        <f aca="false">1+IF($G$7=$E$7,$F$7,IF(Q190&lt;($F$7-$E$7)/($G$7-$E$7),$E$7+SQRT(Q190*($G$7-$E$7)*($F$7-$E$7)),$G$7-SQRT((1-Q190)*($G$7-$E$7)*($G$7-$F$7))))</f>
        <v>0.972084480777719</v>
      </c>
      <c r="D190" s="51" t="n">
        <f aca="false">1+IF($G$8=$E$8,$F$8,IF(R190&lt;($F$8-$E$8)/($G$8-$E$8),$E$8+SQRT(R190*($G$8-$E$8)*($F$8-$E$8)),$G$8-SQRT((1-R190)*($G$8-$E$8)*($G$8-$F$8))))</f>
        <v>1.03878868918225</v>
      </c>
      <c r="E190" s="51" t="n">
        <f aca="false">1+IF($G$9=$E$9,$F$9,IF(S190&lt;($F$9-$E$9)/($G$9-$E$9),$E$9+SQRT(S190*($G$9-$E$9)*($F$9-$E$9)),$G$9-SQRT((1-S190)*($G$9-$E$9)*($G$9-$F$9))))</f>
        <v>1.06492185203715</v>
      </c>
      <c r="F190" s="51" t="n">
        <f aca="false">1+IF($G$10=$E$10,$F$10,IF(T190&lt;($F$10-$E$10)/($G$10-$E$10),$E$10+SQRT(T190*($G$10-$E$10)*($F$10-$E$10)),$G$10-SQRT((1-T190)*($G$10-$E$10)*($G$10-$F$10))))</f>
        <v>1.07190817960818</v>
      </c>
      <c r="G190" s="52" t="n">
        <f aca="false">IF($G$11=$E$11,$F$11,IF(U190&lt;($F$11-$E$11)/($G$11-$E$11),$E$11+SQRT(U190*($G$11-$E$11)*($F$11-$E$11)),$G$11-SQRT((1-U190)*($G$11-$E$11)*($G$11-$F$11))))</f>
        <v>0.116047076161229</v>
      </c>
      <c r="H190" s="53" t="n">
        <f aca="false">(('Business Case'!B11*$C190*'Business Case'!B12*$B190)-'Business Case'!B11*$C190*'Business Case'!B13*$D190-'Business Case'!B14*$E190)-MAX(0,(('Business Case'!B11*$C190*'Business Case'!B12*$B190)-'Business Case'!B11*$C190*'Business Case'!B13*$D190-'Business Case'!B14*$E190))*'Business Case'!$B$7-'Business Case'!$B$8*('Business Case'!B11*$C190*'Business Case'!B12*$B190)-'Business Case'!B15*$F190</f>
        <v>-2143816359.21636</v>
      </c>
      <c r="I190" s="53" t="n">
        <f aca="false">(('Business Case'!C11*$C190*'Business Case'!C12*$B190)-'Business Case'!C11*$C190*'Business Case'!C13*$D190-'Business Case'!C14*$E190)-MAX(0,(('Business Case'!C11*$C190*'Business Case'!C12*$B190)-'Business Case'!C11*$C190*'Business Case'!C13*$D190-'Business Case'!C14*$E190))*'Business Case'!$B$7-'Business Case'!$B$8*(('Business Case'!C11*$C190*'Business Case'!C12*$B190)-('Business Case'!B11*$C190*'Business Case'!B12*$B190))-'Business Case'!C15*$F190</f>
        <v>-35962137.8735418</v>
      </c>
      <c r="J190" s="53" t="n">
        <f aca="false">(('Business Case'!D11*$C190*'Business Case'!D12*$B190)-'Business Case'!D11*$C190*'Business Case'!D13*$D190-'Business Case'!D14*$E190)-MAX(0,(('Business Case'!D11*$C190*'Business Case'!D12*$B190)-'Business Case'!D11*$C190*'Business Case'!D13*$D190-'Business Case'!D14*$E190))*'Business Case'!$B$7-'Business Case'!$B$8*(('Business Case'!D11*$C190*'Business Case'!D12*$B190)-('Business Case'!C11*$C190*'Business Case'!C12*$B190))-'Business Case'!D15*$F190</f>
        <v>236670892.435672</v>
      </c>
      <c r="K190" s="53" t="n">
        <f aca="false">(('Business Case'!E11*$C190*'Business Case'!E12*$B190)-'Business Case'!E11*$C190*'Business Case'!E13*$D190-'Business Case'!E14*$E190)-MAX(0,(('Business Case'!E11*$C190*'Business Case'!E12*$B190)-'Business Case'!E11*$C190*'Business Case'!E13*$D190-'Business Case'!E14*$E190))*'Business Case'!$B$7-'Business Case'!$B$8*(('Business Case'!E11*$C190*'Business Case'!E12*$B190)-('Business Case'!D11*$C190*'Business Case'!D12*$B190))-'Business Case'!E15*$F190</f>
        <v>562899331.725294</v>
      </c>
      <c r="L190" s="53" t="n">
        <f aca="false">(('Business Case'!F11*$C190*'Business Case'!F12*$B190)-'Business Case'!F11*$C190*'Business Case'!F13*$D190-'Business Case'!F14*$E190)-MAX(0,(('Business Case'!F11*$C190*'Business Case'!F12*$B190)-'Business Case'!F11*$C190*'Business Case'!F13*$D190-'Business Case'!F14*$E190))*'Business Case'!$B$7-'Business Case'!$B$8*(('Business Case'!F11*$C190*'Business Case'!F12*$B190)-('Business Case'!E11*$C190*'Business Case'!E12*$B190))-'Business Case'!F15*$F190</f>
        <v>687091983.736535</v>
      </c>
      <c r="M190" s="53" t="n">
        <f aca="false">(('Business Case'!G11*$C190*'Business Case'!G12*$B190)-'Business Case'!G11*$C190*'Business Case'!G13*$D190-'Business Case'!G14*$E190)-MAX(0,(('Business Case'!G11*$C190*'Business Case'!G12*$B190)-'Business Case'!G11*$C190*'Business Case'!G13*$D190-'Business Case'!G14*$E190))*'Business Case'!$B$7-'Business Case'!$B$8*(('Business Case'!G11*$C190*'Business Case'!G12*$B190)-('Business Case'!F11*$C190*'Business Case'!F12*$B190))-'Business Case'!G15*$F190+'Business Case'!$B$8*('Business Case'!G11*$C190*'Business Case'!G12*$B190)</f>
        <v>870324347.564799</v>
      </c>
      <c r="N190" s="53" t="n">
        <f aca="false">IF(COUNT('Business Case'!B11:G11)=0,"",H190+NPV(G190,I190:M190))</f>
        <v>-635562586.768588</v>
      </c>
      <c r="P190" s="54" t="n">
        <f aca="true">RAND()</f>
        <v>0.5348764402847</v>
      </c>
      <c r="Q190" s="54" t="n">
        <f aca="true">RAND()</f>
        <v>0.423043836064815</v>
      </c>
      <c r="R190" s="54" t="n">
        <f aca="true">RAND()</f>
        <v>0.836694986604088</v>
      </c>
      <c r="S190" s="54" t="n">
        <f aca="true">RAND()</f>
        <v>0.917968235699779</v>
      </c>
      <c r="T190" s="54" t="n">
        <f aca="true">RAND()</f>
        <v>0.671849710974195</v>
      </c>
      <c r="U190" s="54" t="n">
        <f aca="true">RAND()</f>
        <v>0.973957321874795</v>
      </c>
    </row>
    <row r="191" customFormat="false" ht="15" hidden="false" customHeight="false" outlineLevel="0" collapsed="false">
      <c r="A191" s="50" t="n">
        <v>111</v>
      </c>
      <c r="B191" s="51" t="n">
        <f aca="false">1+IF($G$6=$E$6,$F$6,IF(P191&lt;($F$6-$E$6)/($G$6-$E$6),$E$6+SQRT(P191*($G$6-$E$6)*($F$6-$E$6)),$G$6-SQRT((1-P191)*($G$6-$E$6)*($G$6-$F$6))))</f>
        <v>0.992494779587922</v>
      </c>
      <c r="C191" s="51" t="n">
        <f aca="false">1+IF($G$7=$E$7,$F$7,IF(Q191&lt;($F$7-$E$7)/($G$7-$E$7),$E$7+SQRT(Q191*($G$7-$E$7)*($F$7-$E$7)),$G$7-SQRT((1-Q191)*($G$7-$E$7)*($G$7-$F$7))))</f>
        <v>0.906346241853158</v>
      </c>
      <c r="D191" s="51" t="n">
        <f aca="false">1+IF($G$8=$E$8,$F$8,IF(R191&lt;($F$8-$E$8)/($G$8-$E$8),$E$8+SQRT(R191*($G$8-$E$8)*($F$8-$E$8)),$G$8-SQRT((1-R191)*($G$8-$E$8)*($G$8-$F$8))))</f>
        <v>1.03427266747069</v>
      </c>
      <c r="E191" s="51" t="n">
        <f aca="false">1+IF($G$9=$E$9,$F$9,IF(S191&lt;($F$9-$E$9)/($G$9-$E$9),$E$9+SQRT(S191*($G$9-$E$9)*($F$9-$E$9)),$G$9-SQRT((1-S191)*($G$9-$E$9)*($G$9-$F$9))))</f>
        <v>0.989546055856045</v>
      </c>
      <c r="F191" s="51" t="n">
        <f aca="false">1+IF($G$10=$E$10,$F$10,IF(T191&lt;($F$10-$E$10)/($G$10-$E$10),$E$10+SQRT(T191*($G$10-$E$10)*($F$10-$E$10)),$G$10-SQRT((1-T191)*($G$10-$E$10)*($G$10-$F$10))))</f>
        <v>1.05251630964646</v>
      </c>
      <c r="G191" s="52" t="n">
        <f aca="false">IF($G$11=$E$11,$F$11,IF(U191&lt;($F$11-$E$11)/($G$11-$E$11),$E$11+SQRT(U191*($G$11-$E$11)*($F$11-$E$11)),$G$11-SQRT((1-U191)*($G$11-$E$11)*($G$11-$F$11))))</f>
        <v>0.104588658804822</v>
      </c>
      <c r="H191" s="53" t="n">
        <f aca="false">(('Business Case'!B11*$C191*'Business Case'!B12*$B191)-'Business Case'!B11*$C191*'Business Case'!B13*$D191-'Business Case'!B14*$E191)-MAX(0,(('Business Case'!B11*$C191*'Business Case'!B12*$B191)-'Business Case'!B11*$C191*'Business Case'!B13*$D191-'Business Case'!B14*$E191))*'Business Case'!$B$7-'Business Case'!$B$8*('Business Case'!B11*$C191*'Business Case'!B12*$B191)-'Business Case'!B15*$F191</f>
        <v>-2105032619.29292</v>
      </c>
      <c r="I191" s="53" t="n">
        <f aca="false">(('Business Case'!C11*$C191*'Business Case'!C12*$B191)-'Business Case'!C11*$C191*'Business Case'!C13*$D191-'Business Case'!C14*$E191)-MAX(0,(('Business Case'!C11*$C191*'Business Case'!C12*$B191)-'Business Case'!C11*$C191*'Business Case'!C13*$D191-'Business Case'!C14*$E191))*'Business Case'!$B$7-'Business Case'!$B$8*(('Business Case'!C11*$C191*'Business Case'!C12*$B191)-('Business Case'!B11*$C191*'Business Case'!B12*$B191))-'Business Case'!C15*$F191</f>
        <v>-35684693.8531821</v>
      </c>
      <c r="J191" s="53" t="n">
        <f aca="false">(('Business Case'!D11*$C191*'Business Case'!D12*$B191)-'Business Case'!D11*$C191*'Business Case'!D13*$D191-'Business Case'!D14*$E191)-MAX(0,(('Business Case'!D11*$C191*'Business Case'!D12*$B191)-'Business Case'!D11*$C191*'Business Case'!D13*$D191-'Business Case'!D14*$E191))*'Business Case'!$B$7-'Business Case'!$B$8*(('Business Case'!D11*$C191*'Business Case'!D12*$B191)-('Business Case'!C11*$C191*'Business Case'!C12*$B191))-'Business Case'!D15*$F191</f>
        <v>221228048.878842</v>
      </c>
      <c r="K191" s="53" t="n">
        <f aca="false">(('Business Case'!E11*$C191*'Business Case'!E12*$B191)-'Business Case'!E11*$C191*'Business Case'!E13*$D191-'Business Case'!E14*$E191)-MAX(0,(('Business Case'!E11*$C191*'Business Case'!E12*$B191)-'Business Case'!E11*$C191*'Business Case'!E13*$D191-'Business Case'!E14*$E191))*'Business Case'!$B$7-'Business Case'!$B$8*(('Business Case'!E11*$C191*'Business Case'!E12*$B191)-('Business Case'!D11*$C191*'Business Case'!D12*$B191))-'Business Case'!E15*$F191</f>
        <v>530766607.093188</v>
      </c>
      <c r="L191" s="53" t="n">
        <f aca="false">(('Business Case'!F11*$C191*'Business Case'!F12*$B191)-'Business Case'!F11*$C191*'Business Case'!F13*$D191-'Business Case'!F14*$E191)-MAX(0,(('Business Case'!F11*$C191*'Business Case'!F12*$B191)-'Business Case'!F11*$C191*'Business Case'!F13*$D191-'Business Case'!F14*$E191))*'Business Case'!$B$7-'Business Case'!$B$8*(('Business Case'!F11*$C191*'Business Case'!F12*$B191)-('Business Case'!E11*$C191*'Business Case'!E12*$B191))-'Business Case'!F15*$F191</f>
        <v>647492425.655749</v>
      </c>
      <c r="M191" s="53" t="n">
        <f aca="false">(('Business Case'!G11*$C191*'Business Case'!G12*$B191)-'Business Case'!G11*$C191*'Business Case'!G13*$D191-'Business Case'!G14*$E191)-MAX(0,(('Business Case'!G11*$C191*'Business Case'!G12*$B191)-'Business Case'!G11*$C191*'Business Case'!G13*$D191-'Business Case'!G14*$E191))*'Business Case'!$B$7-'Business Case'!$B$8*(('Business Case'!G11*$C191*'Business Case'!G12*$B191)-('Business Case'!F11*$C191*'Business Case'!F12*$B191))-'Business Case'!G15*$F191+'Business Case'!$B$8*('Business Case'!G11*$C191*'Business Case'!G12*$B191)</f>
        <v>818477732.741127</v>
      </c>
      <c r="N191" s="53" t="n">
        <f aca="false">IF(COUNT('Business Case'!B11:G11)=0,"",H191+NPV(G191,I191:M191))</f>
        <v>-629512910.079386</v>
      </c>
      <c r="P191" s="54" t="n">
        <f aca="true">RAND()</f>
        <v>0.547447194531394</v>
      </c>
      <c r="Q191" s="54" t="n">
        <f aca="true">RAND()</f>
        <v>0.161564616518433</v>
      </c>
      <c r="R191" s="54" t="n">
        <f aca="true">RAND()</f>
        <v>0.798943371130151</v>
      </c>
      <c r="S191" s="54" t="n">
        <f aca="true">RAND()</f>
        <v>0.208518737835919</v>
      </c>
      <c r="T191" s="54" t="n">
        <f aca="true">RAND()</f>
        <v>0.564971221594023</v>
      </c>
      <c r="U191" s="54" t="n">
        <f aca="true">RAND()</f>
        <v>0.604150937609694</v>
      </c>
    </row>
    <row r="192" customFormat="false" ht="15" hidden="false" customHeight="false" outlineLevel="0" collapsed="false">
      <c r="A192" s="50" t="n">
        <v>112</v>
      </c>
      <c r="B192" s="51" t="n">
        <f aca="false">1+IF($G$6=$E$6,$F$6,IF(P192&lt;($F$6-$E$6)/($G$6-$E$6),$E$6+SQRT(P192*($G$6-$E$6)*($F$6-$E$6)),$G$6-SQRT((1-P192)*($G$6-$E$6)*($G$6-$F$6))))</f>
        <v>0.958224292337668</v>
      </c>
      <c r="C192" s="51" t="n">
        <f aca="false">1+IF($G$7=$E$7,$F$7,IF(Q192&lt;($F$7-$E$7)/($G$7-$E$7),$E$7+SQRT(Q192*($G$7-$E$7)*($F$7-$E$7)),$G$7-SQRT((1-Q192)*($G$7-$E$7)*($G$7-$F$7))))</f>
        <v>0.975305174634538</v>
      </c>
      <c r="D192" s="51" t="n">
        <f aca="false">1+IF($G$8=$E$8,$F$8,IF(R192&lt;($F$8-$E$8)/($G$8-$E$8),$E$8+SQRT(R192*($G$8-$E$8)*($F$8-$E$8)),$G$8-SQRT((1-R192)*($G$8-$E$8)*($G$8-$F$8))))</f>
        <v>1.0112210004736</v>
      </c>
      <c r="E192" s="51" t="n">
        <f aca="false">1+IF($G$9=$E$9,$F$9,IF(S192&lt;($F$9-$E$9)/($G$9-$E$9),$E$9+SQRT(S192*($G$9-$E$9)*($F$9-$E$9)),$G$9-SQRT((1-S192)*($G$9-$E$9)*($G$9-$F$9))))</f>
        <v>1.02638319363381</v>
      </c>
      <c r="F192" s="51" t="n">
        <f aca="false">1+IF($G$10=$E$10,$F$10,IF(T192&lt;($F$10-$E$10)/($G$10-$E$10),$E$10+SQRT(T192*($G$10-$E$10)*($F$10-$E$10)),$G$10-SQRT((1-T192)*($G$10-$E$10)*($G$10-$F$10))))</f>
        <v>1.03057013007487</v>
      </c>
      <c r="G192" s="52" t="n">
        <f aca="false">IF($G$11=$E$11,$F$11,IF(U192&lt;($F$11-$E$11)/($G$11-$E$11),$E$11+SQRT(U192*($G$11-$E$11)*($F$11-$E$11)),$G$11-SQRT((1-U192)*($G$11-$E$11)*($G$11-$F$11))))</f>
        <v>0.0935831340763799</v>
      </c>
      <c r="H192" s="53" t="n">
        <f aca="false">(('Business Case'!B11*$C192*'Business Case'!B12*$B192)-'Business Case'!B11*$C192*'Business Case'!B13*$D192-'Business Case'!B14*$E192)-MAX(0,(('Business Case'!B11*$C192*'Business Case'!B12*$B192)-'Business Case'!B11*$C192*'Business Case'!B13*$D192-'Business Case'!B14*$E192))*'Business Case'!$B$7-'Business Case'!$B$8*('Business Case'!B11*$C192*'Business Case'!B12*$B192)-'Business Case'!B15*$F192</f>
        <v>-2061140260.14973</v>
      </c>
      <c r="I192" s="53" t="n">
        <f aca="false">(('Business Case'!C11*$C192*'Business Case'!C12*$B192)-'Business Case'!C11*$C192*'Business Case'!C13*$D192-'Business Case'!C14*$E192)-MAX(0,(('Business Case'!C11*$C192*'Business Case'!C12*$B192)-'Business Case'!C11*$C192*'Business Case'!C13*$D192-'Business Case'!C14*$E192))*'Business Case'!$B$7-'Business Case'!$B$8*(('Business Case'!C11*$C192*'Business Case'!C12*$B192)-('Business Case'!B11*$C192*'Business Case'!B12*$B192))-'Business Case'!C15*$F192</f>
        <v>-36864139.1962995</v>
      </c>
      <c r="J192" s="53" t="n">
        <f aca="false">(('Business Case'!D11*$C192*'Business Case'!D12*$B192)-'Business Case'!D11*$C192*'Business Case'!D13*$D192-'Business Case'!D14*$E192)-MAX(0,(('Business Case'!D11*$C192*'Business Case'!D12*$B192)-'Business Case'!D11*$C192*'Business Case'!D13*$D192-'Business Case'!D14*$E192))*'Business Case'!$B$7-'Business Case'!$B$8*(('Business Case'!D11*$C192*'Business Case'!D12*$B192)-('Business Case'!C11*$C192*'Business Case'!C12*$B192))-'Business Case'!D15*$F192</f>
        <v>223728072.732318</v>
      </c>
      <c r="K192" s="53" t="n">
        <f aca="false">(('Business Case'!E11*$C192*'Business Case'!E12*$B192)-'Business Case'!E11*$C192*'Business Case'!E13*$D192-'Business Case'!E14*$E192)-MAX(0,(('Business Case'!E11*$C192*'Business Case'!E12*$B192)-'Business Case'!E11*$C192*'Business Case'!E13*$D192-'Business Case'!E14*$E192))*'Business Case'!$B$7-'Business Case'!$B$8*(('Business Case'!E11*$C192*'Business Case'!E12*$B192)-('Business Case'!D11*$C192*'Business Case'!D12*$B192))-'Business Case'!E15*$F192</f>
        <v>535848791.16468</v>
      </c>
      <c r="L192" s="53" t="n">
        <f aca="false">(('Business Case'!F11*$C192*'Business Case'!F12*$B192)-'Business Case'!F11*$C192*'Business Case'!F13*$D192-'Business Case'!F14*$E192)-MAX(0,(('Business Case'!F11*$C192*'Business Case'!F12*$B192)-'Business Case'!F11*$C192*'Business Case'!F13*$D192-'Business Case'!F14*$E192))*'Business Case'!$B$7-'Business Case'!$B$8*(('Business Case'!F11*$C192*'Business Case'!F12*$B192)-('Business Case'!E11*$C192*'Business Case'!E12*$B192))-'Business Case'!F15*$F192</f>
        <v>655011293.796021</v>
      </c>
      <c r="M192" s="53" t="n">
        <f aca="false">(('Business Case'!G11*$C192*'Business Case'!G12*$B192)-'Business Case'!G11*$C192*'Business Case'!G13*$D192-'Business Case'!G14*$E192)-MAX(0,(('Business Case'!G11*$C192*'Business Case'!G12*$B192)-'Business Case'!G11*$C192*'Business Case'!G13*$D192-'Business Case'!G14*$E192))*'Business Case'!$B$7-'Business Case'!$B$8*(('Business Case'!G11*$C192*'Business Case'!G12*$B192)-('Business Case'!F11*$C192*'Business Case'!F12*$B192))-'Business Case'!G15*$F192+'Business Case'!$B$8*('Business Case'!G11*$C192*'Business Case'!G12*$B192)</f>
        <v>832652669.732597</v>
      </c>
      <c r="N192" s="53" t="n">
        <f aca="false">IF(COUNT('Business Case'!B11:G11)=0,"",H192+NPV(G192,I192:M192))</f>
        <v>-507720467.581595</v>
      </c>
      <c r="P192" s="54" t="n">
        <f aca="true">RAND()</f>
        <v>0.152197554657861</v>
      </c>
      <c r="Q192" s="54" t="n">
        <f aca="true">RAND()</f>
        <v>0.439027203623511</v>
      </c>
      <c r="R192" s="54" t="n">
        <f aca="true">RAND()</f>
        <v>0.545139348475776</v>
      </c>
      <c r="S192" s="54" t="n">
        <f aca="true">RAND()</f>
        <v>0.638704388029538</v>
      </c>
      <c r="T192" s="54" t="n">
        <f aca="true">RAND()</f>
        <v>0.425870383543038</v>
      </c>
      <c r="U192" s="54" t="n">
        <f aca="true">RAND()</f>
        <v>0.042796166031049</v>
      </c>
    </row>
    <row r="193" customFormat="false" ht="15" hidden="false" customHeight="false" outlineLevel="0" collapsed="false">
      <c r="A193" s="50" t="n">
        <v>113</v>
      </c>
      <c r="B193" s="51" t="n">
        <f aca="false">1+IF($G$6=$E$6,$F$6,IF(P193&lt;($F$6-$E$6)/($G$6-$E$6),$E$6+SQRT(P193*($G$6-$E$6)*($F$6-$E$6)),$G$6-SQRT((1-P193)*($G$6-$E$6)*($G$6-$F$6))))</f>
        <v>0.975230655030984</v>
      </c>
      <c r="C193" s="51" t="n">
        <f aca="false">1+IF($G$7=$E$7,$F$7,IF(Q193&lt;($F$7-$E$7)/($G$7-$E$7),$E$7+SQRT(Q193*($G$7-$E$7)*($F$7-$E$7)),$G$7-SQRT((1-Q193)*($G$7-$E$7)*($G$7-$F$7))))</f>
        <v>1.06215332174003</v>
      </c>
      <c r="D193" s="51" t="n">
        <f aca="false">1+IF($G$8=$E$8,$F$8,IF(R193&lt;($F$8-$E$8)/($G$8-$E$8),$E$8+SQRT(R193*($G$8-$E$8)*($F$8-$E$8)),$G$8-SQRT((1-R193)*($G$8-$E$8)*($G$8-$F$8))))</f>
        <v>0.958094574751875</v>
      </c>
      <c r="E193" s="51" t="n">
        <f aca="false">1+IF($G$9=$E$9,$F$9,IF(S193&lt;($F$9-$E$9)/($G$9-$E$9),$E$9+SQRT(S193*($G$9-$E$9)*($F$9-$E$9)),$G$9-SQRT((1-S193)*($G$9-$E$9)*($G$9-$F$9))))</f>
        <v>1.02943786150019</v>
      </c>
      <c r="F193" s="51" t="n">
        <f aca="false">1+IF($G$10=$E$10,$F$10,IF(T193&lt;($F$10-$E$10)/($G$10-$E$10),$E$10+SQRT(T193*($G$10-$E$10)*($F$10-$E$10)),$G$10-SQRT((1-T193)*($G$10-$E$10)*($G$10-$F$10))))</f>
        <v>1.01583507741722</v>
      </c>
      <c r="G193" s="52" t="n">
        <f aca="false">IF($G$11=$E$11,$F$11,IF(U193&lt;($F$11-$E$11)/($G$11-$E$11),$E$11+SQRT(U193*($G$11-$E$11)*($F$11-$E$11)),$G$11-SQRT((1-U193)*($G$11-$E$11)*($G$11-$F$11))))</f>
        <v>0.101201243690239</v>
      </c>
      <c r="H193" s="53" t="n">
        <f aca="false">(('Business Case'!B11*$C193*'Business Case'!B12*$B193)-'Business Case'!B11*$C193*'Business Case'!B13*$D193-'Business Case'!B14*$E193)-MAX(0,(('Business Case'!B11*$C193*'Business Case'!B12*$B193)-'Business Case'!B11*$C193*'Business Case'!B13*$D193-'Business Case'!B14*$E193))*'Business Case'!$B$7-'Business Case'!$B$8*('Business Case'!B11*$C193*'Business Case'!B12*$B193)-'Business Case'!B15*$F193</f>
        <v>-2031670154.83445</v>
      </c>
      <c r="I193" s="53" t="n">
        <f aca="false">(('Business Case'!C11*$C193*'Business Case'!C12*$B193)-'Business Case'!C11*$C193*'Business Case'!C13*$D193-'Business Case'!C14*$E193)-MAX(0,(('Business Case'!C11*$C193*'Business Case'!C12*$B193)-'Business Case'!C11*$C193*'Business Case'!C13*$D193-'Business Case'!C14*$E193))*'Business Case'!$B$7-'Business Case'!$B$8*(('Business Case'!C11*$C193*'Business Case'!C12*$B193)-('Business Case'!B11*$C193*'Business Case'!B12*$B193))-'Business Case'!C15*$F193</f>
        <v>25811484.093646</v>
      </c>
      <c r="J193" s="53" t="n">
        <f aca="false">(('Business Case'!D11*$C193*'Business Case'!D12*$B193)-'Business Case'!D11*$C193*'Business Case'!D13*$D193-'Business Case'!D14*$E193)-MAX(0,(('Business Case'!D11*$C193*'Business Case'!D12*$B193)-'Business Case'!D11*$C193*'Business Case'!D13*$D193-'Business Case'!D14*$E193))*'Business Case'!$B$7-'Business Case'!$B$8*(('Business Case'!D11*$C193*'Business Case'!D12*$B193)-('Business Case'!C11*$C193*'Business Case'!C12*$B193))-'Business Case'!D15*$F193</f>
        <v>353290717.662189</v>
      </c>
      <c r="K193" s="53" t="n">
        <f aca="false">(('Business Case'!E11*$C193*'Business Case'!E12*$B193)-'Business Case'!E11*$C193*'Business Case'!E13*$D193-'Business Case'!E14*$E193)-MAX(0,(('Business Case'!E11*$C193*'Business Case'!E12*$B193)-'Business Case'!E11*$C193*'Business Case'!E13*$D193-'Business Case'!E14*$E193))*'Business Case'!$B$7-'Business Case'!$B$8*(('Business Case'!E11*$C193*'Business Case'!E12*$B193)-('Business Case'!D11*$C193*'Business Case'!D12*$B193))-'Business Case'!E15*$F193</f>
        <v>731561705.101595</v>
      </c>
      <c r="L193" s="53" t="n">
        <f aca="false">(('Business Case'!F11*$C193*'Business Case'!F12*$B193)-'Business Case'!F11*$C193*'Business Case'!F13*$D193-'Business Case'!F14*$E193)-MAX(0,(('Business Case'!F11*$C193*'Business Case'!F12*$B193)-'Business Case'!F11*$C193*'Business Case'!F13*$D193-'Business Case'!F14*$E193))*'Business Case'!$B$7-'Business Case'!$B$8*(('Business Case'!F11*$C193*'Business Case'!F12*$B193)-('Business Case'!E11*$C193*'Business Case'!E12*$B193))-'Business Case'!F15*$F193</f>
        <v>876520234.843008</v>
      </c>
      <c r="M193" s="53" t="n">
        <f aca="false">(('Business Case'!G11*$C193*'Business Case'!G12*$B193)-'Business Case'!G11*$C193*'Business Case'!G13*$D193-'Business Case'!G14*$E193)-MAX(0,(('Business Case'!G11*$C193*'Business Case'!G12*$B193)-'Business Case'!G11*$C193*'Business Case'!G13*$D193-'Business Case'!G14*$E193))*'Business Case'!$B$7-'Business Case'!$B$8*(('Business Case'!G11*$C193*'Business Case'!G12*$B193)-('Business Case'!F11*$C193*'Business Case'!F12*$B193))-'Business Case'!G15*$F193+'Business Case'!$B$8*('Business Case'!G11*$C193*'Business Case'!G12*$B193)</f>
        <v>1073413553.54512</v>
      </c>
      <c r="N193" s="53" t="n">
        <f aca="false">IF(COUNT('Business Case'!B11:G11)=0,"",H193+NPV(G193,I193:M193))</f>
        <v>89889911.9667897</v>
      </c>
      <c r="P193" s="54" t="n">
        <f aca="true">RAND()</f>
        <v>0.317752630744955</v>
      </c>
      <c r="Q193" s="54" t="n">
        <f aca="true">RAND()</f>
        <v>0.853008783213116</v>
      </c>
      <c r="R193" s="54" t="n">
        <f aca="true">RAND()</f>
        <v>0.010080329294414</v>
      </c>
      <c r="S193" s="54" t="n">
        <f aca="true">RAND()</f>
        <v>0.668065640688906</v>
      </c>
      <c r="T193" s="54" t="n">
        <f aca="true">RAND()</f>
        <v>0.321665625801603</v>
      </c>
      <c r="U193" s="54" t="n">
        <f aca="true">RAND()</f>
        <v>0.41101126867704</v>
      </c>
    </row>
    <row r="194" customFormat="false" ht="15" hidden="false" customHeight="false" outlineLevel="0" collapsed="false">
      <c r="A194" s="50" t="n">
        <v>114</v>
      </c>
      <c r="B194" s="51" t="n">
        <f aca="false">1+IF($G$6=$E$6,$F$6,IF(P194&lt;($F$6-$E$6)/($G$6-$E$6),$E$6+SQRT(P194*($G$6-$E$6)*($F$6-$E$6)),$G$6-SQRT((1-P194)*($G$6-$E$6)*($G$6-$F$6))))</f>
        <v>0.988178560147228</v>
      </c>
      <c r="C194" s="51" t="n">
        <f aca="false">1+IF($G$7=$E$7,$F$7,IF(Q194&lt;($F$7-$E$7)/($G$7-$E$7),$E$7+SQRT(Q194*($G$7-$E$7)*($F$7-$E$7)),$G$7-SQRT((1-Q194)*($G$7-$E$7)*($G$7-$F$7))))</f>
        <v>0.90106417997662</v>
      </c>
      <c r="D194" s="51" t="n">
        <f aca="false">1+IF($G$8=$E$8,$F$8,IF(R194&lt;($F$8-$E$8)/($G$8-$E$8),$E$8+SQRT(R194*($G$8-$E$8)*($F$8-$E$8)),$G$8-SQRT((1-R194)*($G$8-$E$8)*($G$8-$F$8))))</f>
        <v>1.043051516905</v>
      </c>
      <c r="E194" s="51" t="n">
        <f aca="false">1+IF($G$9=$E$9,$F$9,IF(S194&lt;($F$9-$E$9)/($G$9-$E$9),$E$9+SQRT(S194*($G$9-$E$9)*($F$9-$E$9)),$G$9-SQRT((1-S194)*($G$9-$E$9)*($G$9-$F$9))))</f>
        <v>1.04421293639493</v>
      </c>
      <c r="F194" s="51" t="n">
        <f aca="false">1+IF($G$10=$E$10,$F$10,IF(T194&lt;($F$10-$E$10)/($G$10-$E$10),$E$10+SQRT(T194*($G$10-$E$10)*($F$10-$E$10)),$G$10-SQRT((1-T194)*($G$10-$E$10)*($G$10-$F$10))))</f>
        <v>0.961673532194952</v>
      </c>
      <c r="G194" s="52" t="n">
        <f aca="false">IF($G$11=$E$11,$F$11,IF(U194&lt;($F$11-$E$11)/($G$11-$E$11),$E$11+SQRT(U194*($G$11-$E$11)*($F$11-$E$11)),$G$11-SQRT((1-U194)*($G$11-$E$11)*($G$11-$F$11))))</f>
        <v>0.116569249947117</v>
      </c>
      <c r="H194" s="53" t="n">
        <f aca="false">(('Business Case'!B11*$C194*'Business Case'!B12*$B194)-'Business Case'!B11*$C194*'Business Case'!B13*$D194-'Business Case'!B14*$E194)-MAX(0,(('Business Case'!B11*$C194*'Business Case'!B12*$B194)-'Business Case'!B11*$C194*'Business Case'!B13*$D194-'Business Case'!B14*$E194))*'Business Case'!$B$7-'Business Case'!$B$8*('Business Case'!B11*$C194*'Business Case'!B12*$B194)-'Business Case'!B15*$F194</f>
        <v>-1923347064.3899</v>
      </c>
      <c r="I194" s="53" t="n">
        <f aca="false">(('Business Case'!C11*$C194*'Business Case'!C12*$B194)-'Business Case'!C11*$C194*'Business Case'!C13*$D194-'Business Case'!C14*$E194)-MAX(0,(('Business Case'!C11*$C194*'Business Case'!C12*$B194)-'Business Case'!C11*$C194*'Business Case'!C13*$D194-'Business Case'!C14*$E194))*'Business Case'!$B$7-'Business Case'!$B$8*(('Business Case'!C11*$C194*'Business Case'!C12*$B194)-('Business Case'!B11*$C194*'Business Case'!B12*$B194))-'Business Case'!C15*$F194</f>
        <v>-42632887.6606449</v>
      </c>
      <c r="J194" s="53" t="n">
        <f aca="false">(('Business Case'!D11*$C194*'Business Case'!D12*$B194)-'Business Case'!D11*$C194*'Business Case'!D13*$D194-'Business Case'!D14*$E194)-MAX(0,(('Business Case'!D11*$C194*'Business Case'!D12*$B194)-'Business Case'!D11*$C194*'Business Case'!D13*$D194-'Business Case'!D14*$E194))*'Business Case'!$B$7-'Business Case'!$B$8*(('Business Case'!D11*$C194*'Business Case'!D12*$B194)-('Business Case'!C11*$C194*'Business Case'!C12*$B194))-'Business Case'!D15*$F194</f>
        <v>205547631.291345</v>
      </c>
      <c r="K194" s="53" t="n">
        <f aca="false">(('Business Case'!E11*$C194*'Business Case'!E12*$B194)-'Business Case'!E11*$C194*'Business Case'!E13*$D194-'Business Case'!E14*$E194)-MAX(0,(('Business Case'!E11*$C194*'Business Case'!E12*$B194)-'Business Case'!E11*$C194*'Business Case'!E13*$D194-'Business Case'!E14*$E194))*'Business Case'!$B$7-'Business Case'!$B$8*(('Business Case'!E11*$C194*'Business Case'!E12*$B194)-('Business Case'!D11*$C194*'Business Case'!D12*$B194))-'Business Case'!E15*$F194</f>
        <v>501811826.853084</v>
      </c>
      <c r="L194" s="53" t="n">
        <f aca="false">(('Business Case'!F11*$C194*'Business Case'!F12*$B194)-'Business Case'!F11*$C194*'Business Case'!F13*$D194-'Business Case'!F14*$E194)-MAX(0,(('Business Case'!F11*$C194*'Business Case'!F12*$B194)-'Business Case'!F11*$C194*'Business Case'!F13*$D194-'Business Case'!F14*$E194))*'Business Case'!$B$7-'Business Case'!$B$8*(('Business Case'!F11*$C194*'Business Case'!F12*$B194)-('Business Case'!E11*$C194*'Business Case'!E12*$B194))-'Business Case'!F15*$F194</f>
        <v>615311315.728934</v>
      </c>
      <c r="M194" s="53" t="n">
        <f aca="false">(('Business Case'!G11*$C194*'Business Case'!G12*$B194)-'Business Case'!G11*$C194*'Business Case'!G13*$D194-'Business Case'!G14*$E194)-MAX(0,(('Business Case'!G11*$C194*'Business Case'!G12*$B194)-'Business Case'!G11*$C194*'Business Case'!G13*$D194-'Business Case'!G14*$E194))*'Business Case'!$B$7-'Business Case'!$B$8*(('Business Case'!G11*$C194*'Business Case'!G12*$B194)-('Business Case'!F11*$C194*'Business Case'!F12*$B194))-'Business Case'!G15*$F194+'Business Case'!$B$8*('Business Case'!G11*$C194*'Business Case'!G12*$B194)</f>
        <v>784560886.467464</v>
      </c>
      <c r="N194" s="53" t="n">
        <f aca="false">IF(COUNT('Business Case'!B11:G11)=0,"",H194+NPV(G194,I194:M194))</f>
        <v>-588244985.472504</v>
      </c>
      <c r="P194" s="54" t="n">
        <f aca="true">RAND()</f>
        <v>0.484199589973866</v>
      </c>
      <c r="Q194" s="54" t="n">
        <f aca="true">RAND()</f>
        <v>0.145913835347808</v>
      </c>
      <c r="R194" s="54" t="n">
        <f aca="true">RAND()</f>
        <v>0.868731692017171</v>
      </c>
      <c r="S194" s="54" t="n">
        <f aca="true">RAND()</f>
        <v>0.792520235621596</v>
      </c>
      <c r="T194" s="54" t="n">
        <f aca="true">RAND()</f>
        <v>0.0109017083125271</v>
      </c>
      <c r="U194" s="54" t="n">
        <f aca="true">RAND()</f>
        <v>0.98038325679107</v>
      </c>
    </row>
    <row r="195" customFormat="false" ht="15" hidden="false" customHeight="false" outlineLevel="0" collapsed="false">
      <c r="A195" s="50" t="n">
        <v>115</v>
      </c>
      <c r="B195" s="51" t="n">
        <f aca="false">1+IF($G$6=$E$6,$F$6,IF(P195&lt;($F$6-$E$6)/($G$6-$E$6),$E$6+SQRT(P195*($G$6-$E$6)*($F$6-$E$6)),$G$6-SQRT((1-P195)*($G$6-$E$6)*($G$6-$F$6))))</f>
        <v>1.01197457353629</v>
      </c>
      <c r="C195" s="51" t="n">
        <f aca="false">1+IF($G$7=$E$7,$F$7,IF(Q195&lt;($F$7-$E$7)/($G$7-$E$7),$E$7+SQRT(Q195*($G$7-$E$7)*($F$7-$E$7)),$G$7-SQRT((1-Q195)*($G$7-$E$7)*($G$7-$F$7))))</f>
        <v>0.991251604196946</v>
      </c>
      <c r="D195" s="51" t="n">
        <f aca="false">1+IF($G$8=$E$8,$F$8,IF(R195&lt;($F$8-$E$8)/($G$8-$E$8),$E$8+SQRT(R195*($G$8-$E$8)*($F$8-$E$8)),$G$8-SQRT((1-R195)*($G$8-$E$8)*($G$8-$F$8))))</f>
        <v>1.03487757306637</v>
      </c>
      <c r="E195" s="51" t="n">
        <f aca="false">1+IF($G$9=$E$9,$F$9,IF(S195&lt;($F$9-$E$9)/($G$9-$E$9),$E$9+SQRT(S195*($G$9-$E$9)*($F$9-$E$9)),$G$9-SQRT((1-S195)*($G$9-$E$9)*($G$9-$F$9))))</f>
        <v>1.07935822368427</v>
      </c>
      <c r="F195" s="51" t="n">
        <f aca="false">1+IF($G$10=$E$10,$F$10,IF(T195&lt;($F$10-$E$10)/($G$10-$E$10),$E$10+SQRT(T195*($G$10-$E$10)*($F$10-$E$10)),$G$10-SQRT((1-T195)*($G$10-$E$10)*($G$10-$F$10))))</f>
        <v>1.13710501230244</v>
      </c>
      <c r="G195" s="52" t="n">
        <f aca="false">IF($G$11=$E$11,$F$11,IF(U195&lt;($F$11-$E$11)/($G$11-$E$11),$E$11+SQRT(U195*($G$11-$E$11)*($F$11-$E$11)),$G$11-SQRT((1-U195)*($G$11-$E$11)*($G$11-$F$11))))</f>
        <v>0.0995312440935821</v>
      </c>
      <c r="H195" s="53" t="n">
        <f aca="false">(('Business Case'!B11*$C195*'Business Case'!B12*$B195)-'Business Case'!B11*$C195*'Business Case'!B13*$D195-'Business Case'!B14*$E195)-MAX(0,(('Business Case'!B11*$C195*'Business Case'!B12*$B195)-'Business Case'!B11*$C195*'Business Case'!B13*$D195-'Business Case'!B14*$E195))*'Business Case'!$B$7-'Business Case'!$B$8*('Business Case'!B11*$C195*'Business Case'!B12*$B195)-'Business Case'!B15*$F195</f>
        <v>-2274210024.60488</v>
      </c>
      <c r="I195" s="53" t="n">
        <f aca="false">(('Business Case'!C11*$C195*'Business Case'!C12*$B195)-'Business Case'!C11*$C195*'Business Case'!C13*$D195-'Business Case'!C14*$E195)-MAX(0,(('Business Case'!C11*$C195*'Business Case'!C12*$B195)-'Business Case'!C11*$C195*'Business Case'!C13*$D195-'Business Case'!C14*$E195))*'Business Case'!$B$7-'Business Case'!$B$8*(('Business Case'!C11*$C195*'Business Case'!C12*$B195)-('Business Case'!B11*$C195*'Business Case'!B12*$B195))-'Business Case'!C15*$F195</f>
        <v>-22708237.7241292</v>
      </c>
      <c r="J195" s="53" t="n">
        <f aca="false">(('Business Case'!D11*$C195*'Business Case'!D12*$B195)-'Business Case'!D11*$C195*'Business Case'!D13*$D195-'Business Case'!D14*$E195)-MAX(0,(('Business Case'!D11*$C195*'Business Case'!D12*$B195)-'Business Case'!D11*$C195*'Business Case'!D13*$D195-'Business Case'!D14*$E195))*'Business Case'!$B$7-'Business Case'!$B$8*(('Business Case'!D11*$C195*'Business Case'!D12*$B195)-('Business Case'!C11*$C195*'Business Case'!C12*$B195))-'Business Case'!D15*$F195</f>
        <v>273780579.572848</v>
      </c>
      <c r="K195" s="53" t="n">
        <f aca="false">(('Business Case'!E11*$C195*'Business Case'!E12*$B195)-'Business Case'!E11*$C195*'Business Case'!E13*$D195-'Business Case'!E14*$E195)-MAX(0,(('Business Case'!E11*$C195*'Business Case'!E12*$B195)-'Business Case'!E11*$C195*'Business Case'!E13*$D195-'Business Case'!E14*$E195))*'Business Case'!$B$7-'Business Case'!$B$8*(('Business Case'!E11*$C195*'Business Case'!E12*$B195)-('Business Case'!D11*$C195*'Business Case'!D12*$B195))-'Business Case'!E15*$F195</f>
        <v>627124647.484947</v>
      </c>
      <c r="L195" s="53" t="n">
        <f aca="false">(('Business Case'!F11*$C195*'Business Case'!F12*$B195)-'Business Case'!F11*$C195*'Business Case'!F13*$D195-'Business Case'!F14*$E195)-MAX(0,(('Business Case'!F11*$C195*'Business Case'!F12*$B195)-'Business Case'!F11*$C195*'Business Case'!F13*$D195-'Business Case'!F14*$E195))*'Business Case'!$B$7-'Business Case'!$B$8*(('Business Case'!F11*$C195*'Business Case'!F12*$B195)-('Business Case'!E11*$C195*'Business Case'!E12*$B195))-'Business Case'!F15*$F195</f>
        <v>760622129.505913</v>
      </c>
      <c r="M195" s="53" t="n">
        <f aca="false">(('Business Case'!G11*$C195*'Business Case'!G12*$B195)-'Business Case'!G11*$C195*'Business Case'!G13*$D195-'Business Case'!G14*$E195)-MAX(0,(('Business Case'!G11*$C195*'Business Case'!G12*$B195)-'Business Case'!G11*$C195*'Business Case'!G13*$D195-'Business Case'!G14*$E195))*'Business Case'!$B$7-'Business Case'!$B$8*(('Business Case'!G11*$C195*'Business Case'!G12*$B195)-('Business Case'!F11*$C195*'Business Case'!F12*$B195))-'Business Case'!G15*$F195+'Business Case'!$B$8*('Business Case'!G11*$C195*'Business Case'!G12*$B195)</f>
        <v>951295448.910097</v>
      </c>
      <c r="N195" s="53" t="n">
        <f aca="false">IF(COUNT('Business Case'!B11:G11)=0,"",H195+NPV(G195,I195:M195))</f>
        <v>-484292427.531909</v>
      </c>
      <c r="P195" s="54" t="n">
        <f aca="true">RAND()</f>
        <v>0.836369889901516</v>
      </c>
      <c r="Q195" s="54" t="n">
        <f aca="true">RAND()</f>
        <v>0.52253108725579</v>
      </c>
      <c r="R195" s="54" t="n">
        <f aca="true">RAND()</f>
        <v>0.804227556501872</v>
      </c>
      <c r="S195" s="54" t="n">
        <f aca="true">RAND()</f>
        <v>0.971594471368754</v>
      </c>
      <c r="T195" s="54" t="n">
        <f aca="true">RAND()</f>
        <v>0.92088441045048</v>
      </c>
      <c r="U195" s="54" t="n">
        <f aca="true">RAND()</f>
        <v>0.302815379904814</v>
      </c>
    </row>
    <row r="196" customFormat="false" ht="15" hidden="false" customHeight="false" outlineLevel="0" collapsed="false">
      <c r="A196" s="50" t="n">
        <v>116</v>
      </c>
      <c r="B196" s="51" t="n">
        <f aca="false">1+IF($G$6=$E$6,$F$6,IF(P196&lt;($F$6-$E$6)/($G$6-$E$6),$E$6+SQRT(P196*($G$6-$E$6)*($F$6-$E$6)),$G$6-SQRT((1-P196)*($G$6-$E$6)*($G$6-$F$6))))</f>
        <v>1.03257691408875</v>
      </c>
      <c r="C196" s="51" t="n">
        <f aca="false">1+IF($G$7=$E$7,$F$7,IF(Q196&lt;($F$7-$E$7)/($G$7-$E$7),$E$7+SQRT(Q196*($G$7-$E$7)*($F$7-$E$7)),$G$7-SQRT((1-Q196)*($G$7-$E$7)*($G$7-$F$7))))</f>
        <v>1.11303893771956</v>
      </c>
      <c r="D196" s="51" t="n">
        <f aca="false">1+IF($G$8=$E$8,$F$8,IF(R196&lt;($F$8-$E$8)/($G$8-$E$8),$E$8+SQRT(R196*($G$8-$E$8)*($F$8-$E$8)),$G$8-SQRT((1-R196)*($G$8-$E$8)*($G$8-$F$8))))</f>
        <v>1.00851743348261</v>
      </c>
      <c r="E196" s="51" t="n">
        <f aca="false">1+IF($G$9=$E$9,$F$9,IF(S196&lt;($F$9-$E$9)/($G$9-$E$9),$E$9+SQRT(S196*($G$9-$E$9)*($F$9-$E$9)),$G$9-SQRT((1-S196)*($G$9-$E$9)*($G$9-$F$9))))</f>
        <v>1.05016478696158</v>
      </c>
      <c r="F196" s="51" t="n">
        <f aca="false">1+IF($G$10=$E$10,$F$10,IF(T196&lt;($F$10-$E$10)/($G$10-$E$10),$E$10+SQRT(T196*($G$10-$E$10)*($F$10-$E$10)),$G$10-SQRT((1-T196)*($G$10-$E$10)*($G$10-$F$10))))</f>
        <v>1.15088420670029</v>
      </c>
      <c r="G196" s="52" t="n">
        <f aca="false">IF($G$11=$E$11,$F$11,IF(U196&lt;($F$11-$E$11)/($G$11-$E$11),$E$11+SQRT(U196*($G$11-$E$11)*($F$11-$E$11)),$G$11-SQRT((1-U196)*($G$11-$E$11)*($G$11-$F$11))))</f>
        <v>0.104230746848332</v>
      </c>
      <c r="H196" s="53" t="n">
        <f aca="false">(('Business Case'!B11*$C196*'Business Case'!B12*$B196)-'Business Case'!B11*$C196*'Business Case'!B13*$D196-'Business Case'!B14*$E196)-MAX(0,(('Business Case'!B11*$C196*'Business Case'!B12*$B196)-'Business Case'!B11*$C196*'Business Case'!B13*$D196-'Business Case'!B14*$E196))*'Business Case'!$B$7-'Business Case'!$B$8*('Business Case'!B11*$C196*'Business Case'!B12*$B196)-'Business Case'!B15*$F196</f>
        <v>-2301768413.40059</v>
      </c>
      <c r="I196" s="53" t="n">
        <f aca="false">(('Business Case'!C11*$C196*'Business Case'!C12*$B196)-'Business Case'!C11*$C196*'Business Case'!C13*$D196-'Business Case'!C14*$E196)-MAX(0,(('Business Case'!C11*$C196*'Business Case'!C12*$B196)-'Business Case'!C11*$C196*'Business Case'!C13*$D196-'Business Case'!C14*$E196))*'Business Case'!$B$7-'Business Case'!$B$8*(('Business Case'!C11*$C196*'Business Case'!C12*$B196)-('Business Case'!B11*$C196*'Business Case'!B12*$B196))-'Business Case'!C15*$F196</f>
        <v>42716573.8495706</v>
      </c>
      <c r="J196" s="53" t="n">
        <f aca="false">(('Business Case'!D11*$C196*'Business Case'!D12*$B196)-'Business Case'!D11*$C196*'Business Case'!D13*$D196-'Business Case'!D14*$E196)-MAX(0,(('Business Case'!D11*$C196*'Business Case'!D12*$B196)-'Business Case'!D11*$C196*'Business Case'!D13*$D196-'Business Case'!D14*$E196))*'Business Case'!$B$7-'Business Case'!$B$8*(('Business Case'!D11*$C196*'Business Case'!D12*$B196)-('Business Case'!C11*$C196*'Business Case'!C12*$B196))-'Business Case'!D15*$F196</f>
        <v>409434625.546953</v>
      </c>
      <c r="K196" s="53" t="n">
        <f aca="false">(('Business Case'!E11*$C196*'Business Case'!E12*$B196)-'Business Case'!E11*$C196*'Business Case'!E13*$D196-'Business Case'!E14*$E196)-MAX(0,(('Business Case'!E11*$C196*'Business Case'!E12*$B196)-'Business Case'!E11*$C196*'Business Case'!E13*$D196-'Business Case'!E14*$E196))*'Business Case'!$B$7-'Business Case'!$B$8*(('Business Case'!E11*$C196*'Business Case'!E12*$B196)-('Business Case'!D11*$C196*'Business Case'!D12*$B196))-'Business Case'!E15*$F196</f>
        <v>833696887.579349</v>
      </c>
      <c r="L196" s="53" t="n">
        <f aca="false">(('Business Case'!F11*$C196*'Business Case'!F12*$B196)-'Business Case'!F11*$C196*'Business Case'!F13*$D196-'Business Case'!F14*$E196)-MAX(0,(('Business Case'!F11*$C196*'Business Case'!F12*$B196)-'Business Case'!F11*$C196*'Business Case'!F13*$D196-'Business Case'!F14*$E196))*'Business Case'!$B$7-'Business Case'!$B$8*(('Business Case'!F11*$C196*'Business Case'!F12*$B196)-('Business Case'!E11*$C196*'Business Case'!E12*$B196))-'Business Case'!F15*$F196</f>
        <v>995655987.79304</v>
      </c>
      <c r="M196" s="53" t="n">
        <f aca="false">(('Business Case'!G11*$C196*'Business Case'!G12*$B196)-'Business Case'!G11*$C196*'Business Case'!G13*$D196-'Business Case'!G14*$E196)-MAX(0,(('Business Case'!G11*$C196*'Business Case'!G12*$B196)-'Business Case'!G11*$C196*'Business Case'!G13*$D196-'Business Case'!G14*$E196))*'Business Case'!$B$7-'Business Case'!$B$8*(('Business Case'!G11*$C196*'Business Case'!G12*$B196)-('Business Case'!F11*$C196*'Business Case'!F12*$B196))-'Business Case'!G15*$F196+'Business Case'!$B$8*('Business Case'!G11*$C196*'Business Case'!G12*$B196)</f>
        <v>1214114610.85647</v>
      </c>
      <c r="N196" s="53" t="n">
        <f aca="false">IF(COUNT('Business Case'!B11:G11)=0,"",H196+NPV(G196,I196:M196))</f>
        <v>101122682.993025</v>
      </c>
      <c r="P196" s="54" t="n">
        <f aca="true">RAND()</f>
        <v>0.988520374073783</v>
      </c>
      <c r="Q196" s="54" t="n">
        <f aca="true">RAND()</f>
        <v>0.973978664287646</v>
      </c>
      <c r="R196" s="54" t="n">
        <f aca="true">RAND()</f>
        <v>0.508677181162218</v>
      </c>
      <c r="S196" s="54" t="n">
        <f aca="true">RAND()</f>
        <v>0.834430102761043</v>
      </c>
      <c r="T196" s="54" t="n">
        <f aca="true">RAND()</f>
        <v>0.951752776970808</v>
      </c>
      <c r="U196" s="54" t="n">
        <f aca="true">RAND()</f>
        <v>0.585551091731026</v>
      </c>
    </row>
    <row r="197" customFormat="false" ht="15" hidden="false" customHeight="false" outlineLevel="0" collapsed="false">
      <c r="A197" s="50" t="n">
        <v>117</v>
      </c>
      <c r="B197" s="51" t="n">
        <f aca="false">1+IF($G$6=$E$6,$F$6,IF(P197&lt;($F$6-$E$6)/($G$6-$E$6),$E$6+SQRT(P197*($G$6-$E$6)*($F$6-$E$6)),$G$6-SQRT((1-P197)*($G$6-$E$6)*($G$6-$F$6))))</f>
        <v>0.988548301475197</v>
      </c>
      <c r="C197" s="51" t="n">
        <f aca="false">1+IF($G$7=$E$7,$F$7,IF(Q197&lt;($F$7-$E$7)/($G$7-$E$7),$E$7+SQRT(Q197*($G$7-$E$7)*($F$7-$E$7)),$G$7-SQRT((1-Q197)*($G$7-$E$7)*($G$7-$F$7))))</f>
        <v>0.926688423510523</v>
      </c>
      <c r="D197" s="51" t="n">
        <f aca="false">1+IF($G$8=$E$8,$F$8,IF(R197&lt;($F$8-$E$8)/($G$8-$E$8),$E$8+SQRT(R197*($G$8-$E$8)*($F$8-$E$8)),$G$8-SQRT((1-R197)*($G$8-$E$8)*($G$8-$F$8))))</f>
        <v>1.06604872376298</v>
      </c>
      <c r="E197" s="51" t="n">
        <f aca="false">1+IF($G$9=$E$9,$F$9,IF(S197&lt;($F$9-$E$9)/($G$9-$E$9),$E$9+SQRT(S197*($G$9-$E$9)*($F$9-$E$9)),$G$9-SQRT((1-S197)*($G$9-$E$9)*($G$9-$F$9))))</f>
        <v>1.03448188104539</v>
      </c>
      <c r="F197" s="51" t="n">
        <f aca="false">1+IF($G$10=$E$10,$F$10,IF(T197&lt;($F$10-$E$10)/($G$10-$E$10),$E$10+SQRT(T197*($G$10-$E$10)*($F$10-$E$10)),$G$10-SQRT((1-T197)*($G$10-$E$10)*($G$10-$F$10))))</f>
        <v>1.05566289210623</v>
      </c>
      <c r="G197" s="52" t="n">
        <f aca="false">IF($G$11=$E$11,$F$11,IF(U197&lt;($F$11-$E$11)/($G$11-$E$11),$E$11+SQRT(U197*($G$11-$E$11)*($F$11-$E$11)),$G$11-SQRT((1-U197)*($G$11-$E$11)*($G$11-$F$11))))</f>
        <v>0.106764024278975</v>
      </c>
      <c r="H197" s="53" t="n">
        <f aca="false">(('Business Case'!B11*$C197*'Business Case'!B12*$B197)-'Business Case'!B11*$C197*'Business Case'!B13*$D197-'Business Case'!B14*$E197)-MAX(0,(('Business Case'!B11*$C197*'Business Case'!B12*$B197)-'Business Case'!B11*$C197*'Business Case'!B13*$D197-'Business Case'!B14*$E197))*'Business Case'!$B$7-'Business Case'!$B$8*('Business Case'!B11*$C197*'Business Case'!B12*$B197)-'Business Case'!B15*$F197</f>
        <v>-2111325784.21247</v>
      </c>
      <c r="I197" s="53" t="n">
        <f aca="false">(('Business Case'!C11*$C197*'Business Case'!C12*$B197)-'Business Case'!C11*$C197*'Business Case'!C13*$D197-'Business Case'!C14*$E197)-MAX(0,(('Business Case'!C11*$C197*'Business Case'!C12*$B197)-'Business Case'!C11*$C197*'Business Case'!C13*$D197-'Business Case'!C14*$E197))*'Business Case'!$B$7-'Business Case'!$B$8*(('Business Case'!C11*$C197*'Business Case'!C12*$B197)-('Business Case'!B11*$C197*'Business Case'!B12*$B197))-'Business Case'!C15*$F197</f>
        <v>-55549800.3060647</v>
      </c>
      <c r="J197" s="53" t="n">
        <f aca="false">(('Business Case'!D11*$C197*'Business Case'!D12*$B197)-'Business Case'!D11*$C197*'Business Case'!D13*$D197-'Business Case'!D14*$E197)-MAX(0,(('Business Case'!D11*$C197*'Business Case'!D12*$B197)-'Business Case'!D11*$C197*'Business Case'!D13*$D197-'Business Case'!D14*$E197))*'Business Case'!$B$7-'Business Case'!$B$8*(('Business Case'!D11*$C197*'Business Case'!D12*$B197)-('Business Case'!C11*$C197*'Business Case'!C12*$B197))-'Business Case'!D15*$F197</f>
        <v>189059405.767438</v>
      </c>
      <c r="K197" s="53" t="n">
        <f aca="false">(('Business Case'!E11*$C197*'Business Case'!E12*$B197)-'Business Case'!E11*$C197*'Business Case'!E13*$D197-'Business Case'!E14*$E197)-MAX(0,(('Business Case'!E11*$C197*'Business Case'!E12*$B197)-'Business Case'!E11*$C197*'Business Case'!E13*$D197-'Business Case'!E14*$E197))*'Business Case'!$B$7-'Business Case'!$B$8*(('Business Case'!E11*$C197*'Business Case'!E12*$B197)-('Business Case'!D11*$C197*'Business Case'!D12*$B197))-'Business Case'!E15*$F197</f>
        <v>486451756.446252</v>
      </c>
      <c r="L197" s="53" t="n">
        <f aca="false">(('Business Case'!F11*$C197*'Business Case'!F12*$B197)-'Business Case'!F11*$C197*'Business Case'!F13*$D197-'Business Case'!F14*$E197)-MAX(0,(('Business Case'!F11*$C197*'Business Case'!F12*$B197)-'Business Case'!F11*$C197*'Business Case'!F13*$D197-'Business Case'!F14*$E197))*'Business Case'!$B$7-'Business Case'!$B$8*(('Business Case'!F11*$C197*'Business Case'!F12*$B197)-('Business Case'!E11*$C197*'Business Case'!E12*$B197))-'Business Case'!F15*$F197</f>
        <v>599647754.260279</v>
      </c>
      <c r="M197" s="53" t="n">
        <f aca="false">(('Business Case'!G11*$C197*'Business Case'!G12*$B197)-'Business Case'!G11*$C197*'Business Case'!G13*$D197-'Business Case'!G14*$E197)-MAX(0,(('Business Case'!G11*$C197*'Business Case'!G12*$B197)-'Business Case'!G11*$C197*'Business Case'!G13*$D197-'Business Case'!G14*$E197))*'Business Case'!$B$7-'Business Case'!$B$8*(('Business Case'!G11*$C197*'Business Case'!G12*$B197)-('Business Case'!F11*$C197*'Business Case'!F12*$B197))-'Business Case'!G15*$F197+'Business Case'!$B$8*('Business Case'!G11*$C197*'Business Case'!G12*$B197)</f>
        <v>773775531.102675</v>
      </c>
      <c r="N197" s="53" t="n">
        <f aca="false">IF(COUNT('Business Case'!B11:G11)=0,"",H197+NPV(G197,I197:M197))</f>
        <v>-782758039.582707</v>
      </c>
      <c r="P197" s="54" t="n">
        <f aca="true">RAND()</f>
        <v>0.489465586993176</v>
      </c>
      <c r="Q197" s="54" t="n">
        <f aca="true">RAND()</f>
        <v>0.229285095022596</v>
      </c>
      <c r="R197" s="54" t="n">
        <f aca="true">RAND()</f>
        <v>0.981284797245983</v>
      </c>
      <c r="S197" s="54" t="n">
        <f aca="true">RAND()</f>
        <v>0.713825072576623</v>
      </c>
      <c r="T197" s="54" t="n">
        <f aca="true">RAND()</f>
        <v>0.583335985697271</v>
      </c>
      <c r="U197" s="54" t="n">
        <f aca="true">RAND()</f>
        <v>0.708014911187389</v>
      </c>
    </row>
    <row r="198" customFormat="false" ht="15" hidden="false" customHeight="false" outlineLevel="0" collapsed="false">
      <c r="A198" s="50" t="n">
        <v>118</v>
      </c>
      <c r="B198" s="51" t="n">
        <f aca="false">1+IF($G$6=$E$6,$F$6,IF(P198&lt;($F$6-$E$6)/($G$6-$E$6),$E$6+SQRT(P198*($G$6-$E$6)*($F$6-$E$6)),$G$6-SQRT((1-P198)*($G$6-$E$6)*($G$6-$F$6))))</f>
        <v>0.967392392689956</v>
      </c>
      <c r="C198" s="51" t="n">
        <f aca="false">1+IF($G$7=$E$7,$F$7,IF(Q198&lt;($F$7-$E$7)/($G$7-$E$7),$E$7+SQRT(Q198*($G$7-$E$7)*($F$7-$E$7)),$G$7-SQRT((1-Q198)*($G$7-$E$7)*($G$7-$F$7))))</f>
        <v>0.984852273517117</v>
      </c>
      <c r="D198" s="51" t="n">
        <f aca="false">1+IF($G$8=$E$8,$F$8,IF(R198&lt;($F$8-$E$8)/($G$8-$E$8),$E$8+SQRT(R198*($G$8-$E$8)*($F$8-$E$8)),$G$8-SQRT((1-R198)*($G$8-$E$8)*($G$8-$F$8))))</f>
        <v>0.962562312198838</v>
      </c>
      <c r="E198" s="51" t="n">
        <f aca="false">1+IF($G$9=$E$9,$F$9,IF(S198&lt;($F$9-$E$9)/($G$9-$E$9),$E$9+SQRT(S198*($G$9-$E$9)*($F$9-$E$9)),$G$9-SQRT((1-S198)*($G$9-$E$9)*($G$9-$F$9))))</f>
        <v>1.02014670004943</v>
      </c>
      <c r="F198" s="51" t="n">
        <f aca="false">1+IF($G$10=$E$10,$F$10,IF(T198&lt;($F$10-$E$10)/($G$10-$E$10),$E$10+SQRT(T198*($G$10-$E$10)*($F$10-$E$10)),$G$10-SQRT((1-T198)*($G$10-$E$10)*($G$10-$F$10))))</f>
        <v>1.01639214315262</v>
      </c>
      <c r="G198" s="52" t="n">
        <f aca="false">IF($G$11=$E$11,$F$11,IF(U198&lt;($F$11-$E$11)/($G$11-$E$11),$E$11+SQRT(U198*($G$11-$E$11)*($F$11-$E$11)),$G$11-SQRT((1-U198)*($G$11-$E$11)*($G$11-$F$11))))</f>
        <v>0.0912082881967478</v>
      </c>
      <c r="H198" s="53" t="n">
        <f aca="false">(('Business Case'!B11*$C198*'Business Case'!B12*$B198)-'Business Case'!B11*$C198*'Business Case'!B13*$D198-'Business Case'!B14*$E198)-MAX(0,(('Business Case'!B11*$C198*'Business Case'!B12*$B198)-'Business Case'!B11*$C198*'Business Case'!B13*$D198-'Business Case'!B14*$E198))*'Business Case'!$B$7-'Business Case'!$B$8*('Business Case'!B11*$C198*'Business Case'!B12*$B198)-'Business Case'!B15*$F198</f>
        <v>-2032784286.30524</v>
      </c>
      <c r="I198" s="53" t="n">
        <f aca="false">(('Business Case'!C11*$C198*'Business Case'!C12*$B198)-'Business Case'!C11*$C198*'Business Case'!C13*$D198-'Business Case'!C14*$E198)-MAX(0,(('Business Case'!C11*$C198*'Business Case'!C12*$B198)-'Business Case'!C11*$C198*'Business Case'!C13*$D198-'Business Case'!C14*$E198))*'Business Case'!$B$7-'Business Case'!$B$8*(('Business Case'!C11*$C198*'Business Case'!C12*$B198)-('Business Case'!B11*$C198*'Business Case'!B12*$B198))-'Business Case'!C15*$F198</f>
        <v>-1023317.99009028</v>
      </c>
      <c r="J198" s="53" t="n">
        <f aca="false">(('Business Case'!D11*$C198*'Business Case'!D12*$B198)-'Business Case'!D11*$C198*'Business Case'!D13*$D198-'Business Case'!D14*$E198)-MAX(0,(('Business Case'!D11*$C198*'Business Case'!D12*$B198)-'Business Case'!D11*$C198*'Business Case'!D13*$D198-'Business Case'!D14*$E198))*'Business Case'!$B$7-'Business Case'!$B$8*(('Business Case'!D11*$C198*'Business Case'!D12*$B198)-('Business Case'!C11*$C198*'Business Case'!C12*$B198))-'Business Case'!D15*$F198</f>
        <v>294047407.967379</v>
      </c>
      <c r="K198" s="53" t="n">
        <f aca="false">(('Business Case'!E11*$C198*'Business Case'!E12*$B198)-'Business Case'!E11*$C198*'Business Case'!E13*$D198-'Business Case'!E14*$E198)-MAX(0,(('Business Case'!E11*$C198*'Business Case'!E12*$B198)-'Business Case'!E11*$C198*'Business Case'!E13*$D198-'Business Case'!E14*$E198))*'Business Case'!$B$7-'Business Case'!$B$8*(('Business Case'!E11*$C198*'Business Case'!E12*$B198)-('Business Case'!D11*$C198*'Business Case'!D12*$B198))-'Business Case'!E15*$F198</f>
        <v>639937741.08248</v>
      </c>
      <c r="L198" s="53" t="n">
        <f aca="false">(('Business Case'!F11*$C198*'Business Case'!F12*$B198)-'Business Case'!F11*$C198*'Business Case'!F13*$D198-'Business Case'!F14*$E198)-MAX(0,(('Business Case'!F11*$C198*'Business Case'!F12*$B198)-'Business Case'!F11*$C198*'Business Case'!F13*$D198-'Business Case'!F14*$E198))*'Business Case'!$B$7-'Business Case'!$B$8*(('Business Case'!F11*$C198*'Business Case'!F12*$B198)-('Business Case'!E11*$C198*'Business Case'!E12*$B198))-'Business Case'!F15*$F198</f>
        <v>771221295.658482</v>
      </c>
      <c r="M198" s="53" t="n">
        <f aca="false">(('Business Case'!G11*$C198*'Business Case'!G12*$B198)-'Business Case'!G11*$C198*'Business Case'!G13*$D198-'Business Case'!G14*$E198)-MAX(0,(('Business Case'!G11*$C198*'Business Case'!G12*$B198)-'Business Case'!G11*$C198*'Business Case'!G13*$D198-'Business Case'!G14*$E198))*'Business Case'!$B$7-'Business Case'!$B$8*(('Business Case'!G11*$C198*'Business Case'!G12*$B198)-('Business Case'!F11*$C198*'Business Case'!F12*$B198))-'Business Case'!G15*$F198+'Business Case'!$B$8*('Business Case'!G11*$C198*'Business Case'!G12*$B198)</f>
        <v>952317848.237803</v>
      </c>
      <c r="N198" s="53" t="n">
        <f aca="false">IF(COUNT('Business Case'!B11:G11)=0,"",H198+NPV(G198,I198:M198))</f>
        <v>-134807555.643986</v>
      </c>
      <c r="P198" s="54" t="n">
        <f aca="true">RAND()</f>
        <v>0.23396238384156</v>
      </c>
      <c r="Q198" s="54" t="n">
        <f aca="true">RAND()</f>
        <v>0.488148043206386</v>
      </c>
      <c r="R198" s="54" t="n">
        <f aca="true">RAND()</f>
        <v>0.0242787211970875</v>
      </c>
      <c r="S198" s="54" t="n">
        <f aca="true">RAND()</f>
        <v>0.5748966991336</v>
      </c>
      <c r="T198" s="54" t="n">
        <f aca="true">RAND()</f>
        <v>0.325763098078224</v>
      </c>
      <c r="U198" s="54" t="n">
        <f aca="true">RAND()</f>
        <v>0.00486653455466709</v>
      </c>
    </row>
    <row r="199" customFormat="false" ht="15" hidden="false" customHeight="false" outlineLevel="0" collapsed="false">
      <c r="A199" s="50" t="n">
        <v>119</v>
      </c>
      <c r="B199" s="51" t="n">
        <f aca="false">1+IF($G$6=$E$6,$F$6,IF(P199&lt;($F$6-$E$6)/($G$6-$E$6),$E$6+SQRT(P199*($G$6-$E$6)*($F$6-$E$6)),$G$6-SQRT((1-P199)*($G$6-$E$6)*($G$6-$F$6))))</f>
        <v>1.00742260826896</v>
      </c>
      <c r="C199" s="51" t="n">
        <f aca="false">1+IF($G$7=$E$7,$F$7,IF(Q199&lt;($F$7-$E$7)/($G$7-$E$7),$E$7+SQRT(Q199*($G$7-$E$7)*($F$7-$E$7)),$G$7-SQRT((1-Q199)*($G$7-$E$7)*($G$7-$F$7))))</f>
        <v>0.961668361159156</v>
      </c>
      <c r="D199" s="51" t="n">
        <f aca="false">1+IF($G$8=$E$8,$F$8,IF(R199&lt;($F$8-$E$8)/($G$8-$E$8),$E$8+SQRT(R199*($G$8-$E$8)*($F$8-$E$8)),$G$8-SQRT((1-R199)*($G$8-$E$8)*($G$8-$F$8))))</f>
        <v>1.01939615387308</v>
      </c>
      <c r="E199" s="51" t="n">
        <f aca="false">1+IF($G$9=$E$9,$F$9,IF(S199&lt;($F$9-$E$9)/($G$9-$E$9),$E$9+SQRT(S199*($G$9-$E$9)*($F$9-$E$9)),$G$9-SQRT((1-S199)*($G$9-$E$9)*($G$9-$F$9))))</f>
        <v>1.01096485395653</v>
      </c>
      <c r="F199" s="51" t="n">
        <f aca="false">1+IF($G$10=$E$10,$F$10,IF(T199&lt;($F$10-$E$10)/($G$10-$E$10),$E$10+SQRT(T199*($G$10-$E$10)*($F$10-$E$10)),$G$10-SQRT((1-T199)*($G$10-$E$10)*($G$10-$F$10))))</f>
        <v>0.982400485162952</v>
      </c>
      <c r="G199" s="52" t="n">
        <f aca="false">IF($G$11=$E$11,$F$11,IF(U199&lt;($F$11-$E$11)/($G$11-$E$11),$E$11+SQRT(U199*($G$11-$E$11)*($F$11-$E$11)),$G$11-SQRT((1-U199)*($G$11-$E$11)*($G$11-$F$11))))</f>
        <v>0.0995625624569776</v>
      </c>
      <c r="H199" s="53" t="n">
        <f aca="false">(('Business Case'!B11*$C199*'Business Case'!B12*$B199)-'Business Case'!B11*$C199*'Business Case'!B13*$D199-'Business Case'!B14*$E199)-MAX(0,(('Business Case'!B11*$C199*'Business Case'!B12*$B199)-'Business Case'!B11*$C199*'Business Case'!B13*$D199-'Business Case'!B14*$E199))*'Business Case'!$B$7-'Business Case'!$B$8*('Business Case'!B11*$C199*'Business Case'!B12*$B199)-'Business Case'!B15*$F199</f>
        <v>-1964800970.3259</v>
      </c>
      <c r="I199" s="53" t="n">
        <f aca="false">(('Business Case'!C11*$C199*'Business Case'!C12*$B199)-'Business Case'!C11*$C199*'Business Case'!C13*$D199-'Business Case'!C14*$E199)-MAX(0,(('Business Case'!C11*$C199*'Business Case'!C12*$B199)-'Business Case'!C11*$C199*'Business Case'!C13*$D199-'Business Case'!C14*$E199))*'Business Case'!$B$7-'Business Case'!$B$8*(('Business Case'!C11*$C199*'Business Case'!C12*$B199)-('Business Case'!B11*$C199*'Business Case'!B12*$B199))-'Business Case'!C15*$F199</f>
        <v>-545882.503838062</v>
      </c>
      <c r="J199" s="53" t="n">
        <f aca="false">(('Business Case'!D11*$C199*'Business Case'!D12*$B199)-'Business Case'!D11*$C199*'Business Case'!D13*$D199-'Business Case'!D14*$E199)-MAX(0,(('Business Case'!D11*$C199*'Business Case'!D12*$B199)-'Business Case'!D11*$C199*'Business Case'!D13*$D199-'Business Case'!D14*$E199))*'Business Case'!$B$7-'Business Case'!$B$8*(('Business Case'!D11*$C199*'Business Case'!D12*$B199)-('Business Case'!C11*$C199*'Business Case'!C12*$B199))-'Business Case'!D15*$F199</f>
        <v>291130412.041259</v>
      </c>
      <c r="K199" s="53" t="n">
        <f aca="false">(('Business Case'!E11*$C199*'Business Case'!E12*$B199)-'Business Case'!E11*$C199*'Business Case'!E13*$D199-'Business Case'!E14*$E199)-MAX(0,(('Business Case'!E11*$C199*'Business Case'!E12*$B199)-'Business Case'!E11*$C199*'Business Case'!E13*$D199-'Business Case'!E14*$E199))*'Business Case'!$B$7-'Business Case'!$B$8*(('Business Case'!E11*$C199*'Business Case'!E12*$B199)-('Business Case'!D11*$C199*'Business Case'!D12*$B199))-'Business Case'!E15*$F199</f>
        <v>631926730.844503</v>
      </c>
      <c r="L199" s="53" t="n">
        <f aca="false">(('Business Case'!F11*$C199*'Business Case'!F12*$B199)-'Business Case'!F11*$C199*'Business Case'!F13*$D199-'Business Case'!F14*$E199)-MAX(0,(('Business Case'!F11*$C199*'Business Case'!F12*$B199)-'Business Case'!F11*$C199*'Business Case'!F13*$D199-'Business Case'!F14*$E199))*'Business Case'!$B$7-'Business Case'!$B$8*(('Business Case'!F11*$C199*'Business Case'!F12*$B199)-('Business Case'!E11*$C199*'Business Case'!E12*$B199))-'Business Case'!F15*$F199</f>
        <v>762634113.226217</v>
      </c>
      <c r="M199" s="53" t="n">
        <f aca="false">(('Business Case'!G11*$C199*'Business Case'!G12*$B199)-'Business Case'!G11*$C199*'Business Case'!G13*$D199-'Business Case'!G14*$E199)-MAX(0,(('Business Case'!G11*$C199*'Business Case'!G12*$B199)-'Business Case'!G11*$C199*'Business Case'!G13*$D199-'Business Case'!G14*$E199))*'Business Case'!$B$7-'Business Case'!$B$8*(('Business Case'!G11*$C199*'Business Case'!G12*$B199)-('Business Case'!F11*$C199*'Business Case'!F12*$B199))-'Business Case'!G15*$F199+'Business Case'!$B$8*('Business Case'!G11*$C199*'Business Case'!G12*$B199)</f>
        <v>946784842.992963</v>
      </c>
      <c r="N199" s="53" t="n">
        <f aca="false">IF(COUNT('Business Case'!B11:G11)=0,"",H199+NPV(G199,I199:M199))</f>
        <v>-138391574.031872</v>
      </c>
      <c r="P199" s="54" t="n">
        <f aca="true">RAND()</f>
        <v>0.778898655833828</v>
      </c>
      <c r="Q199" s="54" t="n">
        <f aca="true">RAND()</f>
        <v>0.373380842855531</v>
      </c>
      <c r="R199" s="54" t="n">
        <f aca="true">RAND()</f>
        <v>0.646843637944701</v>
      </c>
      <c r="S199" s="54" t="n">
        <f aca="true">RAND()</f>
        <v>0.471516184601142</v>
      </c>
      <c r="T199" s="54" t="n">
        <f aca="true">RAND()</f>
        <v>0.0839833151035729</v>
      </c>
      <c r="U199" s="54" t="n">
        <f aca="true">RAND()</f>
        <v>0.304808669145323</v>
      </c>
    </row>
    <row r="200" customFormat="false" ht="15" hidden="false" customHeight="false" outlineLevel="0" collapsed="false">
      <c r="A200" s="50" t="n">
        <v>120</v>
      </c>
      <c r="B200" s="51" t="n">
        <f aca="false">1+IF($G$6=$E$6,$F$6,IF(P200&lt;($F$6-$E$6)/($G$6-$E$6),$E$6+SQRT(P200*($G$6-$E$6)*($F$6-$E$6)),$G$6-SQRT((1-P200)*($G$6-$E$6)*($G$6-$F$6))))</f>
        <v>0.956104589691007</v>
      </c>
      <c r="C200" s="51" t="n">
        <f aca="false">1+IF($G$7=$E$7,$F$7,IF(Q200&lt;($F$7-$E$7)/($G$7-$E$7),$E$7+SQRT(Q200*($G$7-$E$7)*($F$7-$E$7)),$G$7-SQRT((1-Q200)*($G$7-$E$7)*($G$7-$F$7))))</f>
        <v>1.08947439751435</v>
      </c>
      <c r="D200" s="51" t="n">
        <f aca="false">1+IF($G$8=$E$8,$F$8,IF(R200&lt;($F$8-$E$8)/($G$8-$E$8),$E$8+SQRT(R200*($G$8-$E$8)*($F$8-$E$8)),$G$8-SQRT((1-R200)*($G$8-$E$8)*($G$8-$F$8))))</f>
        <v>1.03620832479248</v>
      </c>
      <c r="E200" s="51" t="n">
        <f aca="false">1+IF($G$9=$E$9,$F$9,IF(S200&lt;($F$9-$E$9)/($G$9-$E$9),$E$9+SQRT(S200*($G$9-$E$9)*($F$9-$E$9)),$G$9-SQRT((1-S200)*($G$9-$E$9)*($G$9-$F$9))))</f>
        <v>0.964625496537575</v>
      </c>
      <c r="F200" s="51" t="n">
        <f aca="false">1+IF($G$10=$E$10,$F$10,IF(T200&lt;($F$10-$E$10)/($G$10-$E$10),$E$10+SQRT(T200*($G$10-$E$10)*($F$10-$E$10)),$G$10-SQRT((1-T200)*($G$10-$E$10)*($G$10-$F$10))))</f>
        <v>0.95086466588973</v>
      </c>
      <c r="G200" s="52" t="n">
        <f aca="false">IF($G$11=$E$11,$F$11,IF(U200&lt;($F$11-$E$11)/($G$11-$E$11),$E$11+SQRT(U200*($G$11-$E$11)*($F$11-$E$11)),$G$11-SQRT((1-U200)*($G$11-$E$11)*($G$11-$F$11))))</f>
        <v>0.100464220497623</v>
      </c>
      <c r="H200" s="53" t="n">
        <f aca="false">(('Business Case'!B11*$C200*'Business Case'!B12*$B200)-'Business Case'!B11*$C200*'Business Case'!B13*$D200-'Business Case'!B14*$E200)-MAX(0,(('Business Case'!B11*$C200*'Business Case'!B12*$B200)-'Business Case'!B11*$C200*'Business Case'!B13*$D200-'Business Case'!B14*$E200))*'Business Case'!$B$7-'Business Case'!$B$8*('Business Case'!B11*$C200*'Business Case'!B12*$B200)-'Business Case'!B15*$F200</f>
        <v>-1901729331.77946</v>
      </c>
      <c r="I200" s="53" t="n">
        <f aca="false">(('Business Case'!C11*$C200*'Business Case'!C12*$B200)-'Business Case'!C11*$C200*'Business Case'!C13*$D200-'Business Case'!C14*$E200)-MAX(0,(('Business Case'!C11*$C200*'Business Case'!C12*$B200)-'Business Case'!C11*$C200*'Business Case'!C13*$D200-'Business Case'!C14*$E200))*'Business Case'!$B$7-'Business Case'!$B$8*(('Business Case'!C11*$C200*'Business Case'!C12*$B200)-('Business Case'!B11*$C200*'Business Case'!B12*$B200))-'Business Case'!C15*$F200</f>
        <v>-10985845.8389013</v>
      </c>
      <c r="J200" s="53" t="n">
        <f aca="false">(('Business Case'!D11*$C200*'Business Case'!D12*$B200)-'Business Case'!D11*$C200*'Business Case'!D13*$D200-'Business Case'!D14*$E200)-MAX(0,(('Business Case'!D11*$C200*'Business Case'!D12*$B200)-'Business Case'!D11*$C200*'Business Case'!D13*$D200-'Business Case'!D14*$E200))*'Business Case'!$B$7-'Business Case'!$B$8*(('Business Case'!D11*$C200*'Business Case'!D12*$B200)-('Business Case'!C11*$C200*'Business Case'!C12*$B200))-'Business Case'!D15*$F200</f>
        <v>264283732.817667</v>
      </c>
      <c r="K200" s="53" t="n">
        <f aca="false">(('Business Case'!E11*$C200*'Business Case'!E12*$B200)-'Business Case'!E11*$C200*'Business Case'!E13*$D200-'Business Case'!E14*$E200)-MAX(0,(('Business Case'!E11*$C200*'Business Case'!E12*$B200)-'Business Case'!E11*$C200*'Business Case'!E13*$D200-'Business Case'!E14*$E200))*'Business Case'!$B$7-'Business Case'!$B$8*(('Business Case'!E11*$C200*'Business Case'!E12*$B200)-('Business Case'!D11*$C200*'Business Case'!D12*$B200))-'Business Case'!E15*$F200</f>
        <v>587096544.768723</v>
      </c>
      <c r="L200" s="53" t="n">
        <f aca="false">(('Business Case'!F11*$C200*'Business Case'!F12*$B200)-'Business Case'!F11*$C200*'Business Case'!F13*$D200-'Business Case'!F14*$E200)-MAX(0,(('Business Case'!F11*$C200*'Business Case'!F12*$B200)-'Business Case'!F11*$C200*'Business Case'!F13*$D200-'Business Case'!F14*$E200))*'Business Case'!$B$7-'Business Case'!$B$8*(('Business Case'!F11*$C200*'Business Case'!F12*$B200)-('Business Case'!E11*$C200*'Business Case'!E12*$B200))-'Business Case'!F15*$F200</f>
        <v>714852545.853482</v>
      </c>
      <c r="M200" s="53" t="n">
        <f aca="false">(('Business Case'!G11*$C200*'Business Case'!G12*$B200)-'Business Case'!G11*$C200*'Business Case'!G13*$D200-'Business Case'!G14*$E200)-MAX(0,(('Business Case'!G11*$C200*'Business Case'!G12*$B200)-'Business Case'!G11*$C200*'Business Case'!G13*$D200-'Business Case'!G14*$E200))*'Business Case'!$B$7-'Business Case'!$B$8*(('Business Case'!G11*$C200*'Business Case'!G12*$B200)-('Business Case'!F11*$C200*'Business Case'!F12*$B200))-'Business Case'!G15*$F200+'Business Case'!$B$8*('Business Case'!G11*$C200*'Business Case'!G12*$B200)</f>
        <v>912849657.615946</v>
      </c>
      <c r="N200" s="53" t="n">
        <f aca="false">IF(COUNT('Business Case'!B11:G11)=0,"",H200+NPV(G200,I200:M200))</f>
        <v>-199899953.677818</v>
      </c>
      <c r="P200" s="54" t="n">
        <f aca="true">RAND()</f>
        <v>0.135785562162081</v>
      </c>
      <c r="Q200" s="54" t="n">
        <f aca="true">RAND()</f>
        <v>0.930221932261882</v>
      </c>
      <c r="R200" s="54" t="n">
        <f aca="true">RAND()</f>
        <v>0.81560472908839</v>
      </c>
      <c r="S200" s="54" t="n">
        <f aca="true">RAND()</f>
        <v>0.0285206865294144</v>
      </c>
      <c r="T200" s="54" t="n">
        <f aca="true">RAND()</f>
        <v>5.98117680689556E-005</v>
      </c>
      <c r="U200" s="54" t="n">
        <f aca="true">RAND()</f>
        <v>0.363922198724181</v>
      </c>
    </row>
    <row r="201" customFormat="false" ht="15" hidden="false" customHeight="false" outlineLevel="0" collapsed="false">
      <c r="A201" s="50" t="n">
        <v>121</v>
      </c>
      <c r="B201" s="51" t="n">
        <f aca="false">1+IF($G$6=$E$6,$F$6,IF(P201&lt;($F$6-$E$6)/($G$6-$E$6),$E$6+SQRT(P201*($G$6-$E$6)*($F$6-$E$6)),$G$6-SQRT((1-P201)*($G$6-$E$6)*($G$6-$F$6))))</f>
        <v>0.976041577796005</v>
      </c>
      <c r="C201" s="51" t="n">
        <f aca="false">1+IF($G$7=$E$7,$F$7,IF(Q201&lt;($F$7-$E$7)/($G$7-$E$7),$E$7+SQRT(Q201*($G$7-$E$7)*($F$7-$E$7)),$G$7-SQRT((1-Q201)*($G$7-$E$7)*($G$7-$F$7))))</f>
        <v>1.06285144623636</v>
      </c>
      <c r="D201" s="51" t="n">
        <f aca="false">1+IF($G$8=$E$8,$F$8,IF(R201&lt;($F$8-$E$8)/($G$8-$E$8),$E$8+SQRT(R201*($G$8-$E$8)*($F$8-$E$8)),$G$8-SQRT((1-R201)*($G$8-$E$8)*($G$8-$F$8))))</f>
        <v>1.02602192134627</v>
      </c>
      <c r="E201" s="51" t="n">
        <f aca="false">1+IF($G$9=$E$9,$F$9,IF(S201&lt;($F$9-$E$9)/($G$9-$E$9),$E$9+SQRT(S201*($G$9-$E$9)*($F$9-$E$9)),$G$9-SQRT((1-S201)*($G$9-$E$9)*($G$9-$F$9))))</f>
        <v>0.991853298024293</v>
      </c>
      <c r="F201" s="51" t="n">
        <f aca="false">1+IF($G$10=$E$10,$F$10,IF(T201&lt;($F$10-$E$10)/($G$10-$E$10),$E$10+SQRT(T201*($G$10-$E$10)*($F$10-$E$10)),$G$10-SQRT((1-T201)*($G$10-$E$10)*($G$10-$F$10))))</f>
        <v>1.02940728063634</v>
      </c>
      <c r="G201" s="52" t="n">
        <f aca="false">IF($G$11=$E$11,$F$11,IF(U201&lt;($F$11-$E$11)/($G$11-$E$11),$E$11+SQRT(U201*($G$11-$E$11)*($F$11-$E$11)),$G$11-SQRT((1-U201)*($G$11-$E$11)*($G$11-$F$11))))</f>
        <v>0.101538148610723</v>
      </c>
      <c r="H201" s="53" t="n">
        <f aca="false">(('Business Case'!B11*$C201*'Business Case'!B12*$B201)-'Business Case'!B11*$C201*'Business Case'!B13*$D201-'Business Case'!B14*$E201)-MAX(0,(('Business Case'!B11*$C201*'Business Case'!B12*$B201)-'Business Case'!B11*$C201*'Business Case'!B13*$D201-'Business Case'!B14*$E201))*'Business Case'!$B$7-'Business Case'!$B$8*('Business Case'!B11*$C201*'Business Case'!B12*$B201)-'Business Case'!B15*$F201</f>
        <v>-2058814561.27268</v>
      </c>
      <c r="I201" s="53" t="n">
        <f aca="false">(('Business Case'!C11*$C201*'Business Case'!C12*$B201)-'Business Case'!C11*$C201*'Business Case'!C13*$D201-'Business Case'!C14*$E201)-MAX(0,(('Business Case'!C11*$C201*'Business Case'!C12*$B201)-'Business Case'!C11*$C201*'Business Case'!C13*$D201-'Business Case'!C14*$E201))*'Business Case'!$B$7-'Business Case'!$B$8*(('Business Case'!C11*$C201*'Business Case'!C12*$B201)-('Business Case'!B11*$C201*'Business Case'!B12*$B201))-'Business Case'!C15*$F201</f>
        <v>-6318916.22949933</v>
      </c>
      <c r="J201" s="53" t="n">
        <f aca="false">(('Business Case'!D11*$C201*'Business Case'!D12*$B201)-'Business Case'!D11*$C201*'Business Case'!D13*$D201-'Business Case'!D14*$E201)-MAX(0,(('Business Case'!D11*$C201*'Business Case'!D12*$B201)-'Business Case'!D11*$C201*'Business Case'!D13*$D201-'Business Case'!D14*$E201))*'Business Case'!$B$7-'Business Case'!$B$8*(('Business Case'!D11*$C201*'Business Case'!D12*$B201)-('Business Case'!C11*$C201*'Business Case'!C12*$B201))-'Business Case'!D15*$F201</f>
        <v>285122587.163742</v>
      </c>
      <c r="K201" s="53" t="n">
        <f aca="false">(('Business Case'!E11*$C201*'Business Case'!E12*$B201)-'Business Case'!E11*$C201*'Business Case'!E13*$D201-'Business Case'!E14*$E201)-MAX(0,(('Business Case'!E11*$C201*'Business Case'!E12*$B201)-'Business Case'!E11*$C201*'Business Case'!E13*$D201-'Business Case'!E14*$E201))*'Business Case'!$B$7-'Business Case'!$B$8*(('Business Case'!E11*$C201*'Business Case'!E12*$B201)-('Business Case'!D11*$C201*'Business Case'!D12*$B201))-'Business Case'!E15*$F201</f>
        <v>628034454.5888</v>
      </c>
      <c r="L201" s="53" t="n">
        <f aca="false">(('Business Case'!F11*$C201*'Business Case'!F12*$B201)-'Business Case'!F11*$C201*'Business Case'!F13*$D201-'Business Case'!F14*$E201)-MAX(0,(('Business Case'!F11*$C201*'Business Case'!F12*$B201)-'Business Case'!F11*$C201*'Business Case'!F13*$D201-'Business Case'!F14*$E201))*'Business Case'!$B$7-'Business Case'!$B$8*(('Business Case'!F11*$C201*'Business Case'!F12*$B201)-('Business Case'!E11*$C201*'Business Case'!E12*$B201))-'Business Case'!F15*$F201</f>
        <v>761033724.106582</v>
      </c>
      <c r="M201" s="53" t="n">
        <f aca="false">(('Business Case'!G11*$C201*'Business Case'!G12*$B201)-'Business Case'!G11*$C201*'Business Case'!G13*$D201-'Business Case'!G14*$E201)-MAX(0,(('Business Case'!G11*$C201*'Business Case'!G12*$B201)-'Business Case'!G11*$C201*'Business Case'!G13*$D201-'Business Case'!G14*$E201))*'Business Case'!$B$7-'Business Case'!$B$8*(('Business Case'!G11*$C201*'Business Case'!G12*$B201)-('Business Case'!F11*$C201*'Business Case'!F12*$B201))-'Business Case'!G15*$F201+'Business Case'!$B$8*('Business Case'!G11*$C201*'Business Case'!G12*$B201)</f>
        <v>958220283.566773</v>
      </c>
      <c r="N201" s="53" t="n">
        <f aca="false">IF(COUNT('Business Case'!B11:G11)=0,"",H201+NPV(G201,I201:M201))</f>
        <v>-251956412.523301</v>
      </c>
      <c r="P201" s="54" t="n">
        <f aca="true">RAND()</f>
        <v>0.327151921027675</v>
      </c>
      <c r="Q201" s="54" t="n">
        <f aca="true">RAND()</f>
        <v>0.855335801464868</v>
      </c>
      <c r="R201" s="54" t="n">
        <f aca="true">RAND()</f>
        <v>0.719842983158771</v>
      </c>
      <c r="S201" s="54" t="n">
        <f aca="true">RAND()</f>
        <v>0.233559807401365</v>
      </c>
      <c r="T201" s="54" t="n">
        <f aca="true">RAND()</f>
        <v>0.417962482002235</v>
      </c>
      <c r="U201" s="54" t="n">
        <f aca="true">RAND()</f>
        <v>0.431933405467107</v>
      </c>
    </row>
    <row r="202" customFormat="false" ht="15" hidden="false" customHeight="false" outlineLevel="0" collapsed="false">
      <c r="A202" s="50" t="n">
        <v>122</v>
      </c>
      <c r="B202" s="51" t="n">
        <f aca="false">1+IF($G$6=$E$6,$F$6,IF(P202&lt;($F$6-$E$6)/($G$6-$E$6),$E$6+SQRT(P202*($G$6-$E$6)*($F$6-$E$6)),$G$6-SQRT((1-P202)*($G$6-$E$6)*($G$6-$F$6))))</f>
        <v>0.94280736692625</v>
      </c>
      <c r="C202" s="51" t="n">
        <f aca="false">1+IF($G$7=$E$7,$F$7,IF(Q202&lt;($F$7-$E$7)/($G$7-$E$7),$E$7+SQRT(Q202*($G$7-$E$7)*($F$7-$E$7)),$G$7-SQRT((1-Q202)*($G$7-$E$7)*($G$7-$F$7))))</f>
        <v>0.902958634663411</v>
      </c>
      <c r="D202" s="51" t="n">
        <f aca="false">1+IF($G$8=$E$8,$F$8,IF(R202&lt;($F$8-$E$8)/($G$8-$E$8),$E$8+SQRT(R202*($G$8-$E$8)*($F$8-$E$8)),$G$8-SQRT((1-R202)*($G$8-$E$8)*($G$8-$F$8))))</f>
        <v>0.974260989595617</v>
      </c>
      <c r="E202" s="51" t="n">
        <f aca="false">1+IF($G$9=$E$9,$F$9,IF(S202&lt;($F$9-$E$9)/($G$9-$E$9),$E$9+SQRT(S202*($G$9-$E$9)*($F$9-$E$9)),$G$9-SQRT((1-S202)*($G$9-$E$9)*($G$9-$F$9))))</f>
        <v>1.04144310416283</v>
      </c>
      <c r="F202" s="51" t="n">
        <f aca="false">1+IF($G$10=$E$10,$F$10,IF(T202&lt;($F$10-$E$10)/($G$10-$E$10),$E$10+SQRT(T202*($G$10-$E$10)*($F$10-$E$10)),$G$10-SQRT((1-T202)*($G$10-$E$10)*($G$10-$F$10))))</f>
        <v>1.02280119060594</v>
      </c>
      <c r="G202" s="52" t="n">
        <f aca="false">IF($G$11=$E$11,$F$11,IF(U202&lt;($F$11-$E$11)/($G$11-$E$11),$E$11+SQRT(U202*($G$11-$E$11)*($F$11-$E$11)),$G$11-SQRT((1-U202)*($G$11-$E$11)*($G$11-$F$11))))</f>
        <v>0.0909694395334177</v>
      </c>
      <c r="H202" s="53" t="n">
        <f aca="false">(('Business Case'!B11*$C202*'Business Case'!B12*$B202)-'Business Case'!B11*$C202*'Business Case'!B13*$D202-'Business Case'!B14*$E202)-MAX(0,(('Business Case'!B11*$C202*'Business Case'!B12*$B202)-'Business Case'!B11*$C202*'Business Case'!B13*$D202-'Business Case'!B14*$E202))*'Business Case'!$B$7-'Business Case'!$B$8*('Business Case'!B11*$C202*'Business Case'!B12*$B202)-'Business Case'!B15*$F202</f>
        <v>-2045602381.21189</v>
      </c>
      <c r="I202" s="53" t="n">
        <f aca="false">(('Business Case'!C11*$C202*'Business Case'!C12*$B202)-'Business Case'!C11*$C202*'Business Case'!C13*$D202-'Business Case'!C14*$E202)-MAX(0,(('Business Case'!C11*$C202*'Business Case'!C12*$B202)-'Business Case'!C11*$C202*'Business Case'!C13*$D202-'Business Case'!C14*$E202))*'Business Case'!$B$7-'Business Case'!$B$8*(('Business Case'!C11*$C202*'Business Case'!C12*$B202)-('Business Case'!B11*$C202*'Business Case'!B12*$B202))-'Business Case'!C15*$F202</f>
        <v>-47561328.2294719</v>
      </c>
      <c r="J202" s="53" t="n">
        <f aca="false">(('Business Case'!D11*$C202*'Business Case'!D12*$B202)-'Business Case'!D11*$C202*'Business Case'!D13*$D202-'Business Case'!D14*$E202)-MAX(0,(('Business Case'!D11*$C202*'Business Case'!D12*$B202)-'Business Case'!D11*$C202*'Business Case'!D13*$D202-'Business Case'!D14*$E202))*'Business Case'!$B$7-'Business Case'!$B$8*(('Business Case'!D11*$C202*'Business Case'!D12*$B202)-('Business Case'!C11*$C202*'Business Case'!C12*$B202))-'Business Case'!D15*$F202</f>
        <v>199382896.190255</v>
      </c>
      <c r="K202" s="53" t="n">
        <f aca="false">(('Business Case'!E11*$C202*'Business Case'!E12*$B202)-'Business Case'!E11*$C202*'Business Case'!E13*$D202-'Business Case'!E14*$E202)-MAX(0,(('Business Case'!E11*$C202*'Business Case'!E12*$B202)-'Business Case'!E11*$C202*'Business Case'!E13*$D202-'Business Case'!E14*$E202))*'Business Case'!$B$7-'Business Case'!$B$8*(('Business Case'!E11*$C202*'Business Case'!E12*$B202)-('Business Case'!D11*$C202*'Business Case'!D12*$B202))-'Business Case'!E15*$F202</f>
        <v>497467180.140279</v>
      </c>
      <c r="L202" s="53" t="n">
        <f aca="false">(('Business Case'!F11*$C202*'Business Case'!F12*$B202)-'Business Case'!F11*$C202*'Business Case'!F13*$D202-'Business Case'!F14*$E202)-MAX(0,(('Business Case'!F11*$C202*'Business Case'!F12*$B202)-'Business Case'!F11*$C202*'Business Case'!F13*$D202-'Business Case'!F14*$E202))*'Business Case'!$B$7-'Business Case'!$B$8*(('Business Case'!F11*$C202*'Business Case'!F12*$B202)-('Business Case'!E11*$C202*'Business Case'!E12*$B202))-'Business Case'!F15*$F202</f>
        <v>609203404.397955</v>
      </c>
      <c r="M202" s="53" t="n">
        <f aca="false">(('Business Case'!G11*$C202*'Business Case'!G12*$B202)-'Business Case'!G11*$C202*'Business Case'!G13*$D202-'Business Case'!G14*$E202)-MAX(0,(('Business Case'!G11*$C202*'Business Case'!G12*$B202)-'Business Case'!G11*$C202*'Business Case'!G13*$D202-'Business Case'!G14*$E202))*'Business Case'!$B$7-'Business Case'!$B$8*(('Business Case'!G11*$C202*'Business Case'!G12*$B202)-('Business Case'!F11*$C202*'Business Case'!F12*$B202))-'Business Case'!G15*$F202+'Business Case'!$B$8*('Business Case'!G11*$C202*'Business Case'!G12*$B202)</f>
        <v>771021559.712342</v>
      </c>
      <c r="N202" s="53" t="n">
        <f aca="false">IF(COUNT('Business Case'!B11:G11)=0,"",H202+NPV(G202,I202:M202))</f>
        <v>-609634841.825142</v>
      </c>
      <c r="P202" s="54" t="n">
        <f aca="true">RAND()</f>
        <v>0.0541849985529789</v>
      </c>
      <c r="Q202" s="54" t="n">
        <f aca="true">RAND()</f>
        <v>0.151435435025054</v>
      </c>
      <c r="R202" s="54" t="n">
        <f aca="true">RAND()</f>
        <v>0.090553171716709</v>
      </c>
      <c r="S202" s="54" t="n">
        <f aca="true">RAND()</f>
        <v>0.771405996660954</v>
      </c>
      <c r="T202" s="54" t="n">
        <f aca="true">RAND()</f>
        <v>0.372011638986573</v>
      </c>
      <c r="U202" s="54" t="n">
        <f aca="true">RAND()</f>
        <v>0.00313271002984393</v>
      </c>
    </row>
    <row r="203" customFormat="false" ht="15" hidden="false" customHeight="false" outlineLevel="0" collapsed="false">
      <c r="A203" s="50" t="n">
        <v>123</v>
      </c>
      <c r="B203" s="51" t="n">
        <f aca="false">1+IF($G$6=$E$6,$F$6,IF(P203&lt;($F$6-$E$6)/($G$6-$E$6),$E$6+SQRT(P203*($G$6-$E$6)*($F$6-$E$6)),$G$6-SQRT((1-P203)*($G$6-$E$6)*($G$6-$F$6))))</f>
        <v>1.00400608611527</v>
      </c>
      <c r="C203" s="51" t="n">
        <f aca="false">1+IF($G$7=$E$7,$F$7,IF(Q203&lt;($F$7-$E$7)/($G$7-$E$7),$E$7+SQRT(Q203*($G$7-$E$7)*($F$7-$E$7)),$G$7-SQRT((1-Q203)*($G$7-$E$7)*($G$7-$F$7))))</f>
        <v>0.952884163102772</v>
      </c>
      <c r="D203" s="51" t="n">
        <f aca="false">1+IF($G$8=$E$8,$F$8,IF(R203&lt;($F$8-$E$8)/($G$8-$E$8),$E$8+SQRT(R203*($G$8-$E$8)*($F$8-$E$8)),$G$8-SQRT((1-R203)*($G$8-$E$8)*($G$8-$F$8))))</f>
        <v>0.984363380696309</v>
      </c>
      <c r="E203" s="51" t="n">
        <f aca="false">1+IF($G$9=$E$9,$F$9,IF(S203&lt;($F$9-$E$9)/($G$9-$E$9),$E$9+SQRT(S203*($G$9-$E$9)*($F$9-$E$9)),$G$9-SQRT((1-S203)*($G$9-$E$9)*($G$9-$F$9))))</f>
        <v>1.00773851203921</v>
      </c>
      <c r="F203" s="51" t="n">
        <f aca="false">1+IF($G$10=$E$10,$F$10,IF(T203&lt;($F$10-$E$10)/($G$10-$E$10),$E$10+SQRT(T203*($G$10-$E$10)*($F$10-$E$10)),$G$10-SQRT((1-T203)*($G$10-$E$10)*($G$10-$F$10))))</f>
        <v>1.10155201238439</v>
      </c>
      <c r="G203" s="52" t="n">
        <f aca="false">IF($G$11=$E$11,$F$11,IF(U203&lt;($F$11-$E$11)/($G$11-$E$11),$E$11+SQRT(U203*($G$11-$E$11)*($F$11-$E$11)),$G$11-SQRT((1-U203)*($G$11-$E$11)*($G$11-$F$11))))</f>
        <v>0.103057042034358</v>
      </c>
      <c r="H203" s="53" t="n">
        <f aca="false">(('Business Case'!B11*$C203*'Business Case'!B12*$B203)-'Business Case'!B11*$C203*'Business Case'!B13*$D203-'Business Case'!B14*$E203)-MAX(0,(('Business Case'!B11*$C203*'Business Case'!B12*$B203)-'Business Case'!B11*$C203*'Business Case'!B13*$D203-'Business Case'!B14*$E203))*'Business Case'!$B$7-'Business Case'!$B$8*('Business Case'!B11*$C203*'Business Case'!B12*$B203)-'Business Case'!B15*$F203</f>
        <v>-2203104024.76878</v>
      </c>
      <c r="I203" s="53" t="n">
        <f aca="false">(('Business Case'!C11*$C203*'Business Case'!C12*$B203)-'Business Case'!C11*$C203*'Business Case'!C13*$D203-'Business Case'!C14*$E203)-MAX(0,(('Business Case'!C11*$C203*'Business Case'!C12*$B203)-'Business Case'!C11*$C203*'Business Case'!C13*$D203-'Business Case'!C14*$E203))*'Business Case'!$B$7-'Business Case'!$B$8*(('Business Case'!C11*$C203*'Business Case'!C12*$B203)-('Business Case'!B11*$C203*'Business Case'!B12*$B203))-'Business Case'!C15*$F203</f>
        <v>383476.246657684</v>
      </c>
      <c r="J203" s="53" t="n">
        <f aca="false">(('Business Case'!D11*$C203*'Business Case'!D12*$B203)-'Business Case'!D11*$C203*'Business Case'!D13*$D203-'Business Case'!D14*$E203)-MAX(0,(('Business Case'!D11*$C203*'Business Case'!D12*$B203)-'Business Case'!D11*$C203*'Business Case'!D13*$D203-'Business Case'!D14*$E203))*'Business Case'!$B$7-'Business Case'!$B$8*(('Business Case'!D11*$C203*'Business Case'!D12*$B203)-('Business Case'!C11*$C203*'Business Case'!C12*$B203))-'Business Case'!D15*$F203</f>
        <v>303817975.858009</v>
      </c>
      <c r="K203" s="53" t="n">
        <f aca="false">(('Business Case'!E11*$C203*'Business Case'!E12*$B203)-'Business Case'!E11*$C203*'Business Case'!E13*$D203-'Business Case'!E14*$E203)-MAX(0,(('Business Case'!E11*$C203*'Business Case'!E12*$B203)-'Business Case'!E11*$C203*'Business Case'!E13*$D203-'Business Case'!E14*$E203))*'Business Case'!$B$7-'Business Case'!$B$8*(('Business Case'!E11*$C203*'Business Case'!E12*$B203)-('Business Case'!D11*$C203*'Business Case'!D12*$B203))-'Business Case'!E15*$F203</f>
        <v>662330076.08858</v>
      </c>
      <c r="L203" s="53" t="n">
        <f aca="false">(('Business Case'!F11*$C203*'Business Case'!F12*$B203)-'Business Case'!F11*$C203*'Business Case'!F13*$D203-'Business Case'!F14*$E203)-MAX(0,(('Business Case'!F11*$C203*'Business Case'!F12*$B203)-'Business Case'!F11*$C203*'Business Case'!F13*$D203-'Business Case'!F14*$E203))*'Business Case'!$B$7-'Business Case'!$B$8*(('Business Case'!F11*$C203*'Business Case'!F12*$B203)-('Business Case'!E11*$C203*'Business Case'!E12*$B203))-'Business Case'!F15*$F203</f>
        <v>796538513.101883</v>
      </c>
      <c r="M203" s="53" t="n">
        <f aca="false">(('Business Case'!G11*$C203*'Business Case'!G12*$B203)-'Business Case'!G11*$C203*'Business Case'!G13*$D203-'Business Case'!G14*$E203)-MAX(0,(('Business Case'!G11*$C203*'Business Case'!G12*$B203)-'Business Case'!G11*$C203*'Business Case'!G13*$D203-'Business Case'!G14*$E203))*'Business Case'!$B$7-'Business Case'!$B$8*(('Business Case'!G11*$C203*'Business Case'!G12*$B203)-('Business Case'!F11*$C203*'Business Case'!F12*$B203))-'Business Case'!G15*$F203+'Business Case'!$B$8*('Business Case'!G11*$C203*'Business Case'!G12*$B203)</f>
        <v>978388334.054239</v>
      </c>
      <c r="N203" s="53" t="n">
        <f aca="false">IF(COUNT('Business Case'!B11:G11)=0,"",H203+NPV(G203,I203:M203))</f>
        <v>-322393577.863348</v>
      </c>
      <c r="P203" s="54" t="n">
        <f aca="true">RAND()</f>
        <v>0.730091284012205</v>
      </c>
      <c r="Q203" s="54" t="n">
        <f aca="true">RAND()</f>
        <v>0.3339081046805</v>
      </c>
      <c r="R203" s="54" t="n">
        <f aca="true">RAND()</f>
        <v>0.181667989673759</v>
      </c>
      <c r="S203" s="54" t="n">
        <f aca="true">RAND()</f>
        <v>0.432521189284057</v>
      </c>
      <c r="T203" s="54" t="n">
        <f aca="true">RAND()</f>
        <v>0.806159874688735</v>
      </c>
      <c r="U203" s="54" t="n">
        <f aca="true">RAND()</f>
        <v>0.521560292290826</v>
      </c>
    </row>
    <row r="204" customFormat="false" ht="15" hidden="false" customHeight="false" outlineLevel="0" collapsed="false">
      <c r="A204" s="50" t="n">
        <v>124</v>
      </c>
      <c r="B204" s="51" t="n">
        <f aca="false">1+IF($G$6=$E$6,$F$6,IF(P204&lt;($F$6-$E$6)/($G$6-$E$6),$E$6+SQRT(P204*($G$6-$E$6)*($F$6-$E$6)),$G$6-SQRT((1-P204)*($G$6-$E$6)*($G$6-$F$6))))</f>
        <v>1.03366193907143</v>
      </c>
      <c r="C204" s="51" t="n">
        <f aca="false">1+IF($G$7=$E$7,$F$7,IF(Q204&lt;($F$7-$E$7)/($G$7-$E$7),$E$7+SQRT(Q204*($G$7-$E$7)*($F$7-$E$7)),$G$7-SQRT((1-Q204)*($G$7-$E$7)*($G$7-$F$7))))</f>
        <v>1.09549224130067</v>
      </c>
      <c r="D204" s="51" t="n">
        <f aca="false">1+IF($G$8=$E$8,$F$8,IF(R204&lt;($F$8-$E$8)/($G$8-$E$8),$E$8+SQRT(R204*($G$8-$E$8)*($F$8-$E$8)),$G$8-SQRT((1-R204)*($G$8-$E$8)*($G$8-$F$8))))</f>
        <v>1.03230068908036</v>
      </c>
      <c r="E204" s="51" t="n">
        <f aca="false">1+IF($G$9=$E$9,$F$9,IF(S204&lt;($F$9-$E$9)/($G$9-$E$9),$E$9+SQRT(S204*($G$9-$E$9)*($F$9-$E$9)),$G$9-SQRT((1-S204)*($G$9-$E$9)*($G$9-$F$9))))</f>
        <v>1.09638693710035</v>
      </c>
      <c r="F204" s="51" t="n">
        <f aca="false">1+IF($G$10=$E$10,$F$10,IF(T204&lt;($F$10-$E$10)/($G$10-$E$10),$E$10+SQRT(T204*($G$10-$E$10)*($F$10-$E$10)),$G$10-SQRT((1-T204)*($G$10-$E$10)*($G$10-$F$10))))</f>
        <v>1.13932767075071</v>
      </c>
      <c r="G204" s="52" t="n">
        <f aca="false">IF($G$11=$E$11,$F$11,IF(U204&lt;($F$11-$E$11)/($G$11-$E$11),$E$11+SQRT(U204*($G$11-$E$11)*($F$11-$E$11)),$G$11-SQRT((1-U204)*($G$11-$E$11)*($G$11-$F$11))))</f>
        <v>0.100290342302688</v>
      </c>
      <c r="H204" s="53" t="n">
        <f aca="false">(('Business Case'!B11*$C204*'Business Case'!B12*$B204)-'Business Case'!B11*$C204*'Business Case'!B13*$D204-'Business Case'!B14*$E204)-MAX(0,(('Business Case'!B11*$C204*'Business Case'!B12*$B204)-'Business Case'!B11*$C204*'Business Case'!B13*$D204-'Business Case'!B14*$E204))*'Business Case'!$B$7-'Business Case'!$B$8*('Business Case'!B11*$C204*'Business Case'!B12*$B204)-'Business Case'!B15*$F204</f>
        <v>-2278655341.50142</v>
      </c>
      <c r="I204" s="53" t="n">
        <f aca="false">(('Business Case'!C11*$C204*'Business Case'!C12*$B204)-'Business Case'!C11*$C204*'Business Case'!C13*$D204-'Business Case'!C14*$E204)-MAX(0,(('Business Case'!C11*$C204*'Business Case'!C12*$B204)-'Business Case'!C11*$C204*'Business Case'!C13*$D204-'Business Case'!C14*$E204))*'Business Case'!$B$7-'Business Case'!$B$8*(('Business Case'!C11*$C204*'Business Case'!C12*$B204)-('Business Case'!B11*$C204*'Business Case'!B12*$B204))-'Business Case'!C15*$F204</f>
        <v>20031706.2186154</v>
      </c>
      <c r="J204" s="53" t="n">
        <f aca="false">(('Business Case'!D11*$C204*'Business Case'!D12*$B204)-'Business Case'!D11*$C204*'Business Case'!D13*$D204-'Business Case'!D14*$E204)-MAX(0,(('Business Case'!D11*$C204*'Business Case'!D12*$B204)-'Business Case'!D11*$C204*'Business Case'!D13*$D204-'Business Case'!D14*$E204))*'Business Case'!$B$7-'Business Case'!$B$8*(('Business Case'!D11*$C204*'Business Case'!D12*$B204)-('Business Case'!C11*$C204*'Business Case'!C12*$B204))-'Business Case'!D15*$F204</f>
        <v>368604391.97426</v>
      </c>
      <c r="K204" s="53" t="n">
        <f aca="false">(('Business Case'!E11*$C204*'Business Case'!E12*$B204)-'Business Case'!E11*$C204*'Business Case'!E13*$D204-'Business Case'!E14*$E204)-MAX(0,(('Business Case'!E11*$C204*'Business Case'!E12*$B204)-'Business Case'!E11*$C204*'Business Case'!E13*$D204-'Business Case'!E14*$E204))*'Business Case'!$B$7-'Business Case'!$B$8*(('Business Case'!E11*$C204*'Business Case'!E12*$B204)-('Business Case'!D11*$C204*'Business Case'!D12*$B204))-'Business Case'!E15*$F204</f>
        <v>774143461.267441</v>
      </c>
      <c r="L204" s="53" t="n">
        <f aca="false">(('Business Case'!F11*$C204*'Business Case'!F12*$B204)-'Business Case'!F11*$C204*'Business Case'!F13*$D204-'Business Case'!F14*$E204)-MAX(0,(('Business Case'!F11*$C204*'Business Case'!F12*$B204)-'Business Case'!F11*$C204*'Business Case'!F13*$D204-'Business Case'!F14*$E204))*'Business Case'!$B$7-'Business Case'!$B$8*(('Business Case'!F11*$C204*'Business Case'!F12*$B204)-('Business Case'!E11*$C204*'Business Case'!E12*$B204))-'Business Case'!F15*$F204</f>
        <v>929469016.523515</v>
      </c>
      <c r="M204" s="53" t="n">
        <f aca="false">(('Business Case'!G11*$C204*'Business Case'!G12*$B204)-'Business Case'!G11*$C204*'Business Case'!G13*$D204-'Business Case'!G14*$E204)-MAX(0,(('Business Case'!G11*$C204*'Business Case'!G12*$B204)-'Business Case'!G11*$C204*'Business Case'!G13*$D204-'Business Case'!G14*$E204))*'Business Case'!$B$7-'Business Case'!$B$8*(('Business Case'!G11*$C204*'Business Case'!G12*$B204)-('Business Case'!F11*$C204*'Business Case'!F12*$B204))-'Business Case'!G15*$F204+'Business Case'!$B$8*('Business Case'!G11*$C204*'Business Case'!G12*$B204)</f>
        <v>1144709646.54657</v>
      </c>
      <c r="N204" s="53" t="n">
        <f aca="false">IF(COUNT('Business Case'!B11:G11)=0,"",H204+NPV(G204,I204:M204))</f>
        <v>-30806034.782455</v>
      </c>
      <c r="P204" s="54" t="n">
        <f aca="true">RAND()</f>
        <v>0.991631038263698</v>
      </c>
      <c r="Q204" s="54" t="n">
        <f aca="true">RAND()</f>
        <v>0.943407699839539</v>
      </c>
      <c r="R204" s="54" t="n">
        <f aca="true">RAND()</f>
        <v>0.781228436326064</v>
      </c>
      <c r="S204" s="54" t="n">
        <f aca="true">RAND()</f>
        <v>0.999129718432213</v>
      </c>
      <c r="T204" s="54" t="n">
        <f aca="true">RAND()</f>
        <v>0.926377369269316</v>
      </c>
      <c r="U204" s="54" t="n">
        <f aca="true">RAND()</f>
        <v>0.352548989091326</v>
      </c>
    </row>
    <row r="205" customFormat="false" ht="15" hidden="false" customHeight="false" outlineLevel="0" collapsed="false">
      <c r="A205" s="50" t="n">
        <v>125</v>
      </c>
      <c r="B205" s="51" t="n">
        <f aca="false">1+IF($G$6=$E$6,$F$6,IF(P205&lt;($F$6-$E$6)/($G$6-$E$6),$E$6+SQRT(P205*($G$6-$E$6)*($F$6-$E$6)),$G$6-SQRT((1-P205)*($G$6-$E$6)*($G$6-$F$6))))</f>
        <v>0.980391852590753</v>
      </c>
      <c r="C205" s="51" t="n">
        <f aca="false">1+IF($G$7=$E$7,$F$7,IF(Q205&lt;($F$7-$E$7)/($G$7-$E$7),$E$7+SQRT(Q205*($G$7-$E$7)*($F$7-$E$7)),$G$7-SQRT((1-Q205)*($G$7-$E$7)*($G$7-$F$7))))</f>
        <v>1.01196628978694</v>
      </c>
      <c r="D205" s="51" t="n">
        <f aca="false">1+IF($G$8=$E$8,$F$8,IF(R205&lt;($F$8-$E$8)/($G$8-$E$8),$E$8+SQRT(R205*($G$8-$E$8)*($F$8-$E$8)),$G$8-SQRT((1-R205)*($G$8-$E$8)*($G$8-$F$8))))</f>
        <v>1.01668295749573</v>
      </c>
      <c r="E205" s="51" t="n">
        <f aca="false">1+IF($G$9=$E$9,$F$9,IF(S205&lt;($F$9-$E$9)/($G$9-$E$9),$E$9+SQRT(S205*($G$9-$E$9)*($F$9-$E$9)),$G$9-SQRT((1-S205)*($G$9-$E$9)*($G$9-$F$9))))</f>
        <v>1.0300561148032</v>
      </c>
      <c r="F205" s="51" t="n">
        <f aca="false">1+IF($G$10=$E$10,$F$10,IF(T205&lt;($F$10-$E$10)/($G$10-$E$10),$E$10+SQRT(T205*($G$10-$E$10)*($F$10-$E$10)),$G$10-SQRT((1-T205)*($G$10-$E$10)*($G$10-$F$10))))</f>
        <v>1.00825580318417</v>
      </c>
      <c r="G205" s="52" t="n">
        <f aca="false">IF($G$11=$E$11,$F$11,IF(U205&lt;($F$11-$E$11)/($G$11-$E$11),$E$11+SQRT(U205*($G$11-$E$11)*($F$11-$E$11)),$G$11-SQRT((1-U205)*($G$11-$E$11)*($G$11-$F$11))))</f>
        <v>0.117179997033098</v>
      </c>
      <c r="H205" s="53" t="n">
        <f aca="false">(('Business Case'!B11*$C205*'Business Case'!B12*$B205)-'Business Case'!B11*$C205*'Business Case'!B13*$D205-'Business Case'!B14*$E205)-MAX(0,(('Business Case'!B11*$C205*'Business Case'!B12*$B205)-'Business Case'!B11*$C205*'Business Case'!B13*$D205-'Business Case'!B14*$E205))*'Business Case'!$B$7-'Business Case'!$B$8*('Business Case'!B11*$C205*'Business Case'!B12*$B205)-'Business Case'!B15*$F205</f>
        <v>-2016511606.36834</v>
      </c>
      <c r="I205" s="53" t="n">
        <f aca="false">(('Business Case'!C11*$C205*'Business Case'!C12*$B205)-'Business Case'!C11*$C205*'Business Case'!C13*$D205-'Business Case'!C14*$E205)-MAX(0,(('Business Case'!C11*$C205*'Business Case'!C12*$B205)-'Business Case'!C11*$C205*'Business Case'!C13*$D205-'Business Case'!C14*$E205))*'Business Case'!$B$7-'Business Case'!$B$8*(('Business Case'!C11*$C205*'Business Case'!C12*$B205)-('Business Case'!B11*$C205*'Business Case'!B12*$B205))-'Business Case'!C15*$F205</f>
        <v>-12798977.239653</v>
      </c>
      <c r="J205" s="53" t="n">
        <f aca="false">(('Business Case'!D11*$C205*'Business Case'!D12*$B205)-'Business Case'!D11*$C205*'Business Case'!D13*$D205-'Business Case'!D14*$E205)-MAX(0,(('Business Case'!D11*$C205*'Business Case'!D12*$B205)-'Business Case'!D11*$C205*'Business Case'!D13*$D205-'Business Case'!D14*$E205))*'Business Case'!$B$7-'Business Case'!$B$8*(('Business Case'!D11*$C205*'Business Case'!D12*$B205)-('Business Case'!C11*$C205*'Business Case'!C12*$B205))-'Business Case'!D15*$F205</f>
        <v>273133287.894617</v>
      </c>
      <c r="K205" s="53" t="n">
        <f aca="false">(('Business Case'!E11*$C205*'Business Case'!E12*$B205)-'Business Case'!E11*$C205*'Business Case'!E13*$D205-'Business Case'!E14*$E205)-MAX(0,(('Business Case'!E11*$C205*'Business Case'!E12*$B205)-'Business Case'!E11*$C205*'Business Case'!E13*$D205-'Business Case'!E14*$E205))*'Business Case'!$B$7-'Business Case'!$B$8*(('Business Case'!E11*$C205*'Business Case'!E12*$B205)-('Business Case'!D11*$C205*'Business Case'!D12*$B205))-'Business Case'!E15*$F205</f>
        <v>609478343.188095</v>
      </c>
      <c r="L205" s="53" t="n">
        <f aca="false">(('Business Case'!F11*$C205*'Business Case'!F12*$B205)-'Business Case'!F11*$C205*'Business Case'!F13*$D205-'Business Case'!F14*$E205)-MAX(0,(('Business Case'!F11*$C205*'Business Case'!F12*$B205)-'Business Case'!F11*$C205*'Business Case'!F13*$D205-'Business Case'!F14*$E205))*'Business Case'!$B$7-'Business Case'!$B$8*(('Business Case'!F11*$C205*'Business Case'!F12*$B205)-('Business Case'!E11*$C205*'Business Case'!E12*$B205))-'Business Case'!F15*$F205</f>
        <v>739076886.586513</v>
      </c>
      <c r="M205" s="53" t="n">
        <f aca="false">(('Business Case'!G11*$C205*'Business Case'!G12*$B205)-'Business Case'!G11*$C205*'Business Case'!G13*$D205-'Business Case'!G14*$E205)-MAX(0,(('Business Case'!G11*$C205*'Business Case'!G12*$B205)-'Business Case'!G11*$C205*'Business Case'!G13*$D205-'Business Case'!G14*$E205))*'Business Case'!$B$7-'Business Case'!$B$8*(('Business Case'!G11*$C205*'Business Case'!G12*$B205)-('Business Case'!F11*$C205*'Business Case'!F12*$B205))-'Business Case'!G15*$F205+'Business Case'!$B$8*('Business Case'!G11*$C205*'Business Case'!G12*$B205)</f>
        <v>927659722.531647</v>
      </c>
      <c r="N205" s="53" t="n">
        <f aca="false">IF(COUNT('Business Case'!B11:G11)=0,"",H205+NPV(G205,I205:M205))</f>
        <v>-364505915.517646</v>
      </c>
      <c r="P205" s="54" t="n">
        <f aca="true">RAND()</f>
        <v>0.379914152014915</v>
      </c>
      <c r="Q205" s="54" t="n">
        <f aca="true">RAND()</f>
        <v>0.637079901806039</v>
      </c>
      <c r="R205" s="54" t="n">
        <f aca="true">RAND()</f>
        <v>0.614514627741527</v>
      </c>
      <c r="S205" s="54" t="n">
        <f aca="true">RAND()</f>
        <v>0.673856861571756</v>
      </c>
      <c r="T205" s="54" t="n">
        <f aca="true">RAND()</f>
        <v>0.26468325974906</v>
      </c>
      <c r="U205" s="54" t="n">
        <f aca="true">RAND()</f>
        <v>0.986745972111108</v>
      </c>
    </row>
    <row r="206" customFormat="false" ht="15" hidden="false" customHeight="false" outlineLevel="0" collapsed="false">
      <c r="A206" s="50" t="n">
        <v>126</v>
      </c>
      <c r="B206" s="51" t="n">
        <f aca="false">1+IF($G$6=$E$6,$F$6,IF(P206&lt;($F$6-$E$6)/($G$6-$E$6),$E$6+SQRT(P206*($G$6-$E$6)*($F$6-$E$6)),$G$6-SQRT((1-P206)*($G$6-$E$6)*($G$6-$F$6))))</f>
        <v>1.01432773576354</v>
      </c>
      <c r="C206" s="51" t="n">
        <f aca="false">1+IF($G$7=$E$7,$F$7,IF(Q206&lt;($F$7-$E$7)/($G$7-$E$7),$E$7+SQRT(Q206*($G$7-$E$7)*($F$7-$E$7)),$G$7-SQRT((1-Q206)*($G$7-$E$7)*($G$7-$F$7))))</f>
        <v>1.03864007439579</v>
      </c>
      <c r="D206" s="51" t="n">
        <f aca="false">1+IF($G$8=$E$8,$F$8,IF(R206&lt;($F$8-$E$8)/($G$8-$E$8),$E$8+SQRT(R206*($G$8-$E$8)*($F$8-$E$8)),$G$8-SQRT((1-R206)*($G$8-$E$8)*($G$8-$F$8))))</f>
        <v>0.99492418056154</v>
      </c>
      <c r="E206" s="51" t="n">
        <f aca="false">1+IF($G$9=$E$9,$F$9,IF(S206&lt;($F$9-$E$9)/($G$9-$E$9),$E$9+SQRT(S206*($G$9-$E$9)*($F$9-$E$9)),$G$9-SQRT((1-S206)*($G$9-$E$9)*($G$9-$F$9))))</f>
        <v>1.00658903654829</v>
      </c>
      <c r="F206" s="51" t="n">
        <f aca="false">1+IF($G$10=$E$10,$F$10,IF(T206&lt;($F$10-$E$10)/($G$10-$E$10),$E$10+SQRT(T206*($G$10-$E$10)*($F$10-$E$10)),$G$10-SQRT((1-T206)*($G$10-$E$10)*($G$10-$F$10))))</f>
        <v>1.09351173117019</v>
      </c>
      <c r="G206" s="52" t="n">
        <f aca="false">IF($G$11=$E$11,$F$11,IF(U206&lt;($F$11-$E$11)/($G$11-$E$11),$E$11+SQRT(U206*($G$11-$E$11)*($F$11-$E$11)),$G$11-SQRT((1-U206)*($G$11-$E$11)*($G$11-$F$11))))</f>
        <v>0.109672757467352</v>
      </c>
      <c r="H206" s="53" t="n">
        <f aca="false">(('Business Case'!B11*$C206*'Business Case'!B12*$B206)-'Business Case'!B11*$C206*'Business Case'!B13*$D206-'Business Case'!B14*$E206)-MAX(0,(('Business Case'!B11*$C206*'Business Case'!B12*$B206)-'Business Case'!B11*$C206*'Business Case'!B13*$D206-'Business Case'!B14*$E206))*'Business Case'!$B$7-'Business Case'!$B$8*('Business Case'!B11*$C206*'Business Case'!B12*$B206)-'Business Case'!B15*$F206</f>
        <v>-2187023462.34037</v>
      </c>
      <c r="I206" s="53" t="n">
        <f aca="false">(('Business Case'!C11*$C206*'Business Case'!C12*$B206)-'Business Case'!C11*$C206*'Business Case'!C13*$D206-'Business Case'!C14*$E206)-MAX(0,(('Business Case'!C11*$C206*'Business Case'!C12*$B206)-'Business Case'!C11*$C206*'Business Case'!C13*$D206-'Business Case'!C14*$E206))*'Business Case'!$B$7-'Business Case'!$B$8*(('Business Case'!C11*$C206*'Business Case'!C12*$B206)-('Business Case'!B11*$C206*'Business Case'!B12*$B206))-'Business Case'!C15*$F206</f>
        <v>26805412.9466737</v>
      </c>
      <c r="J206" s="53" t="n">
        <f aca="false">(('Business Case'!D11*$C206*'Business Case'!D12*$B206)-'Business Case'!D11*$C206*'Business Case'!D13*$D206-'Business Case'!D14*$E206)-MAX(0,(('Business Case'!D11*$C206*'Business Case'!D12*$B206)-'Business Case'!D11*$C206*'Business Case'!D13*$D206-'Business Case'!D14*$E206))*'Business Case'!$B$7-'Business Case'!$B$8*(('Business Case'!D11*$C206*'Business Case'!D12*$B206)-('Business Case'!C11*$C206*'Business Case'!C12*$B206))-'Business Case'!D15*$F206</f>
        <v>360713511.194572</v>
      </c>
      <c r="K206" s="53" t="n">
        <f aca="false">(('Business Case'!E11*$C206*'Business Case'!E12*$B206)-'Business Case'!E11*$C206*'Business Case'!E13*$D206-'Business Case'!E14*$E206)-MAX(0,(('Business Case'!E11*$C206*'Business Case'!E12*$B206)-'Business Case'!E11*$C206*'Business Case'!E13*$D206-'Business Case'!E14*$E206))*'Business Case'!$B$7-'Business Case'!$B$8*(('Business Case'!E11*$C206*'Business Case'!E12*$B206)-('Business Case'!D11*$C206*'Business Case'!D12*$B206))-'Business Case'!E15*$F206</f>
        <v>749297196.000979</v>
      </c>
      <c r="L206" s="53" t="n">
        <f aca="false">(('Business Case'!F11*$C206*'Business Case'!F12*$B206)-'Business Case'!F11*$C206*'Business Case'!F13*$D206-'Business Case'!F14*$E206)-MAX(0,(('Business Case'!F11*$C206*'Business Case'!F12*$B206)-'Business Case'!F11*$C206*'Business Case'!F13*$D206-'Business Case'!F14*$E206))*'Business Case'!$B$7-'Business Case'!$B$8*(('Business Case'!F11*$C206*'Business Case'!F12*$B206)-('Business Case'!E11*$C206*'Business Case'!E12*$B206))-'Business Case'!F15*$F206</f>
        <v>897009596.208304</v>
      </c>
      <c r="M206" s="53" t="n">
        <f aca="false">(('Business Case'!G11*$C206*'Business Case'!G12*$B206)-'Business Case'!G11*$C206*'Business Case'!G13*$D206-'Business Case'!G14*$E206)-MAX(0,(('Business Case'!G11*$C206*'Business Case'!G12*$B206)-'Business Case'!G11*$C206*'Business Case'!G13*$D206-'Business Case'!G14*$E206))*'Business Case'!$B$7-'Business Case'!$B$8*(('Business Case'!G11*$C206*'Business Case'!G12*$B206)-('Business Case'!F11*$C206*'Business Case'!F12*$B206))-'Business Case'!G15*$F206+'Business Case'!$B$8*('Business Case'!G11*$C206*'Business Case'!G12*$B206)</f>
        <v>1097262950.56078</v>
      </c>
      <c r="N206" s="53" t="n">
        <f aca="false">IF(COUNT('Business Case'!B11:G11)=0,"",H206+NPV(G206,I206:M206))</f>
        <v>-77848741.1382568</v>
      </c>
      <c r="P206" s="54" t="n">
        <f aca="true">RAND()</f>
        <v>0.862694760202793</v>
      </c>
      <c r="Q206" s="54" t="n">
        <f aca="true">RAND()</f>
        <v>0.763789847036654</v>
      </c>
      <c r="R206" s="54" t="n">
        <f aca="true">RAND()</f>
        <v>0.310489538327054</v>
      </c>
      <c r="S206" s="54" t="n">
        <f aca="true">RAND()</f>
        <v>0.418292793801594</v>
      </c>
      <c r="T206" s="54" t="n">
        <f aca="true">RAND()</f>
        <v>0.773204972032586</v>
      </c>
      <c r="U206" s="54" t="n">
        <f aca="true">RAND()</f>
        <v>0.822246769453113</v>
      </c>
    </row>
    <row r="207" customFormat="false" ht="15" hidden="false" customHeight="false" outlineLevel="0" collapsed="false">
      <c r="A207" s="50" t="n">
        <v>127</v>
      </c>
      <c r="B207" s="51" t="n">
        <f aca="false">1+IF($G$6=$E$6,$F$6,IF(P207&lt;($F$6-$E$6)/($G$6-$E$6),$E$6+SQRT(P207*($G$6-$E$6)*($F$6-$E$6)),$G$6-SQRT((1-P207)*($G$6-$E$6)*($G$6-$F$6))))</f>
        <v>1.01376091776695</v>
      </c>
      <c r="C207" s="51" t="n">
        <f aca="false">1+IF($G$7=$E$7,$F$7,IF(Q207&lt;($F$7-$E$7)/($G$7-$E$7),$E$7+SQRT(Q207*($G$7-$E$7)*($F$7-$E$7)),$G$7-SQRT((1-Q207)*($G$7-$E$7)*($G$7-$F$7))))</f>
        <v>1.12497430086088</v>
      </c>
      <c r="D207" s="51" t="n">
        <f aca="false">1+IF($G$8=$E$8,$F$8,IF(R207&lt;($F$8-$E$8)/($G$8-$E$8),$E$8+SQRT(R207*($G$8-$E$8)*($F$8-$E$8)),$G$8-SQRT((1-R207)*($G$8-$E$8)*($G$8-$F$8))))</f>
        <v>1.00079852126938</v>
      </c>
      <c r="E207" s="51" t="n">
        <f aca="false">1+IF($G$9=$E$9,$F$9,IF(S207&lt;($F$9-$E$9)/($G$9-$E$9),$E$9+SQRT(S207*($G$9-$E$9)*($F$9-$E$9)),$G$9-SQRT((1-S207)*($G$9-$E$9)*($G$9-$F$9))))</f>
        <v>1.0291890783931</v>
      </c>
      <c r="F207" s="51" t="n">
        <f aca="false">1+IF($G$10=$E$10,$F$10,IF(T207&lt;($F$10-$E$10)/($G$10-$E$10),$E$10+SQRT(T207*($G$10-$E$10)*($F$10-$E$10)),$G$10-SQRT((1-T207)*($G$10-$E$10)*($G$10-$F$10))))</f>
        <v>1.1101948086137</v>
      </c>
      <c r="G207" s="52" t="n">
        <f aca="false">IF($G$11=$E$11,$F$11,IF(U207&lt;($F$11-$E$11)/($G$11-$E$11),$E$11+SQRT(U207*($G$11-$E$11)*($F$11-$E$11)),$G$11-SQRT((1-U207)*($G$11-$E$11)*($G$11-$F$11))))</f>
        <v>0.108097339117298</v>
      </c>
      <c r="H207" s="53" t="n">
        <f aca="false">(('Business Case'!B11*$C207*'Business Case'!B12*$B207)-'Business Case'!B11*$C207*'Business Case'!B13*$D207-'Business Case'!B14*$E207)-MAX(0,(('Business Case'!B11*$C207*'Business Case'!B12*$B207)-'Business Case'!B11*$C207*'Business Case'!B13*$D207-'Business Case'!B14*$E207))*'Business Case'!$B$7-'Business Case'!$B$8*('Business Case'!B11*$C207*'Business Case'!B12*$B207)-'Business Case'!B15*$F207</f>
        <v>-2220389617.2274</v>
      </c>
      <c r="I207" s="53" t="n">
        <f aca="false">(('Business Case'!C11*$C207*'Business Case'!C12*$B207)-'Business Case'!C11*$C207*'Business Case'!C13*$D207-'Business Case'!C14*$E207)-MAX(0,(('Business Case'!C11*$C207*'Business Case'!C12*$B207)-'Business Case'!C11*$C207*'Business Case'!C13*$D207-'Business Case'!C14*$E207))*'Business Case'!$B$7-'Business Case'!$B$8*(('Business Case'!C11*$C207*'Business Case'!C12*$B207)-('Business Case'!B11*$C207*'Business Case'!B12*$B207))-'Business Case'!C15*$F207</f>
        <v>41266677.2044417</v>
      </c>
      <c r="J207" s="53" t="n">
        <f aca="false">(('Business Case'!D11*$C207*'Business Case'!D12*$B207)-'Business Case'!D11*$C207*'Business Case'!D13*$D207-'Business Case'!D14*$E207)-MAX(0,(('Business Case'!D11*$C207*'Business Case'!D12*$B207)-'Business Case'!D11*$C207*'Business Case'!D13*$D207-'Business Case'!D14*$E207))*'Business Case'!$B$7-'Business Case'!$B$8*(('Business Case'!D11*$C207*'Business Case'!D12*$B207)-('Business Case'!C11*$C207*'Business Case'!C12*$B207))-'Business Case'!D15*$F207</f>
        <v>399024708.365657</v>
      </c>
      <c r="K207" s="53" t="n">
        <f aca="false">(('Business Case'!E11*$C207*'Business Case'!E12*$B207)-'Business Case'!E11*$C207*'Business Case'!E13*$D207-'Business Case'!E14*$E207)-MAX(0,(('Business Case'!E11*$C207*'Business Case'!E12*$B207)-'Business Case'!E11*$C207*'Business Case'!E13*$D207-'Business Case'!E14*$E207))*'Business Case'!$B$7-'Business Case'!$B$8*(('Business Case'!E11*$C207*'Business Case'!E12*$B207)-('Business Case'!D11*$C207*'Business Case'!D12*$B207))-'Business Case'!E15*$F207</f>
        <v>812292479.957557</v>
      </c>
      <c r="L207" s="53" t="n">
        <f aca="false">(('Business Case'!F11*$C207*'Business Case'!F12*$B207)-'Business Case'!F11*$C207*'Business Case'!F13*$D207-'Business Case'!F14*$E207)-MAX(0,(('Business Case'!F11*$C207*'Business Case'!F12*$B207)-'Business Case'!F11*$C207*'Business Case'!F13*$D207-'Business Case'!F14*$E207))*'Business Case'!$B$7-'Business Case'!$B$8*(('Business Case'!F11*$C207*'Business Case'!F12*$B207)-('Business Case'!E11*$C207*'Business Case'!E12*$B207))-'Business Case'!F15*$F207</f>
        <v>970959281.109899</v>
      </c>
      <c r="M207" s="53" t="n">
        <f aca="false">(('Business Case'!G11*$C207*'Business Case'!G12*$B207)-'Business Case'!G11*$C207*'Business Case'!G13*$D207-'Business Case'!G14*$E207)-MAX(0,(('Business Case'!G11*$C207*'Business Case'!G12*$B207)-'Business Case'!G11*$C207*'Business Case'!G13*$D207-'Business Case'!G14*$E207))*'Business Case'!$B$7-'Business Case'!$B$8*(('Business Case'!G11*$C207*'Business Case'!G12*$B207)-('Business Case'!F11*$C207*'Business Case'!F12*$B207))-'Business Case'!G15*$F207+'Business Case'!$B$8*('Business Case'!G11*$C207*'Business Case'!G12*$B207)</f>
        <v>1187736963.65222</v>
      </c>
      <c r="N207" s="53" t="n">
        <f aca="false">IF(COUNT('Business Case'!B11:G11)=0,"",H207+NPV(G207,I207:M207))</f>
        <v>93769455.5638123</v>
      </c>
      <c r="P207" s="54" t="n">
        <f aca="true">RAND()</f>
        <v>0.856564700743136</v>
      </c>
      <c r="Q207" s="54" t="n">
        <f aca="true">RAND()</f>
        <v>0.988070750144726</v>
      </c>
      <c r="R207" s="54" t="n">
        <f aca="true">RAND()</f>
        <v>0.396839016046425</v>
      </c>
      <c r="S207" s="54" t="n">
        <f aca="true">RAND()</f>
        <v>0.665720892078768</v>
      </c>
      <c r="T207" s="54" t="n">
        <f aca="true">RAND()</f>
        <v>0.838700552001397</v>
      </c>
      <c r="U207" s="54" t="n">
        <f aca="true">RAND()</f>
        <v>0.763877773185654</v>
      </c>
    </row>
    <row r="208" customFormat="false" ht="15" hidden="false" customHeight="false" outlineLevel="0" collapsed="false">
      <c r="A208" s="50" t="n">
        <v>128</v>
      </c>
      <c r="B208" s="51" t="n">
        <f aca="false">1+IF($G$6=$E$6,$F$6,IF(P208&lt;($F$6-$E$6)/($G$6-$E$6),$E$6+SQRT(P208*($G$6-$E$6)*($F$6-$E$6)),$G$6-SQRT((1-P208)*($G$6-$E$6)*($G$6-$F$6))))</f>
        <v>0.996557715311835</v>
      </c>
      <c r="C208" s="51" t="n">
        <f aca="false">1+IF($G$7=$E$7,$F$7,IF(Q208&lt;($F$7-$E$7)/($G$7-$E$7),$E$7+SQRT(Q208*($G$7-$E$7)*($F$7-$E$7)),$G$7-SQRT((1-Q208)*($G$7-$E$7)*($G$7-$F$7))))</f>
        <v>1.12459101425234</v>
      </c>
      <c r="D208" s="51" t="n">
        <f aca="false">1+IF($G$8=$E$8,$F$8,IF(R208&lt;($F$8-$E$8)/($G$8-$E$8),$E$8+SQRT(R208*($G$8-$E$8)*($F$8-$E$8)),$G$8-SQRT((1-R208)*($G$8-$E$8)*($G$8-$F$8))))</f>
        <v>0.974007823190086</v>
      </c>
      <c r="E208" s="51" t="n">
        <f aca="false">1+IF($G$9=$E$9,$F$9,IF(S208&lt;($F$9-$E$9)/($G$9-$E$9),$E$9+SQRT(S208*($G$9-$E$9)*($F$9-$E$9)),$G$9-SQRT((1-S208)*($G$9-$E$9)*($G$9-$F$9))))</f>
        <v>1.00920666605215</v>
      </c>
      <c r="F208" s="51" t="n">
        <f aca="false">1+IF($G$10=$E$10,$F$10,IF(T208&lt;($F$10-$E$10)/($G$10-$E$10),$E$10+SQRT(T208*($G$10-$E$10)*($F$10-$E$10)),$G$10-SQRT((1-T208)*($G$10-$E$10)*($G$10-$F$10))))</f>
        <v>0.980059469141531</v>
      </c>
      <c r="G208" s="52" t="n">
        <f aca="false">IF($G$11=$E$11,$F$11,IF(U208&lt;($F$11-$E$11)/($G$11-$E$11),$E$11+SQRT(U208*($G$11-$E$11)*($F$11-$E$11)),$G$11-SQRT((1-U208)*($G$11-$E$11)*($G$11-$F$11))))</f>
        <v>0.11024632449128</v>
      </c>
      <c r="H208" s="53" t="n">
        <f aca="false">(('Business Case'!B11*$C208*'Business Case'!B12*$B208)-'Business Case'!B11*$C208*'Business Case'!B13*$D208-'Business Case'!B14*$E208)-MAX(0,(('Business Case'!B11*$C208*'Business Case'!B12*$B208)-'Business Case'!B11*$C208*'Business Case'!B13*$D208-'Business Case'!B14*$E208))*'Business Case'!$B$7-'Business Case'!$B$8*('Business Case'!B11*$C208*'Business Case'!B12*$B208)-'Business Case'!B15*$F208</f>
        <v>-1960118938.28306</v>
      </c>
      <c r="I208" s="53" t="n">
        <f aca="false">(('Business Case'!C11*$C208*'Business Case'!C12*$B208)-'Business Case'!C11*$C208*'Business Case'!C13*$D208-'Business Case'!C14*$E208)-MAX(0,(('Business Case'!C11*$C208*'Business Case'!C12*$B208)-'Business Case'!C11*$C208*'Business Case'!C13*$D208-'Business Case'!C14*$E208))*'Business Case'!$B$7-'Business Case'!$B$8*(('Business Case'!C11*$C208*'Business Case'!C12*$B208)-('Business Case'!B11*$C208*'Business Case'!B12*$B208))-'Business Case'!C15*$F208</f>
        <v>57600079.1283846</v>
      </c>
      <c r="J208" s="53" t="n">
        <f aca="false">(('Business Case'!D11*$C208*'Business Case'!D12*$B208)-'Business Case'!D11*$C208*'Business Case'!D13*$D208-'Business Case'!D14*$E208)-MAX(0,(('Business Case'!D11*$C208*'Business Case'!D12*$B208)-'Business Case'!D11*$C208*'Business Case'!D13*$D208-'Business Case'!D14*$E208))*'Business Case'!$B$7-'Business Case'!$B$8*(('Business Case'!D11*$C208*'Business Case'!D12*$B208)-('Business Case'!C11*$C208*'Business Case'!C12*$B208))-'Business Case'!D15*$F208</f>
        <v>414813410.202071</v>
      </c>
      <c r="K208" s="53" t="n">
        <f aca="false">(('Business Case'!E11*$C208*'Business Case'!E12*$B208)-'Business Case'!E11*$C208*'Business Case'!E13*$D208-'Business Case'!E14*$E208)-MAX(0,(('Business Case'!E11*$C208*'Business Case'!E12*$B208)-'Business Case'!E11*$C208*'Business Case'!E13*$D208-'Business Case'!E14*$E208))*'Business Case'!$B$7-'Business Case'!$B$8*(('Business Case'!E11*$C208*'Business Case'!E12*$B208)-('Business Case'!D11*$C208*'Business Case'!D12*$B208))-'Business Case'!E15*$F208</f>
        <v>821029714.732833</v>
      </c>
      <c r="L208" s="53" t="n">
        <f aca="false">(('Business Case'!F11*$C208*'Business Case'!F12*$B208)-'Business Case'!F11*$C208*'Business Case'!F13*$D208-'Business Case'!F14*$E208)-MAX(0,(('Business Case'!F11*$C208*'Business Case'!F12*$B208)-'Business Case'!F11*$C208*'Business Case'!F13*$D208-'Business Case'!F14*$E208))*'Business Case'!$B$7-'Business Case'!$B$8*(('Business Case'!F11*$C208*'Business Case'!F12*$B208)-('Business Case'!E11*$C208*'Business Case'!E12*$B208))-'Business Case'!F15*$F208</f>
        <v>978832903.169749</v>
      </c>
      <c r="M208" s="53" t="n">
        <f aca="false">(('Business Case'!G11*$C208*'Business Case'!G12*$B208)-'Business Case'!G11*$C208*'Business Case'!G13*$D208-'Business Case'!G14*$E208)-MAX(0,(('Business Case'!G11*$C208*'Business Case'!G12*$B208)-'Business Case'!G11*$C208*'Business Case'!G13*$D208-'Business Case'!G14*$E208))*'Business Case'!$B$7-'Business Case'!$B$8*(('Business Case'!G11*$C208*'Business Case'!G12*$B208)-('Business Case'!F11*$C208*'Business Case'!F12*$B208))-'Business Case'!G15*$F208+'Business Case'!$B$8*('Business Case'!G11*$C208*'Business Case'!G12*$B208)</f>
        <v>1191859332.60437</v>
      </c>
      <c r="N208" s="53" t="n">
        <f aca="false">IF(COUNT('Business Case'!B11:G11)=0,"",H208+NPV(G208,I208:M208))</f>
        <v>378956105.82378</v>
      </c>
      <c r="P208" s="54" t="n">
        <f aca="true">RAND()</f>
        <v>0.610529559767495</v>
      </c>
      <c r="Q208" s="54" t="n">
        <f aca="true">RAND()</f>
        <v>0.98770254177667</v>
      </c>
      <c r="R208" s="54" t="n">
        <f aca="true">RAND()</f>
        <v>0.0886731652809894</v>
      </c>
      <c r="S208" s="54" t="n">
        <f aca="true">RAND()</f>
        <v>0.450438034042339</v>
      </c>
      <c r="T208" s="54" t="n">
        <f aca="true">RAND()</f>
        <v>0.0722857348056538</v>
      </c>
      <c r="U208" s="54" t="n">
        <f aca="true">RAND()</f>
        <v>0.841443023451006</v>
      </c>
    </row>
    <row r="209" customFormat="false" ht="15" hidden="false" customHeight="false" outlineLevel="0" collapsed="false">
      <c r="A209" s="50" t="n">
        <v>129</v>
      </c>
      <c r="B209" s="51" t="n">
        <f aca="false">1+IF($G$6=$E$6,$F$6,IF(P209&lt;($F$6-$E$6)/($G$6-$E$6),$E$6+SQRT(P209*($G$6-$E$6)*($F$6-$E$6)),$G$6-SQRT((1-P209)*($G$6-$E$6)*($G$6-$F$6))))</f>
        <v>0.96864197925783</v>
      </c>
      <c r="C209" s="51" t="n">
        <f aca="false">1+IF($G$7=$E$7,$F$7,IF(Q209&lt;($F$7-$E$7)/($G$7-$E$7),$E$7+SQRT(Q209*($G$7-$E$7)*($F$7-$E$7)),$G$7-SQRT((1-Q209)*($G$7-$E$7)*($G$7-$F$7))))</f>
        <v>0.924678009933691</v>
      </c>
      <c r="D209" s="51" t="n">
        <f aca="false">1+IF($G$8=$E$8,$F$8,IF(R209&lt;($F$8-$E$8)/($G$8-$E$8),$E$8+SQRT(R209*($G$8-$E$8)*($F$8-$E$8)),$G$8-SQRT((1-R209)*($G$8-$E$8)*($G$8-$F$8))))</f>
        <v>0.973002971836923</v>
      </c>
      <c r="E209" s="51" t="n">
        <f aca="false">1+IF($G$9=$E$9,$F$9,IF(S209&lt;($F$9-$E$9)/($G$9-$E$9),$E$9+SQRT(S209*($G$9-$E$9)*($F$9-$E$9)),$G$9-SQRT((1-S209)*($G$9-$E$9)*($G$9-$F$9))))</f>
        <v>0.96902821220734</v>
      </c>
      <c r="F209" s="51" t="n">
        <f aca="false">1+IF($G$10=$E$10,$F$10,IF(T209&lt;($F$10-$E$10)/($G$10-$E$10),$E$10+SQRT(T209*($G$10-$E$10)*($F$10-$E$10)),$G$10-SQRT((1-T209)*($G$10-$E$10)*($G$10-$F$10))))</f>
        <v>1.06030124314273</v>
      </c>
      <c r="G209" s="52" t="n">
        <f aca="false">IF($G$11=$E$11,$F$11,IF(U209&lt;($F$11-$E$11)/($G$11-$E$11),$E$11+SQRT(U209*($G$11-$E$11)*($F$11-$E$11)),$G$11-SQRT((1-U209)*($G$11-$E$11)*($G$11-$F$11))))</f>
        <v>0.112420150894912</v>
      </c>
      <c r="H209" s="53" t="n">
        <f aca="false">(('Business Case'!B11*$C209*'Business Case'!B12*$B209)-'Business Case'!B11*$C209*'Business Case'!B13*$D209-'Business Case'!B14*$E209)-MAX(0,(('Business Case'!B11*$C209*'Business Case'!B12*$B209)-'Business Case'!B11*$C209*'Business Case'!B13*$D209-'Business Case'!B14*$E209))*'Business Case'!$B$7-'Business Case'!$B$8*('Business Case'!B11*$C209*'Business Case'!B12*$B209)-'Business Case'!B15*$F209</f>
        <v>-2120602486.28547</v>
      </c>
      <c r="I209" s="53" t="n">
        <f aca="false">(('Business Case'!C11*$C209*'Business Case'!C12*$B209)-'Business Case'!C11*$C209*'Business Case'!C13*$D209-'Business Case'!C14*$E209)-MAX(0,(('Business Case'!C11*$C209*'Business Case'!C12*$B209)-'Business Case'!C11*$C209*'Business Case'!C13*$D209-'Business Case'!C14*$E209))*'Business Case'!$B$7-'Business Case'!$B$8*(('Business Case'!C11*$C209*'Business Case'!C12*$B209)-('Business Case'!B11*$C209*'Business Case'!B12*$B209))-'Business Case'!C15*$F209</f>
        <v>-17211913.7432493</v>
      </c>
      <c r="J209" s="53" t="n">
        <f aca="false">(('Business Case'!D11*$C209*'Business Case'!D12*$B209)-'Business Case'!D11*$C209*'Business Case'!D13*$D209-'Business Case'!D14*$E209)-MAX(0,(('Business Case'!D11*$C209*'Business Case'!D12*$B209)-'Business Case'!D11*$C209*'Business Case'!D13*$D209-'Business Case'!D14*$E209))*'Business Case'!$B$7-'Business Case'!$B$8*(('Business Case'!D11*$C209*'Business Case'!D12*$B209)-('Business Case'!C11*$C209*'Business Case'!C12*$B209))-'Business Case'!D15*$F209</f>
        <v>255834260.254978</v>
      </c>
      <c r="K209" s="53" t="n">
        <f aca="false">(('Business Case'!E11*$C209*'Business Case'!E12*$B209)-'Business Case'!E11*$C209*'Business Case'!E13*$D209-'Business Case'!E14*$E209)-MAX(0,(('Business Case'!E11*$C209*'Business Case'!E12*$B209)-'Business Case'!E11*$C209*'Business Case'!E13*$D209-'Business Case'!E14*$E209))*'Business Case'!$B$7-'Business Case'!$B$8*(('Business Case'!E11*$C209*'Business Case'!E12*$B209)-('Business Case'!D11*$C209*'Business Case'!D12*$B209))-'Business Case'!E15*$F209</f>
        <v>581895496.410342</v>
      </c>
      <c r="L209" s="53" t="n">
        <f aca="false">(('Business Case'!F11*$C209*'Business Case'!F12*$B209)-'Business Case'!F11*$C209*'Business Case'!F13*$D209-'Business Case'!F14*$E209)-MAX(0,(('Business Case'!F11*$C209*'Business Case'!F12*$B209)-'Business Case'!F11*$C209*'Business Case'!F13*$D209-'Business Case'!F14*$E209))*'Business Case'!$B$7-'Business Case'!$B$8*(('Business Case'!F11*$C209*'Business Case'!F12*$B209)-('Business Case'!E11*$C209*'Business Case'!E12*$B209))-'Business Case'!F15*$F209</f>
        <v>703865655.510631</v>
      </c>
      <c r="M209" s="53" t="n">
        <f aca="false">(('Business Case'!G11*$C209*'Business Case'!G12*$B209)-'Business Case'!G11*$C209*'Business Case'!G13*$D209-'Business Case'!G14*$E209)-MAX(0,(('Business Case'!G11*$C209*'Business Case'!G12*$B209)-'Business Case'!G11*$C209*'Business Case'!G13*$D209-'Business Case'!G14*$E209))*'Business Case'!$B$7-'Business Case'!$B$8*(('Business Case'!G11*$C209*'Business Case'!G12*$B209)-('Business Case'!F11*$C209*'Business Case'!F12*$B209))-'Business Case'!G15*$F209+'Business Case'!$B$8*('Business Case'!G11*$C209*'Business Case'!G12*$B209)</f>
        <v>874116878.232138</v>
      </c>
      <c r="N209" s="53" t="n">
        <f aca="false">IF(COUNT('Business Case'!B11:G11)=0,"",H209+NPV(G209,I209:M209))</f>
        <v>-533866762.095437</v>
      </c>
      <c r="P209" s="54" t="n">
        <f aca="true">RAND()</f>
        <v>0.246462723554081</v>
      </c>
      <c r="Q209" s="54" t="n">
        <f aca="true">RAND()</f>
        <v>0.222065802300364</v>
      </c>
      <c r="R209" s="54" t="n">
        <f aca="true">RAND()</f>
        <v>0.0814056482046544</v>
      </c>
      <c r="S209" s="54" t="n">
        <f aca="true">RAND()</f>
        <v>0.0482763813076725</v>
      </c>
      <c r="T209" s="54" t="n">
        <f aca="true">RAND()</f>
        <v>0.609685146650682</v>
      </c>
      <c r="U209" s="54" t="n">
        <f aca="true">RAND()</f>
        <v>0.904243145906819</v>
      </c>
    </row>
    <row r="210" customFormat="false" ht="15" hidden="false" customHeight="false" outlineLevel="0" collapsed="false">
      <c r="A210" s="50" t="n">
        <v>130</v>
      </c>
      <c r="B210" s="51" t="n">
        <f aca="false">1+IF($G$6=$E$6,$F$6,IF(P210&lt;($F$6-$E$6)/($G$6-$E$6),$E$6+SQRT(P210*($G$6-$E$6)*($F$6-$E$6)),$G$6-SQRT((1-P210)*($G$6-$E$6)*($G$6-$F$6))))</f>
        <v>1.01081412503932</v>
      </c>
      <c r="C210" s="51" t="n">
        <f aca="false">1+IF($G$7=$E$7,$F$7,IF(Q210&lt;($F$7-$E$7)/($G$7-$E$7),$E$7+SQRT(Q210*($G$7-$E$7)*($F$7-$E$7)),$G$7-SQRT((1-Q210)*($G$7-$E$7)*($G$7-$F$7))))</f>
        <v>0.840024875834848</v>
      </c>
      <c r="D210" s="51" t="n">
        <f aca="false">1+IF($G$8=$E$8,$F$8,IF(R210&lt;($F$8-$E$8)/($G$8-$E$8),$E$8+SQRT(R210*($G$8-$E$8)*($F$8-$E$8)),$G$8-SQRT((1-R210)*($G$8-$E$8)*($G$8-$F$8))))</f>
        <v>1.04913818185625</v>
      </c>
      <c r="E210" s="51" t="n">
        <f aca="false">1+IF($G$9=$E$9,$F$9,IF(S210&lt;($F$9-$E$9)/($G$9-$E$9),$E$9+SQRT(S210*($G$9-$E$9)*($F$9-$E$9)),$G$9-SQRT((1-S210)*($G$9-$E$9)*($G$9-$F$9))))</f>
        <v>1.06088024736703</v>
      </c>
      <c r="F210" s="51" t="n">
        <f aca="false">1+IF($G$10=$E$10,$F$10,IF(T210&lt;($F$10-$E$10)/($G$10-$E$10),$E$10+SQRT(T210*($G$10-$E$10)*($F$10-$E$10)),$G$10-SQRT((1-T210)*($G$10-$E$10)*($G$10-$F$10))))</f>
        <v>1.02339886510789</v>
      </c>
      <c r="G210" s="52" t="n">
        <f aca="false">IF($G$11=$E$11,$F$11,IF(U210&lt;($F$11-$E$11)/($G$11-$E$11),$E$11+SQRT(U210*($G$11-$E$11)*($F$11-$E$11)),$G$11-SQRT((1-U210)*($G$11-$E$11)*($G$11-$F$11))))</f>
        <v>0.101019838948348</v>
      </c>
      <c r="H210" s="53" t="n">
        <f aca="false">(('Business Case'!B11*$C210*'Business Case'!B12*$B210)-'Business Case'!B11*$C210*'Business Case'!B13*$D210-'Business Case'!B14*$E210)-MAX(0,(('Business Case'!B11*$C210*'Business Case'!B12*$B210)-'Business Case'!B11*$C210*'Business Case'!B13*$D210-'Business Case'!B14*$E210))*'Business Case'!$B$7-'Business Case'!$B$8*('Business Case'!B11*$C210*'Business Case'!B12*$B210)-'Business Case'!B15*$F210</f>
        <v>-2046797730.21578</v>
      </c>
      <c r="I210" s="53" t="n">
        <f aca="false">(('Business Case'!C11*$C210*'Business Case'!C12*$B210)-'Business Case'!C11*$C210*'Business Case'!C13*$D210-'Business Case'!C14*$E210)-MAX(0,(('Business Case'!C11*$C210*'Business Case'!C12*$B210)-'Business Case'!C11*$C210*'Business Case'!C13*$D210-'Business Case'!C14*$E210))*'Business Case'!$B$7-'Business Case'!$B$8*(('Business Case'!C11*$C210*'Business Case'!C12*$B210)-('Business Case'!B11*$C210*'Business Case'!B12*$B210))-'Business Case'!C15*$F210</f>
        <v>-52889661.1708531</v>
      </c>
      <c r="J210" s="53" t="n">
        <f aca="false">(('Business Case'!D11*$C210*'Business Case'!D12*$B210)-'Business Case'!D11*$C210*'Business Case'!D13*$D210-'Business Case'!D14*$E210)-MAX(0,(('Business Case'!D11*$C210*'Business Case'!D12*$B210)-'Business Case'!D11*$C210*'Business Case'!D13*$D210-'Business Case'!D14*$E210))*'Business Case'!$B$7-'Business Case'!$B$8*(('Business Case'!D11*$C210*'Business Case'!D12*$B210)-('Business Case'!C11*$C210*'Business Case'!C12*$B210))-'Business Case'!D15*$F210</f>
        <v>191435546.416764</v>
      </c>
      <c r="K210" s="53" t="n">
        <f aca="false">(('Business Case'!E11*$C210*'Business Case'!E12*$B210)-'Business Case'!E11*$C210*'Business Case'!E13*$D210-'Business Case'!E14*$E210)-MAX(0,(('Business Case'!E11*$C210*'Business Case'!E12*$B210)-'Business Case'!E11*$C210*'Business Case'!E13*$D210-'Business Case'!E14*$E210))*'Business Case'!$B$7-'Business Case'!$B$8*(('Business Case'!E11*$C210*'Business Case'!E12*$B210)-('Business Case'!D11*$C210*'Business Case'!D12*$B210))-'Business Case'!E15*$F210</f>
        <v>486930697.259775</v>
      </c>
      <c r="L210" s="53" t="n">
        <f aca="false">(('Business Case'!F11*$C210*'Business Case'!F12*$B210)-'Business Case'!F11*$C210*'Business Case'!F13*$D210-'Business Case'!F14*$E210)-MAX(0,(('Business Case'!F11*$C210*'Business Case'!F12*$B210)-'Business Case'!F11*$C210*'Business Case'!F13*$D210-'Business Case'!F14*$E210))*'Business Case'!$B$7-'Business Case'!$B$8*(('Business Case'!F11*$C210*'Business Case'!F12*$B210)-('Business Case'!E11*$C210*'Business Case'!E12*$B210))-'Business Case'!F15*$F210</f>
        <v>597717640.503707</v>
      </c>
      <c r="M210" s="53" t="n">
        <f aca="false">(('Business Case'!G11*$C210*'Business Case'!G12*$B210)-'Business Case'!G11*$C210*'Business Case'!G13*$D210-'Business Case'!G14*$E210)-MAX(0,(('Business Case'!G11*$C210*'Business Case'!G12*$B210)-'Business Case'!G11*$C210*'Business Case'!G13*$D210-'Business Case'!G14*$E210))*'Business Case'!$B$7-'Business Case'!$B$8*(('Business Case'!G11*$C210*'Business Case'!G12*$B210)-('Business Case'!F11*$C210*'Business Case'!F12*$B210))-'Business Case'!G15*$F210+'Business Case'!$B$8*('Business Case'!G11*$C210*'Business Case'!G12*$B210)</f>
        <v>759116281.101367</v>
      </c>
      <c r="N210" s="53" t="n">
        <f aca="false">IF(COUNT('Business Case'!B11:G11)=0,"",H210+NPV(G210,I210:M210))</f>
        <v>-696182638.385834</v>
      </c>
      <c r="P210" s="54" t="n">
        <f aca="true">RAND()</f>
        <v>0.822538479745689</v>
      </c>
      <c r="Q210" s="54" t="n">
        <f aca="true">RAND()</f>
        <v>0.0228855812227862</v>
      </c>
      <c r="R210" s="54" t="n">
        <f aca="true">RAND()</f>
        <v>0.908418094313676</v>
      </c>
      <c r="S210" s="54" t="n">
        <f aca="true">RAND()</f>
        <v>0.897976330262341</v>
      </c>
      <c r="T210" s="54" t="n">
        <f aca="true">RAND()</f>
        <v>0.376240783096391</v>
      </c>
      <c r="U210" s="54" t="n">
        <f aca="true">RAND()</f>
        <v>0.399589144088902</v>
      </c>
    </row>
    <row r="211" customFormat="false" ht="15" hidden="false" customHeight="false" outlineLevel="0" collapsed="false">
      <c r="A211" s="50" t="n">
        <v>131</v>
      </c>
      <c r="B211" s="51" t="n">
        <f aca="false">1+IF($G$6=$E$6,$F$6,IF(P211&lt;($F$6-$E$6)/($G$6-$E$6),$E$6+SQRT(P211*($G$6-$E$6)*($F$6-$E$6)),$G$6-SQRT((1-P211)*($G$6-$E$6)*($G$6-$F$6))))</f>
        <v>0.995995443617109</v>
      </c>
      <c r="C211" s="51" t="n">
        <f aca="false">1+IF($G$7=$E$7,$F$7,IF(Q211&lt;($F$7-$E$7)/($G$7-$E$7),$E$7+SQRT(Q211*($G$7-$E$7)*($F$7-$E$7)),$G$7-SQRT((1-Q211)*($G$7-$E$7)*($G$7-$F$7))))</f>
        <v>0.991529365626922</v>
      </c>
      <c r="D211" s="51" t="n">
        <f aca="false">1+IF($G$8=$E$8,$F$8,IF(R211&lt;($F$8-$E$8)/($G$8-$E$8),$E$8+SQRT(R211*($G$8-$E$8)*($F$8-$E$8)),$G$8-SQRT((1-R211)*($G$8-$E$8)*($G$8-$F$8))))</f>
        <v>1.0633263256433</v>
      </c>
      <c r="E211" s="51" t="n">
        <f aca="false">1+IF($G$9=$E$9,$F$9,IF(S211&lt;($F$9-$E$9)/($G$9-$E$9),$E$9+SQRT(S211*($G$9-$E$9)*($F$9-$E$9)),$G$9-SQRT((1-S211)*($G$9-$E$9)*($G$9-$F$9))))</f>
        <v>1.06120977724455</v>
      </c>
      <c r="F211" s="51" t="n">
        <f aca="false">1+IF($G$10=$E$10,$F$10,IF(T211&lt;($F$10-$E$10)/($G$10-$E$10),$E$10+SQRT(T211*($G$10-$E$10)*($F$10-$E$10)),$G$10-SQRT((1-T211)*($G$10-$E$10)*($G$10-$F$10))))</f>
        <v>1.18647392782947</v>
      </c>
      <c r="G211" s="52" t="n">
        <f aca="false">IF($G$11=$E$11,$F$11,IF(U211&lt;($F$11-$E$11)/($G$11-$E$11),$E$11+SQRT(U211*($G$11-$E$11)*($F$11-$E$11)),$G$11-SQRT((1-U211)*($G$11-$E$11)*($G$11-$F$11))))</f>
        <v>0.10745092877743</v>
      </c>
      <c r="H211" s="53" t="n">
        <f aca="false">(('Business Case'!B11*$C211*'Business Case'!B12*$B211)-'Business Case'!B11*$C211*'Business Case'!B13*$D211-'Business Case'!B14*$E211)-MAX(0,(('Business Case'!B11*$C211*'Business Case'!B12*$B211)-'Business Case'!B11*$C211*'Business Case'!B13*$D211-'Business Case'!B14*$E211))*'Business Case'!$B$7-'Business Case'!$B$8*('Business Case'!B11*$C211*'Business Case'!B12*$B211)-'Business Case'!B15*$F211</f>
        <v>-2372947855.65895</v>
      </c>
      <c r="I211" s="53" t="n">
        <f aca="false">(('Business Case'!C11*$C211*'Business Case'!C12*$B211)-'Business Case'!C11*$C211*'Business Case'!C13*$D211-'Business Case'!C14*$E211)-MAX(0,(('Business Case'!C11*$C211*'Business Case'!C12*$B211)-'Business Case'!C11*$C211*'Business Case'!C13*$D211-'Business Case'!C14*$E211))*'Business Case'!$B$7-'Business Case'!$B$8*(('Business Case'!C11*$C211*'Business Case'!C12*$B211)-('Business Case'!B11*$C211*'Business Case'!B12*$B211))-'Business Case'!C15*$F211</f>
        <v>-51591887.6255514</v>
      </c>
      <c r="J211" s="53" t="n">
        <f aca="false">(('Business Case'!D11*$C211*'Business Case'!D12*$B211)-'Business Case'!D11*$C211*'Business Case'!D13*$D211-'Business Case'!D14*$E211)-MAX(0,(('Business Case'!D11*$C211*'Business Case'!D12*$B211)-'Business Case'!D11*$C211*'Business Case'!D13*$D211-'Business Case'!D14*$E211))*'Business Case'!$B$7-'Business Case'!$B$8*(('Business Case'!D11*$C211*'Business Case'!D12*$B211)-('Business Case'!C11*$C211*'Business Case'!C12*$B211))-'Business Case'!D15*$F211</f>
        <v>217562692.438762</v>
      </c>
      <c r="K211" s="53" t="n">
        <f aca="false">(('Business Case'!E11*$C211*'Business Case'!E12*$B211)-'Business Case'!E11*$C211*'Business Case'!E13*$D211-'Business Case'!E14*$E211)-MAX(0,(('Business Case'!E11*$C211*'Business Case'!E12*$B211)-'Business Case'!E11*$C211*'Business Case'!E13*$D211-'Business Case'!E14*$E211))*'Business Case'!$B$7-'Business Case'!$B$8*(('Business Case'!E11*$C211*'Business Case'!E12*$B211)-('Business Case'!D11*$C211*'Business Case'!D12*$B211))-'Business Case'!E15*$F211</f>
        <v>546040968.89455</v>
      </c>
      <c r="L211" s="53" t="n">
        <f aca="false">(('Business Case'!F11*$C211*'Business Case'!F12*$B211)-'Business Case'!F11*$C211*'Business Case'!F13*$D211-'Business Case'!F14*$E211)-MAX(0,(('Business Case'!F11*$C211*'Business Case'!F12*$B211)-'Business Case'!F11*$C211*'Business Case'!F13*$D211-'Business Case'!F14*$E211))*'Business Case'!$B$7-'Business Case'!$B$8*(('Business Case'!F11*$C211*'Business Case'!F12*$B211)-('Business Case'!E11*$C211*'Business Case'!E12*$B211))-'Business Case'!F15*$F211</f>
        <v>669889191.971149</v>
      </c>
      <c r="M211" s="53" t="n">
        <f aca="false">(('Business Case'!G11*$C211*'Business Case'!G12*$B211)-'Business Case'!G11*$C211*'Business Case'!G13*$D211-'Business Case'!G14*$E211)-MAX(0,(('Business Case'!G11*$C211*'Business Case'!G12*$B211)-'Business Case'!G11*$C211*'Business Case'!G13*$D211-'Business Case'!G14*$E211))*'Business Case'!$B$7-'Business Case'!$B$8*(('Business Case'!G11*$C211*'Business Case'!G12*$B211)-('Business Case'!F11*$C211*'Business Case'!F12*$B211))-'Business Case'!G15*$F211+'Business Case'!$B$8*('Business Case'!G11*$C211*'Business Case'!G12*$B211)</f>
        <v>857604355.441205</v>
      </c>
      <c r="N211" s="53" t="n">
        <f aca="false">IF(COUNT('Business Case'!B11:G11)=0,"",H211+NPV(G211,I211:M211))</f>
        <v>-879933214.513876</v>
      </c>
      <c r="P211" s="54" t="n">
        <f aca="true">RAND()</f>
        <v>0.601594526100126</v>
      </c>
      <c r="Q211" s="54" t="n">
        <f aca="true">RAND()</f>
        <v>0.52404996996359</v>
      </c>
      <c r="R211" s="54" t="n">
        <f aca="true">RAND()</f>
        <v>0.973268133023721</v>
      </c>
      <c r="S211" s="54" t="n">
        <f aca="true">RAND()</f>
        <v>0.899687907905519</v>
      </c>
      <c r="T211" s="54" t="n">
        <f aca="true">RAND()</f>
        <v>0.996340907432754</v>
      </c>
      <c r="U211" s="54" t="n">
        <f aca="true">RAND()</f>
        <v>0.737534685751445</v>
      </c>
    </row>
    <row r="212" customFormat="false" ht="15" hidden="false" customHeight="false" outlineLevel="0" collapsed="false">
      <c r="A212" s="50" t="n">
        <v>132</v>
      </c>
      <c r="B212" s="51" t="n">
        <f aca="false">1+IF($G$6=$E$6,$F$6,IF(P212&lt;($F$6-$E$6)/($G$6-$E$6),$E$6+SQRT(P212*($G$6-$E$6)*($F$6-$E$6)),$G$6-SQRT((1-P212)*($G$6-$E$6)*($G$6-$F$6))))</f>
        <v>1.01318324637694</v>
      </c>
      <c r="C212" s="51" t="n">
        <f aca="false">1+IF($G$7=$E$7,$F$7,IF(Q212&lt;($F$7-$E$7)/($G$7-$E$7),$E$7+SQRT(Q212*($G$7-$E$7)*($F$7-$E$7)),$G$7-SQRT((1-Q212)*($G$7-$E$7)*($G$7-$F$7))))</f>
        <v>1.04419014213115</v>
      </c>
      <c r="D212" s="51" t="n">
        <f aca="false">1+IF($G$8=$E$8,$F$8,IF(R212&lt;($F$8-$E$8)/($G$8-$E$8),$E$8+SQRT(R212*($G$8-$E$8)*($F$8-$E$8)),$G$8-SQRT((1-R212)*($G$8-$E$8)*($G$8-$F$8))))</f>
        <v>1.00324801382778</v>
      </c>
      <c r="E212" s="51" t="n">
        <f aca="false">1+IF($G$9=$E$9,$F$9,IF(S212&lt;($F$9-$E$9)/($G$9-$E$9),$E$9+SQRT(S212*($G$9-$E$9)*($F$9-$E$9)),$G$9-SQRT((1-S212)*($G$9-$E$9)*($G$9-$F$9))))</f>
        <v>0.995931433203635</v>
      </c>
      <c r="F212" s="51" t="n">
        <f aca="false">1+IF($G$10=$E$10,$F$10,IF(T212&lt;($F$10-$E$10)/($G$10-$E$10),$E$10+SQRT(T212*($G$10-$E$10)*($F$10-$E$10)),$G$10-SQRT((1-T212)*($G$10-$E$10)*($G$10-$F$10))))</f>
        <v>1.05417469162813</v>
      </c>
      <c r="G212" s="52" t="n">
        <f aca="false">IF($G$11=$E$11,$F$11,IF(U212&lt;($F$11-$E$11)/($G$11-$E$11),$E$11+SQRT(U212*($G$11-$E$11)*($F$11-$E$11)),$G$11-SQRT((1-U212)*($G$11-$E$11)*($G$11-$F$11))))</f>
        <v>0.115066324211703</v>
      </c>
      <c r="H212" s="53" t="n">
        <f aca="false">(('Business Case'!B11*$C212*'Business Case'!B12*$B212)-'Business Case'!B11*$C212*'Business Case'!B13*$D212-'Business Case'!B14*$E212)-MAX(0,(('Business Case'!B11*$C212*'Business Case'!B12*$B212)-'Business Case'!B11*$C212*'Business Case'!B13*$D212-'Business Case'!B14*$E212))*'Business Case'!$B$7-'Business Case'!$B$8*('Business Case'!B11*$C212*'Business Case'!B12*$B212)-'Business Case'!B15*$F212</f>
        <v>-2108349383.25625</v>
      </c>
      <c r="I212" s="53" t="n">
        <f aca="false">(('Business Case'!C11*$C212*'Business Case'!C12*$B212)-'Business Case'!C11*$C212*'Business Case'!C13*$D212-'Business Case'!C14*$E212)-MAX(0,(('Business Case'!C11*$C212*'Business Case'!C12*$B212)-'Business Case'!C11*$C212*'Business Case'!C13*$D212-'Business Case'!C14*$E212))*'Business Case'!$B$7-'Business Case'!$B$8*(('Business Case'!C11*$C212*'Business Case'!C12*$B212)-('Business Case'!B11*$C212*'Business Case'!B12*$B212))-'Business Case'!C15*$F212</f>
        <v>28380729.8592446</v>
      </c>
      <c r="J212" s="53" t="n">
        <f aca="false">(('Business Case'!D11*$C212*'Business Case'!D12*$B212)-'Business Case'!D11*$C212*'Business Case'!D13*$D212-'Business Case'!D14*$E212)-MAX(0,(('Business Case'!D11*$C212*'Business Case'!D12*$B212)-'Business Case'!D11*$C212*'Business Case'!D13*$D212-'Business Case'!D14*$E212))*'Business Case'!$B$7-'Business Case'!$B$8*(('Business Case'!D11*$C212*'Business Case'!D12*$B212)-('Business Case'!C11*$C212*'Business Case'!C12*$B212))-'Business Case'!D15*$F212</f>
        <v>358644815.547612</v>
      </c>
      <c r="K212" s="53" t="n">
        <f aca="false">(('Business Case'!E11*$C212*'Business Case'!E12*$B212)-'Business Case'!E11*$C212*'Business Case'!E13*$D212-'Business Case'!E14*$E212)-MAX(0,(('Business Case'!E11*$C212*'Business Case'!E12*$B212)-'Business Case'!E11*$C212*'Business Case'!E13*$D212-'Business Case'!E14*$E212))*'Business Case'!$B$7-'Business Case'!$B$8*(('Business Case'!E11*$C212*'Business Case'!E12*$B212)-('Business Case'!D11*$C212*'Business Case'!D12*$B212))-'Business Case'!E15*$F212</f>
        <v>741617635.817386</v>
      </c>
      <c r="L212" s="53" t="n">
        <f aca="false">(('Business Case'!F11*$C212*'Business Case'!F12*$B212)-'Business Case'!F11*$C212*'Business Case'!F13*$D212-'Business Case'!F14*$E212)-MAX(0,(('Business Case'!F11*$C212*'Business Case'!F12*$B212)-'Business Case'!F11*$C212*'Business Case'!F13*$D212-'Business Case'!F14*$E212))*'Business Case'!$B$7-'Business Case'!$B$8*(('Business Case'!F11*$C212*'Business Case'!F12*$B212)-('Business Case'!E11*$C212*'Business Case'!E12*$B212))-'Business Case'!F15*$F212</f>
        <v>888268622.290011</v>
      </c>
      <c r="M212" s="53" t="n">
        <f aca="false">(('Business Case'!G11*$C212*'Business Case'!G12*$B212)-'Business Case'!G11*$C212*'Business Case'!G13*$D212-'Business Case'!G14*$E212)-MAX(0,(('Business Case'!G11*$C212*'Business Case'!G12*$B212)-'Business Case'!G11*$C212*'Business Case'!G13*$D212-'Business Case'!G14*$E212))*'Business Case'!$B$7-'Business Case'!$B$8*(('Business Case'!G11*$C212*'Business Case'!G12*$B212)-('Business Case'!F11*$C212*'Business Case'!F12*$B212))-'Business Case'!G15*$F212+'Business Case'!$B$8*('Business Case'!G11*$C212*'Business Case'!G12*$B212)</f>
        <v>1089364890.79411</v>
      </c>
      <c r="N212" s="53" t="n">
        <f aca="false">IF(COUNT('Business Case'!B11:G11)=0,"",H212+NPV(G212,I212:M212))</f>
        <v>-53046218.0480723</v>
      </c>
      <c r="P212" s="54" t="n">
        <f aca="true">RAND()</f>
        <v>0.850179526066631</v>
      </c>
      <c r="Q212" s="54" t="n">
        <f aca="true">RAND()</f>
        <v>0.786748075767109</v>
      </c>
      <c r="R212" s="54" t="n">
        <f aca="true">RAND()</f>
        <v>0.433570444098074</v>
      </c>
      <c r="S212" s="54" t="n">
        <f aca="true">RAND()</f>
        <v>0.281292874151992</v>
      </c>
      <c r="T212" s="54" t="n">
        <f aca="true">RAND()</f>
        <v>0.574699588764952</v>
      </c>
      <c r="U212" s="54" t="n">
        <f aca="true">RAND()</f>
        <v>0.959431405359949</v>
      </c>
    </row>
    <row r="213" customFormat="false" ht="15" hidden="false" customHeight="false" outlineLevel="0" collapsed="false">
      <c r="A213" s="50" t="n">
        <v>133</v>
      </c>
      <c r="B213" s="51" t="n">
        <f aca="false">1+IF($G$6=$E$6,$F$6,IF(P213&lt;($F$6-$E$6)/($G$6-$E$6),$E$6+SQRT(P213*($G$6-$E$6)*($F$6-$E$6)),$G$6-SQRT((1-P213)*($G$6-$E$6)*($G$6-$F$6))))</f>
        <v>1.00816429562844</v>
      </c>
      <c r="C213" s="51" t="n">
        <f aca="false">1+IF($G$7=$E$7,$F$7,IF(Q213&lt;($F$7-$E$7)/($G$7-$E$7),$E$7+SQRT(Q213*($G$7-$E$7)*($F$7-$E$7)),$G$7-SQRT((1-Q213)*($G$7-$E$7)*($G$7-$F$7))))</f>
        <v>0.943914807177956</v>
      </c>
      <c r="D213" s="51" t="n">
        <f aca="false">1+IF($G$8=$E$8,$F$8,IF(R213&lt;($F$8-$E$8)/($G$8-$E$8),$E$8+SQRT(R213*($G$8-$E$8)*($F$8-$E$8)),$G$8-SQRT((1-R213)*($G$8-$E$8)*($G$8-$F$8))))</f>
        <v>1.00559363073813</v>
      </c>
      <c r="E213" s="51" t="n">
        <f aca="false">1+IF($G$9=$E$9,$F$9,IF(S213&lt;($F$9-$E$9)/($G$9-$E$9),$E$9+SQRT(S213*($G$9-$E$9)*($F$9-$E$9)),$G$9-SQRT((1-S213)*($G$9-$E$9)*($G$9-$F$9))))</f>
        <v>0.977792425958981</v>
      </c>
      <c r="F213" s="51" t="n">
        <f aca="false">1+IF($G$10=$E$10,$F$10,IF(T213&lt;($F$10-$E$10)/($G$10-$E$10),$E$10+SQRT(T213*($G$10-$E$10)*($F$10-$E$10)),$G$10-SQRT((1-T213)*($G$10-$E$10)*($G$10-$F$10))))</f>
        <v>1.0323512714661</v>
      </c>
      <c r="G213" s="52" t="n">
        <f aca="false">IF($G$11=$E$11,$F$11,IF(U213&lt;($F$11-$E$11)/($G$11-$E$11),$E$11+SQRT(U213*($G$11-$E$11)*($F$11-$E$11)),$G$11-SQRT((1-U213)*($G$11-$E$11)*($G$11-$F$11))))</f>
        <v>0.117500133192486</v>
      </c>
      <c r="H213" s="53" t="n">
        <f aca="false">(('Business Case'!B11*$C213*'Business Case'!B12*$B213)-'Business Case'!B11*$C213*'Business Case'!B13*$D213-'Business Case'!B14*$E213)-MAX(0,(('Business Case'!B11*$C213*'Business Case'!B12*$B213)-'Business Case'!B11*$C213*'Business Case'!B13*$D213-'Business Case'!B14*$E213))*'Business Case'!$B$7-'Business Case'!$B$8*('Business Case'!B11*$C213*'Business Case'!B12*$B213)-'Business Case'!B15*$F213</f>
        <v>-2064702542.9322</v>
      </c>
      <c r="I213" s="53" t="n">
        <f aca="false">(('Business Case'!C11*$C213*'Business Case'!C12*$B213)-'Business Case'!C11*$C213*'Business Case'!C13*$D213-'Business Case'!C14*$E213)-MAX(0,(('Business Case'!C11*$C213*'Business Case'!C12*$B213)-'Business Case'!C11*$C213*'Business Case'!C13*$D213-'Business Case'!C14*$E213))*'Business Case'!$B$7-'Business Case'!$B$8*(('Business Case'!C11*$C213*'Business Case'!C12*$B213)-('Business Case'!B11*$C213*'Business Case'!B12*$B213))-'Business Case'!C15*$F213</f>
        <v>1925271.4819179</v>
      </c>
      <c r="J213" s="53" t="n">
        <f aca="false">(('Business Case'!D11*$C213*'Business Case'!D12*$B213)-'Business Case'!D11*$C213*'Business Case'!D13*$D213-'Business Case'!D14*$E213)-MAX(0,(('Business Case'!D11*$C213*'Business Case'!D12*$B213)-'Business Case'!D11*$C213*'Business Case'!D13*$D213-'Business Case'!D14*$E213))*'Business Case'!$B$7-'Business Case'!$B$8*(('Business Case'!D11*$C213*'Business Case'!D12*$B213)-('Business Case'!C11*$C213*'Business Case'!C12*$B213))-'Business Case'!D15*$F213</f>
        <v>295459796.437753</v>
      </c>
      <c r="K213" s="53" t="n">
        <f aca="false">(('Business Case'!E11*$C213*'Business Case'!E12*$B213)-'Business Case'!E11*$C213*'Business Case'!E13*$D213-'Business Case'!E14*$E213)-MAX(0,(('Business Case'!E11*$C213*'Business Case'!E12*$B213)-'Business Case'!E11*$C213*'Business Case'!E13*$D213-'Business Case'!E14*$E213))*'Business Case'!$B$7-'Business Case'!$B$8*(('Business Case'!E11*$C213*'Business Case'!E12*$B213)-('Business Case'!D11*$C213*'Business Case'!D12*$B213))-'Business Case'!E15*$F213</f>
        <v>640611884.966893</v>
      </c>
      <c r="L213" s="53" t="n">
        <f aca="false">(('Business Case'!F11*$C213*'Business Case'!F12*$B213)-'Business Case'!F11*$C213*'Business Case'!F13*$D213-'Business Case'!F14*$E213)-MAX(0,(('Business Case'!F11*$C213*'Business Case'!F12*$B213)-'Business Case'!F11*$C213*'Business Case'!F13*$D213-'Business Case'!F14*$E213))*'Business Case'!$B$7-'Business Case'!$B$8*(('Business Case'!F11*$C213*'Business Case'!F12*$B213)-('Business Case'!E11*$C213*'Business Case'!E12*$B213))-'Business Case'!F15*$F213</f>
        <v>771344755.522799</v>
      </c>
      <c r="M213" s="53" t="n">
        <f aca="false">(('Business Case'!G11*$C213*'Business Case'!G12*$B213)-'Business Case'!G11*$C213*'Business Case'!G13*$D213-'Business Case'!G14*$E213)-MAX(0,(('Business Case'!G11*$C213*'Business Case'!G12*$B213)-'Business Case'!G11*$C213*'Business Case'!G13*$D213-'Business Case'!G14*$E213))*'Business Case'!$B$7-'Business Case'!$B$8*(('Business Case'!G11*$C213*'Business Case'!G12*$B213)-('Business Case'!F11*$C213*'Business Case'!F12*$B213))-'Business Case'!G15*$F213+'Business Case'!$B$8*('Business Case'!G11*$C213*'Business Case'!G12*$B213)</f>
        <v>952228914.494581</v>
      </c>
      <c r="N213" s="53" t="n">
        <f aca="false">IF(COUNT('Business Case'!B11:G11)=0,"",H213+NPV(G213,I213:M213))</f>
        <v>-326348631.399916</v>
      </c>
      <c r="P213" s="54" t="n">
        <f aca="true">RAND()</f>
        <v>0.788851651493039</v>
      </c>
      <c r="Q213" s="54" t="n">
        <f aca="true">RAND()</f>
        <v>0.295878167500976</v>
      </c>
      <c r="R213" s="54" t="n">
        <f aca="true">RAND()</f>
        <v>0.467662712814044</v>
      </c>
      <c r="S213" s="54" t="n">
        <f aca="true">RAND()</f>
        <v>0.102989192091389</v>
      </c>
      <c r="T213" s="54" t="n">
        <f aca="true">RAND()</f>
        <v>0.437878076419319</v>
      </c>
      <c r="U213" s="54" t="n">
        <f aca="true">RAND()</f>
        <v>0.989584443241146</v>
      </c>
    </row>
    <row r="214" customFormat="false" ht="15" hidden="false" customHeight="false" outlineLevel="0" collapsed="false">
      <c r="A214" s="50" t="n">
        <v>134</v>
      </c>
      <c r="B214" s="51" t="n">
        <f aca="false">1+IF($G$6=$E$6,$F$6,IF(P214&lt;($F$6-$E$6)/($G$6-$E$6),$E$6+SQRT(P214*($G$6-$E$6)*($F$6-$E$6)),$G$6-SQRT((1-P214)*($G$6-$E$6)*($G$6-$F$6))))</f>
        <v>1.00752549592749</v>
      </c>
      <c r="C214" s="51" t="n">
        <f aca="false">1+IF($G$7=$E$7,$F$7,IF(Q214&lt;($F$7-$E$7)/($G$7-$E$7),$E$7+SQRT(Q214*($G$7-$E$7)*($F$7-$E$7)),$G$7-SQRT((1-Q214)*($G$7-$E$7)*($G$7-$F$7))))</f>
        <v>0.92246714249974</v>
      </c>
      <c r="D214" s="51" t="n">
        <f aca="false">1+IF($G$8=$E$8,$F$8,IF(R214&lt;($F$8-$E$8)/($G$8-$E$8),$E$8+SQRT(R214*($G$8-$E$8)*($F$8-$E$8)),$G$8-SQRT((1-R214)*($G$8-$E$8)*($G$8-$F$8))))</f>
        <v>0.970355620157743</v>
      </c>
      <c r="E214" s="51" t="n">
        <f aca="false">1+IF($G$9=$E$9,$F$9,IF(S214&lt;($F$9-$E$9)/($G$9-$E$9),$E$9+SQRT(S214*($G$9-$E$9)*($F$9-$E$9)),$G$9-SQRT((1-S214)*($G$9-$E$9)*($G$9-$F$9))))</f>
        <v>1.00245732186235</v>
      </c>
      <c r="F214" s="51" t="n">
        <f aca="false">1+IF($G$10=$E$10,$F$10,IF(T214&lt;($F$10-$E$10)/($G$10-$E$10),$E$10+SQRT(T214*($G$10-$E$10)*($F$10-$E$10)),$G$10-SQRT((1-T214)*($G$10-$E$10)*($G$10-$F$10))))</f>
        <v>1.07218645192123</v>
      </c>
      <c r="G214" s="52" t="n">
        <f aca="false">IF($G$11=$E$11,$F$11,IF(U214&lt;($F$11-$E$11)/($G$11-$E$11),$E$11+SQRT(U214*($G$11-$E$11)*($F$11-$E$11)),$G$11-SQRT((1-U214)*($G$11-$E$11)*($G$11-$F$11))))</f>
        <v>0.108350295079657</v>
      </c>
      <c r="H214" s="53" t="n">
        <f aca="false">(('Business Case'!B11*$C214*'Business Case'!B12*$B214)-'Business Case'!B11*$C214*'Business Case'!B13*$D214-'Business Case'!B14*$E214)-MAX(0,(('Business Case'!B11*$C214*'Business Case'!B12*$B214)-'Business Case'!B11*$C214*'Business Case'!B13*$D214-'Business Case'!B14*$E214))*'Business Case'!$B$7-'Business Case'!$B$8*('Business Case'!B11*$C214*'Business Case'!B12*$B214)-'Business Case'!B15*$F214</f>
        <v>-2144372903.84246</v>
      </c>
      <c r="I214" s="53" t="n">
        <f aca="false">(('Business Case'!C11*$C214*'Business Case'!C12*$B214)-'Business Case'!C11*$C214*'Business Case'!C13*$D214-'Business Case'!C14*$E214)-MAX(0,(('Business Case'!C11*$C214*'Business Case'!C12*$B214)-'Business Case'!C11*$C214*'Business Case'!C13*$D214-'Business Case'!C14*$E214))*'Business Case'!$B$7-'Business Case'!$B$8*(('Business Case'!C11*$C214*'Business Case'!C12*$B214)-('Business Case'!B11*$C214*'Business Case'!B12*$B214))-'Business Case'!C15*$F214</f>
        <v>5073943.80481669</v>
      </c>
      <c r="J214" s="53" t="n">
        <f aca="false">(('Business Case'!D11*$C214*'Business Case'!D12*$B214)-'Business Case'!D11*$C214*'Business Case'!D13*$D214-'Business Case'!D14*$E214)-MAX(0,(('Business Case'!D11*$C214*'Business Case'!D12*$B214)-'Business Case'!D11*$C214*'Business Case'!D13*$D214-'Business Case'!D14*$E214))*'Business Case'!$B$7-'Business Case'!$B$8*(('Business Case'!D11*$C214*'Business Case'!D12*$B214)-('Business Case'!C11*$C214*'Business Case'!C12*$B214))-'Business Case'!D15*$F214</f>
        <v>308096535.095788</v>
      </c>
      <c r="K214" s="53" t="n">
        <f aca="false">(('Business Case'!E11*$C214*'Business Case'!E12*$B214)-'Business Case'!E11*$C214*'Business Case'!E13*$D214-'Business Case'!E14*$E214)-MAX(0,(('Business Case'!E11*$C214*'Business Case'!E12*$B214)-'Business Case'!E11*$C214*'Business Case'!E13*$D214-'Business Case'!E14*$E214))*'Business Case'!$B$7-'Business Case'!$B$8*(('Business Case'!E11*$C214*'Business Case'!E12*$B214)-('Business Case'!D11*$C214*'Business Case'!D12*$B214))-'Business Case'!E15*$F214</f>
        <v>664728448.98282</v>
      </c>
      <c r="L214" s="53" t="n">
        <f aca="false">(('Business Case'!F11*$C214*'Business Case'!F12*$B214)-'Business Case'!F11*$C214*'Business Case'!F13*$D214-'Business Case'!F14*$E214)-MAX(0,(('Business Case'!F11*$C214*'Business Case'!F12*$B214)-'Business Case'!F11*$C214*'Business Case'!F13*$D214-'Business Case'!F14*$E214))*'Business Case'!$B$7-'Business Case'!$B$8*(('Business Case'!F11*$C214*'Business Case'!F12*$B214)-('Business Case'!E11*$C214*'Business Case'!E12*$B214))-'Business Case'!F15*$F214</f>
        <v>797856360.163281</v>
      </c>
      <c r="M214" s="53" t="n">
        <f aca="false">(('Business Case'!G11*$C214*'Business Case'!G12*$B214)-'Business Case'!G11*$C214*'Business Case'!G13*$D214-'Business Case'!G14*$E214)-MAX(0,(('Business Case'!G11*$C214*'Business Case'!G12*$B214)-'Business Case'!G11*$C214*'Business Case'!G13*$D214-'Business Case'!G14*$E214))*'Business Case'!$B$7-'Business Case'!$B$8*(('Business Case'!G11*$C214*'Business Case'!G12*$B214)-('Business Case'!F11*$C214*'Business Case'!F12*$B214))-'Business Case'!G15*$F214+'Business Case'!$B$8*('Business Case'!G11*$C214*'Business Case'!G12*$B214)</f>
        <v>974518454.289034</v>
      </c>
      <c r="N214" s="53" t="n">
        <f aca="false">IF(COUNT('Business Case'!B11:G11)=0,"",H214+NPV(G214,I214:M214))</f>
        <v>-289419768.996953</v>
      </c>
      <c r="P214" s="54" t="n">
        <f aca="true">RAND()</f>
        <v>0.780293038592651</v>
      </c>
      <c r="Q214" s="54" t="n">
        <f aca="true">RAND()</f>
        <v>0.214260014172166</v>
      </c>
      <c r="R214" s="54" t="n">
        <f aca="true">RAND()</f>
        <v>0.0637463495394338</v>
      </c>
      <c r="S214" s="54" t="n">
        <f aca="true">RAND()</f>
        <v>0.365695062782296</v>
      </c>
      <c r="T214" s="54" t="n">
        <f aca="true">RAND()</f>
        <v>0.673273938550318</v>
      </c>
      <c r="U214" s="54" t="n">
        <f aca="true">RAND()</f>
        <v>0.77380729211488</v>
      </c>
    </row>
    <row r="215" customFormat="false" ht="15" hidden="false" customHeight="false" outlineLevel="0" collapsed="false">
      <c r="A215" s="50" t="n">
        <v>135</v>
      </c>
      <c r="B215" s="51" t="n">
        <f aca="false">1+IF($G$6=$E$6,$F$6,IF(P215&lt;($F$6-$E$6)/($G$6-$E$6),$E$6+SQRT(P215*($G$6-$E$6)*($F$6-$E$6)),$G$6-SQRT((1-P215)*($G$6-$E$6)*($G$6-$F$6))))</f>
        <v>0.950480666784781</v>
      </c>
      <c r="C215" s="51" t="n">
        <f aca="false">1+IF($G$7=$E$7,$F$7,IF(Q215&lt;($F$7-$E$7)/($G$7-$E$7),$E$7+SQRT(Q215*($G$7-$E$7)*($F$7-$E$7)),$G$7-SQRT((1-Q215)*($G$7-$E$7)*($G$7-$F$7))))</f>
        <v>0.872830929329242</v>
      </c>
      <c r="D215" s="51" t="n">
        <f aca="false">1+IF($G$8=$E$8,$F$8,IF(R215&lt;($F$8-$E$8)/($G$8-$E$8),$E$8+SQRT(R215*($G$8-$E$8)*($F$8-$E$8)),$G$8-SQRT((1-R215)*($G$8-$E$8)*($G$8-$F$8))))</f>
        <v>1.04532940817493</v>
      </c>
      <c r="E215" s="51" t="n">
        <f aca="false">1+IF($G$9=$E$9,$F$9,IF(S215&lt;($F$9-$E$9)/($G$9-$E$9),$E$9+SQRT(S215*($G$9-$E$9)*($F$9-$E$9)),$G$9-SQRT((1-S215)*($G$9-$E$9)*($G$9-$F$9))))</f>
        <v>1.0210549879955</v>
      </c>
      <c r="F215" s="51" t="n">
        <f aca="false">1+IF($G$10=$E$10,$F$10,IF(T215&lt;($F$10-$E$10)/($G$10-$E$10),$E$10+SQRT(T215*($G$10-$E$10)*($F$10-$E$10)),$G$10-SQRT((1-T215)*($G$10-$E$10)*($G$10-$F$10))))</f>
        <v>1.02805872786189</v>
      </c>
      <c r="G215" s="52" t="n">
        <f aca="false">IF($G$11=$E$11,$F$11,IF(U215&lt;($F$11-$E$11)/($G$11-$E$11),$E$11+SQRT(U215*($G$11-$E$11)*($F$11-$E$11)),$G$11-SQRT((1-U215)*($G$11-$E$11)*($G$11-$F$11))))</f>
        <v>0.112499163300702</v>
      </c>
      <c r="H215" s="53" t="n">
        <f aca="false">(('Business Case'!B11*$C215*'Business Case'!B12*$B215)-'Business Case'!B11*$C215*'Business Case'!B13*$D215-'Business Case'!B14*$E215)-MAX(0,(('Business Case'!B11*$C215*'Business Case'!B12*$B215)-'Business Case'!B11*$C215*'Business Case'!B13*$D215-'Business Case'!B14*$E215))*'Business Case'!$B$7-'Business Case'!$B$8*('Business Case'!B11*$C215*'Business Case'!B12*$B215)-'Business Case'!B15*$F215</f>
        <v>-2056117455.72378</v>
      </c>
      <c r="I215" s="53" t="n">
        <f aca="false">(('Business Case'!C11*$C215*'Business Case'!C12*$B215)-'Business Case'!C11*$C215*'Business Case'!C13*$D215-'Business Case'!C14*$E215)-MAX(0,(('Business Case'!C11*$C215*'Business Case'!C12*$B215)-'Business Case'!C11*$C215*'Business Case'!C13*$D215-'Business Case'!C14*$E215))*'Business Case'!$B$7-'Business Case'!$B$8*(('Business Case'!C11*$C215*'Business Case'!C12*$B215)-('Business Case'!B11*$C215*'Business Case'!B12*$B215))-'Business Case'!C15*$F215</f>
        <v>-78571056.1261973</v>
      </c>
      <c r="J215" s="53" t="n">
        <f aca="false">(('Business Case'!D11*$C215*'Business Case'!D12*$B215)-'Business Case'!D11*$C215*'Business Case'!D13*$D215-'Business Case'!D14*$E215)-MAX(0,(('Business Case'!D11*$C215*'Business Case'!D12*$B215)-'Business Case'!D11*$C215*'Business Case'!D13*$D215-'Business Case'!D14*$E215))*'Business Case'!$B$7-'Business Case'!$B$8*(('Business Case'!D11*$C215*'Business Case'!D12*$B215)-('Business Case'!C11*$C215*'Business Case'!C12*$B215))-'Business Case'!D15*$F215</f>
        <v>133864706.431323</v>
      </c>
      <c r="K215" s="53" t="n">
        <f aca="false">(('Business Case'!E11*$C215*'Business Case'!E12*$B215)-'Business Case'!E11*$C215*'Business Case'!E13*$D215-'Business Case'!E14*$E215)-MAX(0,(('Business Case'!E11*$C215*'Business Case'!E12*$B215)-'Business Case'!E11*$C215*'Business Case'!E13*$D215-'Business Case'!E14*$E215))*'Business Case'!$B$7-'Business Case'!$B$8*(('Business Case'!E11*$C215*'Business Case'!E12*$B215)-('Business Case'!D11*$C215*'Business Case'!D12*$B215))-'Business Case'!E15*$F215</f>
        <v>397703405.381938</v>
      </c>
      <c r="L215" s="53" t="n">
        <f aca="false">(('Business Case'!F11*$C215*'Business Case'!F12*$B215)-'Business Case'!F11*$C215*'Business Case'!F13*$D215-'Business Case'!F14*$E215)-MAX(0,(('Business Case'!F11*$C215*'Business Case'!F12*$B215)-'Business Case'!F11*$C215*'Business Case'!F13*$D215-'Business Case'!F14*$E215))*'Business Case'!$B$7-'Business Case'!$B$8*(('Business Case'!F11*$C215*'Business Case'!F12*$B215)-('Business Case'!E11*$C215*'Business Case'!E12*$B215))-'Business Case'!F15*$F215</f>
        <v>497186610.637491</v>
      </c>
      <c r="M215" s="53" t="n">
        <f aca="false">(('Business Case'!G11*$C215*'Business Case'!G12*$B215)-'Business Case'!G11*$C215*'Business Case'!G13*$D215-'Business Case'!G14*$E215)-MAX(0,(('Business Case'!G11*$C215*'Business Case'!G12*$B215)-'Business Case'!G11*$C215*'Business Case'!G13*$D215-'Business Case'!G14*$E215))*'Business Case'!$B$7-'Business Case'!$B$8*(('Business Case'!G11*$C215*'Business Case'!G12*$B215)-('Business Case'!F11*$C215*'Business Case'!F12*$B215))-'Business Case'!G15*$F215+'Business Case'!$B$8*('Business Case'!G11*$C215*'Business Case'!G12*$B215)</f>
        <v>654878674.854242</v>
      </c>
      <c r="N215" s="53" t="n">
        <f aca="false">IF(COUNT('Business Case'!B11:G11)=0,"",H215+NPV(G215,I215:M215))</f>
        <v>-1020869150.75128</v>
      </c>
      <c r="P215" s="54" t="n">
        <f aca="true">RAND()</f>
        <v>0.0967782341296743</v>
      </c>
      <c r="Q215" s="54" t="n">
        <f aca="true">RAND()</f>
        <v>0.0757763466708727</v>
      </c>
      <c r="R215" s="54" t="n">
        <f aca="true">RAND()</f>
        <v>0.884418275240325</v>
      </c>
      <c r="S215" s="54" t="n">
        <f aca="true">RAND()</f>
        <v>0.584512338640646</v>
      </c>
      <c r="T215" s="54" t="n">
        <f aca="true">RAND()</f>
        <v>0.408723978710564</v>
      </c>
      <c r="U215" s="54" t="n">
        <f aca="true">RAND()</f>
        <v>0.906229081350772</v>
      </c>
    </row>
    <row r="216" customFormat="false" ht="15" hidden="false" customHeight="false" outlineLevel="0" collapsed="false">
      <c r="A216" s="50" t="n">
        <v>136</v>
      </c>
      <c r="B216" s="51" t="n">
        <f aca="false">1+IF($G$6=$E$6,$F$6,IF(P216&lt;($F$6-$E$6)/($G$6-$E$6),$E$6+SQRT(P216*($G$6-$E$6)*($F$6-$E$6)),$G$6-SQRT((1-P216)*($G$6-$E$6)*($G$6-$F$6))))</f>
        <v>0.966420521564404</v>
      </c>
      <c r="C216" s="51" t="n">
        <f aca="false">1+IF($G$7=$E$7,$F$7,IF(Q216&lt;($F$7-$E$7)/($G$7-$E$7),$E$7+SQRT(Q216*($G$7-$E$7)*($F$7-$E$7)),$G$7-SQRT((1-Q216)*($G$7-$E$7)*($G$7-$F$7))))</f>
        <v>1.10182899850648</v>
      </c>
      <c r="D216" s="51" t="n">
        <f aca="false">1+IF($G$8=$E$8,$F$8,IF(R216&lt;($F$8-$E$8)/($G$8-$E$8),$E$8+SQRT(R216*($G$8-$E$8)*($F$8-$E$8)),$G$8-SQRT((1-R216)*($G$8-$E$8)*($G$8-$F$8))))</f>
        <v>0.961258100914964</v>
      </c>
      <c r="E216" s="51" t="n">
        <f aca="false">1+IF($G$9=$E$9,$F$9,IF(S216&lt;($F$9-$E$9)/($G$9-$E$9),$E$9+SQRT(S216*($G$9-$E$9)*($F$9-$E$9)),$G$9-SQRT((1-S216)*($G$9-$E$9)*($G$9-$F$9))))</f>
        <v>1.00063039688389</v>
      </c>
      <c r="F216" s="51" t="n">
        <f aca="false">1+IF($G$10=$E$10,$F$10,IF(T216&lt;($F$10-$E$10)/($G$10-$E$10),$E$10+SQRT(T216*($G$10-$E$10)*($F$10-$E$10)),$G$10-SQRT((1-T216)*($G$10-$E$10)*($G$10-$F$10))))</f>
        <v>1.04714398021476</v>
      </c>
      <c r="G216" s="52" t="n">
        <f aca="false">IF($G$11=$E$11,$F$11,IF(U216&lt;($F$11-$E$11)/($G$11-$E$11),$E$11+SQRT(U216*($G$11-$E$11)*($F$11-$E$11)),$G$11-SQRT((1-U216)*($G$11-$E$11)*($G$11-$F$11))))</f>
        <v>0.10579969130108</v>
      </c>
      <c r="H216" s="53" t="n">
        <f aca="false">(('Business Case'!B11*$C216*'Business Case'!B12*$B216)-'Business Case'!B11*$C216*'Business Case'!B13*$D216-'Business Case'!B14*$E216)-MAX(0,(('Business Case'!B11*$C216*'Business Case'!B12*$B216)-'Business Case'!B11*$C216*'Business Case'!B13*$D216-'Business Case'!B14*$E216))*'Business Case'!$B$7-'Business Case'!$B$8*('Business Case'!B11*$C216*'Business Case'!B12*$B216)-'Business Case'!B15*$F216</f>
        <v>-2094287960.42953</v>
      </c>
      <c r="I216" s="53" t="n">
        <f aca="false">(('Business Case'!C11*$C216*'Business Case'!C12*$B216)-'Business Case'!C11*$C216*'Business Case'!C13*$D216-'Business Case'!C14*$E216)-MAX(0,(('Business Case'!C11*$C216*'Business Case'!C12*$B216)-'Business Case'!C11*$C216*'Business Case'!C13*$D216-'Business Case'!C14*$E216))*'Business Case'!$B$7-'Business Case'!$B$8*(('Business Case'!C11*$C216*'Business Case'!C12*$B216)-('Business Case'!B11*$C216*'Business Case'!B12*$B216))-'Business Case'!C15*$F216</f>
        <v>27771730.7759607</v>
      </c>
      <c r="J216" s="53" t="n">
        <f aca="false">(('Business Case'!D11*$C216*'Business Case'!D12*$B216)-'Business Case'!D11*$C216*'Business Case'!D13*$D216-'Business Case'!D14*$E216)-MAX(0,(('Business Case'!D11*$C216*'Business Case'!D12*$B216)-'Business Case'!D11*$C216*'Business Case'!D13*$D216-'Business Case'!D14*$E216))*'Business Case'!$B$7-'Business Case'!$B$8*(('Business Case'!D11*$C216*'Business Case'!D12*$B216)-('Business Case'!C11*$C216*'Business Case'!C12*$B216))-'Business Case'!D15*$F216</f>
        <v>357748297.266814</v>
      </c>
      <c r="K216" s="53" t="n">
        <f aca="false">(('Business Case'!E11*$C216*'Business Case'!E12*$B216)-'Business Case'!E11*$C216*'Business Case'!E13*$D216-'Business Case'!E14*$E216)-MAX(0,(('Business Case'!E11*$C216*'Business Case'!E12*$B216)-'Business Case'!E11*$C216*'Business Case'!E13*$D216-'Business Case'!E14*$E216))*'Business Case'!$B$7-'Business Case'!$B$8*(('Business Case'!E11*$C216*'Business Case'!E12*$B216)-('Business Case'!D11*$C216*'Business Case'!D12*$B216))-'Business Case'!E15*$F216</f>
        <v>740082062.768405</v>
      </c>
      <c r="L216" s="53" t="n">
        <f aca="false">(('Business Case'!F11*$C216*'Business Case'!F12*$B216)-'Business Case'!F11*$C216*'Business Case'!F13*$D216-'Business Case'!F14*$E216)-MAX(0,(('Business Case'!F11*$C216*'Business Case'!F12*$B216)-'Business Case'!F11*$C216*'Business Case'!F13*$D216-'Business Case'!F14*$E216))*'Business Case'!$B$7-'Business Case'!$B$8*(('Business Case'!F11*$C216*'Business Case'!F12*$B216)-('Business Case'!E11*$C216*'Business Case'!E12*$B216))-'Business Case'!F15*$F216</f>
        <v>886874781.769708</v>
      </c>
      <c r="M216" s="53" t="n">
        <f aca="false">(('Business Case'!G11*$C216*'Business Case'!G12*$B216)-'Business Case'!G11*$C216*'Business Case'!G13*$D216-'Business Case'!G14*$E216)-MAX(0,(('Business Case'!G11*$C216*'Business Case'!G12*$B216)-'Business Case'!G11*$C216*'Business Case'!G13*$D216-'Business Case'!G14*$E216))*'Business Case'!$B$7-'Business Case'!$B$8*(('Business Case'!G11*$C216*'Business Case'!G12*$B216)-('Business Case'!F11*$C216*'Business Case'!F12*$B216))-'Business Case'!G15*$F216+'Business Case'!$B$8*('Business Case'!G11*$C216*'Business Case'!G12*$B216)</f>
        <v>1089277697.71031</v>
      </c>
      <c r="N216" s="53" t="n">
        <f aca="false">IF(COUNT('Business Case'!B11:G11)=0,"",H216+NPV(G216,I216:M216))</f>
        <v>22667790.0177672</v>
      </c>
      <c r="P216" s="54" t="n">
        <f aca="true">RAND()</f>
        <v>0.224465085657422</v>
      </c>
      <c r="Q216" s="54" t="n">
        <f aca="true">RAND()</f>
        <v>0.955801040287826</v>
      </c>
      <c r="R216" s="54" t="n">
        <f aca="true">RAND()</f>
        <v>0.0194992055710024</v>
      </c>
      <c r="S216" s="54" t="n">
        <f aca="true">RAND()</f>
        <v>0.341712131769726</v>
      </c>
      <c r="T216" s="54" t="n">
        <f aca="true">RAND()</f>
        <v>0.532700744308308</v>
      </c>
      <c r="U216" s="54" t="n">
        <f aca="true">RAND()</f>
        <v>0.663918721425616</v>
      </c>
    </row>
    <row r="217" customFormat="false" ht="15" hidden="false" customHeight="false" outlineLevel="0" collapsed="false">
      <c r="A217" s="50" t="n">
        <v>137</v>
      </c>
      <c r="B217" s="51" t="n">
        <f aca="false">1+IF($G$6=$E$6,$F$6,IF(P217&lt;($F$6-$E$6)/($G$6-$E$6),$E$6+SQRT(P217*($G$6-$E$6)*($F$6-$E$6)),$G$6-SQRT((1-P217)*($G$6-$E$6)*($G$6-$F$6))))</f>
        <v>1.0158899569576</v>
      </c>
      <c r="C217" s="51" t="n">
        <f aca="false">1+IF($G$7=$E$7,$F$7,IF(Q217&lt;($F$7-$E$7)/($G$7-$E$7),$E$7+SQRT(Q217*($G$7-$E$7)*($F$7-$E$7)),$G$7-SQRT((1-Q217)*($G$7-$E$7)*($G$7-$F$7))))</f>
        <v>1.02246366558084</v>
      </c>
      <c r="D217" s="51" t="n">
        <f aca="false">1+IF($G$8=$E$8,$F$8,IF(R217&lt;($F$8-$E$8)/($G$8-$E$8),$E$8+SQRT(R217*($G$8-$E$8)*($F$8-$E$8)),$G$8-SQRT((1-R217)*($G$8-$E$8)*($G$8-$F$8))))</f>
        <v>1.0396302011776</v>
      </c>
      <c r="E217" s="51" t="n">
        <f aca="false">1+IF($G$9=$E$9,$F$9,IF(S217&lt;($F$9-$E$9)/($G$9-$E$9),$E$9+SQRT(S217*($G$9-$E$9)*($F$9-$E$9)),$G$9-SQRT((1-S217)*($G$9-$E$9)*($G$9-$F$9))))</f>
        <v>1.08169538751892</v>
      </c>
      <c r="F217" s="51" t="n">
        <f aca="false">1+IF($G$10=$E$10,$F$10,IF(T217&lt;($F$10-$E$10)/($G$10-$E$10),$E$10+SQRT(T217*($G$10-$E$10)*($F$10-$E$10)),$G$10-SQRT((1-T217)*($G$10-$E$10)*($G$10-$F$10))))</f>
        <v>1.07358672385247</v>
      </c>
      <c r="G217" s="52" t="n">
        <f aca="false">IF($G$11=$E$11,$F$11,IF(U217&lt;($F$11-$E$11)/($G$11-$E$11),$E$11+SQRT(U217*($G$11-$E$11)*($F$11-$E$11)),$G$11-SQRT((1-U217)*($G$11-$E$11)*($G$11-$F$11))))</f>
        <v>0.0965195447029847</v>
      </c>
      <c r="H217" s="53" t="n">
        <f aca="false">(('Business Case'!B11*$C217*'Business Case'!B12*$B217)-'Business Case'!B11*$C217*'Business Case'!B13*$D217-'Business Case'!B14*$E217)-MAX(0,(('Business Case'!B11*$C217*'Business Case'!B12*$B217)-'Business Case'!B11*$C217*'Business Case'!B13*$D217-'Business Case'!B14*$E217))*'Business Case'!$B$7-'Business Case'!$B$8*('Business Case'!B11*$C217*'Business Case'!B12*$B217)-'Business Case'!B15*$F217</f>
        <v>-2147173447.70494</v>
      </c>
      <c r="I217" s="53" t="n">
        <f aca="false">(('Business Case'!C11*$C217*'Business Case'!C12*$B217)-'Business Case'!C11*$C217*'Business Case'!C13*$D217-'Business Case'!C14*$E217)-MAX(0,(('Business Case'!C11*$C217*'Business Case'!C12*$B217)-'Business Case'!C11*$C217*'Business Case'!C13*$D217-'Business Case'!C14*$E217))*'Business Case'!$B$7-'Business Case'!$B$8*(('Business Case'!C11*$C217*'Business Case'!C12*$B217)-('Business Case'!B11*$C217*'Business Case'!B12*$B217))-'Business Case'!C15*$F217</f>
        <v>-8406592.76837973</v>
      </c>
      <c r="J217" s="53" t="n">
        <f aca="false">(('Business Case'!D11*$C217*'Business Case'!D12*$B217)-'Business Case'!D11*$C217*'Business Case'!D13*$D217-'Business Case'!D14*$E217)-MAX(0,(('Business Case'!D11*$C217*'Business Case'!D12*$B217)-'Business Case'!D11*$C217*'Business Case'!D13*$D217-'Business Case'!D14*$E217))*'Business Case'!$B$7-'Business Case'!$B$8*(('Business Case'!D11*$C217*'Business Case'!D12*$B217)-('Business Case'!C11*$C217*'Business Case'!C12*$B217))-'Business Case'!D15*$F217</f>
        <v>298209326.86192</v>
      </c>
      <c r="K217" s="53" t="n">
        <f aca="false">(('Business Case'!E11*$C217*'Business Case'!E12*$B217)-'Business Case'!E11*$C217*'Business Case'!E13*$D217-'Business Case'!E14*$E217)-MAX(0,(('Business Case'!E11*$C217*'Business Case'!E12*$B217)-'Business Case'!E11*$C217*'Business Case'!E13*$D217-'Business Case'!E14*$E217))*'Business Case'!$B$7-'Business Case'!$B$8*(('Business Case'!E11*$C217*'Business Case'!E12*$B217)-('Business Case'!D11*$C217*'Business Case'!D12*$B217))-'Business Case'!E15*$F217</f>
        <v>658504582.684843</v>
      </c>
      <c r="L217" s="53" t="n">
        <f aca="false">(('Business Case'!F11*$C217*'Business Case'!F12*$B217)-'Business Case'!F11*$C217*'Business Case'!F13*$D217-'Business Case'!F14*$E217)-MAX(0,(('Business Case'!F11*$C217*'Business Case'!F12*$B217)-'Business Case'!F11*$C217*'Business Case'!F13*$D217-'Business Case'!F14*$E217))*'Business Case'!$B$7-'Business Case'!$B$8*(('Business Case'!F11*$C217*'Business Case'!F12*$B217)-('Business Case'!E11*$C217*'Business Case'!E12*$B217))-'Business Case'!F15*$F217</f>
        <v>796607726.500437</v>
      </c>
      <c r="M217" s="53" t="n">
        <f aca="false">(('Business Case'!G11*$C217*'Business Case'!G12*$B217)-'Business Case'!G11*$C217*'Business Case'!G13*$D217-'Business Case'!G14*$E217)-MAX(0,(('Business Case'!G11*$C217*'Business Case'!G12*$B217)-'Business Case'!G11*$C217*'Business Case'!G13*$D217-'Business Case'!G14*$E217))*'Business Case'!$B$7-'Business Case'!$B$8*(('Business Case'!G11*$C217*'Business Case'!G12*$B217)-('Business Case'!F11*$C217*'Business Case'!F12*$B217))-'Business Case'!G15*$F217+'Business Case'!$B$8*('Business Case'!G11*$C217*'Business Case'!G12*$B217)</f>
        <v>994045831.497324</v>
      </c>
      <c r="N217" s="53" t="n">
        <f aca="false">IF(COUNT('Business Case'!B11:G11)=0,"",H217+NPV(G217,I217:M217))</f>
        <v>-229231707.379698</v>
      </c>
      <c r="P217" s="54" t="n">
        <f aca="true">RAND()</f>
        <v>0.878897046769523</v>
      </c>
      <c r="Q217" s="54" t="n">
        <f aca="true">RAND()</f>
        <v>0.690180636246166</v>
      </c>
      <c r="R217" s="54" t="n">
        <f aca="true">RAND()</f>
        <v>0.843296090676803</v>
      </c>
      <c r="S217" s="54" t="n">
        <f aca="true">RAND()</f>
        <v>0.977662744127826</v>
      </c>
      <c r="T217" s="54" t="n">
        <f aca="true">RAND()</f>
        <v>0.680393672272973</v>
      </c>
      <c r="U217" s="54" t="n">
        <f aca="true">RAND()</f>
        <v>0.141681543780718</v>
      </c>
    </row>
    <row r="218" customFormat="false" ht="15" hidden="false" customHeight="false" outlineLevel="0" collapsed="false">
      <c r="A218" s="50" t="n">
        <v>138</v>
      </c>
      <c r="B218" s="51" t="n">
        <f aca="false">1+IF($G$6=$E$6,$F$6,IF(P218&lt;($F$6-$E$6)/($G$6-$E$6),$E$6+SQRT(P218*($G$6-$E$6)*($F$6-$E$6)),$G$6-SQRT((1-P218)*($G$6-$E$6)*($G$6-$F$6))))</f>
        <v>1.01667831532528</v>
      </c>
      <c r="C218" s="51" t="n">
        <f aca="false">1+IF($G$7=$E$7,$F$7,IF(Q218&lt;($F$7-$E$7)/($G$7-$E$7),$E$7+SQRT(Q218*($G$7-$E$7)*($F$7-$E$7)),$G$7-SQRT((1-Q218)*($G$7-$E$7)*($G$7-$F$7))))</f>
        <v>1.00919572294164</v>
      </c>
      <c r="D218" s="51" t="n">
        <f aca="false">1+IF($G$8=$E$8,$F$8,IF(R218&lt;($F$8-$E$8)/($G$8-$E$8),$E$8+SQRT(R218*($G$8-$E$8)*($F$8-$E$8)),$G$8-SQRT((1-R218)*($G$8-$E$8)*($G$8-$F$8))))</f>
        <v>1.0131087343891</v>
      </c>
      <c r="E218" s="51" t="n">
        <f aca="false">1+IF($G$9=$E$9,$F$9,IF(S218&lt;($F$9-$E$9)/($G$9-$E$9),$E$9+SQRT(S218*($G$9-$E$9)*($F$9-$E$9)),$G$9-SQRT((1-S218)*($G$9-$E$9)*($G$9-$F$9))))</f>
        <v>1.01954345895128</v>
      </c>
      <c r="F218" s="51" t="n">
        <f aca="false">1+IF($G$10=$E$10,$F$10,IF(T218&lt;($F$10-$E$10)/($G$10-$E$10),$E$10+SQRT(T218*($G$10-$E$10)*($F$10-$E$10)),$G$10-SQRT((1-T218)*($G$10-$E$10)*($G$10-$F$10))))</f>
        <v>1.01107889535078</v>
      </c>
      <c r="G218" s="52" t="n">
        <f aca="false">IF($G$11=$E$11,$F$11,IF(U218&lt;($F$11-$E$11)/($G$11-$E$11),$E$11+SQRT(U218*($G$11-$E$11)*($F$11-$E$11)),$G$11-SQRT((1-U218)*($G$11-$E$11)*($G$11-$F$11))))</f>
        <v>0.10819725073029</v>
      </c>
      <c r="H218" s="53" t="n">
        <f aca="false">(('Business Case'!B11*$C218*'Business Case'!B12*$B218)-'Business Case'!B11*$C218*'Business Case'!B13*$D218-'Business Case'!B14*$E218)-MAX(0,(('Business Case'!B11*$C218*'Business Case'!B12*$B218)-'Business Case'!B11*$C218*'Business Case'!B13*$D218-'Business Case'!B14*$E218))*'Business Case'!$B$7-'Business Case'!$B$8*('Business Case'!B11*$C218*'Business Case'!B12*$B218)-'Business Case'!B15*$F218</f>
        <v>-2022157790.70156</v>
      </c>
      <c r="I218" s="53" t="n">
        <f aca="false">(('Business Case'!C11*$C218*'Business Case'!C12*$B218)-'Business Case'!C11*$C218*'Business Case'!C13*$D218-'Business Case'!C14*$E218)-MAX(0,(('Business Case'!C11*$C218*'Business Case'!C12*$B218)-'Business Case'!C11*$C218*'Business Case'!C13*$D218-'Business Case'!C14*$E218))*'Business Case'!$B$7-'Business Case'!$B$8*(('Business Case'!C11*$C218*'Business Case'!C12*$B218)-('Business Case'!B11*$C218*'Business Case'!B12*$B218))-'Business Case'!C15*$F218</f>
        <v>17714283.6328246</v>
      </c>
      <c r="J218" s="53" t="n">
        <f aca="false">(('Business Case'!D11*$C218*'Business Case'!D12*$B218)-'Business Case'!D11*$C218*'Business Case'!D13*$D218-'Business Case'!D14*$E218)-MAX(0,(('Business Case'!D11*$C218*'Business Case'!D12*$B218)-'Business Case'!D11*$C218*'Business Case'!D13*$D218-'Business Case'!D14*$E218))*'Business Case'!$B$7-'Business Case'!$B$8*(('Business Case'!D11*$C218*'Business Case'!D12*$B218)-('Business Case'!C11*$C218*'Business Case'!C12*$B218))-'Business Case'!D15*$F218</f>
        <v>334704797.464967</v>
      </c>
      <c r="K218" s="53" t="n">
        <f aca="false">(('Business Case'!E11*$C218*'Business Case'!E12*$B218)-'Business Case'!E11*$C218*'Business Case'!E13*$D218-'Business Case'!E14*$E218)-MAX(0,(('Business Case'!E11*$C218*'Business Case'!E12*$B218)-'Business Case'!E11*$C218*'Business Case'!E13*$D218-'Business Case'!E14*$E218))*'Business Case'!$B$7-'Business Case'!$B$8*(('Business Case'!E11*$C218*'Business Case'!E12*$B218)-('Business Case'!D11*$C218*'Business Case'!D12*$B218))-'Business Case'!E15*$F218</f>
        <v>702249256.064649</v>
      </c>
      <c r="L218" s="53" t="n">
        <f aca="false">(('Business Case'!F11*$C218*'Business Case'!F12*$B218)-'Business Case'!F11*$C218*'Business Case'!F13*$D218-'Business Case'!F14*$E218)-MAX(0,(('Business Case'!F11*$C218*'Business Case'!F12*$B218)-'Business Case'!F11*$C218*'Business Case'!F13*$D218-'Business Case'!F14*$E218))*'Business Case'!$B$7-'Business Case'!$B$8*(('Business Case'!F11*$C218*'Business Case'!F12*$B218)-('Business Case'!E11*$C218*'Business Case'!E12*$B218))-'Business Case'!F15*$F218</f>
        <v>843372267.876275</v>
      </c>
      <c r="M218" s="53" t="n">
        <f aca="false">(('Business Case'!G11*$C218*'Business Case'!G12*$B218)-'Business Case'!G11*$C218*'Business Case'!G13*$D218-'Business Case'!G14*$E218)-MAX(0,(('Business Case'!G11*$C218*'Business Case'!G12*$B218)-'Business Case'!G11*$C218*'Business Case'!G13*$D218-'Business Case'!G14*$E218))*'Business Case'!$B$7-'Business Case'!$B$8*(('Business Case'!G11*$C218*'Business Case'!G12*$B218)-('Business Case'!F11*$C218*'Business Case'!F12*$B218))-'Business Case'!G15*$F218+'Business Case'!$B$8*('Business Case'!G11*$C218*'Business Case'!G12*$B218)</f>
        <v>1038399557.48129</v>
      </c>
      <c r="N218" s="53" t="n">
        <f aca="false">IF(COUNT('Business Case'!B11:G11)=0,"",H218+NPV(G218,I218:M218))</f>
        <v>-37198498.6961439</v>
      </c>
      <c r="P218" s="54" t="n">
        <f aca="true">RAND()</f>
        <v>0.886687296652715</v>
      </c>
      <c r="Q218" s="54" t="n">
        <f aca="true">RAND()</f>
        <v>0.622364867849011</v>
      </c>
      <c r="R218" s="54" t="n">
        <f aca="true">RAND()</f>
        <v>0.569765248555044</v>
      </c>
      <c r="S218" s="54" t="n">
        <f aca="true">RAND()</f>
        <v>0.56844966683176</v>
      </c>
      <c r="T218" s="54" t="n">
        <f aca="true">RAND()</f>
        <v>0.286176324362362</v>
      </c>
      <c r="U218" s="54" t="n">
        <f aca="true">RAND()</f>
        <v>0.76782518279392</v>
      </c>
    </row>
    <row r="219" customFormat="false" ht="15" hidden="false" customHeight="false" outlineLevel="0" collapsed="false">
      <c r="A219" s="50" t="n">
        <v>139</v>
      </c>
      <c r="B219" s="51" t="n">
        <f aca="false">1+IF($G$6=$E$6,$F$6,IF(P219&lt;($F$6-$E$6)/($G$6-$E$6),$E$6+SQRT(P219*($G$6-$E$6)*($F$6-$E$6)),$G$6-SQRT((1-P219)*($G$6-$E$6)*($G$6-$F$6))))</f>
        <v>0.965259963322853</v>
      </c>
      <c r="C219" s="51" t="n">
        <f aca="false">1+IF($G$7=$E$7,$F$7,IF(Q219&lt;($F$7-$E$7)/($G$7-$E$7),$E$7+SQRT(Q219*($G$7-$E$7)*($F$7-$E$7)),$G$7-SQRT((1-Q219)*($G$7-$E$7)*($G$7-$F$7))))</f>
        <v>0.89618407190987</v>
      </c>
      <c r="D219" s="51" t="n">
        <f aca="false">1+IF($G$8=$E$8,$F$8,IF(R219&lt;($F$8-$E$8)/($G$8-$E$8),$E$8+SQRT(R219*($G$8-$E$8)*($F$8-$E$8)),$G$8-SQRT((1-R219)*($G$8-$E$8)*($G$8-$F$8))))</f>
        <v>1.02962021092585</v>
      </c>
      <c r="E219" s="51" t="n">
        <f aca="false">1+IF($G$9=$E$9,$F$9,IF(S219&lt;($F$9-$E$9)/($G$9-$E$9),$E$9+SQRT(S219*($G$9-$E$9)*($F$9-$E$9)),$G$9-SQRT((1-S219)*($G$9-$E$9)*($G$9-$F$9))))</f>
        <v>1.01117007974126</v>
      </c>
      <c r="F219" s="51" t="n">
        <f aca="false">1+IF($G$10=$E$10,$F$10,IF(T219&lt;($F$10-$E$10)/($G$10-$E$10),$E$10+SQRT(T219*($G$10-$E$10)*($F$10-$E$10)),$G$10-SQRT((1-T219)*($G$10-$E$10)*($G$10-$F$10))))</f>
        <v>0.981586675882603</v>
      </c>
      <c r="G219" s="52" t="n">
        <f aca="false">IF($G$11=$E$11,$F$11,IF(U219&lt;($F$11-$E$11)/($G$11-$E$11),$E$11+SQRT(U219*($G$11-$E$11)*($F$11-$E$11)),$G$11-SQRT((1-U219)*($G$11-$E$11)*($G$11-$F$11))))</f>
        <v>0.111490625542867</v>
      </c>
      <c r="H219" s="53" t="n">
        <f aca="false">(('Business Case'!B11*$C219*'Business Case'!B12*$B219)-'Business Case'!B11*$C219*'Business Case'!B13*$D219-'Business Case'!B14*$E219)-MAX(0,(('Business Case'!B11*$C219*'Business Case'!B12*$B219)-'Business Case'!B11*$C219*'Business Case'!B13*$D219-'Business Case'!B14*$E219))*'Business Case'!$B$7-'Business Case'!$B$8*('Business Case'!B11*$C219*'Business Case'!B12*$B219)-'Business Case'!B15*$F219</f>
        <v>-1963173351.76521</v>
      </c>
      <c r="I219" s="53" t="n">
        <f aca="false">(('Business Case'!C11*$C219*'Business Case'!C12*$B219)-'Business Case'!C11*$C219*'Business Case'!C13*$D219-'Business Case'!C14*$E219)-MAX(0,(('Business Case'!C11*$C219*'Business Case'!C12*$B219)-'Business Case'!C11*$C219*'Business Case'!C13*$D219-'Business Case'!C14*$E219))*'Business Case'!$B$7-'Business Case'!$B$8*(('Business Case'!C11*$C219*'Business Case'!C12*$B219)-('Business Case'!B11*$C219*'Business Case'!B12*$B219))-'Business Case'!C15*$F219</f>
        <v>-50616096.6593106</v>
      </c>
      <c r="J219" s="53" t="n">
        <f aca="false">(('Business Case'!D11*$C219*'Business Case'!D12*$B219)-'Business Case'!D11*$C219*'Business Case'!D13*$D219-'Business Case'!D14*$E219)-MAX(0,(('Business Case'!D11*$C219*'Business Case'!D12*$B219)-'Business Case'!D11*$C219*'Business Case'!D13*$D219-'Business Case'!D14*$E219))*'Business Case'!$B$7-'Business Case'!$B$8*(('Business Case'!D11*$C219*'Business Case'!D12*$B219)-('Business Case'!C11*$C219*'Business Case'!C12*$B219))-'Business Case'!D15*$F219</f>
        <v>185559082.940022</v>
      </c>
      <c r="K219" s="53" t="n">
        <f aca="false">(('Business Case'!E11*$C219*'Business Case'!E12*$B219)-'Business Case'!E11*$C219*'Business Case'!E13*$D219-'Business Case'!E14*$E219)-MAX(0,(('Business Case'!E11*$C219*'Business Case'!E12*$B219)-'Business Case'!E11*$C219*'Business Case'!E13*$D219-'Business Case'!E14*$E219))*'Business Case'!$B$7-'Business Case'!$B$8*(('Business Case'!E11*$C219*'Business Case'!E12*$B219)-('Business Case'!D11*$C219*'Business Case'!D12*$B219))-'Business Case'!E15*$F219</f>
        <v>470813596.333486</v>
      </c>
      <c r="L219" s="53" t="n">
        <f aca="false">(('Business Case'!F11*$C219*'Business Case'!F12*$B219)-'Business Case'!F11*$C219*'Business Case'!F13*$D219-'Business Case'!F14*$E219)-MAX(0,(('Business Case'!F11*$C219*'Business Case'!F12*$B219)-'Business Case'!F11*$C219*'Business Case'!F13*$D219-'Business Case'!F14*$E219))*'Business Case'!$B$7-'Business Case'!$B$8*(('Business Case'!F11*$C219*'Business Case'!F12*$B219)-('Business Case'!E11*$C219*'Business Case'!E12*$B219))-'Business Case'!F15*$F219</f>
        <v>579434805.08738</v>
      </c>
      <c r="M219" s="53" t="n">
        <f aca="false">(('Business Case'!G11*$C219*'Business Case'!G12*$B219)-'Business Case'!G11*$C219*'Business Case'!G13*$D219-'Business Case'!G14*$E219)-MAX(0,(('Business Case'!G11*$C219*'Business Case'!G12*$B219)-'Business Case'!G11*$C219*'Business Case'!G13*$D219-'Business Case'!G14*$E219))*'Business Case'!$B$7-'Business Case'!$B$8*(('Business Case'!G11*$C219*'Business Case'!G12*$B219)-('Business Case'!F11*$C219*'Business Case'!F12*$B219))-'Business Case'!G15*$F219+'Business Case'!$B$8*('Business Case'!G11*$C219*'Business Case'!G12*$B219)</f>
        <v>743863623.968357</v>
      </c>
      <c r="N219" s="53" t="n">
        <f aca="false">IF(COUNT('Business Case'!B11:G11)=0,"",H219+NPV(G219,I219:M219))</f>
        <v>-697497528.915708</v>
      </c>
      <c r="P219" s="54" t="n">
        <f aca="true">RAND()</f>
        <v>0.213381695831874</v>
      </c>
      <c r="Q219" s="54" t="n">
        <f aca="true">RAND()</f>
        <v>0.132162509845185</v>
      </c>
      <c r="R219" s="54" t="n">
        <f aca="true">RAND()</f>
        <v>0.755949697388889</v>
      </c>
      <c r="S219" s="54" t="n">
        <f aca="true">RAND()</f>
        <v>0.473949684455102</v>
      </c>
      <c r="T219" s="54" t="n">
        <f aca="true">RAND()</f>
        <v>0.0798174474650095</v>
      </c>
      <c r="U219" s="54" t="n">
        <f aca="true">RAND()</f>
        <v>0.879317577247157</v>
      </c>
    </row>
    <row r="220" customFormat="false" ht="15" hidden="false" customHeight="false" outlineLevel="0" collapsed="false">
      <c r="A220" s="50" t="n">
        <v>140</v>
      </c>
      <c r="B220" s="51" t="n">
        <f aca="false">1+IF($G$6=$E$6,$F$6,IF(P220&lt;($F$6-$E$6)/($G$6-$E$6),$E$6+SQRT(P220*($G$6-$E$6)*($F$6-$E$6)),$G$6-SQRT((1-P220)*($G$6-$E$6)*($G$6-$F$6))))</f>
        <v>1.00118415549987</v>
      </c>
      <c r="C220" s="51" t="n">
        <f aca="false">1+IF($G$7=$E$7,$F$7,IF(Q220&lt;($F$7-$E$7)/($G$7-$E$7),$E$7+SQRT(Q220*($G$7-$E$7)*($F$7-$E$7)),$G$7-SQRT((1-Q220)*($G$7-$E$7)*($G$7-$F$7))))</f>
        <v>0.963938079736596</v>
      </c>
      <c r="D220" s="51" t="n">
        <f aca="false">1+IF($G$8=$E$8,$F$8,IF(R220&lt;($F$8-$E$8)/($G$8-$E$8),$E$8+SQRT(R220*($G$8-$E$8)*($F$8-$E$8)),$G$8-SQRT((1-R220)*($G$8-$E$8)*($G$8-$F$8))))</f>
        <v>1.01187225947722</v>
      </c>
      <c r="E220" s="51" t="n">
        <f aca="false">1+IF($G$9=$E$9,$F$9,IF(S220&lt;($F$9-$E$9)/($G$9-$E$9),$E$9+SQRT(S220*($G$9-$E$9)*($F$9-$E$9)),$G$9-SQRT((1-S220)*($G$9-$E$9)*($G$9-$F$9))))</f>
        <v>1.01975641393928</v>
      </c>
      <c r="F220" s="51" t="n">
        <f aca="false">1+IF($G$10=$E$10,$F$10,IF(T220&lt;($F$10-$E$10)/($G$10-$E$10),$E$10+SQRT(T220*($G$10-$E$10)*($F$10-$E$10)),$G$10-SQRT((1-T220)*($G$10-$E$10)*($G$10-$F$10))))</f>
        <v>1.06271949799888</v>
      </c>
      <c r="G220" s="52" t="n">
        <f aca="false">IF($G$11=$E$11,$F$11,IF(U220&lt;($F$11-$E$11)/($G$11-$E$11),$E$11+SQRT(U220*($G$11-$E$11)*($F$11-$E$11)),$G$11-SQRT((1-U220)*($G$11-$E$11)*($G$11-$F$11))))</f>
        <v>0.10185464982587</v>
      </c>
      <c r="H220" s="53" t="n">
        <f aca="false">(('Business Case'!B11*$C220*'Business Case'!B12*$B220)-'Business Case'!B11*$C220*'Business Case'!B13*$D220-'Business Case'!B14*$E220)-MAX(0,(('Business Case'!B11*$C220*'Business Case'!B12*$B220)-'Business Case'!B11*$C220*'Business Case'!B13*$D220-'Business Case'!B14*$E220))*'Business Case'!$B$7-'Business Case'!$B$8*('Business Case'!B11*$C220*'Business Case'!B12*$B220)-'Business Case'!B15*$F220</f>
        <v>-2125438995.99777</v>
      </c>
      <c r="I220" s="53" t="n">
        <f aca="false">(('Business Case'!C11*$C220*'Business Case'!C12*$B220)-'Business Case'!C11*$C220*'Business Case'!C13*$D220-'Business Case'!C14*$E220)-MAX(0,(('Business Case'!C11*$C220*'Business Case'!C12*$B220)-'Business Case'!C11*$C220*'Business Case'!C13*$D220-'Business Case'!C14*$E220))*'Business Case'!$B$7-'Business Case'!$B$8*(('Business Case'!C11*$C220*'Business Case'!C12*$B220)-('Business Case'!B11*$C220*'Business Case'!B12*$B220))-'Business Case'!C15*$F220</f>
        <v>-10159069.3510114</v>
      </c>
      <c r="J220" s="53" t="n">
        <f aca="false">(('Business Case'!D11*$C220*'Business Case'!D12*$B220)-'Business Case'!D11*$C220*'Business Case'!D13*$D220-'Business Case'!D14*$E220)-MAX(0,(('Business Case'!D11*$C220*'Business Case'!D12*$B220)-'Business Case'!D11*$C220*'Business Case'!D13*$D220-'Business Case'!D14*$E220))*'Business Case'!$B$7-'Business Case'!$B$8*(('Business Case'!D11*$C220*'Business Case'!D12*$B220)-('Business Case'!C11*$C220*'Business Case'!C12*$B220))-'Business Case'!D15*$F220</f>
        <v>280992896.115254</v>
      </c>
      <c r="K220" s="53" t="n">
        <f aca="false">(('Business Case'!E11*$C220*'Business Case'!E12*$B220)-'Business Case'!E11*$C220*'Business Case'!E13*$D220-'Business Case'!E14*$E220)-MAX(0,(('Business Case'!E11*$C220*'Business Case'!E12*$B220)-'Business Case'!E11*$C220*'Business Case'!E13*$D220-'Business Case'!E14*$E220))*'Business Case'!$B$7-'Business Case'!$B$8*(('Business Case'!E11*$C220*'Business Case'!E12*$B220)-('Business Case'!D11*$C220*'Business Case'!D12*$B220))-'Business Case'!E15*$F220</f>
        <v>625280836.481464</v>
      </c>
      <c r="L220" s="53" t="n">
        <f aca="false">(('Business Case'!F11*$C220*'Business Case'!F12*$B220)-'Business Case'!F11*$C220*'Business Case'!F13*$D220-'Business Case'!F14*$E220)-MAX(0,(('Business Case'!F11*$C220*'Business Case'!F12*$B220)-'Business Case'!F11*$C220*'Business Case'!F13*$D220-'Business Case'!F14*$E220))*'Business Case'!$B$7-'Business Case'!$B$8*(('Business Case'!F11*$C220*'Business Case'!F12*$B220)-('Business Case'!E11*$C220*'Business Case'!E12*$B220))-'Business Case'!F15*$F220</f>
        <v>755684640.273701</v>
      </c>
      <c r="M220" s="53" t="n">
        <f aca="false">(('Business Case'!G11*$C220*'Business Case'!G12*$B220)-'Business Case'!G11*$C220*'Business Case'!G13*$D220-'Business Case'!G14*$E220)-MAX(0,(('Business Case'!G11*$C220*'Business Case'!G12*$B220)-'Business Case'!G11*$C220*'Business Case'!G13*$D220-'Business Case'!G14*$E220))*'Business Case'!$B$7-'Business Case'!$B$8*(('Business Case'!G11*$C220*'Business Case'!G12*$B220)-('Business Case'!F11*$C220*'Business Case'!F12*$B220))-'Business Case'!G15*$F220+'Business Case'!$B$8*('Business Case'!G11*$C220*'Business Case'!G12*$B220)</f>
        <v>939126957.776184</v>
      </c>
      <c r="N220" s="53" t="n">
        <f aca="false">IF(COUNT('Business Case'!B11:G11)=0,"",H220+NPV(G220,I220:M220))</f>
        <v>-344890737.238761</v>
      </c>
      <c r="P220" s="54" t="n">
        <f aca="true">RAND()</f>
        <v>0.686110461612877</v>
      </c>
      <c r="Q220" s="54" t="n">
        <f aca="true">RAND()</f>
        <v>0.383938485538894</v>
      </c>
      <c r="R220" s="54" t="n">
        <f aca="true">RAND()</f>
        <v>0.553712593390451</v>
      </c>
      <c r="S220" s="54" t="n">
        <f aca="true">RAND()</f>
        <v>0.570731126407749</v>
      </c>
      <c r="T220" s="54" t="n">
        <f aca="true">RAND()</f>
        <v>0.623081275406433</v>
      </c>
      <c r="U220" s="54" t="n">
        <f aca="true">RAND()</f>
        <v>0.451243778430313</v>
      </c>
    </row>
    <row r="221" customFormat="false" ht="15" hidden="false" customHeight="false" outlineLevel="0" collapsed="false">
      <c r="A221" s="50" t="n">
        <v>141</v>
      </c>
      <c r="B221" s="51" t="n">
        <f aca="false">1+IF($G$6=$E$6,$F$6,IF(P221&lt;($F$6-$E$6)/($G$6-$E$6),$E$6+SQRT(P221*($G$6-$E$6)*($F$6-$E$6)),$G$6-SQRT((1-P221)*($G$6-$E$6)*($G$6-$F$6))))</f>
        <v>0.954355442160747</v>
      </c>
      <c r="C221" s="51" t="n">
        <f aca="false">1+IF($G$7=$E$7,$F$7,IF(Q221&lt;($F$7-$E$7)/($G$7-$E$7),$E$7+SQRT(Q221*($G$7-$E$7)*($F$7-$E$7)),$G$7-SQRT((1-Q221)*($G$7-$E$7)*($G$7-$F$7))))</f>
        <v>0.912803755888015</v>
      </c>
      <c r="D221" s="51" t="n">
        <f aca="false">1+IF($G$8=$E$8,$F$8,IF(R221&lt;($F$8-$E$8)/($G$8-$E$8),$E$8+SQRT(R221*($G$8-$E$8)*($F$8-$E$8)),$G$8-SQRT((1-R221)*($G$8-$E$8)*($G$8-$F$8))))</f>
        <v>1.00007283193885</v>
      </c>
      <c r="E221" s="51" t="n">
        <f aca="false">1+IF($G$9=$E$9,$F$9,IF(S221&lt;($F$9-$E$9)/($G$9-$E$9),$E$9+SQRT(S221*($G$9-$E$9)*($F$9-$E$9)),$G$9-SQRT((1-S221)*($G$9-$E$9)*($G$9-$F$9))))</f>
        <v>1.00252963651559</v>
      </c>
      <c r="F221" s="51" t="n">
        <f aca="false">1+IF($G$10=$E$10,$F$10,IF(T221&lt;($F$10-$E$10)/($G$10-$E$10),$E$10+SQRT(T221*($G$10-$E$10)*($F$10-$E$10)),$G$10-SQRT((1-T221)*($G$10-$E$10)*($G$10-$F$10))))</f>
        <v>1.03848169952757</v>
      </c>
      <c r="G221" s="52" t="n">
        <f aca="false">IF($G$11=$E$11,$F$11,IF(U221&lt;($F$11-$E$11)/($G$11-$E$11),$E$11+SQRT(U221*($G$11-$E$11)*($F$11-$E$11)),$G$11-SQRT((1-U221)*($G$11-$E$11)*($G$11-$F$11))))</f>
        <v>0.0987858693230999</v>
      </c>
      <c r="H221" s="53" t="n">
        <f aca="false">(('Business Case'!B11*$C221*'Business Case'!B12*$B221)-'Business Case'!B11*$C221*'Business Case'!B13*$D221-'Business Case'!B14*$E221)-MAX(0,(('Business Case'!B11*$C221*'Business Case'!B12*$B221)-'Business Case'!B11*$C221*'Business Case'!B13*$D221-'Business Case'!B14*$E221))*'Business Case'!$B$7-'Business Case'!$B$8*('Business Case'!B11*$C221*'Business Case'!B12*$B221)-'Business Case'!B15*$F221</f>
        <v>-2076963399.05513</v>
      </c>
      <c r="I221" s="53" t="n">
        <f aca="false">(('Business Case'!C11*$C221*'Business Case'!C12*$B221)-'Business Case'!C11*$C221*'Business Case'!C13*$D221-'Business Case'!C14*$E221)-MAX(0,(('Business Case'!C11*$C221*'Business Case'!C12*$B221)-'Business Case'!C11*$C221*'Business Case'!C13*$D221-'Business Case'!C14*$E221))*'Business Case'!$B$7-'Business Case'!$B$8*(('Business Case'!C11*$C221*'Business Case'!C12*$B221)-('Business Case'!B11*$C221*'Business Case'!B12*$B221))-'Business Case'!C15*$F221</f>
        <v>-45358520.7806663</v>
      </c>
      <c r="J221" s="53" t="n">
        <f aca="false">(('Business Case'!D11*$C221*'Business Case'!D12*$B221)-'Business Case'!D11*$C221*'Business Case'!D13*$D221-'Business Case'!D14*$E221)-MAX(0,(('Business Case'!D11*$C221*'Business Case'!D12*$B221)-'Business Case'!D11*$C221*'Business Case'!D13*$D221-'Business Case'!D14*$E221))*'Business Case'!$B$7-'Business Case'!$B$8*(('Business Case'!D11*$C221*'Business Case'!D12*$B221)-('Business Case'!C11*$C221*'Business Case'!C12*$B221))-'Business Case'!D15*$F221</f>
        <v>200850700.493749</v>
      </c>
      <c r="K221" s="53" t="n">
        <f aca="false">(('Business Case'!E11*$C221*'Business Case'!E12*$B221)-'Business Case'!E11*$C221*'Business Case'!E13*$D221-'Business Case'!E14*$E221)-MAX(0,(('Business Case'!E11*$C221*'Business Case'!E12*$B221)-'Business Case'!E11*$C221*'Business Case'!E13*$D221-'Business Case'!E14*$E221))*'Business Case'!$B$7-'Business Case'!$B$8*(('Business Case'!E11*$C221*'Business Case'!E12*$B221)-('Business Case'!D11*$C221*'Business Case'!D12*$B221))-'Business Case'!E15*$F221</f>
        <v>498984006.744543</v>
      </c>
      <c r="L221" s="53" t="n">
        <f aca="false">(('Business Case'!F11*$C221*'Business Case'!F12*$B221)-'Business Case'!F11*$C221*'Business Case'!F13*$D221-'Business Case'!F14*$E221)-MAX(0,(('Business Case'!F11*$C221*'Business Case'!F12*$B221)-'Business Case'!F11*$C221*'Business Case'!F13*$D221-'Business Case'!F14*$E221))*'Business Case'!$B$7-'Business Case'!$B$8*(('Business Case'!F11*$C221*'Business Case'!F12*$B221)-('Business Case'!E11*$C221*'Business Case'!E12*$B221))-'Business Case'!F15*$F221</f>
        <v>611160319.029221</v>
      </c>
      <c r="M221" s="53" t="n">
        <f aca="false">(('Business Case'!G11*$C221*'Business Case'!G12*$B221)-'Business Case'!G11*$C221*'Business Case'!G13*$D221-'Business Case'!G14*$E221)-MAX(0,(('Business Case'!G11*$C221*'Business Case'!G12*$B221)-'Business Case'!G11*$C221*'Business Case'!G13*$D221-'Business Case'!G14*$E221))*'Business Case'!$B$7-'Business Case'!$B$8*(('Business Case'!G11*$C221*'Business Case'!G12*$B221)-('Business Case'!F11*$C221*'Business Case'!F12*$B221))-'Business Case'!G15*$F221+'Business Case'!$B$8*('Business Case'!G11*$C221*'Business Case'!G12*$B221)</f>
        <v>776746464.25852</v>
      </c>
      <c r="N221" s="53" t="n">
        <f aca="false">IF(COUNT('Business Case'!B11:G11)=0,"",H221+NPV(G221,I221:M221))</f>
        <v>-671498682.148163</v>
      </c>
      <c r="P221" s="54" t="n">
        <f aca="true">RAND()</f>
        <v>0.122947542297959</v>
      </c>
      <c r="Q221" s="54" t="n">
        <f aca="true">RAND()</f>
        <v>0.181781247749184</v>
      </c>
      <c r="R221" s="54" t="n">
        <f aca="true">RAND()</f>
        <v>0.385735365935023</v>
      </c>
      <c r="S221" s="54" t="n">
        <f aca="true">RAND()</f>
        <v>0.366635216147759</v>
      </c>
      <c r="T221" s="54" t="n">
        <f aca="true">RAND()</f>
        <v>0.478236772249926</v>
      </c>
      <c r="U221" s="54" t="n">
        <f aca="true">RAND()</f>
        <v>0.257304999208627</v>
      </c>
    </row>
    <row r="222" customFormat="false" ht="15" hidden="false" customHeight="false" outlineLevel="0" collapsed="false">
      <c r="A222" s="50" t="n">
        <v>142</v>
      </c>
      <c r="B222" s="51" t="n">
        <f aca="false">1+IF($G$6=$E$6,$F$6,IF(P222&lt;($F$6-$E$6)/($G$6-$E$6),$E$6+SQRT(P222*($G$6-$E$6)*($F$6-$E$6)),$G$6-SQRT((1-P222)*($G$6-$E$6)*($G$6-$F$6))))</f>
        <v>1.02353782772976</v>
      </c>
      <c r="C222" s="51" t="n">
        <f aca="false">1+IF($G$7=$E$7,$F$7,IF(Q222&lt;($F$7-$E$7)/($G$7-$E$7),$E$7+SQRT(Q222*($G$7-$E$7)*($F$7-$E$7)),$G$7-SQRT((1-Q222)*($G$7-$E$7)*($G$7-$F$7))))</f>
        <v>0.982542120952335</v>
      </c>
      <c r="D222" s="51" t="n">
        <f aca="false">1+IF($G$8=$E$8,$F$8,IF(R222&lt;($F$8-$E$8)/($G$8-$E$8),$E$8+SQRT(R222*($G$8-$E$8)*($F$8-$E$8)),$G$8-SQRT((1-R222)*($G$8-$E$8)*($G$8-$F$8))))</f>
        <v>1.00584168056183</v>
      </c>
      <c r="E222" s="51" t="n">
        <f aca="false">1+IF($G$9=$E$9,$F$9,IF(S222&lt;($F$9-$E$9)/($G$9-$E$9),$E$9+SQRT(S222*($G$9-$E$9)*($F$9-$E$9)),$G$9-SQRT((1-S222)*($G$9-$E$9)*($G$9-$F$9))))</f>
        <v>1.08228969892705</v>
      </c>
      <c r="F222" s="51" t="n">
        <f aca="false">1+IF($G$10=$E$10,$F$10,IF(T222&lt;($F$10-$E$10)/($G$10-$E$10),$E$10+SQRT(T222*($G$10-$E$10)*($F$10-$E$10)),$G$10-SQRT((1-T222)*($G$10-$E$10)*($G$10-$F$10))))</f>
        <v>1.03426277706611</v>
      </c>
      <c r="G222" s="52" t="n">
        <f aca="false">IF($G$11=$E$11,$F$11,IF(U222&lt;($F$11-$E$11)/($G$11-$E$11),$E$11+SQRT(U222*($G$11-$E$11)*($F$11-$E$11)),$G$11-SQRT((1-U222)*($G$11-$E$11)*($G$11-$F$11))))</f>
        <v>0.114918877629993</v>
      </c>
      <c r="H222" s="53" t="n">
        <f aca="false">(('Business Case'!B11*$C222*'Business Case'!B12*$B222)-'Business Case'!B11*$C222*'Business Case'!B13*$D222-'Business Case'!B14*$E222)-MAX(0,(('Business Case'!B11*$C222*'Business Case'!B12*$B222)-'Business Case'!B11*$C222*'Business Case'!B13*$D222-'Business Case'!B14*$E222))*'Business Case'!$B$7-'Business Case'!$B$8*('Business Case'!B11*$C222*'Business Case'!B12*$B222)-'Business Case'!B15*$F222</f>
        <v>-2068525554.13223</v>
      </c>
      <c r="I222" s="53" t="n">
        <f aca="false">(('Business Case'!C11*$C222*'Business Case'!C12*$B222)-'Business Case'!C11*$C222*'Business Case'!C13*$D222-'Business Case'!C14*$E222)-MAX(0,(('Business Case'!C11*$C222*'Business Case'!C12*$B222)-'Business Case'!C11*$C222*'Business Case'!C13*$D222-'Business Case'!C14*$E222))*'Business Case'!$B$7-'Business Case'!$B$8*(('Business Case'!C11*$C222*'Business Case'!C12*$B222)-('Business Case'!B11*$C222*'Business Case'!B12*$B222))-'Business Case'!C15*$F222</f>
        <v>8332358.54492489</v>
      </c>
      <c r="J222" s="53" t="n">
        <f aca="false">(('Business Case'!D11*$C222*'Business Case'!D12*$B222)-'Business Case'!D11*$C222*'Business Case'!D13*$D222-'Business Case'!D14*$E222)-MAX(0,(('Business Case'!D11*$C222*'Business Case'!D12*$B222)-'Business Case'!D11*$C222*'Business Case'!D13*$D222-'Business Case'!D14*$E222))*'Business Case'!$B$7-'Business Case'!$B$8*(('Business Case'!D11*$C222*'Business Case'!D12*$B222)-('Business Case'!C11*$C222*'Business Case'!C12*$B222))-'Business Case'!D15*$F222</f>
        <v>326126472.402278</v>
      </c>
      <c r="K222" s="53" t="n">
        <f aca="false">(('Business Case'!E11*$C222*'Business Case'!E12*$B222)-'Business Case'!E11*$C222*'Business Case'!E13*$D222-'Business Case'!E14*$E222)-MAX(0,(('Business Case'!E11*$C222*'Business Case'!E12*$B222)-'Business Case'!E11*$C222*'Business Case'!E13*$D222-'Business Case'!E14*$E222))*'Business Case'!$B$7-'Business Case'!$B$8*(('Business Case'!E11*$C222*'Business Case'!E12*$B222)-('Business Case'!D11*$C222*'Business Case'!D12*$B222))-'Business Case'!E15*$F222</f>
        <v>695633725.112937</v>
      </c>
      <c r="L222" s="53" t="n">
        <f aca="false">(('Business Case'!F11*$C222*'Business Case'!F12*$B222)-'Business Case'!F11*$C222*'Business Case'!F13*$D222-'Business Case'!F14*$E222)-MAX(0,(('Business Case'!F11*$C222*'Business Case'!F12*$B222)-'Business Case'!F11*$C222*'Business Case'!F13*$D222-'Business Case'!F14*$E222))*'Business Case'!$B$7-'Business Case'!$B$8*(('Business Case'!F11*$C222*'Business Case'!F12*$B222)-('Business Case'!E11*$C222*'Business Case'!E12*$B222))-'Business Case'!F15*$F222</f>
        <v>836321018.010982</v>
      </c>
      <c r="M222" s="53" t="n">
        <f aca="false">(('Business Case'!G11*$C222*'Business Case'!G12*$B222)-'Business Case'!G11*$C222*'Business Case'!G13*$D222-'Business Case'!G14*$E222)-MAX(0,(('Business Case'!G11*$C222*'Business Case'!G12*$B222)-'Business Case'!G11*$C222*'Business Case'!G13*$D222-'Business Case'!G14*$E222))*'Business Case'!$B$7-'Business Case'!$B$8*(('Business Case'!G11*$C222*'Business Case'!G12*$B222)-('Business Case'!F11*$C222*'Business Case'!F12*$B222))-'Business Case'!G15*$F222+'Business Case'!$B$8*('Business Case'!G11*$C222*'Business Case'!G12*$B222)</f>
        <v>1027478586.87842</v>
      </c>
      <c r="N222" s="53" t="n">
        <f aca="false">IF(COUNT('Business Case'!B11:G11)=0,"",H222+NPV(G222,I222:M222))</f>
        <v>-159073693.424084</v>
      </c>
      <c r="P222" s="54" t="n">
        <f aca="true">RAND()</f>
        <v>0.943541017530181</v>
      </c>
      <c r="Q222" s="54" t="n">
        <f aca="true">RAND()</f>
        <v>0.476023227453954</v>
      </c>
      <c r="R222" s="54" t="n">
        <f aca="true">RAND()</f>
        <v>0.471206120971718</v>
      </c>
      <c r="S222" s="54" t="n">
        <f aca="true">RAND()</f>
        <v>0.97908968239369</v>
      </c>
      <c r="T222" s="54" t="n">
        <f aca="true">RAND()</f>
        <v>0.450623458683273</v>
      </c>
      <c r="U222" s="54" t="n">
        <f aca="true">RAND()</f>
        <v>0.95697032576836</v>
      </c>
    </row>
    <row r="223" customFormat="false" ht="15" hidden="false" customHeight="false" outlineLevel="0" collapsed="false">
      <c r="A223" s="50" t="n">
        <v>143</v>
      </c>
      <c r="B223" s="51" t="n">
        <f aca="false">1+IF($G$6=$E$6,$F$6,IF(P223&lt;($F$6-$E$6)/($G$6-$E$6),$E$6+SQRT(P223*($G$6-$E$6)*($F$6-$E$6)),$G$6-SQRT((1-P223)*($G$6-$E$6)*($G$6-$F$6))))</f>
        <v>1.01277673139212</v>
      </c>
      <c r="C223" s="51" t="n">
        <f aca="false">1+IF($G$7=$E$7,$F$7,IF(Q223&lt;($F$7-$E$7)/($G$7-$E$7),$E$7+SQRT(Q223*($G$7-$E$7)*($F$7-$E$7)),$G$7-SQRT((1-Q223)*($G$7-$E$7)*($G$7-$F$7))))</f>
        <v>1.04739446223583</v>
      </c>
      <c r="D223" s="51" t="n">
        <f aca="false">1+IF($G$8=$E$8,$F$8,IF(R223&lt;($F$8-$E$8)/($G$8-$E$8),$E$8+SQRT(R223*($G$8-$E$8)*($F$8-$E$8)),$G$8-SQRT((1-R223)*($G$8-$E$8)*($G$8-$F$8))))</f>
        <v>0.966413958354313</v>
      </c>
      <c r="E223" s="51" t="n">
        <f aca="false">1+IF($G$9=$E$9,$F$9,IF(S223&lt;($F$9-$E$9)/($G$9-$E$9),$E$9+SQRT(S223*($G$9-$E$9)*($F$9-$E$9)),$G$9-SQRT((1-S223)*($G$9-$E$9)*($G$9-$F$9))))</f>
        <v>1.02138197268977</v>
      </c>
      <c r="F223" s="51" t="n">
        <f aca="false">1+IF($G$10=$E$10,$F$10,IF(T223&lt;($F$10-$E$10)/($G$10-$E$10),$E$10+SQRT(T223*($G$10-$E$10)*($F$10-$E$10)),$G$10-SQRT((1-T223)*($G$10-$E$10)*($G$10-$F$10))))</f>
        <v>1.04316987983907</v>
      </c>
      <c r="G223" s="52" t="n">
        <f aca="false">IF($G$11=$E$11,$F$11,IF(U223&lt;($F$11-$E$11)/($G$11-$E$11),$E$11+SQRT(U223*($G$11-$E$11)*($F$11-$E$11)),$G$11-SQRT((1-U223)*($G$11-$E$11)*($G$11-$F$11))))</f>
        <v>0.103969605637627</v>
      </c>
      <c r="H223" s="53" t="n">
        <f aca="false">(('Business Case'!B11*$C223*'Business Case'!B12*$B223)-'Business Case'!B11*$C223*'Business Case'!B13*$D223-'Business Case'!B14*$E223)-MAX(0,(('Business Case'!B11*$C223*'Business Case'!B12*$B223)-'Business Case'!B11*$C223*'Business Case'!B13*$D223-'Business Case'!B14*$E223))*'Business Case'!$B$7-'Business Case'!$B$8*('Business Case'!B11*$C223*'Business Case'!B12*$B223)-'Business Case'!B15*$F223</f>
        <v>-2086339759.67814</v>
      </c>
      <c r="I223" s="53" t="n">
        <f aca="false">(('Business Case'!C11*$C223*'Business Case'!C12*$B223)-'Business Case'!C11*$C223*'Business Case'!C13*$D223-'Business Case'!C14*$E223)-MAX(0,(('Business Case'!C11*$C223*'Business Case'!C12*$B223)-'Business Case'!C11*$C223*'Business Case'!C13*$D223-'Business Case'!C14*$E223))*'Business Case'!$B$7-'Business Case'!$B$8*(('Business Case'!C11*$C223*'Business Case'!C12*$B223)-('Business Case'!B11*$C223*'Business Case'!B12*$B223))-'Business Case'!C15*$F223</f>
        <v>46130418.9262387</v>
      </c>
      <c r="J223" s="53" t="n">
        <f aca="false">(('Business Case'!D11*$C223*'Business Case'!D12*$B223)-'Business Case'!D11*$C223*'Business Case'!D13*$D223-'Business Case'!D14*$E223)-MAX(0,(('Business Case'!D11*$C223*'Business Case'!D12*$B223)-'Business Case'!D11*$C223*'Business Case'!D13*$D223-'Business Case'!D14*$E223))*'Business Case'!$B$7-'Business Case'!$B$8*(('Business Case'!D11*$C223*'Business Case'!D12*$B223)-('Business Case'!C11*$C223*'Business Case'!C12*$B223))-'Business Case'!D15*$F223</f>
        <v>396809008.551432</v>
      </c>
      <c r="K223" s="53" t="n">
        <f aca="false">(('Business Case'!E11*$C223*'Business Case'!E12*$B223)-'Business Case'!E11*$C223*'Business Case'!E13*$D223-'Business Case'!E14*$E223)-MAX(0,(('Business Case'!E11*$C223*'Business Case'!E12*$B223)-'Business Case'!E11*$C223*'Business Case'!E13*$D223-'Business Case'!E14*$E223))*'Business Case'!$B$7-'Business Case'!$B$8*(('Business Case'!E11*$C223*'Business Case'!E12*$B223)-('Business Case'!D11*$C223*'Business Case'!D12*$B223))-'Business Case'!E15*$F223</f>
        <v>799646092.168579</v>
      </c>
      <c r="L223" s="53" t="n">
        <f aca="false">(('Business Case'!F11*$C223*'Business Case'!F12*$B223)-'Business Case'!F11*$C223*'Business Case'!F13*$D223-'Business Case'!F14*$E223)-MAX(0,(('Business Case'!F11*$C223*'Business Case'!F12*$B223)-'Business Case'!F11*$C223*'Business Case'!F13*$D223-'Business Case'!F14*$E223))*'Business Case'!$B$7-'Business Case'!$B$8*(('Business Case'!F11*$C223*'Business Case'!F12*$B223)-('Business Case'!E11*$C223*'Business Case'!E12*$B223))-'Business Case'!F15*$F223</f>
        <v>953199399.509352</v>
      </c>
      <c r="M223" s="53" t="n">
        <f aca="false">(('Business Case'!G11*$C223*'Business Case'!G12*$B223)-'Business Case'!G11*$C223*'Business Case'!G13*$D223-'Business Case'!G14*$E223)-MAX(0,(('Business Case'!G11*$C223*'Business Case'!G12*$B223)-'Business Case'!G11*$C223*'Business Case'!G13*$D223-'Business Case'!G14*$E223))*'Business Case'!$B$7-'Business Case'!$B$8*(('Business Case'!G11*$C223*'Business Case'!G12*$B223)-('Business Case'!F11*$C223*'Business Case'!F12*$B223))-'Business Case'!G15*$F223+'Business Case'!$B$8*('Business Case'!G11*$C223*'Business Case'!G12*$B223)</f>
        <v>1154831842.23741</v>
      </c>
      <c r="N223" s="53" t="n">
        <f aca="false">IF(COUNT('Business Case'!B11:G11)=0,"",H223+NPV(G223,I223:M223))</f>
        <v>221356341.956142</v>
      </c>
      <c r="P223" s="54" t="n">
        <f aca="true">RAND()</f>
        <v>0.845602842979779</v>
      </c>
      <c r="Q223" s="54" t="n">
        <f aca="true">RAND()</f>
        <v>0.799468640383339</v>
      </c>
      <c r="R223" s="54" t="n">
        <f aca="true">RAND()</f>
        <v>0.0414489275164787</v>
      </c>
      <c r="S223" s="54" t="n">
        <f aca="true">RAND()</f>
        <v>0.587947052123187</v>
      </c>
      <c r="T223" s="54" t="n">
        <f aca="true">RAND()</f>
        <v>0.508086268206166</v>
      </c>
      <c r="U223" s="54" t="n">
        <f aca="true">RAND()</f>
        <v>0.571710760978007</v>
      </c>
    </row>
    <row r="224" customFormat="false" ht="15" hidden="false" customHeight="false" outlineLevel="0" collapsed="false">
      <c r="A224" s="50" t="n">
        <v>144</v>
      </c>
      <c r="B224" s="51" t="n">
        <f aca="false">1+IF($G$6=$E$6,$F$6,IF(P224&lt;($F$6-$E$6)/($G$6-$E$6),$E$6+SQRT(P224*($G$6-$E$6)*($F$6-$E$6)),$G$6-SQRT((1-P224)*($G$6-$E$6)*($G$6-$F$6))))</f>
        <v>1.0070823757122</v>
      </c>
      <c r="C224" s="51" t="n">
        <f aca="false">1+IF($G$7=$E$7,$F$7,IF(Q224&lt;($F$7-$E$7)/($G$7-$E$7),$E$7+SQRT(Q224*($G$7-$E$7)*($F$7-$E$7)),$G$7-SQRT((1-Q224)*($G$7-$E$7)*($G$7-$F$7))))</f>
        <v>0.992964847535153</v>
      </c>
      <c r="D224" s="51" t="n">
        <f aca="false">1+IF($G$8=$E$8,$F$8,IF(R224&lt;($F$8-$E$8)/($G$8-$E$8),$E$8+SQRT(R224*($G$8-$E$8)*($F$8-$E$8)),$G$8-SQRT((1-R224)*($G$8-$E$8)*($G$8-$F$8))))</f>
        <v>1.00940532093613</v>
      </c>
      <c r="E224" s="51" t="n">
        <f aca="false">1+IF($G$9=$E$9,$F$9,IF(S224&lt;($F$9-$E$9)/($G$9-$E$9),$E$9+SQRT(S224*($G$9-$E$9)*($F$9-$E$9)),$G$9-SQRT((1-S224)*($G$9-$E$9)*($G$9-$F$9))))</f>
        <v>0.969671732342966</v>
      </c>
      <c r="F224" s="51" t="n">
        <f aca="false">1+IF($G$10=$E$10,$F$10,IF(T224&lt;($F$10-$E$10)/($G$10-$E$10),$E$10+SQRT(T224*($G$10-$E$10)*($F$10-$E$10)),$G$10-SQRT((1-T224)*($G$10-$E$10)*($G$10-$F$10))))</f>
        <v>1.07164846010567</v>
      </c>
      <c r="G224" s="52" t="n">
        <f aca="false">IF($G$11=$E$11,$F$11,IF(U224&lt;($F$11-$E$11)/($G$11-$E$11),$E$11+SQRT(U224*($G$11-$E$11)*($F$11-$E$11)),$G$11-SQRT((1-U224)*($G$11-$E$11)*($G$11-$F$11))))</f>
        <v>0.110411108941258</v>
      </c>
      <c r="H224" s="53" t="n">
        <f aca="false">(('Business Case'!B11*$C224*'Business Case'!B12*$B224)-'Business Case'!B11*$C224*'Business Case'!B13*$D224-'Business Case'!B14*$E224)-MAX(0,(('Business Case'!B11*$C224*'Business Case'!B12*$B224)-'Business Case'!B11*$C224*'Business Case'!B13*$D224-'Business Case'!B14*$E224))*'Business Case'!$B$7-'Business Case'!$B$8*('Business Case'!B11*$C224*'Business Case'!B12*$B224)-'Business Case'!B15*$F224</f>
        <v>-2143296920.21134</v>
      </c>
      <c r="I224" s="53" t="n">
        <f aca="false">(('Business Case'!C11*$C224*'Business Case'!C12*$B224)-'Business Case'!C11*$C224*'Business Case'!C13*$D224-'Business Case'!C14*$E224)-MAX(0,(('Business Case'!C11*$C224*'Business Case'!C12*$B224)-'Business Case'!C11*$C224*'Business Case'!C13*$D224-'Business Case'!C14*$E224))*'Business Case'!$B$7-'Business Case'!$B$8*(('Business Case'!C11*$C224*'Business Case'!C12*$B224)-('Business Case'!B11*$C224*'Business Case'!B12*$B224))-'Business Case'!C15*$F224</f>
        <v>9078373.05798557</v>
      </c>
      <c r="J224" s="53" t="n">
        <f aca="false">(('Business Case'!D11*$C224*'Business Case'!D12*$B224)-'Business Case'!D11*$C224*'Business Case'!D13*$D224-'Business Case'!D14*$E224)-MAX(0,(('Business Case'!D11*$C224*'Business Case'!D12*$B224)-'Business Case'!D11*$C224*'Business Case'!D13*$D224-'Business Case'!D14*$E224))*'Business Case'!$B$7-'Business Case'!$B$8*(('Business Case'!D11*$C224*'Business Case'!D12*$B224)-('Business Case'!C11*$C224*'Business Case'!C12*$B224))-'Business Case'!D15*$F224</f>
        <v>315048777.560112</v>
      </c>
      <c r="K224" s="53" t="n">
        <f aca="false">(('Business Case'!E11*$C224*'Business Case'!E12*$B224)-'Business Case'!E11*$C224*'Business Case'!E13*$D224-'Business Case'!E14*$E224)-MAX(0,(('Business Case'!E11*$C224*'Business Case'!E12*$B224)-'Business Case'!E11*$C224*'Business Case'!E13*$D224-'Business Case'!E14*$E224))*'Business Case'!$B$7-'Business Case'!$B$8*(('Business Case'!E11*$C224*'Business Case'!E12*$B224)-('Business Case'!D11*$C224*'Business Case'!D12*$B224))-'Business Case'!E15*$F224</f>
        <v>674601605.067522</v>
      </c>
      <c r="L224" s="53" t="n">
        <f aca="false">(('Business Case'!F11*$C224*'Business Case'!F12*$B224)-'Business Case'!F11*$C224*'Business Case'!F13*$D224-'Business Case'!F14*$E224)-MAX(0,(('Business Case'!F11*$C224*'Business Case'!F12*$B224)-'Business Case'!F11*$C224*'Business Case'!F13*$D224-'Business Case'!F14*$E224))*'Business Case'!$B$7-'Business Case'!$B$8*(('Business Case'!F11*$C224*'Business Case'!F12*$B224)-('Business Case'!E11*$C224*'Business Case'!E12*$B224))-'Business Case'!F15*$F224</f>
        <v>811151649.9645</v>
      </c>
      <c r="M224" s="53" t="n">
        <f aca="false">(('Business Case'!G11*$C224*'Business Case'!G12*$B224)-'Business Case'!G11*$C224*'Business Case'!G13*$D224-'Business Case'!G14*$E224)-MAX(0,(('Business Case'!G11*$C224*'Business Case'!G12*$B224)-'Business Case'!G11*$C224*'Business Case'!G13*$D224-'Business Case'!G14*$E224))*'Business Case'!$B$7-'Business Case'!$B$8*(('Business Case'!G11*$C224*'Business Case'!G12*$B224)-('Business Case'!F11*$C224*'Business Case'!F12*$B224))-'Business Case'!G15*$F224+'Business Case'!$B$8*('Business Case'!G11*$C224*'Business Case'!G12*$B224)</f>
        <v>1001231155.31065</v>
      </c>
      <c r="N224" s="53" t="n">
        <f aca="false">IF(COUNT('Business Case'!B11:G11)=0,"",H224+NPV(G224,I224:M224))</f>
        <v>-260271960.581607</v>
      </c>
      <c r="P224" s="54" t="n">
        <f aca="true">RAND()</f>
        <v>0.774256252343223</v>
      </c>
      <c r="Q224" s="54" t="n">
        <f aca="true">RAND()</f>
        <v>0.531934748346638</v>
      </c>
      <c r="R224" s="54" t="n">
        <f aca="true">RAND()</f>
        <v>0.520806854602815</v>
      </c>
      <c r="S224" s="54" t="n">
        <f aca="true">RAND()</f>
        <v>0.0515969404497705</v>
      </c>
      <c r="T224" s="54" t="n">
        <f aca="true">RAND()</f>
        <v>0.670517644135072</v>
      </c>
      <c r="U224" s="54" t="n">
        <f aca="true">RAND()</f>
        <v>0.846755280439282</v>
      </c>
    </row>
    <row r="225" customFormat="false" ht="15" hidden="false" customHeight="false" outlineLevel="0" collapsed="false">
      <c r="A225" s="50" t="n">
        <v>145</v>
      </c>
      <c r="B225" s="51" t="n">
        <f aca="false">1+IF($G$6=$E$6,$F$6,IF(P225&lt;($F$6-$E$6)/($G$6-$E$6),$E$6+SQRT(P225*($G$6-$E$6)*($F$6-$E$6)),$G$6-SQRT((1-P225)*($G$6-$E$6)*($G$6-$F$6))))</f>
        <v>0.97499385034472</v>
      </c>
      <c r="C225" s="51" t="n">
        <f aca="false">1+IF($G$7=$E$7,$F$7,IF(Q225&lt;($F$7-$E$7)/($G$7-$E$7),$E$7+SQRT(Q225*($G$7-$E$7)*($F$7-$E$7)),$G$7-SQRT((1-Q225)*($G$7-$E$7)*($G$7-$F$7))))</f>
        <v>1.04424619220933</v>
      </c>
      <c r="D225" s="51" t="n">
        <f aca="false">1+IF($G$8=$E$8,$F$8,IF(R225&lt;($F$8-$E$8)/($G$8-$E$8),$E$8+SQRT(R225*($G$8-$E$8)*($F$8-$E$8)),$G$8-SQRT((1-R225)*($G$8-$E$8)*($G$8-$F$8))))</f>
        <v>1.0261238547299</v>
      </c>
      <c r="E225" s="51" t="n">
        <f aca="false">1+IF($G$9=$E$9,$F$9,IF(S225&lt;($F$9-$E$9)/($G$9-$E$9),$E$9+SQRT(S225*($G$9-$E$9)*($F$9-$E$9)),$G$9-SQRT((1-S225)*($G$9-$E$9)*($G$9-$F$9))))</f>
        <v>1.05780579077524</v>
      </c>
      <c r="F225" s="51" t="n">
        <f aca="false">1+IF($G$10=$E$10,$F$10,IF(T225&lt;($F$10-$E$10)/($G$10-$E$10),$E$10+SQRT(T225*($G$10-$E$10)*($F$10-$E$10)),$G$10-SQRT((1-T225)*($G$10-$E$10)*($G$10-$F$10))))</f>
        <v>0.992533072773706</v>
      </c>
      <c r="G225" s="52" t="n">
        <f aca="false">IF($G$11=$E$11,$F$11,IF(U225&lt;($F$11-$E$11)/($G$11-$E$11),$E$11+SQRT(U225*($G$11-$E$11)*($F$11-$E$11)),$G$11-SQRT((1-U225)*($G$11-$E$11)*($G$11-$F$11))))</f>
        <v>0.107137840081064</v>
      </c>
      <c r="H225" s="53" t="n">
        <f aca="false">(('Business Case'!B11*$C225*'Business Case'!B12*$B225)-'Business Case'!B11*$C225*'Business Case'!B13*$D225-'Business Case'!B14*$E225)-MAX(0,(('Business Case'!B11*$C225*'Business Case'!B12*$B225)-'Business Case'!B11*$C225*'Business Case'!B13*$D225-'Business Case'!B14*$E225))*'Business Case'!$B$7-'Business Case'!$B$8*('Business Case'!B11*$C225*'Business Case'!B12*$B225)-'Business Case'!B15*$F225</f>
        <v>-1985066145.54741</v>
      </c>
      <c r="I225" s="53" t="n">
        <f aca="false">(('Business Case'!C11*$C225*'Business Case'!C12*$B225)-'Business Case'!C11*$C225*'Business Case'!C13*$D225-'Business Case'!C14*$E225)-MAX(0,(('Business Case'!C11*$C225*'Business Case'!C12*$B225)-'Business Case'!C11*$C225*'Business Case'!C13*$D225-'Business Case'!C14*$E225))*'Business Case'!$B$7-'Business Case'!$B$8*(('Business Case'!C11*$C225*'Business Case'!C12*$B225)-('Business Case'!B11*$C225*'Business Case'!B12*$B225))-'Business Case'!C15*$F225</f>
        <v>-17064153.6038669</v>
      </c>
      <c r="J225" s="53" t="n">
        <f aca="false">(('Business Case'!D11*$C225*'Business Case'!D12*$B225)-'Business Case'!D11*$C225*'Business Case'!D13*$D225-'Business Case'!D14*$E225)-MAX(0,(('Business Case'!D11*$C225*'Business Case'!D12*$B225)-'Business Case'!D11*$C225*'Business Case'!D13*$D225-'Business Case'!D14*$E225))*'Business Case'!$B$7-'Business Case'!$B$8*(('Business Case'!D11*$C225*'Business Case'!D12*$B225)-('Business Case'!C11*$C225*'Business Case'!C12*$B225))-'Business Case'!D15*$F225</f>
        <v>268325030.153171</v>
      </c>
      <c r="K225" s="53" t="n">
        <f aca="false">(('Business Case'!E11*$C225*'Business Case'!E12*$B225)-'Business Case'!E11*$C225*'Business Case'!E13*$D225-'Business Case'!E14*$E225)-MAX(0,(('Business Case'!E11*$C225*'Business Case'!E12*$B225)-'Business Case'!E11*$C225*'Business Case'!E13*$D225-'Business Case'!E14*$E225))*'Business Case'!$B$7-'Business Case'!$B$8*(('Business Case'!E11*$C225*'Business Case'!E12*$B225)-('Business Case'!D11*$C225*'Business Case'!D12*$B225))-'Business Case'!E15*$F225</f>
        <v>603340867.548894</v>
      </c>
      <c r="L225" s="53" t="n">
        <f aca="false">(('Business Case'!F11*$C225*'Business Case'!F12*$B225)-'Business Case'!F11*$C225*'Business Case'!F13*$D225-'Business Case'!F14*$E225)-MAX(0,(('Business Case'!F11*$C225*'Business Case'!F12*$B225)-'Business Case'!F11*$C225*'Business Case'!F13*$D225-'Business Case'!F14*$E225))*'Business Case'!$B$7-'Business Case'!$B$8*(('Business Case'!F11*$C225*'Business Case'!F12*$B225)-('Business Case'!E11*$C225*'Business Case'!E12*$B225))-'Business Case'!F15*$F225</f>
        <v>733657293.22477</v>
      </c>
      <c r="M225" s="53" t="n">
        <f aca="false">(('Business Case'!G11*$C225*'Business Case'!G12*$B225)-'Business Case'!G11*$C225*'Business Case'!G13*$D225-'Business Case'!G14*$E225)-MAX(0,(('Business Case'!G11*$C225*'Business Case'!G12*$B225)-'Business Case'!G11*$C225*'Business Case'!G13*$D225-'Business Case'!G14*$E225))*'Business Case'!$B$7-'Business Case'!$B$8*(('Business Case'!G11*$C225*'Business Case'!G12*$B225)-('Business Case'!F11*$C225*'Business Case'!F12*$B225))-'Business Case'!G15*$F225+'Business Case'!$B$8*('Business Case'!G11*$C225*'Business Case'!G12*$B225)</f>
        <v>927184130.88752</v>
      </c>
      <c r="N225" s="53" t="n">
        <f aca="false">IF(COUNT('Business Case'!B11:G11)=0,"",H225+NPV(G225,I225:M225))</f>
        <v>-291297430.714629</v>
      </c>
      <c r="P225" s="54" t="n">
        <f aca="true">RAND()</f>
        <v>0.315033705805981</v>
      </c>
      <c r="Q225" s="54" t="n">
        <f aca="true">RAND()</f>
        <v>0.786973945481419</v>
      </c>
      <c r="R225" s="54" t="n">
        <f aca="true">RAND()</f>
        <v>0.720900093349539</v>
      </c>
      <c r="S225" s="54" t="n">
        <f aca="true">RAND()</f>
        <v>0.881309913859788</v>
      </c>
      <c r="T225" s="54" t="n">
        <f aca="true">RAND()</f>
        <v>0.144724982365869</v>
      </c>
      <c r="U225" s="54" t="n">
        <f aca="true">RAND()</f>
        <v>0.724274737032842</v>
      </c>
    </row>
    <row r="226" customFormat="false" ht="15" hidden="false" customHeight="false" outlineLevel="0" collapsed="false">
      <c r="A226" s="50" t="n">
        <v>146</v>
      </c>
      <c r="B226" s="51" t="n">
        <f aca="false">1+IF($G$6=$E$6,$F$6,IF(P226&lt;($F$6-$E$6)/($G$6-$E$6),$E$6+SQRT(P226*($G$6-$E$6)*($F$6-$E$6)),$G$6-SQRT((1-P226)*($G$6-$E$6)*($G$6-$F$6))))</f>
        <v>0.973953853187763</v>
      </c>
      <c r="C226" s="51" t="n">
        <f aca="false">1+IF($G$7=$E$7,$F$7,IF(Q226&lt;($F$7-$E$7)/($G$7-$E$7),$E$7+SQRT(Q226*($G$7-$E$7)*($F$7-$E$7)),$G$7-SQRT((1-Q226)*($G$7-$E$7)*($G$7-$F$7))))</f>
        <v>0.962829195217555</v>
      </c>
      <c r="D226" s="51" t="n">
        <f aca="false">1+IF($G$8=$E$8,$F$8,IF(R226&lt;($F$8-$E$8)/($G$8-$E$8),$E$8+SQRT(R226*($G$8-$E$8)*($F$8-$E$8)),$G$8-SQRT((1-R226)*($G$8-$E$8)*($G$8-$F$8))))</f>
        <v>1.0290011719078</v>
      </c>
      <c r="E226" s="51" t="n">
        <f aca="false">1+IF($G$9=$E$9,$F$9,IF(S226&lt;($F$9-$E$9)/($G$9-$E$9),$E$9+SQRT(S226*($G$9-$E$9)*($F$9-$E$9)),$G$9-SQRT((1-S226)*($G$9-$E$9)*($G$9-$F$9))))</f>
        <v>0.960055701280062</v>
      </c>
      <c r="F226" s="51" t="n">
        <f aca="false">1+IF($G$10=$E$10,$F$10,IF(T226&lt;($F$10-$E$10)/($G$10-$E$10),$E$10+SQRT(T226*($G$10-$E$10)*($F$10-$E$10)),$G$10-SQRT((1-T226)*($G$10-$E$10)*($G$10-$F$10))))</f>
        <v>1.11735682249337</v>
      </c>
      <c r="G226" s="52" t="n">
        <f aca="false">IF($G$11=$E$11,$F$11,IF(U226&lt;($F$11-$E$11)/($G$11-$E$11),$E$11+SQRT(U226*($G$11-$E$11)*($F$11-$E$11)),$G$11-SQRT((1-U226)*($G$11-$E$11)*($G$11-$F$11))))</f>
        <v>0.0977355063452372</v>
      </c>
      <c r="H226" s="53" t="n">
        <f aca="false">(('Business Case'!B11*$C226*'Business Case'!B12*$B226)-'Business Case'!B11*$C226*'Business Case'!B13*$D226-'Business Case'!B14*$E226)-MAX(0,(('Business Case'!B11*$C226*'Business Case'!B12*$B226)-'Business Case'!B11*$C226*'Business Case'!B13*$D226-'Business Case'!B14*$E226))*'Business Case'!$B$7-'Business Case'!$B$8*('Business Case'!B11*$C226*'Business Case'!B12*$B226)-'Business Case'!B15*$F226</f>
        <v>-2234713644.98675</v>
      </c>
      <c r="I226" s="53" t="n">
        <f aca="false">(('Business Case'!C11*$C226*'Business Case'!C12*$B226)-'Business Case'!C11*$C226*'Business Case'!C13*$D226-'Business Case'!C14*$E226)-MAX(0,(('Business Case'!C11*$C226*'Business Case'!C12*$B226)-'Business Case'!C11*$C226*'Business Case'!C13*$D226-'Business Case'!C14*$E226))*'Business Case'!$B$7-'Business Case'!$B$8*(('Business Case'!C11*$C226*'Business Case'!C12*$B226)-('Business Case'!B11*$C226*'Business Case'!B12*$B226))-'Business Case'!C15*$F226</f>
        <v>-35968824.0961303</v>
      </c>
      <c r="J226" s="53" t="n">
        <f aca="false">(('Business Case'!D11*$C226*'Business Case'!D12*$B226)-'Business Case'!D11*$C226*'Business Case'!D13*$D226-'Business Case'!D14*$E226)-MAX(0,(('Business Case'!D11*$C226*'Business Case'!D12*$B226)-'Business Case'!D11*$C226*'Business Case'!D13*$D226-'Business Case'!D14*$E226))*'Business Case'!$B$7-'Business Case'!$B$8*(('Business Case'!D11*$C226*'Business Case'!D12*$B226)-('Business Case'!C11*$C226*'Business Case'!C12*$B226))-'Business Case'!D15*$F226</f>
        <v>224930977.227837</v>
      </c>
      <c r="K226" s="53" t="n">
        <f aca="false">(('Business Case'!E11*$C226*'Business Case'!E12*$B226)-'Business Case'!E11*$C226*'Business Case'!E13*$D226-'Business Case'!E14*$E226)-MAX(0,(('Business Case'!E11*$C226*'Business Case'!E12*$B226)-'Business Case'!E11*$C226*'Business Case'!E13*$D226-'Business Case'!E14*$E226))*'Business Case'!$B$7-'Business Case'!$B$8*(('Business Case'!E11*$C226*'Business Case'!E12*$B226)-('Business Case'!D11*$C226*'Business Case'!D12*$B226))-'Business Case'!E15*$F226</f>
        <v>541698619.676472</v>
      </c>
      <c r="L226" s="53" t="n">
        <f aca="false">(('Business Case'!F11*$C226*'Business Case'!F12*$B226)-'Business Case'!F11*$C226*'Business Case'!F13*$D226-'Business Case'!F14*$E226)-MAX(0,(('Business Case'!F11*$C226*'Business Case'!F12*$B226)-'Business Case'!F11*$C226*'Business Case'!F13*$D226-'Business Case'!F14*$E226))*'Business Case'!$B$7-'Business Case'!$B$8*(('Business Case'!F11*$C226*'Business Case'!F12*$B226)-('Business Case'!E11*$C226*'Business Case'!E12*$B226))-'Business Case'!F15*$F226</f>
        <v>661073901.750284</v>
      </c>
      <c r="M226" s="53" t="n">
        <f aca="false">(('Business Case'!G11*$C226*'Business Case'!G12*$B226)-'Business Case'!G11*$C226*'Business Case'!G13*$D226-'Business Case'!G14*$E226)-MAX(0,(('Business Case'!G11*$C226*'Business Case'!G12*$B226)-'Business Case'!G11*$C226*'Business Case'!G13*$D226-'Business Case'!G14*$E226))*'Business Case'!$B$7-'Business Case'!$B$8*(('Business Case'!G11*$C226*'Business Case'!G12*$B226)-('Business Case'!F11*$C226*'Business Case'!F12*$B226))-'Business Case'!G15*$F226+'Business Case'!$B$8*('Business Case'!G11*$C226*'Business Case'!G12*$B226)</f>
        <v>839321650.72898</v>
      </c>
      <c r="N226" s="53" t="n">
        <f aca="false">IF(COUNT('Business Case'!B11:G11)=0,"",H226+NPV(G226,I226:M226))</f>
        <v>-689498882.222559</v>
      </c>
      <c r="P226" s="54" t="n">
        <f aca="true">RAND()</f>
        <v>0.303231070188197</v>
      </c>
      <c r="Q226" s="54" t="n">
        <f aca="true">RAND()</f>
        <v>0.378762097359951</v>
      </c>
      <c r="R226" s="54" t="n">
        <f aca="true">RAND()</f>
        <v>0.749915339732935</v>
      </c>
      <c r="S226" s="54" t="n">
        <f aca="true">RAND()</f>
        <v>0.0134822837645111</v>
      </c>
      <c r="T226" s="54" t="n">
        <f aca="true">RAND()</f>
        <v>0.863402104232162</v>
      </c>
      <c r="U226" s="54" t="n">
        <f aca="true">RAND()</f>
        <v>0.199460194724018</v>
      </c>
    </row>
    <row r="227" customFormat="false" ht="15" hidden="false" customHeight="false" outlineLevel="0" collapsed="false">
      <c r="A227" s="50" t="n">
        <v>147</v>
      </c>
      <c r="B227" s="51" t="n">
        <f aca="false">1+IF($G$6=$E$6,$F$6,IF(P227&lt;($F$6-$E$6)/($G$6-$E$6),$E$6+SQRT(P227*($G$6-$E$6)*($F$6-$E$6)),$G$6-SQRT((1-P227)*($G$6-$E$6)*($G$6-$F$6))))</f>
        <v>0.991399543781489</v>
      </c>
      <c r="C227" s="51" t="n">
        <f aca="false">1+IF($G$7=$E$7,$F$7,IF(Q227&lt;($F$7-$E$7)/($G$7-$E$7),$E$7+SQRT(Q227*($G$7-$E$7)*($F$7-$E$7)),$G$7-SQRT((1-Q227)*($G$7-$E$7)*($G$7-$F$7))))</f>
        <v>0.921499350189668</v>
      </c>
      <c r="D227" s="51" t="n">
        <f aca="false">1+IF($G$8=$E$8,$F$8,IF(R227&lt;($F$8-$E$8)/($G$8-$E$8),$E$8+SQRT(R227*($G$8-$E$8)*($F$8-$E$8)),$G$8-SQRT((1-R227)*($G$8-$E$8)*($G$8-$F$8))))</f>
        <v>1.00168519516471</v>
      </c>
      <c r="E227" s="51" t="n">
        <f aca="false">1+IF($G$9=$E$9,$F$9,IF(S227&lt;($F$9-$E$9)/($G$9-$E$9),$E$9+SQRT(S227*($G$9-$E$9)*($F$9-$E$9)),$G$9-SQRT((1-S227)*($G$9-$E$9)*($G$9-$F$9))))</f>
        <v>1.0185591058319</v>
      </c>
      <c r="F227" s="51" t="n">
        <f aca="false">1+IF($G$10=$E$10,$F$10,IF(T227&lt;($F$10-$E$10)/($G$10-$E$10),$E$10+SQRT(T227*($G$10-$E$10)*($F$10-$E$10)),$G$10-SQRT((1-T227)*($G$10-$E$10)*($G$10-$F$10))))</f>
        <v>0.996879540565925</v>
      </c>
      <c r="G227" s="52" t="n">
        <f aca="false">IF($G$11=$E$11,$F$11,IF(U227&lt;($F$11-$E$11)/($G$11-$E$11),$E$11+SQRT(U227*($G$11-$E$11)*($F$11-$E$11)),$G$11-SQRT((1-U227)*($G$11-$E$11)*($G$11-$F$11))))</f>
        <v>0.0973886011818317</v>
      </c>
      <c r="H227" s="53" t="n">
        <f aca="false">(('Business Case'!B11*$C227*'Business Case'!B12*$B227)-'Business Case'!B11*$C227*'Business Case'!B13*$D227-'Business Case'!B14*$E227)-MAX(0,(('Business Case'!B11*$C227*'Business Case'!B12*$B227)-'Business Case'!B11*$C227*'Business Case'!B13*$D227-'Business Case'!B14*$E227))*'Business Case'!$B$7-'Business Case'!$B$8*('Business Case'!B11*$C227*'Business Case'!B12*$B227)-'Business Case'!B15*$F227</f>
        <v>-1993759081.13185</v>
      </c>
      <c r="I227" s="53" t="n">
        <f aca="false">(('Business Case'!C11*$C227*'Business Case'!C12*$B227)-'Business Case'!C11*$C227*'Business Case'!C13*$D227-'Business Case'!C14*$E227)-MAX(0,(('Business Case'!C11*$C227*'Business Case'!C12*$B227)-'Business Case'!C11*$C227*'Business Case'!C13*$D227-'Business Case'!C14*$E227))*'Business Case'!$B$7-'Business Case'!$B$8*(('Business Case'!C11*$C227*'Business Case'!C12*$B227)-('Business Case'!B11*$C227*'Business Case'!B12*$B227))-'Business Case'!C15*$F227</f>
        <v>-16132735.7148067</v>
      </c>
      <c r="J227" s="53" t="n">
        <f aca="false">(('Business Case'!D11*$C227*'Business Case'!D12*$B227)-'Business Case'!D11*$C227*'Business Case'!D13*$D227-'Business Case'!D14*$E227)-MAX(0,(('Business Case'!D11*$C227*'Business Case'!D12*$B227)-'Business Case'!D11*$C227*'Business Case'!D13*$D227-'Business Case'!D14*$E227))*'Business Case'!$B$7-'Business Case'!$B$8*(('Business Case'!D11*$C227*'Business Case'!D12*$B227)-('Business Case'!C11*$C227*'Business Case'!C12*$B227))-'Business Case'!D15*$F227</f>
        <v>259621265.47001</v>
      </c>
      <c r="K227" s="53" t="n">
        <f aca="false">(('Business Case'!E11*$C227*'Business Case'!E12*$B227)-'Business Case'!E11*$C227*'Business Case'!E13*$D227-'Business Case'!E14*$E227)-MAX(0,(('Business Case'!E11*$C227*'Business Case'!E12*$B227)-'Business Case'!E11*$C227*'Business Case'!E13*$D227-'Business Case'!E14*$E227))*'Business Case'!$B$7-'Business Case'!$B$8*(('Business Case'!E11*$C227*'Business Case'!E12*$B227)-('Business Case'!D11*$C227*'Business Case'!D12*$B227))-'Business Case'!E15*$F227</f>
        <v>585219243.683123</v>
      </c>
      <c r="L227" s="53" t="n">
        <f aca="false">(('Business Case'!F11*$C227*'Business Case'!F12*$B227)-'Business Case'!F11*$C227*'Business Case'!F13*$D227-'Business Case'!F14*$E227)-MAX(0,(('Business Case'!F11*$C227*'Business Case'!F12*$B227)-'Business Case'!F11*$C227*'Business Case'!F13*$D227-'Business Case'!F14*$E227))*'Business Case'!$B$7-'Business Case'!$B$8*(('Business Case'!F11*$C227*'Business Case'!F12*$B227)-('Business Case'!E11*$C227*'Business Case'!E12*$B227))-'Business Case'!F15*$F227</f>
        <v>708710362.740552</v>
      </c>
      <c r="M227" s="53" t="n">
        <f aca="false">(('Business Case'!G11*$C227*'Business Case'!G12*$B227)-'Business Case'!G11*$C227*'Business Case'!G13*$D227-'Business Case'!G14*$E227)-MAX(0,(('Business Case'!G11*$C227*'Business Case'!G12*$B227)-'Business Case'!G11*$C227*'Business Case'!G13*$D227-'Business Case'!G14*$E227))*'Business Case'!$B$7-'Business Case'!$B$8*(('Business Case'!G11*$C227*'Business Case'!G12*$B227)-('Business Case'!F11*$C227*'Business Case'!F12*$B227))-'Business Case'!G15*$F227+'Business Case'!$B$8*('Business Case'!G11*$C227*'Business Case'!G12*$B227)</f>
        <v>882362515.384247</v>
      </c>
      <c r="N227" s="53" t="n">
        <f aca="false">IF(COUNT('Business Case'!B11:G11)=0,"",H227+NPV(G227,I227:M227))</f>
        <v>-306934133.264206</v>
      </c>
      <c r="P227" s="54" t="n">
        <f aca="true">RAND()</f>
        <v>0.531030713771331</v>
      </c>
      <c r="Q227" s="54" t="n">
        <f aca="true">RAND()</f>
        <v>0.210887029950166</v>
      </c>
      <c r="R227" s="54" t="n">
        <f aca="true">RAND()</f>
        <v>0.410268398424085</v>
      </c>
      <c r="S227" s="54" t="n">
        <f aca="true">RAND()</f>
        <v>0.557825383806658</v>
      </c>
      <c r="T227" s="54" t="n">
        <f aca="true">RAND()</f>
        <v>0.175815305893779</v>
      </c>
      <c r="U227" s="54" t="n">
        <f aca="true">RAND()</f>
        <v>0.181971424747218</v>
      </c>
    </row>
    <row r="228" customFormat="false" ht="15" hidden="false" customHeight="false" outlineLevel="0" collapsed="false">
      <c r="A228" s="50" t="n">
        <v>148</v>
      </c>
      <c r="B228" s="51" t="n">
        <f aca="false">1+IF($G$6=$E$6,$F$6,IF(P228&lt;($F$6-$E$6)/($G$6-$E$6),$E$6+SQRT(P228*($G$6-$E$6)*($F$6-$E$6)),$G$6-SQRT((1-P228)*($G$6-$E$6)*($G$6-$F$6))))</f>
        <v>0.942798727884852</v>
      </c>
      <c r="C228" s="51" t="n">
        <f aca="false">1+IF($G$7=$E$7,$F$7,IF(Q228&lt;($F$7-$E$7)/($G$7-$E$7),$E$7+SQRT(Q228*($G$7-$E$7)*($F$7-$E$7)),$G$7-SQRT((1-Q228)*($G$7-$E$7)*($G$7-$F$7))))</f>
        <v>1.0689771433713</v>
      </c>
      <c r="D228" s="51" t="n">
        <f aca="false">1+IF($G$8=$E$8,$F$8,IF(R228&lt;($F$8-$E$8)/($G$8-$E$8),$E$8+SQRT(R228*($G$8-$E$8)*($F$8-$E$8)),$G$8-SQRT((1-R228)*($G$8-$E$8)*($G$8-$F$8))))</f>
        <v>1.02640539011996</v>
      </c>
      <c r="E228" s="51" t="n">
        <f aca="false">1+IF($G$9=$E$9,$F$9,IF(S228&lt;($F$9-$E$9)/($G$9-$E$9),$E$9+SQRT(S228*($G$9-$E$9)*($F$9-$E$9)),$G$9-SQRT((1-S228)*($G$9-$E$9)*($G$9-$F$9))))</f>
        <v>1.04739997510223</v>
      </c>
      <c r="F228" s="51" t="n">
        <f aca="false">1+IF($G$10=$E$10,$F$10,IF(T228&lt;($F$10-$E$10)/($G$10-$E$10),$E$10+SQRT(T228*($G$10-$E$10)*($F$10-$E$10)),$G$10-SQRT((1-T228)*($G$10-$E$10)*($G$10-$F$10))))</f>
        <v>1.06136901344136</v>
      </c>
      <c r="G228" s="52" t="n">
        <f aca="false">IF($G$11=$E$11,$F$11,IF(U228&lt;($F$11-$E$11)/($G$11-$E$11),$E$11+SQRT(U228*($G$11-$E$11)*($F$11-$E$11)),$G$11-SQRT((1-U228)*($G$11-$E$11)*($G$11-$F$11))))</f>
        <v>0.0966321310249882</v>
      </c>
      <c r="H228" s="53" t="n">
        <f aca="false">(('Business Case'!B11*$C228*'Business Case'!B12*$B228)-'Business Case'!B11*$C228*'Business Case'!B13*$D228-'Business Case'!B14*$E228)-MAX(0,(('Business Case'!B11*$C228*'Business Case'!B12*$B228)-'Business Case'!B11*$C228*'Business Case'!B13*$D228-'Business Case'!B14*$E228))*'Business Case'!$B$7-'Business Case'!$B$8*('Business Case'!B11*$C228*'Business Case'!B12*$B228)-'Business Case'!B15*$F228</f>
        <v>-2122738026.88272</v>
      </c>
      <c r="I228" s="53" t="n">
        <f aca="false">(('Business Case'!C11*$C228*'Business Case'!C12*$B228)-'Business Case'!C11*$C228*'Business Case'!C13*$D228-'Business Case'!C14*$E228)-MAX(0,(('Business Case'!C11*$C228*'Business Case'!C12*$B228)-'Business Case'!C11*$C228*'Business Case'!C13*$D228-'Business Case'!C14*$E228))*'Business Case'!$B$7-'Business Case'!$B$8*(('Business Case'!C11*$C228*'Business Case'!C12*$B228)-('Business Case'!B11*$C228*'Business Case'!B12*$B228))-'Business Case'!C15*$F228</f>
        <v>-43518149.4953816</v>
      </c>
      <c r="J228" s="53" t="n">
        <f aca="false">(('Business Case'!D11*$C228*'Business Case'!D12*$B228)-'Business Case'!D11*$C228*'Business Case'!D13*$D228-'Business Case'!D14*$E228)-MAX(0,(('Business Case'!D11*$C228*'Business Case'!D12*$B228)-'Business Case'!D11*$C228*'Business Case'!D13*$D228-'Business Case'!D14*$E228))*'Business Case'!$B$7-'Business Case'!$B$8*(('Business Case'!D11*$C228*'Business Case'!D12*$B228)-('Business Case'!C11*$C228*'Business Case'!C12*$B228))-'Business Case'!D15*$F228</f>
        <v>220286801.093603</v>
      </c>
      <c r="K228" s="53" t="n">
        <f aca="false">(('Business Case'!E11*$C228*'Business Case'!E12*$B228)-'Business Case'!E11*$C228*'Business Case'!E13*$D228-'Business Case'!E14*$E228)-MAX(0,(('Business Case'!E11*$C228*'Business Case'!E12*$B228)-'Business Case'!E11*$C228*'Business Case'!E13*$D228-'Business Case'!E14*$E228))*'Business Case'!$B$7-'Business Case'!$B$8*(('Business Case'!E11*$C228*'Business Case'!E12*$B228)-('Business Case'!D11*$C228*'Business Case'!D12*$B228))-'Business Case'!E15*$F228</f>
        <v>537160202.354657</v>
      </c>
      <c r="L228" s="53" t="n">
        <f aca="false">(('Business Case'!F11*$C228*'Business Case'!F12*$B228)-'Business Case'!F11*$C228*'Business Case'!F13*$D228-'Business Case'!F14*$E228)-MAX(0,(('Business Case'!F11*$C228*'Business Case'!F12*$B228)-'Business Case'!F11*$C228*'Business Case'!F13*$D228-'Business Case'!F14*$E228))*'Business Case'!$B$7-'Business Case'!$B$8*(('Business Case'!F11*$C228*'Business Case'!F12*$B228)-('Business Case'!E11*$C228*'Business Case'!E12*$B228))-'Business Case'!F15*$F228</f>
        <v>659925800.738114</v>
      </c>
      <c r="M228" s="53" t="n">
        <f aca="false">(('Business Case'!G11*$C228*'Business Case'!G12*$B228)-'Business Case'!G11*$C228*'Business Case'!G13*$D228-'Business Case'!G14*$E228)-MAX(0,(('Business Case'!G11*$C228*'Business Case'!G12*$B228)-'Business Case'!G11*$C228*'Business Case'!G13*$D228-'Business Case'!G14*$E228))*'Business Case'!$B$7-'Business Case'!$B$8*(('Business Case'!G11*$C228*'Business Case'!G12*$B228)-('Business Case'!F11*$C228*'Business Case'!F12*$B228))-'Business Case'!G15*$F228+'Business Case'!$B$8*('Business Case'!G11*$C228*'Business Case'!G12*$B228)</f>
        <v>851494182.433991</v>
      </c>
      <c r="N228" s="53" t="n">
        <f aca="false">IF(COUNT('Business Case'!B11:G11)=0,"",H228+NPV(G228,I228:M228))</f>
        <v>-578759869.119172</v>
      </c>
      <c r="P228" s="54" t="n">
        <f aca="true">RAND()</f>
        <v>0.0541439576216166</v>
      </c>
      <c r="Q228" s="54" t="n">
        <f aca="true">RAND()</f>
        <v>0.874958032451895</v>
      </c>
      <c r="R228" s="54" t="n">
        <f aca="true">RAND()</f>
        <v>0.723809403058285</v>
      </c>
      <c r="S228" s="54" t="n">
        <f aca="true">RAND()</f>
        <v>0.815549158716934</v>
      </c>
      <c r="T228" s="54" t="n">
        <f aca="true">RAND()</f>
        <v>0.615628991315553</v>
      </c>
      <c r="U228" s="54" t="n">
        <f aca="true">RAND()</f>
        <v>0.146617206442034</v>
      </c>
    </row>
    <row r="229" customFormat="false" ht="15" hidden="false" customHeight="false" outlineLevel="0" collapsed="false">
      <c r="A229" s="50" t="n">
        <v>149</v>
      </c>
      <c r="B229" s="51" t="n">
        <f aca="false">1+IF($G$6=$E$6,$F$6,IF(P229&lt;($F$6-$E$6)/($G$6-$E$6),$E$6+SQRT(P229*($G$6-$E$6)*($F$6-$E$6)),$G$6-SQRT((1-P229)*($G$6-$E$6)*($G$6-$F$6))))</f>
        <v>1.00021941546128</v>
      </c>
      <c r="C229" s="51" t="n">
        <f aca="false">1+IF($G$7=$E$7,$F$7,IF(Q229&lt;($F$7-$E$7)/($G$7-$E$7),$E$7+SQRT(Q229*($G$7-$E$7)*($F$7-$E$7)),$G$7-SQRT((1-Q229)*($G$7-$E$7)*($G$7-$F$7))))</f>
        <v>0.871375295101062</v>
      </c>
      <c r="D229" s="51" t="n">
        <f aca="false">1+IF($G$8=$E$8,$F$8,IF(R229&lt;($F$8-$E$8)/($G$8-$E$8),$E$8+SQRT(R229*($G$8-$E$8)*($F$8-$E$8)),$G$8-SQRT((1-R229)*($G$8-$E$8)*($G$8-$F$8))))</f>
        <v>0.997692733472998</v>
      </c>
      <c r="E229" s="51" t="n">
        <f aca="false">1+IF($G$9=$E$9,$F$9,IF(S229&lt;($F$9-$E$9)/($G$9-$E$9),$E$9+SQRT(S229*($G$9-$E$9)*($F$9-$E$9)),$G$9-SQRT((1-S229)*($G$9-$E$9)*($G$9-$F$9))))</f>
        <v>1.05372863932241</v>
      </c>
      <c r="F229" s="51" t="n">
        <f aca="false">1+IF($G$10=$E$10,$F$10,IF(T229&lt;($F$10-$E$10)/($G$10-$E$10),$E$10+SQRT(T229*($G$10-$E$10)*($F$10-$E$10)),$G$10-SQRT((1-T229)*($G$10-$E$10)*($G$10-$F$10))))</f>
        <v>1.00576870752484</v>
      </c>
      <c r="G229" s="52" t="n">
        <f aca="false">IF($G$11=$E$11,$F$11,IF(U229&lt;($F$11-$E$11)/($G$11-$E$11),$E$11+SQRT(U229*($G$11-$E$11)*($F$11-$E$11)),$G$11-SQRT((1-U229)*($G$11-$E$11)*($G$11-$F$11))))</f>
        <v>0.0983233954049601</v>
      </c>
      <c r="H229" s="53" t="n">
        <f aca="false">(('Business Case'!B11*$C229*'Business Case'!B12*$B229)-'Business Case'!B11*$C229*'Business Case'!B13*$D229-'Business Case'!B14*$E229)-MAX(0,(('Business Case'!B11*$C229*'Business Case'!B12*$B229)-'Business Case'!B11*$C229*'Business Case'!B13*$D229-'Business Case'!B14*$E229))*'Business Case'!$B$7-'Business Case'!$B$8*('Business Case'!B11*$C229*'Business Case'!B12*$B229)-'Business Case'!B15*$F229</f>
        <v>-2011537415.04967</v>
      </c>
      <c r="I229" s="53" t="n">
        <f aca="false">(('Business Case'!C11*$C229*'Business Case'!C12*$B229)-'Business Case'!C11*$C229*'Business Case'!C13*$D229-'Business Case'!C14*$E229)-MAX(0,(('Business Case'!C11*$C229*'Business Case'!C12*$B229)-'Business Case'!C11*$C229*'Business Case'!C13*$D229-'Business Case'!C14*$E229))*'Business Case'!$B$7-'Business Case'!$B$8*(('Business Case'!C11*$C229*'Business Case'!C12*$B229)-('Business Case'!B11*$C229*'Business Case'!B12*$B229))-'Business Case'!C15*$F229</f>
        <v>-26768611.7441803</v>
      </c>
      <c r="J229" s="53" t="n">
        <f aca="false">(('Business Case'!D11*$C229*'Business Case'!D12*$B229)-'Business Case'!D11*$C229*'Business Case'!D13*$D229-'Business Case'!D14*$E229)-MAX(0,(('Business Case'!D11*$C229*'Business Case'!D12*$B229)-'Business Case'!D11*$C229*'Business Case'!D13*$D229-'Business Case'!D14*$E229))*'Business Case'!$B$7-'Business Case'!$B$8*(('Business Case'!D11*$C229*'Business Case'!D12*$B229)-('Business Case'!C11*$C229*'Business Case'!C12*$B229))-'Business Case'!D15*$F229</f>
        <v>242061866.529935</v>
      </c>
      <c r="K229" s="53" t="n">
        <f aca="false">(('Business Case'!E11*$C229*'Business Case'!E12*$B229)-'Business Case'!E11*$C229*'Business Case'!E13*$D229-'Business Case'!E14*$E229)-MAX(0,(('Business Case'!E11*$C229*'Business Case'!E12*$B229)-'Business Case'!E11*$C229*'Business Case'!E13*$D229-'Business Case'!E14*$E229))*'Business Case'!$B$7-'Business Case'!$B$8*(('Business Case'!E11*$C229*'Business Case'!E12*$B229)-('Business Case'!D11*$C229*'Business Case'!D12*$B229))-'Business Case'!E15*$F229</f>
        <v>561180780.180293</v>
      </c>
      <c r="L229" s="53" t="n">
        <f aca="false">(('Business Case'!F11*$C229*'Business Case'!F12*$B229)-'Business Case'!F11*$C229*'Business Case'!F13*$D229-'Business Case'!F14*$E229)-MAX(0,(('Business Case'!F11*$C229*'Business Case'!F12*$B229)-'Business Case'!F11*$C229*'Business Case'!F13*$D229-'Business Case'!F14*$E229))*'Business Case'!$B$7-'Business Case'!$B$8*(('Business Case'!F11*$C229*'Business Case'!F12*$B229)-('Business Case'!E11*$C229*'Business Case'!E12*$B229))-'Business Case'!F15*$F229</f>
        <v>680912277.441109</v>
      </c>
      <c r="M229" s="53" t="n">
        <f aca="false">(('Business Case'!G11*$C229*'Business Case'!G12*$B229)-'Business Case'!G11*$C229*'Business Case'!G13*$D229-'Business Case'!G14*$E229)-MAX(0,(('Business Case'!G11*$C229*'Business Case'!G12*$B229)-'Business Case'!G11*$C229*'Business Case'!G13*$D229-'Business Case'!G14*$E229))*'Business Case'!$B$7-'Business Case'!$B$8*(('Business Case'!G11*$C229*'Business Case'!G12*$B229)-('Business Case'!F11*$C229*'Business Case'!F12*$B229))-'Business Case'!G15*$F229+'Business Case'!$B$8*('Business Case'!G11*$C229*'Business Case'!G12*$B229)</f>
        <v>846579635.539718</v>
      </c>
      <c r="N229" s="53" t="n">
        <f aca="false">IF(COUNT('Business Case'!B11:G11)=0,"",H229+NPV(G229,I229:M229))</f>
        <v>-414087837.482215</v>
      </c>
      <c r="P229" s="54" t="n">
        <f aca="true">RAND()</f>
        <v>0.6703135611996</v>
      </c>
      <c r="Q229" s="54" t="n">
        <f aca="true">RAND()</f>
        <v>0.0727776107251959</v>
      </c>
      <c r="R229" s="54" t="n">
        <f aca="true">RAND()</f>
        <v>0.349937973250222</v>
      </c>
      <c r="S229" s="54" t="n">
        <f aca="true">RAND()</f>
        <v>0.857264078736266</v>
      </c>
      <c r="T229" s="54" t="n">
        <f aca="true">RAND()</f>
        <v>0.245484100468537</v>
      </c>
      <c r="U229" s="54" t="n">
        <f aca="true">RAND()</f>
        <v>0.230929703557705</v>
      </c>
    </row>
    <row r="230" customFormat="false" ht="15" hidden="false" customHeight="false" outlineLevel="0" collapsed="false">
      <c r="A230" s="50" t="n">
        <v>150</v>
      </c>
      <c r="B230" s="51" t="n">
        <f aca="false">1+IF($G$6=$E$6,$F$6,IF(P230&lt;($F$6-$E$6)/($G$6-$E$6),$E$6+SQRT(P230*($G$6-$E$6)*($F$6-$E$6)),$G$6-SQRT((1-P230)*($G$6-$E$6)*($G$6-$F$6))))</f>
        <v>0.964445703770486</v>
      </c>
      <c r="C230" s="51" t="n">
        <f aca="false">1+IF($G$7=$E$7,$F$7,IF(Q230&lt;($F$7-$E$7)/($G$7-$E$7),$E$7+SQRT(Q230*($G$7-$E$7)*($F$7-$E$7)),$G$7-SQRT((1-Q230)*($G$7-$E$7)*($G$7-$F$7))))</f>
        <v>0.991066517143155</v>
      </c>
      <c r="D230" s="51" t="n">
        <f aca="false">1+IF($G$8=$E$8,$F$8,IF(R230&lt;($F$8-$E$8)/($G$8-$E$8),$E$8+SQRT(R230*($G$8-$E$8)*($F$8-$E$8)),$G$8-SQRT((1-R230)*($G$8-$E$8)*($G$8-$F$8))))</f>
        <v>1.01013925724654</v>
      </c>
      <c r="E230" s="51" t="n">
        <f aca="false">1+IF($G$9=$E$9,$F$9,IF(S230&lt;($F$9-$E$9)/($G$9-$E$9),$E$9+SQRT(S230*($G$9-$E$9)*($F$9-$E$9)),$G$9-SQRT((1-S230)*($G$9-$E$9)*($G$9-$F$9))))</f>
        <v>1.06900003065516</v>
      </c>
      <c r="F230" s="51" t="n">
        <f aca="false">1+IF($G$10=$E$10,$F$10,IF(T230&lt;($F$10-$E$10)/($G$10-$E$10),$E$10+SQRT(T230*($G$10-$E$10)*($F$10-$E$10)),$G$10-SQRT((1-T230)*($G$10-$E$10)*($G$10-$F$10))))</f>
        <v>1.08215449841734</v>
      </c>
      <c r="G230" s="52" t="n">
        <f aca="false">IF($G$11=$E$11,$F$11,IF(U230&lt;($F$11-$E$11)/($G$11-$E$11),$E$11+SQRT(U230*($G$11-$E$11)*($F$11-$E$11)),$G$11-SQRT((1-U230)*($G$11-$E$11)*($G$11-$F$11))))</f>
        <v>0.115715387256311</v>
      </c>
      <c r="H230" s="53" t="n">
        <f aca="false">(('Business Case'!B11*$C230*'Business Case'!B12*$B230)-'Business Case'!B11*$C230*'Business Case'!B13*$D230-'Business Case'!B14*$E230)-MAX(0,(('Business Case'!B11*$C230*'Business Case'!B12*$B230)-'Business Case'!B11*$C230*'Business Case'!B13*$D230-'Business Case'!B14*$E230))*'Business Case'!$B$7-'Business Case'!$B$8*('Business Case'!B11*$C230*'Business Case'!B12*$B230)-'Business Case'!B15*$F230</f>
        <v>-2164308996.83468</v>
      </c>
      <c r="I230" s="53" t="n">
        <f aca="false">(('Business Case'!C11*$C230*'Business Case'!C12*$B230)-'Business Case'!C11*$C230*'Business Case'!C13*$D230-'Business Case'!C14*$E230)-MAX(0,(('Business Case'!C11*$C230*'Business Case'!C12*$B230)-'Business Case'!C11*$C230*'Business Case'!C13*$D230-'Business Case'!C14*$E230))*'Business Case'!$B$7-'Business Case'!$B$8*(('Business Case'!C11*$C230*'Business Case'!C12*$B230)-('Business Case'!B11*$C230*'Business Case'!B12*$B230))-'Business Case'!C15*$F230</f>
        <v>-39374901.7463846</v>
      </c>
      <c r="J230" s="53" t="n">
        <f aca="false">(('Business Case'!D11*$C230*'Business Case'!D12*$B230)-'Business Case'!D11*$C230*'Business Case'!D13*$D230-'Business Case'!D14*$E230)-MAX(0,(('Business Case'!D11*$C230*'Business Case'!D12*$B230)-'Business Case'!D11*$C230*'Business Case'!D13*$D230-'Business Case'!D14*$E230))*'Business Case'!$B$7-'Business Case'!$B$8*(('Business Case'!D11*$C230*'Business Case'!D12*$B230)-('Business Case'!C11*$C230*'Business Case'!C12*$B230))-'Business Case'!D15*$F230</f>
        <v>231027669.852685</v>
      </c>
      <c r="K230" s="53" t="n">
        <f aca="false">(('Business Case'!E11*$C230*'Business Case'!E12*$B230)-'Business Case'!E11*$C230*'Business Case'!E13*$D230-'Business Case'!E14*$E230)-MAX(0,(('Business Case'!E11*$C230*'Business Case'!E12*$B230)-'Business Case'!E11*$C230*'Business Case'!E13*$D230-'Business Case'!E14*$E230))*'Business Case'!$B$7-'Business Case'!$B$8*(('Business Case'!E11*$C230*'Business Case'!E12*$B230)-('Business Case'!D11*$C230*'Business Case'!D12*$B230))-'Business Case'!E15*$F230</f>
        <v>555537966.372622</v>
      </c>
      <c r="L230" s="53" t="n">
        <f aca="false">(('Business Case'!F11*$C230*'Business Case'!F12*$B230)-'Business Case'!F11*$C230*'Business Case'!F13*$D230-'Business Case'!F14*$E230)-MAX(0,(('Business Case'!F11*$C230*'Business Case'!F12*$B230)-'Business Case'!F11*$C230*'Business Case'!F13*$D230-'Business Case'!F14*$E230))*'Business Case'!$B$7-'Business Case'!$B$8*(('Business Case'!F11*$C230*'Business Case'!F12*$B230)-('Business Case'!E11*$C230*'Business Case'!E12*$B230))-'Business Case'!F15*$F230</f>
        <v>678705636.335349</v>
      </c>
      <c r="M230" s="53" t="n">
        <f aca="false">(('Business Case'!G11*$C230*'Business Case'!G12*$B230)-'Business Case'!G11*$C230*'Business Case'!G13*$D230-'Business Case'!G14*$E230)-MAX(0,(('Business Case'!G11*$C230*'Business Case'!G12*$B230)-'Business Case'!G11*$C230*'Business Case'!G13*$D230-'Business Case'!G14*$E230))*'Business Case'!$B$7-'Business Case'!$B$8*(('Business Case'!G11*$C230*'Business Case'!G12*$B230)-('Business Case'!F11*$C230*'Business Case'!F12*$B230))-'Business Case'!G15*$F230+'Business Case'!$B$8*('Business Case'!G11*$C230*'Business Case'!G12*$B230)</f>
        <v>860389773.198722</v>
      </c>
      <c r="N230" s="53" t="n">
        <f aca="false">IF(COUNT('Business Case'!B11:G11)=0,"",H230+NPV(G230,I230:M230))</f>
        <v>-678366744.931895</v>
      </c>
      <c r="P230" s="54" t="n">
        <f aca="true">RAND()</f>
        <v>0.205772977463938</v>
      </c>
      <c r="Q230" s="54" t="n">
        <f aca="true">RAND()</f>
        <v>0.521520199617364</v>
      </c>
      <c r="R230" s="54" t="n">
        <f aca="true">RAND()</f>
        <v>0.530718905955314</v>
      </c>
      <c r="S230" s="54" t="n">
        <f aca="true">RAND()</f>
        <v>0.935933460041273</v>
      </c>
      <c r="T230" s="54" t="n">
        <f aca="true">RAND()</f>
        <v>0.722248755134629</v>
      </c>
      <c r="U230" s="54" t="n">
        <f aca="true">RAND()</f>
        <v>0.969403489394367</v>
      </c>
    </row>
    <row r="231" customFormat="false" ht="15" hidden="false" customHeight="false" outlineLevel="0" collapsed="false">
      <c r="A231" s="50" t="n">
        <v>151</v>
      </c>
      <c r="B231" s="51" t="n">
        <f aca="false">1+IF($G$6=$E$6,$F$6,IF(P231&lt;($F$6-$E$6)/($G$6-$E$6),$E$6+SQRT(P231*($G$6-$E$6)*($F$6-$E$6)),$G$6-SQRT((1-P231)*($G$6-$E$6)*($G$6-$F$6))))</f>
        <v>1.02767571936952</v>
      </c>
      <c r="C231" s="51" t="n">
        <f aca="false">1+IF($G$7=$E$7,$F$7,IF(Q231&lt;($F$7-$E$7)/($G$7-$E$7),$E$7+SQRT(Q231*($G$7-$E$7)*($F$7-$E$7)),$G$7-SQRT((1-Q231)*($G$7-$E$7)*($G$7-$F$7))))</f>
        <v>1.00819566727449</v>
      </c>
      <c r="D231" s="51" t="n">
        <f aca="false">1+IF($G$8=$E$8,$F$8,IF(R231&lt;($F$8-$E$8)/($G$8-$E$8),$E$8+SQRT(R231*($G$8-$E$8)*($F$8-$E$8)),$G$8-SQRT((1-R231)*($G$8-$E$8)*($G$8-$F$8))))</f>
        <v>0.981190635126665</v>
      </c>
      <c r="E231" s="51" t="n">
        <f aca="false">1+IF($G$9=$E$9,$F$9,IF(S231&lt;($F$9-$E$9)/($G$9-$E$9),$E$9+SQRT(S231*($G$9-$E$9)*($F$9-$E$9)),$G$9-SQRT((1-S231)*($G$9-$E$9)*($G$9-$F$9))))</f>
        <v>0.994876749611732</v>
      </c>
      <c r="F231" s="51" t="n">
        <f aca="false">1+IF($G$10=$E$10,$F$10,IF(T231&lt;($F$10-$E$10)/($G$10-$E$10),$E$10+SQRT(T231*($G$10-$E$10)*($F$10-$E$10)),$G$10-SQRT((1-T231)*($G$10-$E$10)*($G$10-$F$10))))</f>
        <v>1.0953447258956</v>
      </c>
      <c r="G231" s="52" t="n">
        <f aca="false">IF($G$11=$E$11,$F$11,IF(U231&lt;($F$11-$E$11)/($G$11-$E$11),$E$11+SQRT(U231*($G$11-$E$11)*($F$11-$E$11)),$G$11-SQRT((1-U231)*($G$11-$E$11)*($G$11-$F$11))))</f>
        <v>0.102960497149675</v>
      </c>
      <c r="H231" s="53" t="n">
        <f aca="false">(('Business Case'!B11*$C231*'Business Case'!B12*$B231)-'Business Case'!B11*$C231*'Business Case'!B13*$D231-'Business Case'!B14*$E231)-MAX(0,(('Business Case'!B11*$C231*'Business Case'!B12*$B231)-'Business Case'!B11*$C231*'Business Case'!B13*$D231-'Business Case'!B14*$E231))*'Business Case'!$B$7-'Business Case'!$B$8*('Business Case'!B11*$C231*'Business Case'!B12*$B231)-'Business Case'!B15*$F231</f>
        <v>-2190689451.79121</v>
      </c>
      <c r="I231" s="53" t="n">
        <f aca="false">(('Business Case'!C11*$C231*'Business Case'!C12*$B231)-'Business Case'!C11*$C231*'Business Case'!C13*$D231-'Business Case'!C14*$E231)-MAX(0,(('Business Case'!C11*$C231*'Business Case'!C12*$B231)-'Business Case'!C11*$C231*'Business Case'!C13*$D231-'Business Case'!C14*$E231))*'Business Case'!$B$7-'Business Case'!$B$8*(('Business Case'!C11*$C231*'Business Case'!C12*$B231)-('Business Case'!B11*$C231*'Business Case'!B12*$B231))-'Business Case'!C15*$F231</f>
        <v>37514032.9072208</v>
      </c>
      <c r="J231" s="53" t="n">
        <f aca="false">(('Business Case'!D11*$C231*'Business Case'!D12*$B231)-'Business Case'!D11*$C231*'Business Case'!D13*$D231-'Business Case'!D14*$E231)-MAX(0,(('Business Case'!D11*$C231*'Business Case'!D12*$B231)-'Business Case'!D11*$C231*'Business Case'!D13*$D231-'Business Case'!D14*$E231))*'Business Case'!$B$7-'Business Case'!$B$8*(('Business Case'!D11*$C231*'Business Case'!D12*$B231)-('Business Case'!C11*$C231*'Business Case'!C12*$B231))-'Business Case'!D15*$F231</f>
        <v>379745343.28241</v>
      </c>
      <c r="K231" s="53" t="n">
        <f aca="false">(('Business Case'!E11*$C231*'Business Case'!E12*$B231)-'Business Case'!E11*$C231*'Business Case'!E13*$D231-'Business Case'!E14*$E231)-MAX(0,(('Business Case'!E11*$C231*'Business Case'!E12*$B231)-'Business Case'!E11*$C231*'Business Case'!E13*$D231-'Business Case'!E14*$E231))*'Business Case'!$B$7-'Business Case'!$B$8*(('Business Case'!E11*$C231*'Business Case'!E12*$B231)-('Business Case'!D11*$C231*'Business Case'!D12*$B231))-'Business Case'!E15*$F231</f>
        <v>776743889.952379</v>
      </c>
      <c r="L231" s="53" t="n">
        <f aca="false">(('Business Case'!F11*$C231*'Business Case'!F12*$B231)-'Business Case'!F11*$C231*'Business Case'!F13*$D231-'Business Case'!F14*$E231)-MAX(0,(('Business Case'!F11*$C231*'Business Case'!F12*$B231)-'Business Case'!F11*$C231*'Business Case'!F13*$D231-'Business Case'!F14*$E231))*'Business Case'!$B$7-'Business Case'!$B$8*(('Business Case'!F11*$C231*'Business Case'!F12*$B231)-('Business Case'!E11*$C231*'Business Case'!E12*$B231))-'Business Case'!F15*$F231</f>
        <v>926628547.466521</v>
      </c>
      <c r="M231" s="53" t="n">
        <f aca="false">(('Business Case'!G11*$C231*'Business Case'!G12*$B231)-'Business Case'!G11*$C231*'Business Case'!G13*$D231-'Business Case'!G14*$E231)-MAX(0,(('Business Case'!G11*$C231*'Business Case'!G12*$B231)-'Business Case'!G11*$C231*'Business Case'!G13*$D231-'Business Case'!G14*$E231))*'Business Case'!$B$7-'Business Case'!$B$8*(('Business Case'!G11*$C231*'Business Case'!G12*$B231)-('Business Case'!F11*$C231*'Business Case'!F12*$B231))-'Business Case'!G15*$F231+'Business Case'!$B$8*('Business Case'!G11*$C231*'Business Case'!G12*$B231)</f>
        <v>1123570094.77313</v>
      </c>
      <c r="N231" s="53" t="n">
        <f aca="false">IF(COUNT('Business Case'!B11:G11)=0,"",H231+NPV(G231,I231:M231))</f>
        <v>48839604.4699559</v>
      </c>
      <c r="P231" s="54" t="n">
        <f aca="true">RAND()</f>
        <v>0.968356688946083</v>
      </c>
      <c r="Q231" s="54" t="n">
        <f aca="true">RAND()</f>
        <v>0.616981547052804</v>
      </c>
      <c r="R231" s="54" t="n">
        <f aca="true">RAND()</f>
        <v>0.149670110708421</v>
      </c>
      <c r="S231" s="54" t="n">
        <f aca="true">RAND()</f>
        <v>0.268523020761874</v>
      </c>
      <c r="T231" s="54" t="n">
        <f aca="true">RAND()</f>
        <v>0.780945472042678</v>
      </c>
      <c r="U231" s="54" t="n">
        <f aca="true">RAND()</f>
        <v>0.516092237689611</v>
      </c>
    </row>
    <row r="232" customFormat="false" ht="15" hidden="false" customHeight="false" outlineLevel="0" collapsed="false">
      <c r="A232" s="50" t="n">
        <v>152</v>
      </c>
      <c r="B232" s="51" t="n">
        <f aca="false">1+IF($G$6=$E$6,$F$6,IF(P232&lt;($F$6-$E$6)/($G$6-$E$6),$E$6+SQRT(P232*($G$6-$E$6)*($F$6-$E$6)),$G$6-SQRT((1-P232)*($G$6-$E$6)*($G$6-$F$6))))</f>
        <v>0.992835215904604</v>
      </c>
      <c r="C232" s="51" t="n">
        <f aca="false">1+IF($G$7=$E$7,$F$7,IF(Q232&lt;($F$7-$E$7)/($G$7-$E$7),$E$7+SQRT(Q232*($G$7-$E$7)*($F$7-$E$7)),$G$7-SQRT((1-Q232)*($G$7-$E$7)*($G$7-$F$7))))</f>
        <v>1.0737407731403</v>
      </c>
      <c r="D232" s="51" t="n">
        <f aca="false">1+IF($G$8=$E$8,$F$8,IF(R232&lt;($F$8-$E$8)/($G$8-$E$8),$E$8+SQRT(R232*($G$8-$E$8)*($F$8-$E$8)),$G$8-SQRT((1-R232)*($G$8-$E$8)*($G$8-$F$8))))</f>
        <v>0.968361736412973</v>
      </c>
      <c r="E232" s="51" t="n">
        <f aca="false">1+IF($G$9=$E$9,$F$9,IF(S232&lt;($F$9-$E$9)/($G$9-$E$9),$E$9+SQRT(S232*($G$9-$E$9)*($F$9-$E$9)),$G$9-SQRT((1-S232)*($G$9-$E$9)*($G$9-$F$9))))</f>
        <v>0.99181724841904</v>
      </c>
      <c r="F232" s="51" t="n">
        <f aca="false">1+IF($G$10=$E$10,$F$10,IF(T232&lt;($F$10-$E$10)/($G$10-$E$10),$E$10+SQRT(T232*($G$10-$E$10)*($F$10-$E$10)),$G$10-SQRT((1-T232)*($G$10-$E$10)*($G$10-$F$10))))</f>
        <v>1.09269134481548</v>
      </c>
      <c r="G232" s="52" t="n">
        <f aca="false">IF($G$11=$E$11,$F$11,IF(U232&lt;($F$11-$E$11)/($G$11-$E$11),$E$11+SQRT(U232*($G$11-$E$11)*($F$11-$E$11)),$G$11-SQRT((1-U232)*($G$11-$E$11)*($G$11-$F$11))))</f>
        <v>0.107874577044185</v>
      </c>
      <c r="H232" s="53" t="n">
        <f aca="false">(('Business Case'!B11*$C232*'Business Case'!B12*$B232)-'Business Case'!B11*$C232*'Business Case'!B13*$D232-'Business Case'!B14*$E232)-MAX(0,(('Business Case'!B11*$C232*'Business Case'!B12*$B232)-'Business Case'!B11*$C232*'Business Case'!B13*$D232-'Business Case'!B14*$E232))*'Business Case'!$B$7-'Business Case'!$B$8*('Business Case'!B11*$C232*'Business Case'!B12*$B232)-'Business Case'!B15*$F232</f>
        <v>-2185382689.63097</v>
      </c>
      <c r="I232" s="53" t="n">
        <f aca="false">(('Business Case'!C11*$C232*'Business Case'!C12*$B232)-'Business Case'!C11*$C232*'Business Case'!C13*$D232-'Business Case'!C14*$E232)-MAX(0,(('Business Case'!C11*$C232*'Business Case'!C12*$B232)-'Business Case'!C11*$C232*'Business Case'!C13*$D232-'Business Case'!C14*$E232))*'Business Case'!$B$7-'Business Case'!$B$8*(('Business Case'!C11*$C232*'Business Case'!C12*$B232)-('Business Case'!B11*$C232*'Business Case'!B12*$B232))-'Business Case'!C15*$F232</f>
        <v>35321533.2190593</v>
      </c>
      <c r="J232" s="53" t="n">
        <f aca="false">(('Business Case'!D11*$C232*'Business Case'!D12*$B232)-'Business Case'!D11*$C232*'Business Case'!D13*$D232-'Business Case'!D14*$E232)-MAX(0,(('Business Case'!D11*$C232*'Business Case'!D12*$B232)-'Business Case'!D11*$C232*'Business Case'!D13*$D232-'Business Case'!D14*$E232))*'Business Case'!$B$7-'Business Case'!$B$8*(('Business Case'!D11*$C232*'Business Case'!D12*$B232)-('Business Case'!C11*$C232*'Business Case'!C12*$B232))-'Business Case'!D15*$F232</f>
        <v>376212523.941451</v>
      </c>
      <c r="K232" s="53" t="n">
        <f aca="false">(('Business Case'!E11*$C232*'Business Case'!E12*$B232)-'Business Case'!E11*$C232*'Business Case'!E13*$D232-'Business Case'!E14*$E232)-MAX(0,(('Business Case'!E11*$C232*'Business Case'!E12*$B232)-'Business Case'!E11*$C232*'Business Case'!E13*$D232-'Business Case'!E14*$E232))*'Business Case'!$B$7-'Business Case'!$B$8*(('Business Case'!E11*$C232*'Business Case'!E12*$B232)-('Business Case'!D11*$C232*'Business Case'!D12*$B232))-'Business Case'!E15*$F232</f>
        <v>771738081.904617</v>
      </c>
      <c r="L232" s="53" t="n">
        <f aca="false">(('Business Case'!F11*$C232*'Business Case'!F12*$B232)-'Business Case'!F11*$C232*'Business Case'!F13*$D232-'Business Case'!F14*$E232)-MAX(0,(('Business Case'!F11*$C232*'Business Case'!F12*$B232)-'Business Case'!F11*$C232*'Business Case'!F13*$D232-'Business Case'!F14*$E232))*'Business Case'!$B$7-'Business Case'!$B$8*(('Business Case'!F11*$C232*'Business Case'!F12*$B232)-('Business Case'!E11*$C232*'Business Case'!E12*$B232))-'Business Case'!F15*$F232</f>
        <v>922211019.009812</v>
      </c>
      <c r="M232" s="53" t="n">
        <f aca="false">(('Business Case'!G11*$C232*'Business Case'!G12*$B232)-'Business Case'!G11*$C232*'Business Case'!G13*$D232-'Business Case'!G14*$E232)-MAX(0,(('Business Case'!G11*$C232*'Business Case'!G12*$B232)-'Business Case'!G11*$C232*'Business Case'!G13*$D232-'Business Case'!G14*$E232))*'Business Case'!$B$7-'Business Case'!$B$8*(('Business Case'!G11*$C232*'Business Case'!G12*$B232)-('Business Case'!F11*$C232*'Business Case'!F12*$B232))-'Business Case'!G15*$F232+'Business Case'!$B$8*('Business Case'!G11*$C232*'Business Case'!G12*$B232)</f>
        <v>1124845356.764</v>
      </c>
      <c r="N232" s="53" t="n">
        <f aca="false">IF(COUNT('Business Case'!B11:G11)=0,"",H232+NPV(G232,I232:M232))</f>
        <v>6690024.95193863</v>
      </c>
      <c r="P232" s="54" t="n">
        <f aca="true">RAND()</f>
        <v>0.552600903736488</v>
      </c>
      <c r="Q232" s="54" t="n">
        <f aca="true">RAND()</f>
        <v>0.889229148928789</v>
      </c>
      <c r="R232" s="54" t="n">
        <f aca="true">RAND()</f>
        <v>0.0518697483229978</v>
      </c>
      <c r="S232" s="54" t="n">
        <f aca="true">RAND()</f>
        <v>0.233157635378623</v>
      </c>
      <c r="T232" s="54" t="n">
        <f aca="true">RAND()</f>
        <v>0.769697050449807</v>
      </c>
      <c r="U232" s="54" t="n">
        <f aca="true">RAND()</f>
        <v>0.754956863570995</v>
      </c>
    </row>
    <row r="233" customFormat="false" ht="15" hidden="false" customHeight="false" outlineLevel="0" collapsed="false">
      <c r="A233" s="50" t="n">
        <v>153</v>
      </c>
      <c r="B233" s="51" t="n">
        <f aca="false">1+IF($G$6=$E$6,$F$6,IF(P233&lt;($F$6-$E$6)/($G$6-$E$6),$E$6+SQRT(P233*($G$6-$E$6)*($F$6-$E$6)),$G$6-SQRT((1-P233)*($G$6-$E$6)*($G$6-$F$6))))</f>
        <v>1.00386401926447</v>
      </c>
      <c r="C233" s="51" t="n">
        <f aca="false">1+IF($G$7=$E$7,$F$7,IF(Q233&lt;($F$7-$E$7)/($G$7-$E$7),$E$7+SQRT(Q233*($G$7-$E$7)*($F$7-$E$7)),$G$7-SQRT((1-Q233)*($G$7-$E$7)*($G$7-$F$7))))</f>
        <v>0.915710987373457</v>
      </c>
      <c r="D233" s="51" t="n">
        <f aca="false">1+IF($G$8=$E$8,$F$8,IF(R233&lt;($F$8-$E$8)/($G$8-$E$8),$E$8+SQRT(R233*($G$8-$E$8)*($F$8-$E$8)),$G$8-SQRT((1-R233)*($G$8-$E$8)*($G$8-$F$8))))</f>
        <v>0.990431356131526</v>
      </c>
      <c r="E233" s="51" t="n">
        <f aca="false">1+IF($G$9=$E$9,$F$9,IF(S233&lt;($F$9-$E$9)/($G$9-$E$9),$E$9+SQRT(S233*($G$9-$E$9)*($F$9-$E$9)),$G$9-SQRT((1-S233)*($G$9-$E$9)*($G$9-$F$9))))</f>
        <v>1.03762383155362</v>
      </c>
      <c r="F233" s="51" t="n">
        <f aca="false">1+IF($G$10=$E$10,$F$10,IF(T233&lt;($F$10-$E$10)/($G$10-$E$10),$E$10+SQRT(T233*($G$10-$E$10)*($F$10-$E$10)),$G$10-SQRT((1-T233)*($G$10-$E$10)*($G$10-$F$10))))</f>
        <v>0.999059438445326</v>
      </c>
      <c r="G233" s="52" t="n">
        <f aca="false">IF($G$11=$E$11,$F$11,IF(U233&lt;($F$11-$E$11)/($G$11-$E$11),$E$11+SQRT(U233*($G$11-$E$11)*($F$11-$E$11)),$G$11-SQRT((1-U233)*($G$11-$E$11)*($G$11-$F$11))))</f>
        <v>0.0997520342107169</v>
      </c>
      <c r="H233" s="53" t="n">
        <f aca="false">(('Business Case'!B11*$C233*'Business Case'!B12*$B233)-'Business Case'!B11*$C233*'Business Case'!B13*$D233-'Business Case'!B14*$E233)-MAX(0,(('Business Case'!B11*$C233*'Business Case'!B12*$B233)-'Business Case'!B11*$C233*'Business Case'!B13*$D233-'Business Case'!B14*$E233))*'Business Case'!$B$7-'Business Case'!$B$8*('Business Case'!B11*$C233*'Business Case'!B12*$B233)-'Business Case'!B15*$F233</f>
        <v>-1998118876.89065</v>
      </c>
      <c r="I233" s="53" t="n">
        <f aca="false">(('Business Case'!C11*$C233*'Business Case'!C12*$B233)-'Business Case'!C11*$C233*'Business Case'!C13*$D233-'Business Case'!C14*$E233)-MAX(0,(('Business Case'!C11*$C233*'Business Case'!C12*$B233)-'Business Case'!C11*$C233*'Business Case'!C13*$D233-'Business Case'!C14*$E233))*'Business Case'!$B$7-'Business Case'!$B$8*(('Business Case'!C11*$C233*'Business Case'!C12*$B233)-('Business Case'!B11*$C233*'Business Case'!B12*$B233))-'Business Case'!C15*$F233</f>
        <v>-6463832.45541567</v>
      </c>
      <c r="J233" s="53" t="n">
        <f aca="false">(('Business Case'!D11*$C233*'Business Case'!D12*$B233)-'Business Case'!D11*$C233*'Business Case'!D13*$D233-'Business Case'!D14*$E233)-MAX(0,(('Business Case'!D11*$C233*'Business Case'!D12*$B233)-'Business Case'!D11*$C233*'Business Case'!D13*$D233-'Business Case'!D14*$E233))*'Business Case'!$B$7-'Business Case'!$B$8*(('Business Case'!D11*$C233*'Business Case'!D12*$B233)-('Business Case'!C11*$C233*'Business Case'!C12*$B233))-'Business Case'!D15*$F233</f>
        <v>282182272.128669</v>
      </c>
      <c r="K233" s="53" t="n">
        <f aca="false">(('Business Case'!E11*$C233*'Business Case'!E12*$B233)-'Business Case'!E11*$C233*'Business Case'!E13*$D233-'Business Case'!E14*$E233)-MAX(0,(('Business Case'!E11*$C233*'Business Case'!E12*$B233)-'Business Case'!E11*$C233*'Business Case'!E13*$D233-'Business Case'!E14*$E233))*'Business Case'!$B$7-'Business Case'!$B$8*(('Business Case'!E11*$C233*'Business Case'!E12*$B233)-('Business Case'!D11*$C233*'Business Case'!D12*$B233))-'Business Case'!E15*$F233</f>
        <v>620781348.635019</v>
      </c>
      <c r="L233" s="53" t="n">
        <f aca="false">(('Business Case'!F11*$C233*'Business Case'!F12*$B233)-'Business Case'!F11*$C233*'Business Case'!F13*$D233-'Business Case'!F14*$E233)-MAX(0,(('Business Case'!F11*$C233*'Business Case'!F12*$B233)-'Business Case'!F11*$C233*'Business Case'!F13*$D233-'Business Case'!F14*$E233))*'Business Case'!$B$7-'Business Case'!$B$8*(('Business Case'!F11*$C233*'Business Case'!F12*$B233)-('Business Case'!E11*$C233*'Business Case'!E12*$B233))-'Business Case'!F15*$F233</f>
        <v>748765973.061743</v>
      </c>
      <c r="M233" s="53" t="n">
        <f aca="false">(('Business Case'!G11*$C233*'Business Case'!G12*$B233)-'Business Case'!G11*$C233*'Business Case'!G13*$D233-'Business Case'!G14*$E233)-MAX(0,(('Business Case'!G11*$C233*'Business Case'!G12*$B233)-'Business Case'!G11*$C233*'Business Case'!G13*$D233-'Business Case'!G14*$E233))*'Business Case'!$B$7-'Business Case'!$B$8*(('Business Case'!G11*$C233*'Business Case'!G12*$B233)-('Business Case'!F11*$C233*'Business Case'!F12*$B233))-'Business Case'!G15*$F233+'Business Case'!$B$8*('Business Case'!G11*$C233*'Business Case'!G12*$B233)</f>
        <v>923496882.337901</v>
      </c>
      <c r="N233" s="53" t="n">
        <f aca="false">IF(COUNT('Business Case'!B11:G11)=0,"",H233+NPV(G233,I233:M233))</f>
        <v>-218020685.393269</v>
      </c>
      <c r="P233" s="54" t="n">
        <f aca="true">RAND()</f>
        <v>0.727956436725233</v>
      </c>
      <c r="Q233" s="54" t="n">
        <f aca="true">RAND()</f>
        <v>0.191271894270576</v>
      </c>
      <c r="R233" s="54" t="n">
        <f aca="true">RAND()</f>
        <v>0.251491470559121</v>
      </c>
      <c r="S233" s="54" t="n">
        <f aca="true">RAND()</f>
        <v>0.740614240663218</v>
      </c>
      <c r="T233" s="54" t="n">
        <f aca="true">RAND()</f>
        <v>0.192546280045659</v>
      </c>
      <c r="U233" s="54" t="n">
        <f aca="true">RAND()</f>
        <v>0.317007237489972</v>
      </c>
    </row>
    <row r="234" customFormat="false" ht="15" hidden="false" customHeight="false" outlineLevel="0" collapsed="false">
      <c r="A234" s="50" t="n">
        <v>154</v>
      </c>
      <c r="B234" s="51" t="n">
        <f aca="false">1+IF($G$6=$E$6,$F$6,IF(P234&lt;($F$6-$E$6)/($G$6-$E$6),$E$6+SQRT(P234*($G$6-$E$6)*($F$6-$E$6)),$G$6-SQRT((1-P234)*($G$6-$E$6)*($G$6-$F$6))))</f>
        <v>0.984427437936521</v>
      </c>
      <c r="C234" s="51" t="n">
        <f aca="false">1+IF($G$7=$E$7,$F$7,IF(Q234&lt;($F$7-$E$7)/($G$7-$E$7),$E$7+SQRT(Q234*($G$7-$E$7)*($F$7-$E$7)),$G$7-SQRT((1-Q234)*($G$7-$E$7)*($G$7-$F$7))))</f>
        <v>1.04299793421958</v>
      </c>
      <c r="D234" s="51" t="n">
        <f aca="false">1+IF($G$8=$E$8,$F$8,IF(R234&lt;($F$8-$E$8)/($G$8-$E$8),$E$8+SQRT(R234*($G$8-$E$8)*($F$8-$E$8)),$G$8-SQRT((1-R234)*($G$8-$E$8)*($G$8-$F$8))))</f>
        <v>0.984171637912209</v>
      </c>
      <c r="E234" s="51" t="n">
        <f aca="false">1+IF($G$9=$E$9,$F$9,IF(S234&lt;($F$9-$E$9)/($G$9-$E$9),$E$9+SQRT(S234*($G$9-$E$9)*($F$9-$E$9)),$G$9-SQRT((1-S234)*($G$9-$E$9)*($G$9-$F$9))))</f>
        <v>1.03448759638115</v>
      </c>
      <c r="F234" s="51" t="n">
        <f aca="false">1+IF($G$10=$E$10,$F$10,IF(T234&lt;($F$10-$E$10)/($G$10-$E$10),$E$10+SQRT(T234*($G$10-$E$10)*($F$10-$E$10)),$G$10-SQRT((1-T234)*($G$10-$E$10)*($G$10-$F$10))))</f>
        <v>1.01030607297311</v>
      </c>
      <c r="G234" s="52" t="n">
        <f aca="false">IF($G$11=$E$11,$F$11,IF(U234&lt;($F$11-$E$11)/($G$11-$E$11),$E$11+SQRT(U234*($G$11-$E$11)*($F$11-$E$11)),$G$11-SQRT((1-U234)*($G$11-$E$11)*($G$11-$F$11))))</f>
        <v>0.0951881106634592</v>
      </c>
      <c r="H234" s="53" t="n">
        <f aca="false">(('Business Case'!B11*$C234*'Business Case'!B12*$B234)-'Business Case'!B11*$C234*'Business Case'!B13*$D234-'Business Case'!B14*$E234)-MAX(0,(('Business Case'!B11*$C234*'Business Case'!B12*$B234)-'Business Case'!B11*$C234*'Business Case'!B13*$D234-'Business Case'!B14*$E234))*'Business Case'!$B$7-'Business Case'!$B$8*('Business Case'!B11*$C234*'Business Case'!B12*$B234)-'Business Case'!B15*$F234</f>
        <v>-2020612145.94622</v>
      </c>
      <c r="I234" s="53" t="n">
        <f aca="false">(('Business Case'!C11*$C234*'Business Case'!C12*$B234)-'Business Case'!C11*$C234*'Business Case'!C13*$D234-'Business Case'!C14*$E234)-MAX(0,(('Business Case'!C11*$C234*'Business Case'!C12*$B234)-'Business Case'!C11*$C234*'Business Case'!C13*$D234-'Business Case'!C14*$E234))*'Business Case'!$B$7-'Business Case'!$B$8*(('Business Case'!C11*$C234*'Business Case'!C12*$B234)-('Business Case'!B11*$C234*'Business Case'!B12*$B234))-'Business Case'!C15*$F234</f>
        <v>14144908.9532646</v>
      </c>
      <c r="J234" s="53" t="n">
        <f aca="false">(('Business Case'!D11*$C234*'Business Case'!D12*$B234)-'Business Case'!D11*$C234*'Business Case'!D13*$D234-'Business Case'!D14*$E234)-MAX(0,(('Business Case'!D11*$C234*'Business Case'!D12*$B234)-'Business Case'!D11*$C234*'Business Case'!D13*$D234-'Business Case'!D14*$E234))*'Business Case'!$B$7-'Business Case'!$B$8*(('Business Case'!D11*$C234*'Business Case'!D12*$B234)-('Business Case'!C11*$C234*'Business Case'!C12*$B234))-'Business Case'!D15*$F234</f>
        <v>329651581.259931</v>
      </c>
      <c r="K234" s="53" t="n">
        <f aca="false">(('Business Case'!E11*$C234*'Business Case'!E12*$B234)-'Business Case'!E11*$C234*'Business Case'!E13*$D234-'Business Case'!E14*$E234)-MAX(0,(('Business Case'!E11*$C234*'Business Case'!E12*$B234)-'Business Case'!E11*$C234*'Business Case'!E13*$D234-'Business Case'!E14*$E234))*'Business Case'!$B$7-'Business Case'!$B$8*(('Business Case'!E11*$C234*'Business Case'!E12*$B234)-('Business Case'!D11*$C234*'Business Case'!D12*$B234))-'Business Case'!E15*$F234</f>
        <v>695673557.215253</v>
      </c>
      <c r="L234" s="53" t="n">
        <f aca="false">(('Business Case'!F11*$C234*'Business Case'!F12*$B234)-'Business Case'!F11*$C234*'Business Case'!F13*$D234-'Business Case'!F14*$E234)-MAX(0,(('Business Case'!F11*$C234*'Business Case'!F12*$B234)-'Business Case'!F11*$C234*'Business Case'!F13*$D234-'Business Case'!F14*$E234))*'Business Case'!$B$7-'Business Case'!$B$8*(('Business Case'!F11*$C234*'Business Case'!F12*$B234)-('Business Case'!E11*$C234*'Business Case'!E12*$B234))-'Business Case'!F15*$F234</f>
        <v>836327127.884603</v>
      </c>
      <c r="M234" s="53" t="n">
        <f aca="false">(('Business Case'!G11*$C234*'Business Case'!G12*$B234)-'Business Case'!G11*$C234*'Business Case'!G13*$D234-'Business Case'!G14*$E234)-MAX(0,(('Business Case'!G11*$C234*'Business Case'!G12*$B234)-'Business Case'!G11*$C234*'Business Case'!G13*$D234-'Business Case'!G14*$E234))*'Business Case'!$B$7-'Business Case'!$B$8*(('Business Case'!G11*$C234*'Business Case'!G12*$B234)-('Business Case'!F11*$C234*'Business Case'!F12*$B234))-'Business Case'!G15*$F234+'Business Case'!$B$8*('Business Case'!G11*$C234*'Business Case'!G12*$B234)</f>
        <v>1031492867.33714</v>
      </c>
      <c r="N234" s="53" t="n">
        <f aca="false">IF(COUNT('Business Case'!B11:G11)=0,"",H234+NPV(G234,I234:M234))</f>
        <v>32729782.0886774</v>
      </c>
      <c r="P234" s="54" t="n">
        <f aca="true">RAND()</f>
        <v>0.432384870735862</v>
      </c>
      <c r="Q234" s="54" t="n">
        <f aca="true">RAND()</f>
        <v>0.781915388928055</v>
      </c>
      <c r="R234" s="54" t="n">
        <f aca="true">RAND()</f>
        <v>0.179646282708169</v>
      </c>
      <c r="S234" s="54" t="n">
        <f aca="true">RAND()</f>
        <v>0.713874998138712</v>
      </c>
      <c r="T234" s="54" t="n">
        <f aca="true">RAND()</f>
        <v>0.280324280982339</v>
      </c>
      <c r="U234" s="54" t="n">
        <f aca="true">RAND()</f>
        <v>0.0897216408543287</v>
      </c>
    </row>
    <row r="235" customFormat="false" ht="15" hidden="false" customHeight="false" outlineLevel="0" collapsed="false">
      <c r="A235" s="50" t="n">
        <v>155</v>
      </c>
      <c r="B235" s="51" t="n">
        <f aca="false">1+IF($G$6=$E$6,$F$6,IF(P235&lt;($F$6-$E$6)/($G$6-$E$6),$E$6+SQRT(P235*($G$6-$E$6)*($F$6-$E$6)),$G$6-SQRT((1-P235)*($G$6-$E$6)*($G$6-$F$6))))</f>
        <v>0.992088704424228</v>
      </c>
      <c r="C235" s="51" t="n">
        <f aca="false">1+IF($G$7=$E$7,$F$7,IF(Q235&lt;($F$7-$E$7)/($G$7-$E$7),$E$7+SQRT(Q235*($G$7-$E$7)*($F$7-$E$7)),$G$7-SQRT((1-Q235)*($G$7-$E$7)*($G$7-$F$7))))</f>
        <v>1.0004431727991</v>
      </c>
      <c r="D235" s="51" t="n">
        <f aca="false">1+IF($G$8=$E$8,$F$8,IF(R235&lt;($F$8-$E$8)/($G$8-$E$8),$E$8+SQRT(R235*($G$8-$E$8)*($F$8-$E$8)),$G$8-SQRT((1-R235)*($G$8-$E$8)*($G$8-$F$8))))</f>
        <v>1.00586672013316</v>
      </c>
      <c r="E235" s="51" t="n">
        <f aca="false">1+IF($G$9=$E$9,$F$9,IF(S235&lt;($F$9-$E$9)/($G$9-$E$9),$E$9+SQRT(S235*($G$9-$E$9)*($F$9-$E$9)),$G$9-SQRT((1-S235)*($G$9-$E$9)*($G$9-$F$9))))</f>
        <v>1.00316050199957</v>
      </c>
      <c r="F235" s="51" t="n">
        <f aca="false">1+IF($G$10=$E$10,$F$10,IF(T235&lt;($F$10-$E$10)/($G$10-$E$10),$E$10+SQRT(T235*($G$10-$E$10)*($F$10-$E$10)),$G$10-SQRT((1-T235)*($G$10-$E$10)*($G$10-$F$10))))</f>
        <v>0.973339984538322</v>
      </c>
      <c r="G235" s="52" t="n">
        <f aca="false">IF($G$11=$E$11,$F$11,IF(U235&lt;($F$11-$E$11)/($G$11-$E$11),$E$11+SQRT(U235*($G$11-$E$11)*($F$11-$E$11)),$G$11-SQRT((1-U235)*($G$11-$E$11)*($G$11-$F$11))))</f>
        <v>0.0971637238839604</v>
      </c>
      <c r="H235" s="53" t="n">
        <f aca="false">(('Business Case'!B11*$C235*'Business Case'!B12*$B235)-'Business Case'!B11*$C235*'Business Case'!B13*$D235-'Business Case'!B14*$E235)-MAX(0,(('Business Case'!B11*$C235*'Business Case'!B12*$B235)-'Business Case'!B11*$C235*'Business Case'!B13*$D235-'Business Case'!B14*$E235))*'Business Case'!$B$7-'Business Case'!$B$8*('Business Case'!B11*$C235*'Business Case'!B12*$B235)-'Business Case'!B15*$F235</f>
        <v>-1946679969.07664</v>
      </c>
      <c r="I235" s="53" t="n">
        <f aca="false">(('Business Case'!C11*$C235*'Business Case'!C12*$B235)-'Business Case'!C11*$C235*'Business Case'!C13*$D235-'Business Case'!C14*$E235)-MAX(0,(('Business Case'!C11*$C235*'Business Case'!C12*$B235)-'Business Case'!C11*$C235*'Business Case'!C13*$D235-'Business Case'!C14*$E235))*'Business Case'!$B$7-'Business Case'!$B$8*(('Business Case'!C11*$C235*'Business Case'!C12*$B235)-('Business Case'!B11*$C235*'Business Case'!B12*$B235))-'Business Case'!C15*$F235</f>
        <v>6364614.05084291</v>
      </c>
      <c r="J235" s="53" t="n">
        <f aca="false">(('Business Case'!D11*$C235*'Business Case'!D12*$B235)-'Business Case'!D11*$C235*'Business Case'!D13*$D235-'Business Case'!D14*$E235)-MAX(0,(('Business Case'!D11*$C235*'Business Case'!D12*$B235)-'Business Case'!D11*$C235*'Business Case'!D13*$D235-'Business Case'!D14*$E235))*'Business Case'!$B$7-'Business Case'!$B$8*(('Business Case'!D11*$C235*'Business Case'!D12*$B235)-('Business Case'!C11*$C235*'Business Case'!C12*$B235))-'Business Case'!D15*$F235</f>
        <v>304165320.700393</v>
      </c>
      <c r="K235" s="53" t="n">
        <f aca="false">(('Business Case'!E11*$C235*'Business Case'!E12*$B235)-'Business Case'!E11*$C235*'Business Case'!E13*$D235-'Business Case'!E14*$E235)-MAX(0,(('Business Case'!E11*$C235*'Business Case'!E12*$B235)-'Business Case'!E11*$C235*'Business Case'!E13*$D235-'Business Case'!E14*$E235))*'Business Case'!$B$7-'Business Case'!$B$8*(('Business Case'!E11*$C235*'Business Case'!E12*$B235)-('Business Case'!D11*$C235*'Business Case'!D12*$B235))-'Business Case'!E15*$F235</f>
        <v>650633026.576859</v>
      </c>
      <c r="L235" s="53" t="n">
        <f aca="false">(('Business Case'!F11*$C235*'Business Case'!F12*$B235)-'Business Case'!F11*$C235*'Business Case'!F13*$D235-'Business Case'!F14*$E235)-MAX(0,(('Business Case'!F11*$C235*'Business Case'!F12*$B235)-'Business Case'!F11*$C235*'Business Case'!F13*$D235-'Business Case'!F14*$E235))*'Business Case'!$B$7-'Business Case'!$B$8*(('Business Case'!F11*$C235*'Business Case'!F12*$B235)-('Business Case'!E11*$C235*'Business Case'!E12*$B235))-'Business Case'!F15*$F235</f>
        <v>784201709.3004</v>
      </c>
      <c r="M235" s="53" t="n">
        <f aca="false">(('Business Case'!G11*$C235*'Business Case'!G12*$B235)-'Business Case'!G11*$C235*'Business Case'!G13*$D235-'Business Case'!G14*$E235)-MAX(0,(('Business Case'!G11*$C235*'Business Case'!G12*$B235)-'Business Case'!G11*$C235*'Business Case'!G13*$D235-'Business Case'!G14*$E235))*'Business Case'!$B$7-'Business Case'!$B$8*(('Business Case'!G11*$C235*'Business Case'!G12*$B235)-('Business Case'!F11*$C235*'Business Case'!F12*$B235))-'Business Case'!G15*$F235+'Business Case'!$B$8*('Business Case'!G11*$C235*'Business Case'!G12*$B235)</f>
        <v>972861502.089034</v>
      </c>
      <c r="N235" s="53" t="n">
        <f aca="false">IF(COUNT('Business Case'!B11:G11)=0,"",H235+NPV(G235,I235:M235))</f>
        <v>-42471113.0290616</v>
      </c>
      <c r="P235" s="54" t="n">
        <f aca="true">RAND()</f>
        <v>0.541331385996222</v>
      </c>
      <c r="Q235" s="54" t="n">
        <f aca="true">RAND()</f>
        <v>0.573957246430481</v>
      </c>
      <c r="R235" s="54" t="n">
        <f aca="true">RAND()</f>
        <v>0.471563155402389</v>
      </c>
      <c r="S235" s="54" t="n">
        <f aca="true">RAND()</f>
        <v>0.374807441801599</v>
      </c>
      <c r="T235" s="54" t="n">
        <f aca="true">RAND()</f>
        <v>0.04358039025993</v>
      </c>
      <c r="U235" s="54" t="n">
        <f aca="true">RAND()</f>
        <v>0.171063132952081</v>
      </c>
    </row>
    <row r="236" customFormat="false" ht="15" hidden="false" customHeight="false" outlineLevel="0" collapsed="false">
      <c r="A236" s="50" t="n">
        <v>156</v>
      </c>
      <c r="B236" s="51" t="n">
        <f aca="false">1+IF($G$6=$E$6,$F$6,IF(P236&lt;($F$6-$E$6)/($G$6-$E$6),$E$6+SQRT(P236*($G$6-$E$6)*($F$6-$E$6)),$G$6-SQRT((1-P236)*($G$6-$E$6)*($G$6-$F$6))))</f>
        <v>0.995759976321994</v>
      </c>
      <c r="C236" s="51" t="n">
        <f aca="false">1+IF($G$7=$E$7,$F$7,IF(Q236&lt;($F$7-$E$7)/($G$7-$E$7),$E$7+SQRT(Q236*($G$7-$E$7)*($F$7-$E$7)),$G$7-SQRT((1-Q236)*($G$7-$E$7)*($G$7-$F$7))))</f>
        <v>0.887419609015945</v>
      </c>
      <c r="D236" s="51" t="n">
        <f aca="false">1+IF($G$8=$E$8,$F$8,IF(R236&lt;($F$8-$E$8)/($G$8-$E$8),$E$8+SQRT(R236*($G$8-$E$8)*($F$8-$E$8)),$G$8-SQRT((1-R236)*($G$8-$E$8)*($G$8-$F$8))))</f>
        <v>1.03337877897165</v>
      </c>
      <c r="E236" s="51" t="n">
        <f aca="false">1+IF($G$9=$E$9,$F$9,IF(S236&lt;($F$9-$E$9)/($G$9-$E$9),$E$9+SQRT(S236*($G$9-$E$9)*($F$9-$E$9)),$G$9-SQRT((1-S236)*($G$9-$E$9)*($G$9-$F$9))))</f>
        <v>1.02395603172186</v>
      </c>
      <c r="F236" s="51" t="n">
        <f aca="false">1+IF($G$10=$E$10,$F$10,IF(T236&lt;($F$10-$E$10)/($G$10-$E$10),$E$10+SQRT(T236*($G$10-$E$10)*($F$10-$E$10)),$G$10-SQRT((1-T236)*($G$10-$E$10)*($G$10-$F$10))))</f>
        <v>1.02628862737234</v>
      </c>
      <c r="G236" s="52" t="n">
        <f aca="false">IF($G$11=$E$11,$F$11,IF(U236&lt;($F$11-$E$11)/($G$11-$E$11),$E$11+SQRT(U236*($G$11-$E$11)*($F$11-$E$11)),$G$11-SQRT((1-U236)*($G$11-$E$11)*($G$11-$F$11))))</f>
        <v>0.109031592654693</v>
      </c>
      <c r="H236" s="53" t="n">
        <f aca="false">(('Business Case'!B11*$C236*'Business Case'!B12*$B236)-'Business Case'!B11*$C236*'Business Case'!B13*$D236-'Business Case'!B14*$E236)-MAX(0,(('Business Case'!B11*$C236*'Business Case'!B12*$B236)-'Business Case'!B11*$C236*'Business Case'!B13*$D236-'Business Case'!B14*$E236))*'Business Case'!$B$7-'Business Case'!$B$8*('Business Case'!B11*$C236*'Business Case'!B12*$B236)-'Business Case'!B15*$F236</f>
        <v>-2052577254.74469</v>
      </c>
      <c r="I236" s="53" t="n">
        <f aca="false">(('Business Case'!C11*$C236*'Business Case'!C12*$B236)-'Business Case'!C11*$C236*'Business Case'!C13*$D236-'Business Case'!C14*$E236)-MAX(0,(('Business Case'!C11*$C236*'Business Case'!C12*$B236)-'Business Case'!C11*$C236*'Business Case'!C13*$D236-'Business Case'!C14*$E236))*'Business Case'!$B$7-'Business Case'!$B$8*(('Business Case'!C11*$C236*'Business Case'!C12*$B236)-('Business Case'!B11*$C236*'Business Case'!B12*$B236))-'Business Case'!C15*$F236</f>
        <v>-39716957.4607424</v>
      </c>
      <c r="J236" s="53" t="n">
        <f aca="false">(('Business Case'!D11*$C236*'Business Case'!D12*$B236)-'Business Case'!D11*$C236*'Business Case'!D13*$D236-'Business Case'!D14*$E236)-MAX(0,(('Business Case'!D11*$C236*'Business Case'!D12*$B236)-'Business Case'!D11*$C236*'Business Case'!D13*$D236-'Business Case'!D14*$E236))*'Business Case'!$B$7-'Business Case'!$B$8*(('Business Case'!D11*$C236*'Business Case'!D12*$B236)-('Business Case'!C11*$C236*'Business Case'!C12*$B236))-'Business Case'!D15*$F236</f>
        <v>214610270.718772</v>
      </c>
      <c r="K236" s="53" t="n">
        <f aca="false">(('Business Case'!E11*$C236*'Business Case'!E12*$B236)-'Business Case'!E11*$C236*'Business Case'!E13*$D236-'Business Case'!E14*$E236)-MAX(0,(('Business Case'!E11*$C236*'Business Case'!E12*$B236)-'Business Case'!E11*$C236*'Business Case'!E13*$D236-'Business Case'!E14*$E236))*'Business Case'!$B$7-'Business Case'!$B$8*(('Business Case'!E11*$C236*'Business Case'!E12*$B236)-('Business Case'!D11*$C236*'Business Case'!D12*$B236))-'Business Case'!E15*$F236</f>
        <v>520251930.266904</v>
      </c>
      <c r="L236" s="53" t="n">
        <f aca="false">(('Business Case'!F11*$C236*'Business Case'!F12*$B236)-'Business Case'!F11*$C236*'Business Case'!F13*$D236-'Business Case'!F14*$E236)-MAX(0,(('Business Case'!F11*$C236*'Business Case'!F12*$B236)-'Business Case'!F11*$C236*'Business Case'!F13*$D236-'Business Case'!F14*$E236))*'Business Case'!$B$7-'Business Case'!$B$8*(('Business Case'!F11*$C236*'Business Case'!F12*$B236)-('Business Case'!E11*$C236*'Business Case'!E12*$B236))-'Business Case'!F15*$F236</f>
        <v>635566856.454858</v>
      </c>
      <c r="M236" s="53" t="n">
        <f aca="false">(('Business Case'!G11*$C236*'Business Case'!G12*$B236)-'Business Case'!G11*$C236*'Business Case'!G13*$D236-'Business Case'!G14*$E236)-MAX(0,(('Business Case'!G11*$C236*'Business Case'!G12*$B236)-'Business Case'!G11*$C236*'Business Case'!G13*$D236-'Business Case'!G14*$E236))*'Business Case'!$B$7-'Business Case'!$B$8*(('Business Case'!G11*$C236*'Business Case'!G12*$B236)-('Business Case'!F11*$C236*'Business Case'!F12*$B236))-'Business Case'!G15*$F236+'Business Case'!$B$8*('Business Case'!G11*$C236*'Business Case'!G12*$B236)</f>
        <v>803532365.492832</v>
      </c>
      <c r="N236" s="53" t="n">
        <f aca="false">IF(COUNT('Business Case'!B11:G11)=0,"",H236+NPV(G236,I236:M236))</f>
        <v>-633426837.148875</v>
      </c>
      <c r="P236" s="54" t="n">
        <f aca="true">RAND()</f>
        <v>0.597872292948862</v>
      </c>
      <c r="Q236" s="54" t="n">
        <f aca="true">RAND()</f>
        <v>0.109174114864294</v>
      </c>
      <c r="R236" s="54" t="n">
        <f aca="true">RAND()</f>
        <v>0.79100593748323</v>
      </c>
      <c r="S236" s="54" t="n">
        <f aca="true">RAND()</f>
        <v>0.614487659234177</v>
      </c>
      <c r="T236" s="54" t="n">
        <f aca="true">RAND()</f>
        <v>0.39648718039631</v>
      </c>
      <c r="U236" s="54" t="n">
        <f aca="true">RAND()</f>
        <v>0.799490067179008</v>
      </c>
    </row>
    <row r="237" customFormat="false" ht="15" hidden="false" customHeight="false" outlineLevel="0" collapsed="false">
      <c r="A237" s="50" t="n">
        <v>157</v>
      </c>
      <c r="B237" s="51" t="n">
        <f aca="false">1+IF($G$6=$E$6,$F$6,IF(P237&lt;($F$6-$E$6)/($G$6-$E$6),$E$6+SQRT(P237*($G$6-$E$6)*($F$6-$E$6)),$G$6-SQRT((1-P237)*($G$6-$E$6)*($G$6-$F$6))))</f>
        <v>1.00118360445864</v>
      </c>
      <c r="C237" s="51" t="n">
        <f aca="false">1+IF($G$7=$E$7,$F$7,IF(Q237&lt;($F$7-$E$7)/($G$7-$E$7),$E$7+SQRT(Q237*($G$7-$E$7)*($F$7-$E$7)),$G$7-SQRT((1-Q237)*($G$7-$E$7)*($G$7-$F$7))))</f>
        <v>1.00859926692495</v>
      </c>
      <c r="D237" s="51" t="n">
        <f aca="false">1+IF($G$8=$E$8,$F$8,IF(R237&lt;($F$8-$E$8)/($G$8-$E$8),$E$8+SQRT(R237*($G$8-$E$8)*($F$8-$E$8)),$G$8-SQRT((1-R237)*($G$8-$E$8)*($G$8-$F$8))))</f>
        <v>1.0040365494721</v>
      </c>
      <c r="E237" s="51" t="n">
        <f aca="false">1+IF($G$9=$E$9,$F$9,IF(S237&lt;($F$9-$E$9)/($G$9-$E$9),$E$9+SQRT(S237*($G$9-$E$9)*($F$9-$E$9)),$G$9-SQRT((1-S237)*($G$9-$E$9)*($G$9-$F$9))))</f>
        <v>1.04631378405824</v>
      </c>
      <c r="F237" s="51" t="n">
        <f aca="false">1+IF($G$10=$E$10,$F$10,IF(T237&lt;($F$10-$E$10)/($G$10-$E$10),$E$10+SQRT(T237*($G$10-$E$10)*($F$10-$E$10)),$G$10-SQRT((1-T237)*($G$10-$E$10)*($G$10-$F$10))))</f>
        <v>1.0898070743238</v>
      </c>
      <c r="G237" s="52" t="n">
        <f aca="false">IF($G$11=$E$11,$F$11,IF(U237&lt;($F$11-$E$11)/($G$11-$E$11),$E$11+SQRT(U237*($G$11-$E$11)*($F$11-$E$11)),$G$11-SQRT((1-U237)*($G$11-$E$11)*($G$11-$F$11))))</f>
        <v>0.107766877537602</v>
      </c>
      <c r="H237" s="53" t="n">
        <f aca="false">(('Business Case'!B11*$C237*'Business Case'!B12*$B237)-'Business Case'!B11*$C237*'Business Case'!B13*$D237-'Business Case'!B14*$E237)-MAX(0,(('Business Case'!B11*$C237*'Business Case'!B12*$B237)-'Business Case'!B11*$C237*'Business Case'!B13*$D237-'Business Case'!B14*$E237))*'Business Case'!$B$7-'Business Case'!$B$8*('Business Case'!B11*$C237*'Business Case'!B12*$B237)-'Business Case'!B15*$F237</f>
        <v>-2179614148.6476</v>
      </c>
      <c r="I237" s="53" t="n">
        <f aca="false">(('Business Case'!C11*$C237*'Business Case'!C12*$B237)-'Business Case'!C11*$C237*'Business Case'!C13*$D237-'Business Case'!C14*$E237)-MAX(0,(('Business Case'!C11*$C237*'Business Case'!C12*$B237)-'Business Case'!C11*$C237*'Business Case'!C13*$D237-'Business Case'!C14*$E237))*'Business Case'!$B$7-'Business Case'!$B$8*(('Business Case'!C11*$C237*'Business Case'!C12*$B237)-('Business Case'!B11*$C237*'Business Case'!B12*$B237))-'Business Case'!C15*$F237</f>
        <v>-1427283.13318513</v>
      </c>
      <c r="J237" s="53" t="n">
        <f aca="false">(('Business Case'!D11*$C237*'Business Case'!D12*$B237)-'Business Case'!D11*$C237*'Business Case'!D13*$D237-'Business Case'!D14*$E237)-MAX(0,(('Business Case'!D11*$C237*'Business Case'!D12*$B237)-'Business Case'!D11*$C237*'Business Case'!D13*$D237-'Business Case'!D14*$E237))*'Business Case'!$B$7-'Business Case'!$B$8*(('Business Case'!D11*$C237*'Business Case'!D12*$B237)-('Business Case'!C11*$C237*'Business Case'!C12*$B237))-'Business Case'!D15*$F237</f>
        <v>307259632.94591</v>
      </c>
      <c r="K237" s="53" t="n">
        <f aca="false">(('Business Case'!E11*$C237*'Business Case'!E12*$B237)-'Business Case'!E11*$C237*'Business Case'!E13*$D237-'Business Case'!E14*$E237)-MAX(0,(('Business Case'!E11*$C237*'Business Case'!E12*$B237)-'Business Case'!E11*$C237*'Business Case'!E13*$D237-'Business Case'!E14*$E237))*'Business Case'!$B$7-'Business Case'!$B$8*(('Business Case'!E11*$C237*'Business Case'!E12*$B237)-('Business Case'!D11*$C237*'Business Case'!D12*$B237))-'Business Case'!E15*$F237</f>
        <v>670436902.741196</v>
      </c>
      <c r="L237" s="53" t="n">
        <f aca="false">(('Business Case'!F11*$C237*'Business Case'!F12*$B237)-'Business Case'!F11*$C237*'Business Case'!F13*$D237-'Business Case'!F14*$E237)-MAX(0,(('Business Case'!F11*$C237*'Business Case'!F12*$B237)-'Business Case'!F11*$C237*'Business Case'!F13*$D237-'Business Case'!F14*$E237))*'Business Case'!$B$7-'Business Case'!$B$8*(('Business Case'!F11*$C237*'Business Case'!F12*$B237)-('Business Case'!E11*$C237*'Business Case'!E12*$B237))-'Business Case'!F15*$F237</f>
        <v>808230989.225441</v>
      </c>
      <c r="M237" s="53" t="n">
        <f aca="false">(('Business Case'!G11*$C237*'Business Case'!G12*$B237)-'Business Case'!G11*$C237*'Business Case'!G13*$D237-'Business Case'!G14*$E237)-MAX(0,(('Business Case'!G11*$C237*'Business Case'!G12*$B237)-'Business Case'!G11*$C237*'Business Case'!G13*$D237-'Business Case'!G14*$E237))*'Business Case'!$B$7-'Business Case'!$B$8*(('Business Case'!G11*$C237*'Business Case'!G12*$B237)-('Business Case'!F11*$C237*'Business Case'!F12*$B237))-'Business Case'!G15*$F237+'Business Case'!$B$8*('Business Case'!G11*$C237*'Business Case'!G12*$B237)</f>
        <v>1000172452.07711</v>
      </c>
      <c r="N237" s="53" t="n">
        <f aca="false">IF(COUNT('Business Case'!B11:G11)=0,"",H237+NPV(G237,I237:M237))</f>
        <v>-301055650.192261</v>
      </c>
      <c r="P237" s="54" t="n">
        <f aca="true">RAND()</f>
        <v>0.686101549411783</v>
      </c>
      <c r="Q237" s="54" t="n">
        <f aca="true">RAND()</f>
        <v>0.619158717825505</v>
      </c>
      <c r="R237" s="54" t="n">
        <f aca="true">RAND()</f>
        <v>0.445149440759231</v>
      </c>
      <c r="S237" s="54" t="n">
        <f aca="true">RAND()</f>
        <v>0.80785268119028</v>
      </c>
      <c r="T237" s="54" t="n">
        <f aca="true">RAND()</f>
        <v>0.757150382618399</v>
      </c>
      <c r="U237" s="54" t="n">
        <f aca="true">RAND()</f>
        <v>0.750584524699964</v>
      </c>
    </row>
    <row r="238" customFormat="false" ht="15" hidden="false" customHeight="false" outlineLevel="0" collapsed="false">
      <c r="A238" s="50" t="n">
        <v>158</v>
      </c>
      <c r="B238" s="51" t="n">
        <f aca="false">1+IF($G$6=$E$6,$F$6,IF(P238&lt;($F$6-$E$6)/($G$6-$E$6),$E$6+SQRT(P238*($G$6-$E$6)*($F$6-$E$6)),$G$6-SQRT((1-P238)*($G$6-$E$6)*($G$6-$F$6))))</f>
        <v>0.990693458052145</v>
      </c>
      <c r="C238" s="51" t="n">
        <f aca="false">1+IF($G$7=$E$7,$F$7,IF(Q238&lt;($F$7-$E$7)/($G$7-$E$7),$E$7+SQRT(Q238*($G$7-$E$7)*($F$7-$E$7)),$G$7-SQRT((1-Q238)*($G$7-$E$7)*($G$7-$F$7))))</f>
        <v>0.846909130448891</v>
      </c>
      <c r="D238" s="51" t="n">
        <f aca="false">1+IF($G$8=$E$8,$F$8,IF(R238&lt;($F$8-$E$8)/($G$8-$E$8),$E$8+SQRT(R238*($G$8-$E$8)*($F$8-$E$8)),$G$8-SQRT((1-R238)*($G$8-$E$8)*($G$8-$F$8))))</f>
        <v>0.980372448358254</v>
      </c>
      <c r="E238" s="51" t="n">
        <f aca="false">1+IF($G$9=$E$9,$F$9,IF(S238&lt;($F$9-$E$9)/($G$9-$E$9),$E$9+SQRT(S238*($G$9-$E$9)*($F$9-$E$9)),$G$9-SQRT((1-S238)*($G$9-$E$9)*($G$9-$F$9))))</f>
        <v>1.01228923101098</v>
      </c>
      <c r="F238" s="51" t="n">
        <f aca="false">1+IF($G$10=$E$10,$F$10,IF(T238&lt;($F$10-$E$10)/($G$10-$E$10),$E$10+SQRT(T238*($G$10-$E$10)*($F$10-$E$10)),$G$10-SQRT((1-T238)*($G$10-$E$10)*($G$10-$F$10))))</f>
        <v>0.999214639409993</v>
      </c>
      <c r="G238" s="52" t="n">
        <f aca="false">IF($G$11=$E$11,$F$11,IF(U238&lt;($F$11-$E$11)/($G$11-$E$11),$E$11+SQRT(U238*($G$11-$E$11)*($F$11-$E$11)),$G$11-SQRT((1-U238)*($G$11-$E$11)*($G$11-$F$11))))</f>
        <v>0.0985847673204465</v>
      </c>
      <c r="H238" s="53" t="n">
        <f aca="false">(('Business Case'!B11*$C238*'Business Case'!B12*$B238)-'Business Case'!B11*$C238*'Business Case'!B13*$D238-'Business Case'!B14*$E238)-MAX(0,(('Business Case'!B11*$C238*'Business Case'!B12*$B238)-'Business Case'!B11*$C238*'Business Case'!B13*$D238-'Business Case'!B14*$E238))*'Business Case'!$B$7-'Business Case'!$B$8*('Business Case'!B11*$C238*'Business Case'!B12*$B238)-'Business Case'!B15*$F238</f>
        <v>-1998429278.81999</v>
      </c>
      <c r="I238" s="53" t="n">
        <f aca="false">(('Business Case'!C11*$C238*'Business Case'!C12*$B238)-'Business Case'!C11*$C238*'Business Case'!C13*$D238-'Business Case'!C14*$E238)-MAX(0,(('Business Case'!C11*$C238*'Business Case'!C12*$B238)-'Business Case'!C11*$C238*'Business Case'!C13*$D238-'Business Case'!C14*$E238))*'Business Case'!$B$7-'Business Case'!$B$8*(('Business Case'!C11*$C238*'Business Case'!C12*$B238)-('Business Case'!B11*$C238*'Business Case'!B12*$B238))-'Business Case'!C15*$F238</f>
        <v>-25180574.7274619</v>
      </c>
      <c r="J238" s="53" t="n">
        <f aca="false">(('Business Case'!D11*$C238*'Business Case'!D12*$B238)-'Business Case'!D11*$C238*'Business Case'!D13*$D238-'Business Case'!D14*$E238)-MAX(0,(('Business Case'!D11*$C238*'Business Case'!D12*$B238)-'Business Case'!D11*$C238*'Business Case'!D13*$D238-'Business Case'!D14*$E238))*'Business Case'!$B$7-'Business Case'!$B$8*(('Business Case'!D11*$C238*'Business Case'!D12*$B238)-('Business Case'!C11*$C238*'Business Case'!C12*$B238))-'Business Case'!D15*$F238</f>
        <v>237003020.187438</v>
      </c>
      <c r="K238" s="53" t="n">
        <f aca="false">(('Business Case'!E11*$C238*'Business Case'!E12*$B238)-'Business Case'!E11*$C238*'Business Case'!E13*$D238-'Business Case'!E14*$E238)-MAX(0,(('Business Case'!E11*$C238*'Business Case'!E12*$B238)-'Business Case'!E11*$C238*'Business Case'!E13*$D238-'Business Case'!E14*$E238))*'Business Case'!$B$7-'Business Case'!$B$8*(('Business Case'!E11*$C238*'Business Case'!E12*$B238)-('Business Case'!D11*$C238*'Business Case'!D12*$B238))-'Business Case'!E15*$F238</f>
        <v>549147347.072838</v>
      </c>
      <c r="L238" s="53" t="n">
        <f aca="false">(('Business Case'!F11*$C238*'Business Case'!F12*$B238)-'Business Case'!F11*$C238*'Business Case'!F13*$D238-'Business Case'!F14*$E238)-MAX(0,(('Business Case'!F11*$C238*'Business Case'!F12*$B238)-'Business Case'!F11*$C238*'Business Case'!F13*$D238-'Business Case'!F14*$E238))*'Business Case'!$B$7-'Business Case'!$B$8*(('Business Case'!F11*$C238*'Business Case'!F12*$B238)-('Business Case'!E11*$C238*'Business Case'!E12*$B238))-'Business Case'!F15*$F238</f>
        <v>665538663.412206</v>
      </c>
      <c r="M238" s="53" t="n">
        <f aca="false">(('Business Case'!G11*$C238*'Business Case'!G12*$B238)-'Business Case'!G11*$C238*'Business Case'!G13*$D238-'Business Case'!G14*$E238)-MAX(0,(('Business Case'!G11*$C238*'Business Case'!G12*$B238)-'Business Case'!G11*$C238*'Business Case'!G13*$D238-'Business Case'!G14*$E238))*'Business Case'!$B$7-'Business Case'!$B$8*(('Business Case'!G11*$C238*'Business Case'!G12*$B238)-('Business Case'!F11*$C238*'Business Case'!F12*$B238))-'Business Case'!G15*$F238+'Business Case'!$B$8*('Business Case'!G11*$C238*'Business Case'!G12*$B238)</f>
        <v>825020979.26808</v>
      </c>
      <c r="N238" s="53" t="n">
        <f aca="false">IF(COUNT('Business Case'!B11:G11)=0,"",H238+NPV(G238,I238:M238))</f>
        <v>-438295831.426619</v>
      </c>
      <c r="P238" s="54" t="n">
        <f aca="true">RAND()</f>
        <v>0.520579688684407</v>
      </c>
      <c r="Q238" s="54" t="n">
        <f aca="true">RAND()</f>
        <v>0.0314352359924437</v>
      </c>
      <c r="R238" s="54" t="n">
        <f aca="true">RAND()</f>
        <v>0.141920864503816</v>
      </c>
      <c r="S238" s="54" t="n">
        <f aca="true">RAND()</f>
        <v>0.487121400223598</v>
      </c>
      <c r="T238" s="54" t="n">
        <f aca="true">RAND()</f>
        <v>0.193766458580453</v>
      </c>
      <c r="U238" s="54" t="n">
        <f aca="true">RAND()</f>
        <v>0.245660766487355</v>
      </c>
    </row>
    <row r="239" customFormat="false" ht="15" hidden="false" customHeight="false" outlineLevel="0" collapsed="false">
      <c r="A239" s="50" t="n">
        <v>159</v>
      </c>
      <c r="B239" s="51" t="n">
        <f aca="false">1+IF($G$6=$E$6,$F$6,IF(P239&lt;($F$6-$E$6)/($G$6-$E$6),$E$6+SQRT(P239*($G$6-$E$6)*($F$6-$E$6)),$G$6-SQRT((1-P239)*($G$6-$E$6)*($G$6-$F$6))))</f>
        <v>1.00831464185701</v>
      </c>
      <c r="C239" s="51" t="n">
        <f aca="false">1+IF($G$7=$E$7,$F$7,IF(Q239&lt;($F$7-$E$7)/($G$7-$E$7),$E$7+SQRT(Q239*($G$7-$E$7)*($F$7-$E$7)),$G$7-SQRT((1-Q239)*($G$7-$E$7)*($G$7-$F$7))))</f>
        <v>1.1241124917879</v>
      </c>
      <c r="D239" s="51" t="n">
        <f aca="false">1+IF($G$8=$E$8,$F$8,IF(R239&lt;($F$8-$E$8)/($G$8-$E$8),$E$8+SQRT(R239*($G$8-$E$8)*($F$8-$E$8)),$G$8-SQRT((1-R239)*($G$8-$E$8)*($G$8-$F$8))))</f>
        <v>1.00372480980961</v>
      </c>
      <c r="E239" s="51" t="n">
        <f aca="false">1+IF($G$9=$E$9,$F$9,IF(S239&lt;($F$9-$E$9)/($G$9-$E$9),$E$9+SQRT(S239*($G$9-$E$9)*($F$9-$E$9)),$G$9-SQRT((1-S239)*($G$9-$E$9)*($G$9-$F$9))))</f>
        <v>1.04864619686468</v>
      </c>
      <c r="F239" s="51" t="n">
        <f aca="false">1+IF($G$10=$E$10,$F$10,IF(T239&lt;($F$10-$E$10)/($G$10-$E$10),$E$10+SQRT(T239*($G$10-$E$10)*($F$10-$E$10)),$G$10-SQRT((1-T239)*($G$10-$E$10)*($G$10-$F$10))))</f>
        <v>1.00300757961286</v>
      </c>
      <c r="G239" s="52" t="n">
        <f aca="false">IF($G$11=$E$11,$F$11,IF(U239&lt;($F$11-$E$11)/($G$11-$E$11),$E$11+SQRT(U239*($G$11-$E$11)*($F$11-$E$11)),$G$11-SQRT((1-U239)*($G$11-$E$11)*($G$11-$F$11))))</f>
        <v>0.102776496461996</v>
      </c>
      <c r="H239" s="53" t="n">
        <f aca="false">(('Business Case'!B11*$C239*'Business Case'!B12*$B239)-'Business Case'!B11*$C239*'Business Case'!B13*$D239-'Business Case'!B14*$E239)-MAX(0,(('Business Case'!B11*$C239*'Business Case'!B12*$B239)-'Business Case'!B11*$C239*'Business Case'!B13*$D239-'Business Case'!B14*$E239))*'Business Case'!$B$7-'Business Case'!$B$8*('Business Case'!B11*$C239*'Business Case'!B12*$B239)-'Business Case'!B15*$F239</f>
        <v>-2006015159.22571</v>
      </c>
      <c r="I239" s="53" t="n">
        <f aca="false">(('Business Case'!C11*$C239*'Business Case'!C12*$B239)-'Business Case'!C11*$C239*'Business Case'!C13*$D239-'Business Case'!C14*$E239)-MAX(0,(('Business Case'!C11*$C239*'Business Case'!C12*$B239)-'Business Case'!C11*$C239*'Business Case'!C13*$D239-'Business Case'!C14*$E239))*'Business Case'!$B$7-'Business Case'!$B$8*(('Business Case'!C11*$C239*'Business Case'!C12*$B239)-('Business Case'!B11*$C239*'Business Case'!B12*$B239))-'Business Case'!C15*$F239</f>
        <v>42608703.5041103</v>
      </c>
      <c r="J239" s="53" t="n">
        <f aca="false">(('Business Case'!D11*$C239*'Business Case'!D12*$B239)-'Business Case'!D11*$C239*'Business Case'!D13*$D239-'Business Case'!D14*$E239)-MAX(0,(('Business Case'!D11*$C239*'Business Case'!D12*$B239)-'Business Case'!D11*$C239*'Business Case'!D13*$D239-'Business Case'!D14*$E239))*'Business Case'!$B$7-'Business Case'!$B$8*(('Business Case'!D11*$C239*'Business Case'!D12*$B239)-('Business Case'!C11*$C239*'Business Case'!C12*$B239))-'Business Case'!D15*$F239</f>
        <v>393394173.107467</v>
      </c>
      <c r="K239" s="53" t="n">
        <f aca="false">(('Business Case'!E11*$C239*'Business Case'!E12*$B239)-'Business Case'!E11*$C239*'Business Case'!E13*$D239-'Business Case'!E14*$E239)-MAX(0,(('Business Case'!E11*$C239*'Business Case'!E12*$B239)-'Business Case'!E11*$C239*'Business Case'!E13*$D239-'Business Case'!E14*$E239))*'Business Case'!$B$7-'Business Case'!$B$8*(('Business Case'!E11*$C239*'Business Case'!E12*$B239)-('Business Case'!D11*$C239*'Business Case'!D12*$B239))-'Business Case'!E15*$F239</f>
        <v>794330021.691466</v>
      </c>
      <c r="L239" s="53" t="n">
        <f aca="false">(('Business Case'!F11*$C239*'Business Case'!F12*$B239)-'Business Case'!F11*$C239*'Business Case'!F13*$D239-'Business Case'!F14*$E239)-MAX(0,(('Business Case'!F11*$C239*'Business Case'!F12*$B239)-'Business Case'!F11*$C239*'Business Case'!F13*$D239-'Business Case'!F14*$E239))*'Business Case'!$B$7-'Business Case'!$B$8*(('Business Case'!F11*$C239*'Business Case'!F12*$B239)-('Business Case'!E11*$C239*'Business Case'!E12*$B239))-'Business Case'!F15*$F239</f>
        <v>950430857.521787</v>
      </c>
      <c r="M239" s="53" t="n">
        <f aca="false">(('Business Case'!G11*$C239*'Business Case'!G12*$B239)-'Business Case'!G11*$C239*'Business Case'!G13*$D239-'Business Case'!G14*$E239)-MAX(0,(('Business Case'!G11*$C239*'Business Case'!G12*$B239)-'Business Case'!G11*$C239*'Business Case'!G13*$D239-'Business Case'!G14*$E239))*'Business Case'!$B$7-'Business Case'!$B$8*(('Business Case'!G11*$C239*'Business Case'!G12*$B239)-('Business Case'!F11*$C239*'Business Case'!F12*$B239))-'Business Case'!G15*$F239+'Business Case'!$B$8*('Business Case'!G11*$C239*'Business Case'!G12*$B239)</f>
        <v>1165878760.31573</v>
      </c>
      <c r="N239" s="53" t="n">
        <f aca="false">IF(COUNT('Business Case'!B11:G11)=0,"",H239+NPV(G239,I239:M239))</f>
        <v>305897821.422297</v>
      </c>
      <c r="P239" s="54" t="n">
        <f aca="true">RAND()</f>
        <v>0.790841266531337</v>
      </c>
      <c r="Q239" s="54" t="n">
        <f aca="true">RAND()</f>
        <v>0.987234988925117</v>
      </c>
      <c r="R239" s="54" t="n">
        <f aca="true">RAND()</f>
        <v>0.440586092444147</v>
      </c>
      <c r="S239" s="54" t="n">
        <f aca="true">RAND()</f>
        <v>0.824185793569238</v>
      </c>
      <c r="T239" s="54" t="n">
        <f aca="true">RAND()</f>
        <v>0.223879726200289</v>
      </c>
      <c r="U239" s="54" t="n">
        <f aca="true">RAND()</f>
        <v>0.505584876460621</v>
      </c>
    </row>
    <row r="240" customFormat="false" ht="15" hidden="false" customHeight="false" outlineLevel="0" collapsed="false">
      <c r="A240" s="50" t="n">
        <v>160</v>
      </c>
      <c r="B240" s="51" t="n">
        <f aca="false">1+IF($G$6=$E$6,$F$6,IF(P240&lt;($F$6-$E$6)/($G$6-$E$6),$E$6+SQRT(P240*($G$6-$E$6)*($F$6-$E$6)),$G$6-SQRT((1-P240)*($G$6-$E$6)*($G$6-$F$6))))</f>
        <v>0.958737325177666</v>
      </c>
      <c r="C240" s="51" t="n">
        <f aca="false">1+IF($G$7=$E$7,$F$7,IF(Q240&lt;($F$7-$E$7)/($G$7-$E$7),$E$7+SQRT(Q240*($G$7-$E$7)*($F$7-$E$7)),$G$7-SQRT((1-Q240)*($G$7-$E$7)*($G$7-$F$7))))</f>
        <v>1.04333304664294</v>
      </c>
      <c r="D240" s="51" t="n">
        <f aca="false">1+IF($G$8=$E$8,$F$8,IF(R240&lt;($F$8-$E$8)/($G$8-$E$8),$E$8+SQRT(R240*($G$8-$E$8)*($F$8-$E$8)),$G$8-SQRT((1-R240)*($G$8-$E$8)*($G$8-$F$8))))</f>
        <v>0.959259215584991</v>
      </c>
      <c r="E240" s="51" t="n">
        <f aca="false">1+IF($G$9=$E$9,$F$9,IF(S240&lt;($F$9-$E$9)/($G$9-$E$9),$E$9+SQRT(S240*($G$9-$E$9)*($F$9-$E$9)),$G$9-SQRT((1-S240)*($G$9-$E$9)*($G$9-$F$9))))</f>
        <v>1.01887427425603</v>
      </c>
      <c r="F240" s="51" t="n">
        <f aca="false">1+IF($G$10=$E$10,$F$10,IF(T240&lt;($F$10-$E$10)/($G$10-$E$10),$E$10+SQRT(T240*($G$10-$E$10)*($F$10-$E$10)),$G$10-SQRT((1-T240)*($G$10-$E$10)*($G$10-$F$10))))</f>
        <v>0.996972350021133</v>
      </c>
      <c r="G240" s="52" t="n">
        <f aca="false">IF($G$11=$E$11,$F$11,IF(U240&lt;($F$11-$E$11)/($G$11-$E$11),$E$11+SQRT(U240*($G$11-$E$11)*($F$11-$E$11)),$G$11-SQRT((1-U240)*($G$11-$E$11)*($G$11-$F$11))))</f>
        <v>0.103065244004678</v>
      </c>
      <c r="H240" s="53" t="n">
        <f aca="false">(('Business Case'!B11*$C240*'Business Case'!B12*$B240)-'Business Case'!B11*$C240*'Business Case'!B13*$D240-'Business Case'!B14*$E240)-MAX(0,(('Business Case'!B11*$C240*'Business Case'!B12*$B240)-'Business Case'!B11*$C240*'Business Case'!B13*$D240-'Business Case'!B14*$E240))*'Business Case'!$B$7-'Business Case'!$B$8*('Business Case'!B11*$C240*'Business Case'!B12*$B240)-'Business Case'!B15*$F240</f>
        <v>-1993944700.04227</v>
      </c>
      <c r="I240" s="53" t="n">
        <f aca="false">(('Business Case'!C11*$C240*'Business Case'!C12*$B240)-'Business Case'!C11*$C240*'Business Case'!C13*$D240-'Business Case'!C14*$E240)-MAX(0,(('Business Case'!C11*$C240*'Business Case'!C12*$B240)-'Business Case'!C11*$C240*'Business Case'!C13*$D240-'Business Case'!C14*$E240))*'Business Case'!$B$7-'Business Case'!$B$8*(('Business Case'!C11*$C240*'Business Case'!C12*$B240)-('Business Case'!B11*$C240*'Business Case'!B12*$B240))-'Business Case'!C15*$F240</f>
        <v>10524183.3010261</v>
      </c>
      <c r="J240" s="53" t="n">
        <f aca="false">(('Business Case'!D11*$C240*'Business Case'!D12*$B240)-'Business Case'!D11*$C240*'Business Case'!D13*$D240-'Business Case'!D14*$E240)-MAX(0,(('Business Case'!D11*$C240*'Business Case'!D12*$B240)-'Business Case'!D11*$C240*'Business Case'!D13*$D240-'Business Case'!D14*$E240))*'Business Case'!$B$7-'Business Case'!$B$8*(('Business Case'!D11*$C240*'Business Case'!D12*$B240)-('Business Case'!C11*$C240*'Business Case'!C12*$B240))-'Business Case'!D15*$F240</f>
        <v>317484159.619079</v>
      </c>
      <c r="K240" s="53" t="n">
        <f aca="false">(('Business Case'!E11*$C240*'Business Case'!E12*$B240)-'Business Case'!E11*$C240*'Business Case'!E13*$D240-'Business Case'!E14*$E240)-MAX(0,(('Business Case'!E11*$C240*'Business Case'!E12*$B240)-'Business Case'!E11*$C240*'Business Case'!E13*$D240-'Business Case'!E14*$E240))*'Business Case'!$B$7-'Business Case'!$B$8*(('Business Case'!E11*$C240*'Business Case'!E12*$B240)-('Business Case'!D11*$C240*'Business Case'!D12*$B240))-'Business Case'!E15*$F240</f>
        <v>674292753.438189</v>
      </c>
      <c r="L240" s="53" t="n">
        <f aca="false">(('Business Case'!F11*$C240*'Business Case'!F12*$B240)-'Business Case'!F11*$C240*'Business Case'!F13*$D240-'Business Case'!F14*$E240)-MAX(0,(('Business Case'!F11*$C240*'Business Case'!F12*$B240)-'Business Case'!F11*$C240*'Business Case'!F13*$D240-'Business Case'!F14*$E240))*'Business Case'!$B$7-'Business Case'!$B$8*(('Business Case'!F11*$C240*'Business Case'!F12*$B240)-('Business Case'!E11*$C240*'Business Case'!E12*$B240))-'Business Case'!F15*$F240</f>
        <v>811182503.021344</v>
      </c>
      <c r="M240" s="53" t="n">
        <f aca="false">(('Business Case'!G11*$C240*'Business Case'!G12*$B240)-'Business Case'!G11*$C240*'Business Case'!G13*$D240-'Business Case'!G14*$E240)-MAX(0,(('Business Case'!G11*$C240*'Business Case'!G12*$B240)-'Business Case'!G11*$C240*'Business Case'!G13*$D240-'Business Case'!G14*$E240))*'Business Case'!$B$7-'Business Case'!$B$8*(('Business Case'!G11*$C240*'Business Case'!G12*$B240)-('Business Case'!F11*$C240*'Business Case'!F12*$B240))-'Business Case'!G15*$F240+'Business Case'!$B$8*('Business Case'!G11*$C240*'Business Case'!G12*$B240)</f>
        <v>1001316169.1456</v>
      </c>
      <c r="N240" s="53" t="n">
        <f aca="false">IF(COUNT('Business Case'!B11:G11)=0,"",H240+NPV(G240,I240:M240))</f>
        <v>-60018342.4113839</v>
      </c>
      <c r="P240" s="54" t="n">
        <f aca="true">RAND()</f>
        <v>0.156310454366689</v>
      </c>
      <c r="Q240" s="54" t="n">
        <f aca="true">RAND()</f>
        <v>0.783279258314723</v>
      </c>
      <c r="R240" s="54" t="n">
        <f aca="true">RAND()</f>
        <v>0.0131897035768225</v>
      </c>
      <c r="S240" s="54" t="n">
        <f aca="true">RAND()</f>
        <v>0.561241108167576</v>
      </c>
      <c r="T240" s="54" t="n">
        <f aca="true">RAND()</f>
        <v>0.176512133320629</v>
      </c>
      <c r="U240" s="54" t="n">
        <f aca="true">RAND()</f>
        <v>0.522023398964857</v>
      </c>
    </row>
    <row r="241" customFormat="false" ht="15" hidden="false" customHeight="false" outlineLevel="0" collapsed="false">
      <c r="A241" s="50" t="n">
        <v>161</v>
      </c>
      <c r="B241" s="51" t="n">
        <f aca="false">1+IF($G$6=$E$6,$F$6,IF(P241&lt;($F$6-$E$6)/($G$6-$E$6),$E$6+SQRT(P241*($G$6-$E$6)*($F$6-$E$6)),$G$6-SQRT((1-P241)*($G$6-$E$6)*($G$6-$F$6))))</f>
        <v>0.978255488286349</v>
      </c>
      <c r="C241" s="51" t="n">
        <f aca="false">1+IF($G$7=$E$7,$F$7,IF(Q241&lt;($F$7-$E$7)/($G$7-$E$7),$E$7+SQRT(Q241*($G$7-$E$7)*($F$7-$E$7)),$G$7-SQRT((1-Q241)*($G$7-$E$7)*($G$7-$F$7))))</f>
        <v>0.890850854690254</v>
      </c>
      <c r="D241" s="51" t="n">
        <f aca="false">1+IF($G$8=$E$8,$F$8,IF(R241&lt;($F$8-$E$8)/($G$8-$E$8),$E$8+SQRT(R241*($G$8-$E$8)*($F$8-$E$8)),$G$8-SQRT((1-R241)*($G$8-$E$8)*($G$8-$F$8))))</f>
        <v>1.01701591337945</v>
      </c>
      <c r="E241" s="51" t="n">
        <f aca="false">1+IF($G$9=$E$9,$F$9,IF(S241&lt;($F$9-$E$9)/($G$9-$E$9),$E$9+SQRT(S241*($G$9-$E$9)*($F$9-$E$9)),$G$9-SQRT((1-S241)*($G$9-$E$9)*($G$9-$F$9))))</f>
        <v>1.0230345850606</v>
      </c>
      <c r="F241" s="51" t="n">
        <f aca="false">1+IF($G$10=$E$10,$F$10,IF(T241&lt;($F$10-$E$10)/($G$10-$E$10),$E$10+SQRT(T241*($G$10-$E$10)*($F$10-$E$10)),$G$10-SQRT((1-T241)*($G$10-$E$10)*($G$10-$F$10))))</f>
        <v>1.11920946993395</v>
      </c>
      <c r="G241" s="52" t="n">
        <f aca="false">IF($G$11=$E$11,$F$11,IF(U241&lt;($F$11-$E$11)/($G$11-$E$11),$E$11+SQRT(U241*($G$11-$E$11)*($F$11-$E$11)),$G$11-SQRT((1-U241)*($G$11-$E$11)*($G$11-$F$11))))</f>
        <v>0.104497889018355</v>
      </c>
      <c r="H241" s="53" t="n">
        <f aca="false">(('Business Case'!B11*$C241*'Business Case'!B12*$B241)-'Business Case'!B11*$C241*'Business Case'!B13*$D241-'Business Case'!B14*$E241)-MAX(0,(('Business Case'!B11*$C241*'Business Case'!B12*$B241)-'Business Case'!B11*$C241*'Business Case'!B13*$D241-'Business Case'!B14*$E241))*'Business Case'!$B$7-'Business Case'!$B$8*('Business Case'!B11*$C241*'Business Case'!B12*$B241)-'Business Case'!B15*$F241</f>
        <v>-2238418939.86791</v>
      </c>
      <c r="I241" s="53" t="n">
        <f aca="false">(('Business Case'!C11*$C241*'Business Case'!C12*$B241)-'Business Case'!C11*$C241*'Business Case'!C13*$D241-'Business Case'!C14*$E241)-MAX(0,(('Business Case'!C11*$C241*'Business Case'!C12*$B241)-'Business Case'!C11*$C241*'Business Case'!C13*$D241-'Business Case'!C14*$E241))*'Business Case'!$B$7-'Business Case'!$B$8*(('Business Case'!C11*$C241*'Business Case'!C12*$B241)-('Business Case'!B11*$C241*'Business Case'!B12*$B241))-'Business Case'!C15*$F241</f>
        <v>-52573703.7846633</v>
      </c>
      <c r="J241" s="53" t="n">
        <f aca="false">(('Business Case'!D11*$C241*'Business Case'!D12*$B241)-'Business Case'!D11*$C241*'Business Case'!D13*$D241-'Business Case'!D14*$E241)-MAX(0,(('Business Case'!D11*$C241*'Business Case'!D12*$B241)-'Business Case'!D11*$C241*'Business Case'!D13*$D241-'Business Case'!D14*$E241))*'Business Case'!$B$7-'Business Case'!$B$8*(('Business Case'!D11*$C241*'Business Case'!D12*$B241)-('Business Case'!C11*$C241*'Business Case'!C12*$B241))-'Business Case'!D15*$F241</f>
        <v>197426567.029588</v>
      </c>
      <c r="K241" s="53" t="n">
        <f aca="false">(('Business Case'!E11*$C241*'Business Case'!E12*$B241)-'Business Case'!E11*$C241*'Business Case'!E13*$D241-'Business Case'!E14*$E241)-MAX(0,(('Business Case'!E11*$C241*'Business Case'!E12*$B241)-'Business Case'!E11*$C241*'Business Case'!E13*$D241-'Business Case'!E14*$E241))*'Business Case'!$B$7-'Business Case'!$B$8*(('Business Case'!E11*$C241*'Business Case'!E12*$B241)-('Business Case'!D11*$C241*'Business Case'!D12*$B241))-'Business Case'!E15*$F241</f>
        <v>503387311.340537</v>
      </c>
      <c r="L241" s="53" t="n">
        <f aca="false">(('Business Case'!F11*$C241*'Business Case'!F12*$B241)-'Business Case'!F11*$C241*'Business Case'!F13*$D241-'Business Case'!F14*$E241)-MAX(0,(('Business Case'!F11*$C241*'Business Case'!F12*$B241)-'Business Case'!F11*$C241*'Business Case'!F13*$D241-'Business Case'!F14*$E241))*'Business Case'!$B$7-'Business Case'!$B$8*(('Business Case'!F11*$C241*'Business Case'!F12*$B241)-('Business Case'!E11*$C241*'Business Case'!E12*$B241))-'Business Case'!F15*$F241</f>
        <v>616839074.685222</v>
      </c>
      <c r="M241" s="53" t="n">
        <f aca="false">(('Business Case'!G11*$C241*'Business Case'!G12*$B241)-'Business Case'!G11*$C241*'Business Case'!G13*$D241-'Business Case'!G14*$E241)-MAX(0,(('Business Case'!G11*$C241*'Business Case'!G12*$B241)-'Business Case'!G11*$C241*'Business Case'!G13*$D241-'Business Case'!G14*$E241))*'Business Case'!$B$7-'Business Case'!$B$8*(('Business Case'!G11*$C241*'Business Case'!G12*$B241)-('Business Case'!F11*$C241*'Business Case'!F12*$B241))-'Business Case'!G15*$F241+'Business Case'!$B$8*('Business Case'!G11*$C241*'Business Case'!G12*$B241)</f>
        <v>782489943.254862</v>
      </c>
      <c r="N241" s="53" t="n">
        <f aca="false">IF(COUNT('Business Case'!B11:G11)=0,"",H241+NPV(G241,I241:M241))</f>
        <v>-860041453.672969</v>
      </c>
      <c r="P241" s="54" t="n">
        <f aca="true">RAND()</f>
        <v>0.353510616195934</v>
      </c>
      <c r="Q241" s="54" t="n">
        <f aca="true">RAND()</f>
        <v>0.11791253997071</v>
      </c>
      <c r="R241" s="54" t="n">
        <f aca="true">RAND()</f>
        <v>0.618558156978387</v>
      </c>
      <c r="S241" s="54" t="n">
        <f aca="true">RAND()</f>
        <v>0.605088326880423</v>
      </c>
      <c r="T241" s="54" t="n">
        <f aca="true">RAND()</f>
        <v>0.869457805032944</v>
      </c>
      <c r="U241" s="54" t="n">
        <f aca="true">RAND()</f>
        <v>0.59947425852129</v>
      </c>
    </row>
    <row r="242" customFormat="false" ht="15" hidden="false" customHeight="false" outlineLevel="0" collapsed="false">
      <c r="A242" s="50" t="n">
        <v>162</v>
      </c>
      <c r="B242" s="51" t="n">
        <f aca="false">1+IF($G$6=$E$6,$F$6,IF(P242&lt;($F$6-$E$6)/($G$6-$E$6),$E$6+SQRT(P242*($G$6-$E$6)*($F$6-$E$6)),$G$6-SQRT((1-P242)*($G$6-$E$6)*($G$6-$F$6))))</f>
        <v>0.974597496999747</v>
      </c>
      <c r="C242" s="51" t="n">
        <f aca="false">1+IF($G$7=$E$7,$F$7,IF(Q242&lt;($F$7-$E$7)/($G$7-$E$7),$E$7+SQRT(Q242*($G$7-$E$7)*($F$7-$E$7)),$G$7-SQRT((1-Q242)*($G$7-$E$7)*($G$7-$F$7))))</f>
        <v>1.00599169481322</v>
      </c>
      <c r="D242" s="51" t="n">
        <f aca="false">1+IF($G$8=$E$8,$F$8,IF(R242&lt;($F$8-$E$8)/($G$8-$E$8),$E$8+SQRT(R242*($G$8-$E$8)*($F$8-$E$8)),$G$8-SQRT((1-R242)*($G$8-$E$8)*($G$8-$F$8))))</f>
        <v>0.998469291647961</v>
      </c>
      <c r="E242" s="51" t="n">
        <f aca="false">1+IF($G$9=$E$9,$F$9,IF(S242&lt;($F$9-$E$9)/($G$9-$E$9),$E$9+SQRT(S242*($G$9-$E$9)*($F$9-$E$9)),$G$9-SQRT((1-S242)*($G$9-$E$9)*($G$9-$F$9))))</f>
        <v>1.00901490937212</v>
      </c>
      <c r="F242" s="51" t="n">
        <f aca="false">1+IF($G$10=$E$10,$F$10,IF(T242&lt;($F$10-$E$10)/($G$10-$E$10),$E$10+SQRT(T242*($G$10-$E$10)*($F$10-$E$10)),$G$10-SQRT((1-T242)*($G$10-$E$10)*($G$10-$F$10))))</f>
        <v>0.97046168860901</v>
      </c>
      <c r="G242" s="52" t="n">
        <f aca="false">IF($G$11=$E$11,$F$11,IF(U242&lt;($F$11-$E$11)/($G$11-$E$11),$E$11+SQRT(U242*($G$11-$E$11)*($F$11-$E$11)),$G$11-SQRT((1-U242)*($G$11-$E$11)*($G$11-$F$11))))</f>
        <v>0.10220726052095</v>
      </c>
      <c r="H242" s="53" t="n">
        <f aca="false">(('Business Case'!B11*$C242*'Business Case'!B12*$B242)-'Business Case'!B11*$C242*'Business Case'!B13*$D242-'Business Case'!B14*$E242)-MAX(0,(('Business Case'!B11*$C242*'Business Case'!B12*$B242)-'Business Case'!B11*$C242*'Business Case'!B13*$D242-'Business Case'!B14*$E242))*'Business Case'!$B$7-'Business Case'!$B$8*('Business Case'!B11*$C242*'Business Case'!B12*$B242)-'Business Case'!B15*$F242</f>
        <v>-1940923377.21802</v>
      </c>
      <c r="I242" s="53" t="n">
        <f aca="false">(('Business Case'!C11*$C242*'Business Case'!C12*$B242)-'Business Case'!C11*$C242*'Business Case'!C13*$D242-'Business Case'!C14*$E242)-MAX(0,(('Business Case'!C11*$C242*'Business Case'!C12*$B242)-'Business Case'!C11*$C242*'Business Case'!C13*$D242-'Business Case'!C14*$E242))*'Business Case'!$B$7-'Business Case'!$B$8*(('Business Case'!C11*$C242*'Business Case'!C12*$B242)-('Business Case'!B11*$C242*'Business Case'!B12*$B242))-'Business Case'!C15*$F242</f>
        <v>-2504431.07062021</v>
      </c>
      <c r="J242" s="53" t="n">
        <f aca="false">(('Business Case'!D11*$C242*'Business Case'!D12*$B242)-'Business Case'!D11*$C242*'Business Case'!D13*$D242-'Business Case'!D14*$E242)-MAX(0,(('Business Case'!D11*$C242*'Business Case'!D12*$B242)-'Business Case'!D11*$C242*'Business Case'!D13*$D242-'Business Case'!D14*$E242))*'Business Case'!$B$7-'Business Case'!$B$8*(('Business Case'!D11*$C242*'Business Case'!D12*$B242)-('Business Case'!C11*$C242*'Business Case'!C12*$B242))-'Business Case'!D15*$F242</f>
        <v>286345080.278242</v>
      </c>
      <c r="K242" s="53" t="n">
        <f aca="false">(('Business Case'!E11*$C242*'Business Case'!E12*$B242)-'Business Case'!E11*$C242*'Business Case'!E13*$D242-'Business Case'!E14*$E242)-MAX(0,(('Business Case'!E11*$C242*'Business Case'!E12*$B242)-'Business Case'!E11*$C242*'Business Case'!E13*$D242-'Business Case'!E14*$E242))*'Business Case'!$B$7-'Business Case'!$B$8*(('Business Case'!E11*$C242*'Business Case'!E12*$B242)-('Business Case'!D11*$C242*'Business Case'!D12*$B242))-'Business Case'!E15*$F242</f>
        <v>623717676.057555</v>
      </c>
      <c r="L242" s="53" t="n">
        <f aca="false">(('Business Case'!F11*$C242*'Business Case'!F12*$B242)-'Business Case'!F11*$C242*'Business Case'!F13*$D242-'Business Case'!F14*$E242)-MAX(0,(('Business Case'!F11*$C242*'Business Case'!F12*$B242)-'Business Case'!F11*$C242*'Business Case'!F13*$D242-'Business Case'!F14*$E242))*'Business Case'!$B$7-'Business Case'!$B$8*(('Business Case'!F11*$C242*'Business Case'!F12*$B242)-('Business Case'!E11*$C242*'Business Case'!E12*$B242))-'Business Case'!F15*$F242</f>
        <v>753884748.804421</v>
      </c>
      <c r="M242" s="53" t="n">
        <f aca="false">(('Business Case'!G11*$C242*'Business Case'!G12*$B242)-'Business Case'!G11*$C242*'Business Case'!G13*$D242-'Business Case'!G14*$E242)-MAX(0,(('Business Case'!G11*$C242*'Business Case'!G12*$B242)-'Business Case'!G11*$C242*'Business Case'!G13*$D242-'Business Case'!G14*$E242))*'Business Case'!$B$7-'Business Case'!$B$8*(('Business Case'!G11*$C242*'Business Case'!G12*$B242)-('Business Case'!F11*$C242*'Business Case'!F12*$B242))-'Business Case'!G15*$F242+'Business Case'!$B$8*('Business Case'!G11*$C242*'Business Case'!G12*$B242)</f>
        <v>940246211.439267</v>
      </c>
      <c r="N242" s="53" t="n">
        <f aca="false">IF(COUNT('Business Case'!B11:G11)=0,"",H242+NPV(G242,I242:M242))</f>
        <v>-152897203.067401</v>
      </c>
      <c r="P242" s="54" t="n">
        <f aca="true">RAND()</f>
        <v>0.310509029024725</v>
      </c>
      <c r="Q242" s="54" t="n">
        <f aca="true">RAND()</f>
        <v>0.604983010232969</v>
      </c>
      <c r="R242" s="54" t="n">
        <f aca="true">RAND()</f>
        <v>0.361426497362327</v>
      </c>
      <c r="S242" s="54" t="n">
        <f aca="true">RAND()</f>
        <v>0.448114218895708</v>
      </c>
      <c r="T242" s="54" t="n">
        <f aca="true">RAND()</f>
        <v>0.0334944560585682</v>
      </c>
      <c r="U242" s="54" t="n">
        <f aca="true">RAND()</f>
        <v>0.472364036384422</v>
      </c>
    </row>
    <row r="243" customFormat="false" ht="15" hidden="false" customHeight="false" outlineLevel="0" collapsed="false">
      <c r="A243" s="50" t="n">
        <v>163</v>
      </c>
      <c r="B243" s="51" t="n">
        <f aca="false">1+IF($G$6=$E$6,$F$6,IF(P243&lt;($F$6-$E$6)/($G$6-$E$6),$E$6+SQRT(P243*($G$6-$E$6)*($F$6-$E$6)),$G$6-SQRT((1-P243)*($G$6-$E$6)*($G$6-$F$6))))</f>
        <v>0.979714336421228</v>
      </c>
      <c r="C243" s="51" t="n">
        <f aca="false">1+IF($G$7=$E$7,$F$7,IF(Q243&lt;($F$7-$E$7)/($G$7-$E$7),$E$7+SQRT(Q243*($G$7-$E$7)*($F$7-$E$7)),$G$7-SQRT((1-Q243)*($G$7-$E$7)*($G$7-$F$7))))</f>
        <v>1.08665145159343</v>
      </c>
      <c r="D243" s="51" t="n">
        <f aca="false">1+IF($G$8=$E$8,$F$8,IF(R243&lt;($F$8-$E$8)/($G$8-$E$8),$E$8+SQRT(R243*($G$8-$E$8)*($F$8-$E$8)),$G$8-SQRT((1-R243)*($G$8-$E$8)*($G$8-$F$8))))</f>
        <v>0.973902106580365</v>
      </c>
      <c r="E243" s="51" t="n">
        <f aca="false">1+IF($G$9=$E$9,$F$9,IF(S243&lt;($F$9-$E$9)/($G$9-$E$9),$E$9+SQRT(S243*($G$9-$E$9)*($F$9-$E$9)),$G$9-SQRT((1-S243)*($G$9-$E$9)*($G$9-$F$9))))</f>
        <v>0.999899897388315</v>
      </c>
      <c r="F243" s="51" t="n">
        <f aca="false">1+IF($G$10=$E$10,$F$10,IF(T243&lt;($F$10-$E$10)/($G$10-$E$10),$E$10+SQRT(T243*($G$10-$E$10)*($F$10-$E$10)),$G$10-SQRT((1-T243)*($G$10-$E$10)*($G$10-$F$10))))</f>
        <v>1.07193908717983</v>
      </c>
      <c r="G243" s="52" t="n">
        <f aca="false">IF($G$11=$E$11,$F$11,IF(U243&lt;($F$11-$E$11)/($G$11-$E$11),$E$11+SQRT(U243*($G$11-$E$11)*($F$11-$E$11)),$G$11-SQRT((1-U243)*($G$11-$E$11)*($G$11-$F$11))))</f>
        <v>0.109785918907267</v>
      </c>
      <c r="H243" s="53" t="n">
        <f aca="false">(('Business Case'!B11*$C243*'Business Case'!B12*$B243)-'Business Case'!B11*$C243*'Business Case'!B13*$D243-'Business Case'!B14*$E243)-MAX(0,(('Business Case'!B11*$C243*'Business Case'!B12*$B243)-'Business Case'!B11*$C243*'Business Case'!B13*$D243-'Business Case'!B14*$E243))*'Business Case'!$B$7-'Business Case'!$B$8*('Business Case'!B11*$C243*'Business Case'!B12*$B243)-'Business Case'!B15*$F243</f>
        <v>-2143878174.35967</v>
      </c>
      <c r="I243" s="53" t="n">
        <f aca="false">(('Business Case'!C11*$C243*'Business Case'!C12*$B243)-'Business Case'!C11*$C243*'Business Case'!C13*$D243-'Business Case'!C14*$E243)-MAX(0,(('Business Case'!C11*$C243*'Business Case'!C12*$B243)-'Business Case'!C11*$C243*'Business Case'!C13*$D243-'Business Case'!C14*$E243))*'Business Case'!$B$7-'Business Case'!$B$8*(('Business Case'!C11*$C243*'Business Case'!C12*$B243)-('Business Case'!B11*$C243*'Business Case'!B12*$B243))-'Business Case'!C15*$F243</f>
        <v>25660744.198333</v>
      </c>
      <c r="J243" s="53" t="n">
        <f aca="false">(('Business Case'!D11*$C243*'Business Case'!D12*$B243)-'Business Case'!D11*$C243*'Business Case'!D13*$D243-'Business Case'!D14*$E243)-MAX(0,(('Business Case'!D11*$C243*'Business Case'!D12*$B243)-'Business Case'!D11*$C243*'Business Case'!D13*$D243-'Business Case'!D14*$E243))*'Business Case'!$B$7-'Business Case'!$B$8*(('Business Case'!D11*$C243*'Business Case'!D12*$B243)-('Business Case'!C11*$C243*'Business Case'!C12*$B243))-'Business Case'!D15*$F243</f>
        <v>355890441.544926</v>
      </c>
      <c r="K243" s="53" t="n">
        <f aca="false">(('Business Case'!E11*$C243*'Business Case'!E12*$B243)-'Business Case'!E11*$C243*'Business Case'!E13*$D243-'Business Case'!E14*$E243)-MAX(0,(('Business Case'!E11*$C243*'Business Case'!E12*$B243)-'Business Case'!E11*$C243*'Business Case'!E13*$D243-'Business Case'!E14*$E243))*'Business Case'!$B$7-'Business Case'!$B$8*(('Business Case'!E11*$C243*'Business Case'!E12*$B243)-('Business Case'!D11*$C243*'Business Case'!D12*$B243))-'Business Case'!E15*$F243</f>
        <v>739717093.250511</v>
      </c>
      <c r="L243" s="53" t="n">
        <f aca="false">(('Business Case'!F11*$C243*'Business Case'!F12*$B243)-'Business Case'!F11*$C243*'Business Case'!F13*$D243-'Business Case'!F14*$E243)-MAX(0,(('Business Case'!F11*$C243*'Business Case'!F12*$B243)-'Business Case'!F11*$C243*'Business Case'!F13*$D243-'Business Case'!F14*$E243))*'Business Case'!$B$7-'Business Case'!$B$8*(('Business Case'!F11*$C243*'Business Case'!F12*$B243)-('Business Case'!E11*$C243*'Business Case'!E12*$B243))-'Business Case'!F15*$F243</f>
        <v>886586511.713815</v>
      </c>
      <c r="M243" s="53" t="n">
        <f aca="false">(('Business Case'!G11*$C243*'Business Case'!G12*$B243)-'Business Case'!G11*$C243*'Business Case'!G13*$D243-'Business Case'!G14*$E243)-MAX(0,(('Business Case'!G11*$C243*'Business Case'!G12*$B243)-'Business Case'!G11*$C243*'Business Case'!G13*$D243-'Business Case'!G14*$E243))*'Business Case'!$B$7-'Business Case'!$B$8*(('Business Case'!G11*$C243*'Business Case'!G12*$B243)-('Business Case'!F11*$C243*'Business Case'!F12*$B243))-'Business Case'!G15*$F243+'Business Case'!$B$8*('Business Case'!G11*$C243*'Business Case'!G12*$B243)</f>
        <v>1088947201.4599</v>
      </c>
      <c r="N243" s="53" t="n">
        <f aca="false">IF(COUNT('Business Case'!B11:G11)=0,"",H243+NPV(G243,I243:M243))</f>
        <v>-59274503.6214805</v>
      </c>
      <c r="P243" s="54" t="n">
        <f aca="true">RAND()</f>
        <v>0.371437705648713</v>
      </c>
      <c r="Q243" s="54" t="n">
        <f aca="true">RAND()</f>
        <v>0.923561169805351</v>
      </c>
      <c r="R243" s="54" t="n">
        <f aca="true">RAND()</f>
        <v>0.087893953689096</v>
      </c>
      <c r="S243" s="54" t="n">
        <f aca="true">RAND()</f>
        <v>0.331999967915248</v>
      </c>
      <c r="T243" s="54" t="n">
        <f aca="true">RAND()</f>
        <v>0.672008052153312</v>
      </c>
      <c r="U243" s="54" t="n">
        <f aca="true">RAND()</f>
        <v>0.826120912385119</v>
      </c>
    </row>
    <row r="244" customFormat="false" ht="15" hidden="false" customHeight="false" outlineLevel="0" collapsed="false">
      <c r="A244" s="50" t="n">
        <v>164</v>
      </c>
      <c r="B244" s="51" t="n">
        <f aca="false">1+IF($G$6=$E$6,$F$6,IF(P244&lt;($F$6-$E$6)/($G$6-$E$6),$E$6+SQRT(P244*($G$6-$E$6)*($F$6-$E$6)),$G$6-SQRT((1-P244)*($G$6-$E$6)*($G$6-$F$6))))</f>
        <v>0.97028571993116</v>
      </c>
      <c r="C244" s="51" t="n">
        <f aca="false">1+IF($G$7=$E$7,$F$7,IF(Q244&lt;($F$7-$E$7)/($G$7-$E$7),$E$7+SQRT(Q244*($G$7-$E$7)*($F$7-$E$7)),$G$7-SQRT((1-Q244)*($G$7-$E$7)*($G$7-$F$7))))</f>
        <v>0.887610224038287</v>
      </c>
      <c r="D244" s="51" t="n">
        <f aca="false">1+IF($G$8=$E$8,$F$8,IF(R244&lt;($F$8-$E$8)/($G$8-$E$8),$E$8+SQRT(R244*($G$8-$E$8)*($F$8-$E$8)),$G$8-SQRT((1-R244)*($G$8-$E$8)*($G$8-$F$8))))</f>
        <v>1.0095763594832</v>
      </c>
      <c r="E244" s="51" t="n">
        <f aca="false">1+IF($G$9=$E$9,$F$9,IF(S244&lt;($F$9-$E$9)/($G$9-$E$9),$E$9+SQRT(S244*($G$9-$E$9)*($F$9-$E$9)),$G$9-SQRT((1-S244)*($G$9-$E$9)*($G$9-$F$9))))</f>
        <v>1.06941014189767</v>
      </c>
      <c r="F244" s="51" t="n">
        <f aca="false">1+IF($G$10=$E$10,$F$10,IF(T244&lt;($F$10-$E$10)/($G$10-$E$10),$E$10+SQRT(T244*($G$10-$E$10)*($F$10-$E$10)),$G$10-SQRT((1-T244)*($G$10-$E$10)*($G$10-$F$10))))</f>
        <v>1.02118823609565</v>
      </c>
      <c r="G244" s="52" t="n">
        <f aca="false">IF($G$11=$E$11,$F$11,IF(U244&lt;($F$11-$E$11)/($G$11-$E$11),$E$11+SQRT(U244*($G$11-$E$11)*($F$11-$E$11)),$G$11-SQRT((1-U244)*($G$11-$E$11)*($G$11-$F$11))))</f>
        <v>0.0989612150689272</v>
      </c>
      <c r="H244" s="53" t="n">
        <f aca="false">(('Business Case'!B11*$C244*'Business Case'!B12*$B244)-'Business Case'!B11*$C244*'Business Case'!B13*$D244-'Business Case'!B14*$E244)-MAX(0,(('Business Case'!B11*$C244*'Business Case'!B12*$B244)-'Business Case'!B11*$C244*'Business Case'!B13*$D244-'Business Case'!B14*$E244))*'Business Case'!$B$7-'Business Case'!$B$8*('Business Case'!B11*$C244*'Business Case'!B12*$B244)-'Business Case'!B15*$F244</f>
        <v>-2042376472.1913</v>
      </c>
      <c r="I244" s="53" t="n">
        <f aca="false">(('Business Case'!C11*$C244*'Business Case'!C12*$B244)-'Business Case'!C11*$C244*'Business Case'!C13*$D244-'Business Case'!C14*$E244)-MAX(0,(('Business Case'!C11*$C244*'Business Case'!C12*$B244)-'Business Case'!C11*$C244*'Business Case'!C13*$D244-'Business Case'!C14*$E244))*'Business Case'!$B$7-'Business Case'!$B$8*(('Business Case'!C11*$C244*'Business Case'!C12*$B244)-('Business Case'!B11*$C244*'Business Case'!B12*$B244))-'Business Case'!C15*$F244</f>
        <v>-52158275.3513116</v>
      </c>
      <c r="J244" s="53" t="n">
        <f aca="false">(('Business Case'!D11*$C244*'Business Case'!D12*$B244)-'Business Case'!D11*$C244*'Business Case'!D13*$D244-'Business Case'!D14*$E244)-MAX(0,(('Business Case'!D11*$C244*'Business Case'!D12*$B244)-'Business Case'!D11*$C244*'Business Case'!D13*$D244-'Business Case'!D14*$E244))*'Business Case'!$B$7-'Business Case'!$B$8*(('Business Case'!D11*$C244*'Business Case'!D12*$B244)-('Business Case'!C11*$C244*'Business Case'!C12*$B244))-'Business Case'!D15*$F244</f>
        <v>194518844.713712</v>
      </c>
      <c r="K244" s="53" t="n">
        <f aca="false">(('Business Case'!E11*$C244*'Business Case'!E12*$B244)-'Business Case'!E11*$C244*'Business Case'!E13*$D244-'Business Case'!E14*$E244)-MAX(0,(('Business Case'!E11*$C244*'Business Case'!E12*$B244)-'Business Case'!E11*$C244*'Business Case'!E13*$D244-'Business Case'!E14*$E244))*'Business Case'!$B$7-'Business Case'!$B$8*(('Business Case'!E11*$C244*'Business Case'!E12*$B244)-('Business Case'!D11*$C244*'Business Case'!D12*$B244))-'Business Case'!E15*$F244</f>
        <v>492255376.583517</v>
      </c>
      <c r="L244" s="53" t="n">
        <f aca="false">(('Business Case'!F11*$C244*'Business Case'!F12*$B244)-'Business Case'!F11*$C244*'Business Case'!F13*$D244-'Business Case'!F14*$E244)-MAX(0,(('Business Case'!F11*$C244*'Business Case'!F12*$B244)-'Business Case'!F11*$C244*'Business Case'!F13*$D244-'Business Case'!F14*$E244))*'Business Case'!$B$7-'Business Case'!$B$8*(('Business Case'!F11*$C244*'Business Case'!F12*$B244)-('Business Case'!E11*$C244*'Business Case'!E12*$B244))-'Business Case'!F15*$F244</f>
        <v>604245383.024472</v>
      </c>
      <c r="M244" s="53" t="n">
        <f aca="false">(('Business Case'!G11*$C244*'Business Case'!G12*$B244)-'Business Case'!G11*$C244*'Business Case'!G13*$D244-'Business Case'!G14*$E244)-MAX(0,(('Business Case'!G11*$C244*'Business Case'!G12*$B244)-'Business Case'!G11*$C244*'Business Case'!G13*$D244-'Business Case'!G14*$E244))*'Business Case'!$B$7-'Business Case'!$B$8*(('Business Case'!G11*$C244*'Business Case'!G12*$B244)-('Business Case'!F11*$C244*'Business Case'!F12*$B244))-'Business Case'!G15*$F244+'Business Case'!$B$8*('Business Case'!G11*$C244*'Business Case'!G12*$B244)</f>
        <v>767949031.663849</v>
      </c>
      <c r="N244" s="53" t="n">
        <f aca="false">IF(COUNT('Business Case'!B11:G11)=0,"",H244+NPV(G244,I244:M244))</f>
        <v>-664521771.943488</v>
      </c>
      <c r="P244" s="54" t="n">
        <f aca="true">RAND()</f>
        <v>0.263401419686983</v>
      </c>
      <c r="Q244" s="54" t="n">
        <f aca="true">RAND()</f>
        <v>0.109650733657698</v>
      </c>
      <c r="R244" s="54" t="n">
        <f aca="true">RAND()</f>
        <v>0.523126043880878</v>
      </c>
      <c r="S244" s="54" t="n">
        <f aca="true">RAND()</f>
        <v>0.937617372085295</v>
      </c>
      <c r="T244" s="54" t="n">
        <f aca="true">RAND()</f>
        <v>0.360527061788294</v>
      </c>
      <c r="U244" s="54" t="n">
        <f aca="true">RAND()</f>
        <v>0.26767791837189</v>
      </c>
    </row>
    <row r="245" customFormat="false" ht="15" hidden="false" customHeight="false" outlineLevel="0" collapsed="false">
      <c r="A245" s="50" t="n">
        <v>165</v>
      </c>
      <c r="B245" s="51" t="n">
        <f aca="false">1+IF($G$6=$E$6,$F$6,IF(P245&lt;($F$6-$E$6)/($G$6-$E$6),$E$6+SQRT(P245*($G$6-$E$6)*($F$6-$E$6)),$G$6-SQRT((1-P245)*($G$6-$E$6)*($G$6-$F$6))))</f>
        <v>0.961746246559369</v>
      </c>
      <c r="C245" s="51" t="n">
        <f aca="false">1+IF($G$7=$E$7,$F$7,IF(Q245&lt;($F$7-$E$7)/($G$7-$E$7),$E$7+SQRT(Q245*($G$7-$E$7)*($F$7-$E$7)),$G$7-SQRT((1-Q245)*($G$7-$E$7)*($G$7-$F$7))))</f>
        <v>1.02498288634263</v>
      </c>
      <c r="D245" s="51" t="n">
        <f aca="false">1+IF($G$8=$E$8,$F$8,IF(R245&lt;($F$8-$E$8)/($G$8-$E$8),$E$8+SQRT(R245*($G$8-$E$8)*($F$8-$E$8)),$G$8-SQRT((1-R245)*($G$8-$E$8)*($G$8-$F$8))))</f>
        <v>1.03744785445533</v>
      </c>
      <c r="E245" s="51" t="n">
        <f aca="false">1+IF($G$9=$E$9,$F$9,IF(S245&lt;($F$9-$E$9)/($G$9-$E$9),$E$9+SQRT(S245*($G$9-$E$9)*($F$9-$E$9)),$G$9-SQRT((1-S245)*($G$9-$E$9)*($G$9-$F$9))))</f>
        <v>1.03067158382072</v>
      </c>
      <c r="F245" s="51" t="n">
        <f aca="false">1+IF($G$10=$E$10,$F$10,IF(T245&lt;($F$10-$E$10)/($G$10-$E$10),$E$10+SQRT(T245*($G$10-$E$10)*($F$10-$E$10)),$G$10-SQRT((1-T245)*($G$10-$E$10)*($G$10-$F$10))))</f>
        <v>1.02162126234492</v>
      </c>
      <c r="G245" s="52" t="n">
        <f aca="false">IF($G$11=$E$11,$F$11,IF(U245&lt;($F$11-$E$11)/($G$11-$E$11),$E$11+SQRT(U245*($G$11-$E$11)*($F$11-$E$11)),$G$11-SQRT((1-U245)*($G$11-$E$11)*($G$11-$F$11))))</f>
        <v>0.103260800249943</v>
      </c>
      <c r="H245" s="53" t="n">
        <f aca="false">(('Business Case'!B11*$C245*'Business Case'!B12*$B245)-'Business Case'!B11*$C245*'Business Case'!B13*$D245-'Business Case'!B14*$E245)-MAX(0,(('Business Case'!B11*$C245*'Business Case'!B12*$B245)-'Business Case'!B11*$C245*'Business Case'!B13*$D245-'Business Case'!B14*$E245))*'Business Case'!$B$7-'Business Case'!$B$8*('Business Case'!B11*$C245*'Business Case'!B12*$B245)-'Business Case'!B15*$F245</f>
        <v>-2043242524.68983</v>
      </c>
      <c r="I245" s="53" t="n">
        <f aca="false">(('Business Case'!C11*$C245*'Business Case'!C12*$B245)-'Business Case'!C11*$C245*'Business Case'!C13*$D245-'Business Case'!C14*$E245)-MAX(0,(('Business Case'!C11*$C245*'Business Case'!C12*$B245)-'Business Case'!C11*$C245*'Business Case'!C13*$D245-'Business Case'!C14*$E245))*'Business Case'!$B$7-'Business Case'!$B$8*(('Business Case'!C11*$C245*'Business Case'!C12*$B245)-('Business Case'!B11*$C245*'Business Case'!B12*$B245))-'Business Case'!C15*$F245</f>
        <v>-36765169.0723396</v>
      </c>
      <c r="J245" s="53" t="n">
        <f aca="false">(('Business Case'!D11*$C245*'Business Case'!D12*$B245)-'Business Case'!D11*$C245*'Business Case'!D13*$D245-'Business Case'!D14*$E245)-MAX(0,(('Business Case'!D11*$C245*'Business Case'!D12*$B245)-'Business Case'!D11*$C245*'Business Case'!D13*$D245-'Business Case'!D14*$E245))*'Business Case'!$B$7-'Business Case'!$B$8*(('Business Case'!D11*$C245*'Business Case'!D12*$B245)-('Business Case'!C11*$C245*'Business Case'!C12*$B245))-'Business Case'!D15*$F245</f>
        <v>226295782.631958</v>
      </c>
      <c r="K245" s="53" t="n">
        <f aca="false">(('Business Case'!E11*$C245*'Business Case'!E12*$B245)-'Business Case'!E11*$C245*'Business Case'!E13*$D245-'Business Case'!E14*$E245)-MAX(0,(('Business Case'!E11*$C245*'Business Case'!E12*$B245)-'Business Case'!E11*$C245*'Business Case'!E13*$D245-'Business Case'!E14*$E245))*'Business Case'!$B$7-'Business Case'!$B$8*(('Business Case'!E11*$C245*'Business Case'!E12*$B245)-('Business Case'!D11*$C245*'Business Case'!D12*$B245))-'Business Case'!E15*$F245</f>
        <v>540437797.453502</v>
      </c>
      <c r="L245" s="53" t="n">
        <f aca="false">(('Business Case'!F11*$C245*'Business Case'!F12*$B245)-'Business Case'!F11*$C245*'Business Case'!F13*$D245-'Business Case'!F14*$E245)-MAX(0,(('Business Case'!F11*$C245*'Business Case'!F12*$B245)-'Business Case'!F11*$C245*'Business Case'!F13*$D245-'Business Case'!F14*$E245))*'Business Case'!$B$7-'Business Case'!$B$8*(('Business Case'!F11*$C245*'Business Case'!F12*$B245)-('Business Case'!E11*$C245*'Business Case'!E12*$B245))-'Business Case'!F15*$F245</f>
        <v>662193111.570161</v>
      </c>
      <c r="M245" s="53" t="n">
        <f aca="false">(('Business Case'!G11*$C245*'Business Case'!G12*$B245)-'Business Case'!G11*$C245*'Business Case'!G13*$D245-'Business Case'!G14*$E245)-MAX(0,(('Business Case'!G11*$C245*'Business Case'!G12*$B245)-'Business Case'!G11*$C245*'Business Case'!G13*$D245-'Business Case'!G14*$E245))*'Business Case'!$B$7-'Business Case'!$B$8*(('Business Case'!G11*$C245*'Business Case'!G12*$B245)-('Business Case'!F11*$C245*'Business Case'!F12*$B245))-'Business Case'!G15*$F245+'Business Case'!$B$8*('Business Case'!G11*$C245*'Business Case'!G12*$B245)</f>
        <v>849568927.753906</v>
      </c>
      <c r="N245" s="53" t="n">
        <f aca="false">IF(COUNT('Business Case'!B11:G11)=0,"",H245+NPV(G245,I245:M245))</f>
        <v>-521470799.449945</v>
      </c>
      <c r="P245" s="54" t="n">
        <f aca="true">RAND()</f>
        <v>0.18153636477038</v>
      </c>
      <c r="Q245" s="54" t="n">
        <f aca="true">RAND()</f>
        <v>0.702299453195817</v>
      </c>
      <c r="R245" s="54" t="n">
        <f aca="true">RAND()</f>
        <v>0.825895664379306</v>
      </c>
      <c r="S245" s="54" t="n">
        <f aca="true">RAND()</f>
        <v>0.679571380671508</v>
      </c>
      <c r="T245" s="54" t="n">
        <f aca="true">RAND()</f>
        <v>0.363620519051574</v>
      </c>
      <c r="U245" s="54" t="n">
        <f aca="true">RAND()</f>
        <v>0.532998652879504</v>
      </c>
    </row>
    <row r="246" customFormat="false" ht="15" hidden="false" customHeight="false" outlineLevel="0" collapsed="false">
      <c r="A246" s="50" t="n">
        <v>166</v>
      </c>
      <c r="B246" s="51" t="n">
        <f aca="false">1+IF($G$6=$E$6,$F$6,IF(P246&lt;($F$6-$E$6)/($G$6-$E$6),$E$6+SQRT(P246*($G$6-$E$6)*($F$6-$E$6)),$G$6-SQRT((1-P246)*($G$6-$E$6)*($G$6-$F$6))))</f>
        <v>0.959233515472203</v>
      </c>
      <c r="C246" s="51" t="n">
        <f aca="false">1+IF($G$7=$E$7,$F$7,IF(Q246&lt;($F$7-$E$7)/($G$7-$E$7),$E$7+SQRT(Q246*($G$7-$E$7)*($F$7-$E$7)),$G$7-SQRT((1-Q246)*($G$7-$E$7)*($G$7-$F$7))))</f>
        <v>1.12045552935183</v>
      </c>
      <c r="D246" s="51" t="n">
        <f aca="false">1+IF($G$8=$E$8,$F$8,IF(R246&lt;($F$8-$E$8)/($G$8-$E$8),$E$8+SQRT(R246*($G$8-$E$8)*($F$8-$E$8)),$G$8-SQRT((1-R246)*($G$8-$E$8)*($G$8-$F$8))))</f>
        <v>1.00459213909075</v>
      </c>
      <c r="E246" s="51" t="n">
        <f aca="false">1+IF($G$9=$E$9,$F$9,IF(S246&lt;($F$9-$E$9)/($G$9-$E$9),$E$9+SQRT(S246*($G$9-$E$9)*($F$9-$E$9)),$G$9-SQRT((1-S246)*($G$9-$E$9)*($G$9-$F$9))))</f>
        <v>1.01881178926976</v>
      </c>
      <c r="F246" s="51" t="n">
        <f aca="false">1+IF($G$10=$E$10,$F$10,IF(T246&lt;($F$10-$E$10)/($G$10-$E$10),$E$10+SQRT(T246*($G$10-$E$10)*($F$10-$E$10)),$G$10-SQRT((1-T246)*($G$10-$E$10)*($G$10-$F$10))))</f>
        <v>1.09075480536958</v>
      </c>
      <c r="G246" s="52" t="n">
        <f aca="false">IF($G$11=$E$11,$F$11,IF(U246&lt;($F$11-$E$11)/($G$11-$E$11),$E$11+SQRT(U246*($G$11-$E$11)*($F$11-$E$11)),$G$11-SQRT((1-U246)*($G$11-$E$11)*($G$11-$F$11))))</f>
        <v>0.096045886960636</v>
      </c>
      <c r="H246" s="53" t="n">
        <f aca="false">(('Business Case'!B11*$C246*'Business Case'!B12*$B246)-'Business Case'!B11*$C246*'Business Case'!B13*$D246-'Business Case'!B14*$E246)-MAX(0,(('Business Case'!B11*$C246*'Business Case'!B12*$B246)-'Business Case'!B11*$C246*'Business Case'!B13*$D246-'Business Case'!B14*$E246))*'Business Case'!$B$7-'Business Case'!$B$8*('Business Case'!B11*$C246*'Business Case'!B12*$B246)-'Business Case'!B15*$F246</f>
        <v>-2181509610.73917</v>
      </c>
      <c r="I246" s="53" t="n">
        <f aca="false">(('Business Case'!C11*$C246*'Business Case'!C12*$B246)-'Business Case'!C11*$C246*'Business Case'!C13*$D246-'Business Case'!C14*$E246)-MAX(0,(('Business Case'!C11*$C246*'Business Case'!C12*$B246)-'Business Case'!C11*$C246*'Business Case'!C13*$D246-'Business Case'!C14*$E246))*'Business Case'!$B$7-'Business Case'!$B$8*(('Business Case'!C11*$C246*'Business Case'!C12*$B246)-('Business Case'!B11*$C246*'Business Case'!B12*$B246))-'Business Case'!C15*$F246</f>
        <v>-5563631.89149037</v>
      </c>
      <c r="J246" s="53" t="n">
        <f aca="false">(('Business Case'!D11*$C246*'Business Case'!D12*$B246)-'Business Case'!D11*$C246*'Business Case'!D13*$D246-'Business Case'!D14*$E246)-MAX(0,(('Business Case'!D11*$C246*'Business Case'!D12*$B246)-'Business Case'!D11*$C246*'Business Case'!D13*$D246-'Business Case'!D14*$E246))*'Business Case'!$B$7-'Business Case'!$B$8*(('Business Case'!D11*$C246*'Business Case'!D12*$B246)-('Business Case'!C11*$C246*'Business Case'!C12*$B246))-'Business Case'!D15*$F246</f>
        <v>298539770.438944</v>
      </c>
      <c r="K246" s="53" t="n">
        <f aca="false">(('Business Case'!E11*$C246*'Business Case'!E12*$B246)-'Business Case'!E11*$C246*'Business Case'!E13*$D246-'Business Case'!E14*$E246)-MAX(0,(('Business Case'!E11*$C246*'Business Case'!E12*$B246)-'Business Case'!E11*$C246*'Business Case'!E13*$D246-'Business Case'!E14*$E246))*'Business Case'!$B$7-'Business Case'!$B$8*(('Business Case'!E11*$C246*'Business Case'!E12*$B246)-('Business Case'!D11*$C246*'Business Case'!D12*$B246))-'Business Case'!E15*$F246</f>
        <v>657180913.037858</v>
      </c>
      <c r="L246" s="53" t="n">
        <f aca="false">(('Business Case'!F11*$C246*'Business Case'!F12*$B246)-'Business Case'!F11*$C246*'Business Case'!F13*$D246-'Business Case'!F14*$E246)-MAX(0,(('Business Case'!F11*$C246*'Business Case'!F12*$B246)-'Business Case'!F11*$C246*'Business Case'!F13*$D246-'Business Case'!F14*$E246))*'Business Case'!$B$7-'Business Case'!$B$8*(('Business Case'!F11*$C246*'Business Case'!F12*$B246)-('Business Case'!E11*$C246*'Business Case'!E12*$B246))-'Business Case'!F15*$F246</f>
        <v>795693058.648539</v>
      </c>
      <c r="M246" s="53" t="n">
        <f aca="false">(('Business Case'!G11*$C246*'Business Case'!G12*$B246)-'Business Case'!G11*$C246*'Business Case'!G13*$D246-'Business Case'!G14*$E246)-MAX(0,(('Business Case'!G11*$C246*'Business Case'!G12*$B246)-'Business Case'!G11*$C246*'Business Case'!G13*$D246-'Business Case'!G14*$E246))*'Business Case'!$B$7-'Business Case'!$B$8*(('Business Case'!G11*$C246*'Business Case'!G12*$B246)-('Business Case'!F11*$C246*'Business Case'!F12*$B246))-'Business Case'!G15*$F246+'Business Case'!$B$8*('Business Case'!G11*$C246*'Business Case'!G12*$B246)</f>
        <v>999986955.234828</v>
      </c>
      <c r="N246" s="53" t="n">
        <f aca="false">IF(COUNT('Business Case'!B11:G11)=0,"",H246+NPV(G246,I246:M246))</f>
        <v>-255413861.783848</v>
      </c>
      <c r="P246" s="54" t="n">
        <f aca="true">RAND()</f>
        <v>0.16034049336537</v>
      </c>
      <c r="Q246" s="54" t="n">
        <f aca="true">RAND()</f>
        <v>0.983373795316564</v>
      </c>
      <c r="R246" s="54" t="n">
        <f aca="true">RAND()</f>
        <v>0.453236010874191</v>
      </c>
      <c r="S246" s="54" t="n">
        <f aca="true">RAND()</f>
        <v>0.560564962561511</v>
      </c>
      <c r="T246" s="54" t="n">
        <f aca="true">RAND()</f>
        <v>0.761309749003247</v>
      </c>
      <c r="U246" s="54" t="n">
        <f aca="true">RAND()</f>
        <v>0.12184249713596</v>
      </c>
    </row>
    <row r="247" customFormat="false" ht="15" hidden="false" customHeight="false" outlineLevel="0" collapsed="false">
      <c r="A247" s="50" t="n">
        <v>167</v>
      </c>
      <c r="B247" s="51" t="n">
        <f aca="false">1+IF($G$6=$E$6,$F$6,IF(P247&lt;($F$6-$E$6)/($G$6-$E$6),$E$6+SQRT(P247*($G$6-$E$6)*($F$6-$E$6)),$G$6-SQRT((1-P247)*($G$6-$E$6)*($G$6-$F$6))))</f>
        <v>0.991772769099203</v>
      </c>
      <c r="C247" s="51" t="n">
        <f aca="false">1+IF($G$7=$E$7,$F$7,IF(Q247&lt;($F$7-$E$7)/($G$7-$E$7),$E$7+SQRT(Q247*($G$7-$E$7)*($F$7-$E$7)),$G$7-SQRT((1-Q247)*($G$7-$E$7)*($G$7-$F$7))))</f>
        <v>1.0678060877489</v>
      </c>
      <c r="D247" s="51" t="n">
        <f aca="false">1+IF($G$8=$E$8,$F$8,IF(R247&lt;($F$8-$E$8)/($G$8-$E$8),$E$8+SQRT(R247*($G$8-$E$8)*($F$8-$E$8)),$G$8-SQRT((1-R247)*($G$8-$E$8)*($G$8-$F$8))))</f>
        <v>1.01565901546596</v>
      </c>
      <c r="E247" s="51" t="n">
        <f aca="false">1+IF($G$9=$E$9,$F$9,IF(S247&lt;($F$9-$E$9)/($G$9-$E$9),$E$9+SQRT(S247*($G$9-$E$9)*($F$9-$E$9)),$G$9-SQRT((1-S247)*($G$9-$E$9)*($G$9-$F$9))))</f>
        <v>1.02958579200168</v>
      </c>
      <c r="F247" s="51" t="n">
        <f aca="false">1+IF($G$10=$E$10,$F$10,IF(T247&lt;($F$10-$E$10)/($G$10-$E$10),$E$10+SQRT(T247*($G$10-$E$10)*($F$10-$E$10)),$G$10-SQRT((1-T247)*($G$10-$E$10)*($G$10-$F$10))))</f>
        <v>0.994184409690697</v>
      </c>
      <c r="G247" s="52" t="n">
        <f aca="false">IF($G$11=$E$11,$F$11,IF(U247&lt;($F$11-$E$11)/($G$11-$E$11),$E$11+SQRT(U247*($G$11-$E$11)*($F$11-$E$11)),$G$11-SQRT((1-U247)*($G$11-$E$11)*($G$11-$F$11))))</f>
        <v>0.0978375722974458</v>
      </c>
      <c r="H247" s="53" t="n">
        <f aca="false">(('Business Case'!B11*$C247*'Business Case'!B12*$B247)-'Business Case'!B11*$C247*'Business Case'!B13*$D247-'Business Case'!B14*$E247)-MAX(0,(('Business Case'!B11*$C247*'Business Case'!B12*$B247)-'Business Case'!B11*$C247*'Business Case'!B13*$D247-'Business Case'!B14*$E247))*'Business Case'!$B$7-'Business Case'!$B$8*('Business Case'!B11*$C247*'Business Case'!B12*$B247)-'Business Case'!B15*$F247</f>
        <v>-1988368819.38139</v>
      </c>
      <c r="I247" s="53" t="n">
        <f aca="false">(('Business Case'!C11*$C247*'Business Case'!C12*$B247)-'Business Case'!C11*$C247*'Business Case'!C13*$D247-'Business Case'!C14*$E247)-MAX(0,(('Business Case'!C11*$C247*'Business Case'!C12*$B247)-'Business Case'!C11*$C247*'Business Case'!C13*$D247-'Business Case'!C14*$E247))*'Business Case'!$B$7-'Business Case'!$B$8*(('Business Case'!C11*$C247*'Business Case'!C12*$B247)-('Business Case'!B11*$C247*'Business Case'!B12*$B247))-'Business Case'!C15*$F247</f>
        <v>11498259.3669073</v>
      </c>
      <c r="J247" s="53" t="n">
        <f aca="false">(('Business Case'!D11*$C247*'Business Case'!D12*$B247)-'Business Case'!D11*$C247*'Business Case'!D13*$D247-'Business Case'!D14*$E247)-MAX(0,(('Business Case'!D11*$C247*'Business Case'!D12*$B247)-'Business Case'!D11*$C247*'Business Case'!D13*$D247-'Business Case'!D14*$E247))*'Business Case'!$B$7-'Business Case'!$B$8*(('Business Case'!D11*$C247*'Business Case'!D12*$B247)-('Business Case'!C11*$C247*'Business Case'!C12*$B247))-'Business Case'!D15*$F247</f>
        <v>323721707.991843</v>
      </c>
      <c r="K247" s="53" t="n">
        <f aca="false">(('Business Case'!E11*$C247*'Business Case'!E12*$B247)-'Business Case'!E11*$C247*'Business Case'!E13*$D247-'Business Case'!E14*$E247)-MAX(0,(('Business Case'!E11*$C247*'Business Case'!E12*$B247)-'Business Case'!E11*$C247*'Business Case'!E13*$D247-'Business Case'!E14*$E247))*'Business Case'!$B$7-'Business Case'!$B$8*(('Business Case'!E11*$C247*'Business Case'!E12*$B247)-('Business Case'!D11*$C247*'Business Case'!D12*$B247))-'Business Case'!E15*$F247</f>
        <v>685654377.101313</v>
      </c>
      <c r="L247" s="53" t="n">
        <f aca="false">(('Business Case'!F11*$C247*'Business Case'!F12*$B247)-'Business Case'!F11*$C247*'Business Case'!F13*$D247-'Business Case'!F14*$E247)-MAX(0,(('Business Case'!F11*$C247*'Business Case'!F12*$B247)-'Business Case'!F11*$C247*'Business Case'!F13*$D247-'Business Case'!F14*$E247))*'Business Case'!$B$7-'Business Case'!$B$8*(('Business Case'!F11*$C247*'Business Case'!F12*$B247)-('Business Case'!E11*$C247*'Business Case'!E12*$B247))-'Business Case'!F15*$F247</f>
        <v>826328625.753839</v>
      </c>
      <c r="M247" s="53" t="n">
        <f aca="false">(('Business Case'!G11*$C247*'Business Case'!G12*$B247)-'Business Case'!G11*$C247*'Business Case'!G13*$D247-'Business Case'!G14*$E247)-MAX(0,(('Business Case'!G11*$C247*'Business Case'!G12*$B247)-'Business Case'!G11*$C247*'Business Case'!G13*$D247-'Business Case'!G14*$E247))*'Business Case'!$B$7-'Business Case'!$B$8*(('Business Case'!G11*$C247*'Business Case'!G12*$B247)-('Business Case'!F11*$C247*'Business Case'!F12*$B247))-'Business Case'!G15*$F247+'Business Case'!$B$8*('Business Case'!G11*$C247*'Business Case'!G12*$B247)</f>
        <v>1027627337.53035</v>
      </c>
      <c r="N247" s="53" t="n">
        <f aca="false">IF(COUNT('Business Case'!B11:G11)=0,"",H247+NPV(G247,I247:M247))</f>
        <v>22128829.1595137</v>
      </c>
      <c r="P247" s="54" t="n">
        <f aca="true">RAND()</f>
        <v>0.536596915017442</v>
      </c>
      <c r="Q247" s="54" t="n">
        <f aca="true">RAND()</f>
        <v>0.871317348359222</v>
      </c>
      <c r="R247" s="54" t="n">
        <f aca="true">RAND()</f>
        <v>0.601945933575995</v>
      </c>
      <c r="S247" s="54" t="n">
        <f aca="true">RAND()</f>
        <v>0.669455954131278</v>
      </c>
      <c r="T247" s="54" t="n">
        <f aca="true">RAND()</f>
        <v>0.156180964777229</v>
      </c>
      <c r="U247" s="54" t="n">
        <f aca="true">RAND()</f>
        <v>0.204758465058966</v>
      </c>
    </row>
    <row r="248" customFormat="false" ht="15" hidden="false" customHeight="false" outlineLevel="0" collapsed="false">
      <c r="A248" s="50" t="n">
        <v>168</v>
      </c>
      <c r="B248" s="51" t="n">
        <f aca="false">1+IF($G$6=$E$6,$F$6,IF(P248&lt;($F$6-$E$6)/($G$6-$E$6),$E$6+SQRT(P248*($G$6-$E$6)*($F$6-$E$6)),$G$6-SQRT((1-P248)*($G$6-$E$6)*($G$6-$F$6))))</f>
        <v>0.964864183939432</v>
      </c>
      <c r="C248" s="51" t="n">
        <f aca="false">1+IF($G$7=$E$7,$F$7,IF(Q248&lt;($F$7-$E$7)/($G$7-$E$7),$E$7+SQRT(Q248*($G$7-$E$7)*($F$7-$E$7)),$G$7-SQRT((1-Q248)*($G$7-$E$7)*($G$7-$F$7))))</f>
        <v>1.06158426968314</v>
      </c>
      <c r="D248" s="51" t="n">
        <f aca="false">1+IF($G$8=$E$8,$F$8,IF(R248&lt;($F$8-$E$8)/($G$8-$E$8),$E$8+SQRT(R248*($G$8-$E$8)*($F$8-$E$8)),$G$8-SQRT((1-R248)*($G$8-$E$8)*($G$8-$F$8))))</f>
        <v>1.02055327379206</v>
      </c>
      <c r="E248" s="51" t="n">
        <f aca="false">1+IF($G$9=$E$9,$F$9,IF(S248&lt;($F$9-$E$9)/($G$9-$E$9),$E$9+SQRT(S248*($G$9-$E$9)*($F$9-$E$9)),$G$9-SQRT((1-S248)*($G$9-$E$9)*($G$9-$F$9))))</f>
        <v>0.984692847519994</v>
      </c>
      <c r="F248" s="51" t="n">
        <f aca="false">1+IF($G$10=$E$10,$F$10,IF(T248&lt;($F$10-$E$10)/($G$10-$E$10),$E$10+SQRT(T248*($G$10-$E$10)*($F$10-$E$10)),$G$10-SQRT((1-T248)*($G$10-$E$10)*($G$10-$F$10))))</f>
        <v>1.06856692049262</v>
      </c>
      <c r="G248" s="52" t="n">
        <f aca="false">IF($G$11=$E$11,$F$11,IF(U248&lt;($F$11-$E$11)/($G$11-$E$11),$E$11+SQRT(U248*($G$11-$E$11)*($F$11-$E$11)),$G$11-SQRT((1-U248)*($G$11-$E$11)*($G$11-$F$11))))</f>
        <v>0.115444082928627</v>
      </c>
      <c r="H248" s="53" t="n">
        <f aca="false">(('Business Case'!B11*$C248*'Business Case'!B12*$B248)-'Business Case'!B11*$C248*'Business Case'!B13*$D248-'Business Case'!B14*$E248)-MAX(0,(('Business Case'!B11*$C248*'Business Case'!B12*$B248)-'Business Case'!B11*$C248*'Business Case'!B13*$D248-'Business Case'!B14*$E248))*'Business Case'!$B$7-'Business Case'!$B$8*('Business Case'!B11*$C248*'Business Case'!B12*$B248)-'Business Case'!B15*$F248</f>
        <v>-2137133840.98524</v>
      </c>
      <c r="I248" s="53" t="n">
        <f aca="false">(('Business Case'!C11*$C248*'Business Case'!C12*$B248)-'Business Case'!C11*$C248*'Business Case'!C13*$D248-'Business Case'!C14*$E248)-MAX(0,(('Business Case'!C11*$C248*'Business Case'!C12*$B248)-'Business Case'!C11*$C248*'Business Case'!C13*$D248-'Business Case'!C14*$E248))*'Business Case'!$B$7-'Business Case'!$B$8*(('Business Case'!C11*$C248*'Business Case'!C12*$B248)-('Business Case'!B11*$C248*'Business Case'!B12*$B248))-'Business Case'!C15*$F248</f>
        <v>-15631880.2846528</v>
      </c>
      <c r="J248" s="53" t="n">
        <f aca="false">(('Business Case'!D11*$C248*'Business Case'!D12*$B248)-'Business Case'!D11*$C248*'Business Case'!D13*$D248-'Business Case'!D14*$E248)-MAX(0,(('Business Case'!D11*$C248*'Business Case'!D12*$B248)-'Business Case'!D11*$C248*'Business Case'!D13*$D248-'Business Case'!D14*$E248))*'Business Case'!$B$7-'Business Case'!$B$8*(('Business Case'!D11*$C248*'Business Case'!D12*$B248)-('Business Case'!C11*$C248*'Business Case'!C12*$B248))-'Business Case'!D15*$F248</f>
        <v>268715170.137531</v>
      </c>
      <c r="K248" s="53" t="n">
        <f aca="false">(('Business Case'!E11*$C248*'Business Case'!E12*$B248)-'Business Case'!E11*$C248*'Business Case'!E13*$D248-'Business Case'!E14*$E248)-MAX(0,(('Business Case'!E11*$C248*'Business Case'!E12*$B248)-'Business Case'!E11*$C248*'Business Case'!E13*$D248-'Business Case'!E14*$E248))*'Business Case'!$B$7-'Business Case'!$B$8*(('Business Case'!E11*$C248*'Business Case'!E12*$B248)-('Business Case'!D11*$C248*'Business Case'!D12*$B248))-'Business Case'!E15*$F248</f>
        <v>606490566.584346</v>
      </c>
      <c r="L248" s="53" t="n">
        <f aca="false">(('Business Case'!F11*$C248*'Business Case'!F12*$B248)-'Business Case'!F11*$C248*'Business Case'!F13*$D248-'Business Case'!F14*$E248)-MAX(0,(('Business Case'!F11*$C248*'Business Case'!F12*$B248)-'Business Case'!F11*$C248*'Business Case'!F13*$D248-'Business Case'!F14*$E248))*'Business Case'!$B$7-'Business Case'!$B$8*(('Business Case'!F11*$C248*'Business Case'!F12*$B248)-('Business Case'!E11*$C248*'Business Case'!E12*$B248))-'Business Case'!F15*$F248</f>
        <v>736672193.885228</v>
      </c>
      <c r="M248" s="53" t="n">
        <f aca="false">(('Business Case'!G11*$C248*'Business Case'!G12*$B248)-'Business Case'!G11*$C248*'Business Case'!G13*$D248-'Business Case'!G14*$E248)-MAX(0,(('Business Case'!G11*$C248*'Business Case'!G12*$B248)-'Business Case'!G11*$C248*'Business Case'!G13*$D248-'Business Case'!G14*$E248))*'Business Case'!$B$7-'Business Case'!$B$8*(('Business Case'!G11*$C248*'Business Case'!G12*$B248)-('Business Case'!F11*$C248*'Business Case'!F12*$B248))-'Business Case'!G15*$F248+'Business Case'!$B$8*('Business Case'!G11*$C248*'Business Case'!G12*$B248)</f>
        <v>931368218.266075</v>
      </c>
      <c r="N248" s="53" t="n">
        <f aca="false">IF(COUNT('Business Case'!B11:G11)=0,"",H248+NPV(G248,I248:M248))</f>
        <v>-482948346.635691</v>
      </c>
      <c r="P248" s="54" t="n">
        <f aca="true">RAND()</f>
        <v>0.209666145890752</v>
      </c>
      <c r="Q248" s="54" t="n">
        <f aca="true">RAND()</f>
        <v>0.851098259667342</v>
      </c>
      <c r="R248" s="54" t="n">
        <f aca="true">RAND()</f>
        <v>0.660200648380651</v>
      </c>
      <c r="S248" s="54" t="n">
        <f aca="true">RAND()</f>
        <v>0.160479155872742</v>
      </c>
      <c r="T248" s="54" t="n">
        <f aca="true">RAND()</f>
        <v>0.654506912224128</v>
      </c>
      <c r="U248" s="54" t="n">
        <f aca="true">RAND()</f>
        <v>0.965406032731291</v>
      </c>
    </row>
    <row r="249" customFormat="false" ht="15" hidden="false" customHeight="false" outlineLevel="0" collapsed="false">
      <c r="A249" s="50" t="n">
        <v>169</v>
      </c>
      <c r="B249" s="51" t="n">
        <f aca="false">1+IF($G$6=$E$6,$F$6,IF(P249&lt;($F$6-$E$6)/($G$6-$E$6),$E$6+SQRT(P249*($G$6-$E$6)*($F$6-$E$6)),$G$6-SQRT((1-P249)*($G$6-$E$6)*($G$6-$F$6))))</f>
        <v>0.979315845595552</v>
      </c>
      <c r="C249" s="51" t="n">
        <f aca="false">1+IF($G$7=$E$7,$F$7,IF(Q249&lt;($F$7-$E$7)/($G$7-$E$7),$E$7+SQRT(Q249*($G$7-$E$7)*($F$7-$E$7)),$G$7-SQRT((1-Q249)*($G$7-$E$7)*($G$7-$F$7))))</f>
        <v>1.06735543959174</v>
      </c>
      <c r="D249" s="51" t="n">
        <f aca="false">1+IF($G$8=$E$8,$F$8,IF(R249&lt;($F$8-$E$8)/($G$8-$E$8),$E$8+SQRT(R249*($G$8-$E$8)*($F$8-$E$8)),$G$8-SQRT((1-R249)*($G$8-$E$8)*($G$8-$F$8))))</f>
        <v>0.978021278215335</v>
      </c>
      <c r="E249" s="51" t="n">
        <f aca="false">1+IF($G$9=$E$9,$F$9,IF(S249&lt;($F$9-$E$9)/($G$9-$E$9),$E$9+SQRT(S249*($G$9-$E$9)*($F$9-$E$9)),$G$9-SQRT((1-S249)*($G$9-$E$9)*($G$9-$F$9))))</f>
        <v>0.997604132551387</v>
      </c>
      <c r="F249" s="51" t="n">
        <f aca="false">1+IF($G$10=$E$10,$F$10,IF(T249&lt;($F$10-$E$10)/($G$10-$E$10),$E$10+SQRT(T249*($G$10-$E$10)*($F$10-$E$10)),$G$10-SQRT((1-T249)*($G$10-$E$10)*($G$10-$F$10))))</f>
        <v>1.00690102638892</v>
      </c>
      <c r="G249" s="52" t="n">
        <f aca="false">IF($G$11=$E$11,$F$11,IF(U249&lt;($F$11-$E$11)/($G$11-$E$11),$E$11+SQRT(U249*($G$11-$E$11)*($F$11-$E$11)),$G$11-SQRT((1-U249)*($G$11-$E$11)*($G$11-$F$11))))</f>
        <v>0.0950672533081636</v>
      </c>
      <c r="H249" s="53" t="n">
        <f aca="false">(('Business Case'!B11*$C249*'Business Case'!B12*$B249)-'Business Case'!B11*$C249*'Business Case'!B13*$D249-'Business Case'!B14*$E249)-MAX(0,(('Business Case'!B11*$C249*'Business Case'!B12*$B249)-'Business Case'!B11*$C249*'Business Case'!B13*$D249-'Business Case'!B14*$E249))*'Business Case'!$B$7-'Business Case'!$B$8*('Business Case'!B11*$C249*'Business Case'!B12*$B249)-'Business Case'!B15*$F249</f>
        <v>-2013802052.77784</v>
      </c>
      <c r="I249" s="53" t="n">
        <f aca="false">(('Business Case'!C11*$C249*'Business Case'!C12*$B249)-'Business Case'!C11*$C249*'Business Case'!C13*$D249-'Business Case'!C14*$E249)-MAX(0,(('Business Case'!C11*$C249*'Business Case'!C12*$B249)-'Business Case'!C11*$C249*'Business Case'!C13*$D249-'Business Case'!C14*$E249))*'Business Case'!$B$7-'Business Case'!$B$8*(('Business Case'!C11*$C249*'Business Case'!C12*$B249)-('Business Case'!B11*$C249*'Business Case'!B12*$B249))-'Business Case'!C15*$F249</f>
        <v>25029983.0599104</v>
      </c>
      <c r="J249" s="53" t="n">
        <f aca="false">(('Business Case'!D11*$C249*'Business Case'!D12*$B249)-'Business Case'!D11*$C249*'Business Case'!D13*$D249-'Business Case'!D14*$E249)-MAX(0,(('Business Case'!D11*$C249*'Business Case'!D12*$B249)-'Business Case'!D11*$C249*'Business Case'!D13*$D249-'Business Case'!D14*$E249))*'Business Case'!$B$7-'Business Case'!$B$8*(('Business Case'!D11*$C249*'Business Case'!D12*$B249)-('Business Case'!C11*$C249*'Business Case'!C12*$B249))-'Business Case'!D15*$F249</f>
        <v>346796592.845829</v>
      </c>
      <c r="K249" s="53" t="n">
        <f aca="false">(('Business Case'!E11*$C249*'Business Case'!E12*$B249)-'Business Case'!E11*$C249*'Business Case'!E13*$D249-'Business Case'!E14*$E249)-MAX(0,(('Business Case'!E11*$C249*'Business Case'!E12*$B249)-'Business Case'!E11*$C249*'Business Case'!E13*$D249-'Business Case'!E14*$E249))*'Business Case'!$B$7-'Business Case'!$B$8*(('Business Case'!E11*$C249*'Business Case'!E12*$B249)-('Business Case'!D11*$C249*'Business Case'!D12*$B249))-'Business Case'!E15*$F249</f>
        <v>718908253.951195</v>
      </c>
      <c r="L249" s="53" t="n">
        <f aca="false">(('Business Case'!F11*$C249*'Business Case'!F12*$B249)-'Business Case'!F11*$C249*'Business Case'!F13*$D249-'Business Case'!F14*$E249)-MAX(0,(('Business Case'!F11*$C249*'Business Case'!F12*$B249)-'Business Case'!F11*$C249*'Business Case'!F13*$D249-'Business Case'!F14*$E249))*'Business Case'!$B$7-'Business Case'!$B$8*(('Business Case'!F11*$C249*'Business Case'!F12*$B249)-('Business Case'!E11*$C249*'Business Case'!E12*$B249))-'Business Case'!F15*$F249</f>
        <v>862288601.505374</v>
      </c>
      <c r="M249" s="53" t="n">
        <f aca="false">(('Business Case'!G11*$C249*'Business Case'!G12*$B249)-'Business Case'!G11*$C249*'Business Case'!G13*$D249-'Business Case'!G14*$E249)-MAX(0,(('Business Case'!G11*$C249*'Business Case'!G12*$B249)-'Business Case'!G11*$C249*'Business Case'!G13*$D249-'Business Case'!G14*$E249))*'Business Case'!$B$7-'Business Case'!$B$8*(('Business Case'!G11*$C249*'Business Case'!G12*$B249)-('Business Case'!F11*$C249*'Business Case'!F12*$B249))-'Business Case'!G15*$F249+'Business Case'!$B$8*('Business Case'!G11*$C249*'Business Case'!G12*$B249)</f>
        <v>1060975061.77918</v>
      </c>
      <c r="N249" s="53" t="n">
        <f aca="false">IF(COUNT('Business Case'!B11:G11)=0,"",H249+NPV(G249,I249:M249))</f>
        <v>119102210.600266</v>
      </c>
      <c r="P249" s="54" t="n">
        <f aca="true">RAND()</f>
        <v>0.366496826949515</v>
      </c>
      <c r="Q249" s="54" t="n">
        <f aca="true">RAND()</f>
        <v>0.869902412093815</v>
      </c>
      <c r="R249" s="54" t="n">
        <f aca="true">RAND()</f>
        <v>0.120798774280186</v>
      </c>
      <c r="S249" s="54" t="n">
        <f aca="true">RAND()</f>
        <v>0.302153791462663</v>
      </c>
      <c r="T249" s="54" t="n">
        <f aca="true">RAND()</f>
        <v>0.254255727806943</v>
      </c>
      <c r="U249" s="54" t="n">
        <f aca="true">RAND()</f>
        <v>0.0855901869636482</v>
      </c>
    </row>
    <row r="250" customFormat="false" ht="15" hidden="false" customHeight="false" outlineLevel="0" collapsed="false">
      <c r="A250" s="50" t="n">
        <v>170</v>
      </c>
      <c r="B250" s="51" t="n">
        <f aca="false">1+IF($G$6=$E$6,$F$6,IF(P250&lt;($F$6-$E$6)/($G$6-$E$6),$E$6+SQRT(P250*($G$6-$E$6)*($F$6-$E$6)),$G$6-SQRT((1-P250)*($G$6-$E$6)*($G$6-$F$6))))</f>
        <v>0.979198222494393</v>
      </c>
      <c r="C250" s="51" t="n">
        <f aca="false">1+IF($G$7=$E$7,$F$7,IF(Q250&lt;($F$7-$E$7)/($G$7-$E$7),$E$7+SQRT(Q250*($G$7-$E$7)*($F$7-$E$7)),$G$7-SQRT((1-Q250)*($G$7-$E$7)*($G$7-$F$7))))</f>
        <v>0.916721911772196</v>
      </c>
      <c r="D250" s="51" t="n">
        <f aca="false">1+IF($G$8=$E$8,$F$8,IF(R250&lt;($F$8-$E$8)/($G$8-$E$8),$E$8+SQRT(R250*($G$8-$E$8)*($F$8-$E$8)),$G$8-SQRT((1-R250)*($G$8-$E$8)*($G$8-$F$8))))</f>
        <v>1.01309809198298</v>
      </c>
      <c r="E250" s="51" t="n">
        <f aca="false">1+IF($G$9=$E$9,$F$9,IF(S250&lt;($F$9-$E$9)/($G$9-$E$9),$E$9+SQRT(S250*($G$9-$E$9)*($F$9-$E$9)),$G$9-SQRT((1-S250)*($G$9-$E$9)*($G$9-$F$9))))</f>
        <v>1.02698502416708</v>
      </c>
      <c r="F250" s="51" t="n">
        <f aca="false">1+IF($G$10=$E$10,$F$10,IF(T250&lt;($F$10-$E$10)/($G$10-$E$10),$E$10+SQRT(T250*($G$10-$E$10)*($F$10-$E$10)),$G$10-SQRT((1-T250)*($G$10-$E$10)*($G$10-$F$10))))</f>
        <v>0.996561290811513</v>
      </c>
      <c r="G250" s="52" t="n">
        <f aca="false">IF($G$11=$E$11,$F$11,IF(U250&lt;($F$11-$E$11)/($G$11-$E$11),$E$11+SQRT(U250*($G$11-$E$11)*($F$11-$E$11)),$G$11-SQRT((1-U250)*($G$11-$E$11)*($G$11-$F$11))))</f>
        <v>0.0970378306072153</v>
      </c>
      <c r="H250" s="53" t="n">
        <f aca="false">(('Business Case'!B11*$C250*'Business Case'!B12*$B250)-'Business Case'!B11*$C250*'Business Case'!B13*$D250-'Business Case'!B14*$E250)-MAX(0,(('Business Case'!B11*$C250*'Business Case'!B12*$B250)-'Business Case'!B11*$C250*'Business Case'!B13*$D250-'Business Case'!B14*$E250))*'Business Case'!$B$7-'Business Case'!$B$8*('Business Case'!B11*$C250*'Business Case'!B12*$B250)-'Business Case'!B15*$F250</f>
        <v>-1993122581.62303</v>
      </c>
      <c r="I250" s="53" t="n">
        <f aca="false">(('Business Case'!C11*$C250*'Business Case'!C12*$B250)-'Business Case'!C11*$C250*'Business Case'!C13*$D250-'Business Case'!C14*$E250)-MAX(0,(('Business Case'!C11*$C250*'Business Case'!C12*$B250)-'Business Case'!C11*$C250*'Business Case'!C13*$D250-'Business Case'!C14*$E250))*'Business Case'!$B$7-'Business Case'!$B$8*(('Business Case'!C11*$C250*'Business Case'!C12*$B250)-('Business Case'!B11*$C250*'Business Case'!B12*$B250))-'Business Case'!C15*$F250</f>
        <v>-32420764.4642063</v>
      </c>
      <c r="J250" s="53" t="n">
        <f aca="false">(('Business Case'!D11*$C250*'Business Case'!D12*$B250)-'Business Case'!D11*$C250*'Business Case'!D13*$D250-'Business Case'!D14*$E250)-MAX(0,(('Business Case'!D11*$C250*'Business Case'!D12*$B250)-'Business Case'!D11*$C250*'Business Case'!D13*$D250-'Business Case'!D14*$E250))*'Business Case'!$B$7-'Business Case'!$B$8*(('Business Case'!D11*$C250*'Business Case'!D12*$B250)-('Business Case'!C11*$C250*'Business Case'!C12*$B250))-'Business Case'!D15*$F250</f>
        <v>227386174.45416</v>
      </c>
      <c r="K250" s="53" t="n">
        <f aca="false">(('Business Case'!E11*$C250*'Business Case'!E12*$B250)-'Business Case'!E11*$C250*'Business Case'!E13*$D250-'Business Case'!E14*$E250)-MAX(0,(('Business Case'!E11*$C250*'Business Case'!E12*$B250)-'Business Case'!E11*$C250*'Business Case'!E13*$D250-'Business Case'!E14*$E250))*'Business Case'!$B$7-'Business Case'!$B$8*(('Business Case'!E11*$C250*'Business Case'!E12*$B250)-('Business Case'!D11*$C250*'Business Case'!D12*$B250))-'Business Case'!E15*$F250</f>
        <v>537021177.913102</v>
      </c>
      <c r="L250" s="53" t="n">
        <f aca="false">(('Business Case'!F11*$C250*'Business Case'!F12*$B250)-'Business Case'!F11*$C250*'Business Case'!F13*$D250-'Business Case'!F14*$E250)-MAX(0,(('Business Case'!F11*$C250*'Business Case'!F12*$B250)-'Business Case'!F11*$C250*'Business Case'!F13*$D250-'Business Case'!F14*$E250))*'Business Case'!$B$7-'Business Case'!$B$8*(('Business Case'!F11*$C250*'Business Case'!F12*$B250)-('Business Case'!E11*$C250*'Business Case'!E12*$B250))-'Business Case'!F15*$F250</f>
        <v>654646360.129133</v>
      </c>
      <c r="M250" s="53" t="n">
        <f aca="false">(('Business Case'!G11*$C250*'Business Case'!G12*$B250)-'Business Case'!G11*$C250*'Business Case'!G13*$D250-'Business Case'!G14*$E250)-MAX(0,(('Business Case'!G11*$C250*'Business Case'!G12*$B250)-'Business Case'!G11*$C250*'Business Case'!G13*$D250-'Business Case'!G14*$E250))*'Business Case'!$B$7-'Business Case'!$B$8*(('Business Case'!G11*$C250*'Business Case'!G12*$B250)-('Business Case'!F11*$C250*'Business Case'!F12*$B250))-'Business Case'!G15*$F250+'Business Case'!$B$8*('Business Case'!G11*$C250*'Business Case'!G12*$B250)</f>
        <v>825272140.966964</v>
      </c>
      <c r="N250" s="53" t="n">
        <f aca="false">IF(COUNT('Business Case'!B11:G11)=0,"",H250+NPV(G250,I250:M250))</f>
        <v>-455621937.327901</v>
      </c>
      <c r="P250" s="54" t="n">
        <f aca="true">RAND()</f>
        <v>0.365044744426624</v>
      </c>
      <c r="Q250" s="54" t="n">
        <f aca="true">RAND()</f>
        <v>0.194628638396518</v>
      </c>
      <c r="R250" s="54" t="n">
        <f aca="true">RAND()</f>
        <v>0.569628336892553</v>
      </c>
      <c r="S250" s="54" t="n">
        <f aca="true">RAND()</f>
        <v>0.644587553607843</v>
      </c>
      <c r="T250" s="54" t="n">
        <f aca="true">RAND()</f>
        <v>0.173436304162742</v>
      </c>
      <c r="U250" s="54" t="n">
        <f aca="true">RAND()</f>
        <v>0.165103532186189</v>
      </c>
    </row>
    <row r="251" customFormat="false" ht="15" hidden="false" customHeight="false" outlineLevel="0" collapsed="false">
      <c r="A251" s="50" t="n">
        <v>171</v>
      </c>
      <c r="B251" s="51" t="n">
        <f aca="false">1+IF($G$6=$E$6,$F$6,IF(P251&lt;($F$6-$E$6)/($G$6-$E$6),$E$6+SQRT(P251*($G$6-$E$6)*($F$6-$E$6)),$G$6-SQRT((1-P251)*($G$6-$E$6)*($G$6-$F$6))))</f>
        <v>1.00589145545204</v>
      </c>
      <c r="C251" s="51" t="n">
        <f aca="false">1+IF($G$7=$E$7,$F$7,IF(Q251&lt;($F$7-$E$7)/($G$7-$E$7),$E$7+SQRT(Q251*($G$7-$E$7)*($F$7-$E$7)),$G$7-SQRT((1-Q251)*($G$7-$E$7)*($G$7-$F$7))))</f>
        <v>1.08879173032123</v>
      </c>
      <c r="D251" s="51" t="n">
        <f aca="false">1+IF($G$8=$E$8,$F$8,IF(R251&lt;($F$8-$E$8)/($G$8-$E$8),$E$8+SQRT(R251*($G$8-$E$8)*($F$8-$E$8)),$G$8-SQRT((1-R251)*($G$8-$E$8)*($G$8-$F$8))))</f>
        <v>0.99657845763319</v>
      </c>
      <c r="E251" s="51" t="n">
        <f aca="false">1+IF($G$9=$E$9,$F$9,IF(S251&lt;($F$9-$E$9)/($G$9-$E$9),$E$9+SQRT(S251*($G$9-$E$9)*($F$9-$E$9)),$G$9-SQRT((1-S251)*($G$9-$E$9)*($G$9-$F$9))))</f>
        <v>1.00085405366652</v>
      </c>
      <c r="F251" s="51" t="n">
        <f aca="false">1+IF($G$10=$E$10,$F$10,IF(T251&lt;($F$10-$E$10)/($G$10-$E$10),$E$10+SQRT(T251*($G$10-$E$10)*($F$10-$E$10)),$G$10-SQRT((1-T251)*($G$10-$E$10)*($G$10-$F$10))))</f>
        <v>0.984416438134287</v>
      </c>
      <c r="G251" s="52" t="n">
        <f aca="false">IF($G$11=$E$11,$F$11,IF(U251&lt;($F$11-$E$11)/($G$11-$E$11),$E$11+SQRT(U251*($G$11-$E$11)*($F$11-$E$11)),$G$11-SQRT((1-U251)*($G$11-$E$11)*($G$11-$F$11))))</f>
        <v>0.104505375278437</v>
      </c>
      <c r="H251" s="53" t="n">
        <f aca="false">(('Business Case'!B11*$C251*'Business Case'!B12*$B251)-'Business Case'!B11*$C251*'Business Case'!B13*$D251-'Business Case'!B14*$E251)-MAX(0,(('Business Case'!B11*$C251*'Business Case'!B12*$B251)-'Business Case'!B11*$C251*'Business Case'!B13*$D251-'Business Case'!B14*$E251))*'Business Case'!$B$7-'Business Case'!$B$8*('Business Case'!B11*$C251*'Business Case'!B12*$B251)-'Business Case'!B15*$F251</f>
        <v>-1968832876.26857</v>
      </c>
      <c r="I251" s="53" t="n">
        <f aca="false">(('Business Case'!C11*$C251*'Business Case'!C12*$B251)-'Business Case'!C11*$C251*'Business Case'!C13*$D251-'Business Case'!C14*$E251)-MAX(0,(('Business Case'!C11*$C251*'Business Case'!C12*$B251)-'Business Case'!C11*$C251*'Business Case'!C13*$D251-'Business Case'!C14*$E251))*'Business Case'!$B$7-'Business Case'!$B$8*(('Business Case'!C11*$C251*'Business Case'!C12*$B251)-('Business Case'!B11*$C251*'Business Case'!B12*$B251))-'Business Case'!C15*$F251</f>
        <v>44047045.4777352</v>
      </c>
      <c r="J251" s="53" t="n">
        <f aca="false">(('Business Case'!D11*$C251*'Business Case'!D12*$B251)-'Business Case'!D11*$C251*'Business Case'!D13*$D251-'Business Case'!D14*$E251)-MAX(0,(('Business Case'!D11*$C251*'Business Case'!D12*$B251)-'Business Case'!D11*$C251*'Business Case'!D13*$D251-'Business Case'!D14*$E251))*'Business Case'!$B$7-'Business Case'!$B$8*(('Business Case'!D11*$C251*'Business Case'!D12*$B251)-('Business Case'!C11*$C251*'Business Case'!C12*$B251))-'Business Case'!D15*$F251</f>
        <v>385632675.703993</v>
      </c>
      <c r="K251" s="53" t="n">
        <f aca="false">(('Business Case'!E11*$C251*'Business Case'!E12*$B251)-'Business Case'!E11*$C251*'Business Case'!E13*$D251-'Business Case'!E14*$E251)-MAX(0,(('Business Case'!E11*$C251*'Business Case'!E12*$B251)-'Business Case'!E11*$C251*'Business Case'!E13*$D251-'Business Case'!E14*$E251))*'Business Case'!$B$7-'Business Case'!$B$8*(('Business Case'!E11*$C251*'Business Case'!E12*$B251)-('Business Case'!D11*$C251*'Business Case'!D12*$B251))-'Business Case'!E15*$F251</f>
        <v>776439127.836965</v>
      </c>
      <c r="L251" s="53" t="n">
        <f aca="false">(('Business Case'!F11*$C251*'Business Case'!F12*$B251)-'Business Case'!F11*$C251*'Business Case'!F13*$D251-'Business Case'!F14*$E251)-MAX(0,(('Business Case'!F11*$C251*'Business Case'!F12*$B251)-'Business Case'!F11*$C251*'Business Case'!F13*$D251-'Business Case'!F14*$E251))*'Business Case'!$B$7-'Business Case'!$B$8*(('Business Case'!F11*$C251*'Business Case'!F12*$B251)-('Business Case'!E11*$C251*'Business Case'!E12*$B251))-'Business Case'!F15*$F251</f>
        <v>928151334.248194</v>
      </c>
      <c r="M251" s="53" t="n">
        <f aca="false">(('Business Case'!G11*$C251*'Business Case'!G12*$B251)-'Business Case'!G11*$C251*'Business Case'!G13*$D251-'Business Case'!G14*$E251)-MAX(0,(('Business Case'!G11*$C251*'Business Case'!G12*$B251)-'Business Case'!G11*$C251*'Business Case'!G13*$D251-'Business Case'!G14*$E251))*'Business Case'!$B$7-'Business Case'!$B$8*(('Business Case'!G11*$C251*'Business Case'!G12*$B251)-('Business Case'!F11*$C251*'Business Case'!F12*$B251))-'Business Case'!G15*$F251+'Business Case'!$B$8*('Business Case'!G11*$C251*'Business Case'!G12*$B251)</f>
        <v>1136328147.42848</v>
      </c>
      <c r="N251" s="53" t="n">
        <f aca="false">IF(COUNT('Business Case'!B11:G11)=0,"",H251+NPV(G251,I251:M251))</f>
        <v>278353432.606587</v>
      </c>
      <c r="P251" s="54" t="n">
        <f aca="true">RAND()</f>
        <v>0.757626497670816</v>
      </c>
      <c r="Q251" s="54" t="n">
        <f aca="true">RAND()</f>
        <v>0.928639004246302</v>
      </c>
      <c r="R251" s="54" t="n">
        <f aca="true">RAND()</f>
        <v>0.33377734084414</v>
      </c>
      <c r="S251" s="54" t="n">
        <f aca="true">RAND()</f>
        <v>0.344672088375897</v>
      </c>
      <c r="T251" s="54" t="n">
        <f aca="true">RAND()</f>
        <v>0.0947592971080952</v>
      </c>
      <c r="U251" s="54" t="n">
        <f aca="true">RAND()</f>
        <v>0.599861007896533</v>
      </c>
    </row>
    <row r="252" customFormat="false" ht="15" hidden="false" customHeight="false" outlineLevel="0" collapsed="false">
      <c r="A252" s="50" t="n">
        <v>172</v>
      </c>
      <c r="B252" s="51" t="n">
        <f aca="false">1+IF($G$6=$E$6,$F$6,IF(P252&lt;($F$6-$E$6)/($G$6-$E$6),$E$6+SQRT(P252*($G$6-$E$6)*($F$6-$E$6)),$G$6-SQRT((1-P252)*($G$6-$E$6)*($G$6-$F$6))))</f>
        <v>0.959190113823007</v>
      </c>
      <c r="C252" s="51" t="n">
        <f aca="false">1+IF($G$7=$E$7,$F$7,IF(Q252&lt;($F$7-$E$7)/($G$7-$E$7),$E$7+SQRT(Q252*($G$7-$E$7)*($F$7-$E$7)),$G$7-SQRT((1-Q252)*($G$7-$E$7)*($G$7-$F$7))))</f>
        <v>0.912863618608766</v>
      </c>
      <c r="D252" s="51" t="n">
        <f aca="false">1+IF($G$8=$E$8,$F$8,IF(R252&lt;($F$8-$E$8)/($G$8-$E$8),$E$8+SQRT(R252*($G$8-$E$8)*($F$8-$E$8)),$G$8-SQRT((1-R252)*($G$8-$E$8)*($G$8-$F$8))))</f>
        <v>0.983631142642034</v>
      </c>
      <c r="E252" s="51" t="n">
        <f aca="false">1+IF($G$9=$E$9,$F$9,IF(S252&lt;($F$9-$E$9)/($G$9-$E$9),$E$9+SQRT(S252*($G$9-$E$9)*($F$9-$E$9)),$G$9-SQRT((1-S252)*($G$9-$E$9)*($G$9-$F$9))))</f>
        <v>0.966900281100308</v>
      </c>
      <c r="F252" s="51" t="n">
        <f aca="false">1+IF($G$10=$E$10,$F$10,IF(T252&lt;($F$10-$E$10)/($G$10-$E$10),$E$10+SQRT(T252*($G$10-$E$10)*($F$10-$E$10)),$G$10-SQRT((1-T252)*($G$10-$E$10)*($G$10-$F$10))))</f>
        <v>0.982697476268856</v>
      </c>
      <c r="G252" s="52" t="n">
        <f aca="false">IF($G$11=$E$11,$F$11,IF(U252&lt;($F$11-$E$11)/($G$11-$E$11),$E$11+SQRT(U252*($G$11-$E$11)*($F$11-$E$11)),$G$11-SQRT((1-U252)*($G$11-$E$11)*($G$11-$F$11))))</f>
        <v>0.110191408086015</v>
      </c>
      <c r="H252" s="53" t="n">
        <f aca="false">(('Business Case'!B11*$C252*'Business Case'!B12*$B252)-'Business Case'!B11*$C252*'Business Case'!B13*$D252-'Business Case'!B14*$E252)-MAX(0,(('Business Case'!B11*$C252*'Business Case'!B12*$B252)-'Business Case'!B11*$C252*'Business Case'!B13*$D252-'Business Case'!B14*$E252))*'Business Case'!$B$7-'Business Case'!$B$8*('Business Case'!B11*$C252*'Business Case'!B12*$B252)-'Business Case'!B15*$F252</f>
        <v>-1965394952.53771</v>
      </c>
      <c r="I252" s="53" t="n">
        <f aca="false">(('Business Case'!C11*$C252*'Business Case'!C12*$B252)-'Business Case'!C11*$C252*'Business Case'!C13*$D252-'Business Case'!C14*$E252)-MAX(0,(('Business Case'!C11*$C252*'Business Case'!C12*$B252)-'Business Case'!C11*$C252*'Business Case'!C13*$D252-'Business Case'!C14*$E252))*'Business Case'!$B$7-'Business Case'!$B$8*(('Business Case'!C11*$C252*'Business Case'!C12*$B252)-('Business Case'!B11*$C252*'Business Case'!B12*$B252))-'Business Case'!C15*$F252</f>
        <v>-23630903.0152034</v>
      </c>
      <c r="J252" s="53" t="n">
        <f aca="false">(('Business Case'!D11*$C252*'Business Case'!D12*$B252)-'Business Case'!D11*$C252*'Business Case'!D13*$D252-'Business Case'!D14*$E252)-MAX(0,(('Business Case'!D11*$C252*'Business Case'!D12*$B252)-'Business Case'!D11*$C252*'Business Case'!D13*$D252-'Business Case'!D14*$E252))*'Business Case'!$B$7-'Business Case'!$B$8*(('Business Case'!D11*$C252*'Business Case'!D12*$B252)-('Business Case'!C11*$C252*'Business Case'!C12*$B252))-'Business Case'!D15*$F252</f>
        <v>233892771.436012</v>
      </c>
      <c r="K252" s="53" t="n">
        <f aca="false">(('Business Case'!E11*$C252*'Business Case'!E12*$B252)-'Business Case'!E11*$C252*'Business Case'!E13*$D252-'Business Case'!E14*$E252)-MAX(0,(('Business Case'!E11*$C252*'Business Case'!E12*$B252)-'Business Case'!E11*$C252*'Business Case'!E13*$D252-'Business Case'!E14*$E252))*'Business Case'!$B$7-'Business Case'!$B$8*(('Business Case'!E11*$C252*'Business Case'!E12*$B252)-('Business Case'!D11*$C252*'Business Case'!D12*$B252))-'Business Case'!E15*$F252</f>
        <v>540551319.70067</v>
      </c>
      <c r="L252" s="53" t="n">
        <f aca="false">(('Business Case'!F11*$C252*'Business Case'!F12*$B252)-'Business Case'!F11*$C252*'Business Case'!F13*$D252-'Business Case'!F14*$E252)-MAX(0,(('Business Case'!F11*$C252*'Business Case'!F12*$B252)-'Business Case'!F11*$C252*'Business Case'!F13*$D252-'Business Case'!F14*$E252))*'Business Case'!$B$7-'Business Case'!$B$8*(('Business Case'!F11*$C252*'Business Case'!F12*$B252)-('Business Case'!E11*$C252*'Business Case'!E12*$B252))-'Business Case'!F15*$F252</f>
        <v>656653617.762455</v>
      </c>
      <c r="M252" s="53" t="n">
        <f aca="false">(('Business Case'!G11*$C252*'Business Case'!G12*$B252)-'Business Case'!G11*$C252*'Business Case'!G13*$D252-'Business Case'!G14*$E252)-MAX(0,(('Business Case'!G11*$C252*'Business Case'!G12*$B252)-'Business Case'!G11*$C252*'Business Case'!G13*$D252-'Business Case'!G14*$E252))*'Business Case'!$B$7-'Business Case'!$B$8*(('Business Case'!G11*$C252*'Business Case'!G12*$B252)-('Business Case'!F11*$C252*'Business Case'!F12*$B252))-'Business Case'!G15*$F252+'Business Case'!$B$8*('Business Case'!G11*$C252*'Business Case'!G12*$B252)</f>
        <v>823089520.608376</v>
      </c>
      <c r="N252" s="53" t="n">
        <f aca="false">IF(COUNT('Business Case'!B11:G11)=0,"",H252+NPV(G252,I252:M252))</f>
        <v>-481568668.604708</v>
      </c>
      <c r="P252" s="54" t="n">
        <f aca="true">RAND()</f>
        <v>0.15998593973544</v>
      </c>
      <c r="Q252" s="54" t="n">
        <f aca="true">RAND()</f>
        <v>0.181974234363784</v>
      </c>
      <c r="R252" s="54" t="n">
        <f aca="true">RAND()</f>
        <v>0.174008270062896</v>
      </c>
      <c r="S252" s="54" t="n">
        <f aca="true">RAND()</f>
        <v>0.038082600169257</v>
      </c>
      <c r="T252" s="54" t="n">
        <f aca="true">RAND()</f>
        <v>0.0855299963481914</v>
      </c>
      <c r="U252" s="54" t="n">
        <f aca="true">RAND()</f>
        <v>0.839652541108182</v>
      </c>
    </row>
    <row r="253" customFormat="false" ht="15" hidden="false" customHeight="false" outlineLevel="0" collapsed="false">
      <c r="A253" s="50" t="n">
        <v>173</v>
      </c>
      <c r="B253" s="51" t="n">
        <f aca="false">1+IF($G$6=$E$6,$F$6,IF(P253&lt;($F$6-$E$6)/($G$6-$E$6),$E$6+SQRT(P253*($G$6-$E$6)*($F$6-$E$6)),$G$6-SQRT((1-P253)*($G$6-$E$6)*($G$6-$F$6))))</f>
        <v>0.977361820497015</v>
      </c>
      <c r="C253" s="51" t="n">
        <f aca="false">1+IF($G$7=$E$7,$F$7,IF(Q253&lt;($F$7-$E$7)/($G$7-$E$7),$E$7+SQRT(Q253*($G$7-$E$7)*($F$7-$E$7)),$G$7-SQRT((1-Q253)*($G$7-$E$7)*($G$7-$F$7))))</f>
        <v>1.03888683041806</v>
      </c>
      <c r="D253" s="51" t="n">
        <f aca="false">1+IF($G$8=$E$8,$F$8,IF(R253&lt;($F$8-$E$8)/($G$8-$E$8),$E$8+SQRT(R253*($G$8-$E$8)*($F$8-$E$8)),$G$8-SQRT((1-R253)*($G$8-$E$8)*($G$8-$F$8))))</f>
        <v>1.06608063770255</v>
      </c>
      <c r="E253" s="51" t="n">
        <f aca="false">1+IF($G$9=$E$9,$F$9,IF(S253&lt;($F$9-$E$9)/($G$9-$E$9),$E$9+SQRT(S253*($G$9-$E$9)*($F$9-$E$9)),$G$9-SQRT((1-S253)*($G$9-$E$9)*($G$9-$F$9))))</f>
        <v>1.03589890584701</v>
      </c>
      <c r="F253" s="51" t="n">
        <f aca="false">1+IF($G$10=$E$10,$F$10,IF(T253&lt;($F$10-$E$10)/($G$10-$E$10),$E$10+SQRT(T253*($G$10-$E$10)*($F$10-$E$10)),$G$10-SQRT((1-T253)*($G$10-$E$10)*($G$10-$F$10))))</f>
        <v>1.13987927312791</v>
      </c>
      <c r="G253" s="52" t="n">
        <f aca="false">IF($G$11=$E$11,$F$11,IF(U253&lt;($F$11-$E$11)/($G$11-$E$11),$E$11+SQRT(U253*($G$11-$E$11)*($F$11-$E$11)),$G$11-SQRT((1-U253)*($G$11-$E$11)*($G$11-$F$11))))</f>
        <v>0.105931268600732</v>
      </c>
      <c r="H253" s="53" t="n">
        <f aca="false">(('Business Case'!B11*$C253*'Business Case'!B12*$B253)-'Business Case'!B11*$C253*'Business Case'!B13*$D253-'Business Case'!B14*$E253)-MAX(0,(('Business Case'!B11*$C253*'Business Case'!B12*$B253)-'Business Case'!B11*$C253*'Business Case'!B13*$D253-'Business Case'!B14*$E253))*'Business Case'!$B$7-'Business Case'!$B$8*('Business Case'!B11*$C253*'Business Case'!B12*$B253)-'Business Case'!B15*$F253</f>
        <v>-2279758546.25581</v>
      </c>
      <c r="I253" s="53" t="n">
        <f aca="false">(('Business Case'!C11*$C253*'Business Case'!C12*$B253)-'Business Case'!C11*$C253*'Business Case'!C13*$D253-'Business Case'!C14*$E253)-MAX(0,(('Business Case'!C11*$C253*'Business Case'!C12*$B253)-'Business Case'!C11*$C253*'Business Case'!C13*$D253-'Business Case'!C14*$E253))*'Business Case'!$B$7-'Business Case'!$B$8*(('Business Case'!C11*$C253*'Business Case'!C12*$B253)-('Business Case'!B11*$C253*'Business Case'!B12*$B253))-'Business Case'!C15*$F253</f>
        <v>-49240091.8482561</v>
      </c>
      <c r="J253" s="53" t="n">
        <f aca="false">(('Business Case'!D11*$C253*'Business Case'!D12*$B253)-'Business Case'!D11*$C253*'Business Case'!D13*$D253-'Business Case'!D14*$E253)-MAX(0,(('Business Case'!D11*$C253*'Business Case'!D12*$B253)-'Business Case'!D11*$C253*'Business Case'!D13*$D253-'Business Case'!D14*$E253))*'Business Case'!$B$7-'Business Case'!$B$8*(('Business Case'!D11*$C253*'Business Case'!D12*$B253)-('Business Case'!C11*$C253*'Business Case'!C12*$B253))-'Business Case'!D15*$F253</f>
        <v>215449261.937029</v>
      </c>
      <c r="K253" s="53" t="n">
        <f aca="false">(('Business Case'!E11*$C253*'Business Case'!E12*$B253)-'Business Case'!E11*$C253*'Business Case'!E13*$D253-'Business Case'!E14*$E253)-MAX(0,(('Business Case'!E11*$C253*'Business Case'!E12*$B253)-'Business Case'!E11*$C253*'Business Case'!E13*$D253-'Business Case'!E14*$E253))*'Business Case'!$B$7-'Business Case'!$B$8*(('Business Case'!E11*$C253*'Business Case'!E12*$B253)-('Business Case'!D11*$C253*'Business Case'!D12*$B253))-'Business Case'!E15*$F253</f>
        <v>537132579.378709</v>
      </c>
      <c r="L253" s="53" t="n">
        <f aca="false">(('Business Case'!F11*$C253*'Business Case'!F12*$B253)-'Business Case'!F11*$C253*'Business Case'!F13*$D253-'Business Case'!F14*$E253)-MAX(0,(('Business Case'!F11*$C253*'Business Case'!F12*$B253)-'Business Case'!F11*$C253*'Business Case'!F13*$D253-'Business Case'!F14*$E253))*'Business Case'!$B$7-'Business Case'!$B$8*(('Business Case'!F11*$C253*'Business Case'!F12*$B253)-('Business Case'!E11*$C253*'Business Case'!E12*$B253))-'Business Case'!F15*$F253</f>
        <v>660453493.246674</v>
      </c>
      <c r="M253" s="53" t="n">
        <f aca="false">(('Business Case'!G11*$C253*'Business Case'!G12*$B253)-'Business Case'!G11*$C253*'Business Case'!G13*$D253-'Business Case'!G14*$E253)-MAX(0,(('Business Case'!G11*$C253*'Business Case'!G12*$B253)-'Business Case'!G11*$C253*'Business Case'!G13*$D253-'Business Case'!G14*$E253))*'Business Case'!$B$7-'Business Case'!$B$8*(('Business Case'!G11*$C253*'Business Case'!G12*$B253)-('Business Case'!F11*$C253*'Business Case'!F12*$B253))-'Business Case'!G15*$F253+'Business Case'!$B$8*('Business Case'!G11*$C253*'Business Case'!G12*$B253)</f>
        <v>853454704.247459</v>
      </c>
      <c r="N253" s="53" t="n">
        <f aca="false">IF(COUNT('Business Case'!B11:G11)=0,"",H253+NPV(G253,I253:M253))</f>
        <v>-793663891.38173</v>
      </c>
      <c r="P253" s="54" t="n">
        <f aca="true">RAND()</f>
        <v>0.342747755284557</v>
      </c>
      <c r="Q253" s="54" t="n">
        <f aca="true">RAND()</f>
        <v>0.764835496103888</v>
      </c>
      <c r="R253" s="54" t="n">
        <f aca="true">RAND()</f>
        <v>0.981370322426192</v>
      </c>
      <c r="S253" s="54" t="n">
        <f aca="true">RAND()</f>
        <v>0.726069981892664</v>
      </c>
      <c r="T253" s="54" t="n">
        <f aca="true">RAND()</f>
        <v>0.927709964007424</v>
      </c>
      <c r="U253" s="54" t="n">
        <f aca="true">RAND()</f>
        <v>0.67011799469207</v>
      </c>
    </row>
    <row r="254" customFormat="false" ht="15" hidden="false" customHeight="false" outlineLevel="0" collapsed="false">
      <c r="A254" s="50" t="n">
        <v>174</v>
      </c>
      <c r="B254" s="51" t="n">
        <f aca="false">1+IF($G$6=$E$6,$F$6,IF(P254&lt;($F$6-$E$6)/($G$6-$E$6),$E$6+SQRT(P254*($G$6-$E$6)*($F$6-$E$6)),$G$6-SQRT((1-P254)*($G$6-$E$6)*($G$6-$F$6))))</f>
        <v>1.01878598619131</v>
      </c>
      <c r="C254" s="51" t="n">
        <f aca="false">1+IF($G$7=$E$7,$F$7,IF(Q254&lt;($F$7-$E$7)/($G$7-$E$7),$E$7+SQRT(Q254*($G$7-$E$7)*($F$7-$E$7)),$G$7-SQRT((1-Q254)*($G$7-$E$7)*($G$7-$F$7))))</f>
        <v>1.007356710363</v>
      </c>
      <c r="D254" s="51" t="n">
        <f aca="false">1+IF($G$8=$E$8,$F$8,IF(R254&lt;($F$8-$E$8)/($G$8-$E$8),$E$8+SQRT(R254*($G$8-$E$8)*($F$8-$E$8)),$G$8-SQRT((1-R254)*($G$8-$E$8)*($G$8-$F$8))))</f>
        <v>0.966252809722948</v>
      </c>
      <c r="E254" s="51" t="n">
        <f aca="false">1+IF($G$9=$E$9,$F$9,IF(S254&lt;($F$9-$E$9)/($G$9-$E$9),$E$9+SQRT(S254*($G$9-$E$9)*($F$9-$E$9)),$G$9-SQRT((1-S254)*($G$9-$E$9)*($G$9-$F$9))))</f>
        <v>0.991761707807895</v>
      </c>
      <c r="F254" s="51" t="n">
        <f aca="false">1+IF($G$10=$E$10,$F$10,IF(T254&lt;($F$10-$E$10)/($G$10-$E$10),$E$10+SQRT(T254*($G$10-$E$10)*($F$10-$E$10)),$G$10-SQRT((1-T254)*($G$10-$E$10)*($G$10-$F$10))))</f>
        <v>1.05528579465858</v>
      </c>
      <c r="G254" s="52" t="n">
        <f aca="false">IF($G$11=$E$11,$F$11,IF(U254&lt;($F$11-$E$11)/($G$11-$E$11),$E$11+SQRT(U254*($G$11-$E$11)*($F$11-$E$11)),$G$11-SQRT((1-U254)*($G$11-$E$11)*($G$11-$F$11))))</f>
        <v>0.0994139882639477</v>
      </c>
      <c r="H254" s="53" t="n">
        <f aca="false">(('Business Case'!B11*$C254*'Business Case'!B12*$B254)-'Business Case'!B11*$C254*'Business Case'!B13*$D254-'Business Case'!B14*$E254)-MAX(0,(('Business Case'!B11*$C254*'Business Case'!B12*$B254)-'Business Case'!B11*$C254*'Business Case'!B13*$D254-'Business Case'!B14*$E254))*'Business Case'!$B$7-'Business Case'!$B$8*('Business Case'!B11*$C254*'Business Case'!B12*$B254)-'Business Case'!B15*$F254</f>
        <v>-2110571589.31716</v>
      </c>
      <c r="I254" s="53" t="n">
        <f aca="false">(('Business Case'!C11*$C254*'Business Case'!C12*$B254)-'Business Case'!C11*$C254*'Business Case'!C13*$D254-'Business Case'!C14*$E254)-MAX(0,(('Business Case'!C11*$C254*'Business Case'!C12*$B254)-'Business Case'!C11*$C254*'Business Case'!C13*$D254-'Business Case'!C14*$E254))*'Business Case'!$B$7-'Business Case'!$B$8*(('Business Case'!C11*$C254*'Business Case'!C12*$B254)-('Business Case'!B11*$C254*'Business Case'!B12*$B254))-'Business Case'!C15*$F254</f>
        <v>42555360.8442094</v>
      </c>
      <c r="J254" s="53" t="n">
        <f aca="false">(('Business Case'!D11*$C254*'Business Case'!D12*$B254)-'Business Case'!D11*$C254*'Business Case'!D13*$D254-'Business Case'!D14*$E254)-MAX(0,(('Business Case'!D11*$C254*'Business Case'!D12*$B254)-'Business Case'!D11*$C254*'Business Case'!D13*$D254-'Business Case'!D14*$E254))*'Business Case'!$B$7-'Business Case'!$B$8*(('Business Case'!D11*$C254*'Business Case'!D12*$B254)-('Business Case'!C11*$C254*'Business Case'!C12*$B254))-'Business Case'!D15*$F254</f>
        <v>384870217.840529</v>
      </c>
      <c r="K254" s="53" t="n">
        <f aca="false">(('Business Case'!E11*$C254*'Business Case'!E12*$B254)-'Business Case'!E11*$C254*'Business Case'!E13*$D254-'Business Case'!E14*$E254)-MAX(0,(('Business Case'!E11*$C254*'Business Case'!E12*$B254)-'Business Case'!E11*$C254*'Business Case'!E13*$D254-'Business Case'!E14*$E254))*'Business Case'!$B$7-'Business Case'!$B$8*(('Business Case'!E11*$C254*'Business Case'!E12*$B254)-('Business Case'!D11*$C254*'Business Case'!D12*$B254))-'Business Case'!E15*$F254</f>
        <v>779949364.569778</v>
      </c>
      <c r="L254" s="53" t="n">
        <f aca="false">(('Business Case'!F11*$C254*'Business Case'!F12*$B254)-'Business Case'!F11*$C254*'Business Case'!F13*$D254-'Business Case'!F14*$E254)-MAX(0,(('Business Case'!F11*$C254*'Business Case'!F12*$B254)-'Business Case'!F11*$C254*'Business Case'!F13*$D254-'Business Case'!F14*$E254))*'Business Case'!$B$7-'Business Case'!$B$8*(('Business Case'!F11*$C254*'Business Case'!F12*$B254)-('Business Case'!E11*$C254*'Business Case'!E12*$B254))-'Business Case'!F15*$F254</f>
        <v>929522584.79253</v>
      </c>
      <c r="M254" s="53" t="n">
        <f aca="false">(('Business Case'!G11*$C254*'Business Case'!G12*$B254)-'Business Case'!G11*$C254*'Business Case'!G13*$D254-'Business Case'!G14*$E254)-MAX(0,(('Business Case'!G11*$C254*'Business Case'!G12*$B254)-'Business Case'!G11*$C254*'Business Case'!G13*$D254-'Business Case'!G14*$E254))*'Business Case'!$B$7-'Business Case'!$B$8*(('Business Case'!G11*$C254*'Business Case'!G12*$B254)-('Business Case'!F11*$C254*'Business Case'!F12*$B254))-'Business Case'!G15*$F254+'Business Case'!$B$8*('Business Case'!G11*$C254*'Business Case'!G12*$B254)</f>
        <v>1124598058.19108</v>
      </c>
      <c r="N254" s="53" t="n">
        <f aca="false">IF(COUNT('Business Case'!B11:G11)=0,"",H254+NPV(G254,I254:M254))</f>
        <v>169855526.392939</v>
      </c>
      <c r="P254" s="54" t="n">
        <f aca="true">RAND()</f>
        <v>0.906242837109303</v>
      </c>
      <c r="Q254" s="54" t="n">
        <f aca="true">RAND()</f>
        <v>0.612436036600677</v>
      </c>
      <c r="R254" s="54" t="n">
        <f aca="true">RAND()</f>
        <v>0.0406390498292859</v>
      </c>
      <c r="S254" s="54" t="n">
        <f aca="true">RAND()</f>
        <v>0.232538698537595</v>
      </c>
      <c r="T254" s="54" t="n">
        <f aca="true">RAND()</f>
        <v>0.581155975448033</v>
      </c>
      <c r="U254" s="54" t="n">
        <f aca="true">RAND()</f>
        <v>0.295410583445814</v>
      </c>
    </row>
    <row r="255" customFormat="false" ht="15" hidden="false" customHeight="false" outlineLevel="0" collapsed="false">
      <c r="A255" s="50" t="n">
        <v>175</v>
      </c>
      <c r="B255" s="51" t="n">
        <f aca="false">1+IF($G$6=$E$6,$F$6,IF(P255&lt;($F$6-$E$6)/($G$6-$E$6),$E$6+SQRT(P255*($G$6-$E$6)*($F$6-$E$6)),$G$6-SQRT((1-P255)*($G$6-$E$6)*($G$6-$F$6))))</f>
        <v>0.98513677059923</v>
      </c>
      <c r="C255" s="51" t="n">
        <f aca="false">1+IF($G$7=$E$7,$F$7,IF(Q255&lt;($F$7-$E$7)/($G$7-$E$7),$E$7+SQRT(Q255*($G$7-$E$7)*($F$7-$E$7)),$G$7-SQRT((1-Q255)*($G$7-$E$7)*($G$7-$F$7))))</f>
        <v>1.03090291290509</v>
      </c>
      <c r="D255" s="51" t="n">
        <f aca="false">1+IF($G$8=$E$8,$F$8,IF(R255&lt;($F$8-$E$8)/($G$8-$E$8),$E$8+SQRT(R255*($G$8-$E$8)*($F$8-$E$8)),$G$8-SQRT((1-R255)*($G$8-$E$8)*($G$8-$F$8))))</f>
        <v>0.995356359476192</v>
      </c>
      <c r="E255" s="51" t="n">
        <f aca="false">1+IF($G$9=$E$9,$F$9,IF(S255&lt;($F$9-$E$9)/($G$9-$E$9),$E$9+SQRT(S255*($G$9-$E$9)*($F$9-$E$9)),$G$9-SQRT((1-S255)*($G$9-$E$9)*($G$9-$F$9))))</f>
        <v>0.987695552082056</v>
      </c>
      <c r="F255" s="51" t="n">
        <f aca="false">1+IF($G$10=$E$10,$F$10,IF(T255&lt;($F$10-$E$10)/($G$10-$E$10),$E$10+SQRT(T255*($G$10-$E$10)*($F$10-$E$10)),$G$10-SQRT((1-T255)*($G$10-$E$10)*($G$10-$F$10))))</f>
        <v>1.04902016579959</v>
      </c>
      <c r="G255" s="52" t="n">
        <f aca="false">IF($G$11=$E$11,$F$11,IF(U255&lt;($F$11-$E$11)/($G$11-$E$11),$E$11+SQRT(U255*($G$11-$E$11)*($F$11-$E$11)),$G$11-SQRT((1-U255)*($G$11-$E$11)*($G$11-$F$11))))</f>
        <v>0.101276155665455</v>
      </c>
      <c r="H255" s="53" t="n">
        <f aca="false">(('Business Case'!B11*$C255*'Business Case'!B12*$B255)-'Business Case'!B11*$C255*'Business Case'!B13*$D255-'Business Case'!B14*$E255)-MAX(0,(('Business Case'!B11*$C255*'Business Case'!B12*$B255)-'Business Case'!B11*$C255*'Business Case'!B13*$D255-'Business Case'!B14*$E255))*'Business Case'!$B$7-'Business Case'!$B$8*('Business Case'!B11*$C255*'Business Case'!B12*$B255)-'Business Case'!B15*$F255</f>
        <v>-2098040331.59919</v>
      </c>
      <c r="I255" s="53" t="n">
        <f aca="false">(('Business Case'!C11*$C255*'Business Case'!C12*$B255)-'Business Case'!C11*$C255*'Business Case'!C13*$D255-'Business Case'!C14*$E255)-MAX(0,(('Business Case'!C11*$C255*'Business Case'!C12*$B255)-'Business Case'!C11*$C255*'Business Case'!C13*$D255-'Business Case'!C14*$E255))*'Business Case'!$B$7-'Business Case'!$B$8*(('Business Case'!C11*$C255*'Business Case'!C12*$B255)-('Business Case'!B11*$C255*'Business Case'!B12*$B255))-'Business Case'!C15*$F255</f>
        <v>8544246.43959865</v>
      </c>
      <c r="J255" s="53" t="n">
        <f aca="false">(('Business Case'!D11*$C255*'Business Case'!D12*$B255)-'Business Case'!D11*$C255*'Business Case'!D13*$D255-'Business Case'!D14*$E255)-MAX(0,(('Business Case'!D11*$C255*'Business Case'!D12*$B255)-'Business Case'!D11*$C255*'Business Case'!D13*$D255-'Business Case'!D14*$E255))*'Business Case'!$B$7-'Business Case'!$B$8*(('Business Case'!D11*$C255*'Business Case'!D12*$B255)-('Business Case'!C11*$C255*'Business Case'!C12*$B255))-'Business Case'!D15*$F255</f>
        <v>315088503.160472</v>
      </c>
      <c r="K255" s="53" t="n">
        <f aca="false">(('Business Case'!E11*$C255*'Business Case'!E12*$B255)-'Business Case'!E11*$C255*'Business Case'!E13*$D255-'Business Case'!E14*$E255)-MAX(0,(('Business Case'!E11*$C255*'Business Case'!E12*$B255)-'Business Case'!E11*$C255*'Business Case'!E13*$D255-'Business Case'!E14*$E255))*'Business Case'!$B$7-'Business Case'!$B$8*(('Business Case'!E11*$C255*'Business Case'!E12*$B255)-('Business Case'!D11*$C255*'Business Case'!D12*$B255))-'Business Case'!E15*$F255</f>
        <v>674083768.171324</v>
      </c>
      <c r="L255" s="53" t="n">
        <f aca="false">(('Business Case'!F11*$C255*'Business Case'!F12*$B255)-'Business Case'!F11*$C255*'Business Case'!F13*$D255-'Business Case'!F14*$E255)-MAX(0,(('Business Case'!F11*$C255*'Business Case'!F12*$B255)-'Business Case'!F11*$C255*'Business Case'!F13*$D255-'Business Case'!F14*$E255))*'Business Case'!$B$7-'Business Case'!$B$8*(('Business Case'!F11*$C255*'Business Case'!F12*$B255)-('Business Case'!E11*$C255*'Business Case'!E12*$B255))-'Business Case'!F15*$F255</f>
        <v>811363644.54178</v>
      </c>
      <c r="M255" s="53" t="n">
        <f aca="false">(('Business Case'!G11*$C255*'Business Case'!G12*$B255)-'Business Case'!G11*$C255*'Business Case'!G13*$D255-'Business Case'!G14*$E255)-MAX(0,(('Business Case'!G11*$C255*'Business Case'!G12*$B255)-'Business Case'!G11*$C255*'Business Case'!G13*$D255-'Business Case'!G14*$E255))*'Business Case'!$B$7-'Business Case'!$B$8*(('Business Case'!G11*$C255*'Business Case'!G12*$B255)-('Business Case'!F11*$C255*'Business Case'!F12*$B255))-'Business Case'!G15*$F255+'Business Case'!$B$8*('Business Case'!G11*$C255*'Business Case'!G12*$B255)</f>
        <v>1004405160.59102</v>
      </c>
      <c r="N255" s="53" t="n">
        <f aca="false">IF(COUNT('Business Case'!B11:G11)=0,"",H255+NPV(G255,I255:M255))</f>
        <v>-154131195.041906</v>
      </c>
      <c r="P255" s="54" t="n">
        <f aca="true">RAND()</f>
        <v>0.441958217093407</v>
      </c>
      <c r="Q255" s="54" t="n">
        <f aca="true">RAND()</f>
        <v>0.729826358962033</v>
      </c>
      <c r="R255" s="54" t="n">
        <f aca="true">RAND()</f>
        <v>0.316492206912854</v>
      </c>
      <c r="S255" s="54" t="n">
        <f aca="true">RAND()</f>
        <v>0.18946061956947</v>
      </c>
      <c r="T255" s="54" t="n">
        <f aca="true">RAND()</f>
        <v>0.544101793296357</v>
      </c>
      <c r="U255" s="54" t="n">
        <f aca="true">RAND()</f>
        <v>0.415696088892901</v>
      </c>
    </row>
    <row r="256" customFormat="false" ht="15" hidden="false" customHeight="false" outlineLevel="0" collapsed="false">
      <c r="A256" s="50" t="n">
        <v>176</v>
      </c>
      <c r="B256" s="51" t="n">
        <f aca="false">1+IF($G$6=$E$6,$F$6,IF(P256&lt;($F$6-$E$6)/($G$6-$E$6),$E$6+SQRT(P256*($G$6-$E$6)*($F$6-$E$6)),$G$6-SQRT((1-P256)*($G$6-$E$6)*($G$6-$F$6))))</f>
        <v>1.01620101015402</v>
      </c>
      <c r="C256" s="51" t="n">
        <f aca="false">1+IF($G$7=$E$7,$F$7,IF(Q256&lt;($F$7-$E$7)/($G$7-$E$7),$E$7+SQRT(Q256*($G$7-$E$7)*($F$7-$E$7)),$G$7-SQRT((1-Q256)*($G$7-$E$7)*($G$7-$F$7))))</f>
        <v>0.876203307060944</v>
      </c>
      <c r="D256" s="51" t="n">
        <f aca="false">1+IF($G$8=$E$8,$F$8,IF(R256&lt;($F$8-$E$8)/($G$8-$E$8),$E$8+SQRT(R256*($G$8-$E$8)*($F$8-$E$8)),$G$8-SQRT((1-R256)*($G$8-$E$8)*($G$8-$F$8))))</f>
        <v>0.991706461333824</v>
      </c>
      <c r="E256" s="51" t="n">
        <f aca="false">1+IF($G$9=$E$9,$F$9,IF(S256&lt;($F$9-$E$9)/($G$9-$E$9),$E$9+SQRT(S256*($G$9-$E$9)*($F$9-$E$9)),$G$9-SQRT((1-S256)*($G$9-$E$9)*($G$9-$F$9))))</f>
        <v>0.968544916320448</v>
      </c>
      <c r="F256" s="51" t="n">
        <f aca="false">1+IF($G$10=$E$10,$F$10,IF(T256&lt;($F$10-$E$10)/($G$10-$E$10),$E$10+SQRT(T256*($G$10-$E$10)*($F$10-$E$10)),$G$10-SQRT((1-T256)*($G$10-$E$10)*($G$10-$F$10))))</f>
        <v>1.14342944042736</v>
      </c>
      <c r="G256" s="52" t="n">
        <f aca="false">IF($G$11=$E$11,$F$11,IF(U256&lt;($F$11-$E$11)/($G$11-$E$11),$E$11+SQRT(U256*($G$11-$E$11)*($F$11-$E$11)),$G$11-SQRT((1-U256)*($G$11-$E$11)*($G$11-$F$11))))</f>
        <v>0.101973836942404</v>
      </c>
      <c r="H256" s="53" t="n">
        <f aca="false">(('Business Case'!B11*$C256*'Business Case'!B12*$B256)-'Business Case'!B11*$C256*'Business Case'!B13*$D256-'Business Case'!B14*$E256)-MAX(0,(('Business Case'!B11*$C256*'Business Case'!B12*$B256)-'Business Case'!B11*$C256*'Business Case'!B13*$D256-'Business Case'!B14*$E256))*'Business Case'!$B$7-'Business Case'!$B$8*('Business Case'!B11*$C256*'Business Case'!B12*$B256)-'Business Case'!B15*$F256</f>
        <v>-2286858880.85473</v>
      </c>
      <c r="I256" s="53" t="n">
        <f aca="false">(('Business Case'!C11*$C256*'Business Case'!C12*$B256)-'Business Case'!C11*$C256*'Business Case'!C13*$D256-'Business Case'!C14*$E256)-MAX(0,(('Business Case'!C11*$C256*'Business Case'!C12*$B256)-'Business Case'!C11*$C256*'Business Case'!C13*$D256-'Business Case'!C14*$E256))*'Business Case'!$B$7-'Business Case'!$B$8*(('Business Case'!C11*$C256*'Business Case'!C12*$B256)-('Business Case'!B11*$C256*'Business Case'!B12*$B256))-'Business Case'!C15*$F256</f>
        <v>-13753630.0705628</v>
      </c>
      <c r="J256" s="53" t="n">
        <f aca="false">(('Business Case'!D11*$C256*'Business Case'!D12*$B256)-'Business Case'!D11*$C256*'Business Case'!D13*$D256-'Business Case'!D14*$E256)-MAX(0,(('Business Case'!D11*$C256*'Business Case'!D12*$B256)-'Business Case'!D11*$C256*'Business Case'!D13*$D256-'Business Case'!D14*$E256))*'Business Case'!$B$7-'Business Case'!$B$8*(('Business Case'!D11*$C256*'Business Case'!D12*$B256)-('Business Case'!C11*$C256*'Business Case'!C12*$B256))-'Business Case'!D15*$F256</f>
        <v>270721038.870913</v>
      </c>
      <c r="K256" s="53" t="n">
        <f aca="false">(('Business Case'!E11*$C256*'Business Case'!E12*$B256)-'Business Case'!E11*$C256*'Business Case'!E13*$D256-'Business Case'!E14*$E256)-MAX(0,(('Business Case'!E11*$C256*'Business Case'!E12*$B256)-'Business Case'!E11*$C256*'Business Case'!E13*$D256-'Business Case'!E14*$E256))*'Business Case'!$B$7-'Business Case'!$B$8*(('Business Case'!E11*$C256*'Business Case'!E12*$B256)-('Business Case'!D11*$C256*'Business Case'!D12*$B256))-'Business Case'!E15*$F256</f>
        <v>612367179.833757</v>
      </c>
      <c r="L256" s="53" t="n">
        <f aca="false">(('Business Case'!F11*$C256*'Business Case'!F12*$B256)-'Business Case'!F11*$C256*'Business Case'!F13*$D256-'Business Case'!F14*$E256)-MAX(0,(('Business Case'!F11*$C256*'Business Case'!F12*$B256)-'Business Case'!F11*$C256*'Business Case'!F13*$D256-'Business Case'!F14*$E256))*'Business Case'!$B$7-'Business Case'!$B$8*(('Business Case'!F11*$C256*'Business Case'!F12*$B256)-('Business Case'!E11*$C256*'Business Case'!E12*$B256))-'Business Case'!F15*$F256</f>
        <v>737964248.059939</v>
      </c>
      <c r="M256" s="53" t="n">
        <f aca="false">(('Business Case'!G11*$C256*'Business Case'!G12*$B256)-'Business Case'!G11*$C256*'Business Case'!G13*$D256-'Business Case'!G14*$E256)-MAX(0,(('Business Case'!G11*$C256*'Business Case'!G12*$B256)-'Business Case'!G11*$C256*'Business Case'!G13*$D256-'Business Case'!G14*$E256))*'Business Case'!$B$7-'Business Case'!$B$8*(('Business Case'!G11*$C256*'Business Case'!G12*$B256)-('Business Case'!F11*$C256*'Business Case'!F12*$B256))-'Business Case'!G15*$F256+'Business Case'!$B$8*('Business Case'!G11*$C256*'Business Case'!G12*$B256)</f>
        <v>907211230.244566</v>
      </c>
      <c r="N256" s="53" t="n">
        <f aca="false">IF(COUNT('Business Case'!B11:G11)=0,"",H256+NPV(G256,I256:M256))</f>
        <v>-560073687.75314</v>
      </c>
      <c r="P256" s="54" t="n">
        <f aca="true">RAND()</f>
        <v>0.88200168381473</v>
      </c>
      <c r="Q256" s="54" t="n">
        <f aca="true">RAND()</f>
        <v>0.0829563429574925</v>
      </c>
      <c r="R256" s="54" t="n">
        <f aca="true">RAND()</f>
        <v>0.267604448767653</v>
      </c>
      <c r="S256" s="54" t="n">
        <f aca="true">RAND()</f>
        <v>0.0458551895109887</v>
      </c>
      <c r="T256" s="54" t="n">
        <f aca="true">RAND()</f>
        <v>0.935995435792775</v>
      </c>
      <c r="U256" s="54" t="n">
        <f aca="true">RAND()</f>
        <v>0.458429075701594</v>
      </c>
    </row>
    <row r="257" customFormat="false" ht="15" hidden="false" customHeight="false" outlineLevel="0" collapsed="false">
      <c r="A257" s="50" t="n">
        <v>177</v>
      </c>
      <c r="B257" s="51" t="n">
        <f aca="false">1+IF($G$6=$E$6,$F$6,IF(P257&lt;($F$6-$E$6)/($G$6-$E$6),$E$6+SQRT(P257*($G$6-$E$6)*($F$6-$E$6)),$G$6-SQRT((1-P257)*($G$6-$E$6)*($G$6-$F$6))))</f>
        <v>0.972161833963171</v>
      </c>
      <c r="C257" s="51" t="n">
        <f aca="false">1+IF($G$7=$E$7,$F$7,IF(Q257&lt;($F$7-$E$7)/($G$7-$E$7),$E$7+SQRT(Q257*($G$7-$E$7)*($F$7-$E$7)),$G$7-SQRT((1-Q257)*($G$7-$E$7)*($G$7-$F$7))))</f>
        <v>1.12399560335617</v>
      </c>
      <c r="D257" s="51" t="n">
        <f aca="false">1+IF($G$8=$E$8,$F$8,IF(R257&lt;($F$8-$E$8)/($G$8-$E$8),$E$8+SQRT(R257*($G$8-$E$8)*($F$8-$E$8)),$G$8-SQRT((1-R257)*($G$8-$E$8)*($G$8-$F$8))))</f>
        <v>1.06007290867612</v>
      </c>
      <c r="E257" s="51" t="n">
        <f aca="false">1+IF($G$9=$E$9,$F$9,IF(S257&lt;($F$9-$E$9)/($G$9-$E$9),$E$9+SQRT(S257*($G$9-$E$9)*($F$9-$E$9)),$G$9-SQRT((1-S257)*($G$9-$E$9)*($G$9-$F$9))))</f>
        <v>1.01059924258387</v>
      </c>
      <c r="F257" s="51" t="n">
        <f aca="false">1+IF($G$10=$E$10,$F$10,IF(T257&lt;($F$10-$E$10)/($G$10-$E$10),$E$10+SQRT(T257*($G$10-$E$10)*($F$10-$E$10)),$G$10-SQRT((1-T257)*($G$10-$E$10)*($G$10-$F$10))))</f>
        <v>1.0485130761108</v>
      </c>
      <c r="G257" s="52" t="n">
        <f aca="false">IF($G$11=$E$11,$F$11,IF(U257&lt;($F$11-$E$11)/($G$11-$E$11),$E$11+SQRT(U257*($G$11-$E$11)*($F$11-$E$11)),$G$11-SQRT((1-U257)*($G$11-$E$11)*($G$11-$F$11))))</f>
        <v>0.109618199256241</v>
      </c>
      <c r="H257" s="53" t="n">
        <f aca="false">(('Business Case'!B11*$C257*'Business Case'!B12*$B257)-'Business Case'!B11*$C257*'Business Case'!B13*$D257-'Business Case'!B14*$E257)-MAX(0,(('Business Case'!B11*$C257*'Business Case'!B12*$B257)-'Business Case'!B11*$C257*'Business Case'!B13*$D257-'Business Case'!B14*$E257))*'Business Case'!$B$7-'Business Case'!$B$8*('Business Case'!B11*$C257*'Business Case'!B12*$B257)-'Business Case'!B15*$F257</f>
        <v>-2097026152.2216</v>
      </c>
      <c r="I257" s="53" t="n">
        <f aca="false">(('Business Case'!C11*$C257*'Business Case'!C12*$B257)-'Business Case'!C11*$C257*'Business Case'!C13*$D257-'Business Case'!C14*$E257)-MAX(0,(('Business Case'!C11*$C257*'Business Case'!C12*$B257)-'Business Case'!C11*$C257*'Business Case'!C13*$D257-'Business Case'!C14*$E257))*'Business Case'!$B$7-'Business Case'!$B$8*(('Business Case'!C11*$C257*'Business Case'!C12*$B257)-('Business Case'!B11*$C257*'Business Case'!B12*$B257))-'Business Case'!C15*$F257</f>
        <v>-20161326.5703778</v>
      </c>
      <c r="J257" s="53" t="n">
        <f aca="false">(('Business Case'!D11*$C257*'Business Case'!D12*$B257)-'Business Case'!D11*$C257*'Business Case'!D13*$D257-'Business Case'!D14*$E257)-MAX(0,(('Business Case'!D11*$C257*'Business Case'!D12*$B257)-'Business Case'!D11*$C257*'Business Case'!D13*$D257-'Business Case'!D14*$E257))*'Business Case'!$B$7-'Business Case'!$B$8*(('Business Case'!D11*$C257*'Business Case'!D12*$B257)-('Business Case'!C11*$C257*'Business Case'!C12*$B257))-'Business Case'!D15*$F257</f>
        <v>264881726.475925</v>
      </c>
      <c r="K257" s="53" t="n">
        <f aca="false">(('Business Case'!E11*$C257*'Business Case'!E12*$B257)-'Business Case'!E11*$C257*'Business Case'!E13*$D257-'Business Case'!E14*$E257)-MAX(0,(('Business Case'!E11*$C257*'Business Case'!E12*$B257)-'Business Case'!E11*$C257*'Business Case'!E13*$D257-'Business Case'!E14*$E257))*'Business Case'!$B$7-'Business Case'!$B$8*(('Business Case'!E11*$C257*'Business Case'!E12*$B257)-('Business Case'!D11*$C257*'Business Case'!D12*$B257))-'Business Case'!E15*$F257</f>
        <v>602350433.327768</v>
      </c>
      <c r="L257" s="53" t="n">
        <f aca="false">(('Business Case'!F11*$C257*'Business Case'!F12*$B257)-'Business Case'!F11*$C257*'Business Case'!F13*$D257-'Business Case'!F14*$E257)-MAX(0,(('Business Case'!F11*$C257*'Business Case'!F12*$B257)-'Business Case'!F11*$C257*'Business Case'!F13*$D257-'Business Case'!F14*$E257))*'Business Case'!$B$7-'Business Case'!$B$8*(('Business Case'!F11*$C257*'Business Case'!F12*$B257)-('Business Case'!E11*$C257*'Business Case'!E12*$B257))-'Business Case'!F15*$F257</f>
        <v>735128690.816653</v>
      </c>
      <c r="M257" s="53" t="n">
        <f aca="false">(('Business Case'!G11*$C257*'Business Case'!G12*$B257)-'Business Case'!G11*$C257*'Business Case'!G13*$D257-'Business Case'!G14*$E257)-MAX(0,(('Business Case'!G11*$C257*'Business Case'!G12*$B257)-'Business Case'!G11*$C257*'Business Case'!G13*$D257-'Business Case'!G14*$E257))*'Business Case'!$B$7-'Business Case'!$B$8*(('Business Case'!G11*$C257*'Business Case'!G12*$B257)-('Business Case'!F11*$C257*'Business Case'!F12*$B257))-'Business Case'!G15*$F257+'Business Case'!$B$8*('Business Case'!G11*$C257*'Business Case'!G12*$B257)</f>
        <v>942830176.420625</v>
      </c>
      <c r="N257" s="53" t="n">
        <f aca="false">IF(COUNT('Business Case'!B11:G11)=0,"",H257+NPV(G257,I257:M257))</f>
        <v>-413769628.572031</v>
      </c>
      <c r="P257" s="54" t="n">
        <f aca="true">RAND()</f>
        <v>0.283422596083479</v>
      </c>
      <c r="Q257" s="54" t="n">
        <f aca="true">RAND()</f>
        <v>0.98711945438458</v>
      </c>
      <c r="R257" s="54" t="n">
        <f aca="true">RAND()</f>
        <v>0.96181836840092</v>
      </c>
      <c r="S257" s="54" t="n">
        <f aca="true">RAND()</f>
        <v>0.467166971561497</v>
      </c>
      <c r="T257" s="54" t="n">
        <f aca="true">RAND()</f>
        <v>0.541034237811767</v>
      </c>
      <c r="U257" s="54" t="n">
        <f aca="true">RAND()</f>
        <v>0.820363688861492</v>
      </c>
    </row>
    <row r="258" customFormat="false" ht="15" hidden="false" customHeight="false" outlineLevel="0" collapsed="false">
      <c r="A258" s="50" t="n">
        <v>178</v>
      </c>
      <c r="B258" s="51" t="n">
        <f aca="false">1+IF($G$6=$E$6,$F$6,IF(P258&lt;($F$6-$E$6)/($G$6-$E$6),$E$6+SQRT(P258*($G$6-$E$6)*($F$6-$E$6)),$G$6-SQRT((1-P258)*($G$6-$E$6)*($G$6-$F$6))))</f>
        <v>1.02530300409383</v>
      </c>
      <c r="C258" s="51" t="n">
        <f aca="false">1+IF($G$7=$E$7,$F$7,IF(Q258&lt;($F$7-$E$7)/($G$7-$E$7),$E$7+SQRT(Q258*($G$7-$E$7)*($F$7-$E$7)),$G$7-SQRT((1-Q258)*($G$7-$E$7)*($G$7-$F$7))))</f>
        <v>1.10459464828762</v>
      </c>
      <c r="D258" s="51" t="n">
        <f aca="false">1+IF($G$8=$E$8,$F$8,IF(R258&lt;($F$8-$E$8)/($G$8-$E$8),$E$8+SQRT(R258*($G$8-$E$8)*($F$8-$E$8)),$G$8-SQRT((1-R258)*($G$8-$E$8)*($G$8-$F$8))))</f>
        <v>1.02184466703518</v>
      </c>
      <c r="E258" s="51" t="n">
        <f aca="false">1+IF($G$9=$E$9,$F$9,IF(S258&lt;($F$9-$E$9)/($G$9-$E$9),$E$9+SQRT(S258*($G$9-$E$9)*($F$9-$E$9)),$G$9-SQRT((1-S258)*($G$9-$E$9)*($G$9-$F$9))))</f>
        <v>0.989705233359897</v>
      </c>
      <c r="F258" s="51" t="n">
        <f aca="false">1+IF($G$10=$E$10,$F$10,IF(T258&lt;($F$10-$E$10)/($G$10-$E$10),$E$10+SQRT(T258*($G$10-$E$10)*($F$10-$E$10)),$G$10-SQRT((1-T258)*($G$10-$E$10)*($G$10-$F$10))))</f>
        <v>1.10160174686236</v>
      </c>
      <c r="G258" s="52" t="n">
        <f aca="false">IF($G$11=$E$11,$F$11,IF(U258&lt;($F$11-$E$11)/($G$11-$E$11),$E$11+SQRT(U258*($G$11-$E$11)*($F$11-$E$11)),$G$11-SQRT((1-U258)*($G$11-$E$11)*($G$11-$F$11))))</f>
        <v>0.106059868225181</v>
      </c>
      <c r="H258" s="53" t="n">
        <f aca="false">(('Business Case'!B11*$C258*'Business Case'!B12*$B258)-'Business Case'!B11*$C258*'Business Case'!B13*$D258-'Business Case'!B14*$E258)-MAX(0,(('Business Case'!B11*$C258*'Business Case'!B12*$B258)-'Business Case'!B11*$C258*'Business Case'!B13*$D258-'Business Case'!B14*$E258))*'Business Case'!$B$7-'Business Case'!$B$8*('Business Case'!B11*$C258*'Business Case'!B12*$B258)-'Business Case'!B15*$F258</f>
        <v>-2203203493.72472</v>
      </c>
      <c r="I258" s="53" t="n">
        <f aca="false">(('Business Case'!C11*$C258*'Business Case'!C12*$B258)-'Business Case'!C11*$C258*'Business Case'!C13*$D258-'Business Case'!C14*$E258)-MAX(0,(('Business Case'!C11*$C258*'Business Case'!C12*$B258)-'Business Case'!C11*$C258*'Business Case'!C13*$D258-'Business Case'!C14*$E258))*'Business Case'!$B$7-'Business Case'!$B$8*(('Business Case'!C11*$C258*'Business Case'!C12*$B258)-('Business Case'!B11*$C258*'Business Case'!B12*$B258))-'Business Case'!C15*$F258</f>
        <v>40211434.2045885</v>
      </c>
      <c r="J258" s="53" t="n">
        <f aca="false">(('Business Case'!D11*$C258*'Business Case'!D12*$B258)-'Business Case'!D11*$C258*'Business Case'!D13*$D258-'Business Case'!D14*$E258)-MAX(0,(('Business Case'!D11*$C258*'Business Case'!D12*$B258)-'Business Case'!D11*$C258*'Business Case'!D13*$D258-'Business Case'!D14*$E258))*'Business Case'!$B$7-'Business Case'!$B$8*(('Business Case'!D11*$C258*'Business Case'!D12*$B258)-('Business Case'!C11*$C258*'Business Case'!C12*$B258))-'Business Case'!D15*$F258</f>
        <v>390030219.187553</v>
      </c>
      <c r="K258" s="53" t="n">
        <f aca="false">(('Business Case'!E11*$C258*'Business Case'!E12*$B258)-'Business Case'!E11*$C258*'Business Case'!E13*$D258-'Business Case'!E14*$E258)-MAX(0,(('Business Case'!E11*$C258*'Business Case'!E12*$B258)-'Business Case'!E11*$C258*'Business Case'!E13*$D258-'Business Case'!E14*$E258))*'Business Case'!$B$7-'Business Case'!$B$8*(('Business Case'!E11*$C258*'Business Case'!E12*$B258)-('Business Case'!D11*$C258*'Business Case'!D12*$B258))-'Business Case'!E15*$F258</f>
        <v>794929091.513635</v>
      </c>
      <c r="L258" s="53" t="n">
        <f aca="false">(('Business Case'!F11*$C258*'Business Case'!F12*$B258)-'Business Case'!F11*$C258*'Business Case'!F13*$D258-'Business Case'!F14*$E258)-MAX(0,(('Business Case'!F11*$C258*'Business Case'!F12*$B258)-'Business Case'!F11*$C258*'Business Case'!F13*$D258-'Business Case'!F14*$E258))*'Business Case'!$B$7-'Business Case'!$B$8*(('Business Case'!F11*$C258*'Business Case'!F12*$B258)-('Business Case'!E11*$C258*'Business Case'!E12*$B258))-'Business Case'!F15*$F258</f>
        <v>950676081.113532</v>
      </c>
      <c r="M258" s="53" t="n">
        <f aca="false">(('Business Case'!G11*$C258*'Business Case'!G12*$B258)-'Business Case'!G11*$C258*'Business Case'!G13*$D258-'Business Case'!G14*$E258)-MAX(0,(('Business Case'!G11*$C258*'Business Case'!G12*$B258)-'Business Case'!G11*$C258*'Business Case'!G13*$D258-'Business Case'!G14*$E258))*'Business Case'!$B$7-'Business Case'!$B$8*(('Business Case'!G11*$C258*'Business Case'!G12*$B258)-('Business Case'!F11*$C258*'Business Case'!F12*$B258))-'Business Case'!G15*$F258+'Business Case'!$B$8*('Business Case'!G11*$C258*'Business Case'!G12*$B258)</f>
        <v>1165950084.77753</v>
      </c>
      <c r="N258" s="53" t="n">
        <f aca="false">IF(COUNT('Business Case'!B11:G11)=0,"",H258+NPV(G258,I258:M258))</f>
        <v>79006119.2644091</v>
      </c>
      <c r="P258" s="54" t="n">
        <f aca="true">RAND()</f>
        <v>0.954999648194606</v>
      </c>
      <c r="Q258" s="54" t="n">
        <f aca="true">RAND()</f>
        <v>0.960730553064287</v>
      </c>
      <c r="R258" s="54" t="n">
        <f aca="true">RAND()</f>
        <v>0.674803581514523</v>
      </c>
      <c r="S258" s="54" t="n">
        <f aca="true">RAND()</f>
        <v>0.210200740821851</v>
      </c>
      <c r="T258" s="54" t="n">
        <f aca="true">RAND()</f>
        <v>0.806355675589224</v>
      </c>
      <c r="U258" s="54" t="n">
        <f aca="true">RAND()</f>
        <v>0.67612121016779</v>
      </c>
    </row>
    <row r="259" customFormat="false" ht="15" hidden="false" customHeight="false" outlineLevel="0" collapsed="false">
      <c r="A259" s="50" t="n">
        <v>179</v>
      </c>
      <c r="B259" s="51" t="n">
        <f aca="false">1+IF($G$6=$E$6,$F$6,IF(P259&lt;($F$6-$E$6)/($G$6-$E$6),$E$6+SQRT(P259*($G$6-$E$6)*($F$6-$E$6)),$G$6-SQRT((1-P259)*($G$6-$E$6)*($G$6-$F$6))))</f>
        <v>0.973622822673364</v>
      </c>
      <c r="C259" s="51" t="n">
        <f aca="false">1+IF($G$7=$E$7,$F$7,IF(Q259&lt;($F$7-$E$7)/($G$7-$E$7),$E$7+SQRT(Q259*($G$7-$E$7)*($F$7-$E$7)),$G$7-SQRT((1-Q259)*($G$7-$E$7)*($G$7-$F$7))))</f>
        <v>1.09123052218934</v>
      </c>
      <c r="D259" s="51" t="n">
        <f aca="false">1+IF($G$8=$E$8,$F$8,IF(R259&lt;($F$8-$E$8)/($G$8-$E$8),$E$8+SQRT(R259*($G$8-$E$8)*($F$8-$E$8)),$G$8-SQRT((1-R259)*($G$8-$E$8)*($G$8-$F$8))))</f>
        <v>0.99563572502928</v>
      </c>
      <c r="E259" s="51" t="n">
        <f aca="false">1+IF($G$9=$E$9,$F$9,IF(S259&lt;($F$9-$E$9)/($G$9-$E$9),$E$9+SQRT(S259*($G$9-$E$9)*($F$9-$E$9)),$G$9-SQRT((1-S259)*($G$9-$E$9)*($G$9-$F$9))))</f>
        <v>1.07350694610104</v>
      </c>
      <c r="F259" s="51" t="n">
        <f aca="false">1+IF($G$10=$E$10,$F$10,IF(T259&lt;($F$10-$E$10)/($G$10-$E$10),$E$10+SQRT(T259*($G$10-$E$10)*($F$10-$E$10)),$G$10-SQRT((1-T259)*($G$10-$E$10)*($G$10-$F$10))))</f>
        <v>1.01334940181041</v>
      </c>
      <c r="G259" s="52" t="n">
        <f aca="false">IF($G$11=$E$11,$F$11,IF(U259&lt;($F$11-$E$11)/($G$11-$E$11),$E$11+SQRT(U259*($G$11-$E$11)*($F$11-$E$11)),$G$11-SQRT((1-U259)*($G$11-$E$11)*($G$11-$F$11))))</f>
        <v>0.10068068210604</v>
      </c>
      <c r="H259" s="53" t="n">
        <f aca="false">(('Business Case'!B11*$C259*'Business Case'!B12*$B259)-'Business Case'!B11*$C259*'Business Case'!B13*$D259-'Business Case'!B14*$E259)-MAX(0,(('Business Case'!B11*$C259*'Business Case'!B12*$B259)-'Business Case'!B11*$C259*'Business Case'!B13*$D259-'Business Case'!B14*$E259))*'Business Case'!$B$7-'Business Case'!$B$8*('Business Case'!B11*$C259*'Business Case'!B12*$B259)-'Business Case'!B15*$F259</f>
        <v>-2026698803.62082</v>
      </c>
      <c r="I259" s="53" t="n">
        <f aca="false">(('Business Case'!C11*$C259*'Business Case'!C12*$B259)-'Business Case'!C11*$C259*'Business Case'!C13*$D259-'Business Case'!C14*$E259)-MAX(0,(('Business Case'!C11*$C259*'Business Case'!C12*$B259)-'Business Case'!C11*$C259*'Business Case'!C13*$D259-'Business Case'!C14*$E259))*'Business Case'!$B$7-'Business Case'!$B$8*(('Business Case'!C11*$C259*'Business Case'!C12*$B259)-('Business Case'!B11*$C259*'Business Case'!B12*$B259))-'Business Case'!C15*$F259</f>
        <v>4970917.94988872</v>
      </c>
      <c r="J259" s="53" t="n">
        <f aca="false">(('Business Case'!D11*$C259*'Business Case'!D12*$B259)-'Business Case'!D11*$C259*'Business Case'!D13*$D259-'Business Case'!D14*$E259)-MAX(0,(('Business Case'!D11*$C259*'Business Case'!D12*$B259)-'Business Case'!D11*$C259*'Business Case'!D13*$D259-'Business Case'!D14*$E259))*'Business Case'!$B$7-'Business Case'!$B$8*(('Business Case'!D11*$C259*'Business Case'!D12*$B259)-('Business Case'!C11*$C259*'Business Case'!C12*$B259))-'Business Case'!D15*$F259</f>
        <v>319006713.248262</v>
      </c>
      <c r="K259" s="53" t="n">
        <f aca="false">(('Business Case'!E11*$C259*'Business Case'!E12*$B259)-'Business Case'!E11*$C259*'Business Case'!E13*$D259-'Business Case'!E14*$E259)-MAX(0,(('Business Case'!E11*$C259*'Business Case'!E12*$B259)-'Business Case'!E11*$C259*'Business Case'!E13*$D259-'Business Case'!E14*$E259))*'Business Case'!$B$7-'Business Case'!$B$8*(('Business Case'!E11*$C259*'Business Case'!E12*$B259)-('Business Case'!D11*$C259*'Business Case'!D12*$B259))-'Business Case'!E15*$F259</f>
        <v>683709978.637155</v>
      </c>
      <c r="L259" s="53" t="n">
        <f aca="false">(('Business Case'!F11*$C259*'Business Case'!F12*$B259)-'Business Case'!F11*$C259*'Business Case'!F13*$D259-'Business Case'!F14*$E259)-MAX(0,(('Business Case'!F11*$C259*'Business Case'!F12*$B259)-'Business Case'!F11*$C259*'Business Case'!F13*$D259-'Business Case'!F14*$E259))*'Business Case'!$B$7-'Business Case'!$B$8*(('Business Case'!F11*$C259*'Business Case'!F12*$B259)-('Business Case'!E11*$C259*'Business Case'!E12*$B259))-'Business Case'!F15*$F259</f>
        <v>825106743.357863</v>
      </c>
      <c r="M259" s="53" t="n">
        <f aca="false">(('Business Case'!G11*$C259*'Business Case'!G12*$B259)-'Business Case'!G11*$C259*'Business Case'!G13*$D259-'Business Case'!G14*$E259)-MAX(0,(('Business Case'!G11*$C259*'Business Case'!G12*$B259)-'Business Case'!G11*$C259*'Business Case'!G13*$D259-'Business Case'!G14*$E259))*'Business Case'!$B$7-'Business Case'!$B$8*(('Business Case'!G11*$C259*'Business Case'!G12*$B259)-('Business Case'!F11*$C259*'Business Case'!F12*$B259))-'Business Case'!G15*$F259+'Business Case'!$B$8*('Business Case'!G11*$C259*'Business Case'!G12*$B259)</f>
        <v>1027056657.94141</v>
      </c>
      <c r="N259" s="53" t="n">
        <f aca="false">IF(COUNT('Business Case'!B11:G11)=0,"",H259+NPV(G259,I259:M259))</f>
        <v>-48219489.4983788</v>
      </c>
      <c r="P259" s="54" t="n">
        <f aca="true">RAND()</f>
        <v>0.299521574110318</v>
      </c>
      <c r="Q259" s="54" t="n">
        <f aca="true">RAND()</f>
        <v>0.934212351959282</v>
      </c>
      <c r="R259" s="54" t="n">
        <f aca="true">RAND()</f>
        <v>0.320402984453551</v>
      </c>
      <c r="S259" s="54" t="n">
        <f aca="true">RAND()</f>
        <v>0.953207873007106</v>
      </c>
      <c r="T259" s="54" t="n">
        <f aca="true">RAND()</f>
        <v>0.303231083909353</v>
      </c>
      <c r="U259" s="54" t="n">
        <f aca="true">RAND()</f>
        <v>0.377939926853514</v>
      </c>
    </row>
    <row r="260" customFormat="false" ht="15" hidden="false" customHeight="false" outlineLevel="0" collapsed="false">
      <c r="A260" s="50" t="n">
        <v>180</v>
      </c>
      <c r="B260" s="51" t="n">
        <f aca="false">1+IF($G$6=$E$6,$F$6,IF(P260&lt;($F$6-$E$6)/($G$6-$E$6),$E$6+SQRT(P260*($G$6-$E$6)*($F$6-$E$6)),$G$6-SQRT((1-P260)*($G$6-$E$6)*($G$6-$F$6))))</f>
        <v>0.998565920680859</v>
      </c>
      <c r="C260" s="51" t="n">
        <f aca="false">1+IF($G$7=$E$7,$F$7,IF(Q260&lt;($F$7-$E$7)/($G$7-$E$7),$E$7+SQRT(Q260*($G$7-$E$7)*($F$7-$E$7)),$G$7-SQRT((1-Q260)*($G$7-$E$7)*($G$7-$F$7))))</f>
        <v>1.09597852159876</v>
      </c>
      <c r="D260" s="51" t="n">
        <f aca="false">1+IF($G$8=$E$8,$F$8,IF(R260&lt;($F$8-$E$8)/($G$8-$E$8),$E$8+SQRT(R260*($G$8-$E$8)*($F$8-$E$8)),$G$8-SQRT((1-R260)*($G$8-$E$8)*($G$8-$F$8))))</f>
        <v>1.03002357425904</v>
      </c>
      <c r="E260" s="51" t="n">
        <f aca="false">1+IF($G$9=$E$9,$F$9,IF(S260&lt;($F$9-$E$9)/($G$9-$E$9),$E$9+SQRT(S260*($G$9-$E$9)*($F$9-$E$9)),$G$9-SQRT((1-S260)*($G$9-$E$9)*($G$9-$F$9))))</f>
        <v>0.988378226280208</v>
      </c>
      <c r="F260" s="51" t="n">
        <f aca="false">1+IF($G$10=$E$10,$F$10,IF(T260&lt;($F$10-$E$10)/($G$10-$E$10),$E$10+SQRT(T260*($G$10-$E$10)*($F$10-$E$10)),$G$10-SQRT((1-T260)*($G$10-$E$10)*($G$10-$F$10))))</f>
        <v>0.967925053147407</v>
      </c>
      <c r="G260" s="52" t="n">
        <f aca="false">IF($G$11=$E$11,$F$11,IF(U260&lt;($F$11-$E$11)/($G$11-$E$11),$E$11+SQRT(U260*($G$11-$E$11)*($F$11-$E$11)),$G$11-SQRT((1-U260)*($G$11-$E$11)*($G$11-$F$11))))</f>
        <v>0.0997395744979154</v>
      </c>
      <c r="H260" s="53" t="n">
        <f aca="false">(('Business Case'!B11*$C260*'Business Case'!B12*$B260)-'Business Case'!B11*$C260*'Business Case'!B13*$D260-'Business Case'!B14*$E260)-MAX(0,(('Business Case'!B11*$C260*'Business Case'!B12*$B260)-'Business Case'!B11*$C260*'Business Case'!B13*$D260-'Business Case'!B14*$E260))*'Business Case'!$B$7-'Business Case'!$B$8*('Business Case'!B11*$C260*'Business Case'!B12*$B260)-'Business Case'!B15*$F260</f>
        <v>-1935850106.29481</v>
      </c>
      <c r="I260" s="53" t="n">
        <f aca="false">(('Business Case'!C11*$C260*'Business Case'!C12*$B260)-'Business Case'!C11*$C260*'Business Case'!C13*$D260-'Business Case'!C14*$E260)-MAX(0,(('Business Case'!C11*$C260*'Business Case'!C12*$B260)-'Business Case'!C11*$C260*'Business Case'!C13*$D260-'Business Case'!C14*$E260))*'Business Case'!$B$7-'Business Case'!$B$8*(('Business Case'!C11*$C260*'Business Case'!C12*$B260)-('Business Case'!B11*$C260*'Business Case'!B12*$B260))-'Business Case'!C15*$F260</f>
        <v>24425879.0745671</v>
      </c>
      <c r="J260" s="53" t="n">
        <f aca="false">(('Business Case'!D11*$C260*'Business Case'!D12*$B260)-'Business Case'!D11*$C260*'Business Case'!D13*$D260-'Business Case'!D14*$E260)-MAX(0,(('Business Case'!D11*$C260*'Business Case'!D12*$B260)-'Business Case'!D11*$C260*'Business Case'!D13*$D260-'Business Case'!D14*$E260))*'Business Case'!$B$7-'Business Case'!$B$8*(('Business Case'!D11*$C260*'Business Case'!D12*$B260)-('Business Case'!C11*$C260*'Business Case'!C12*$B260))-'Business Case'!D15*$F260</f>
        <v>342925695.828955</v>
      </c>
      <c r="K260" s="53" t="n">
        <f aca="false">(('Business Case'!E11*$C260*'Business Case'!E12*$B260)-'Business Case'!E11*$C260*'Business Case'!E13*$D260-'Business Case'!E14*$E260)-MAX(0,(('Business Case'!E11*$C260*'Business Case'!E12*$B260)-'Business Case'!E11*$C260*'Business Case'!E13*$D260-'Business Case'!E14*$E260))*'Business Case'!$B$7-'Business Case'!$B$8*(('Business Case'!E11*$C260*'Business Case'!E12*$B260)-('Business Case'!D11*$C260*'Business Case'!D12*$B260))-'Business Case'!E15*$F260</f>
        <v>709821765.240713</v>
      </c>
      <c r="L260" s="53" t="n">
        <f aca="false">(('Business Case'!F11*$C260*'Business Case'!F12*$B260)-'Business Case'!F11*$C260*'Business Case'!F13*$D260-'Business Case'!F14*$E260)-MAX(0,(('Business Case'!F11*$C260*'Business Case'!F12*$B260)-'Business Case'!F11*$C260*'Business Case'!F13*$D260-'Business Case'!F14*$E260))*'Business Case'!$B$7-'Business Case'!$B$8*(('Business Case'!F11*$C260*'Business Case'!F12*$B260)-('Business Case'!E11*$C260*'Business Case'!E12*$B260))-'Business Case'!F15*$F260</f>
        <v>853811069.884199</v>
      </c>
      <c r="M260" s="53" t="n">
        <f aca="false">(('Business Case'!G11*$C260*'Business Case'!G12*$B260)-'Business Case'!G11*$C260*'Business Case'!G13*$D260-'Business Case'!G14*$E260)-MAX(0,(('Business Case'!G11*$C260*'Business Case'!G12*$B260)-'Business Case'!G11*$C260*'Business Case'!G13*$D260-'Business Case'!G14*$E260))*'Business Case'!$B$7-'Business Case'!$B$8*(('Business Case'!G11*$C260*'Business Case'!G12*$B260)-('Business Case'!F11*$C260*'Business Case'!F12*$B260))-'Business Case'!G15*$F260+'Business Case'!$B$8*('Business Case'!G11*$C260*'Business Case'!G12*$B260)</f>
        <v>1061835914.70699</v>
      </c>
      <c r="N260" s="53" t="n">
        <f aca="false">IF(COUNT('Business Case'!B11:G11)=0,"",H260+NPV(G260,I260:M260))</f>
        <v>147397576.530511</v>
      </c>
      <c r="P260" s="54" t="n">
        <f aca="true">RAND()</f>
        <v>0.642979572128233</v>
      </c>
      <c r="Q260" s="54" t="n">
        <f aca="true">RAND()</f>
        <v>0.944412949930364</v>
      </c>
      <c r="R260" s="54" t="n">
        <f aca="true">RAND()</f>
        <v>0.759842006745971</v>
      </c>
      <c r="S260" s="54" t="n">
        <f aca="true">RAND()</f>
        <v>0.196385100321984</v>
      </c>
      <c r="T260" s="54" t="n">
        <f aca="true">RAND()</f>
        <v>0.0257046024269889</v>
      </c>
      <c r="U260" s="54" t="n">
        <f aca="true">RAND()</f>
        <v>0.316197704668144</v>
      </c>
    </row>
    <row r="261" customFormat="false" ht="15" hidden="false" customHeight="false" outlineLevel="0" collapsed="false">
      <c r="A261" s="50" t="n">
        <v>181</v>
      </c>
      <c r="B261" s="51" t="n">
        <f aca="false">1+IF($G$6=$E$6,$F$6,IF(P261&lt;($F$6-$E$6)/($G$6-$E$6),$E$6+SQRT(P261*($G$6-$E$6)*($F$6-$E$6)),$G$6-SQRT((1-P261)*($G$6-$E$6)*($G$6-$F$6))))</f>
        <v>0.943066803705762</v>
      </c>
      <c r="C261" s="51" t="n">
        <f aca="false">1+IF($G$7=$E$7,$F$7,IF(Q261&lt;($F$7-$E$7)/($G$7-$E$7),$E$7+SQRT(Q261*($G$7-$E$7)*($F$7-$E$7)),$G$7-SQRT((1-Q261)*($G$7-$E$7)*($G$7-$F$7))))</f>
        <v>1.00212126015201</v>
      </c>
      <c r="D261" s="51" t="n">
        <f aca="false">1+IF($G$8=$E$8,$F$8,IF(R261&lt;($F$8-$E$8)/($G$8-$E$8),$E$8+SQRT(R261*($G$8-$E$8)*($F$8-$E$8)),$G$8-SQRT((1-R261)*($G$8-$E$8)*($G$8-$F$8))))</f>
        <v>0.997046068256771</v>
      </c>
      <c r="E261" s="51" t="n">
        <f aca="false">1+IF($G$9=$E$9,$F$9,IF(S261&lt;($F$9-$E$9)/($G$9-$E$9),$E$9+SQRT(S261*($G$9-$E$9)*($F$9-$E$9)),$G$9-SQRT((1-S261)*($G$9-$E$9)*($G$9-$F$9))))</f>
        <v>1.06235251992704</v>
      </c>
      <c r="F261" s="51" t="n">
        <f aca="false">1+IF($G$10=$E$10,$F$10,IF(T261&lt;($F$10-$E$10)/($G$10-$E$10),$E$10+SQRT(T261*($G$10-$E$10)*($F$10-$E$10)),$G$10-SQRT((1-T261)*($G$10-$E$10)*($G$10-$F$10))))</f>
        <v>1.16634439174412</v>
      </c>
      <c r="G261" s="52" t="n">
        <f aca="false">IF($G$11=$E$11,$F$11,IF(U261&lt;($F$11-$E$11)/($G$11-$E$11),$E$11+SQRT(U261*($G$11-$E$11)*($F$11-$E$11)),$G$11-SQRT((1-U261)*($G$11-$E$11)*($G$11-$F$11))))</f>
        <v>0.0942194120816688</v>
      </c>
      <c r="H261" s="53" t="n">
        <f aca="false">(('Business Case'!B11*$C261*'Business Case'!B12*$B261)-'Business Case'!B11*$C261*'Business Case'!B13*$D261-'Business Case'!B14*$E261)-MAX(0,(('Business Case'!B11*$C261*'Business Case'!B12*$B261)-'Business Case'!B11*$C261*'Business Case'!B13*$D261-'Business Case'!B14*$E261))*'Business Case'!$B$7-'Business Case'!$B$8*('Business Case'!B11*$C261*'Business Case'!B12*$B261)-'Business Case'!B15*$F261</f>
        <v>-2332688783.48824</v>
      </c>
      <c r="I261" s="53" t="n">
        <f aca="false">(('Business Case'!C11*$C261*'Business Case'!C12*$B261)-'Business Case'!C11*$C261*'Business Case'!C13*$D261-'Business Case'!C14*$E261)-MAX(0,(('Business Case'!C11*$C261*'Business Case'!C12*$B261)-'Business Case'!C11*$C261*'Business Case'!C13*$D261-'Business Case'!C14*$E261))*'Business Case'!$B$7-'Business Case'!$B$8*(('Business Case'!C11*$C261*'Business Case'!C12*$B261)-('Business Case'!B11*$C261*'Business Case'!B12*$B261))-'Business Case'!C15*$F261</f>
        <v>-54105628.6382645</v>
      </c>
      <c r="J261" s="53" t="n">
        <f aca="false">(('Business Case'!D11*$C261*'Business Case'!D12*$B261)-'Business Case'!D11*$C261*'Business Case'!D13*$D261-'Business Case'!D14*$E261)-MAX(0,(('Business Case'!D11*$C261*'Business Case'!D12*$B261)-'Business Case'!D11*$C261*'Business Case'!D13*$D261-'Business Case'!D14*$E261))*'Business Case'!$B$7-'Business Case'!$B$8*(('Business Case'!D11*$C261*'Business Case'!D12*$B261)-('Business Case'!C11*$C261*'Business Case'!C12*$B261))-'Business Case'!D15*$F261</f>
        <v>208481998.738842</v>
      </c>
      <c r="K261" s="53" t="n">
        <f aca="false">(('Business Case'!E11*$C261*'Business Case'!E12*$B261)-'Business Case'!E11*$C261*'Business Case'!E13*$D261-'Business Case'!E14*$E261)-MAX(0,(('Business Case'!E11*$C261*'Business Case'!E12*$B261)-'Business Case'!E11*$C261*'Business Case'!E13*$D261-'Business Case'!E14*$E261))*'Business Case'!$B$7-'Business Case'!$B$8*(('Business Case'!E11*$C261*'Business Case'!E12*$B261)-('Business Case'!D11*$C261*'Business Case'!D12*$B261))-'Business Case'!E15*$F261</f>
        <v>529386845.703155</v>
      </c>
      <c r="L261" s="53" t="n">
        <f aca="false">(('Business Case'!F11*$C261*'Business Case'!F12*$B261)-'Business Case'!F11*$C261*'Business Case'!F13*$D261-'Business Case'!F14*$E261)-MAX(0,(('Business Case'!F11*$C261*'Business Case'!F12*$B261)-'Business Case'!F11*$C261*'Business Case'!F13*$D261-'Business Case'!F14*$E261))*'Business Case'!$B$7-'Business Case'!$B$8*(('Business Case'!F11*$C261*'Business Case'!F12*$B261)-('Business Case'!E11*$C261*'Business Case'!E12*$B261))-'Business Case'!F15*$F261</f>
        <v>649577580.500413</v>
      </c>
      <c r="M261" s="53" t="n">
        <f aca="false">(('Business Case'!G11*$C261*'Business Case'!G12*$B261)-'Business Case'!G11*$C261*'Business Case'!G13*$D261-'Business Case'!G14*$E261)-MAX(0,(('Business Case'!G11*$C261*'Business Case'!G12*$B261)-'Business Case'!G11*$C261*'Business Case'!G13*$D261-'Business Case'!G14*$E261))*'Business Case'!$B$7-'Business Case'!$B$8*(('Business Case'!G11*$C261*'Business Case'!G12*$B261)-('Business Case'!F11*$C261*'Business Case'!F12*$B261))-'Business Case'!G15*$F261+'Business Case'!$B$8*('Business Case'!G11*$C261*'Business Case'!G12*$B261)</f>
        <v>829215971.69397</v>
      </c>
      <c r="N261" s="53" t="n">
        <f aca="false">IF(COUNT('Business Case'!B11:G11)=0,"",H261+NPV(G261,I261:M261))</f>
        <v>-822195496.246463</v>
      </c>
      <c r="P261" s="54" t="n">
        <f aca="true">RAND()</f>
        <v>0.0554247326250161</v>
      </c>
      <c r="Q261" s="54" t="n">
        <f aca="true">RAND()</f>
        <v>0.583464348589936</v>
      </c>
      <c r="R261" s="54" t="n">
        <f aca="true">RAND()</f>
        <v>0.340512698218584</v>
      </c>
      <c r="S261" s="54" t="n">
        <f aca="true">RAND()</f>
        <v>0.905511149610414</v>
      </c>
      <c r="T261" s="54" t="n">
        <f aca="true">RAND()</f>
        <v>0.977346000658536</v>
      </c>
      <c r="U261" s="54" t="n">
        <f aca="true">RAND()</f>
        <v>0.0593447943831083</v>
      </c>
    </row>
    <row r="262" customFormat="false" ht="15" hidden="false" customHeight="false" outlineLevel="0" collapsed="false">
      <c r="A262" s="50" t="n">
        <v>182</v>
      </c>
      <c r="B262" s="51" t="n">
        <f aca="false">1+IF($G$6=$E$6,$F$6,IF(P262&lt;($F$6-$E$6)/($G$6-$E$6),$E$6+SQRT(P262*($G$6-$E$6)*($F$6-$E$6)),$G$6-SQRT((1-P262)*($G$6-$E$6)*($G$6-$F$6))))</f>
        <v>0.989551759752372</v>
      </c>
      <c r="C262" s="51" t="n">
        <f aca="false">1+IF($G$7=$E$7,$F$7,IF(Q262&lt;($F$7-$E$7)/($G$7-$E$7),$E$7+SQRT(Q262*($G$7-$E$7)*($F$7-$E$7)),$G$7-SQRT((1-Q262)*($G$7-$E$7)*($G$7-$F$7))))</f>
        <v>0.973438576785906</v>
      </c>
      <c r="D262" s="51" t="n">
        <f aca="false">1+IF($G$8=$E$8,$F$8,IF(R262&lt;($F$8-$E$8)/($G$8-$E$8),$E$8+SQRT(R262*($G$8-$E$8)*($F$8-$E$8)),$G$8-SQRT((1-R262)*($G$8-$E$8)*($G$8-$F$8))))</f>
        <v>1.03400846981832</v>
      </c>
      <c r="E262" s="51" t="n">
        <f aca="false">1+IF($G$9=$E$9,$F$9,IF(S262&lt;($F$9-$E$9)/($G$9-$E$9),$E$9+SQRT(S262*($G$9-$E$9)*($F$9-$E$9)),$G$9-SQRT((1-S262)*($G$9-$E$9)*($G$9-$F$9))))</f>
        <v>1.08486137491865</v>
      </c>
      <c r="F262" s="51" t="n">
        <f aca="false">1+IF($G$10=$E$10,$F$10,IF(T262&lt;($F$10-$E$10)/($G$10-$E$10),$E$10+SQRT(T262*($G$10-$E$10)*($F$10-$E$10)),$G$10-SQRT((1-T262)*($G$10-$E$10)*($G$10-$F$10))))</f>
        <v>0.956616815751245</v>
      </c>
      <c r="G262" s="52" t="n">
        <f aca="false">IF($G$11=$E$11,$F$11,IF(U262&lt;($F$11-$E$11)/($G$11-$E$11),$E$11+SQRT(U262*($G$11-$E$11)*($F$11-$E$11)),$G$11-SQRT((1-U262)*($G$11-$E$11)*($G$11-$F$11))))</f>
        <v>0.101776489815179</v>
      </c>
      <c r="H262" s="53" t="n">
        <f aca="false">(('Business Case'!B11*$C262*'Business Case'!B12*$B262)-'Business Case'!B11*$C262*'Business Case'!B13*$D262-'Business Case'!B14*$E262)-MAX(0,(('Business Case'!B11*$C262*'Business Case'!B12*$B262)-'Business Case'!B11*$C262*'Business Case'!B13*$D262-'Business Case'!B14*$E262))*'Business Case'!$B$7-'Business Case'!$B$8*('Business Case'!B11*$C262*'Business Case'!B12*$B262)-'Business Case'!B15*$F262</f>
        <v>-1913233631.50249</v>
      </c>
      <c r="I262" s="53" t="n">
        <f aca="false">(('Business Case'!C11*$C262*'Business Case'!C12*$B262)-'Business Case'!C11*$C262*'Business Case'!C13*$D262-'Business Case'!C14*$E262)-MAX(0,(('Business Case'!C11*$C262*'Business Case'!C12*$B262)-'Business Case'!C11*$C262*'Business Case'!C13*$D262-'Business Case'!C14*$E262))*'Business Case'!$B$7-'Business Case'!$B$8*(('Business Case'!C11*$C262*'Business Case'!C12*$B262)-('Business Case'!B11*$C262*'Business Case'!B12*$B262))-'Business Case'!C15*$F262</f>
        <v>-26148912.8029598</v>
      </c>
      <c r="J262" s="53" t="n">
        <f aca="false">(('Business Case'!D11*$C262*'Business Case'!D12*$B262)-'Business Case'!D11*$C262*'Business Case'!D13*$D262-'Business Case'!D14*$E262)-MAX(0,(('Business Case'!D11*$C262*'Business Case'!D12*$B262)-'Business Case'!D11*$C262*'Business Case'!D13*$D262-'Business Case'!D14*$E262))*'Business Case'!$B$7-'Business Case'!$B$8*(('Business Case'!D11*$C262*'Business Case'!D12*$B262)-('Business Case'!C11*$C262*'Business Case'!C12*$B262))-'Business Case'!D15*$F262</f>
        <v>247566949.172375</v>
      </c>
      <c r="K262" s="53" t="n">
        <f aca="false">(('Business Case'!E11*$C262*'Business Case'!E12*$B262)-'Business Case'!E11*$C262*'Business Case'!E13*$D262-'Business Case'!E14*$E262)-MAX(0,(('Business Case'!E11*$C262*'Business Case'!E12*$B262)-'Business Case'!E11*$C262*'Business Case'!E13*$D262-'Business Case'!E14*$E262))*'Business Case'!$B$7-'Business Case'!$B$8*(('Business Case'!E11*$C262*'Business Case'!E12*$B262)-('Business Case'!D11*$C262*'Business Case'!D12*$B262))-'Business Case'!E15*$F262</f>
        <v>569113651.935272</v>
      </c>
      <c r="L262" s="53" t="n">
        <f aca="false">(('Business Case'!F11*$C262*'Business Case'!F12*$B262)-'Business Case'!F11*$C262*'Business Case'!F13*$D262-'Business Case'!F14*$E262)-MAX(0,(('Business Case'!F11*$C262*'Business Case'!F12*$B262)-'Business Case'!F11*$C262*'Business Case'!F13*$D262-'Business Case'!F14*$E262))*'Business Case'!$B$7-'Business Case'!$B$8*(('Business Case'!F11*$C262*'Business Case'!F12*$B262)-('Business Case'!E11*$C262*'Business Case'!E12*$B262))-'Business Case'!F15*$F262</f>
        <v>693642809.720209</v>
      </c>
      <c r="M262" s="53" t="n">
        <f aca="false">(('Business Case'!G11*$C262*'Business Case'!G12*$B262)-'Business Case'!G11*$C262*'Business Case'!G13*$D262-'Business Case'!G14*$E262)-MAX(0,(('Business Case'!G11*$C262*'Business Case'!G12*$B262)-'Business Case'!G11*$C262*'Business Case'!G13*$D262-'Business Case'!G14*$E262))*'Business Case'!$B$7-'Business Case'!$B$8*(('Business Case'!G11*$C262*'Business Case'!G12*$B262)-('Business Case'!F11*$C262*'Business Case'!F12*$B262))-'Business Case'!G15*$F262+'Business Case'!$B$8*('Business Case'!G11*$C262*'Business Case'!G12*$B262)</f>
        <v>876740763.915917</v>
      </c>
      <c r="N262" s="53" t="n">
        <f aca="false">IF(COUNT('Business Case'!B11:G11)=0,"",H262+NPV(G262,I262:M262))</f>
        <v>-296775440.207276</v>
      </c>
      <c r="P262" s="54" t="n">
        <f aca="true">RAND()</f>
        <v>0.503900758817888</v>
      </c>
      <c r="Q262" s="54" t="n">
        <f aca="true">RAND()</f>
        <v>0.429727713107437</v>
      </c>
      <c r="R262" s="54" t="n">
        <f aca="true">RAND()</f>
        <v>0.796613379956501</v>
      </c>
      <c r="S262" s="54" t="n">
        <f aca="true">RAND()</f>
        <v>0.984721468709748</v>
      </c>
      <c r="T262" s="54" t="n">
        <f aca="true">RAND()</f>
        <v>0.00350258005487376</v>
      </c>
      <c r="U262" s="54" t="n">
        <f aca="true">RAND()</f>
        <v>0.446506127572876</v>
      </c>
    </row>
    <row r="263" customFormat="false" ht="15" hidden="false" customHeight="false" outlineLevel="0" collapsed="false">
      <c r="A263" s="50" t="n">
        <v>183</v>
      </c>
      <c r="B263" s="51" t="n">
        <f aca="false">1+IF($G$6=$E$6,$F$6,IF(P263&lt;($F$6-$E$6)/($G$6-$E$6),$E$6+SQRT(P263*($G$6-$E$6)*($F$6-$E$6)),$G$6-SQRT((1-P263)*($G$6-$E$6)*($G$6-$F$6))))</f>
        <v>0.966975751463611</v>
      </c>
      <c r="C263" s="51" t="n">
        <f aca="false">1+IF($G$7=$E$7,$F$7,IF(Q263&lt;($F$7-$E$7)/($G$7-$E$7),$E$7+SQRT(Q263*($G$7-$E$7)*($F$7-$E$7)),$G$7-SQRT((1-Q263)*($G$7-$E$7)*($G$7-$F$7))))</f>
        <v>1.05454404673914</v>
      </c>
      <c r="D263" s="51" t="n">
        <f aca="false">1+IF($G$8=$E$8,$F$8,IF(R263&lt;($F$8-$E$8)/($G$8-$E$8),$E$8+SQRT(R263*($G$8-$E$8)*($F$8-$E$8)),$G$8-SQRT((1-R263)*($G$8-$E$8)*($G$8-$F$8))))</f>
        <v>0.99967746345777</v>
      </c>
      <c r="E263" s="51" t="n">
        <f aca="false">1+IF($G$9=$E$9,$F$9,IF(S263&lt;($F$9-$E$9)/($G$9-$E$9),$E$9+SQRT(S263*($G$9-$E$9)*($F$9-$E$9)),$G$9-SQRT((1-S263)*($G$9-$E$9)*($G$9-$F$9))))</f>
        <v>0.990478133415173</v>
      </c>
      <c r="F263" s="51" t="n">
        <f aca="false">1+IF($G$10=$E$10,$F$10,IF(T263&lt;($F$10-$E$10)/($G$10-$E$10),$E$10+SQRT(T263*($G$10-$E$10)*($F$10-$E$10)),$G$10-SQRT((1-T263)*($G$10-$E$10)*($G$10-$F$10))))</f>
        <v>1.10663113829043</v>
      </c>
      <c r="G263" s="52" t="n">
        <f aca="false">IF($G$11=$E$11,$F$11,IF(U263&lt;($F$11-$E$11)/($G$11-$E$11),$E$11+SQRT(U263*($G$11-$E$11)*($F$11-$E$11)),$G$11-SQRT((1-U263)*($G$11-$E$11)*($G$11-$F$11))))</f>
        <v>0.100529030560341</v>
      </c>
      <c r="H263" s="53" t="n">
        <f aca="false">(('Business Case'!B11*$C263*'Business Case'!B12*$B263)-'Business Case'!B11*$C263*'Business Case'!B13*$D263-'Business Case'!B14*$E263)-MAX(0,(('Business Case'!B11*$C263*'Business Case'!B12*$B263)-'Business Case'!B11*$C263*'Business Case'!B13*$D263-'Business Case'!B14*$E263))*'Business Case'!$B$7-'Business Case'!$B$8*('Business Case'!B11*$C263*'Business Case'!B12*$B263)-'Business Case'!B15*$F263</f>
        <v>-2213262276.58085</v>
      </c>
      <c r="I263" s="53" t="n">
        <f aca="false">(('Business Case'!C11*$C263*'Business Case'!C12*$B263)-'Business Case'!C11*$C263*'Business Case'!C13*$D263-'Business Case'!C14*$E263)-MAX(0,(('Business Case'!C11*$C263*'Business Case'!C12*$B263)-'Business Case'!C11*$C263*'Business Case'!C13*$D263-'Business Case'!C14*$E263))*'Business Case'!$B$7-'Business Case'!$B$8*(('Business Case'!C11*$C263*'Business Case'!C12*$B263)-('Business Case'!B11*$C263*'Business Case'!B12*$B263))-'Business Case'!C15*$F263</f>
        <v>-8816492.86737423</v>
      </c>
      <c r="J263" s="53" t="n">
        <f aca="false">(('Business Case'!D11*$C263*'Business Case'!D12*$B263)-'Business Case'!D11*$C263*'Business Case'!D13*$D263-'Business Case'!D14*$E263)-MAX(0,(('Business Case'!D11*$C263*'Business Case'!D12*$B263)-'Business Case'!D11*$C263*'Business Case'!D13*$D263-'Business Case'!D14*$E263))*'Business Case'!$B$7-'Business Case'!$B$8*(('Business Case'!D11*$C263*'Business Case'!D12*$B263)-('Business Case'!C11*$C263*'Business Case'!C12*$B263))-'Business Case'!D15*$F263</f>
        <v>286738326.848851</v>
      </c>
      <c r="K263" s="53" t="n">
        <f aca="false">(('Business Case'!E11*$C263*'Business Case'!E12*$B263)-'Business Case'!E11*$C263*'Business Case'!E13*$D263-'Business Case'!E14*$E263)-MAX(0,(('Business Case'!E11*$C263*'Business Case'!E12*$B263)-'Business Case'!E11*$C263*'Business Case'!E13*$D263-'Business Case'!E14*$E263))*'Business Case'!$B$7-'Business Case'!$B$8*(('Business Case'!E11*$C263*'Business Case'!E12*$B263)-('Business Case'!D11*$C263*'Business Case'!D12*$B263))-'Business Case'!E15*$F263</f>
        <v>637624703.479598</v>
      </c>
      <c r="L263" s="53" t="n">
        <f aca="false">(('Business Case'!F11*$C263*'Business Case'!F12*$B263)-'Business Case'!F11*$C263*'Business Case'!F13*$D263-'Business Case'!F14*$E263)-MAX(0,(('Business Case'!F11*$C263*'Business Case'!F12*$B263)-'Business Case'!F11*$C263*'Business Case'!F13*$D263-'Business Case'!F14*$E263))*'Business Case'!$B$7-'Business Case'!$B$8*(('Business Case'!F11*$C263*'Business Case'!F12*$B263)-('Business Case'!E11*$C263*'Business Case'!E12*$B263))-'Business Case'!F15*$F263</f>
        <v>771384448.840286</v>
      </c>
      <c r="M263" s="53" t="n">
        <f aca="false">(('Business Case'!G11*$C263*'Business Case'!G12*$B263)-'Business Case'!G11*$C263*'Business Case'!G13*$D263-'Business Case'!G14*$E263)-MAX(0,(('Business Case'!G11*$C263*'Business Case'!G12*$B263)-'Business Case'!G11*$C263*'Business Case'!G13*$D263-'Business Case'!G14*$E263))*'Business Case'!$B$7-'Business Case'!$B$8*(('Business Case'!G11*$C263*'Business Case'!G12*$B263)-('Business Case'!F11*$C263*'Business Case'!F12*$B263))-'Business Case'!G15*$F263+'Business Case'!$B$8*('Business Case'!G11*$C263*'Business Case'!G12*$B263)</f>
        <v>965212545.510991</v>
      </c>
      <c r="N263" s="53" t="n">
        <f aca="false">IF(COUNT('Business Case'!B11:G11)=0,"",H263+NPV(G263,I263:M263))</f>
        <v>-382425446.801226</v>
      </c>
      <c r="P263" s="54" t="n">
        <f aca="true">RAND()</f>
        <v>0.229866794330309</v>
      </c>
      <c r="Q263" s="54" t="n">
        <f aca="true">RAND()</f>
        <v>0.826441161658293</v>
      </c>
      <c r="R263" s="54" t="n">
        <f aca="true">RAND()</f>
        <v>0.379669288553543</v>
      </c>
      <c r="S263" s="54" t="n">
        <f aca="true">RAND()</f>
        <v>0.21846390463687</v>
      </c>
      <c r="T263" s="54" t="n">
        <f aca="true">RAND()</f>
        <v>0.825645113261171</v>
      </c>
      <c r="U263" s="54" t="n">
        <f aca="true">RAND()</f>
        <v>0.368135581799764</v>
      </c>
    </row>
    <row r="264" customFormat="false" ht="15" hidden="false" customHeight="false" outlineLevel="0" collapsed="false">
      <c r="A264" s="50" t="n">
        <v>184</v>
      </c>
      <c r="B264" s="51" t="n">
        <f aca="false">1+IF($G$6=$E$6,$F$6,IF(P264&lt;($F$6-$E$6)/($G$6-$E$6),$E$6+SQRT(P264*($G$6-$E$6)*($F$6-$E$6)),$G$6-SQRT((1-P264)*($G$6-$E$6)*($G$6-$F$6))))</f>
        <v>1.02904912004289</v>
      </c>
      <c r="C264" s="51" t="n">
        <f aca="false">1+IF($G$7=$E$7,$F$7,IF(Q264&lt;($F$7-$E$7)/($G$7-$E$7),$E$7+SQRT(Q264*($G$7-$E$7)*($F$7-$E$7)),$G$7-SQRT((1-Q264)*($G$7-$E$7)*($G$7-$F$7))))</f>
        <v>1.06968363941208</v>
      </c>
      <c r="D264" s="51" t="n">
        <f aca="false">1+IF($G$8=$E$8,$F$8,IF(R264&lt;($F$8-$E$8)/($G$8-$E$8),$E$8+SQRT(R264*($G$8-$E$8)*($F$8-$E$8)),$G$8-SQRT((1-R264)*($G$8-$E$8)*($G$8-$F$8))))</f>
        <v>0.996863481057161</v>
      </c>
      <c r="E264" s="51" t="n">
        <f aca="false">1+IF($G$9=$E$9,$F$9,IF(S264&lt;($F$9-$E$9)/($G$9-$E$9),$E$9+SQRT(S264*($G$9-$E$9)*($F$9-$E$9)),$G$9-SQRT((1-S264)*($G$9-$E$9)*($G$9-$F$9))))</f>
        <v>0.981496889809261</v>
      </c>
      <c r="F264" s="51" t="n">
        <f aca="false">1+IF($G$10=$E$10,$F$10,IF(T264&lt;($F$10-$E$10)/($G$10-$E$10),$E$10+SQRT(T264*($G$10-$E$10)*($F$10-$E$10)),$G$10-SQRT((1-T264)*($G$10-$E$10)*($G$10-$F$10))))</f>
        <v>1.04511065846908</v>
      </c>
      <c r="G264" s="52" t="n">
        <f aca="false">IF($G$11=$E$11,$F$11,IF(U264&lt;($F$11-$E$11)/($G$11-$E$11),$E$11+SQRT(U264*($G$11-$E$11)*($F$11-$E$11)),$G$11-SQRT((1-U264)*($G$11-$E$11)*($G$11-$F$11))))</f>
        <v>0.119638150834299</v>
      </c>
      <c r="H264" s="53" t="n">
        <f aca="false">(('Business Case'!B11*$C264*'Business Case'!B12*$B264)-'Business Case'!B11*$C264*'Business Case'!B13*$D264-'Business Case'!B14*$E264)-MAX(0,(('Business Case'!B11*$C264*'Business Case'!B12*$B264)-'Business Case'!B11*$C264*'Business Case'!B13*$D264-'Business Case'!B14*$E264))*'Business Case'!$B$7-'Business Case'!$B$8*('Business Case'!B11*$C264*'Business Case'!B12*$B264)-'Business Case'!B15*$F264</f>
        <v>-2090221316.93817</v>
      </c>
      <c r="I264" s="53" t="n">
        <f aca="false">(('Business Case'!C11*$C264*'Business Case'!C12*$B264)-'Business Case'!C11*$C264*'Business Case'!C13*$D264-'Business Case'!C14*$E264)-MAX(0,(('Business Case'!C11*$C264*'Business Case'!C12*$B264)-'Business Case'!C11*$C264*'Business Case'!C13*$D264-'Business Case'!C14*$E264))*'Business Case'!$B$7-'Business Case'!$B$8*(('Business Case'!C11*$C264*'Business Case'!C12*$B264)-('Business Case'!B11*$C264*'Business Case'!B12*$B264))-'Business Case'!C15*$F264</f>
        <v>54581162.4780737</v>
      </c>
      <c r="J264" s="53" t="n">
        <f aca="false">(('Business Case'!D11*$C264*'Business Case'!D12*$B264)-'Business Case'!D11*$C264*'Business Case'!D13*$D264-'Business Case'!D14*$E264)-MAX(0,(('Business Case'!D11*$C264*'Business Case'!D12*$B264)-'Business Case'!D11*$C264*'Business Case'!D13*$D264-'Business Case'!D14*$E264))*'Business Case'!$B$7-'Business Case'!$B$8*(('Business Case'!D11*$C264*'Business Case'!D12*$B264)-('Business Case'!C11*$C264*'Business Case'!C12*$B264))-'Business Case'!D15*$F264</f>
        <v>410305491.821462</v>
      </c>
      <c r="K264" s="53" t="n">
        <f aca="false">(('Business Case'!E11*$C264*'Business Case'!E12*$B264)-'Business Case'!E11*$C264*'Business Case'!E13*$D264-'Business Case'!E14*$E264)-MAX(0,(('Business Case'!E11*$C264*'Business Case'!E12*$B264)-'Business Case'!E11*$C264*'Business Case'!E13*$D264-'Business Case'!E14*$E264))*'Business Case'!$B$7-'Business Case'!$B$8*(('Business Case'!E11*$C264*'Business Case'!E12*$B264)-('Business Case'!D11*$C264*'Business Case'!D12*$B264))-'Business Case'!E15*$F264</f>
        <v>818285354.088303</v>
      </c>
      <c r="L264" s="53" t="n">
        <f aca="false">(('Business Case'!F11*$C264*'Business Case'!F12*$B264)-'Business Case'!F11*$C264*'Business Case'!F13*$D264-'Business Case'!F14*$E264)-MAX(0,(('Business Case'!F11*$C264*'Business Case'!F12*$B264)-'Business Case'!F11*$C264*'Business Case'!F13*$D264-'Business Case'!F14*$E264))*'Business Case'!$B$7-'Business Case'!$B$8*(('Business Case'!F11*$C264*'Business Case'!F12*$B264)-('Business Case'!E11*$C264*'Business Case'!E12*$B264))-'Business Case'!F15*$F264</f>
        <v>974902292.727785</v>
      </c>
      <c r="M264" s="53" t="n">
        <f aca="false">(('Business Case'!G11*$C264*'Business Case'!G12*$B264)-'Business Case'!G11*$C264*'Business Case'!G13*$D264-'Business Case'!G14*$E264)-MAX(0,(('Business Case'!G11*$C264*'Business Case'!G12*$B264)-'Business Case'!G11*$C264*'Business Case'!G13*$D264-'Business Case'!G14*$E264))*'Business Case'!$B$7-'Business Case'!$B$8*(('Business Case'!G11*$C264*'Business Case'!G12*$B264)-('Business Case'!F11*$C264*'Business Case'!F12*$B264))-'Business Case'!G15*$F264+'Business Case'!$B$8*('Business Case'!G11*$C264*'Business Case'!G12*$B264)</f>
        <v>1184134184.78206</v>
      </c>
      <c r="N264" s="53" t="n">
        <f aca="false">IF(COUNT('Business Case'!B11:G11)=0,"",H264+NPV(G264,I264:M264))</f>
        <v>162201685.627554</v>
      </c>
      <c r="P264" s="54" t="n">
        <f aca="true">RAND()</f>
        <v>0.975016297534379</v>
      </c>
      <c r="Q264" s="54" t="n">
        <f aca="true">RAND()</f>
        <v>0.877129185179267</v>
      </c>
      <c r="R264" s="54" t="n">
        <f aca="true">RAND()</f>
        <v>0.337874747199209</v>
      </c>
      <c r="S264" s="54" t="n">
        <f aca="true">RAND()</f>
        <v>0.132273875687563</v>
      </c>
      <c r="T264" s="54" t="n">
        <f aca="true">RAND()</f>
        <v>0.520185837602387</v>
      </c>
      <c r="U264" s="54" t="n">
        <f aca="true">RAND()</f>
        <v>0.999781775302135</v>
      </c>
    </row>
    <row r="265" customFormat="false" ht="15" hidden="false" customHeight="false" outlineLevel="0" collapsed="false">
      <c r="A265" s="50" t="n">
        <v>185</v>
      </c>
      <c r="B265" s="51" t="n">
        <f aca="false">1+IF($G$6=$E$6,$F$6,IF(P265&lt;($F$6-$E$6)/($G$6-$E$6),$E$6+SQRT(P265*($G$6-$E$6)*($F$6-$E$6)),$G$6-SQRT((1-P265)*($G$6-$E$6)*($G$6-$F$6))))</f>
        <v>0.979806574178775</v>
      </c>
      <c r="C265" s="51" t="n">
        <f aca="false">1+IF($G$7=$E$7,$F$7,IF(Q265&lt;($F$7-$E$7)/($G$7-$E$7),$E$7+SQRT(Q265*($G$7-$E$7)*($F$7-$E$7)),$G$7-SQRT((1-Q265)*($G$7-$E$7)*($G$7-$F$7))))</f>
        <v>0.90461088146377</v>
      </c>
      <c r="D265" s="51" t="n">
        <f aca="false">1+IF($G$8=$E$8,$F$8,IF(R265&lt;($F$8-$E$8)/($G$8-$E$8),$E$8+SQRT(R265*($G$8-$E$8)*($F$8-$E$8)),$G$8-SQRT((1-R265)*($G$8-$E$8)*($G$8-$F$8))))</f>
        <v>1.02892407596362</v>
      </c>
      <c r="E265" s="51" t="n">
        <f aca="false">1+IF($G$9=$E$9,$F$9,IF(S265&lt;($F$9-$E$9)/($G$9-$E$9),$E$9+SQRT(S265*($G$9-$E$9)*($F$9-$E$9)),$G$9-SQRT((1-S265)*($G$9-$E$9)*($G$9-$F$9))))</f>
        <v>0.996082562748438</v>
      </c>
      <c r="F265" s="51" t="n">
        <f aca="false">1+IF($G$10=$E$10,$F$10,IF(T265&lt;($F$10-$E$10)/($G$10-$E$10),$E$10+SQRT(T265*($G$10-$E$10)*($F$10-$E$10)),$G$10-SQRT((1-T265)*($G$10-$E$10)*($G$10-$F$10))))</f>
        <v>1.10144094560768</v>
      </c>
      <c r="G265" s="52" t="n">
        <f aca="false">IF($G$11=$E$11,$F$11,IF(U265&lt;($F$11-$E$11)/($G$11-$E$11),$E$11+SQRT(U265*($G$11-$E$11)*($F$11-$E$11)),$G$11-SQRT((1-U265)*($G$11-$E$11)*($G$11-$F$11))))</f>
        <v>0.105737953758668</v>
      </c>
      <c r="H265" s="53" t="n">
        <f aca="false">(('Business Case'!B11*$C265*'Business Case'!B12*$B265)-'Business Case'!B11*$C265*'Business Case'!B13*$D265-'Business Case'!B14*$E265)-MAX(0,(('Business Case'!B11*$C265*'Business Case'!B12*$B265)-'Business Case'!B11*$C265*'Business Case'!B13*$D265-'Business Case'!B14*$E265))*'Business Case'!$B$7-'Business Case'!$B$8*('Business Case'!B11*$C265*'Business Case'!B12*$B265)-'Business Case'!B15*$F265</f>
        <v>-2202881891.21535</v>
      </c>
      <c r="I265" s="53" t="n">
        <f aca="false">(('Business Case'!C11*$C265*'Business Case'!C12*$B265)-'Business Case'!C11*$C265*'Business Case'!C13*$D265-'Business Case'!C14*$E265)-MAX(0,(('Business Case'!C11*$C265*'Business Case'!C12*$B265)-'Business Case'!C11*$C265*'Business Case'!C13*$D265-'Business Case'!C14*$E265))*'Business Case'!$B$7-'Business Case'!$B$8*(('Business Case'!C11*$C265*'Business Case'!C12*$B265)-('Business Case'!B11*$C265*'Business Case'!B12*$B265))-'Business Case'!C15*$F265</f>
        <v>-48238600.5594246</v>
      </c>
      <c r="J265" s="53" t="n">
        <f aca="false">(('Business Case'!D11*$C265*'Business Case'!D12*$B265)-'Business Case'!D11*$C265*'Business Case'!D13*$D265-'Business Case'!D14*$E265)-MAX(0,(('Business Case'!D11*$C265*'Business Case'!D12*$B265)-'Business Case'!D11*$C265*'Business Case'!D13*$D265-'Business Case'!D14*$E265))*'Business Case'!$B$7-'Business Case'!$B$8*(('Business Case'!D11*$C265*'Business Case'!D12*$B265)-('Business Case'!C11*$C265*'Business Case'!C12*$B265))-'Business Case'!D15*$F265</f>
        <v>201257890.688606</v>
      </c>
      <c r="K265" s="53" t="n">
        <f aca="false">(('Business Case'!E11*$C265*'Business Case'!E12*$B265)-'Business Case'!E11*$C265*'Business Case'!E13*$D265-'Business Case'!E14*$E265)-MAX(0,(('Business Case'!E11*$C265*'Business Case'!E12*$B265)-'Business Case'!E11*$C265*'Business Case'!E13*$D265-'Business Case'!E14*$E265))*'Business Case'!$B$7-'Business Case'!$B$8*(('Business Case'!E11*$C265*'Business Case'!E12*$B265)-('Business Case'!D11*$C265*'Business Case'!D12*$B265))-'Business Case'!E15*$F265</f>
        <v>505826429.21702</v>
      </c>
      <c r="L265" s="53" t="n">
        <f aca="false">(('Business Case'!F11*$C265*'Business Case'!F12*$B265)-'Business Case'!F11*$C265*'Business Case'!F13*$D265-'Business Case'!F14*$E265)-MAX(0,(('Business Case'!F11*$C265*'Business Case'!F12*$B265)-'Business Case'!F11*$C265*'Business Case'!F13*$D265-'Business Case'!F14*$E265))*'Business Case'!$B$7-'Business Case'!$B$8*(('Business Case'!F11*$C265*'Business Case'!F12*$B265)-('Business Case'!E11*$C265*'Business Case'!E12*$B265))-'Business Case'!F15*$F265</f>
        <v>619623964.18227</v>
      </c>
      <c r="M265" s="53" t="n">
        <f aca="false">(('Business Case'!G11*$C265*'Business Case'!G12*$B265)-'Business Case'!G11*$C265*'Business Case'!G13*$D265-'Business Case'!G14*$E265)-MAX(0,(('Business Case'!G11*$C265*'Business Case'!G12*$B265)-'Business Case'!G11*$C265*'Business Case'!G13*$D265-'Business Case'!G14*$E265))*'Business Case'!$B$7-'Business Case'!$B$8*(('Business Case'!G11*$C265*'Business Case'!G12*$B265)-('Business Case'!F11*$C265*'Business Case'!F12*$B265))-'Business Case'!G15*$F265+'Business Case'!$B$8*('Business Case'!G11*$C265*'Business Case'!G12*$B265)</f>
        <v>788100172.536421</v>
      </c>
      <c r="N265" s="53" t="n">
        <f aca="false">IF(COUNT('Business Case'!B11:G11)=0,"",H265+NPV(G265,I265:M265))</f>
        <v>-816473712.967056</v>
      </c>
      <c r="P265" s="54" t="n">
        <f aca="true">RAND()</f>
        <v>0.372586074479302</v>
      </c>
      <c r="Q265" s="54" t="n">
        <f aca="true">RAND()</f>
        <v>0.156334807437526</v>
      </c>
      <c r="R265" s="54" t="n">
        <f aca="true">RAND()</f>
        <v>0.749158652291383</v>
      </c>
      <c r="S265" s="54" t="n">
        <f aca="true">RAND()</f>
        <v>0.283147011928495</v>
      </c>
      <c r="T265" s="54" t="n">
        <f aca="true">RAND()</f>
        <v>0.805722255945816</v>
      </c>
      <c r="U265" s="54" t="n">
        <f aca="true">RAND()</f>
        <v>0.660990061683503</v>
      </c>
    </row>
    <row r="266" customFormat="false" ht="15" hidden="false" customHeight="false" outlineLevel="0" collapsed="false">
      <c r="A266" s="50" t="n">
        <v>186</v>
      </c>
      <c r="B266" s="51" t="n">
        <f aca="false">1+IF($G$6=$E$6,$F$6,IF(P266&lt;($F$6-$E$6)/($G$6-$E$6),$E$6+SQRT(P266*($G$6-$E$6)*($F$6-$E$6)),$G$6-SQRT((1-P266)*($G$6-$E$6)*($G$6-$F$6))))</f>
        <v>1.00447063089182</v>
      </c>
      <c r="C266" s="51" t="n">
        <f aca="false">1+IF($G$7=$E$7,$F$7,IF(Q266&lt;($F$7-$E$7)/($G$7-$E$7),$E$7+SQRT(Q266*($G$7-$E$7)*($F$7-$E$7)),$G$7-SQRT((1-Q266)*($G$7-$E$7)*($G$7-$F$7))))</f>
        <v>0.936382140937414</v>
      </c>
      <c r="D266" s="51" t="n">
        <f aca="false">1+IF($G$8=$E$8,$F$8,IF(R266&lt;($F$8-$E$8)/($G$8-$E$8),$E$8+SQRT(R266*($G$8-$E$8)*($F$8-$E$8)),$G$8-SQRT((1-R266)*($G$8-$E$8)*($G$8-$F$8))))</f>
        <v>0.981636077246122</v>
      </c>
      <c r="E266" s="51" t="n">
        <f aca="false">1+IF($G$9=$E$9,$F$9,IF(S266&lt;($F$9-$E$9)/($G$9-$E$9),$E$9+SQRT(S266*($G$9-$E$9)*($F$9-$E$9)),$G$9-SQRT((1-S266)*($G$9-$E$9)*($G$9-$F$9))))</f>
        <v>1.08698006385543</v>
      </c>
      <c r="F266" s="51" t="n">
        <f aca="false">1+IF($G$10=$E$10,$F$10,IF(T266&lt;($F$10-$E$10)/($G$10-$E$10),$E$10+SQRT(T266*($G$10-$E$10)*($F$10-$E$10)),$G$10-SQRT((1-T266)*($G$10-$E$10)*($G$10-$F$10))))</f>
        <v>0.985930030288154</v>
      </c>
      <c r="G266" s="52" t="n">
        <f aca="false">IF($G$11=$E$11,$F$11,IF(U266&lt;($F$11-$E$11)/($G$11-$E$11),$E$11+SQRT(U266*($G$11-$E$11)*($F$11-$E$11)),$G$11-SQRT((1-U266)*($G$11-$E$11)*($G$11-$F$11))))</f>
        <v>0.101695970629831</v>
      </c>
      <c r="H266" s="53" t="n">
        <f aca="false">(('Business Case'!B11*$C266*'Business Case'!B12*$B266)-'Business Case'!B11*$C266*'Business Case'!B13*$D266-'Business Case'!B14*$E266)-MAX(0,(('Business Case'!B11*$C266*'Business Case'!B12*$B266)-'Business Case'!B11*$C266*'Business Case'!B13*$D266-'Business Case'!B14*$E266))*'Business Case'!$B$7-'Business Case'!$B$8*('Business Case'!B11*$C266*'Business Case'!B12*$B266)-'Business Case'!B15*$F266</f>
        <v>-1971860060.57631</v>
      </c>
      <c r="I266" s="53" t="n">
        <f aca="false">(('Business Case'!C11*$C266*'Business Case'!C12*$B266)-'Business Case'!C11*$C266*'Business Case'!C13*$D266-'Business Case'!C14*$E266)-MAX(0,(('Business Case'!C11*$C266*'Business Case'!C12*$B266)-'Business Case'!C11*$C266*'Business Case'!C13*$D266-'Business Case'!C14*$E266))*'Business Case'!$B$7-'Business Case'!$B$8*(('Business Case'!C11*$C266*'Business Case'!C12*$B266)-('Business Case'!B11*$C266*'Business Case'!B12*$B266))-'Business Case'!C15*$F266</f>
        <v>-2077373.03129736</v>
      </c>
      <c r="J266" s="53" t="n">
        <f aca="false">(('Business Case'!D11*$C266*'Business Case'!D12*$B266)-'Business Case'!D11*$C266*'Business Case'!D13*$D266-'Business Case'!D14*$E266)-MAX(0,(('Business Case'!D11*$C266*'Business Case'!D12*$B266)-'Business Case'!D11*$C266*'Business Case'!D13*$D266-'Business Case'!D14*$E266))*'Business Case'!$B$7-'Business Case'!$B$8*(('Business Case'!D11*$C266*'Business Case'!D12*$B266)-('Business Case'!C11*$C266*'Business Case'!C12*$B266))-'Business Case'!D15*$F266</f>
        <v>297765885.821774</v>
      </c>
      <c r="K266" s="53" t="n">
        <f aca="false">(('Business Case'!E11*$C266*'Business Case'!E12*$B266)-'Business Case'!E11*$C266*'Business Case'!E13*$D266-'Business Case'!E14*$E266)-MAX(0,(('Business Case'!E11*$C266*'Business Case'!E12*$B266)-'Business Case'!E11*$C266*'Business Case'!E13*$D266-'Business Case'!E14*$E266))*'Business Case'!$B$7-'Business Case'!$B$8*(('Business Case'!E11*$C266*'Business Case'!E12*$B266)-('Business Case'!D11*$C266*'Business Case'!D12*$B266))-'Business Case'!E15*$F266</f>
        <v>646905646.189252</v>
      </c>
      <c r="L266" s="53" t="n">
        <f aca="false">(('Business Case'!F11*$C266*'Business Case'!F12*$B266)-'Business Case'!F11*$C266*'Business Case'!F13*$D266-'Business Case'!F14*$E266)-MAX(0,(('Business Case'!F11*$C266*'Business Case'!F12*$B266)-'Business Case'!F11*$C266*'Business Case'!F13*$D266-'Business Case'!F14*$E266))*'Business Case'!$B$7-'Business Case'!$B$8*(('Business Case'!F11*$C266*'Business Case'!F12*$B266)-('Business Case'!E11*$C266*'Business Case'!E12*$B266))-'Business Case'!F15*$F266</f>
        <v>779359441.65715</v>
      </c>
      <c r="M266" s="53" t="n">
        <f aca="false">(('Business Case'!G11*$C266*'Business Case'!G12*$B266)-'Business Case'!G11*$C266*'Business Case'!G13*$D266-'Business Case'!G14*$E266)-MAX(0,(('Business Case'!G11*$C266*'Business Case'!G12*$B266)-'Business Case'!G11*$C266*'Business Case'!G13*$D266-'Business Case'!G14*$E266))*'Business Case'!$B$7-'Business Case'!$B$8*(('Business Case'!G11*$C266*'Business Case'!G12*$B266)-('Business Case'!F11*$C266*'Business Case'!F12*$B266))-'Business Case'!G15*$F266+'Business Case'!$B$8*('Business Case'!G11*$C266*'Business Case'!G12*$B266)</f>
        <v>958142675.499954</v>
      </c>
      <c r="N266" s="53" t="n">
        <f aca="false">IF(COUNT('Business Case'!B11:G11)=0,"",H266+NPV(G266,I266:M266))</f>
        <v>-125217820.780839</v>
      </c>
      <c r="P266" s="54" t="n">
        <f aca="true">RAND()</f>
        <v>0.737013318911403</v>
      </c>
      <c r="Q266" s="54" t="n">
        <f aca="true">RAND()</f>
        <v>0.265715548095324</v>
      </c>
      <c r="R266" s="54" t="n">
        <f aca="true">RAND()</f>
        <v>0.153975597465012</v>
      </c>
      <c r="S266" s="54" t="n">
        <f aca="true">RAND()</f>
        <v>0.988698750852762</v>
      </c>
      <c r="T266" s="54" t="n">
        <f aca="true">RAND()</f>
        <v>0.103277366120614</v>
      </c>
      <c r="U266" s="54" t="n">
        <f aca="true">RAND()</f>
        <v>0.441604181359996</v>
      </c>
    </row>
    <row r="267" customFormat="false" ht="15" hidden="false" customHeight="false" outlineLevel="0" collapsed="false">
      <c r="A267" s="50" t="n">
        <v>187</v>
      </c>
      <c r="B267" s="51" t="n">
        <f aca="false">1+IF($G$6=$E$6,$F$6,IF(P267&lt;($F$6-$E$6)/($G$6-$E$6),$E$6+SQRT(P267*($G$6-$E$6)*($F$6-$E$6)),$G$6-SQRT((1-P267)*($G$6-$E$6)*($G$6-$F$6))))</f>
        <v>1.00407125063664</v>
      </c>
      <c r="C267" s="51" t="n">
        <f aca="false">1+IF($G$7=$E$7,$F$7,IF(Q267&lt;($F$7-$E$7)/($G$7-$E$7),$E$7+SQRT(Q267*($G$7-$E$7)*($F$7-$E$7)),$G$7-SQRT((1-Q267)*($G$7-$E$7)*($G$7-$F$7))))</f>
        <v>1.12663870204888</v>
      </c>
      <c r="D267" s="51" t="n">
        <f aca="false">1+IF($G$8=$E$8,$F$8,IF(R267&lt;($F$8-$E$8)/($G$8-$E$8),$E$8+SQRT(R267*($G$8-$E$8)*($F$8-$E$8)),$G$8-SQRT((1-R267)*($G$8-$E$8)*($G$8-$F$8))))</f>
        <v>1.04149331646429</v>
      </c>
      <c r="E267" s="51" t="n">
        <f aca="false">1+IF($G$9=$E$9,$F$9,IF(S267&lt;($F$9-$E$9)/($G$9-$E$9),$E$9+SQRT(S267*($G$9-$E$9)*($F$9-$E$9)),$G$9-SQRT((1-S267)*($G$9-$E$9)*($G$9-$F$9))))</f>
        <v>1.05586981424702</v>
      </c>
      <c r="F267" s="51" t="n">
        <f aca="false">1+IF($G$10=$E$10,$F$10,IF(T267&lt;($F$10-$E$10)/($G$10-$E$10),$E$10+SQRT(T267*($G$10-$E$10)*($F$10-$E$10)),$G$10-SQRT((1-T267)*($G$10-$E$10)*($G$10-$F$10))))</f>
        <v>0.99354608588035</v>
      </c>
      <c r="G267" s="52" t="n">
        <f aca="false">IF($G$11=$E$11,$F$11,IF(U267&lt;($F$11-$E$11)/($G$11-$E$11),$E$11+SQRT(U267*($G$11-$E$11)*($F$11-$E$11)),$G$11-SQRT((1-U267)*($G$11-$E$11)*($G$11-$F$11))))</f>
        <v>0.109023309004277</v>
      </c>
      <c r="H267" s="53" t="n">
        <f aca="false">(('Business Case'!B11*$C267*'Business Case'!B12*$B267)-'Business Case'!B11*$C267*'Business Case'!B13*$D267-'Business Case'!B14*$E267)-MAX(0,(('Business Case'!B11*$C267*'Business Case'!B12*$B267)-'Business Case'!B11*$C267*'Business Case'!B13*$D267-'Business Case'!B14*$E267))*'Business Case'!$B$7-'Business Case'!$B$8*('Business Case'!B11*$C267*'Business Case'!B12*$B267)-'Business Case'!B15*$F267</f>
        <v>-1987092171.7607</v>
      </c>
      <c r="I267" s="53" t="n">
        <f aca="false">(('Business Case'!C11*$C267*'Business Case'!C12*$B267)-'Business Case'!C11*$C267*'Business Case'!C13*$D267-'Business Case'!C14*$E267)-MAX(0,(('Business Case'!C11*$C267*'Business Case'!C12*$B267)-'Business Case'!C11*$C267*'Business Case'!C13*$D267-'Business Case'!C14*$E267))*'Business Case'!$B$7-'Business Case'!$B$8*(('Business Case'!C11*$C267*'Business Case'!C12*$B267)-('Business Case'!B11*$C267*'Business Case'!B12*$B267))-'Business Case'!C15*$F267</f>
        <v>17733021.773678</v>
      </c>
      <c r="J267" s="53" t="n">
        <f aca="false">(('Business Case'!D11*$C267*'Business Case'!D12*$B267)-'Business Case'!D11*$C267*'Business Case'!D13*$D267-'Business Case'!D14*$E267)-MAX(0,(('Business Case'!D11*$C267*'Business Case'!D12*$B267)-'Business Case'!D11*$C267*'Business Case'!D13*$D267-'Business Case'!D14*$E267))*'Business Case'!$B$7-'Business Case'!$B$8*(('Business Case'!D11*$C267*'Business Case'!D12*$B267)-('Business Case'!C11*$C267*'Business Case'!C12*$B267))-'Business Case'!D15*$F267</f>
        <v>343608071.22668</v>
      </c>
      <c r="K267" s="53" t="n">
        <f aca="false">(('Business Case'!E11*$C267*'Business Case'!E12*$B267)-'Business Case'!E11*$C267*'Business Case'!E13*$D267-'Business Case'!E14*$E267)-MAX(0,(('Business Case'!E11*$C267*'Business Case'!E12*$B267)-'Business Case'!E11*$C267*'Business Case'!E13*$D267-'Business Case'!E14*$E267))*'Business Case'!$B$7-'Business Case'!$B$8*(('Business Case'!E11*$C267*'Business Case'!E12*$B267)-('Business Case'!D11*$C267*'Business Case'!D12*$B267))-'Business Case'!E15*$F267</f>
        <v>719160424.9737</v>
      </c>
      <c r="L267" s="53" t="n">
        <f aca="false">(('Business Case'!F11*$C267*'Business Case'!F12*$B267)-'Business Case'!F11*$C267*'Business Case'!F13*$D267-'Business Case'!F14*$E267)-MAX(0,(('Business Case'!F11*$C267*'Business Case'!F12*$B267)-'Business Case'!F11*$C267*'Business Case'!F13*$D267-'Business Case'!F14*$E267))*'Business Case'!$B$7-'Business Case'!$B$8*(('Business Case'!F11*$C267*'Business Case'!F12*$B267)-('Business Case'!E11*$C267*'Business Case'!E12*$B267))-'Business Case'!F15*$F267</f>
        <v>866880595.794944</v>
      </c>
      <c r="M267" s="53" t="n">
        <f aca="false">(('Business Case'!G11*$C267*'Business Case'!G12*$B267)-'Business Case'!G11*$C267*'Business Case'!G13*$D267-'Business Case'!G14*$E267)-MAX(0,(('Business Case'!G11*$C267*'Business Case'!G12*$B267)-'Business Case'!G11*$C267*'Business Case'!G13*$D267-'Business Case'!G14*$E267))*'Business Case'!$B$7-'Business Case'!$B$8*(('Business Case'!G11*$C267*'Business Case'!G12*$B267)-('Business Case'!F11*$C267*'Business Case'!F12*$B267))-'Business Case'!G15*$F267+'Business Case'!$B$8*('Business Case'!G11*$C267*'Business Case'!G12*$B267)</f>
        <v>1081903944.64794</v>
      </c>
      <c r="N267" s="53" t="n">
        <f aca="false">IF(COUNT('Business Case'!B11:G11)=0,"",H267+NPV(G267,I267:M267))</f>
        <v>53448368.4457784</v>
      </c>
      <c r="P267" s="54" t="n">
        <f aca="true">RAND()</f>
        <v>0.731067701913485</v>
      </c>
      <c r="Q267" s="54" t="n">
        <f aca="true">RAND()</f>
        <v>0.989604757295977</v>
      </c>
      <c r="R267" s="54" t="n">
        <f aca="true">RAND()</f>
        <v>0.857426473373109</v>
      </c>
      <c r="S267" s="54" t="n">
        <f aca="true">RAND()</f>
        <v>0.870168447027164</v>
      </c>
      <c r="T267" s="54" t="n">
        <f aca="true">RAND()</f>
        <v>0.151700927639902</v>
      </c>
      <c r="U267" s="54" t="n">
        <f aca="true">RAND()</f>
        <v>0.799187091307372</v>
      </c>
    </row>
    <row r="268" customFormat="false" ht="15" hidden="false" customHeight="false" outlineLevel="0" collapsed="false">
      <c r="A268" s="50" t="n">
        <v>188</v>
      </c>
      <c r="B268" s="51" t="n">
        <f aca="false">1+IF($G$6=$E$6,$F$6,IF(P268&lt;($F$6-$E$6)/($G$6-$E$6),$E$6+SQRT(P268*($G$6-$E$6)*($F$6-$E$6)),$G$6-SQRT((1-P268)*($G$6-$E$6)*($G$6-$F$6))))</f>
        <v>0.936031817860378</v>
      </c>
      <c r="C268" s="51" t="n">
        <f aca="false">1+IF($G$7=$E$7,$F$7,IF(Q268&lt;($F$7-$E$7)/($G$7-$E$7),$E$7+SQRT(Q268*($G$7-$E$7)*($F$7-$E$7)),$G$7-SQRT((1-Q268)*($G$7-$E$7)*($G$7-$F$7))))</f>
        <v>1.10426919699935</v>
      </c>
      <c r="D268" s="51" t="n">
        <f aca="false">1+IF($G$8=$E$8,$F$8,IF(R268&lt;($F$8-$E$8)/($G$8-$E$8),$E$8+SQRT(R268*($G$8-$E$8)*($F$8-$E$8)),$G$8-SQRT((1-R268)*($G$8-$E$8)*($G$8-$F$8))))</f>
        <v>1.03846863468885</v>
      </c>
      <c r="E268" s="51" t="n">
        <f aca="false">1+IF($G$9=$E$9,$F$9,IF(S268&lt;($F$9-$E$9)/($G$9-$E$9),$E$9+SQRT(S268*($G$9-$E$9)*($F$9-$E$9)),$G$9-SQRT((1-S268)*($G$9-$E$9)*($G$9-$F$9))))</f>
        <v>1.02031010849844</v>
      </c>
      <c r="F268" s="51" t="n">
        <f aca="false">1+IF($G$10=$E$10,$F$10,IF(T268&lt;($F$10-$E$10)/($G$10-$E$10),$E$10+SQRT(T268*($G$10-$E$10)*($F$10-$E$10)),$G$10-SQRT((1-T268)*($G$10-$E$10)*($G$10-$F$10))))</f>
        <v>1.07283931867668</v>
      </c>
      <c r="G268" s="52" t="n">
        <f aca="false">IF($G$11=$E$11,$F$11,IF(U268&lt;($F$11-$E$11)/($G$11-$E$11),$E$11+SQRT(U268*($G$11-$E$11)*($F$11-$E$11)),$G$11-SQRT((1-U268)*($G$11-$E$11)*($G$11-$F$11))))</f>
        <v>0.094658442384678</v>
      </c>
      <c r="H268" s="53" t="n">
        <f aca="false">(('Business Case'!B11*$C268*'Business Case'!B12*$B268)-'Business Case'!B11*$C268*'Business Case'!B13*$D268-'Business Case'!B14*$E268)-MAX(0,(('Business Case'!B11*$C268*'Business Case'!B12*$B268)-'Business Case'!B11*$C268*'Business Case'!B13*$D268-'Business Case'!B14*$E268))*'Business Case'!$B$7-'Business Case'!$B$8*('Business Case'!B11*$C268*'Business Case'!B12*$B268)-'Business Case'!B15*$F268</f>
        <v>-2145678637.35336</v>
      </c>
      <c r="I268" s="53" t="n">
        <f aca="false">(('Business Case'!C11*$C268*'Business Case'!C12*$B268)-'Business Case'!C11*$C268*'Business Case'!C13*$D268-'Business Case'!C14*$E268)-MAX(0,(('Business Case'!C11*$C268*'Business Case'!C12*$B268)-'Business Case'!C11*$C268*'Business Case'!C13*$D268-'Business Case'!C14*$E268))*'Business Case'!$B$7-'Business Case'!$B$8*(('Business Case'!C11*$C268*'Business Case'!C12*$B268)-('Business Case'!B11*$C268*'Business Case'!B12*$B268))-'Business Case'!C15*$F268</f>
        <v>-46380880.0667376</v>
      </c>
      <c r="J268" s="53" t="n">
        <f aca="false">(('Business Case'!D11*$C268*'Business Case'!D12*$B268)-'Business Case'!D11*$C268*'Business Case'!D13*$D268-'Business Case'!D14*$E268)-MAX(0,(('Business Case'!D11*$C268*'Business Case'!D12*$B268)-'Business Case'!D11*$C268*'Business Case'!D13*$D268-'Business Case'!D14*$E268))*'Business Case'!$B$7-'Business Case'!$B$8*(('Business Case'!D11*$C268*'Business Case'!D12*$B268)-('Business Case'!C11*$C268*'Business Case'!C12*$B268))-'Business Case'!D15*$F268</f>
        <v>213193705.587526</v>
      </c>
      <c r="K268" s="53" t="n">
        <f aca="false">(('Business Case'!E11*$C268*'Business Case'!E12*$B268)-'Business Case'!E11*$C268*'Business Case'!E13*$D268-'Business Case'!E14*$E268)-MAX(0,(('Business Case'!E11*$C268*'Business Case'!E12*$B268)-'Business Case'!E11*$C268*'Business Case'!E13*$D268-'Business Case'!E14*$E268))*'Business Case'!$B$7-'Business Case'!$B$8*(('Business Case'!E11*$C268*'Business Case'!E12*$B268)-('Business Case'!D11*$C268*'Business Case'!D12*$B268))-'Business Case'!E15*$F268</f>
        <v>526410257.175625</v>
      </c>
      <c r="L268" s="53" t="n">
        <f aca="false">(('Business Case'!F11*$C268*'Business Case'!F12*$B268)-'Business Case'!F11*$C268*'Business Case'!F13*$D268-'Business Case'!F14*$E268)-MAX(0,(('Business Case'!F11*$C268*'Business Case'!F12*$B268)-'Business Case'!F11*$C268*'Business Case'!F13*$D268-'Business Case'!F14*$E268))*'Business Case'!$B$7-'Business Case'!$B$8*(('Business Case'!F11*$C268*'Business Case'!F12*$B268)-('Business Case'!E11*$C268*'Business Case'!E12*$B268))-'Business Case'!F15*$F268</f>
        <v>648657410.010283</v>
      </c>
      <c r="M268" s="53" t="n">
        <f aca="false">(('Business Case'!G11*$C268*'Business Case'!G12*$B268)-'Business Case'!G11*$C268*'Business Case'!G13*$D268-'Business Case'!G14*$E268)-MAX(0,(('Business Case'!G11*$C268*'Business Case'!G12*$B268)-'Business Case'!G11*$C268*'Business Case'!G13*$D268-'Business Case'!G14*$E268))*'Business Case'!$B$7-'Business Case'!$B$8*(('Business Case'!G11*$C268*'Business Case'!G12*$B268)-('Business Case'!F11*$C268*'Business Case'!F12*$B268))-'Business Case'!G15*$F268+'Business Case'!$B$8*('Business Case'!G11*$C268*'Business Case'!G12*$B268)</f>
        <v>845130010.234752</v>
      </c>
      <c r="N268" s="53" t="n">
        <f aca="false">IF(COUNT('Business Case'!B11:G11)=0,"",H268+NPV(G268,I268:M268))</f>
        <v>-619373292.675223</v>
      </c>
      <c r="P268" s="54" t="n">
        <f aca="true">RAND()</f>
        <v>0.0267728316571175</v>
      </c>
      <c r="Q268" s="54" t="n">
        <f aca="true">RAND()</f>
        <v>0.960165593465063</v>
      </c>
      <c r="R268" s="54" t="n">
        <f aca="true">RAND()</f>
        <v>0.834148624556886</v>
      </c>
      <c r="S268" s="54" t="n">
        <f aca="true">RAND()</f>
        <v>0.57663474616466</v>
      </c>
      <c r="T268" s="54" t="n">
        <f aca="true">RAND()</f>
        <v>0.676603222507783</v>
      </c>
      <c r="U268" s="54" t="n">
        <f aca="true">RAND()</f>
        <v>0.0723369515045478</v>
      </c>
    </row>
    <row r="269" customFormat="false" ht="15" hidden="false" customHeight="false" outlineLevel="0" collapsed="false">
      <c r="A269" s="50" t="n">
        <v>189</v>
      </c>
      <c r="B269" s="51" t="n">
        <f aca="false">1+IF($G$6=$E$6,$F$6,IF(P269&lt;($F$6-$E$6)/($G$6-$E$6),$E$6+SQRT(P269*($G$6-$E$6)*($F$6-$E$6)),$G$6-SQRT((1-P269)*($G$6-$E$6)*($G$6-$F$6))))</f>
        <v>0.982731365100791</v>
      </c>
      <c r="C269" s="51" t="n">
        <f aca="false">1+IF($G$7=$E$7,$F$7,IF(Q269&lt;($F$7-$E$7)/($G$7-$E$7),$E$7+SQRT(Q269*($G$7-$E$7)*($F$7-$E$7)),$G$7-SQRT((1-Q269)*($G$7-$E$7)*($G$7-$F$7))))</f>
        <v>0.991104436568753</v>
      </c>
      <c r="D269" s="51" t="n">
        <f aca="false">1+IF($G$8=$E$8,$F$8,IF(R269&lt;($F$8-$E$8)/($G$8-$E$8),$E$8+SQRT(R269*($G$8-$E$8)*($F$8-$E$8)),$G$8-SQRT((1-R269)*($G$8-$E$8)*($G$8-$F$8))))</f>
        <v>1.06114702659276</v>
      </c>
      <c r="E269" s="51" t="n">
        <f aca="false">1+IF($G$9=$E$9,$F$9,IF(S269&lt;($F$9-$E$9)/($G$9-$E$9),$E$9+SQRT(S269*($G$9-$E$9)*($F$9-$E$9)),$G$9-SQRT((1-S269)*($G$9-$E$9)*($G$9-$F$9))))</f>
        <v>0.963312343814221</v>
      </c>
      <c r="F269" s="51" t="n">
        <f aca="false">1+IF($G$10=$E$10,$F$10,IF(T269&lt;($F$10-$E$10)/($G$10-$E$10),$E$10+SQRT(T269*($G$10-$E$10)*($F$10-$E$10)),$G$10-SQRT((1-T269)*($G$10-$E$10)*($G$10-$F$10))))</f>
        <v>1.10194324250628</v>
      </c>
      <c r="G269" s="52" t="n">
        <f aca="false">IF($G$11=$E$11,$F$11,IF(U269&lt;($F$11-$E$11)/($G$11-$E$11),$E$11+SQRT(U269*($G$11-$E$11)*($F$11-$E$11)),$G$11-SQRT((1-U269)*($G$11-$E$11)*($G$11-$F$11))))</f>
        <v>0.116714307157061</v>
      </c>
      <c r="H269" s="53" t="n">
        <f aca="false">(('Business Case'!B11*$C269*'Business Case'!B12*$B269)-'Business Case'!B11*$C269*'Business Case'!B13*$D269-'Business Case'!B14*$E269)-MAX(0,(('Business Case'!B11*$C269*'Business Case'!B12*$B269)-'Business Case'!B11*$C269*'Business Case'!B13*$D269-'Business Case'!B14*$E269))*'Business Case'!$B$7-'Business Case'!$B$8*('Business Case'!B11*$C269*'Business Case'!B12*$B269)-'Business Case'!B15*$F269</f>
        <v>-2203886485.01255</v>
      </c>
      <c r="I269" s="53" t="n">
        <f aca="false">(('Business Case'!C11*$C269*'Business Case'!C12*$B269)-'Business Case'!C11*$C269*'Business Case'!C13*$D269-'Business Case'!C14*$E269)-MAX(0,(('Business Case'!C11*$C269*'Business Case'!C12*$B269)-'Business Case'!C11*$C269*'Business Case'!C13*$D269-'Business Case'!C14*$E269))*'Business Case'!$B$7-'Business Case'!$B$8*(('Business Case'!C11*$C269*'Business Case'!C12*$B269)-('Business Case'!B11*$C269*'Business Case'!B12*$B269))-'Business Case'!C15*$F269</f>
        <v>-38291608.6588457</v>
      </c>
      <c r="J269" s="53" t="n">
        <f aca="false">(('Business Case'!D11*$C269*'Business Case'!D12*$B269)-'Business Case'!D11*$C269*'Business Case'!D13*$D269-'Business Case'!D14*$E269)-MAX(0,(('Business Case'!D11*$C269*'Business Case'!D12*$B269)-'Business Case'!D11*$C269*'Business Case'!D13*$D269-'Business Case'!D14*$E269))*'Business Case'!$B$7-'Business Case'!$B$8*(('Business Case'!D11*$C269*'Business Case'!D12*$B269)-('Business Case'!C11*$C269*'Business Case'!C12*$B269))-'Business Case'!D15*$F269</f>
        <v>221085733.54392</v>
      </c>
      <c r="K269" s="53" t="n">
        <f aca="false">(('Business Case'!E11*$C269*'Business Case'!E12*$B269)-'Business Case'!E11*$C269*'Business Case'!E13*$D269-'Business Case'!E14*$E269)-MAX(0,(('Business Case'!E11*$C269*'Business Case'!E12*$B269)-'Business Case'!E11*$C269*'Business Case'!E13*$D269-'Business Case'!E14*$E269))*'Business Case'!$B$7-'Business Case'!$B$8*(('Business Case'!E11*$C269*'Business Case'!E12*$B269)-('Business Case'!D11*$C269*'Business Case'!D12*$B269))-'Business Case'!E15*$F269</f>
        <v>535560237.871999</v>
      </c>
      <c r="L269" s="53" t="n">
        <f aca="false">(('Business Case'!F11*$C269*'Business Case'!F12*$B269)-'Business Case'!F11*$C269*'Business Case'!F13*$D269-'Business Case'!F14*$E269)-MAX(0,(('Business Case'!F11*$C269*'Business Case'!F12*$B269)-'Business Case'!F11*$C269*'Business Case'!F13*$D269-'Business Case'!F14*$E269))*'Business Case'!$B$7-'Business Case'!$B$8*(('Business Case'!F11*$C269*'Business Case'!F12*$B269)-('Business Case'!E11*$C269*'Business Case'!E12*$B269))-'Business Case'!F15*$F269</f>
        <v>655680426.153321</v>
      </c>
      <c r="M269" s="53" t="n">
        <f aca="false">(('Business Case'!G11*$C269*'Business Case'!G12*$B269)-'Business Case'!G11*$C269*'Business Case'!G13*$D269-'Business Case'!G14*$E269)-MAX(0,(('Business Case'!G11*$C269*'Business Case'!G12*$B269)-'Business Case'!G11*$C269*'Business Case'!G13*$D269-'Business Case'!G14*$E269))*'Business Case'!$B$7-'Business Case'!$B$8*(('Business Case'!G11*$C269*'Business Case'!G12*$B269)-('Business Case'!F11*$C269*'Business Case'!F12*$B269))-'Business Case'!G15*$F269+'Business Case'!$B$8*('Business Case'!G11*$C269*'Business Case'!G12*$B269)</f>
        <v>840816334.328859</v>
      </c>
      <c r="N269" s="53" t="n">
        <f aca="false">IF(COUNT('Business Case'!B11:G11)=0,"",H269+NPV(G269,I269:M269))</f>
        <v>-770528575.201468</v>
      </c>
      <c r="P269" s="54" t="n">
        <f aca="true">RAND()</f>
        <v>0.409919184105073</v>
      </c>
      <c r="Q269" s="54" t="n">
        <f aca="true">RAND()</f>
        <v>0.521727223946579</v>
      </c>
      <c r="R269" s="54" t="n">
        <f aca="true">RAND()</f>
        <v>0.965823595548653</v>
      </c>
      <c r="S269" s="54" t="n">
        <f aca="true">RAND()</f>
        <v>0.0236291330437358</v>
      </c>
      <c r="T269" s="54" t="n">
        <f aca="true">RAND()</f>
        <v>0.807697446196336</v>
      </c>
      <c r="U269" s="54" t="n">
        <f aca="true">RAND()</f>
        <v>0.982007037569765</v>
      </c>
    </row>
    <row r="270" customFormat="false" ht="15" hidden="false" customHeight="false" outlineLevel="0" collapsed="false">
      <c r="A270" s="50" t="n">
        <v>190</v>
      </c>
      <c r="B270" s="51" t="n">
        <f aca="false">1+IF($G$6=$E$6,$F$6,IF(P270&lt;($F$6-$E$6)/($G$6-$E$6),$E$6+SQRT(P270*($G$6-$E$6)*($F$6-$E$6)),$G$6-SQRT((1-P270)*($G$6-$E$6)*($G$6-$F$6))))</f>
        <v>1.0155397266675</v>
      </c>
      <c r="C270" s="51" t="n">
        <f aca="false">1+IF($G$7=$E$7,$F$7,IF(Q270&lt;($F$7-$E$7)/($G$7-$E$7),$E$7+SQRT(Q270*($G$7-$E$7)*($F$7-$E$7)),$G$7-SQRT((1-Q270)*($G$7-$E$7)*($G$7-$F$7))))</f>
        <v>0.86208902447802</v>
      </c>
      <c r="D270" s="51" t="n">
        <f aca="false">1+IF($G$8=$E$8,$F$8,IF(R270&lt;($F$8-$E$8)/($G$8-$E$8),$E$8+SQRT(R270*($G$8-$E$8)*($F$8-$E$8)),$G$8-SQRT((1-R270)*($G$8-$E$8)*($G$8-$F$8))))</f>
        <v>1.00481882644785</v>
      </c>
      <c r="E270" s="51" t="n">
        <f aca="false">1+IF($G$9=$E$9,$F$9,IF(S270&lt;($F$9-$E$9)/($G$9-$E$9),$E$9+SQRT(S270*($G$9-$E$9)*($F$9-$E$9)),$G$9-SQRT((1-S270)*($G$9-$E$9)*($G$9-$F$9))))</f>
        <v>1.02197801537385</v>
      </c>
      <c r="F270" s="51" t="n">
        <f aca="false">1+IF($G$10=$E$10,$F$10,IF(T270&lt;($F$10-$E$10)/($G$10-$E$10),$E$10+SQRT(T270*($G$10-$E$10)*($F$10-$E$10)),$G$10-SQRT((1-T270)*($G$10-$E$10)*($G$10-$F$10))))</f>
        <v>1.13098824617432</v>
      </c>
      <c r="G270" s="52" t="n">
        <f aca="false">IF($G$11=$E$11,$F$11,IF(U270&lt;($F$11-$E$11)/($G$11-$E$11),$E$11+SQRT(U270*($G$11-$E$11)*($F$11-$E$11)),$G$11-SQRT((1-U270)*($G$11-$E$11)*($G$11-$F$11))))</f>
        <v>0.105390150553874</v>
      </c>
      <c r="H270" s="53" t="n">
        <f aca="false">(('Business Case'!B11*$C270*'Business Case'!B12*$B270)-'Business Case'!B11*$C270*'Business Case'!B13*$D270-'Business Case'!B14*$E270)-MAX(0,(('Business Case'!B11*$C270*'Business Case'!B12*$B270)-'Business Case'!B11*$C270*'Business Case'!B13*$D270-'Business Case'!B14*$E270))*'Business Case'!$B$7-'Business Case'!$B$8*('Business Case'!B11*$C270*'Business Case'!B12*$B270)-'Business Case'!B15*$F270</f>
        <v>-2261976492.34864</v>
      </c>
      <c r="I270" s="53" t="n">
        <f aca="false">(('Business Case'!C11*$C270*'Business Case'!C12*$B270)-'Business Case'!C11*$C270*'Business Case'!C13*$D270-'Business Case'!C14*$E270)-MAX(0,(('Business Case'!C11*$C270*'Business Case'!C12*$B270)-'Business Case'!C11*$C270*'Business Case'!C13*$D270-'Business Case'!C14*$E270))*'Business Case'!$B$7-'Business Case'!$B$8*(('Business Case'!C11*$C270*'Business Case'!C12*$B270)-('Business Case'!B11*$C270*'Business Case'!B12*$B270))-'Business Case'!C15*$F270</f>
        <v>-30170751.2870581</v>
      </c>
      <c r="J270" s="53" t="n">
        <f aca="false">(('Business Case'!D11*$C270*'Business Case'!D12*$B270)-'Business Case'!D11*$C270*'Business Case'!D13*$D270-'Business Case'!D14*$E270)-MAX(0,(('Business Case'!D11*$C270*'Business Case'!D12*$B270)-'Business Case'!D11*$C270*'Business Case'!D13*$D270-'Business Case'!D14*$E270))*'Business Case'!$B$7-'Business Case'!$B$8*(('Business Case'!D11*$C270*'Business Case'!D12*$B270)-('Business Case'!C11*$C270*'Business Case'!C12*$B270))-'Business Case'!D15*$F270</f>
        <v>243467772.043748</v>
      </c>
      <c r="K270" s="53" t="n">
        <f aca="false">(('Business Case'!E11*$C270*'Business Case'!E12*$B270)-'Business Case'!E11*$C270*'Business Case'!E13*$D270-'Business Case'!E14*$E270)-MAX(0,(('Business Case'!E11*$C270*'Business Case'!E12*$B270)-'Business Case'!E11*$C270*'Business Case'!E13*$D270-'Business Case'!E14*$E270))*'Business Case'!$B$7-'Business Case'!$B$8*(('Business Case'!E11*$C270*'Business Case'!E12*$B270)-('Business Case'!D11*$C270*'Business Case'!D12*$B270))-'Business Case'!E15*$F270</f>
        <v>573655707.683271</v>
      </c>
      <c r="L270" s="53" t="n">
        <f aca="false">(('Business Case'!F11*$C270*'Business Case'!F12*$B270)-'Business Case'!F11*$C270*'Business Case'!F13*$D270-'Business Case'!F14*$E270)-MAX(0,(('Business Case'!F11*$C270*'Business Case'!F12*$B270)-'Business Case'!F11*$C270*'Business Case'!F13*$D270-'Business Case'!F14*$E270))*'Business Case'!$B$7-'Business Case'!$B$8*(('Business Case'!F11*$C270*'Business Case'!F12*$B270)-('Business Case'!E11*$C270*'Business Case'!E12*$B270))-'Business Case'!F15*$F270</f>
        <v>695125332.936387</v>
      </c>
      <c r="M270" s="53" t="n">
        <f aca="false">(('Business Case'!G11*$C270*'Business Case'!G12*$B270)-'Business Case'!G11*$C270*'Business Case'!G13*$D270-'Business Case'!G14*$E270)-MAX(0,(('Business Case'!G11*$C270*'Business Case'!G12*$B270)-'Business Case'!G11*$C270*'Business Case'!G13*$D270-'Business Case'!G14*$E270))*'Business Case'!$B$7-'Business Case'!$B$8*(('Business Case'!G11*$C270*'Business Case'!G12*$B270)-('Business Case'!F11*$C270*'Business Case'!F12*$B270))-'Business Case'!G15*$F270+'Business Case'!$B$8*('Business Case'!G11*$C270*'Business Case'!G12*$B270)</f>
        <v>861537645.722047</v>
      </c>
      <c r="N270" s="53" t="n">
        <f aca="false">IF(COUNT('Business Case'!B11:G11)=0,"",H270+NPV(G270,I270:M270))</f>
        <v>-677675498.907534</v>
      </c>
      <c r="P270" s="54" t="n">
        <f aca="true">RAND()</f>
        <v>0.875353130937339</v>
      </c>
      <c r="Q270" s="54" t="n">
        <f aca="true">RAND()</f>
        <v>0.0550720994376025</v>
      </c>
      <c r="R270" s="54" t="n">
        <f aca="true">RAND()</f>
        <v>0.45651837916546</v>
      </c>
      <c r="S270" s="54" t="n">
        <f aca="true">RAND()</f>
        <v>0.594171327666492</v>
      </c>
      <c r="T270" s="54" t="n">
        <f aca="true">RAND()</f>
        <v>0.904747556678071</v>
      </c>
      <c r="U270" s="54" t="n">
        <f aca="true">RAND()</f>
        <v>0.644253831935868</v>
      </c>
    </row>
    <row r="271" customFormat="false" ht="15" hidden="false" customHeight="false" outlineLevel="0" collapsed="false">
      <c r="A271" s="50" t="n">
        <v>191</v>
      </c>
      <c r="B271" s="51" t="n">
        <f aca="false">1+IF($G$6=$E$6,$F$6,IF(P271&lt;($F$6-$E$6)/($G$6-$E$6),$E$6+SQRT(P271*($G$6-$E$6)*($F$6-$E$6)),$G$6-SQRT((1-P271)*($G$6-$E$6)*($G$6-$F$6))))</f>
        <v>0.977511677765351</v>
      </c>
      <c r="C271" s="51" t="n">
        <f aca="false">1+IF($G$7=$E$7,$F$7,IF(Q271&lt;($F$7-$E$7)/($G$7-$E$7),$E$7+SQRT(Q271*($G$7-$E$7)*($F$7-$E$7)),$G$7-SQRT((1-Q271)*($G$7-$E$7)*($G$7-$F$7))))</f>
        <v>0.965079540355298</v>
      </c>
      <c r="D271" s="51" t="n">
        <f aca="false">1+IF($G$8=$E$8,$F$8,IF(R271&lt;($F$8-$E$8)/($G$8-$E$8),$E$8+SQRT(R271*($G$8-$E$8)*($F$8-$E$8)),$G$8-SQRT((1-R271)*($G$8-$E$8)*($G$8-$F$8))))</f>
        <v>0.995325596032212</v>
      </c>
      <c r="E271" s="51" t="n">
        <f aca="false">1+IF($G$9=$E$9,$F$9,IF(S271&lt;($F$9-$E$9)/($G$9-$E$9),$E$9+SQRT(S271*($G$9-$E$9)*($F$9-$E$9)),$G$9-SQRT((1-S271)*($G$9-$E$9)*($G$9-$F$9))))</f>
        <v>1.06040750068243</v>
      </c>
      <c r="F271" s="51" t="n">
        <f aca="false">1+IF($G$10=$E$10,$F$10,IF(T271&lt;($F$10-$E$10)/($G$10-$E$10),$E$10+SQRT(T271*($G$10-$E$10)*($F$10-$E$10)),$G$10-SQRT((1-T271)*($G$10-$E$10)*($G$10-$F$10))))</f>
        <v>0.993238243928464</v>
      </c>
      <c r="G271" s="52" t="n">
        <f aca="false">IF($G$11=$E$11,$F$11,IF(U271&lt;($F$11-$E$11)/($G$11-$E$11),$E$11+SQRT(U271*($G$11-$E$11)*($F$11-$E$11)),$G$11-SQRT((1-U271)*($G$11-$E$11)*($G$11-$F$11))))</f>
        <v>0.097033376398529</v>
      </c>
      <c r="H271" s="53" t="n">
        <f aca="false">(('Business Case'!B11*$C271*'Business Case'!B12*$B271)-'Business Case'!B11*$C271*'Business Case'!B13*$D271-'Business Case'!B14*$E271)-MAX(0,(('Business Case'!B11*$C271*'Business Case'!B12*$B271)-'Business Case'!B11*$C271*'Business Case'!B13*$D271-'Business Case'!B14*$E271))*'Business Case'!$B$7-'Business Case'!$B$8*('Business Case'!B11*$C271*'Business Case'!B12*$B271)-'Business Case'!B15*$F271</f>
        <v>-1986476487.85693</v>
      </c>
      <c r="I271" s="53" t="n">
        <f aca="false">(('Business Case'!C11*$C271*'Business Case'!C12*$B271)-'Business Case'!C11*$C271*'Business Case'!C13*$D271-'Business Case'!C14*$E271)-MAX(0,(('Business Case'!C11*$C271*'Business Case'!C12*$B271)-'Business Case'!C11*$C271*'Business Case'!C13*$D271-'Business Case'!C14*$E271))*'Business Case'!$B$7-'Business Case'!$B$8*(('Business Case'!C11*$C271*'Business Case'!C12*$B271)-('Business Case'!B11*$C271*'Business Case'!B12*$B271))-'Business Case'!C15*$F271</f>
        <v>-18059275.5999047</v>
      </c>
      <c r="J271" s="53" t="n">
        <f aca="false">(('Business Case'!D11*$C271*'Business Case'!D12*$B271)-'Business Case'!D11*$C271*'Business Case'!D13*$D271-'Business Case'!D14*$E271)-MAX(0,(('Business Case'!D11*$C271*'Business Case'!D12*$B271)-'Business Case'!D11*$C271*'Business Case'!D13*$D271-'Business Case'!D14*$E271))*'Business Case'!$B$7-'Business Case'!$B$8*(('Business Case'!D11*$C271*'Business Case'!D12*$B271)-('Business Case'!C11*$C271*'Business Case'!C12*$B271))-'Business Case'!D15*$F271</f>
        <v>262899858.621597</v>
      </c>
      <c r="K271" s="53" t="n">
        <f aca="false">(('Business Case'!E11*$C271*'Business Case'!E12*$B271)-'Business Case'!E11*$C271*'Business Case'!E13*$D271-'Business Case'!E14*$E271)-MAX(0,(('Business Case'!E11*$C271*'Business Case'!E12*$B271)-'Business Case'!E11*$C271*'Business Case'!E13*$D271-'Business Case'!E14*$E271))*'Business Case'!$B$7-'Business Case'!$B$8*(('Business Case'!E11*$C271*'Business Case'!E12*$B271)-('Business Case'!D11*$C271*'Business Case'!D12*$B271))-'Business Case'!E15*$F271</f>
        <v>593520905.039521</v>
      </c>
      <c r="L271" s="53" t="n">
        <f aca="false">(('Business Case'!F11*$C271*'Business Case'!F12*$B271)-'Business Case'!F11*$C271*'Business Case'!F13*$D271-'Business Case'!F14*$E271)-MAX(0,(('Business Case'!F11*$C271*'Business Case'!F12*$B271)-'Business Case'!F11*$C271*'Business Case'!F13*$D271-'Business Case'!F14*$E271))*'Business Case'!$B$7-'Business Case'!$B$8*(('Business Case'!F11*$C271*'Business Case'!F12*$B271)-('Business Case'!E11*$C271*'Business Case'!E12*$B271))-'Business Case'!F15*$F271</f>
        <v>719777042.334367</v>
      </c>
      <c r="M271" s="53" t="n">
        <f aca="false">(('Business Case'!G11*$C271*'Business Case'!G12*$B271)-'Business Case'!G11*$C271*'Business Case'!G13*$D271-'Business Case'!G14*$E271)-MAX(0,(('Business Case'!G11*$C271*'Business Case'!G12*$B271)-'Business Case'!G11*$C271*'Business Case'!G13*$D271-'Business Case'!G14*$E271))*'Business Case'!$B$7-'Business Case'!$B$8*(('Business Case'!G11*$C271*'Business Case'!G12*$B271)-('Business Case'!F11*$C271*'Business Case'!F12*$B271))-'Business Case'!G15*$F271+'Business Case'!$B$8*('Business Case'!G11*$C271*'Business Case'!G12*$B271)</f>
        <v>899094051.383268</v>
      </c>
      <c r="N271" s="53" t="n">
        <f aca="false">IF(COUNT('Business Case'!B11:G11)=0,"",H271+NPV(G271,I271:M271))</f>
        <v>-272127876.887642</v>
      </c>
      <c r="P271" s="54" t="n">
        <f aca="true">RAND()</f>
        <v>0.34454094576933</v>
      </c>
      <c r="Q271" s="54" t="n">
        <f aca="true">RAND()</f>
        <v>0.389303637770237</v>
      </c>
      <c r="R271" s="54" t="n">
        <f aca="true">RAND()</f>
        <v>0.316063023950038</v>
      </c>
      <c r="S271" s="54" t="n">
        <f aca="true">RAND()</f>
        <v>0.895495599852533</v>
      </c>
      <c r="T271" s="54" t="n">
        <f aca="true">RAND()</f>
        <v>0.149563659041391</v>
      </c>
      <c r="U271" s="54" t="n">
        <f aca="true">RAND()</f>
        <v>0.164894611877947</v>
      </c>
    </row>
    <row r="272" customFormat="false" ht="15" hidden="false" customHeight="false" outlineLevel="0" collapsed="false">
      <c r="A272" s="50" t="n">
        <v>192</v>
      </c>
      <c r="B272" s="51" t="n">
        <f aca="false">1+IF($G$6=$E$6,$F$6,IF(P272&lt;($F$6-$E$6)/($G$6-$E$6),$E$6+SQRT(P272*($G$6-$E$6)*($F$6-$E$6)),$G$6-SQRT((1-P272)*($G$6-$E$6)*($G$6-$F$6))))</f>
        <v>1.0148165753242</v>
      </c>
      <c r="C272" s="51" t="n">
        <f aca="false">1+IF($G$7=$E$7,$F$7,IF(Q272&lt;($F$7-$E$7)/($G$7-$E$7),$E$7+SQRT(Q272*($G$7-$E$7)*($F$7-$E$7)),$G$7-SQRT((1-Q272)*($G$7-$E$7)*($G$7-$F$7))))</f>
        <v>1.11077315760611</v>
      </c>
      <c r="D272" s="51" t="n">
        <f aca="false">1+IF($G$8=$E$8,$F$8,IF(R272&lt;($F$8-$E$8)/($G$8-$E$8),$E$8+SQRT(R272*($G$8-$E$8)*($F$8-$E$8)),$G$8-SQRT((1-R272)*($G$8-$E$8)*($G$8-$F$8))))</f>
        <v>1.05477896904521</v>
      </c>
      <c r="E272" s="51" t="n">
        <f aca="false">1+IF($G$9=$E$9,$F$9,IF(S272&lt;($F$9-$E$9)/($G$9-$E$9),$E$9+SQRT(S272*($G$9-$E$9)*($F$9-$E$9)),$G$9-SQRT((1-S272)*($G$9-$E$9)*($G$9-$F$9))))</f>
        <v>1.00977963477537</v>
      </c>
      <c r="F272" s="51" t="n">
        <f aca="false">1+IF($G$10=$E$10,$F$10,IF(T272&lt;($F$10-$E$10)/($G$10-$E$10),$E$10+SQRT(T272*($G$10-$E$10)*($F$10-$E$10)),$G$10-SQRT((1-T272)*($G$10-$E$10)*($G$10-$F$10))))</f>
        <v>1.11118844434083</v>
      </c>
      <c r="G272" s="52" t="n">
        <f aca="false">IF($G$11=$E$11,$F$11,IF(U272&lt;($F$11-$E$11)/($G$11-$E$11),$E$11+SQRT(U272*($G$11-$E$11)*($F$11-$E$11)),$G$11-SQRT((1-U272)*($G$11-$E$11)*($G$11-$F$11))))</f>
        <v>0.105062526165027</v>
      </c>
      <c r="H272" s="53" t="n">
        <f aca="false">(('Business Case'!B11*$C272*'Business Case'!B12*$B272)-'Business Case'!B11*$C272*'Business Case'!B13*$D272-'Business Case'!B14*$E272)-MAX(0,(('Business Case'!B11*$C272*'Business Case'!B12*$B272)-'Business Case'!B11*$C272*'Business Case'!B13*$D272-'Business Case'!B14*$E272))*'Business Case'!$B$7-'Business Case'!$B$8*('Business Case'!B11*$C272*'Business Case'!B12*$B272)-'Business Case'!B15*$F272</f>
        <v>-2222376888.68166</v>
      </c>
      <c r="I272" s="53" t="n">
        <f aca="false">(('Business Case'!C11*$C272*'Business Case'!C12*$B272)-'Business Case'!C11*$C272*'Business Case'!C13*$D272-'Business Case'!C14*$E272)-MAX(0,(('Business Case'!C11*$C272*'Business Case'!C12*$B272)-'Business Case'!C11*$C272*'Business Case'!C13*$D272-'Business Case'!C14*$E272))*'Business Case'!$B$7-'Business Case'!$B$8*(('Business Case'!C11*$C272*'Business Case'!C12*$B272)-('Business Case'!B11*$C272*'Business Case'!B12*$B272))-'Business Case'!C15*$F272</f>
        <v>10362399.7280573</v>
      </c>
      <c r="J272" s="53" t="n">
        <f aca="false">(('Business Case'!D11*$C272*'Business Case'!D12*$B272)-'Business Case'!D11*$C272*'Business Case'!D13*$D272-'Business Case'!D14*$E272)-MAX(0,(('Business Case'!D11*$C272*'Business Case'!D12*$B272)-'Business Case'!D11*$C272*'Business Case'!D13*$D272-'Business Case'!D14*$E272))*'Business Case'!$B$7-'Business Case'!$B$8*(('Business Case'!D11*$C272*'Business Case'!D12*$B272)-('Business Case'!C11*$C272*'Business Case'!C12*$B272))-'Business Case'!D15*$F272</f>
        <v>333869963.605094</v>
      </c>
      <c r="K272" s="53" t="n">
        <f aca="false">(('Business Case'!E11*$C272*'Business Case'!E12*$B272)-'Business Case'!E11*$C272*'Business Case'!E13*$D272-'Business Case'!E14*$E272)-MAX(0,(('Business Case'!E11*$C272*'Business Case'!E12*$B272)-'Business Case'!E11*$C272*'Business Case'!E13*$D272-'Business Case'!E14*$E272))*'Business Case'!$B$7-'Business Case'!$B$8*(('Business Case'!E11*$C272*'Business Case'!E12*$B272)-('Business Case'!D11*$C272*'Business Case'!D12*$B272))-'Business Case'!E15*$F272</f>
        <v>712936949.699173</v>
      </c>
      <c r="L272" s="53" t="n">
        <f aca="false">(('Business Case'!F11*$C272*'Business Case'!F12*$B272)-'Business Case'!F11*$C272*'Business Case'!F13*$D272-'Business Case'!F14*$E272)-MAX(0,(('Business Case'!F11*$C272*'Business Case'!F12*$B272)-'Business Case'!F11*$C272*'Business Case'!F13*$D272-'Business Case'!F14*$E272))*'Business Case'!$B$7-'Business Case'!$B$8*(('Business Case'!F11*$C272*'Business Case'!F12*$B272)-('Business Case'!E11*$C272*'Business Case'!E12*$B272))-'Business Case'!F15*$F272</f>
        <v>859729908.091411</v>
      </c>
      <c r="M272" s="53" t="n">
        <f aca="false">(('Business Case'!G11*$C272*'Business Case'!G12*$B272)-'Business Case'!G11*$C272*'Business Case'!G13*$D272-'Business Case'!G14*$E272)-MAX(0,(('Business Case'!G11*$C272*'Business Case'!G12*$B272)-'Business Case'!G11*$C272*'Business Case'!G13*$D272-'Business Case'!G14*$E272))*'Business Case'!$B$7-'Business Case'!$B$8*(('Business Case'!G11*$C272*'Business Case'!G12*$B272)-('Business Case'!F11*$C272*'Business Case'!F12*$B272))-'Business Case'!G15*$F272+'Business Case'!$B$8*('Business Case'!G11*$C272*'Business Case'!G12*$B272)</f>
        <v>1073993978.80749</v>
      </c>
      <c r="N272" s="53" t="n">
        <f aca="false">IF(COUNT('Business Case'!B11:G11)=0,"",H272+NPV(G272,I272:M272))</f>
        <v>-183034191.041926</v>
      </c>
      <c r="P272" s="54" t="n">
        <f aca="true">RAND()</f>
        <v>0.867873983666291</v>
      </c>
      <c r="Q272" s="54" t="n">
        <f aca="true">RAND()</f>
        <v>0.970690568301044</v>
      </c>
      <c r="R272" s="54" t="n">
        <f aca="true">RAND()</f>
        <v>0.938836499767074</v>
      </c>
      <c r="S272" s="54" t="n">
        <f aca="true">RAND()</f>
        <v>0.45735237991558</v>
      </c>
      <c r="T272" s="54" t="n">
        <f aca="true">RAND()</f>
        <v>0.84225015162797</v>
      </c>
      <c r="U272" s="54" t="n">
        <f aca="true">RAND()</f>
        <v>0.628119792382479</v>
      </c>
    </row>
    <row r="273" customFormat="false" ht="15" hidden="false" customHeight="false" outlineLevel="0" collapsed="false">
      <c r="A273" s="50" t="n">
        <v>193</v>
      </c>
      <c r="B273" s="51" t="n">
        <f aca="false">1+IF($G$6=$E$6,$F$6,IF(P273&lt;($F$6-$E$6)/($G$6-$E$6),$E$6+SQRT(P273*($G$6-$E$6)*($F$6-$E$6)),$G$6-SQRT((1-P273)*($G$6-$E$6)*($G$6-$F$6))))</f>
        <v>1.01959707447478</v>
      </c>
      <c r="C273" s="51" t="n">
        <f aca="false">1+IF($G$7=$E$7,$F$7,IF(Q273&lt;($F$7-$E$7)/($G$7-$E$7),$E$7+SQRT(Q273*($G$7-$E$7)*($F$7-$E$7)),$G$7-SQRT((1-Q273)*($G$7-$E$7)*($G$7-$F$7))))</f>
        <v>1.09459611082255</v>
      </c>
      <c r="D273" s="51" t="n">
        <f aca="false">1+IF($G$8=$E$8,$F$8,IF(R273&lt;($F$8-$E$8)/($G$8-$E$8),$E$8+SQRT(R273*($G$8-$E$8)*($F$8-$E$8)),$G$8-SQRT((1-R273)*($G$8-$E$8)*($G$8-$F$8))))</f>
        <v>1.00577726051084</v>
      </c>
      <c r="E273" s="51" t="n">
        <f aca="false">1+IF($G$9=$E$9,$F$9,IF(S273&lt;($F$9-$E$9)/($G$9-$E$9),$E$9+SQRT(S273*($G$9-$E$9)*($F$9-$E$9)),$G$9-SQRT((1-S273)*($G$9-$E$9)*($G$9-$F$9))))</f>
        <v>1.01362337715357</v>
      </c>
      <c r="F273" s="51" t="n">
        <f aca="false">1+IF($G$10=$E$10,$F$10,IF(T273&lt;($F$10-$E$10)/($G$10-$E$10),$E$10+SQRT(T273*($G$10-$E$10)*($F$10-$E$10)),$G$10-SQRT((1-T273)*($G$10-$E$10)*($G$10-$F$10))))</f>
        <v>1.16289270683261</v>
      </c>
      <c r="G273" s="52" t="n">
        <f aca="false">IF($G$11=$E$11,$F$11,IF(U273&lt;($F$11-$E$11)/($G$11-$E$11),$E$11+SQRT(U273*($G$11-$E$11)*($F$11-$E$11)),$G$11-SQRT((1-U273)*($G$11-$E$11)*($G$11-$F$11))))</f>
        <v>0.101034267963658</v>
      </c>
      <c r="H273" s="53" t="n">
        <f aca="false">(('Business Case'!B11*$C273*'Business Case'!B12*$B273)-'Business Case'!B11*$C273*'Business Case'!B13*$D273-'Business Case'!B14*$E273)-MAX(0,(('Business Case'!B11*$C273*'Business Case'!B12*$B273)-'Business Case'!B11*$C273*'Business Case'!B13*$D273-'Business Case'!B14*$E273))*'Business Case'!$B$7-'Business Case'!$B$8*('Business Case'!B11*$C273*'Business Case'!B12*$B273)-'Business Case'!B15*$F273</f>
        <v>-2325785413.66522</v>
      </c>
      <c r="I273" s="53" t="n">
        <f aca="false">(('Business Case'!C11*$C273*'Business Case'!C12*$B273)-'Business Case'!C11*$C273*'Business Case'!C13*$D273-'Business Case'!C14*$E273)-MAX(0,(('Business Case'!C11*$C273*'Business Case'!C12*$B273)-'Business Case'!C11*$C273*'Business Case'!C13*$D273-'Business Case'!C14*$E273))*'Business Case'!$B$7-'Business Case'!$B$8*(('Business Case'!C11*$C273*'Business Case'!C12*$B273)-('Business Case'!B11*$C273*'Business Case'!B12*$B273))-'Business Case'!C15*$F273</f>
        <v>32257547.3051256</v>
      </c>
      <c r="J273" s="53" t="n">
        <f aca="false">(('Business Case'!D11*$C273*'Business Case'!D12*$B273)-'Business Case'!D11*$C273*'Business Case'!D13*$D273-'Business Case'!D14*$E273)-MAX(0,(('Business Case'!D11*$C273*'Business Case'!D12*$B273)-'Business Case'!D11*$C273*'Business Case'!D13*$D273-'Business Case'!D14*$E273))*'Business Case'!$B$7-'Business Case'!$B$8*(('Business Case'!D11*$C273*'Business Case'!D12*$B273)-('Business Case'!C11*$C273*'Business Case'!C12*$B273))-'Business Case'!D15*$F273</f>
        <v>382797485.606938</v>
      </c>
      <c r="K273" s="53" t="n">
        <f aca="false">(('Business Case'!E11*$C273*'Business Case'!E12*$B273)-'Business Case'!E11*$C273*'Business Case'!E13*$D273-'Business Case'!E14*$E273)-MAX(0,(('Business Case'!E11*$C273*'Business Case'!E12*$B273)-'Business Case'!E11*$C273*'Business Case'!E13*$D273-'Business Case'!E14*$E273))*'Business Case'!$B$7-'Business Case'!$B$8*(('Business Case'!E11*$C273*'Business Case'!E12*$B273)-('Business Case'!D11*$C273*'Business Case'!D12*$B273))-'Business Case'!E15*$F273</f>
        <v>791482059.25038</v>
      </c>
      <c r="L273" s="53" t="n">
        <f aca="false">(('Business Case'!F11*$C273*'Business Case'!F12*$B273)-'Business Case'!F11*$C273*'Business Case'!F13*$D273-'Business Case'!F14*$E273)-MAX(0,(('Business Case'!F11*$C273*'Business Case'!F12*$B273)-'Business Case'!F11*$C273*'Business Case'!F13*$D273-'Business Case'!F14*$E273))*'Business Case'!$B$7-'Business Case'!$B$8*(('Business Case'!F11*$C273*'Business Case'!F12*$B273)-('Business Case'!E11*$C273*'Business Case'!E12*$B273))-'Business Case'!F15*$F273</f>
        <v>946899289.405776</v>
      </c>
      <c r="M273" s="53" t="n">
        <f aca="false">(('Business Case'!G11*$C273*'Business Case'!G12*$B273)-'Business Case'!G11*$C273*'Business Case'!G13*$D273-'Business Case'!G14*$E273)-MAX(0,(('Business Case'!G11*$C273*'Business Case'!G12*$B273)-'Business Case'!G11*$C273*'Business Case'!G13*$D273-'Business Case'!G14*$E273))*'Business Case'!$B$7-'Business Case'!$B$8*(('Business Case'!G11*$C273*'Business Case'!G12*$B273)-('Business Case'!F11*$C273*'Business Case'!F12*$B273))-'Business Case'!G15*$F273+'Business Case'!$B$8*('Business Case'!G11*$C273*'Business Case'!G12*$B273)</f>
        <v>1159037501.70713</v>
      </c>
      <c r="N273" s="53" t="n">
        <f aca="false">IF(COUNT('Business Case'!B11:G11)=0,"",H273+NPV(G273,I273:M273))</f>
        <v>-27126891.5894012</v>
      </c>
      <c r="P273" s="54" t="n">
        <f aca="true">RAND()</f>
        <v>0.913275131252601</v>
      </c>
      <c r="Q273" s="54" t="n">
        <f aca="true">RAND()</f>
        <v>0.941531601219298</v>
      </c>
      <c r="R273" s="54" t="n">
        <f aca="true">RAND()</f>
        <v>0.470287013723472</v>
      </c>
      <c r="S273" s="54" t="n">
        <f aca="true">RAND()</f>
        <v>0.50260526837638</v>
      </c>
      <c r="T273" s="54" t="n">
        <f aca="true">RAND()</f>
        <v>0.972460975875791</v>
      </c>
      <c r="U273" s="54" t="n">
        <f aca="true">RAND()</f>
        <v>0.400501680542775</v>
      </c>
    </row>
    <row r="274" customFormat="false" ht="15" hidden="false" customHeight="false" outlineLevel="0" collapsed="false">
      <c r="A274" s="50" t="n">
        <v>194</v>
      </c>
      <c r="B274" s="51" t="n">
        <f aca="false">1+IF($G$6=$E$6,$F$6,IF(P274&lt;($F$6-$E$6)/($G$6-$E$6),$E$6+SQRT(P274*($G$6-$E$6)*($F$6-$E$6)),$G$6-SQRT((1-P274)*($G$6-$E$6)*($G$6-$F$6))))</f>
        <v>0.997290617139693</v>
      </c>
      <c r="C274" s="51" t="n">
        <f aca="false">1+IF($G$7=$E$7,$F$7,IF(Q274&lt;($F$7-$E$7)/($G$7-$E$7),$E$7+SQRT(Q274*($G$7-$E$7)*($F$7-$E$7)),$G$7-SQRT((1-Q274)*($G$7-$E$7)*($G$7-$F$7))))</f>
        <v>0.879381349868034</v>
      </c>
      <c r="D274" s="51" t="n">
        <f aca="false">1+IF($G$8=$E$8,$F$8,IF(R274&lt;($F$8-$E$8)/($G$8-$E$8),$E$8+SQRT(R274*($G$8-$E$8)*($F$8-$E$8)),$G$8-SQRT((1-R274)*($G$8-$E$8)*($G$8-$F$8))))</f>
        <v>0.991775402357111</v>
      </c>
      <c r="E274" s="51" t="n">
        <f aca="false">1+IF($G$9=$E$9,$F$9,IF(S274&lt;($F$9-$E$9)/($G$9-$E$9),$E$9+SQRT(S274*($G$9-$E$9)*($F$9-$E$9)),$G$9-SQRT((1-S274)*($G$9-$E$9)*($G$9-$F$9))))</f>
        <v>1.0171216746888</v>
      </c>
      <c r="F274" s="51" t="n">
        <f aca="false">1+IF($G$10=$E$10,$F$10,IF(T274&lt;($F$10-$E$10)/($G$10-$E$10),$E$10+SQRT(T274*($G$10-$E$10)*($F$10-$E$10)),$G$10-SQRT((1-T274)*($G$10-$E$10)*($G$10-$F$10))))</f>
        <v>1.07518569805426</v>
      </c>
      <c r="G274" s="52" t="n">
        <f aca="false">IF($G$11=$E$11,$F$11,IF(U274&lt;($F$11-$E$11)/($G$11-$E$11),$E$11+SQRT(U274*($G$11-$E$11)*($F$11-$E$11)),$G$11-SQRT((1-U274)*($G$11-$E$11)*($G$11-$F$11))))</f>
        <v>0.103929323032062</v>
      </c>
      <c r="H274" s="53" t="n">
        <f aca="false">(('Business Case'!B11*$C274*'Business Case'!B12*$B274)-'Business Case'!B11*$C274*'Business Case'!B13*$D274-'Business Case'!B14*$E274)-MAX(0,(('Business Case'!B11*$C274*'Business Case'!B12*$B274)-'Business Case'!B11*$C274*'Business Case'!B13*$D274-'Business Case'!B14*$E274))*'Business Case'!$B$7-'Business Case'!$B$8*('Business Case'!B11*$C274*'Business Case'!B12*$B274)-'Business Case'!B15*$F274</f>
        <v>-2150371396.10852</v>
      </c>
      <c r="I274" s="53" t="n">
        <f aca="false">(('Business Case'!C11*$C274*'Business Case'!C12*$B274)-'Business Case'!C11*$C274*'Business Case'!C13*$D274-'Business Case'!C14*$E274)-MAX(0,(('Business Case'!C11*$C274*'Business Case'!C12*$B274)-'Business Case'!C11*$C274*'Business Case'!C13*$D274-'Business Case'!C14*$E274))*'Business Case'!$B$7-'Business Case'!$B$8*(('Business Case'!C11*$C274*'Business Case'!C12*$B274)-('Business Case'!B11*$C274*'Business Case'!B12*$B274))-'Business Case'!C15*$F274</f>
        <v>-25762161.9706562</v>
      </c>
      <c r="J274" s="53" t="n">
        <f aca="false">(('Business Case'!D11*$C274*'Business Case'!D12*$B274)-'Business Case'!D11*$C274*'Business Case'!D13*$D274-'Business Case'!D14*$E274)-MAX(0,(('Business Case'!D11*$C274*'Business Case'!D12*$B274)-'Business Case'!D11*$C274*'Business Case'!D13*$D274-'Business Case'!D14*$E274))*'Business Case'!$B$7-'Business Case'!$B$8*(('Business Case'!D11*$C274*'Business Case'!D12*$B274)-('Business Case'!C11*$C274*'Business Case'!C12*$B274))-'Business Case'!D15*$F274</f>
        <v>246092564.195576</v>
      </c>
      <c r="K274" s="53" t="n">
        <f aca="false">(('Business Case'!E11*$C274*'Business Case'!E12*$B274)-'Business Case'!E11*$C274*'Business Case'!E13*$D274-'Business Case'!E14*$E274)-MAX(0,(('Business Case'!E11*$C274*'Business Case'!E12*$B274)-'Business Case'!E11*$C274*'Business Case'!E13*$D274-'Business Case'!E14*$E274))*'Business Case'!$B$7-'Business Case'!$B$8*(('Business Case'!E11*$C274*'Business Case'!E12*$B274)-('Business Case'!D11*$C274*'Business Case'!D12*$B274))-'Business Case'!E15*$F274</f>
        <v>571706575.264522</v>
      </c>
      <c r="L274" s="53" t="n">
        <f aca="false">(('Business Case'!F11*$C274*'Business Case'!F12*$B274)-'Business Case'!F11*$C274*'Business Case'!F13*$D274-'Business Case'!F14*$E274)-MAX(0,(('Business Case'!F11*$C274*'Business Case'!F12*$B274)-'Business Case'!F11*$C274*'Business Case'!F13*$D274-'Business Case'!F14*$E274))*'Business Case'!$B$7-'Business Case'!$B$8*(('Business Case'!F11*$C274*'Business Case'!F12*$B274)-('Business Case'!E11*$C274*'Business Case'!E12*$B274))-'Business Case'!F15*$F274</f>
        <v>692633894.78041</v>
      </c>
      <c r="M274" s="53" t="n">
        <f aca="false">(('Business Case'!G11*$C274*'Business Case'!G12*$B274)-'Business Case'!G11*$C274*'Business Case'!G13*$D274-'Business Case'!G14*$E274)-MAX(0,(('Business Case'!G11*$C274*'Business Case'!G12*$B274)-'Business Case'!G11*$C274*'Business Case'!G13*$D274-'Business Case'!G14*$E274))*'Business Case'!$B$7-'Business Case'!$B$8*(('Business Case'!G11*$C274*'Business Case'!G12*$B274)-('Business Case'!F11*$C274*'Business Case'!F12*$B274))-'Business Case'!G15*$F274+'Business Case'!$B$8*('Business Case'!G11*$C274*'Business Case'!G12*$B274)</f>
        <v>859333820.813034</v>
      </c>
      <c r="N274" s="53" t="n">
        <f aca="false">IF(COUNT('Business Case'!B11:G11)=0,"",H274+NPV(G274,I274:M274))</f>
        <v>-556281247.522962</v>
      </c>
      <c r="P274" s="54" t="n">
        <f aca="true">RAND()</f>
        <v>0.622274947691101</v>
      </c>
      <c r="Q274" s="54" t="n">
        <f aca="true">RAND()</f>
        <v>0.0900199815267324</v>
      </c>
      <c r="R274" s="54" t="n">
        <f aca="true">RAND()</f>
        <v>0.268489883399765</v>
      </c>
      <c r="S274" s="54" t="n">
        <f aca="true">RAND()</f>
        <v>0.54207887957401</v>
      </c>
      <c r="T274" s="54" t="n">
        <f aca="true">RAND()</f>
        <v>0.68842780059596</v>
      </c>
      <c r="U274" s="54" t="n">
        <f aca="true">RAND()</f>
        <v>0.569555569653633</v>
      </c>
    </row>
    <row r="275" customFormat="false" ht="15" hidden="false" customHeight="false" outlineLevel="0" collapsed="false">
      <c r="A275" s="50" t="n">
        <v>195</v>
      </c>
      <c r="B275" s="51" t="n">
        <f aca="false">1+IF($G$6=$E$6,$F$6,IF(P275&lt;($F$6-$E$6)/($G$6-$E$6),$E$6+SQRT(P275*($G$6-$E$6)*($F$6-$E$6)),$G$6-SQRT((1-P275)*($G$6-$E$6)*($G$6-$F$6))))</f>
        <v>1.01295582166025</v>
      </c>
      <c r="C275" s="51" t="n">
        <f aca="false">1+IF($G$7=$E$7,$F$7,IF(Q275&lt;($F$7-$E$7)/($G$7-$E$7),$E$7+SQRT(Q275*($G$7-$E$7)*($F$7-$E$7)),$G$7-SQRT((1-Q275)*($G$7-$E$7)*($G$7-$F$7))))</f>
        <v>1.04493139337646</v>
      </c>
      <c r="D275" s="51" t="n">
        <f aca="false">1+IF($G$8=$E$8,$F$8,IF(R275&lt;($F$8-$E$8)/($G$8-$E$8),$E$8+SQRT(R275*($G$8-$E$8)*($F$8-$E$8)),$G$8-SQRT((1-R275)*($G$8-$E$8)*($G$8-$F$8))))</f>
        <v>0.996745666006177</v>
      </c>
      <c r="E275" s="51" t="n">
        <f aca="false">1+IF($G$9=$E$9,$F$9,IF(S275&lt;($F$9-$E$9)/($G$9-$E$9),$E$9+SQRT(S275*($G$9-$E$9)*($F$9-$E$9)),$G$9-SQRT((1-S275)*($G$9-$E$9)*($G$9-$F$9))))</f>
        <v>0.974365599876149</v>
      </c>
      <c r="F275" s="51" t="n">
        <f aca="false">1+IF($G$10=$E$10,$F$10,IF(T275&lt;($F$10-$E$10)/($G$10-$E$10),$E$10+SQRT(T275*($G$10-$E$10)*($F$10-$E$10)),$G$10-SQRT((1-T275)*($G$10-$E$10)*($G$10-$F$10))))</f>
        <v>1.09974585114721</v>
      </c>
      <c r="G275" s="52" t="n">
        <f aca="false">IF($G$11=$E$11,$F$11,IF(U275&lt;($F$11-$E$11)/($G$11-$E$11),$E$11+SQRT(U275*($G$11-$E$11)*($F$11-$E$11)),$G$11-SQRT((1-U275)*($G$11-$E$11)*($G$11-$F$11))))</f>
        <v>0.102404724646317</v>
      </c>
      <c r="H275" s="53" t="n">
        <f aca="false">(('Business Case'!B11*$C275*'Business Case'!B12*$B275)-'Business Case'!B11*$C275*'Business Case'!B13*$D275-'Business Case'!B14*$E275)-MAX(0,(('Business Case'!B11*$C275*'Business Case'!B12*$B275)-'Business Case'!B11*$C275*'Business Case'!B13*$D275-'Business Case'!B14*$E275))*'Business Case'!$B$7-'Business Case'!$B$8*('Business Case'!B11*$C275*'Business Case'!B12*$B275)-'Business Case'!B15*$F275</f>
        <v>-2199491702.29441</v>
      </c>
      <c r="I275" s="53" t="n">
        <f aca="false">(('Business Case'!C11*$C275*'Business Case'!C12*$B275)-'Business Case'!C11*$C275*'Business Case'!C13*$D275-'Business Case'!C14*$E275)-MAX(0,(('Business Case'!C11*$C275*'Business Case'!C12*$B275)-'Business Case'!C11*$C275*'Business Case'!C13*$D275-'Business Case'!C14*$E275))*'Business Case'!$B$7-'Business Case'!$B$8*(('Business Case'!C11*$C275*'Business Case'!C12*$B275)-('Business Case'!B11*$C275*'Business Case'!B12*$B275))-'Business Case'!C15*$F275</f>
        <v>30381707.4398398</v>
      </c>
      <c r="J275" s="53" t="n">
        <f aca="false">(('Business Case'!D11*$C275*'Business Case'!D12*$B275)-'Business Case'!D11*$C275*'Business Case'!D13*$D275-'Business Case'!D14*$E275)-MAX(0,(('Business Case'!D11*$C275*'Business Case'!D12*$B275)-'Business Case'!D11*$C275*'Business Case'!D13*$D275-'Business Case'!D14*$E275))*'Business Case'!$B$7-'Business Case'!$B$8*(('Business Case'!D11*$C275*'Business Case'!D12*$B275)-('Business Case'!C11*$C275*'Business Case'!C12*$B275))-'Business Case'!D15*$F275</f>
        <v>364163838.786808</v>
      </c>
      <c r="K275" s="53" t="n">
        <f aca="false">(('Business Case'!E11*$C275*'Business Case'!E12*$B275)-'Business Case'!E11*$C275*'Business Case'!E13*$D275-'Business Case'!E14*$E275)-MAX(0,(('Business Case'!E11*$C275*'Business Case'!E12*$B275)-'Business Case'!E11*$C275*'Business Case'!E13*$D275-'Business Case'!E14*$E275))*'Business Case'!$B$7-'Business Case'!$B$8*(('Business Case'!E11*$C275*'Business Case'!E12*$B275)-('Business Case'!D11*$C275*'Business Case'!D12*$B275))-'Business Case'!E15*$F275</f>
        <v>752933262.691137</v>
      </c>
      <c r="L275" s="53" t="n">
        <f aca="false">(('Business Case'!F11*$C275*'Business Case'!F12*$B275)-'Business Case'!F11*$C275*'Business Case'!F13*$D275-'Business Case'!F14*$E275)-MAX(0,(('Business Case'!F11*$C275*'Business Case'!F12*$B275)-'Business Case'!F11*$C275*'Business Case'!F13*$D275-'Business Case'!F14*$E275))*'Business Case'!$B$7-'Business Case'!$B$8*(('Business Case'!F11*$C275*'Business Case'!F12*$B275)-('Business Case'!E11*$C275*'Business Case'!E12*$B275))-'Business Case'!F15*$F275</f>
        <v>900774673.466806</v>
      </c>
      <c r="M275" s="53" t="n">
        <f aca="false">(('Business Case'!G11*$C275*'Business Case'!G12*$B275)-'Business Case'!G11*$C275*'Business Case'!G13*$D275-'Business Case'!G14*$E275)-MAX(0,(('Business Case'!G11*$C275*'Business Case'!G12*$B275)-'Business Case'!G11*$C275*'Business Case'!G13*$D275-'Business Case'!G14*$E275))*'Business Case'!$B$7-'Business Case'!$B$8*(('Business Case'!G11*$C275*'Business Case'!G12*$B275)-('Business Case'!F11*$C275*'Business Case'!F12*$B275))-'Business Case'!G15*$F275+'Business Case'!$B$8*('Business Case'!G11*$C275*'Business Case'!G12*$B275)</f>
        <v>1101968525.26354</v>
      </c>
      <c r="N275" s="53" t="n">
        <f aca="false">IF(COUNT('Business Case'!B11:G11)=0,"",H275+NPV(G275,I275:M275))</f>
        <v>-23589837.0511842</v>
      </c>
      <c r="P275" s="54" t="n">
        <f aca="true">RAND()</f>
        <v>0.847627587068321</v>
      </c>
      <c r="Q275" s="54" t="n">
        <f aca="true">RAND()</f>
        <v>0.789725483851182</v>
      </c>
      <c r="R275" s="54" t="n">
        <f aca="true">RAND()</f>
        <v>0.336178044670924</v>
      </c>
      <c r="S275" s="54" t="n">
        <f aca="true">RAND()</f>
        <v>0.0791576609766094</v>
      </c>
      <c r="T275" s="54" t="n">
        <f aca="true">RAND()</f>
        <v>0.798982112756034</v>
      </c>
      <c r="U275" s="54" t="n">
        <f aca="true">RAND()</f>
        <v>0.484010475380115</v>
      </c>
    </row>
    <row r="276" customFormat="false" ht="15" hidden="false" customHeight="false" outlineLevel="0" collapsed="false">
      <c r="A276" s="50" t="n">
        <v>196</v>
      </c>
      <c r="B276" s="51" t="n">
        <f aca="false">1+IF($G$6=$E$6,$F$6,IF(P276&lt;($F$6-$E$6)/($G$6-$E$6),$E$6+SQRT(P276*($G$6-$E$6)*($F$6-$E$6)),$G$6-SQRT((1-P276)*($G$6-$E$6)*($G$6-$F$6))))</f>
        <v>1.00787397795198</v>
      </c>
      <c r="C276" s="51" t="n">
        <f aca="false">1+IF($G$7=$E$7,$F$7,IF(Q276&lt;($F$7-$E$7)/($G$7-$E$7),$E$7+SQRT(Q276*($G$7-$E$7)*($F$7-$E$7)),$G$7-SQRT((1-Q276)*($G$7-$E$7)*($G$7-$F$7))))</f>
        <v>0.972356102224866</v>
      </c>
      <c r="D276" s="51" t="n">
        <f aca="false">1+IF($G$8=$E$8,$F$8,IF(R276&lt;($F$8-$E$8)/($G$8-$E$8),$E$8+SQRT(R276*($G$8-$E$8)*($F$8-$E$8)),$G$8-SQRT((1-R276)*($G$8-$E$8)*($G$8-$F$8))))</f>
        <v>0.963294861009228</v>
      </c>
      <c r="E276" s="51" t="n">
        <f aca="false">1+IF($G$9=$E$9,$F$9,IF(S276&lt;($F$9-$E$9)/($G$9-$E$9),$E$9+SQRT(S276*($G$9-$E$9)*($F$9-$E$9)),$G$9-SQRT((1-S276)*($G$9-$E$9)*($G$9-$F$9))))</f>
        <v>0.98656031507781</v>
      </c>
      <c r="F276" s="51" t="n">
        <f aca="false">1+IF($G$10=$E$10,$F$10,IF(T276&lt;($F$10-$E$10)/($G$10-$E$10),$E$10+SQRT(T276*($G$10-$E$10)*($F$10-$E$10)),$G$10-SQRT((1-T276)*($G$10-$E$10)*($G$10-$F$10))))</f>
        <v>1.14468525186416</v>
      </c>
      <c r="G276" s="52" t="n">
        <f aca="false">IF($G$11=$E$11,$F$11,IF(U276&lt;($F$11-$E$11)/($G$11-$E$11),$E$11+SQRT(U276*($G$11-$E$11)*($F$11-$E$11)),$G$11-SQRT((1-U276)*($G$11-$E$11)*($G$11-$F$11))))</f>
        <v>0.100828822567921</v>
      </c>
      <c r="H276" s="53" t="n">
        <f aca="false">(('Business Case'!B11*$C276*'Business Case'!B12*$B276)-'Business Case'!B11*$C276*'Business Case'!B13*$D276-'Business Case'!B14*$E276)-MAX(0,(('Business Case'!B11*$C276*'Business Case'!B12*$B276)-'Business Case'!B11*$C276*'Business Case'!B13*$D276-'Business Case'!B14*$E276))*'Business Case'!$B$7-'Business Case'!$B$8*('Business Case'!B11*$C276*'Business Case'!B12*$B276)-'Business Case'!B15*$F276</f>
        <v>-2289370503.72832</v>
      </c>
      <c r="I276" s="53" t="n">
        <f aca="false">(('Business Case'!C11*$C276*'Business Case'!C12*$B276)-'Business Case'!C11*$C276*'Business Case'!C13*$D276-'Business Case'!C14*$E276)-MAX(0,(('Business Case'!C11*$C276*'Business Case'!C12*$B276)-'Business Case'!C11*$C276*'Business Case'!C13*$D276-'Business Case'!C14*$E276))*'Business Case'!$B$7-'Business Case'!$B$8*(('Business Case'!C11*$C276*'Business Case'!C12*$B276)-('Business Case'!B11*$C276*'Business Case'!B12*$B276))-'Business Case'!C15*$F276</f>
        <v>17641608.8999072</v>
      </c>
      <c r="J276" s="53" t="n">
        <f aca="false">(('Business Case'!D11*$C276*'Business Case'!D12*$B276)-'Business Case'!D11*$C276*'Business Case'!D13*$D276-'Business Case'!D14*$E276)-MAX(0,(('Business Case'!D11*$C276*'Business Case'!D12*$B276)-'Business Case'!D11*$C276*'Business Case'!D13*$D276-'Business Case'!D14*$E276))*'Business Case'!$B$7-'Business Case'!$B$8*(('Business Case'!D11*$C276*'Business Case'!D12*$B276)-('Business Case'!C11*$C276*'Business Case'!C12*$B276))-'Business Case'!D15*$F276</f>
        <v>340844463.266491</v>
      </c>
      <c r="K276" s="53" t="n">
        <f aca="false">(('Business Case'!E11*$C276*'Business Case'!E12*$B276)-'Business Case'!E11*$C276*'Business Case'!E13*$D276-'Business Case'!E14*$E276)-MAX(0,(('Business Case'!E11*$C276*'Business Case'!E12*$B276)-'Business Case'!E11*$C276*'Business Case'!E13*$D276-'Business Case'!E14*$E276))*'Business Case'!$B$7-'Business Case'!$B$8*(('Business Case'!E11*$C276*'Business Case'!E12*$B276)-('Business Case'!D11*$C276*'Business Case'!D12*$B276))-'Business Case'!E15*$F276</f>
        <v>721281580.226282</v>
      </c>
      <c r="L276" s="53" t="n">
        <f aca="false">(('Business Case'!F11*$C276*'Business Case'!F12*$B276)-'Business Case'!F11*$C276*'Business Case'!F13*$D276-'Business Case'!F14*$E276)-MAX(0,(('Business Case'!F11*$C276*'Business Case'!F12*$B276)-'Business Case'!F11*$C276*'Business Case'!F13*$D276-'Business Case'!F14*$E276))*'Business Case'!$B$7-'Business Case'!$B$8*(('Business Case'!F11*$C276*'Business Case'!F12*$B276)-('Business Case'!E11*$C276*'Business Case'!E12*$B276))-'Business Case'!F15*$F276</f>
        <v>862885093.999274</v>
      </c>
      <c r="M276" s="53" t="n">
        <f aca="false">(('Business Case'!G11*$C276*'Business Case'!G12*$B276)-'Business Case'!G11*$C276*'Business Case'!G13*$D276-'Business Case'!G14*$E276)-MAX(0,(('Business Case'!G11*$C276*'Business Case'!G12*$B276)-'Business Case'!G11*$C276*'Business Case'!G13*$D276-'Business Case'!G14*$E276))*'Business Case'!$B$7-'Business Case'!$B$8*(('Business Case'!G11*$C276*'Business Case'!G12*$B276)-('Business Case'!F11*$C276*'Business Case'!F12*$B276))-'Business Case'!G15*$F276+'Business Case'!$B$8*('Business Case'!G11*$C276*'Business Case'!G12*$B276)</f>
        <v>1049165853.41199</v>
      </c>
      <c r="N276" s="53" t="n">
        <f aca="false">IF(COUNT('Business Case'!B11:G11)=0,"",H276+NPV(G276,I276:M276))</f>
        <v>-214802776.788649</v>
      </c>
      <c r="P276" s="54" t="n">
        <f aca="true">RAND()</f>
        <v>0.784983064035472</v>
      </c>
      <c r="Q276" s="54" t="n">
        <f aca="true">RAND()</f>
        <v>0.424380371059261</v>
      </c>
      <c r="R276" s="54" t="n">
        <f aca="true">RAND()</f>
        <v>0.0271928198853355</v>
      </c>
      <c r="S276" s="54" t="n">
        <f aca="true">RAND()</f>
        <v>0.17822088514517</v>
      </c>
      <c r="T276" s="54" t="n">
        <f aca="true">RAND()</f>
        <v>0.938805572773373</v>
      </c>
      <c r="U276" s="54" t="n">
        <f aca="true">RAND()</f>
        <v>0.387443259779594</v>
      </c>
    </row>
    <row r="277" customFormat="false" ht="15" hidden="false" customHeight="false" outlineLevel="0" collapsed="false">
      <c r="A277" s="50" t="n">
        <v>197</v>
      </c>
      <c r="B277" s="51" t="n">
        <f aca="false">1+IF($G$6=$E$6,$F$6,IF(P277&lt;($F$6-$E$6)/($G$6-$E$6),$E$6+SQRT(P277*($G$6-$E$6)*($F$6-$E$6)),$G$6-SQRT((1-P277)*($G$6-$E$6)*($G$6-$F$6))))</f>
        <v>0.994924357467823</v>
      </c>
      <c r="C277" s="51" t="n">
        <f aca="false">1+IF($G$7=$E$7,$F$7,IF(Q277&lt;($F$7-$E$7)/($G$7-$E$7),$E$7+SQRT(Q277*($G$7-$E$7)*($F$7-$E$7)),$G$7-SQRT((1-Q277)*($G$7-$E$7)*($G$7-$F$7))))</f>
        <v>1.0596958469323</v>
      </c>
      <c r="D277" s="51" t="n">
        <f aca="false">1+IF($G$8=$E$8,$F$8,IF(R277&lt;($F$8-$E$8)/($G$8-$E$8),$E$8+SQRT(R277*($G$8-$E$8)*($F$8-$E$8)),$G$8-SQRT((1-R277)*($G$8-$E$8)*($G$8-$F$8))))</f>
        <v>1.05989501734153</v>
      </c>
      <c r="E277" s="51" t="n">
        <f aca="false">1+IF($G$9=$E$9,$F$9,IF(S277&lt;($F$9-$E$9)/($G$9-$E$9),$E$9+SQRT(S277*($G$9-$E$9)*($F$9-$E$9)),$G$9-SQRT((1-S277)*($G$9-$E$9)*($G$9-$F$9))))</f>
        <v>1.05066176737097</v>
      </c>
      <c r="F277" s="51" t="n">
        <f aca="false">1+IF($G$10=$E$10,$F$10,IF(T277&lt;($F$10-$E$10)/($G$10-$E$10),$E$10+SQRT(T277*($G$10-$E$10)*($F$10-$E$10)),$G$10-SQRT((1-T277)*($G$10-$E$10)*($G$10-$F$10))))</f>
        <v>1.12057158713662</v>
      </c>
      <c r="G277" s="52" t="n">
        <f aca="false">IF($G$11=$E$11,$F$11,IF(U277&lt;($F$11-$E$11)/($G$11-$E$11),$E$11+SQRT(U277*($G$11-$E$11)*($F$11-$E$11)),$G$11-SQRT((1-U277)*($G$11-$E$11)*($G$11-$F$11))))</f>
        <v>0.0979486543647762</v>
      </c>
      <c r="H277" s="53" t="n">
        <f aca="false">(('Business Case'!B11*$C277*'Business Case'!B12*$B277)-'Business Case'!B11*$C277*'Business Case'!B13*$D277-'Business Case'!B14*$E277)-MAX(0,(('Business Case'!B11*$C277*'Business Case'!B12*$B277)-'Business Case'!B11*$C277*'Business Case'!B13*$D277-'Business Case'!B14*$E277))*'Business Case'!$B$7-'Business Case'!$B$8*('Business Case'!B11*$C277*'Business Case'!B12*$B277)-'Business Case'!B15*$F277</f>
        <v>-2241143174.27324</v>
      </c>
      <c r="I277" s="53" t="n">
        <f aca="false">(('Business Case'!C11*$C277*'Business Case'!C12*$B277)-'Business Case'!C11*$C277*'Business Case'!C13*$D277-'Business Case'!C14*$E277)-MAX(0,(('Business Case'!C11*$C277*'Business Case'!C12*$B277)-'Business Case'!C11*$C277*'Business Case'!C13*$D277-'Business Case'!C14*$E277))*'Business Case'!$B$7-'Business Case'!$B$8*(('Business Case'!C11*$C277*'Business Case'!C12*$B277)-('Business Case'!B11*$C277*'Business Case'!B12*$B277))-'Business Case'!C15*$F277</f>
        <v>-27526677.5617199</v>
      </c>
      <c r="J277" s="53" t="n">
        <f aca="false">(('Business Case'!D11*$C277*'Business Case'!D12*$B277)-'Business Case'!D11*$C277*'Business Case'!D13*$D277-'Business Case'!D14*$E277)-MAX(0,(('Business Case'!D11*$C277*'Business Case'!D12*$B277)-'Business Case'!D11*$C277*'Business Case'!D13*$D277-'Business Case'!D14*$E277))*'Business Case'!$B$7-'Business Case'!$B$8*(('Business Case'!D11*$C277*'Business Case'!D12*$B277)-('Business Case'!C11*$C277*'Business Case'!C12*$B277))-'Business Case'!D15*$F277</f>
        <v>261063711.057098</v>
      </c>
      <c r="K277" s="53" t="n">
        <f aca="false">(('Business Case'!E11*$C277*'Business Case'!E12*$B277)-'Business Case'!E11*$C277*'Business Case'!E13*$D277-'Business Case'!E14*$E277)-MAX(0,(('Business Case'!E11*$C277*'Business Case'!E12*$B277)-'Business Case'!E11*$C277*'Business Case'!E13*$D277-'Business Case'!E14*$E277))*'Business Case'!$B$7-'Business Case'!$B$8*(('Business Case'!E11*$C277*'Business Case'!E12*$B277)-('Business Case'!D11*$C277*'Business Case'!D12*$B277))-'Business Case'!E15*$F277</f>
        <v>605682679.032745</v>
      </c>
      <c r="L277" s="53" t="n">
        <f aca="false">(('Business Case'!F11*$C277*'Business Case'!F12*$B277)-'Business Case'!F11*$C277*'Business Case'!F13*$D277-'Business Case'!F14*$E277)-MAX(0,(('Business Case'!F11*$C277*'Business Case'!F12*$B277)-'Business Case'!F11*$C277*'Business Case'!F13*$D277-'Business Case'!F14*$E277))*'Business Case'!$B$7-'Business Case'!$B$8*(('Business Case'!F11*$C277*'Business Case'!F12*$B277)-('Business Case'!E11*$C277*'Business Case'!E12*$B277))-'Business Case'!F15*$F277</f>
        <v>738316678.0035</v>
      </c>
      <c r="M277" s="53" t="n">
        <f aca="false">(('Business Case'!G11*$C277*'Business Case'!G12*$B277)-'Business Case'!G11*$C277*'Business Case'!G13*$D277-'Business Case'!G14*$E277)-MAX(0,(('Business Case'!G11*$C277*'Business Case'!G12*$B277)-'Business Case'!G11*$C277*'Business Case'!G13*$D277-'Business Case'!G14*$E277))*'Business Case'!$B$7-'Business Case'!$B$8*(('Business Case'!G11*$C277*'Business Case'!G12*$B277)-('Business Case'!F11*$C277*'Business Case'!F12*$B277))-'Business Case'!G15*$F277+'Business Case'!$B$8*('Business Case'!G11*$C277*'Business Case'!G12*$B277)</f>
        <v>938721293.208154</v>
      </c>
      <c r="N277" s="53" t="n">
        <f aca="false">IF(COUNT('Business Case'!B11:G11)=0,"",H277+NPV(G277,I277:M277))</f>
        <v>-495641383.568101</v>
      </c>
      <c r="P277" s="54" t="n">
        <f aca="true">RAND()</f>
        <v>0.584756181454809</v>
      </c>
      <c r="Q277" s="54" t="n">
        <f aca="true">RAND()</f>
        <v>0.844669713118583</v>
      </c>
      <c r="R277" s="54" t="n">
        <f aca="true">RAND()</f>
        <v>0.961133622336783</v>
      </c>
      <c r="S277" s="54" t="n">
        <f aca="true">RAND()</f>
        <v>0.837715920069585</v>
      </c>
      <c r="T277" s="54" t="n">
        <f aca="true">RAND()</f>
        <v>0.873822544600081</v>
      </c>
      <c r="U277" s="54" t="n">
        <f aca="true">RAND()</f>
        <v>0.210603687368917</v>
      </c>
    </row>
    <row r="278" customFormat="false" ht="15" hidden="false" customHeight="false" outlineLevel="0" collapsed="false">
      <c r="A278" s="50" t="n">
        <v>198</v>
      </c>
      <c r="B278" s="51" t="n">
        <f aca="false">1+IF($G$6=$E$6,$F$6,IF(P278&lt;($F$6-$E$6)/($G$6-$E$6),$E$6+SQRT(P278*($G$6-$E$6)*($F$6-$E$6)),$G$6-SQRT((1-P278)*($G$6-$E$6)*($G$6-$F$6))))</f>
        <v>0.977373151228849</v>
      </c>
      <c r="C278" s="51" t="n">
        <f aca="false">1+IF($G$7=$E$7,$F$7,IF(Q278&lt;($F$7-$E$7)/($G$7-$E$7),$E$7+SQRT(Q278*($G$7-$E$7)*($F$7-$E$7)),$G$7-SQRT((1-Q278)*($G$7-$E$7)*($G$7-$F$7))))</f>
        <v>1.09614390787854</v>
      </c>
      <c r="D278" s="51" t="n">
        <f aca="false">1+IF($G$8=$E$8,$F$8,IF(R278&lt;($F$8-$E$8)/($G$8-$E$8),$E$8+SQRT(R278*($G$8-$E$8)*($F$8-$E$8)),$G$8-SQRT((1-R278)*($G$8-$E$8)*($G$8-$F$8))))</f>
        <v>0.959537582880892</v>
      </c>
      <c r="E278" s="51" t="n">
        <f aca="false">1+IF($G$9=$E$9,$F$9,IF(S278&lt;($F$9-$E$9)/($G$9-$E$9),$E$9+SQRT(S278*($G$9-$E$9)*($F$9-$E$9)),$G$9-SQRT((1-S278)*($G$9-$E$9)*($G$9-$F$9))))</f>
        <v>1.04961631983215</v>
      </c>
      <c r="F278" s="51" t="n">
        <f aca="false">1+IF($G$10=$E$10,$F$10,IF(T278&lt;($F$10-$E$10)/($G$10-$E$10),$E$10+SQRT(T278*($G$10-$E$10)*($F$10-$E$10)),$G$10-SQRT((1-T278)*($G$10-$E$10)*($G$10-$F$10))))</f>
        <v>1.05590801995401</v>
      </c>
      <c r="G278" s="52" t="n">
        <f aca="false">IF($G$11=$E$11,$F$11,IF(U278&lt;($F$11-$E$11)/($G$11-$E$11),$E$11+SQRT(U278*($G$11-$E$11)*($F$11-$E$11)),$G$11-SQRT((1-U278)*($G$11-$E$11)*($G$11-$F$11))))</f>
        <v>0.091088476948637</v>
      </c>
      <c r="H278" s="53" t="n">
        <f aca="false">(('Business Case'!B11*$C278*'Business Case'!B12*$B278)-'Business Case'!B11*$C278*'Business Case'!B13*$D278-'Business Case'!B14*$E278)-MAX(0,(('Business Case'!B11*$C278*'Business Case'!B12*$B278)-'Business Case'!B11*$C278*'Business Case'!B13*$D278-'Business Case'!B14*$E278))*'Business Case'!$B$7-'Business Case'!$B$8*('Business Case'!B11*$C278*'Business Case'!B12*$B278)-'Business Case'!B15*$F278</f>
        <v>-2111816039.90802</v>
      </c>
      <c r="I278" s="53" t="n">
        <f aca="false">(('Business Case'!C11*$C278*'Business Case'!C12*$B278)-'Business Case'!C11*$C278*'Business Case'!C13*$D278-'Business Case'!C14*$E278)-MAX(0,(('Business Case'!C11*$C278*'Business Case'!C12*$B278)-'Business Case'!C11*$C278*'Business Case'!C13*$D278-'Business Case'!C14*$E278))*'Business Case'!$B$7-'Business Case'!$B$8*(('Business Case'!C11*$C278*'Business Case'!C12*$B278)-('Business Case'!B11*$C278*'Business Case'!B12*$B278))-'Business Case'!C15*$F278</f>
        <v>28688345.360885</v>
      </c>
      <c r="J278" s="53" t="n">
        <f aca="false">(('Business Case'!D11*$C278*'Business Case'!D12*$B278)-'Business Case'!D11*$C278*'Business Case'!D13*$D278-'Business Case'!D14*$E278)-MAX(0,(('Business Case'!D11*$C278*'Business Case'!D12*$B278)-'Business Case'!D11*$C278*'Business Case'!D13*$D278-'Business Case'!D14*$E278))*'Business Case'!$B$7-'Business Case'!$B$8*(('Business Case'!D11*$C278*'Business Case'!D12*$B278)-('Business Case'!C11*$C278*'Business Case'!C12*$B278))-'Business Case'!D15*$F278</f>
        <v>367761283.260296</v>
      </c>
      <c r="K278" s="53" t="n">
        <f aca="false">(('Business Case'!E11*$C278*'Business Case'!E12*$B278)-'Business Case'!E11*$C278*'Business Case'!E13*$D278-'Business Case'!E14*$E278)-MAX(0,(('Business Case'!E11*$C278*'Business Case'!E12*$B278)-'Business Case'!E11*$C278*'Business Case'!E13*$D278-'Business Case'!E14*$E278))*'Business Case'!$B$7-'Business Case'!$B$8*(('Business Case'!E11*$C278*'Business Case'!E12*$B278)-('Business Case'!D11*$C278*'Business Case'!D12*$B278))-'Business Case'!E15*$F278</f>
        <v>759629622.157407</v>
      </c>
      <c r="L278" s="53" t="n">
        <f aca="false">(('Business Case'!F11*$C278*'Business Case'!F12*$B278)-'Business Case'!F11*$C278*'Business Case'!F13*$D278-'Business Case'!F14*$E278)-MAX(0,(('Business Case'!F11*$C278*'Business Case'!F12*$B278)-'Business Case'!F11*$C278*'Business Case'!F13*$D278-'Business Case'!F14*$E278))*'Business Case'!$B$7-'Business Case'!$B$8*(('Business Case'!F11*$C278*'Business Case'!F12*$B278)-('Business Case'!E11*$C278*'Business Case'!E12*$B278))-'Business Case'!F15*$F278</f>
        <v>909679501.365873</v>
      </c>
      <c r="M278" s="53" t="n">
        <f aca="false">(('Business Case'!G11*$C278*'Business Case'!G12*$B278)-'Business Case'!G11*$C278*'Business Case'!G13*$D278-'Business Case'!G14*$E278)-MAX(0,(('Business Case'!G11*$C278*'Business Case'!G12*$B278)-'Business Case'!G11*$C278*'Business Case'!G13*$D278-'Business Case'!G14*$E278))*'Business Case'!$B$7-'Business Case'!$B$8*(('Business Case'!G11*$C278*'Business Case'!G12*$B278)-('Business Case'!F11*$C278*'Business Case'!F12*$B278))-'Business Case'!G15*$F278+'Business Case'!$B$8*('Business Case'!G11*$C278*'Business Case'!G12*$B278)</f>
        <v>1113320117.53018</v>
      </c>
      <c r="N278" s="53" t="n">
        <f aca="false">IF(COUNT('Business Case'!B11:G11)=0,"",H278+NPV(G278,I278:M278))</f>
        <v>170068784.638025</v>
      </c>
      <c r="P278" s="54" t="n">
        <f aca="true">RAND()</f>
        <v>0.342883175200873</v>
      </c>
      <c r="Q278" s="54" t="n">
        <f aca="true">RAND()</f>
        <v>0.944752787455326</v>
      </c>
      <c r="R278" s="54" t="n">
        <f aca="true">RAND()</f>
        <v>0.0139946903399829</v>
      </c>
      <c r="S278" s="54" t="n">
        <f aca="true">RAND()</f>
        <v>0.830765651516234</v>
      </c>
      <c r="T278" s="54" t="n">
        <f aca="true">RAND()</f>
        <v>0.584750025728511</v>
      </c>
      <c r="U278" s="54" t="n">
        <f aca="true">RAND()</f>
        <v>0.00394927355904727</v>
      </c>
    </row>
    <row r="279" customFormat="false" ht="15" hidden="false" customHeight="false" outlineLevel="0" collapsed="false">
      <c r="A279" s="50" t="n">
        <v>199</v>
      </c>
      <c r="B279" s="51" t="n">
        <f aca="false">1+IF($G$6=$E$6,$F$6,IF(P279&lt;($F$6-$E$6)/($G$6-$E$6),$E$6+SQRT(P279*($G$6-$E$6)*($F$6-$E$6)),$G$6-SQRT((1-P279)*($G$6-$E$6)*($G$6-$F$6))))</f>
        <v>1.01391011134279</v>
      </c>
      <c r="C279" s="51" t="n">
        <f aca="false">1+IF($G$7=$E$7,$F$7,IF(Q279&lt;($F$7-$E$7)/($G$7-$E$7),$E$7+SQRT(Q279*($G$7-$E$7)*($F$7-$E$7)),$G$7-SQRT((1-Q279)*($G$7-$E$7)*($G$7-$F$7))))</f>
        <v>0.976395631788752</v>
      </c>
      <c r="D279" s="51" t="n">
        <f aca="false">1+IF($G$8=$E$8,$F$8,IF(R279&lt;($F$8-$E$8)/($G$8-$E$8),$E$8+SQRT(R279*($G$8-$E$8)*($F$8-$E$8)),$G$8-SQRT((1-R279)*($G$8-$E$8)*($G$8-$F$8))))</f>
        <v>0.97700383838717</v>
      </c>
      <c r="E279" s="51" t="n">
        <f aca="false">1+IF($G$9=$E$9,$F$9,IF(S279&lt;($F$9-$E$9)/($G$9-$E$9),$E$9+SQRT(S279*($G$9-$E$9)*($F$9-$E$9)),$G$9-SQRT((1-S279)*($G$9-$E$9)*($G$9-$F$9))))</f>
        <v>0.977985233649329</v>
      </c>
      <c r="F279" s="51" t="n">
        <f aca="false">1+IF($G$10=$E$10,$F$10,IF(T279&lt;($F$10-$E$10)/($G$10-$E$10),$E$10+SQRT(T279*($G$10-$E$10)*($F$10-$E$10)),$G$10-SQRT((1-T279)*($G$10-$E$10)*($G$10-$F$10))))</f>
        <v>1.0066772041967</v>
      </c>
      <c r="G279" s="52" t="n">
        <f aca="false">IF($G$11=$E$11,$F$11,IF(U279&lt;($F$11-$E$11)/($G$11-$E$11),$E$11+SQRT(U279*($G$11-$E$11)*($F$11-$E$11)),$G$11-SQRT((1-U279)*($G$11-$E$11)*($G$11-$F$11))))</f>
        <v>0.0994796392290778</v>
      </c>
      <c r="H279" s="53" t="n">
        <f aca="false">(('Business Case'!B11*$C279*'Business Case'!B12*$B279)-'Business Case'!B11*$C279*'Business Case'!B13*$D279-'Business Case'!B14*$E279)-MAX(0,(('Business Case'!B11*$C279*'Business Case'!B12*$B279)-'Business Case'!B11*$C279*'Business Case'!B13*$D279-'Business Case'!B14*$E279))*'Business Case'!$B$7-'Business Case'!$B$8*('Business Case'!B11*$C279*'Business Case'!B12*$B279)-'Business Case'!B15*$F279</f>
        <v>-2013354408.39341</v>
      </c>
      <c r="I279" s="53" t="n">
        <f aca="false">(('Business Case'!C11*$C279*'Business Case'!C12*$B279)-'Business Case'!C11*$C279*'Business Case'!C13*$D279-'Business Case'!C14*$E279)-MAX(0,(('Business Case'!C11*$C279*'Business Case'!C12*$B279)-'Business Case'!C11*$C279*'Business Case'!C13*$D279-'Business Case'!C14*$E279))*'Business Case'!$B$7-'Business Case'!$B$8*(('Business Case'!C11*$C279*'Business Case'!C12*$B279)-('Business Case'!B11*$C279*'Business Case'!B12*$B279))-'Business Case'!C15*$F279</f>
        <v>31462990.7836929</v>
      </c>
      <c r="J279" s="53" t="n">
        <f aca="false">(('Business Case'!D11*$C279*'Business Case'!D12*$B279)-'Business Case'!D11*$C279*'Business Case'!D13*$D279-'Business Case'!D14*$E279)-MAX(0,(('Business Case'!D11*$C279*'Business Case'!D12*$B279)-'Business Case'!D11*$C279*'Business Case'!D13*$D279-'Business Case'!D14*$E279))*'Business Case'!$B$7-'Business Case'!$B$8*(('Business Case'!D11*$C279*'Business Case'!D12*$B279)-('Business Case'!C11*$C279*'Business Case'!C12*$B279))-'Business Case'!D15*$F279</f>
        <v>353983630.821953</v>
      </c>
      <c r="K279" s="53" t="n">
        <f aca="false">(('Business Case'!E11*$C279*'Business Case'!E12*$B279)-'Business Case'!E11*$C279*'Business Case'!E13*$D279-'Business Case'!E14*$E279)-MAX(0,(('Business Case'!E11*$C279*'Business Case'!E12*$B279)-'Business Case'!E11*$C279*'Business Case'!E13*$D279-'Business Case'!E14*$E279))*'Business Case'!$B$7-'Business Case'!$B$8*(('Business Case'!E11*$C279*'Business Case'!E12*$B279)-('Business Case'!D11*$C279*'Business Case'!D12*$B279))-'Business Case'!E15*$F279</f>
        <v>726838131.070048</v>
      </c>
      <c r="L279" s="53" t="n">
        <f aca="false">(('Business Case'!F11*$C279*'Business Case'!F12*$B279)-'Business Case'!F11*$C279*'Business Case'!F13*$D279-'Business Case'!F14*$E279)-MAX(0,(('Business Case'!F11*$C279*'Business Case'!F12*$B279)-'Business Case'!F11*$C279*'Business Case'!F13*$D279-'Business Case'!F14*$E279))*'Business Case'!$B$7-'Business Case'!$B$8*(('Business Case'!F11*$C279*'Business Case'!F12*$B279)-('Business Case'!E11*$C279*'Business Case'!E12*$B279))-'Business Case'!F15*$F279</f>
        <v>868558630.156109</v>
      </c>
      <c r="M279" s="53" t="n">
        <f aca="false">(('Business Case'!G11*$C279*'Business Case'!G12*$B279)-'Business Case'!G11*$C279*'Business Case'!G13*$D279-'Business Case'!G14*$E279)-MAX(0,(('Business Case'!G11*$C279*'Business Case'!G12*$B279)-'Business Case'!G11*$C279*'Business Case'!G13*$D279-'Business Case'!G14*$E279))*'Business Case'!$B$7-'Business Case'!$B$8*(('Business Case'!G11*$C279*'Business Case'!G12*$B279)-('Business Case'!F11*$C279*'Business Case'!F12*$B279))-'Business Case'!G15*$F279+'Business Case'!$B$8*('Business Case'!G11*$C279*'Business Case'!G12*$B279)</f>
        <v>1056733535.0593</v>
      </c>
      <c r="N279" s="53" t="n">
        <f aca="false">IF(COUNT('Business Case'!B11:G11)=0,"",H279+NPV(G279,I279:M279))</f>
        <v>107010903.813695</v>
      </c>
      <c r="P279" s="54" t="n">
        <f aca="true">RAND()</f>
        <v>0.858191189553041</v>
      </c>
      <c r="Q279" s="54" t="n">
        <f aca="true">RAND()</f>
        <v>0.4445059844879</v>
      </c>
      <c r="R279" s="54" t="n">
        <f aca="true">RAND()</f>
        <v>0.112185736560065</v>
      </c>
      <c r="S279" s="54" t="n">
        <f aca="true">RAND()</f>
        <v>0.10442310698767</v>
      </c>
      <c r="T279" s="54" t="n">
        <f aca="true">RAND()</f>
        <v>0.252525932455941</v>
      </c>
      <c r="U279" s="54" t="n">
        <f aca="true">RAND()</f>
        <v>0.29954519971157</v>
      </c>
    </row>
    <row r="280" customFormat="false" ht="15" hidden="false" customHeight="false" outlineLevel="0" collapsed="false">
      <c r="A280" s="50" t="n">
        <v>200</v>
      </c>
      <c r="B280" s="51" t="n">
        <f aca="false">1+IF($G$6=$E$6,$F$6,IF(P280&lt;($F$6-$E$6)/($G$6-$E$6),$E$6+SQRT(P280*($G$6-$E$6)*($F$6-$E$6)),$G$6-SQRT((1-P280)*($G$6-$E$6)*($G$6-$F$6))))</f>
        <v>0.996165796155872</v>
      </c>
      <c r="C280" s="51" t="n">
        <f aca="false">1+IF($G$7=$E$7,$F$7,IF(Q280&lt;($F$7-$E$7)/($G$7-$E$7),$E$7+SQRT(Q280*($G$7-$E$7)*($F$7-$E$7)),$G$7-SQRT((1-Q280)*($G$7-$E$7)*($G$7-$F$7))))</f>
        <v>0.900691893803669</v>
      </c>
      <c r="D280" s="51" t="n">
        <f aca="false">1+IF($G$8=$E$8,$F$8,IF(R280&lt;($F$8-$E$8)/($G$8-$E$8),$E$8+SQRT(R280*($G$8-$E$8)*($F$8-$E$8)),$G$8-SQRT((1-R280)*($G$8-$E$8)*($G$8-$F$8))))</f>
        <v>0.999741954280284</v>
      </c>
      <c r="E280" s="51" t="n">
        <f aca="false">1+IF($G$9=$E$9,$F$9,IF(S280&lt;($F$9-$E$9)/($G$9-$E$9),$E$9+SQRT(S280*($G$9-$E$9)*($F$9-$E$9)),$G$9-SQRT((1-S280)*($G$9-$E$9)*($G$9-$F$9))))</f>
        <v>0.981469693510416</v>
      </c>
      <c r="F280" s="51" t="n">
        <f aca="false">1+IF($G$10=$E$10,$F$10,IF(T280&lt;($F$10-$E$10)/($G$10-$E$10),$E$10+SQRT(T280*($G$10-$E$10)*($F$10-$E$10)),$G$10-SQRT((1-T280)*($G$10-$E$10)*($G$10-$F$10))))</f>
        <v>1.05523945328867</v>
      </c>
      <c r="G280" s="52" t="n">
        <f aca="false">IF($G$11=$E$11,$F$11,IF(U280&lt;($F$11-$E$11)/($G$11-$E$11),$E$11+SQRT(U280*($G$11-$E$11)*($F$11-$E$11)),$G$11-SQRT((1-U280)*($G$11-$E$11)*($G$11-$F$11))))</f>
        <v>0.0984549821570488</v>
      </c>
      <c r="H280" s="53" t="n">
        <f aca="false">(('Business Case'!B11*$C280*'Business Case'!B12*$B280)-'Business Case'!B11*$C280*'Business Case'!B13*$D280-'Business Case'!B14*$E280)-MAX(0,(('Business Case'!B11*$C280*'Business Case'!B12*$B280)-'Business Case'!B11*$C280*'Business Case'!B13*$D280-'Business Case'!B14*$E280))*'Business Case'!$B$7-'Business Case'!$B$8*('Business Case'!B11*$C280*'Business Case'!B12*$B280)-'Business Case'!B15*$F280</f>
        <v>-2110478906.57734</v>
      </c>
      <c r="I280" s="53" t="n">
        <f aca="false">(('Business Case'!C11*$C280*'Business Case'!C12*$B280)-'Business Case'!C11*$C280*'Business Case'!C13*$D280-'Business Case'!C14*$E280)-MAX(0,(('Business Case'!C11*$C280*'Business Case'!C12*$B280)-'Business Case'!C11*$C280*'Business Case'!C13*$D280-'Business Case'!C14*$E280))*'Business Case'!$B$7-'Business Case'!$B$8*(('Business Case'!C11*$C280*'Business Case'!C12*$B280)-('Business Case'!B11*$C280*'Business Case'!B12*$B280))-'Business Case'!C15*$F280</f>
        <v>-17662093.5244667</v>
      </c>
      <c r="J280" s="53" t="n">
        <f aca="false">(('Business Case'!D11*$C280*'Business Case'!D12*$B280)-'Business Case'!D11*$C280*'Business Case'!D13*$D280-'Business Case'!D14*$E280)-MAX(0,(('Business Case'!D11*$C280*'Business Case'!D12*$B280)-'Business Case'!D11*$C280*'Business Case'!D13*$D280-'Business Case'!D14*$E280))*'Business Case'!$B$7-'Business Case'!$B$8*(('Business Case'!D11*$C280*'Business Case'!D12*$B280)-('Business Case'!C11*$C280*'Business Case'!C12*$B280))-'Business Case'!D15*$F280</f>
        <v>256277590.332985</v>
      </c>
      <c r="K280" s="53" t="n">
        <f aca="false">(('Business Case'!E11*$C280*'Business Case'!E12*$B280)-'Business Case'!E11*$C280*'Business Case'!E13*$D280-'Business Case'!E14*$E280)-MAX(0,(('Business Case'!E11*$C280*'Business Case'!E12*$B280)-'Business Case'!E11*$C280*'Business Case'!E13*$D280-'Business Case'!E14*$E280))*'Business Case'!$B$7-'Business Case'!$B$8*(('Business Case'!E11*$C280*'Business Case'!E12*$B280)-('Business Case'!D11*$C280*'Business Case'!D12*$B280))-'Business Case'!E15*$F280</f>
        <v>582979246.85487</v>
      </c>
      <c r="L280" s="53" t="n">
        <f aca="false">(('Business Case'!F11*$C280*'Business Case'!F12*$B280)-'Business Case'!F11*$C280*'Business Case'!F13*$D280-'Business Case'!F14*$E280)-MAX(0,(('Business Case'!F11*$C280*'Business Case'!F12*$B280)-'Business Case'!F11*$C280*'Business Case'!F13*$D280-'Business Case'!F14*$E280))*'Business Case'!$B$7-'Business Case'!$B$8*(('Business Case'!F11*$C280*'Business Case'!F12*$B280)-('Business Case'!E11*$C280*'Business Case'!E12*$B280))-'Business Case'!F15*$F280</f>
        <v>705301035.897935</v>
      </c>
      <c r="M280" s="53" t="n">
        <f aca="false">(('Business Case'!G11*$C280*'Business Case'!G12*$B280)-'Business Case'!G11*$C280*'Business Case'!G13*$D280-'Business Case'!G14*$E280)-MAX(0,(('Business Case'!G11*$C280*'Business Case'!G12*$B280)-'Business Case'!G11*$C280*'Business Case'!G13*$D280-'Business Case'!G14*$E280))*'Business Case'!$B$7-'Business Case'!$B$8*(('Business Case'!G11*$C280*'Business Case'!G12*$B280)-('Business Case'!F11*$C280*'Business Case'!F12*$B280))-'Business Case'!G15*$F280+'Business Case'!$B$8*('Business Case'!G11*$C280*'Business Case'!G12*$B280)</f>
        <v>875848121.896127</v>
      </c>
      <c r="N280" s="53" t="n">
        <f aca="false">IF(COUNT('Business Case'!B11:G11)=0,"",H280+NPV(G280,I280:M280))</f>
        <v>-442196058.730978</v>
      </c>
      <c r="P280" s="54" t="n">
        <f aca="true">RAND()</f>
        <v>0.604294635839361</v>
      </c>
      <c r="Q280" s="54" t="n">
        <f aca="true">RAND()</f>
        <v>0.144840821110991</v>
      </c>
      <c r="R280" s="54" t="n">
        <f aca="true">RAND()</f>
        <v>0.38065569471105</v>
      </c>
      <c r="S280" s="54" t="n">
        <f aca="true">RAND()</f>
        <v>0.132045547951937</v>
      </c>
      <c r="T280" s="54" t="n">
        <f aca="true">RAND()</f>
        <v>0.580887682316728</v>
      </c>
      <c r="U280" s="54" t="n">
        <f aca="true">RAND()</f>
        <v>0.238289077586712</v>
      </c>
    </row>
    <row r="281" customFormat="false" ht="15" hidden="false" customHeight="false" outlineLevel="0" collapsed="false">
      <c r="A281" s="50" t="n">
        <v>201</v>
      </c>
      <c r="B281" s="51" t="n">
        <f aca="false">1+IF($G$6=$E$6,$F$6,IF(P281&lt;($F$6-$E$6)/($G$6-$E$6),$E$6+SQRT(P281*($G$6-$E$6)*($F$6-$E$6)),$G$6-SQRT((1-P281)*($G$6-$E$6)*($G$6-$F$6))))</f>
        <v>0.995879022770717</v>
      </c>
      <c r="C281" s="51" t="n">
        <f aca="false">1+IF($G$7=$E$7,$F$7,IF(Q281&lt;($F$7-$E$7)/($G$7-$E$7),$E$7+SQRT(Q281*($G$7-$E$7)*($F$7-$E$7)),$G$7-SQRT((1-Q281)*($G$7-$E$7)*($G$7-$F$7))))</f>
        <v>0.986909699628129</v>
      </c>
      <c r="D281" s="51" t="n">
        <f aca="false">1+IF($G$8=$E$8,$F$8,IF(R281&lt;($F$8-$E$8)/($G$8-$E$8),$E$8+SQRT(R281*($G$8-$E$8)*($F$8-$E$8)),$G$8-SQRT((1-R281)*($G$8-$E$8)*($G$8-$F$8))))</f>
        <v>1.04162732556873</v>
      </c>
      <c r="E281" s="51" t="n">
        <f aca="false">1+IF($G$9=$E$9,$F$9,IF(S281&lt;($F$9-$E$9)/($G$9-$E$9),$E$9+SQRT(S281*($G$9-$E$9)*($F$9-$E$9)),$G$9-SQRT((1-S281)*($G$9-$E$9)*($G$9-$F$9))))</f>
        <v>1.00602418445559</v>
      </c>
      <c r="F281" s="51" t="n">
        <f aca="false">1+IF($G$10=$E$10,$F$10,IF(T281&lt;($F$10-$E$10)/($G$10-$E$10),$E$10+SQRT(T281*($G$10-$E$10)*($F$10-$E$10)),$G$10-SQRT((1-T281)*($G$10-$E$10)*($G$10-$F$10))))</f>
        <v>1.13611150415815</v>
      </c>
      <c r="G281" s="52" t="n">
        <f aca="false">IF($G$11=$E$11,$F$11,IF(U281&lt;($F$11-$E$11)/($G$11-$E$11),$E$11+SQRT(U281*($G$11-$E$11)*($F$11-$E$11)),$G$11-SQRT((1-U281)*($G$11-$E$11)*($G$11-$F$11))))</f>
        <v>0.115749362104051</v>
      </c>
      <c r="H281" s="53" t="n">
        <f aca="false">(('Business Case'!B11*$C281*'Business Case'!B12*$B281)-'Business Case'!B11*$C281*'Business Case'!B13*$D281-'Business Case'!B14*$E281)-MAX(0,(('Business Case'!B11*$C281*'Business Case'!B12*$B281)-'Business Case'!B11*$C281*'Business Case'!B13*$D281-'Business Case'!B14*$E281))*'Business Case'!$B$7-'Business Case'!$B$8*('Business Case'!B11*$C281*'Business Case'!B12*$B281)-'Business Case'!B15*$F281</f>
        <v>-2272223008.3163</v>
      </c>
      <c r="I281" s="53" t="n">
        <f aca="false">(('Business Case'!C11*$C281*'Business Case'!C12*$B281)-'Business Case'!C11*$C281*'Business Case'!C13*$D281-'Business Case'!C14*$E281)-MAX(0,(('Business Case'!C11*$C281*'Business Case'!C12*$B281)-'Business Case'!C11*$C281*'Business Case'!C13*$D281-'Business Case'!C14*$E281))*'Business Case'!$B$7-'Business Case'!$B$8*(('Business Case'!C11*$C281*'Business Case'!C12*$B281)-('Business Case'!B11*$C281*'Business Case'!B12*$B281))-'Business Case'!C15*$F281</f>
        <v>-28849165.6461434</v>
      </c>
      <c r="J281" s="53" t="n">
        <f aca="false">(('Business Case'!D11*$C281*'Business Case'!D12*$B281)-'Business Case'!D11*$C281*'Business Case'!D13*$D281-'Business Case'!D14*$E281)-MAX(0,(('Business Case'!D11*$C281*'Business Case'!D12*$B281)-'Business Case'!D11*$C281*'Business Case'!D13*$D281-'Business Case'!D14*$E281))*'Business Case'!$B$7-'Business Case'!$B$8*(('Business Case'!D11*$C281*'Business Case'!D12*$B281)-('Business Case'!C11*$C281*'Business Case'!C12*$B281))-'Business Case'!D15*$F281</f>
        <v>249920022.022244</v>
      </c>
      <c r="K281" s="53" t="n">
        <f aca="false">(('Business Case'!E11*$C281*'Business Case'!E12*$B281)-'Business Case'!E11*$C281*'Business Case'!E13*$D281-'Business Case'!E14*$E281)-MAX(0,(('Business Case'!E11*$C281*'Business Case'!E12*$B281)-'Business Case'!E11*$C281*'Business Case'!E13*$D281-'Business Case'!E14*$E281))*'Business Case'!$B$7-'Business Case'!$B$8*(('Business Case'!E11*$C281*'Business Case'!E12*$B281)-('Business Case'!D11*$C281*'Business Case'!D12*$B281))-'Business Case'!E15*$F281</f>
        <v>585494784.898538</v>
      </c>
      <c r="L281" s="53" t="n">
        <f aca="false">(('Business Case'!F11*$C281*'Business Case'!F12*$B281)-'Business Case'!F11*$C281*'Business Case'!F13*$D281-'Business Case'!F14*$E281)-MAX(0,(('Business Case'!F11*$C281*'Business Case'!F12*$B281)-'Business Case'!F11*$C281*'Business Case'!F13*$D281-'Business Case'!F14*$E281))*'Business Case'!$B$7-'Business Case'!$B$8*(('Business Case'!F11*$C281*'Business Case'!F12*$B281)-('Business Case'!E11*$C281*'Business Case'!E12*$B281))-'Business Case'!F15*$F281</f>
        <v>712384890.034088</v>
      </c>
      <c r="M281" s="53" t="n">
        <f aca="false">(('Business Case'!G11*$C281*'Business Case'!G12*$B281)-'Business Case'!G11*$C281*'Business Case'!G13*$D281-'Business Case'!G14*$E281)-MAX(0,(('Business Case'!G11*$C281*'Business Case'!G12*$B281)-'Business Case'!G11*$C281*'Business Case'!G13*$D281-'Business Case'!G14*$E281))*'Business Case'!$B$7-'Business Case'!$B$8*(('Business Case'!G11*$C281*'Business Case'!G12*$B281)-('Business Case'!F11*$C281*'Business Case'!F12*$B281))-'Business Case'!G15*$F281+'Business Case'!$B$8*('Business Case'!G11*$C281*'Business Case'!G12*$B281)</f>
        <v>899203624.220901</v>
      </c>
      <c r="N281" s="53" t="n">
        <f aca="false">IF(COUNT('Business Case'!B11:G11)=0,"",H281+NPV(G281,I281:M281))</f>
        <v>-696101152.144859</v>
      </c>
      <c r="P281" s="54" t="n">
        <f aca="true">RAND()</f>
        <v>0.599752718399896</v>
      </c>
      <c r="Q281" s="54" t="n">
        <f aca="true">RAND()</f>
        <v>0.49907479735825</v>
      </c>
      <c r="R281" s="54" t="n">
        <f aca="true">RAND()</f>
        <v>0.858417101633797</v>
      </c>
      <c r="S281" s="54" t="n">
        <f aca="true">RAND()</f>
        <v>0.411236406184203</v>
      </c>
      <c r="T281" s="54" t="n">
        <f aca="true">RAND()</f>
        <v>0.918365201981314</v>
      </c>
      <c r="U281" s="54" t="n">
        <f aca="true">RAND()</f>
        <v>0.969886795795868</v>
      </c>
    </row>
    <row r="282" customFormat="false" ht="15" hidden="false" customHeight="false" outlineLevel="0" collapsed="false">
      <c r="A282" s="50" t="n">
        <v>202</v>
      </c>
      <c r="B282" s="51" t="n">
        <f aca="false">1+IF($G$6=$E$6,$F$6,IF(P282&lt;($F$6-$E$6)/($G$6-$E$6),$E$6+SQRT(P282*($G$6-$E$6)*($F$6-$E$6)),$G$6-SQRT((1-P282)*($G$6-$E$6)*($G$6-$F$6))))</f>
        <v>0.939933124841405</v>
      </c>
      <c r="C282" s="51" t="n">
        <f aca="false">1+IF($G$7=$E$7,$F$7,IF(Q282&lt;($F$7-$E$7)/($G$7-$E$7),$E$7+SQRT(Q282*($G$7-$E$7)*($F$7-$E$7)),$G$7-SQRT((1-Q282)*($G$7-$E$7)*($G$7-$F$7))))</f>
        <v>0.908856815903068</v>
      </c>
      <c r="D282" s="51" t="n">
        <f aca="false">1+IF($G$8=$E$8,$F$8,IF(R282&lt;($F$8-$E$8)/($G$8-$E$8),$E$8+SQRT(R282*($G$8-$E$8)*($F$8-$E$8)),$G$8-SQRT((1-R282)*($G$8-$E$8)*($G$8-$F$8))))</f>
        <v>0.97628403334965</v>
      </c>
      <c r="E282" s="51" t="n">
        <f aca="false">1+IF($G$9=$E$9,$F$9,IF(S282&lt;($F$9-$E$9)/($G$9-$E$9),$E$9+SQRT(S282*($G$9-$E$9)*($F$9-$E$9)),$G$9-SQRT((1-S282)*($G$9-$E$9)*($G$9-$F$9))))</f>
        <v>1.01674011572871</v>
      </c>
      <c r="F282" s="51" t="n">
        <f aca="false">1+IF($G$10=$E$10,$F$10,IF(T282&lt;($F$10-$E$10)/($G$10-$E$10),$E$10+SQRT(T282*($G$10-$E$10)*($F$10-$E$10)),$G$10-SQRT((1-T282)*($G$10-$E$10)*($G$10-$F$10))))</f>
        <v>1.186758850795</v>
      </c>
      <c r="G282" s="52" t="n">
        <f aca="false">IF($G$11=$E$11,$F$11,IF(U282&lt;($F$11-$E$11)/($G$11-$E$11),$E$11+SQRT(U282*($G$11-$E$11)*($F$11-$E$11)),$G$11-SQRT((1-U282)*($G$11-$E$11)*($G$11-$F$11))))</f>
        <v>0.108339850900514</v>
      </c>
      <c r="H282" s="53" t="n">
        <f aca="false">(('Business Case'!B11*$C282*'Business Case'!B12*$B282)-'Business Case'!B11*$C282*'Business Case'!B13*$D282-'Business Case'!B14*$E282)-MAX(0,(('Business Case'!B11*$C282*'Business Case'!B12*$B282)-'Business Case'!B11*$C282*'Business Case'!B13*$D282-'Business Case'!B14*$E282))*'Business Case'!$B$7-'Business Case'!$B$8*('Business Case'!B11*$C282*'Business Case'!B12*$B282)-'Business Case'!B15*$F282</f>
        <v>-2373517701.59001</v>
      </c>
      <c r="I282" s="53" t="n">
        <f aca="false">(('Business Case'!C11*$C282*'Business Case'!C12*$B282)-'Business Case'!C11*$C282*'Business Case'!C13*$D282-'Business Case'!C14*$E282)-MAX(0,(('Business Case'!C11*$C282*'Business Case'!C12*$B282)-'Business Case'!C11*$C282*'Business Case'!C13*$D282-'Business Case'!C14*$E282))*'Business Case'!$B$7-'Business Case'!$B$8*(('Business Case'!C11*$C282*'Business Case'!C12*$B282)-('Business Case'!B11*$C282*'Business Case'!B12*$B282))-'Business Case'!C15*$F282</f>
        <v>-62065014.7970374</v>
      </c>
      <c r="J282" s="53" t="n">
        <f aca="false">(('Business Case'!D11*$C282*'Business Case'!D12*$B282)-'Business Case'!D11*$C282*'Business Case'!D13*$D282-'Business Case'!D14*$E282)-MAX(0,(('Business Case'!D11*$C282*'Business Case'!D12*$B282)-'Business Case'!D11*$C282*'Business Case'!D13*$D282-'Business Case'!D14*$E282))*'Business Case'!$B$7-'Business Case'!$B$8*(('Business Case'!D11*$C282*'Business Case'!D12*$B282)-('Business Case'!C11*$C282*'Business Case'!C12*$B282))-'Business Case'!D15*$F282</f>
        <v>183411378.205997</v>
      </c>
      <c r="K282" s="53" t="n">
        <f aca="false">(('Business Case'!E11*$C282*'Business Case'!E12*$B282)-'Business Case'!E11*$C282*'Business Case'!E13*$D282-'Business Case'!E14*$E282)-MAX(0,(('Business Case'!E11*$C282*'Business Case'!E12*$B282)-'Business Case'!E11*$C282*'Business Case'!E13*$D282-'Business Case'!E14*$E282))*'Business Case'!$B$7-'Business Case'!$B$8*(('Business Case'!E11*$C282*'Business Case'!E12*$B282)-('Business Case'!D11*$C282*'Business Case'!D12*$B282))-'Business Case'!E15*$F282</f>
        <v>488225713.748782</v>
      </c>
      <c r="L282" s="53" t="n">
        <f aca="false">(('Business Case'!F11*$C282*'Business Case'!F12*$B282)-'Business Case'!F11*$C282*'Business Case'!F13*$D282-'Business Case'!F14*$E282)-MAX(0,(('Business Case'!F11*$C282*'Business Case'!F12*$B282)-'Business Case'!F11*$C282*'Business Case'!F13*$D282-'Business Case'!F14*$E282))*'Business Case'!$B$7-'Business Case'!$B$8*(('Business Case'!F11*$C282*'Business Case'!F12*$B282)-('Business Case'!E11*$C282*'Business Case'!E12*$B282))-'Business Case'!F15*$F282</f>
        <v>599574563.592426</v>
      </c>
      <c r="M282" s="53" t="n">
        <f aca="false">(('Business Case'!G11*$C282*'Business Case'!G12*$B282)-'Business Case'!G11*$C282*'Business Case'!G13*$D282-'Business Case'!G14*$E282)-MAX(0,(('Business Case'!G11*$C282*'Business Case'!G12*$B282)-'Business Case'!G11*$C282*'Business Case'!G13*$D282-'Business Case'!G14*$E282))*'Business Case'!$B$7-'Business Case'!$B$8*(('Business Case'!G11*$C282*'Business Case'!G12*$B282)-('Business Case'!F11*$C282*'Business Case'!F12*$B282))-'Business Case'!G15*$F282+'Business Case'!$B$8*('Business Case'!G11*$C282*'Business Case'!G12*$B282)</f>
        <v>761953183.89357</v>
      </c>
      <c r="N282" s="53" t="n">
        <f aca="false">IF(COUNT('Business Case'!B11:G11)=0,"",H282+NPV(G282,I282:M282))</f>
        <v>-1068706931.35338</v>
      </c>
      <c r="P282" s="54" t="n">
        <f aca="true">RAND()</f>
        <v>0.0413884860357337</v>
      </c>
      <c r="Q282" s="54" t="n">
        <f aca="true">RAND()</f>
        <v>0.169282948122205</v>
      </c>
      <c r="R282" s="54" t="n">
        <f aca="true">RAND()</f>
        <v>0.106284678327003</v>
      </c>
      <c r="S282" s="54" t="n">
        <f aca="true">RAND()</f>
        <v>0.537852778075453</v>
      </c>
      <c r="T282" s="54" t="n">
        <f aca="true">RAND()</f>
        <v>0.996493439354621</v>
      </c>
      <c r="U282" s="54" t="n">
        <f aca="true">RAND()</f>
        <v>0.773401538296251</v>
      </c>
    </row>
    <row r="283" customFormat="false" ht="15" hidden="false" customHeight="false" outlineLevel="0" collapsed="false">
      <c r="A283" s="50" t="n">
        <v>203</v>
      </c>
      <c r="B283" s="51" t="n">
        <f aca="false">1+IF($G$6=$E$6,$F$6,IF(P283&lt;($F$6-$E$6)/($G$6-$E$6),$E$6+SQRT(P283*($G$6-$E$6)*($F$6-$E$6)),$G$6-SQRT((1-P283)*($G$6-$E$6)*($G$6-$F$6))))</f>
        <v>1.00885551735023</v>
      </c>
      <c r="C283" s="51" t="n">
        <f aca="false">1+IF($G$7=$E$7,$F$7,IF(Q283&lt;($F$7-$E$7)/($G$7-$E$7),$E$7+SQRT(Q283*($G$7-$E$7)*($F$7-$E$7)),$G$7-SQRT((1-Q283)*($G$7-$E$7)*($G$7-$F$7))))</f>
        <v>0.937979100804276</v>
      </c>
      <c r="D283" s="51" t="n">
        <f aca="false">1+IF($G$8=$E$8,$F$8,IF(R283&lt;($F$8-$E$8)/($G$8-$E$8),$E$8+SQRT(R283*($G$8-$E$8)*($F$8-$E$8)),$G$8-SQRT((1-R283)*($G$8-$E$8)*($G$8-$F$8))))</f>
        <v>0.983637103738899</v>
      </c>
      <c r="E283" s="51" t="n">
        <f aca="false">1+IF($G$9=$E$9,$F$9,IF(S283&lt;($F$9-$E$9)/($G$9-$E$9),$E$9+SQRT(S283*($G$9-$E$9)*($F$9-$E$9)),$G$9-SQRT((1-S283)*($G$9-$E$9)*($G$9-$F$9))))</f>
        <v>1.0220526228523</v>
      </c>
      <c r="F283" s="51" t="n">
        <f aca="false">1+IF($G$10=$E$10,$F$10,IF(T283&lt;($F$10-$E$10)/($G$10-$E$10),$E$10+SQRT(T283*($G$10-$E$10)*($F$10-$E$10)),$G$10-SQRT((1-T283)*($G$10-$E$10)*($G$10-$F$10))))</f>
        <v>1.05961282379548</v>
      </c>
      <c r="G283" s="52" t="n">
        <f aca="false">IF($G$11=$E$11,$F$11,IF(U283&lt;($F$11-$E$11)/($G$11-$E$11),$E$11+SQRT(U283*($G$11-$E$11)*($F$11-$E$11)),$G$11-SQRT((1-U283)*($G$11-$E$11)*($G$11-$F$11))))</f>
        <v>0.102070248623619</v>
      </c>
      <c r="H283" s="53" t="n">
        <f aca="false">(('Business Case'!B11*$C283*'Business Case'!B12*$B283)-'Business Case'!B11*$C283*'Business Case'!B13*$D283-'Business Case'!B14*$E283)-MAX(0,(('Business Case'!B11*$C283*'Business Case'!B12*$B283)-'Business Case'!B11*$C283*'Business Case'!B13*$D283-'Business Case'!B14*$E283))*'Business Case'!$B$7-'Business Case'!$B$8*('Business Case'!B11*$C283*'Business Case'!B12*$B283)-'Business Case'!B15*$F283</f>
        <v>-2119225647.59095</v>
      </c>
      <c r="I283" s="53" t="n">
        <f aca="false">(('Business Case'!C11*$C283*'Business Case'!C12*$B283)-'Business Case'!C11*$C283*'Business Case'!C13*$D283-'Business Case'!C14*$E283)-MAX(0,(('Business Case'!C11*$C283*'Business Case'!C12*$B283)-'Business Case'!C11*$C283*'Business Case'!C13*$D283-'Business Case'!C14*$E283))*'Business Case'!$B$7-'Business Case'!$B$8*(('Business Case'!C11*$C283*'Business Case'!C12*$B283)-('Business Case'!B11*$C283*'Business Case'!B12*$B283))-'Business Case'!C15*$F283</f>
        <v>2409982.6521914</v>
      </c>
      <c r="J283" s="53" t="n">
        <f aca="false">(('Business Case'!D11*$C283*'Business Case'!D12*$B283)-'Business Case'!D11*$C283*'Business Case'!D13*$D283-'Business Case'!D14*$E283)-MAX(0,(('Business Case'!D11*$C283*'Business Case'!D12*$B283)-'Business Case'!D11*$C283*'Business Case'!D13*$D283-'Business Case'!D14*$E283))*'Business Case'!$B$7-'Business Case'!$B$8*(('Business Case'!D11*$C283*'Business Case'!D12*$B283)-('Business Case'!C11*$C283*'Business Case'!C12*$B283))-'Business Case'!D15*$F283</f>
        <v>305172565.323257</v>
      </c>
      <c r="K283" s="53" t="n">
        <f aca="false">(('Business Case'!E11*$C283*'Business Case'!E12*$B283)-'Business Case'!E11*$C283*'Business Case'!E13*$D283-'Business Case'!E14*$E283)-MAX(0,(('Business Case'!E11*$C283*'Business Case'!E12*$B283)-'Business Case'!E11*$C283*'Business Case'!E13*$D283-'Business Case'!E14*$E283))*'Business Case'!$B$7-'Business Case'!$B$8*(('Business Case'!E11*$C283*'Business Case'!E12*$B283)-('Business Case'!D11*$C283*'Business Case'!D12*$B283))-'Business Case'!E15*$F283</f>
        <v>660915789.184097</v>
      </c>
      <c r="L283" s="53" t="n">
        <f aca="false">(('Business Case'!F11*$C283*'Business Case'!F12*$B283)-'Business Case'!F11*$C283*'Business Case'!F13*$D283-'Business Case'!F14*$E283)-MAX(0,(('Business Case'!F11*$C283*'Business Case'!F12*$B283)-'Business Case'!F11*$C283*'Business Case'!F13*$D283-'Business Case'!F14*$E283))*'Business Case'!$B$7-'Business Case'!$B$8*(('Business Case'!F11*$C283*'Business Case'!F12*$B283)-('Business Case'!E11*$C283*'Business Case'!E12*$B283))-'Business Case'!F15*$F283</f>
        <v>794540273.187606</v>
      </c>
      <c r="M283" s="53" t="n">
        <f aca="false">(('Business Case'!G11*$C283*'Business Case'!G12*$B283)-'Business Case'!G11*$C283*'Business Case'!G13*$D283-'Business Case'!G14*$E283)-MAX(0,(('Business Case'!G11*$C283*'Business Case'!G12*$B283)-'Business Case'!G11*$C283*'Business Case'!G13*$D283-'Business Case'!G14*$E283))*'Business Case'!$B$7-'Business Case'!$B$8*(('Business Case'!G11*$C283*'Business Case'!G12*$B283)-('Business Case'!F11*$C283*'Business Case'!F12*$B283))-'Business Case'!G15*$F283+'Business Case'!$B$8*('Business Case'!G11*$C283*'Business Case'!G12*$B283)</f>
        <v>974410200.30995</v>
      </c>
      <c r="N283" s="53" t="n">
        <f aca="false">IF(COUNT('Business Case'!B11:G11)=0,"",H283+NPV(G283,I283:M283))</f>
        <v>-234028051.583057</v>
      </c>
      <c r="P283" s="54" t="n">
        <f aca="true">RAND()</f>
        <v>0.797921083432944</v>
      </c>
      <c r="Q283" s="54" t="n">
        <f aca="true">RAND()</f>
        <v>0.271974746553665</v>
      </c>
      <c r="R283" s="54" t="n">
        <f aca="true">RAND()</f>
        <v>0.174069961221762</v>
      </c>
      <c r="S283" s="54" t="n">
        <f aca="true">RAND()</f>
        <v>0.594947093052914</v>
      </c>
      <c r="T283" s="54" t="n">
        <f aca="true">RAND()</f>
        <v>0.605828815146398</v>
      </c>
      <c r="U283" s="54" t="n">
        <f aca="true">RAND()</f>
        <v>0.464206692635276</v>
      </c>
    </row>
    <row r="284" customFormat="false" ht="15" hidden="false" customHeight="false" outlineLevel="0" collapsed="false">
      <c r="A284" s="50" t="n">
        <v>204</v>
      </c>
      <c r="B284" s="51" t="n">
        <f aca="false">1+IF($G$6=$E$6,$F$6,IF(P284&lt;($F$6-$E$6)/($G$6-$E$6),$E$6+SQRT(P284*($G$6-$E$6)*($F$6-$E$6)),$G$6-SQRT((1-P284)*($G$6-$E$6)*($G$6-$F$6))))</f>
        <v>0.977807241226771</v>
      </c>
      <c r="C284" s="51" t="n">
        <f aca="false">1+IF($G$7=$E$7,$F$7,IF(Q284&lt;($F$7-$E$7)/($G$7-$E$7),$E$7+SQRT(Q284*($G$7-$E$7)*($F$7-$E$7)),$G$7-SQRT((1-Q284)*($G$7-$E$7)*($G$7-$F$7))))</f>
        <v>1.04862238997168</v>
      </c>
      <c r="D284" s="51" t="n">
        <f aca="false">1+IF($G$8=$E$8,$F$8,IF(R284&lt;($F$8-$E$8)/($G$8-$E$8),$E$8+SQRT(R284*($G$8-$E$8)*($F$8-$E$8)),$G$8-SQRT((1-R284)*($G$8-$E$8)*($G$8-$F$8))))</f>
        <v>0.982170079806387</v>
      </c>
      <c r="E284" s="51" t="n">
        <f aca="false">1+IF($G$9=$E$9,$F$9,IF(S284&lt;($F$9-$E$9)/($G$9-$E$9),$E$9+SQRT(S284*($G$9-$E$9)*($F$9-$E$9)),$G$9-SQRT((1-S284)*($G$9-$E$9)*($G$9-$F$9))))</f>
        <v>1.04616545419947</v>
      </c>
      <c r="F284" s="51" t="n">
        <f aca="false">1+IF($G$10=$E$10,$F$10,IF(T284&lt;($F$10-$E$10)/($G$10-$E$10),$E$10+SQRT(T284*($G$10-$E$10)*($F$10-$E$10)),$G$10-SQRT((1-T284)*($G$10-$E$10)*($G$10-$F$10))))</f>
        <v>1.13584806972837</v>
      </c>
      <c r="G284" s="52" t="n">
        <f aca="false">IF($G$11=$E$11,$F$11,IF(U284&lt;($F$11-$E$11)/($G$11-$E$11),$E$11+SQRT(U284*($G$11-$E$11)*($F$11-$E$11)),$G$11-SQRT((1-U284)*($G$11-$E$11)*($G$11-$F$11))))</f>
        <v>0.108552676017321</v>
      </c>
      <c r="H284" s="53" t="n">
        <f aca="false">(('Business Case'!B11*$C284*'Business Case'!B12*$B284)-'Business Case'!B11*$C284*'Business Case'!B13*$D284-'Business Case'!B14*$E284)-MAX(0,(('Business Case'!B11*$C284*'Business Case'!B12*$B284)-'Business Case'!B11*$C284*'Business Case'!B13*$D284-'Business Case'!B14*$E284))*'Business Case'!$B$7-'Business Case'!$B$8*('Business Case'!B11*$C284*'Business Case'!B12*$B284)-'Business Case'!B15*$F284</f>
        <v>-2271696139.45675</v>
      </c>
      <c r="I284" s="53" t="n">
        <f aca="false">(('Business Case'!C11*$C284*'Business Case'!C12*$B284)-'Business Case'!C11*$C284*'Business Case'!C13*$D284-'Business Case'!C14*$E284)-MAX(0,(('Business Case'!C11*$C284*'Business Case'!C12*$B284)-'Business Case'!C11*$C284*'Business Case'!C13*$D284-'Business Case'!C14*$E284))*'Business Case'!$B$7-'Business Case'!$B$8*(('Business Case'!C11*$C284*'Business Case'!C12*$B284)-('Business Case'!B11*$C284*'Business Case'!B12*$B284))-'Business Case'!C15*$F284</f>
        <v>-2907249.54970938</v>
      </c>
      <c r="J284" s="53" t="n">
        <f aca="false">(('Business Case'!D11*$C284*'Business Case'!D12*$B284)-'Business Case'!D11*$C284*'Business Case'!D13*$D284-'Business Case'!D14*$E284)-MAX(0,(('Business Case'!D11*$C284*'Business Case'!D12*$B284)-'Business Case'!D11*$C284*'Business Case'!D13*$D284-'Business Case'!D14*$E284))*'Business Case'!$B$7-'Business Case'!$B$8*(('Business Case'!D11*$C284*'Business Case'!D12*$B284)-('Business Case'!C11*$C284*'Business Case'!C12*$B284))-'Business Case'!D15*$F284</f>
        <v>309689208.813782</v>
      </c>
      <c r="K284" s="53" t="n">
        <f aca="false">(('Business Case'!E11*$C284*'Business Case'!E12*$B284)-'Business Case'!E11*$C284*'Business Case'!E13*$D284-'Business Case'!E14*$E284)-MAX(0,(('Business Case'!E11*$C284*'Business Case'!E12*$B284)-'Business Case'!E11*$C284*'Business Case'!E13*$D284-'Business Case'!E14*$E284))*'Business Case'!$B$7-'Business Case'!$B$8*(('Business Case'!E11*$C284*'Business Case'!E12*$B284)-('Business Case'!D11*$C284*'Business Case'!D12*$B284))-'Business Case'!E15*$F284</f>
        <v>679078070.663692</v>
      </c>
      <c r="L284" s="53" t="n">
        <f aca="false">(('Business Case'!F11*$C284*'Business Case'!F12*$B284)-'Business Case'!F11*$C284*'Business Case'!F13*$D284-'Business Case'!F14*$E284)-MAX(0,(('Business Case'!F11*$C284*'Business Case'!F12*$B284)-'Business Case'!F11*$C284*'Business Case'!F13*$D284-'Business Case'!F14*$E284))*'Business Case'!$B$7-'Business Case'!$B$8*(('Business Case'!F11*$C284*'Business Case'!F12*$B284)-('Business Case'!E11*$C284*'Business Case'!E12*$B284))-'Business Case'!F15*$F284</f>
        <v>818713005.686988</v>
      </c>
      <c r="M284" s="53" t="n">
        <f aca="false">(('Business Case'!G11*$C284*'Business Case'!G12*$B284)-'Business Case'!G11*$C284*'Business Case'!G13*$D284-'Business Case'!G14*$E284)-MAX(0,(('Business Case'!G11*$C284*'Business Case'!G12*$B284)-'Business Case'!G11*$C284*'Business Case'!G13*$D284-'Business Case'!G14*$E284))*'Business Case'!$B$7-'Business Case'!$B$8*(('Business Case'!G11*$C284*'Business Case'!G12*$B284)-('Business Case'!F11*$C284*'Business Case'!F12*$B284))-'Business Case'!G15*$F284+'Business Case'!$B$8*('Business Case'!G11*$C284*'Business Case'!G12*$B284)</f>
        <v>1013611641.31538</v>
      </c>
      <c r="N284" s="53" t="n">
        <f aca="false">IF(COUNT('Business Case'!B11:G11)=0,"",H284+NPV(G284,I284:M284))</f>
        <v>-376227986.9662</v>
      </c>
      <c r="P284" s="54" t="n">
        <f aca="true">RAND()</f>
        <v>0.348091368567717</v>
      </c>
      <c r="Q284" s="54" t="n">
        <f aca="true">RAND()</f>
        <v>0.804239622570394</v>
      </c>
      <c r="R284" s="54" t="n">
        <f aca="true">RAND()</f>
        <v>0.159217543807585</v>
      </c>
      <c r="S284" s="54" t="n">
        <f aca="true">RAND()</f>
        <v>0.806789445230025</v>
      </c>
      <c r="T284" s="54" t="n">
        <f aca="true">RAND()</f>
        <v>0.917690596848487</v>
      </c>
      <c r="U284" s="54" t="n">
        <f aca="true">RAND()</f>
        <v>0.781597956059287</v>
      </c>
    </row>
    <row r="285" customFormat="false" ht="15" hidden="false" customHeight="false" outlineLevel="0" collapsed="false">
      <c r="A285" s="50" t="n">
        <v>205</v>
      </c>
      <c r="B285" s="51" t="n">
        <f aca="false">1+IF($G$6=$E$6,$F$6,IF(P285&lt;($F$6-$E$6)/($G$6-$E$6),$E$6+SQRT(P285*($G$6-$E$6)*($F$6-$E$6)),$G$6-SQRT((1-P285)*($G$6-$E$6)*($G$6-$F$6))))</f>
        <v>0.972054750203866</v>
      </c>
      <c r="C285" s="51" t="n">
        <f aca="false">1+IF($G$7=$E$7,$F$7,IF(Q285&lt;($F$7-$E$7)/($G$7-$E$7),$E$7+SQRT(Q285*($G$7-$E$7)*($F$7-$E$7)),$G$7-SQRT((1-Q285)*($G$7-$E$7)*($G$7-$F$7))))</f>
        <v>0.998966776858359</v>
      </c>
      <c r="D285" s="51" t="n">
        <f aca="false">1+IF($G$8=$E$8,$F$8,IF(R285&lt;($F$8-$E$8)/($G$8-$E$8),$E$8+SQRT(R285*($G$8-$E$8)*($F$8-$E$8)),$G$8-SQRT((1-R285)*($G$8-$E$8)*($G$8-$F$8))))</f>
        <v>0.994781118592297</v>
      </c>
      <c r="E285" s="51" t="n">
        <f aca="false">1+IF($G$9=$E$9,$F$9,IF(S285&lt;($F$9-$E$9)/($G$9-$E$9),$E$9+SQRT(S285*($G$9-$E$9)*($F$9-$E$9)),$G$9-SQRT((1-S285)*($G$9-$E$9)*($G$9-$F$9))))</f>
        <v>1.02552921112528</v>
      </c>
      <c r="F285" s="51" t="n">
        <f aca="false">1+IF($G$10=$E$10,$F$10,IF(T285&lt;($F$10-$E$10)/($G$10-$E$10),$E$10+SQRT(T285*($G$10-$E$10)*($F$10-$E$10)),$G$10-SQRT((1-T285)*($G$10-$E$10)*($G$10-$F$10))))</f>
        <v>1.07725329507056</v>
      </c>
      <c r="G285" s="52" t="n">
        <f aca="false">IF($G$11=$E$11,$F$11,IF(U285&lt;($F$11-$E$11)/($G$11-$E$11),$E$11+SQRT(U285*($G$11-$E$11)*($F$11-$E$11)),$G$11-SQRT((1-U285)*($G$11-$E$11)*($G$11-$F$11))))</f>
        <v>0.0978083088626477</v>
      </c>
      <c r="H285" s="53" t="n">
        <f aca="false">(('Business Case'!B11*$C285*'Business Case'!B12*$B285)-'Business Case'!B11*$C285*'Business Case'!B13*$D285-'Business Case'!B14*$E285)-MAX(0,(('Business Case'!B11*$C285*'Business Case'!B12*$B285)-'Business Case'!B11*$C285*'Business Case'!B13*$D285-'Business Case'!B14*$E285))*'Business Case'!$B$7-'Business Case'!$B$8*('Business Case'!B11*$C285*'Business Case'!B12*$B285)-'Business Case'!B15*$F285</f>
        <v>-2154506590.14111</v>
      </c>
      <c r="I285" s="53" t="n">
        <f aca="false">(('Business Case'!C11*$C285*'Business Case'!C12*$B285)-'Business Case'!C11*$C285*'Business Case'!C13*$D285-'Business Case'!C14*$E285)-MAX(0,(('Business Case'!C11*$C285*'Business Case'!C12*$B285)-'Business Case'!C11*$C285*'Business Case'!C13*$D285-'Business Case'!C14*$E285))*'Business Case'!$B$7-'Business Case'!$B$8*(('Business Case'!C11*$C285*'Business Case'!C12*$B285)-('Business Case'!B11*$C285*'Business Case'!B12*$B285))-'Business Case'!C15*$F285</f>
        <v>-17256825.3172101</v>
      </c>
      <c r="J285" s="53" t="n">
        <f aca="false">(('Business Case'!D11*$C285*'Business Case'!D12*$B285)-'Business Case'!D11*$C285*'Business Case'!D13*$D285-'Business Case'!D14*$E285)-MAX(0,(('Business Case'!D11*$C285*'Business Case'!D12*$B285)-'Business Case'!D11*$C285*'Business Case'!D13*$D285-'Business Case'!D14*$E285))*'Business Case'!$B$7-'Business Case'!$B$8*(('Business Case'!D11*$C285*'Business Case'!D12*$B285)-('Business Case'!C11*$C285*'Business Case'!C12*$B285))-'Business Case'!D15*$F285</f>
        <v>269381185.469065</v>
      </c>
      <c r="K285" s="53" t="n">
        <f aca="false">(('Business Case'!E11*$C285*'Business Case'!E12*$B285)-'Business Case'!E11*$C285*'Business Case'!E13*$D285-'Business Case'!E14*$E285)-MAX(0,(('Business Case'!E11*$C285*'Business Case'!E12*$B285)-'Business Case'!E11*$C285*'Business Case'!E13*$D285-'Business Case'!E14*$E285))*'Business Case'!$B$7-'Business Case'!$B$8*(('Business Case'!E11*$C285*'Business Case'!E12*$B285)-('Business Case'!D11*$C285*'Business Case'!D12*$B285))-'Business Case'!E15*$F285</f>
        <v>609881861.008867</v>
      </c>
      <c r="L285" s="53" t="n">
        <f aca="false">(('Business Case'!F11*$C285*'Business Case'!F12*$B285)-'Business Case'!F11*$C285*'Business Case'!F13*$D285-'Business Case'!F14*$E285)-MAX(0,(('Business Case'!F11*$C285*'Business Case'!F12*$B285)-'Business Case'!F11*$C285*'Business Case'!F13*$D285-'Business Case'!F14*$E285))*'Business Case'!$B$7-'Business Case'!$B$8*(('Business Case'!F11*$C285*'Business Case'!F12*$B285)-('Business Case'!E11*$C285*'Business Case'!E12*$B285))-'Business Case'!F15*$F285</f>
        <v>738987366.453901</v>
      </c>
      <c r="M285" s="53" t="n">
        <f aca="false">(('Business Case'!G11*$C285*'Business Case'!G12*$B285)-'Business Case'!G11*$C285*'Business Case'!G13*$D285-'Business Case'!G14*$E285)-MAX(0,(('Business Case'!G11*$C285*'Business Case'!G12*$B285)-'Business Case'!G11*$C285*'Business Case'!G13*$D285-'Business Case'!G14*$E285))*'Business Case'!$B$7-'Business Case'!$B$8*(('Business Case'!G11*$C285*'Business Case'!G12*$B285)-('Business Case'!F11*$C285*'Business Case'!F12*$B285))-'Business Case'!G15*$F285+'Business Case'!$B$8*('Business Case'!G11*$C285*'Business Case'!G12*$B285)</f>
        <v>923564626.626753</v>
      </c>
      <c r="N285" s="53" t="n">
        <f aca="false">IF(COUNT('Business Case'!B11:G11)=0,"",H285+NPV(G285,I285:M285))</f>
        <v>-397754609.466418</v>
      </c>
      <c r="P285" s="54" t="n">
        <f aca="true">RAND()</f>
        <v>0.282260106123637</v>
      </c>
      <c r="Q285" s="54" t="n">
        <f aca="true">RAND()</f>
        <v>0.56553968990577</v>
      </c>
      <c r="R285" s="54" t="n">
        <f aca="true">RAND()</f>
        <v>0.308515166519595</v>
      </c>
      <c r="S285" s="54" t="n">
        <f aca="true">RAND()</f>
        <v>0.630273440291804</v>
      </c>
      <c r="T285" s="54" t="n">
        <f aca="true">RAND()</f>
        <v>0.698664928579283</v>
      </c>
      <c r="U285" s="54" t="n">
        <f aca="true">RAND()</f>
        <v>0.203232290981675</v>
      </c>
    </row>
    <row r="286" customFormat="false" ht="15" hidden="false" customHeight="false" outlineLevel="0" collapsed="false">
      <c r="A286" s="50" t="n">
        <v>206</v>
      </c>
      <c r="B286" s="51" t="n">
        <f aca="false">1+IF($G$6=$E$6,$F$6,IF(P286&lt;($F$6-$E$6)/($G$6-$E$6),$E$6+SQRT(P286*($G$6-$E$6)*($F$6-$E$6)),$G$6-SQRT((1-P286)*($G$6-$E$6)*($G$6-$F$6))))</f>
        <v>1.02307376792447</v>
      </c>
      <c r="C286" s="51" t="n">
        <f aca="false">1+IF($G$7=$E$7,$F$7,IF(Q286&lt;($F$7-$E$7)/($G$7-$E$7),$E$7+SQRT(Q286*($G$7-$E$7)*($F$7-$E$7)),$G$7-SQRT((1-Q286)*($G$7-$E$7)*($G$7-$F$7))))</f>
        <v>1.05396218816639</v>
      </c>
      <c r="D286" s="51" t="n">
        <f aca="false">1+IF($G$8=$E$8,$F$8,IF(R286&lt;($F$8-$E$8)/($G$8-$E$8),$E$8+SQRT(R286*($G$8-$E$8)*($F$8-$E$8)),$G$8-SQRT((1-R286)*($G$8-$E$8)*($G$8-$F$8))))</f>
        <v>1.02811219971579</v>
      </c>
      <c r="E286" s="51" t="n">
        <f aca="false">1+IF($G$9=$E$9,$F$9,IF(S286&lt;($F$9-$E$9)/($G$9-$E$9),$E$9+SQRT(S286*($G$9-$E$9)*($F$9-$E$9)),$G$9-SQRT((1-S286)*($G$9-$E$9)*($G$9-$F$9))))</f>
        <v>0.99618137137954</v>
      </c>
      <c r="F286" s="51" t="n">
        <f aca="false">1+IF($G$10=$E$10,$F$10,IF(T286&lt;($F$10-$E$10)/($G$10-$E$10),$E$10+SQRT(T286*($G$10-$E$10)*($F$10-$E$10)),$G$10-SQRT((1-T286)*($G$10-$E$10)*($G$10-$F$10))))</f>
        <v>1.00742210702845</v>
      </c>
      <c r="G286" s="52" t="n">
        <f aca="false">IF($G$11=$E$11,$F$11,IF(U286&lt;($F$11-$E$11)/($G$11-$E$11),$E$11+SQRT(U286*($G$11-$E$11)*($F$11-$E$11)),$G$11-SQRT((1-U286)*($G$11-$E$11)*($G$11-$F$11))))</f>
        <v>0.0964464874300503</v>
      </c>
      <c r="H286" s="53" t="n">
        <f aca="false">(('Business Case'!B11*$C286*'Business Case'!B12*$B286)-'Business Case'!B11*$C286*'Business Case'!B13*$D286-'Business Case'!B14*$E286)-MAX(0,(('Business Case'!B11*$C286*'Business Case'!B12*$B286)-'Business Case'!B11*$C286*'Business Case'!B13*$D286-'Business Case'!B14*$E286))*'Business Case'!$B$7-'Business Case'!$B$8*('Business Case'!B11*$C286*'Business Case'!B12*$B286)-'Business Case'!B15*$F286</f>
        <v>-2014844214.0569</v>
      </c>
      <c r="I286" s="53" t="n">
        <f aca="false">(('Business Case'!C11*$C286*'Business Case'!C12*$B286)-'Business Case'!C11*$C286*'Business Case'!C13*$D286-'Business Case'!C14*$E286)-MAX(0,(('Business Case'!C11*$C286*'Business Case'!C12*$B286)-'Business Case'!C11*$C286*'Business Case'!C13*$D286-'Business Case'!C14*$E286))*'Business Case'!$B$7-'Business Case'!$B$8*(('Business Case'!C11*$C286*'Business Case'!C12*$B286)-('Business Case'!B11*$C286*'Business Case'!B12*$B286))-'Business Case'!C15*$F286</f>
        <v>30180436.8180558</v>
      </c>
      <c r="J286" s="53" t="n">
        <f aca="false">(('Business Case'!D11*$C286*'Business Case'!D12*$B286)-'Business Case'!D11*$C286*'Business Case'!D13*$D286-'Business Case'!D14*$E286)-MAX(0,(('Business Case'!D11*$C286*'Business Case'!D12*$B286)-'Business Case'!D11*$C286*'Business Case'!D13*$D286-'Business Case'!D14*$E286))*'Business Case'!$B$7-'Business Case'!$B$8*(('Business Case'!D11*$C286*'Business Case'!D12*$B286)-('Business Case'!C11*$C286*'Business Case'!C12*$B286))-'Business Case'!D15*$F286</f>
        <v>358658165.867451</v>
      </c>
      <c r="K286" s="53" t="n">
        <f aca="false">(('Business Case'!E11*$C286*'Business Case'!E12*$B286)-'Business Case'!E11*$C286*'Business Case'!E13*$D286-'Business Case'!E14*$E286)-MAX(0,(('Business Case'!E11*$C286*'Business Case'!E12*$B286)-'Business Case'!E11*$C286*'Business Case'!E13*$D286-'Business Case'!E14*$E286))*'Business Case'!$B$7-'Business Case'!$B$8*(('Business Case'!E11*$C286*'Business Case'!E12*$B286)-('Business Case'!D11*$C286*'Business Case'!D12*$B286))-'Business Case'!E15*$F286</f>
        <v>737507000.268269</v>
      </c>
      <c r="L286" s="53" t="n">
        <f aca="false">(('Business Case'!F11*$C286*'Business Case'!F12*$B286)-'Business Case'!F11*$C286*'Business Case'!F13*$D286-'Business Case'!F14*$E286)-MAX(0,(('Business Case'!F11*$C286*'Business Case'!F12*$B286)-'Business Case'!F11*$C286*'Business Case'!F13*$D286-'Business Case'!F14*$E286))*'Business Case'!$B$7-'Business Case'!$B$8*(('Business Case'!F11*$C286*'Business Case'!F12*$B286)-('Business Case'!E11*$C286*'Business Case'!E12*$B286))-'Business Case'!F15*$F286</f>
        <v>884264970.296951</v>
      </c>
      <c r="M286" s="53" t="n">
        <f aca="false">(('Business Case'!G11*$C286*'Business Case'!G12*$B286)-'Business Case'!G11*$C286*'Business Case'!G13*$D286-'Business Case'!G14*$E286)-MAX(0,(('Business Case'!G11*$C286*'Business Case'!G12*$B286)-'Business Case'!G11*$C286*'Business Case'!G13*$D286-'Business Case'!G14*$E286))*'Business Case'!$B$7-'Business Case'!$B$8*(('Business Case'!G11*$C286*'Business Case'!G12*$B286)-('Business Case'!F11*$C286*'Business Case'!F12*$B286))-'Business Case'!G15*$F286+'Business Case'!$B$8*('Business Case'!G11*$C286*'Business Case'!G12*$B286)</f>
        <v>1089224635.53081</v>
      </c>
      <c r="N286" s="53" t="n">
        <f aca="false">IF(COUNT('Business Case'!B11:G11)=0,"",H286+NPV(G286,I286:M286))</f>
        <v>169708729.782519</v>
      </c>
      <c r="P286" s="54" t="n">
        <f aca="true">RAND()</f>
        <v>0.940313055776095</v>
      </c>
      <c r="Q286" s="54" t="n">
        <f aca="true">RAND()</f>
        <v>0.824318832346898</v>
      </c>
      <c r="R286" s="54" t="n">
        <f aca="true">RAND()</f>
        <v>0.741120786698677</v>
      </c>
      <c r="S286" s="54" t="n">
        <f aca="true">RAND()</f>
        <v>0.284362541665994</v>
      </c>
      <c r="T286" s="54" t="n">
        <f aca="true">RAND()</f>
        <v>0.25827510277276</v>
      </c>
      <c r="U286" s="54" t="n">
        <f aca="true">RAND()</f>
        <v>0.13852400061932</v>
      </c>
    </row>
    <row r="287" customFormat="false" ht="15" hidden="false" customHeight="false" outlineLevel="0" collapsed="false">
      <c r="A287" s="50" t="n">
        <v>207</v>
      </c>
      <c r="B287" s="51" t="n">
        <f aca="false">1+IF($G$6=$E$6,$F$6,IF(P287&lt;($F$6-$E$6)/($G$6-$E$6),$E$6+SQRT(P287*($G$6-$E$6)*($F$6-$E$6)),$G$6-SQRT((1-P287)*($G$6-$E$6)*($G$6-$F$6))))</f>
        <v>1.00379340130905</v>
      </c>
      <c r="C287" s="51" t="n">
        <f aca="false">1+IF($G$7=$E$7,$F$7,IF(Q287&lt;($F$7-$E$7)/($G$7-$E$7),$E$7+SQRT(Q287*($G$7-$E$7)*($F$7-$E$7)),$G$7-SQRT((1-Q287)*($G$7-$E$7)*($G$7-$F$7))))</f>
        <v>0.936583819951208</v>
      </c>
      <c r="D287" s="51" t="n">
        <f aca="false">1+IF($G$8=$E$8,$F$8,IF(R287&lt;($F$8-$E$8)/($G$8-$E$8),$E$8+SQRT(R287*($G$8-$E$8)*($F$8-$E$8)),$G$8-SQRT((1-R287)*($G$8-$E$8)*($G$8-$F$8))))</f>
        <v>1.01143577448915</v>
      </c>
      <c r="E287" s="51" t="n">
        <f aca="false">1+IF($G$9=$E$9,$F$9,IF(S287&lt;($F$9-$E$9)/($G$9-$E$9),$E$9+SQRT(S287*($G$9-$E$9)*($F$9-$E$9)),$G$9-SQRT((1-S287)*($G$9-$E$9)*($G$9-$F$9))))</f>
        <v>1.05518190715376</v>
      </c>
      <c r="F287" s="51" t="n">
        <f aca="false">1+IF($G$10=$E$10,$F$10,IF(T287&lt;($F$10-$E$10)/($G$10-$E$10),$E$10+SQRT(T287*($G$10-$E$10)*($F$10-$E$10)),$G$10-SQRT((1-T287)*($G$10-$E$10)*($G$10-$F$10))))</f>
        <v>1.09672526923276</v>
      </c>
      <c r="G287" s="52" t="n">
        <f aca="false">IF($G$11=$E$11,$F$11,IF(U287&lt;($F$11-$E$11)/($G$11-$E$11),$E$11+SQRT(U287*($G$11-$E$11)*($F$11-$E$11)),$G$11-SQRT((1-U287)*($G$11-$E$11)*($G$11-$F$11))))</f>
        <v>0.106767132865961</v>
      </c>
      <c r="H287" s="53" t="n">
        <f aca="false">(('Business Case'!B11*$C287*'Business Case'!B12*$B287)-'Business Case'!B11*$C287*'Business Case'!B13*$D287-'Business Case'!B14*$E287)-MAX(0,(('Business Case'!B11*$C287*'Business Case'!B12*$B287)-'Business Case'!B11*$C287*'Business Case'!B13*$D287-'Business Case'!B14*$E287))*'Business Case'!$B$7-'Business Case'!$B$8*('Business Case'!B11*$C287*'Business Case'!B12*$B287)-'Business Case'!B15*$F287</f>
        <v>-2193450538.46551</v>
      </c>
      <c r="I287" s="53" t="n">
        <f aca="false">(('Business Case'!C11*$C287*'Business Case'!C12*$B287)-'Business Case'!C11*$C287*'Business Case'!C13*$D287-'Business Case'!C14*$E287)-MAX(0,(('Business Case'!C11*$C287*'Business Case'!C12*$B287)-'Business Case'!C11*$C287*'Business Case'!C13*$D287-'Business Case'!C14*$E287))*'Business Case'!$B$7-'Business Case'!$B$8*(('Business Case'!C11*$C287*'Business Case'!C12*$B287)-('Business Case'!B11*$C287*'Business Case'!B12*$B287))-'Business Case'!C15*$F287</f>
        <v>-23355405.2242158</v>
      </c>
      <c r="J287" s="53" t="n">
        <f aca="false">(('Business Case'!D11*$C287*'Business Case'!D12*$B287)-'Business Case'!D11*$C287*'Business Case'!D13*$D287-'Business Case'!D14*$E287)-MAX(0,(('Business Case'!D11*$C287*'Business Case'!D12*$B287)-'Business Case'!D11*$C287*'Business Case'!D13*$D287-'Business Case'!D14*$E287))*'Business Case'!$B$7-'Business Case'!$B$8*(('Business Case'!D11*$C287*'Business Case'!D12*$B287)-('Business Case'!C11*$C287*'Business Case'!C12*$B287))-'Business Case'!D15*$F287</f>
        <v>261745268.035263</v>
      </c>
      <c r="K287" s="53" t="n">
        <f aca="false">(('Business Case'!E11*$C287*'Business Case'!E12*$B287)-'Business Case'!E11*$C287*'Business Case'!E13*$D287-'Business Case'!E14*$E287)-MAX(0,(('Business Case'!E11*$C287*'Business Case'!E12*$B287)-'Business Case'!E11*$C287*'Business Case'!E13*$D287-'Business Case'!E14*$E287))*'Business Case'!$B$7-'Business Case'!$B$8*(('Business Case'!E11*$C287*'Business Case'!E12*$B287)-('Business Case'!D11*$C287*'Business Case'!D12*$B287))-'Business Case'!E15*$F287</f>
        <v>601682204.756379</v>
      </c>
      <c r="L287" s="53" t="n">
        <f aca="false">(('Business Case'!F11*$C287*'Business Case'!F12*$B287)-'Business Case'!F11*$C287*'Business Case'!F13*$D287-'Business Case'!F14*$E287)-MAX(0,(('Business Case'!F11*$C287*'Business Case'!F12*$B287)-'Business Case'!F11*$C287*'Business Case'!F13*$D287-'Business Case'!F14*$E287))*'Business Case'!$B$7-'Business Case'!$B$8*(('Business Case'!F11*$C287*'Business Case'!F12*$B287)-('Business Case'!E11*$C287*'Business Case'!E12*$B287))-'Business Case'!F15*$F287</f>
        <v>729206885.418308</v>
      </c>
      <c r="M287" s="53" t="n">
        <f aca="false">(('Business Case'!G11*$C287*'Business Case'!G12*$B287)-'Business Case'!G11*$C287*'Business Case'!G13*$D287-'Business Case'!G14*$E287)-MAX(0,(('Business Case'!G11*$C287*'Business Case'!G12*$B287)-'Business Case'!G11*$C287*'Business Case'!G13*$D287-'Business Case'!G14*$E287))*'Business Case'!$B$7-'Business Case'!$B$8*(('Business Case'!G11*$C287*'Business Case'!G12*$B287)-('Business Case'!F11*$C287*'Business Case'!F12*$B287))-'Business Case'!G15*$F287+'Business Case'!$B$8*('Business Case'!G11*$C287*'Business Case'!G12*$B287)</f>
        <v>907908061.416538</v>
      </c>
      <c r="N287" s="53" t="n">
        <f aca="false">IF(COUNT('Business Case'!B11:G11)=0,"",H287+NPV(G287,I287:M287))</f>
        <v>-524357605.178069</v>
      </c>
      <c r="P287" s="54" t="n">
        <f aca="true">RAND()</f>
        <v>0.726892127340113</v>
      </c>
      <c r="Q287" s="54" t="n">
        <f aca="true">RAND()</f>
        <v>0.266501998178056</v>
      </c>
      <c r="R287" s="54" t="n">
        <f aca="true">RAND()</f>
        <v>0.54797567116317</v>
      </c>
      <c r="S287" s="54" t="n">
        <f aca="true">RAND()</f>
        <v>0.866089236908399</v>
      </c>
      <c r="T287" s="54" t="n">
        <f aca="true">RAND()</f>
        <v>0.786686599699068</v>
      </c>
      <c r="U287" s="54" t="n">
        <f aca="true">RAND()</f>
        <v>0.708152045688106</v>
      </c>
    </row>
    <row r="288" customFormat="false" ht="15" hidden="false" customHeight="false" outlineLevel="0" collapsed="false">
      <c r="A288" s="50" t="n">
        <v>208</v>
      </c>
      <c r="B288" s="51" t="n">
        <f aca="false">1+IF($G$6=$E$6,$F$6,IF(P288&lt;($F$6-$E$6)/($G$6-$E$6),$E$6+SQRT(P288*($G$6-$E$6)*($F$6-$E$6)),$G$6-SQRT((1-P288)*($G$6-$E$6)*($G$6-$F$6))))</f>
        <v>0.939687123022035</v>
      </c>
      <c r="C288" s="51" t="n">
        <f aca="false">1+IF($G$7=$E$7,$F$7,IF(Q288&lt;($F$7-$E$7)/($G$7-$E$7),$E$7+SQRT(Q288*($G$7-$E$7)*($F$7-$E$7)),$G$7-SQRT((1-Q288)*($G$7-$E$7)*($G$7-$F$7))))</f>
        <v>1.02360488125519</v>
      </c>
      <c r="D288" s="51" t="n">
        <f aca="false">1+IF($G$8=$E$8,$F$8,IF(R288&lt;($F$8-$E$8)/($G$8-$E$8),$E$8+SQRT(R288*($G$8-$E$8)*($F$8-$E$8)),$G$8-SQRT((1-R288)*($G$8-$E$8)*($G$8-$F$8))))</f>
        <v>1.0515907882199</v>
      </c>
      <c r="E288" s="51" t="n">
        <f aca="false">1+IF($G$9=$E$9,$F$9,IF(S288&lt;($F$9-$E$9)/($G$9-$E$9),$E$9+SQRT(S288*($G$9-$E$9)*($F$9-$E$9)),$G$9-SQRT((1-S288)*($G$9-$E$9)*($G$9-$F$9))))</f>
        <v>0.983633252610577</v>
      </c>
      <c r="F288" s="51" t="n">
        <f aca="false">1+IF($G$10=$E$10,$F$10,IF(T288&lt;($F$10-$E$10)/($G$10-$E$10),$E$10+SQRT(T288*($G$10-$E$10)*($F$10-$E$10)),$G$10-SQRT((1-T288)*($G$10-$E$10)*($G$10-$F$10))))</f>
        <v>1.00336298257497</v>
      </c>
      <c r="G288" s="52" t="n">
        <f aca="false">IF($G$11=$E$11,$F$11,IF(U288&lt;($F$11-$E$11)/($G$11-$E$11),$E$11+SQRT(U288*($G$11-$E$11)*($F$11-$E$11)),$G$11-SQRT((1-U288)*($G$11-$E$11)*($G$11-$F$11))))</f>
        <v>0.110346459024188</v>
      </c>
      <c r="H288" s="53" t="n">
        <f aca="false">(('Business Case'!B11*$C288*'Business Case'!B12*$B288)-'Business Case'!B11*$C288*'Business Case'!B13*$D288-'Business Case'!B14*$E288)-MAX(0,(('Business Case'!B11*$C288*'Business Case'!B12*$B288)-'Business Case'!B11*$C288*'Business Case'!B13*$D288-'Business Case'!B14*$E288))*'Business Case'!$B$7-'Business Case'!$B$8*('Business Case'!B11*$C288*'Business Case'!B12*$B288)-'Business Case'!B15*$F288</f>
        <v>-2006725965.14994</v>
      </c>
      <c r="I288" s="53" t="n">
        <f aca="false">(('Business Case'!C11*$C288*'Business Case'!C12*$B288)-'Business Case'!C11*$C288*'Business Case'!C13*$D288-'Business Case'!C14*$E288)-MAX(0,(('Business Case'!C11*$C288*'Business Case'!C12*$B288)-'Business Case'!C11*$C288*'Business Case'!C13*$D288-'Business Case'!C14*$E288))*'Business Case'!$B$7-'Business Case'!$B$8*(('Business Case'!C11*$C288*'Business Case'!C12*$B288)-('Business Case'!B11*$C288*'Business Case'!B12*$B288))-'Business Case'!C15*$F288</f>
        <v>-53270367.744155</v>
      </c>
      <c r="J288" s="53" t="n">
        <f aca="false">(('Business Case'!D11*$C288*'Business Case'!D12*$B288)-'Business Case'!D11*$C288*'Business Case'!D13*$D288-'Business Case'!D14*$E288)-MAX(0,(('Business Case'!D11*$C288*'Business Case'!D12*$B288)-'Business Case'!D11*$C288*'Business Case'!D13*$D288-'Business Case'!D14*$E288))*'Business Case'!$B$7-'Business Case'!$B$8*(('Business Case'!D11*$C288*'Business Case'!D12*$B288)-('Business Case'!C11*$C288*'Business Case'!C12*$B288))-'Business Case'!D15*$F288</f>
        <v>183531465.309111</v>
      </c>
      <c r="K288" s="53" t="n">
        <f aca="false">(('Business Case'!E11*$C288*'Business Case'!E12*$B288)-'Business Case'!E11*$C288*'Business Case'!E13*$D288-'Business Case'!E14*$E288)-MAX(0,(('Business Case'!E11*$C288*'Business Case'!E12*$B288)-'Business Case'!E11*$C288*'Business Case'!E13*$D288-'Business Case'!E14*$E288))*'Business Case'!$B$7-'Business Case'!$B$8*(('Business Case'!E11*$C288*'Business Case'!E12*$B288)-('Business Case'!D11*$C288*'Business Case'!D12*$B288))-'Business Case'!E15*$F288</f>
        <v>470501447.491124</v>
      </c>
      <c r="L288" s="53" t="n">
        <f aca="false">(('Business Case'!F11*$C288*'Business Case'!F12*$B288)-'Business Case'!F11*$C288*'Business Case'!F13*$D288-'Business Case'!F14*$E288)-MAX(0,(('Business Case'!F11*$C288*'Business Case'!F12*$B288)-'Business Case'!F11*$C288*'Business Case'!F13*$D288-'Business Case'!F14*$E288))*'Business Case'!$B$7-'Business Case'!$B$8*(('Business Case'!F11*$C288*'Business Case'!F12*$B288)-('Business Case'!E11*$C288*'Business Case'!E12*$B288))-'Business Case'!F15*$F288</f>
        <v>582677561.188013</v>
      </c>
      <c r="M288" s="53" t="n">
        <f aca="false">(('Business Case'!G11*$C288*'Business Case'!G12*$B288)-'Business Case'!G11*$C288*'Business Case'!G13*$D288-'Business Case'!G14*$E288)-MAX(0,(('Business Case'!G11*$C288*'Business Case'!G12*$B288)-'Business Case'!G11*$C288*'Business Case'!G13*$D288-'Business Case'!G14*$E288))*'Business Case'!$B$7-'Business Case'!$B$8*(('Business Case'!G11*$C288*'Business Case'!G12*$B288)-('Business Case'!F11*$C288*'Business Case'!F12*$B288))-'Business Case'!G15*$F288+'Business Case'!$B$8*('Business Case'!G11*$C288*'Business Case'!G12*$B288)</f>
        <v>765509492.589911</v>
      </c>
      <c r="N288" s="53" t="n">
        <f aca="false">IF(COUNT('Business Case'!B11:G11)=0,"",H288+NPV(G288,I288:M288))</f>
        <v>-725199106.709554</v>
      </c>
      <c r="P288" s="54" t="n">
        <f aca="true">RAND()</f>
        <v>0.040373209675493</v>
      </c>
      <c r="Q288" s="54" t="n">
        <f aca="true">RAND()</f>
        <v>0.695700456333047</v>
      </c>
      <c r="R288" s="54" t="n">
        <f aca="true">RAND()</f>
        <v>0.922395835195521</v>
      </c>
      <c r="S288" s="54" t="n">
        <f aca="true">RAND()</f>
        <v>0.150826090822252</v>
      </c>
      <c r="T288" s="54" t="n">
        <f aca="true">RAND()</f>
        <v>0.226677667563772</v>
      </c>
      <c r="U288" s="54" t="n">
        <f aca="true">RAND()</f>
        <v>0.844681911047187</v>
      </c>
    </row>
    <row r="289" customFormat="false" ht="15" hidden="false" customHeight="false" outlineLevel="0" collapsed="false">
      <c r="A289" s="50" t="n">
        <v>209</v>
      </c>
      <c r="B289" s="51" t="n">
        <f aca="false">1+IF($G$6=$E$6,$F$6,IF(P289&lt;($F$6-$E$6)/($G$6-$E$6),$E$6+SQRT(P289*($G$6-$E$6)*($F$6-$E$6)),$G$6-SQRT((1-P289)*($G$6-$E$6)*($G$6-$F$6))))</f>
        <v>1.00148085408101</v>
      </c>
      <c r="C289" s="51" t="n">
        <f aca="false">1+IF($G$7=$E$7,$F$7,IF(Q289&lt;($F$7-$E$7)/($G$7-$E$7),$E$7+SQRT(Q289*($G$7-$E$7)*($F$7-$E$7)),$G$7-SQRT((1-Q289)*($G$7-$E$7)*($G$7-$F$7))))</f>
        <v>0.895161087457039</v>
      </c>
      <c r="D289" s="51" t="n">
        <f aca="false">1+IF($G$8=$E$8,$F$8,IF(R289&lt;($F$8-$E$8)/($G$8-$E$8),$E$8+SQRT(R289*($G$8-$E$8)*($F$8-$E$8)),$G$8-SQRT((1-R289)*($G$8-$E$8)*($G$8-$F$8))))</f>
        <v>1.05814235653872</v>
      </c>
      <c r="E289" s="51" t="n">
        <f aca="false">1+IF($G$9=$E$9,$F$9,IF(S289&lt;($F$9-$E$9)/($G$9-$E$9),$E$9+SQRT(S289*($G$9-$E$9)*($F$9-$E$9)),$G$9-SQRT((1-S289)*($G$9-$E$9)*($G$9-$F$9))))</f>
        <v>1.00669237155752</v>
      </c>
      <c r="F289" s="51" t="n">
        <f aca="false">1+IF($G$10=$E$10,$F$10,IF(T289&lt;($F$10-$E$10)/($G$10-$E$10),$E$10+SQRT(T289*($G$10-$E$10)*($F$10-$E$10)),$G$10-SQRT((1-T289)*($G$10-$E$10)*($G$10-$F$10))))</f>
        <v>1.10481989188947</v>
      </c>
      <c r="G289" s="52" t="n">
        <f aca="false">IF($G$11=$E$11,$F$11,IF(U289&lt;($F$11-$E$11)/($G$11-$E$11),$E$11+SQRT(U289*($G$11-$E$11)*($F$11-$E$11)),$G$11-SQRT((1-U289)*($G$11-$E$11)*($G$11-$F$11))))</f>
        <v>0.100494717290791</v>
      </c>
      <c r="H289" s="53" t="n">
        <f aca="false">(('Business Case'!B11*$C289*'Business Case'!B12*$B289)-'Business Case'!B11*$C289*'Business Case'!B13*$D289-'Business Case'!B14*$E289)-MAX(0,(('Business Case'!B11*$C289*'Business Case'!B12*$B289)-'Business Case'!B11*$C289*'Business Case'!B13*$D289-'Business Case'!B14*$E289))*'Business Case'!$B$7-'Business Case'!$B$8*('Business Case'!B11*$C289*'Business Case'!B12*$B289)-'Business Case'!B15*$F289</f>
        <v>-2209639783.77894</v>
      </c>
      <c r="I289" s="53" t="n">
        <f aca="false">(('Business Case'!C11*$C289*'Business Case'!C12*$B289)-'Business Case'!C11*$C289*'Business Case'!C13*$D289-'Business Case'!C14*$E289)-MAX(0,(('Business Case'!C11*$C289*'Business Case'!C12*$B289)-'Business Case'!C11*$C289*'Business Case'!C13*$D289-'Business Case'!C14*$E289))*'Business Case'!$B$7-'Business Case'!$B$8*(('Business Case'!C11*$C289*'Business Case'!C12*$B289)-('Business Case'!B11*$C289*'Business Case'!B12*$B289))-'Business Case'!C15*$F289</f>
        <v>-50715016.9739516</v>
      </c>
      <c r="J289" s="53" t="n">
        <f aca="false">(('Business Case'!D11*$C289*'Business Case'!D12*$B289)-'Business Case'!D11*$C289*'Business Case'!D13*$D289-'Business Case'!D14*$E289)-MAX(0,(('Business Case'!D11*$C289*'Business Case'!D12*$B289)-'Business Case'!D11*$C289*'Business Case'!D13*$D289-'Business Case'!D14*$E289))*'Business Case'!$B$7-'Business Case'!$B$8*(('Business Case'!D11*$C289*'Business Case'!D12*$B289)-('Business Case'!C11*$C289*'Business Case'!C12*$B289))-'Business Case'!D15*$F289</f>
        <v>198677480.5072</v>
      </c>
      <c r="K289" s="53" t="n">
        <f aca="false">(('Business Case'!E11*$C289*'Business Case'!E12*$B289)-'Business Case'!E11*$C289*'Business Case'!E13*$D289-'Business Case'!E14*$E289)-MAX(0,(('Business Case'!E11*$C289*'Business Case'!E12*$B289)-'Business Case'!E11*$C289*'Business Case'!E13*$D289-'Business Case'!E14*$E289))*'Business Case'!$B$7-'Business Case'!$B$8*(('Business Case'!E11*$C289*'Business Case'!E12*$B289)-('Business Case'!D11*$C289*'Business Case'!D12*$B289))-'Business Case'!E15*$F289</f>
        <v>503310972.582824</v>
      </c>
      <c r="L289" s="53" t="n">
        <f aca="false">(('Business Case'!F11*$C289*'Business Case'!F12*$B289)-'Business Case'!F11*$C289*'Business Case'!F13*$D289-'Business Case'!F14*$E289)-MAX(0,(('Business Case'!F11*$C289*'Business Case'!F12*$B289)-'Business Case'!F11*$C289*'Business Case'!F13*$D289-'Business Case'!F14*$E289))*'Business Case'!$B$7-'Business Case'!$B$8*(('Business Case'!F11*$C289*'Business Case'!F12*$B289)-('Business Case'!E11*$C289*'Business Case'!E12*$B289))-'Business Case'!F15*$F289</f>
        <v>617424385.096992</v>
      </c>
      <c r="M289" s="53" t="n">
        <f aca="false">(('Business Case'!G11*$C289*'Business Case'!G12*$B289)-'Business Case'!G11*$C289*'Business Case'!G13*$D289-'Business Case'!G14*$E289)-MAX(0,(('Business Case'!G11*$C289*'Business Case'!G12*$B289)-'Business Case'!G11*$C289*'Business Case'!G13*$D289-'Business Case'!G14*$E289))*'Business Case'!$B$7-'Business Case'!$B$8*(('Business Case'!G11*$C289*'Business Case'!G12*$B289)-('Business Case'!F11*$C289*'Business Case'!F12*$B289))-'Business Case'!G15*$F289+'Business Case'!$B$8*('Business Case'!G11*$C289*'Business Case'!G12*$B289)</f>
        <v>787828575.209472</v>
      </c>
      <c r="N289" s="53" t="n">
        <f aca="false">IF(COUNT('Business Case'!B11:G11)=0,"",H289+NPV(G289,I289:M289))</f>
        <v>-805007318.550734</v>
      </c>
      <c r="P289" s="54" t="n">
        <f aca="true">RAND()</f>
        <v>0.690890707848266</v>
      </c>
      <c r="Q289" s="54" t="n">
        <f aca="true">RAND()</f>
        <v>0.129366179514376</v>
      </c>
      <c r="R289" s="54" t="n">
        <f aca="true">RAND()</f>
        <v>0.95406186753071</v>
      </c>
      <c r="S289" s="54" t="n">
        <f aca="true">RAND()</f>
        <v>0.419579098296058</v>
      </c>
      <c r="T289" s="54" t="n">
        <f aca="true">RAND()</f>
        <v>0.818814940401347</v>
      </c>
      <c r="U289" s="54" t="n">
        <f aca="true">RAND()</f>
        <v>0.365906577389726</v>
      </c>
    </row>
    <row r="290" customFormat="false" ht="15" hidden="false" customHeight="false" outlineLevel="0" collapsed="false">
      <c r="A290" s="50" t="n">
        <v>210</v>
      </c>
      <c r="B290" s="51" t="n">
        <f aca="false">1+IF($G$6=$E$6,$F$6,IF(P290&lt;($F$6-$E$6)/($G$6-$E$6),$E$6+SQRT(P290*($G$6-$E$6)*($F$6-$E$6)),$G$6-SQRT((1-P290)*($G$6-$E$6)*($G$6-$F$6))))</f>
        <v>0.945435444569938</v>
      </c>
      <c r="C290" s="51" t="n">
        <f aca="false">1+IF($G$7=$E$7,$F$7,IF(Q290&lt;($F$7-$E$7)/($G$7-$E$7),$E$7+SQRT(Q290*($G$7-$E$7)*($F$7-$E$7)),$G$7-SQRT((1-Q290)*($G$7-$E$7)*($G$7-$F$7))))</f>
        <v>1.00580645036596</v>
      </c>
      <c r="D290" s="51" t="n">
        <f aca="false">1+IF($G$8=$E$8,$F$8,IF(R290&lt;($F$8-$E$8)/($G$8-$E$8),$E$8+SQRT(R290*($G$8-$E$8)*($F$8-$E$8)),$G$8-SQRT((1-R290)*($G$8-$E$8)*($G$8-$F$8))))</f>
        <v>1.05261116676752</v>
      </c>
      <c r="E290" s="51" t="n">
        <f aca="false">1+IF($G$9=$E$9,$F$9,IF(S290&lt;($F$9-$E$9)/($G$9-$E$9),$E$9+SQRT(S290*($G$9-$E$9)*($F$9-$E$9)),$G$9-SQRT((1-S290)*($G$9-$E$9)*($G$9-$F$9))))</f>
        <v>1.00633501146966</v>
      </c>
      <c r="F290" s="51" t="n">
        <f aca="false">1+IF($G$10=$E$10,$F$10,IF(T290&lt;($F$10-$E$10)/($G$10-$E$10),$E$10+SQRT(T290*($G$10-$E$10)*($F$10-$E$10)),$G$10-SQRT((1-T290)*($G$10-$E$10)*($G$10-$F$10))))</f>
        <v>1.18086601585406</v>
      </c>
      <c r="G290" s="52" t="n">
        <f aca="false">IF($G$11=$E$11,$F$11,IF(U290&lt;($F$11-$E$11)/($G$11-$E$11),$E$11+SQRT(U290*($G$11-$E$11)*($F$11-$E$11)),$G$11-SQRT((1-U290)*($G$11-$E$11)*($G$11-$F$11))))</f>
        <v>0.0989654973101859</v>
      </c>
      <c r="H290" s="53" t="n">
        <f aca="false">(('Business Case'!B11*$C290*'Business Case'!B12*$B290)-'Business Case'!B11*$C290*'Business Case'!B13*$D290-'Business Case'!B14*$E290)-MAX(0,(('Business Case'!B11*$C290*'Business Case'!B12*$B290)-'Business Case'!B11*$C290*'Business Case'!B13*$D290-'Business Case'!B14*$E290))*'Business Case'!$B$7-'Business Case'!$B$8*('Business Case'!B11*$C290*'Business Case'!B12*$B290)-'Business Case'!B15*$F290</f>
        <v>-2361732031.70812</v>
      </c>
      <c r="I290" s="53" t="n">
        <f aca="false">(('Business Case'!C11*$C290*'Business Case'!C12*$B290)-'Business Case'!C11*$C290*'Business Case'!C13*$D290-'Business Case'!C14*$E290)-MAX(0,(('Business Case'!C11*$C290*'Business Case'!C12*$B290)-'Business Case'!C11*$C290*'Business Case'!C13*$D290-'Business Case'!C14*$E290))*'Business Case'!$B$7-'Business Case'!$B$8*(('Business Case'!C11*$C290*'Business Case'!C12*$B290)-('Business Case'!B11*$C290*'Business Case'!B12*$B290))-'Business Case'!C15*$F290</f>
        <v>-73588828.0183433</v>
      </c>
      <c r="J290" s="53" t="n">
        <f aca="false">(('Business Case'!D11*$C290*'Business Case'!D12*$B290)-'Business Case'!D11*$C290*'Business Case'!D13*$D290-'Business Case'!D14*$E290)-MAX(0,(('Business Case'!D11*$C290*'Business Case'!D12*$B290)-'Business Case'!D11*$C290*'Business Case'!D13*$D290-'Business Case'!D14*$E290))*'Business Case'!$B$7-'Business Case'!$B$8*(('Business Case'!D11*$C290*'Business Case'!D12*$B290)-('Business Case'!C11*$C290*'Business Case'!C12*$B290))-'Business Case'!D15*$F290</f>
        <v>163305739.733495</v>
      </c>
      <c r="K290" s="53" t="n">
        <f aca="false">(('Business Case'!E11*$C290*'Business Case'!E12*$B290)-'Business Case'!E11*$C290*'Business Case'!E13*$D290-'Business Case'!E14*$E290)-MAX(0,(('Business Case'!E11*$C290*'Business Case'!E12*$B290)-'Business Case'!E11*$C290*'Business Case'!E13*$D290-'Business Case'!E14*$E290))*'Business Case'!$B$7-'Business Case'!$B$8*(('Business Case'!E11*$C290*'Business Case'!E12*$B290)-('Business Case'!D11*$C290*'Business Case'!D12*$B290))-'Business Case'!E15*$F290</f>
        <v>459243608.278037</v>
      </c>
      <c r="L290" s="53" t="n">
        <f aca="false">(('Business Case'!F11*$C290*'Business Case'!F12*$B290)-'Business Case'!F11*$C290*'Business Case'!F13*$D290-'Business Case'!F14*$E290)-MAX(0,(('Business Case'!F11*$C290*'Business Case'!F12*$B290)-'Business Case'!F11*$C290*'Business Case'!F13*$D290-'Business Case'!F14*$E290))*'Business Case'!$B$7-'Business Case'!$B$8*(('Business Case'!F11*$C290*'Business Case'!F12*$B290)-('Business Case'!E11*$C290*'Business Case'!E12*$B290))-'Business Case'!F15*$F290</f>
        <v>571072434.564511</v>
      </c>
      <c r="M290" s="53" t="n">
        <f aca="false">(('Business Case'!G11*$C290*'Business Case'!G12*$B290)-'Business Case'!G11*$C290*'Business Case'!G13*$D290-'Business Case'!G14*$E290)-MAX(0,(('Business Case'!G11*$C290*'Business Case'!G12*$B290)-'Business Case'!G11*$C290*'Business Case'!G13*$D290-'Business Case'!G14*$E290))*'Business Case'!$B$7-'Business Case'!$B$8*(('Business Case'!G11*$C290*'Business Case'!G12*$B290)-('Business Case'!F11*$C290*'Business Case'!F12*$B290))-'Business Case'!G15*$F290+'Business Case'!$B$8*('Business Case'!G11*$C290*'Business Case'!G12*$B290)</f>
        <v>751824271.595075</v>
      </c>
      <c r="N290" s="53" t="n">
        <f aca="false">IF(COUNT('Business Case'!B11:G11)=0,"",H290+NPV(G290,I290:M290))</f>
        <v>-1086918495.39396</v>
      </c>
      <c r="P290" s="54" t="n">
        <f aca="true">RAND()</f>
        <v>0.0673918583823295</v>
      </c>
      <c r="Q290" s="54" t="n">
        <f aca="true">RAND()</f>
        <v>0.603966099884493</v>
      </c>
      <c r="R290" s="54" t="n">
        <f aca="true">RAND()</f>
        <v>0.927870366746466</v>
      </c>
      <c r="S290" s="54" t="n">
        <f aca="true">RAND()</f>
        <v>0.415124661574113</v>
      </c>
      <c r="T290" s="54" t="n">
        <f aca="true">RAND()</f>
        <v>0.992677813014057</v>
      </c>
      <c r="U290" s="54" t="n">
        <f aca="true">RAND()</f>
        <v>0.267933806729836</v>
      </c>
    </row>
    <row r="291" customFormat="false" ht="15" hidden="false" customHeight="false" outlineLevel="0" collapsed="false">
      <c r="A291" s="50" t="n">
        <v>211</v>
      </c>
      <c r="B291" s="51" t="n">
        <f aca="false">1+IF($G$6=$E$6,$F$6,IF(P291&lt;($F$6-$E$6)/($G$6-$E$6),$E$6+SQRT(P291*($G$6-$E$6)*($F$6-$E$6)),$G$6-SQRT((1-P291)*($G$6-$E$6)*($G$6-$F$6))))</f>
        <v>0.984175862006753</v>
      </c>
      <c r="C291" s="51" t="n">
        <f aca="false">1+IF($G$7=$E$7,$F$7,IF(Q291&lt;($F$7-$E$7)/($G$7-$E$7),$E$7+SQRT(Q291*($G$7-$E$7)*($F$7-$E$7)),$G$7-SQRT((1-Q291)*($G$7-$E$7)*($G$7-$F$7))))</f>
        <v>0.929944951931466</v>
      </c>
      <c r="D291" s="51" t="n">
        <f aca="false">1+IF($G$8=$E$8,$F$8,IF(R291&lt;($F$8-$E$8)/($G$8-$E$8),$E$8+SQRT(R291*($G$8-$E$8)*($F$8-$E$8)),$G$8-SQRT((1-R291)*($G$8-$E$8)*($G$8-$F$8))))</f>
        <v>1.04217425131604</v>
      </c>
      <c r="E291" s="51" t="n">
        <f aca="false">1+IF($G$9=$E$9,$F$9,IF(S291&lt;($F$9-$E$9)/($G$9-$E$9),$E$9+SQRT(S291*($G$9-$E$9)*($F$9-$E$9)),$G$9-SQRT((1-S291)*($G$9-$E$9)*($G$9-$F$9))))</f>
        <v>1.069948074821</v>
      </c>
      <c r="F291" s="51" t="n">
        <f aca="false">1+IF($G$10=$E$10,$F$10,IF(T291&lt;($F$10-$E$10)/($G$10-$E$10),$E$10+SQRT(T291*($G$10-$E$10)*($F$10-$E$10)),$G$10-SQRT((1-T291)*($G$10-$E$10)*($G$10-$F$10))))</f>
        <v>0.960503069044571</v>
      </c>
      <c r="G291" s="52" t="n">
        <f aca="false">IF($G$11=$E$11,$F$11,IF(U291&lt;($F$11-$E$11)/($G$11-$E$11),$E$11+SQRT(U291*($G$11-$E$11)*($F$11-$E$11)),$G$11-SQRT((1-U291)*($G$11-$E$11)*($G$11-$F$11))))</f>
        <v>0.0983967754090232</v>
      </c>
      <c r="H291" s="53" t="n">
        <f aca="false">(('Business Case'!B11*$C291*'Business Case'!B12*$B291)-'Business Case'!B11*$C291*'Business Case'!B13*$D291-'Business Case'!B14*$E291)-MAX(0,(('Business Case'!B11*$C291*'Business Case'!B12*$B291)-'Business Case'!B11*$C291*'Business Case'!B13*$D291-'Business Case'!B14*$E291))*'Business Case'!$B$7-'Business Case'!$B$8*('Business Case'!B11*$C291*'Business Case'!B12*$B291)-'Business Case'!B15*$F291</f>
        <v>-1921006138.08914</v>
      </c>
      <c r="I291" s="53" t="n">
        <f aca="false">(('Business Case'!C11*$C291*'Business Case'!C12*$B291)-'Business Case'!C11*$C291*'Business Case'!C13*$D291-'Business Case'!C14*$E291)-MAX(0,(('Business Case'!C11*$C291*'Business Case'!C12*$B291)-'Business Case'!C11*$C291*'Business Case'!C13*$D291-'Business Case'!C14*$E291))*'Business Case'!$B$7-'Business Case'!$B$8*(('Business Case'!C11*$C291*'Business Case'!C12*$B291)-('Business Case'!B11*$C291*'Business Case'!B12*$B291))-'Business Case'!C15*$F291</f>
        <v>-42138444.6008931</v>
      </c>
      <c r="J291" s="53" t="n">
        <f aca="false">(('Business Case'!D11*$C291*'Business Case'!D12*$B291)-'Business Case'!D11*$C291*'Business Case'!D13*$D291-'Business Case'!D14*$E291)-MAX(0,(('Business Case'!D11*$C291*'Business Case'!D12*$B291)-'Business Case'!D11*$C291*'Business Case'!D13*$D291-'Business Case'!D14*$E291))*'Business Case'!$B$7-'Business Case'!$B$8*(('Business Case'!D11*$C291*'Business Case'!D12*$B291)-('Business Case'!C11*$C291*'Business Case'!C12*$B291))-'Business Case'!D15*$F291</f>
        <v>211365524.725938</v>
      </c>
      <c r="K291" s="53" t="n">
        <f aca="false">(('Business Case'!E11*$C291*'Business Case'!E12*$B291)-'Business Case'!E11*$C291*'Business Case'!E13*$D291-'Business Case'!E14*$E291)-MAX(0,(('Business Case'!E11*$C291*'Business Case'!E12*$B291)-'Business Case'!E11*$C291*'Business Case'!E13*$D291-'Business Case'!E14*$E291))*'Business Case'!$B$7-'Business Case'!$B$8*(('Business Case'!E11*$C291*'Business Case'!E12*$B291)-('Business Case'!D11*$C291*'Business Case'!D12*$B291))-'Business Case'!E15*$F291</f>
        <v>512894647.504999</v>
      </c>
      <c r="L291" s="53" t="n">
        <f aca="false">(('Business Case'!F11*$C291*'Business Case'!F12*$B291)-'Business Case'!F11*$C291*'Business Case'!F13*$D291-'Business Case'!F14*$E291)-MAX(0,(('Business Case'!F11*$C291*'Business Case'!F12*$B291)-'Business Case'!F11*$C291*'Business Case'!F13*$D291-'Business Case'!F14*$E291))*'Business Case'!$B$7-'Business Case'!$B$8*(('Business Case'!F11*$C291*'Business Case'!F12*$B291)-('Business Case'!E11*$C291*'Business Case'!E12*$B291))-'Business Case'!F15*$F291</f>
        <v>629026297.803089</v>
      </c>
      <c r="M291" s="53" t="n">
        <f aca="false">(('Business Case'!G11*$C291*'Business Case'!G12*$B291)-'Business Case'!G11*$C291*'Business Case'!G13*$D291-'Business Case'!G14*$E291)-MAX(0,(('Business Case'!G11*$C291*'Business Case'!G12*$B291)-'Business Case'!G11*$C291*'Business Case'!G13*$D291-'Business Case'!G14*$E291))*'Business Case'!$B$7-'Business Case'!$B$8*(('Business Case'!G11*$C291*'Business Case'!G12*$B291)-('Business Case'!F11*$C291*'Business Case'!F12*$B291))-'Business Case'!G15*$F291+'Business Case'!$B$8*('Business Case'!G11*$C291*'Business Case'!G12*$B291)</f>
        <v>802993097.3434</v>
      </c>
      <c r="N291" s="53" t="n">
        <f aca="false">IF(COUNT('Business Case'!B11:G11)=0,"",H291+NPV(G291,I291:M291))</f>
        <v>-462749775.541498</v>
      </c>
      <c r="P291" s="54" t="n">
        <f aca="true">RAND()</f>
        <v>0.429014715032277</v>
      </c>
      <c r="Q291" s="54" t="n">
        <f aca="true">RAND()</f>
        <v>0.241224150463872</v>
      </c>
      <c r="R291" s="54" t="n">
        <f aca="true">RAND()</f>
        <v>0.862424301586365</v>
      </c>
      <c r="S291" s="54" t="n">
        <f aca="true">RAND()</f>
        <v>0.939792119535719</v>
      </c>
      <c r="T291" s="54" t="n">
        <f aca="true">RAND()</f>
        <v>0.00882515674840217</v>
      </c>
      <c r="U291" s="54" t="n">
        <f aca="true">RAND()</f>
        <v>0.235019457565256</v>
      </c>
    </row>
    <row r="292" customFormat="false" ht="15" hidden="false" customHeight="false" outlineLevel="0" collapsed="false">
      <c r="A292" s="50" t="n">
        <v>212</v>
      </c>
      <c r="B292" s="51" t="n">
        <f aca="false">1+IF($G$6=$E$6,$F$6,IF(P292&lt;($F$6-$E$6)/($G$6-$E$6),$E$6+SQRT(P292*($G$6-$E$6)*($F$6-$E$6)),$G$6-SQRT((1-P292)*($G$6-$E$6)*($G$6-$F$6))))</f>
        <v>0.961481508806177</v>
      </c>
      <c r="C292" s="51" t="n">
        <f aca="false">1+IF($G$7=$E$7,$F$7,IF(Q292&lt;($F$7-$E$7)/($G$7-$E$7),$E$7+SQRT(Q292*($G$7-$E$7)*($F$7-$E$7)),$G$7-SQRT((1-Q292)*($G$7-$E$7)*($G$7-$F$7))))</f>
        <v>1.10408028078857</v>
      </c>
      <c r="D292" s="51" t="n">
        <f aca="false">1+IF($G$8=$E$8,$F$8,IF(R292&lt;($F$8-$E$8)/($G$8-$E$8),$E$8+SQRT(R292*($G$8-$E$8)*($F$8-$E$8)),$G$8-SQRT((1-R292)*($G$8-$E$8)*($G$8-$F$8))))</f>
        <v>0.973706592821119</v>
      </c>
      <c r="E292" s="51" t="n">
        <f aca="false">1+IF($G$9=$E$9,$F$9,IF(S292&lt;($F$9-$E$9)/($G$9-$E$9),$E$9+SQRT(S292*($G$9-$E$9)*($F$9-$E$9)),$G$9-SQRT((1-S292)*($G$9-$E$9)*($G$9-$F$9))))</f>
        <v>0.968936087213353</v>
      </c>
      <c r="F292" s="51" t="n">
        <f aca="false">1+IF($G$10=$E$10,$F$10,IF(T292&lt;($F$10-$E$10)/($G$10-$E$10),$E$10+SQRT(T292*($G$10-$E$10)*($F$10-$E$10)),$G$10-SQRT((1-T292)*($G$10-$E$10)*($G$10-$F$10))))</f>
        <v>1.10565513863553</v>
      </c>
      <c r="G292" s="52" t="n">
        <f aca="false">IF($G$11=$E$11,$F$11,IF(U292&lt;($F$11-$E$11)/($G$11-$E$11),$E$11+SQRT(U292*($G$11-$E$11)*($F$11-$E$11)),$G$11-SQRT((1-U292)*($G$11-$E$11)*($G$11-$F$11))))</f>
        <v>0.107833793470044</v>
      </c>
      <c r="H292" s="53" t="n">
        <f aca="false">(('Business Case'!B11*$C292*'Business Case'!B12*$B292)-'Business Case'!B11*$C292*'Business Case'!B13*$D292-'Business Case'!B14*$E292)-MAX(0,(('Business Case'!B11*$C292*'Business Case'!B12*$B292)-'Business Case'!B11*$C292*'Business Case'!B13*$D292-'Business Case'!B14*$E292))*'Business Case'!$B$7-'Business Case'!$B$8*('Business Case'!B11*$C292*'Business Case'!B12*$B292)-'Business Case'!B15*$F292</f>
        <v>-2211310277.27107</v>
      </c>
      <c r="I292" s="53" t="n">
        <f aca="false">(('Business Case'!C11*$C292*'Business Case'!C12*$B292)-'Business Case'!C11*$C292*'Business Case'!C13*$D292-'Business Case'!C14*$E292)-MAX(0,(('Business Case'!C11*$C292*'Business Case'!C12*$B292)-'Business Case'!C11*$C292*'Business Case'!C13*$D292-'Business Case'!C14*$E292))*'Business Case'!$B$7-'Business Case'!$B$8*(('Business Case'!C11*$C292*'Business Case'!C12*$B292)-('Business Case'!B11*$C292*'Business Case'!B12*$B292))-'Business Case'!C15*$F292</f>
        <v>15769309.4369695</v>
      </c>
      <c r="J292" s="53" t="n">
        <f aca="false">(('Business Case'!D11*$C292*'Business Case'!D12*$B292)-'Business Case'!D11*$C292*'Business Case'!D13*$D292-'Business Case'!D14*$E292)-MAX(0,(('Business Case'!D11*$C292*'Business Case'!D12*$B292)-'Business Case'!D11*$C292*'Business Case'!D13*$D292-'Business Case'!D14*$E292))*'Business Case'!$B$7-'Business Case'!$B$8*(('Business Case'!D11*$C292*'Business Case'!D12*$B292)-('Business Case'!C11*$C292*'Business Case'!C12*$B292))-'Business Case'!D15*$F292</f>
        <v>334917740.154575</v>
      </c>
      <c r="K292" s="53" t="n">
        <f aca="false">(('Business Case'!E11*$C292*'Business Case'!E12*$B292)-'Business Case'!E11*$C292*'Business Case'!E13*$D292-'Business Case'!E14*$E292)-MAX(0,(('Business Case'!E11*$C292*'Business Case'!E12*$B292)-'Business Case'!E11*$C292*'Business Case'!E13*$D292-'Business Case'!E14*$E292))*'Business Case'!$B$7-'Business Case'!$B$8*(('Business Case'!E11*$C292*'Business Case'!E12*$B292)-('Business Case'!D11*$C292*'Business Case'!D12*$B292))-'Business Case'!E15*$F292</f>
        <v>709348927.803958</v>
      </c>
      <c r="L292" s="53" t="n">
        <f aca="false">(('Business Case'!F11*$C292*'Business Case'!F12*$B292)-'Business Case'!F11*$C292*'Business Case'!F13*$D292-'Business Case'!F14*$E292)-MAX(0,(('Business Case'!F11*$C292*'Business Case'!F12*$B292)-'Business Case'!F11*$C292*'Business Case'!F13*$D292-'Business Case'!F14*$E292))*'Business Case'!$B$7-'Business Case'!$B$8*(('Business Case'!F11*$C292*'Business Case'!F12*$B292)-('Business Case'!E11*$C292*'Business Case'!E12*$B292))-'Business Case'!F15*$F292</f>
        <v>852419001.920056</v>
      </c>
      <c r="M292" s="53" t="n">
        <f aca="false">(('Business Case'!G11*$C292*'Business Case'!G12*$B292)-'Business Case'!G11*$C292*'Business Case'!G13*$D292-'Business Case'!G14*$E292)-MAX(0,(('Business Case'!G11*$C292*'Business Case'!G12*$B292)-'Business Case'!G11*$C292*'Business Case'!G13*$D292-'Business Case'!G14*$E292))*'Business Case'!$B$7-'Business Case'!$B$8*(('Business Case'!G11*$C292*'Business Case'!G12*$B292)-('Business Case'!F11*$C292*'Business Case'!F12*$B292))-'Business Case'!G15*$F292+'Business Case'!$B$8*('Business Case'!G11*$C292*'Business Case'!G12*$B292)</f>
        <v>1054198953.24298</v>
      </c>
      <c r="N292" s="53" t="n">
        <f aca="false">IF(COUNT('Business Case'!B11:G11)=0,"",H292+NPV(G292,I292:M292))</f>
        <v>-204790992.191919</v>
      </c>
      <c r="P292" s="54" t="n">
        <f aca="true">RAND()</f>
        <v>0.179241205503846</v>
      </c>
      <c r="Q292" s="54" t="n">
        <f aca="true">RAND()</f>
        <v>0.959835797857973</v>
      </c>
      <c r="R292" s="54" t="n">
        <f aca="true">RAND()</f>
        <v>0.0864619297209756</v>
      </c>
      <c r="S292" s="54" t="n">
        <f aca="true">RAND()</f>
        <v>0.0478100531935614</v>
      </c>
      <c r="T292" s="54" t="n">
        <f aca="true">RAND()</f>
        <v>0.821980942682393</v>
      </c>
      <c r="U292" s="54" t="n">
        <f aca="true">RAND()</f>
        <v>0.753305697784098</v>
      </c>
    </row>
    <row r="293" customFormat="false" ht="15" hidden="false" customHeight="false" outlineLevel="0" collapsed="false">
      <c r="A293" s="50" t="n">
        <v>213</v>
      </c>
      <c r="B293" s="51" t="n">
        <f aca="false">1+IF($G$6=$E$6,$F$6,IF(P293&lt;($F$6-$E$6)/($G$6-$E$6),$E$6+SQRT(P293*($G$6-$E$6)*($F$6-$E$6)),$G$6-SQRT((1-P293)*($G$6-$E$6)*($G$6-$F$6))))</f>
        <v>0.97529727468481</v>
      </c>
      <c r="C293" s="51" t="n">
        <f aca="false">1+IF($G$7=$E$7,$F$7,IF(Q293&lt;($F$7-$E$7)/($G$7-$E$7),$E$7+SQRT(Q293*($G$7-$E$7)*($F$7-$E$7)),$G$7-SQRT((1-Q293)*($G$7-$E$7)*($G$7-$F$7))))</f>
        <v>0.82106951856985</v>
      </c>
      <c r="D293" s="51" t="n">
        <f aca="false">1+IF($G$8=$E$8,$F$8,IF(R293&lt;($F$8-$E$8)/($G$8-$E$8),$E$8+SQRT(R293*($G$8-$E$8)*($F$8-$E$8)),$G$8-SQRT((1-R293)*($G$8-$E$8)*($G$8-$F$8))))</f>
        <v>0.996043648196125</v>
      </c>
      <c r="E293" s="51" t="n">
        <f aca="false">1+IF($G$9=$E$9,$F$9,IF(S293&lt;($F$9-$E$9)/($G$9-$E$9),$E$9+SQRT(S293*($G$9-$E$9)*($F$9-$E$9)),$G$9-SQRT((1-S293)*($G$9-$E$9)*($G$9-$F$9))))</f>
        <v>1.00334727685378</v>
      </c>
      <c r="F293" s="51" t="n">
        <f aca="false">1+IF($G$10=$E$10,$F$10,IF(T293&lt;($F$10-$E$10)/($G$10-$E$10),$E$10+SQRT(T293*($G$10-$E$10)*($F$10-$E$10)),$G$10-SQRT((1-T293)*($G$10-$E$10)*($G$10-$F$10))))</f>
        <v>1.0041437494861</v>
      </c>
      <c r="G293" s="52" t="n">
        <f aca="false">IF($G$11=$E$11,$F$11,IF(U293&lt;($F$11-$E$11)/($G$11-$E$11),$E$11+SQRT(U293*($G$11-$E$11)*($F$11-$E$11)),$G$11-SQRT((1-U293)*($G$11-$E$11)*($G$11-$F$11))))</f>
        <v>0.0981511590419713</v>
      </c>
      <c r="H293" s="53" t="n">
        <f aca="false">(('Business Case'!B11*$C293*'Business Case'!B12*$B293)-'Business Case'!B11*$C293*'Business Case'!B13*$D293-'Business Case'!B14*$E293)-MAX(0,(('Business Case'!B11*$C293*'Business Case'!B12*$B293)-'Business Case'!B11*$C293*'Business Case'!B13*$D293-'Business Case'!B14*$E293))*'Business Case'!$B$7-'Business Case'!$B$8*('Business Case'!B11*$C293*'Business Case'!B12*$B293)-'Business Case'!B15*$F293</f>
        <v>-2008287498.97221</v>
      </c>
      <c r="I293" s="53" t="n">
        <f aca="false">(('Business Case'!C11*$C293*'Business Case'!C12*$B293)-'Business Case'!C11*$C293*'Business Case'!C13*$D293-'Business Case'!C14*$E293)-MAX(0,(('Business Case'!C11*$C293*'Business Case'!C12*$B293)-'Business Case'!C11*$C293*'Business Case'!C13*$D293-'Business Case'!C14*$E293))*'Business Case'!$B$7-'Business Case'!$B$8*(('Business Case'!C11*$C293*'Business Case'!C12*$B293)-('Business Case'!B11*$C293*'Business Case'!B12*$B293))-'Business Case'!C15*$F293</f>
        <v>-47360017.2470317</v>
      </c>
      <c r="J293" s="53" t="n">
        <f aca="false">(('Business Case'!D11*$C293*'Business Case'!D12*$B293)-'Business Case'!D11*$C293*'Business Case'!D13*$D293-'Business Case'!D14*$E293)-MAX(0,(('Business Case'!D11*$C293*'Business Case'!D12*$B293)-'Business Case'!D11*$C293*'Business Case'!D13*$D293-'Business Case'!D14*$E293))*'Business Case'!$B$7-'Business Case'!$B$8*(('Business Case'!D11*$C293*'Business Case'!D12*$B293)-('Business Case'!C11*$C293*'Business Case'!C12*$B293))-'Business Case'!D15*$F293</f>
        <v>189883114.241921</v>
      </c>
      <c r="K293" s="53" t="n">
        <f aca="false">(('Business Case'!E11*$C293*'Business Case'!E12*$B293)-'Business Case'!E11*$C293*'Business Case'!E13*$D293-'Business Case'!E14*$E293)-MAX(0,(('Business Case'!E11*$C293*'Business Case'!E12*$B293)-'Business Case'!E11*$C293*'Business Case'!E13*$D293-'Business Case'!E14*$E293))*'Business Case'!$B$7-'Business Case'!$B$8*(('Business Case'!E11*$C293*'Business Case'!E12*$B293)-('Business Case'!D11*$C293*'Business Case'!D12*$B293))-'Business Case'!E15*$F293</f>
        <v>477333433.205179</v>
      </c>
      <c r="L293" s="53" t="n">
        <f aca="false">(('Business Case'!F11*$C293*'Business Case'!F12*$B293)-'Business Case'!F11*$C293*'Business Case'!F13*$D293-'Business Case'!F14*$E293)-MAX(0,(('Business Case'!F11*$C293*'Business Case'!F12*$B293)-'Business Case'!F11*$C293*'Business Case'!F13*$D293-'Business Case'!F14*$E293))*'Business Case'!$B$7-'Business Case'!$B$8*(('Business Case'!F11*$C293*'Business Case'!F12*$B293)-('Business Case'!E11*$C293*'Business Case'!E12*$B293))-'Business Case'!F15*$F293</f>
        <v>584089671.047342</v>
      </c>
      <c r="M293" s="53" t="n">
        <f aca="false">(('Business Case'!G11*$C293*'Business Case'!G12*$B293)-'Business Case'!G11*$C293*'Business Case'!G13*$D293-'Business Case'!G14*$E293)-MAX(0,(('Business Case'!G11*$C293*'Business Case'!G12*$B293)-'Business Case'!G11*$C293*'Business Case'!G13*$D293-'Business Case'!G14*$E293))*'Business Case'!$B$7-'Business Case'!$B$8*(('Business Case'!G11*$C293*'Business Case'!G12*$B293)-('Business Case'!F11*$C293*'Business Case'!F12*$B293))-'Business Case'!G15*$F293+'Business Case'!$B$8*('Business Case'!G11*$C293*'Business Case'!G12*$B293)</f>
        <v>736303238.116154</v>
      </c>
      <c r="N293" s="53" t="n">
        <f aca="false">IF(COUNT('Business Case'!B11:G11)=0,"",H293+NPV(G293,I293:M293))</f>
        <v>-670832966.333042</v>
      </c>
      <c r="P293" s="54" t="n">
        <f aca="true">RAND()</f>
        <v>0.318519644538266</v>
      </c>
      <c r="Q293" s="54" t="n">
        <f aca="true">RAND()</f>
        <v>0.00634178018236094</v>
      </c>
      <c r="R293" s="54" t="n">
        <f aca="true">RAND()</f>
        <v>0.326156544493614</v>
      </c>
      <c r="S293" s="54" t="n">
        <f aca="true">RAND()</f>
        <v>0.377216740561301</v>
      </c>
      <c r="T293" s="54" t="n">
        <f aca="true">RAND()</f>
        <v>0.23280658269276</v>
      </c>
      <c r="U293" s="54" t="n">
        <f aca="true">RAND()</f>
        <v>0.221471312425032</v>
      </c>
    </row>
    <row r="294" customFormat="false" ht="15" hidden="false" customHeight="false" outlineLevel="0" collapsed="false">
      <c r="A294" s="50" t="n">
        <v>214</v>
      </c>
      <c r="B294" s="51" t="n">
        <f aca="false">1+IF($G$6=$E$6,$F$6,IF(P294&lt;($F$6-$E$6)/($G$6-$E$6),$E$6+SQRT(P294*($G$6-$E$6)*($F$6-$E$6)),$G$6-SQRT((1-P294)*($G$6-$E$6)*($G$6-$F$6))))</f>
        <v>0.986868965678129</v>
      </c>
      <c r="C294" s="51" t="n">
        <f aca="false">1+IF($G$7=$E$7,$F$7,IF(Q294&lt;($F$7-$E$7)/($G$7-$E$7),$E$7+SQRT(Q294*($G$7-$E$7)*($F$7-$E$7)),$G$7-SQRT((1-Q294)*($G$7-$E$7)*($G$7-$F$7))))</f>
        <v>1.0214321633535</v>
      </c>
      <c r="D294" s="51" t="n">
        <f aca="false">1+IF($G$8=$E$8,$F$8,IF(R294&lt;($F$8-$E$8)/($G$8-$E$8),$E$8+SQRT(R294*($G$8-$E$8)*($F$8-$E$8)),$G$8-SQRT((1-R294)*($G$8-$E$8)*($G$8-$F$8))))</f>
        <v>0.963828500799664</v>
      </c>
      <c r="E294" s="51" t="n">
        <f aca="false">1+IF($G$9=$E$9,$F$9,IF(S294&lt;($F$9-$E$9)/($G$9-$E$9),$E$9+SQRT(S294*($G$9-$E$9)*($F$9-$E$9)),$G$9-SQRT((1-S294)*($G$9-$E$9)*($G$9-$F$9))))</f>
        <v>1.04694062343559</v>
      </c>
      <c r="F294" s="51" t="n">
        <f aca="false">1+IF($G$10=$E$10,$F$10,IF(T294&lt;($F$10-$E$10)/($G$10-$E$10),$E$10+SQRT(T294*($G$10-$E$10)*($F$10-$E$10)),$G$10-SQRT((1-T294)*($G$10-$E$10)*($G$10-$F$10))))</f>
        <v>1.12182450455255</v>
      </c>
      <c r="G294" s="52" t="n">
        <f aca="false">IF($G$11=$E$11,$F$11,IF(U294&lt;($F$11-$E$11)/($G$11-$E$11),$E$11+SQRT(U294*($G$11-$E$11)*($F$11-$E$11)),$G$11-SQRT((1-U294)*($G$11-$E$11)*($G$11-$F$11))))</f>
        <v>0.0928687581613544</v>
      </c>
      <c r="H294" s="53" t="n">
        <f aca="false">(('Business Case'!B11*$C294*'Business Case'!B12*$B294)-'Business Case'!B11*$C294*'Business Case'!B13*$D294-'Business Case'!B14*$E294)-MAX(0,(('Business Case'!B11*$C294*'Business Case'!B12*$B294)-'Business Case'!B11*$C294*'Business Case'!B13*$D294-'Business Case'!B14*$E294))*'Business Case'!$B$7-'Business Case'!$B$8*('Business Case'!B11*$C294*'Business Case'!B12*$B294)-'Business Case'!B15*$F294</f>
        <v>-2243649009.10511</v>
      </c>
      <c r="I294" s="53" t="n">
        <f aca="false">(('Business Case'!C11*$C294*'Business Case'!C12*$B294)-'Business Case'!C11*$C294*'Business Case'!C13*$D294-'Business Case'!C14*$E294)-MAX(0,(('Business Case'!C11*$C294*'Business Case'!C12*$B294)-'Business Case'!C11*$C294*'Business Case'!C13*$D294-'Business Case'!C14*$E294))*'Business Case'!$B$7-'Business Case'!$B$8*(('Business Case'!C11*$C294*'Business Case'!C12*$B294)-('Business Case'!B11*$C294*'Business Case'!B12*$B294))-'Business Case'!C15*$F294</f>
        <v>8349783.6555735</v>
      </c>
      <c r="J294" s="53" t="n">
        <f aca="false">(('Business Case'!D11*$C294*'Business Case'!D12*$B294)-'Business Case'!D11*$C294*'Business Case'!D13*$D294-'Business Case'!D14*$E294)-MAX(0,(('Business Case'!D11*$C294*'Business Case'!D12*$B294)-'Business Case'!D11*$C294*'Business Case'!D13*$D294-'Business Case'!D14*$E294))*'Business Case'!$B$7-'Business Case'!$B$8*(('Business Case'!D11*$C294*'Business Case'!D12*$B294)-('Business Case'!C11*$C294*'Business Case'!C12*$B294))-'Business Case'!D15*$F294</f>
        <v>330012715.799604</v>
      </c>
      <c r="K294" s="53" t="n">
        <f aca="false">(('Business Case'!E11*$C294*'Business Case'!E12*$B294)-'Business Case'!E11*$C294*'Business Case'!E13*$D294-'Business Case'!E14*$E294)-MAX(0,(('Business Case'!E11*$C294*'Business Case'!E12*$B294)-'Business Case'!E11*$C294*'Business Case'!E13*$D294-'Business Case'!E14*$E294))*'Business Case'!$B$7-'Business Case'!$B$8*(('Business Case'!E11*$C294*'Business Case'!E12*$B294)-('Business Case'!D11*$C294*'Business Case'!D12*$B294))-'Business Case'!E15*$F294</f>
        <v>707766873.171261</v>
      </c>
      <c r="L294" s="53" t="n">
        <f aca="false">(('Business Case'!F11*$C294*'Business Case'!F12*$B294)-'Business Case'!F11*$C294*'Business Case'!F13*$D294-'Business Case'!F14*$E294)-MAX(0,(('Business Case'!F11*$C294*'Business Case'!F12*$B294)-'Business Case'!F11*$C294*'Business Case'!F13*$D294-'Business Case'!F14*$E294))*'Business Case'!$B$7-'Business Case'!$B$8*(('Business Case'!F11*$C294*'Business Case'!F12*$B294)-('Business Case'!E11*$C294*'Business Case'!E12*$B294))-'Business Case'!F15*$F294</f>
        <v>849825011.473046</v>
      </c>
      <c r="M294" s="53" t="n">
        <f aca="false">(('Business Case'!G11*$C294*'Business Case'!G12*$B294)-'Business Case'!G11*$C294*'Business Case'!G13*$D294-'Business Case'!G14*$E294)-MAX(0,(('Business Case'!G11*$C294*'Business Case'!G12*$B294)-'Business Case'!G11*$C294*'Business Case'!G13*$D294-'Business Case'!G14*$E294))*'Business Case'!$B$7-'Business Case'!$B$8*(('Business Case'!G11*$C294*'Business Case'!G12*$B294)-('Business Case'!F11*$C294*'Business Case'!F12*$B294))-'Business Case'!G15*$F294+'Business Case'!$B$8*('Business Case'!G11*$C294*'Business Case'!G12*$B294)</f>
        <v>1041429396.53547</v>
      </c>
      <c r="N294" s="53" t="n">
        <f aca="false">IF(COUNT('Business Case'!B11:G11)=0,"",H294+NPV(G294,I294:M294))</f>
        <v>-153705243.322146</v>
      </c>
      <c r="P294" s="54" t="n">
        <f aca="true">RAND()</f>
        <v>0.465776934464872</v>
      </c>
      <c r="Q294" s="54" t="n">
        <f aca="true">RAND()</f>
        <v>0.685148788191217</v>
      </c>
      <c r="R294" s="54" t="n">
        <f aca="true">RAND()</f>
        <v>0.0294196052871238</v>
      </c>
      <c r="S294" s="54" t="n">
        <f aca="true">RAND()</f>
        <v>0.81231350390639</v>
      </c>
      <c r="T294" s="54" t="n">
        <f aca="true">RAND()</f>
        <v>0.877771838230925</v>
      </c>
      <c r="U294" s="54" t="n">
        <f aca="true">RAND()</f>
        <v>0.0274325779611255</v>
      </c>
    </row>
    <row r="295" customFormat="false" ht="15" hidden="false" customHeight="false" outlineLevel="0" collapsed="false">
      <c r="A295" s="50" t="n">
        <v>215</v>
      </c>
      <c r="B295" s="51" t="n">
        <f aca="false">1+IF($G$6=$E$6,$F$6,IF(P295&lt;($F$6-$E$6)/($G$6-$E$6),$E$6+SQRT(P295*($G$6-$E$6)*($F$6-$E$6)),$G$6-SQRT((1-P295)*($G$6-$E$6)*($G$6-$F$6))))</f>
        <v>0.996619425368774</v>
      </c>
      <c r="C295" s="51" t="n">
        <f aca="false">1+IF($G$7=$E$7,$F$7,IF(Q295&lt;($F$7-$E$7)/($G$7-$E$7),$E$7+SQRT(Q295*($G$7-$E$7)*($F$7-$E$7)),$G$7-SQRT((1-Q295)*($G$7-$E$7)*($G$7-$F$7))))</f>
        <v>0.917178007284244</v>
      </c>
      <c r="D295" s="51" t="n">
        <f aca="false">1+IF($G$8=$E$8,$F$8,IF(R295&lt;($F$8-$E$8)/($G$8-$E$8),$E$8+SQRT(R295*($G$8-$E$8)*($F$8-$E$8)),$G$8-SQRT((1-R295)*($G$8-$E$8)*($G$8-$F$8))))</f>
        <v>1.01542924040694</v>
      </c>
      <c r="E295" s="51" t="n">
        <f aca="false">1+IF($G$9=$E$9,$F$9,IF(S295&lt;($F$9-$E$9)/($G$9-$E$9),$E$9+SQRT(S295*($G$9-$E$9)*($F$9-$E$9)),$G$9-SQRT((1-S295)*($G$9-$E$9)*($G$9-$F$9))))</f>
        <v>1.03690914310469</v>
      </c>
      <c r="F295" s="51" t="n">
        <f aca="false">1+IF($G$10=$E$10,$F$10,IF(T295&lt;($F$10-$E$10)/($G$10-$E$10),$E$10+SQRT(T295*($G$10-$E$10)*($F$10-$E$10)),$G$10-SQRT((1-T295)*($G$10-$E$10)*($G$10-$F$10))))</f>
        <v>1.05817004450886</v>
      </c>
      <c r="G295" s="52" t="n">
        <f aca="false">IF($G$11=$E$11,$F$11,IF(U295&lt;($F$11-$E$11)/($G$11-$E$11),$E$11+SQRT(U295*($G$11-$E$11)*($F$11-$E$11)),$G$11-SQRT((1-U295)*($G$11-$E$11)*($G$11-$F$11))))</f>
        <v>0.113048528754177</v>
      </c>
      <c r="H295" s="53" t="n">
        <f aca="false">(('Business Case'!B11*$C295*'Business Case'!B12*$B295)-'Business Case'!B11*$C295*'Business Case'!B13*$D295-'Business Case'!B14*$E295)-MAX(0,(('Business Case'!B11*$C295*'Business Case'!B12*$B295)-'Business Case'!B11*$C295*'Business Case'!B13*$D295-'Business Case'!B14*$E295))*'Business Case'!$B$7-'Business Case'!$B$8*('Business Case'!B11*$C295*'Business Case'!B12*$B295)-'Business Case'!B15*$F295</f>
        <v>-2116340089.01773</v>
      </c>
      <c r="I295" s="53" t="n">
        <f aca="false">(('Business Case'!C11*$C295*'Business Case'!C12*$B295)-'Business Case'!C11*$C295*'Business Case'!C13*$D295-'Business Case'!C14*$E295)-MAX(0,(('Business Case'!C11*$C295*'Business Case'!C12*$B295)-'Business Case'!C11*$C295*'Business Case'!C13*$D295-'Business Case'!C14*$E295))*'Business Case'!$B$7-'Business Case'!$B$8*(('Business Case'!C11*$C295*'Business Case'!C12*$B295)-('Business Case'!B11*$C295*'Business Case'!B12*$B295))-'Business Case'!C15*$F295</f>
        <v>-28722168.2729867</v>
      </c>
      <c r="J295" s="53" t="n">
        <f aca="false">(('Business Case'!D11*$C295*'Business Case'!D12*$B295)-'Business Case'!D11*$C295*'Business Case'!D13*$D295-'Business Case'!D14*$E295)-MAX(0,(('Business Case'!D11*$C295*'Business Case'!D12*$B295)-'Business Case'!D11*$C295*'Business Case'!D13*$D295-'Business Case'!D14*$E295))*'Business Case'!$B$7-'Business Case'!$B$8*(('Business Case'!D11*$C295*'Business Case'!D12*$B295)-('Business Case'!C11*$C295*'Business Case'!C12*$B295))-'Business Case'!D15*$F295</f>
        <v>243206921.433612</v>
      </c>
      <c r="K295" s="53" t="n">
        <f aca="false">(('Business Case'!E11*$C295*'Business Case'!E12*$B295)-'Business Case'!E11*$C295*'Business Case'!E13*$D295-'Business Case'!E14*$E295)-MAX(0,(('Business Case'!E11*$C295*'Business Case'!E12*$B295)-'Business Case'!E11*$C295*'Business Case'!E13*$D295-'Business Case'!E14*$E295))*'Business Case'!$B$7-'Business Case'!$B$8*(('Business Case'!E11*$C295*'Business Case'!E12*$B295)-('Business Case'!D11*$C295*'Business Case'!D12*$B295))-'Business Case'!E15*$F295</f>
        <v>568044513.365655</v>
      </c>
      <c r="L295" s="53" t="n">
        <f aca="false">(('Business Case'!F11*$C295*'Business Case'!F12*$B295)-'Business Case'!F11*$C295*'Business Case'!F13*$D295-'Business Case'!F14*$E295)-MAX(0,(('Business Case'!F11*$C295*'Business Case'!F12*$B295)-'Business Case'!F11*$C295*'Business Case'!F13*$D295-'Business Case'!F14*$E295))*'Business Case'!$B$7-'Business Case'!$B$8*(('Business Case'!F11*$C295*'Business Case'!F12*$B295)-('Business Case'!E11*$C295*'Business Case'!E12*$B295))-'Business Case'!F15*$F295</f>
        <v>690278058.853997</v>
      </c>
      <c r="M295" s="53" t="n">
        <f aca="false">(('Business Case'!G11*$C295*'Business Case'!G12*$B295)-'Business Case'!G11*$C295*'Business Case'!G13*$D295-'Business Case'!G14*$E295)-MAX(0,(('Business Case'!G11*$C295*'Business Case'!G12*$B295)-'Business Case'!G11*$C295*'Business Case'!G13*$D295-'Business Case'!G14*$E295))*'Business Case'!$B$7-'Business Case'!$B$8*(('Business Case'!G11*$C295*'Business Case'!G12*$B295)-('Business Case'!F11*$C295*'Business Case'!F12*$B295))-'Business Case'!G15*$F295+'Business Case'!$B$8*('Business Case'!G11*$C295*'Business Case'!G12*$B295)</f>
        <v>864025894.577778</v>
      </c>
      <c r="N295" s="53" t="n">
        <f aca="false">IF(COUNT('Business Case'!B11:G11)=0,"",H295+NPV(G295,I295:M295))</f>
        <v>-578366763.377433</v>
      </c>
      <c r="P295" s="54" t="n">
        <f aca="true">RAND()</f>
        <v>0.611514202483445</v>
      </c>
      <c r="Q295" s="54" t="n">
        <f aca="true">RAND()</f>
        <v>0.196152648444376</v>
      </c>
      <c r="R295" s="54" t="n">
        <f aca="true">RAND()</f>
        <v>0.599097788997568</v>
      </c>
      <c r="S295" s="54" t="n">
        <f aca="true">RAND()</f>
        <v>0.734636251747677</v>
      </c>
      <c r="T295" s="54" t="n">
        <f aca="true">RAND()</f>
        <v>0.59768527450764</v>
      </c>
      <c r="U295" s="54" t="n">
        <f aca="true">RAND()</f>
        <v>0.91946174586415</v>
      </c>
    </row>
    <row r="296" customFormat="false" ht="15" hidden="false" customHeight="false" outlineLevel="0" collapsed="false">
      <c r="A296" s="50" t="n">
        <v>216</v>
      </c>
      <c r="B296" s="51" t="n">
        <f aca="false">1+IF($G$6=$E$6,$F$6,IF(P296&lt;($F$6-$E$6)/($G$6-$E$6),$E$6+SQRT(P296*($G$6-$E$6)*($F$6-$E$6)),$G$6-SQRT((1-P296)*($G$6-$E$6)*($G$6-$F$6))))</f>
        <v>0.956303834604409</v>
      </c>
      <c r="C296" s="51" t="n">
        <f aca="false">1+IF($G$7=$E$7,$F$7,IF(Q296&lt;($F$7-$E$7)/($G$7-$E$7),$E$7+SQRT(Q296*($G$7-$E$7)*($F$7-$E$7)),$G$7-SQRT((1-Q296)*($G$7-$E$7)*($G$7-$F$7))))</f>
        <v>0.97981816315859</v>
      </c>
      <c r="D296" s="51" t="n">
        <f aca="false">1+IF($G$8=$E$8,$F$8,IF(R296&lt;($F$8-$E$8)/($G$8-$E$8),$E$8+SQRT(R296*($G$8-$E$8)*($F$8-$E$8)),$G$8-SQRT((1-R296)*($G$8-$E$8)*($G$8-$F$8))))</f>
        <v>0.995748005357002</v>
      </c>
      <c r="E296" s="51" t="n">
        <f aca="false">1+IF($G$9=$E$9,$F$9,IF(S296&lt;($F$9-$E$9)/($G$9-$E$9),$E$9+SQRT(S296*($G$9-$E$9)*($F$9-$E$9)),$G$9-SQRT((1-S296)*($G$9-$E$9)*($G$9-$F$9))))</f>
        <v>1.05333880288859</v>
      </c>
      <c r="F296" s="51" t="n">
        <f aca="false">1+IF($G$10=$E$10,$F$10,IF(T296&lt;($F$10-$E$10)/($G$10-$E$10),$E$10+SQRT(T296*($G$10-$E$10)*($F$10-$E$10)),$G$10-SQRT((1-T296)*($G$10-$E$10)*($G$10-$F$10))))</f>
        <v>1.04333735563429</v>
      </c>
      <c r="G296" s="52" t="n">
        <f aca="false">IF($G$11=$E$11,$F$11,IF(U296&lt;($F$11-$E$11)/($G$11-$E$11),$E$11+SQRT(U296*($G$11-$E$11)*($F$11-$E$11)),$G$11-SQRT((1-U296)*($G$11-$E$11)*($G$11-$F$11))))</f>
        <v>0.104729372361293</v>
      </c>
      <c r="H296" s="53" t="n">
        <f aca="false">(('Business Case'!B11*$C296*'Business Case'!B12*$B296)-'Business Case'!B11*$C296*'Business Case'!B13*$D296-'Business Case'!B14*$E296)-MAX(0,(('Business Case'!B11*$C296*'Business Case'!B12*$B296)-'Business Case'!B11*$C296*'Business Case'!B13*$D296-'Business Case'!B14*$E296))*'Business Case'!$B$7-'Business Case'!$B$8*('Business Case'!B11*$C296*'Business Case'!B12*$B296)-'Business Case'!B15*$F296</f>
        <v>-2086674711.26858</v>
      </c>
      <c r="I296" s="53" t="n">
        <f aca="false">(('Business Case'!C11*$C296*'Business Case'!C12*$B296)-'Business Case'!C11*$C296*'Business Case'!C13*$D296-'Business Case'!C14*$E296)-MAX(0,(('Business Case'!C11*$C296*'Business Case'!C12*$B296)-'Business Case'!C11*$C296*'Business Case'!C13*$D296-'Business Case'!C14*$E296))*'Business Case'!$B$7-'Business Case'!$B$8*(('Business Case'!C11*$C296*'Business Case'!C12*$B296)-('Business Case'!B11*$C296*'Business Case'!B12*$B296))-'Business Case'!C15*$F296</f>
        <v>-34674925.1307474</v>
      </c>
      <c r="J296" s="53" t="n">
        <f aca="false">(('Business Case'!D11*$C296*'Business Case'!D12*$B296)-'Business Case'!D11*$C296*'Business Case'!D13*$D296-'Business Case'!D14*$E296)-MAX(0,(('Business Case'!D11*$C296*'Business Case'!D12*$B296)-'Business Case'!D11*$C296*'Business Case'!D13*$D296-'Business Case'!D14*$E296))*'Business Case'!$B$7-'Business Case'!$B$8*(('Business Case'!D11*$C296*'Business Case'!D12*$B296)-('Business Case'!C11*$C296*'Business Case'!C12*$B296))-'Business Case'!D15*$F296</f>
        <v>233342943.519496</v>
      </c>
      <c r="K296" s="53" t="n">
        <f aca="false">(('Business Case'!E11*$C296*'Business Case'!E12*$B296)-'Business Case'!E11*$C296*'Business Case'!E13*$D296-'Business Case'!E14*$E296)-MAX(0,(('Business Case'!E11*$C296*'Business Case'!E12*$B296)-'Business Case'!E11*$C296*'Business Case'!E13*$D296-'Business Case'!E14*$E296))*'Business Case'!$B$7-'Business Case'!$B$8*(('Business Case'!E11*$C296*'Business Case'!E12*$B296)-('Business Case'!D11*$C296*'Business Case'!D12*$B296))-'Business Case'!E15*$F296</f>
        <v>553527679.951454</v>
      </c>
      <c r="L296" s="53" t="n">
        <f aca="false">(('Business Case'!F11*$C296*'Business Case'!F12*$B296)-'Business Case'!F11*$C296*'Business Case'!F13*$D296-'Business Case'!F14*$E296)-MAX(0,(('Business Case'!F11*$C296*'Business Case'!F12*$B296)-'Business Case'!F11*$C296*'Business Case'!F13*$D296-'Business Case'!F14*$E296))*'Business Case'!$B$7-'Business Case'!$B$8*(('Business Case'!F11*$C296*'Business Case'!F12*$B296)-('Business Case'!E11*$C296*'Business Case'!E12*$B296))-'Business Case'!F15*$F296</f>
        <v>675249823.132737</v>
      </c>
      <c r="M296" s="53" t="n">
        <f aca="false">(('Business Case'!G11*$C296*'Business Case'!G12*$B296)-'Business Case'!G11*$C296*'Business Case'!G13*$D296-'Business Case'!G14*$E296)-MAX(0,(('Business Case'!G11*$C296*'Business Case'!G12*$B296)-'Business Case'!G11*$C296*'Business Case'!G13*$D296-'Business Case'!G14*$E296))*'Business Case'!$B$7-'Business Case'!$B$8*(('Business Case'!G11*$C296*'Business Case'!G12*$B296)-('Business Case'!F11*$C296*'Business Case'!F12*$B296))-'Business Case'!G15*$F296+'Business Case'!$B$8*('Business Case'!G11*$C296*'Business Case'!G12*$B296)</f>
        <v>853355518.104355</v>
      </c>
      <c r="N296" s="53" t="n">
        <f aca="false">IF(COUNT('Business Case'!B11:G11)=0,"",H296+NPV(G296,I296:M296))</f>
        <v>-544330304.789244</v>
      </c>
      <c r="P296" s="54" t="n">
        <f aca="true">RAND()</f>
        <v>0.137288375727533</v>
      </c>
      <c r="Q296" s="54" t="n">
        <f aca="true">RAND()</f>
        <v>0.461922454310418</v>
      </c>
      <c r="R296" s="54" t="n">
        <f aca="true">RAND()</f>
        <v>0.321981537560662</v>
      </c>
      <c r="S296" s="54" t="n">
        <f aca="true">RAND()</f>
        <v>0.854848845608651</v>
      </c>
      <c r="T296" s="54" t="n">
        <f aca="true">RAND()</f>
        <v>0.509136317206862</v>
      </c>
      <c r="U296" s="54" t="n">
        <f aca="true">RAND()</f>
        <v>0.611346552533246</v>
      </c>
    </row>
    <row r="297" customFormat="false" ht="15" hidden="false" customHeight="false" outlineLevel="0" collapsed="false">
      <c r="A297" s="50" t="n">
        <v>217</v>
      </c>
      <c r="B297" s="51" t="n">
        <f aca="false">1+IF($G$6=$E$6,$F$6,IF(P297&lt;($F$6-$E$6)/($G$6-$E$6),$E$6+SQRT(P297*($G$6-$E$6)*($F$6-$E$6)),$G$6-SQRT((1-P297)*($G$6-$E$6)*($G$6-$F$6))))</f>
        <v>0.993568257917311</v>
      </c>
      <c r="C297" s="51" t="n">
        <f aca="false">1+IF($G$7=$E$7,$F$7,IF(Q297&lt;($F$7-$E$7)/($G$7-$E$7),$E$7+SQRT(Q297*($G$7-$E$7)*($F$7-$E$7)),$G$7-SQRT((1-Q297)*($G$7-$E$7)*($G$7-$F$7))))</f>
        <v>0.919015546726014</v>
      </c>
      <c r="D297" s="51" t="n">
        <f aca="false">1+IF($G$8=$E$8,$F$8,IF(R297&lt;($F$8-$E$8)/($G$8-$E$8),$E$8+SQRT(R297*($G$8-$E$8)*($F$8-$E$8)),$G$8-SQRT((1-R297)*($G$8-$E$8)*($G$8-$F$8))))</f>
        <v>0.995382454650162</v>
      </c>
      <c r="E297" s="51" t="n">
        <f aca="false">1+IF($G$9=$E$9,$F$9,IF(S297&lt;($F$9-$E$9)/($G$9-$E$9),$E$9+SQRT(S297*($G$9-$E$9)*($F$9-$E$9)),$G$9-SQRT((1-S297)*($G$9-$E$9)*($G$9-$F$9))))</f>
        <v>0.995944404818914</v>
      </c>
      <c r="F297" s="51" t="n">
        <f aca="false">1+IF($G$10=$E$10,$F$10,IF(T297&lt;($F$10-$E$10)/($G$10-$E$10),$E$10+SQRT(T297*($G$10-$E$10)*($F$10-$E$10)),$G$10-SQRT((1-T297)*($G$10-$E$10)*($G$10-$F$10))))</f>
        <v>1.05667619115486</v>
      </c>
      <c r="G297" s="52" t="n">
        <f aca="false">IF($G$11=$E$11,$F$11,IF(U297&lt;($F$11-$E$11)/($G$11-$E$11),$E$11+SQRT(U297*($G$11-$E$11)*($F$11-$E$11)),$G$11-SQRT((1-U297)*($G$11-$E$11)*($G$11-$F$11))))</f>
        <v>0.117285974440457</v>
      </c>
      <c r="H297" s="53" t="n">
        <f aca="false">(('Business Case'!B11*$C297*'Business Case'!B12*$B297)-'Business Case'!B11*$C297*'Business Case'!B13*$D297-'Business Case'!B14*$E297)-MAX(0,(('Business Case'!B11*$C297*'Business Case'!B12*$B297)-'Business Case'!B11*$C297*'Business Case'!B13*$D297-'Business Case'!B14*$E297))*'Business Case'!$B$7-'Business Case'!$B$8*('Business Case'!B11*$C297*'Business Case'!B12*$B297)-'Business Case'!B15*$F297</f>
        <v>-2113352382.30973</v>
      </c>
      <c r="I297" s="53" t="n">
        <f aca="false">(('Business Case'!C11*$C297*'Business Case'!C12*$B297)-'Business Case'!C11*$C297*'Business Case'!C13*$D297-'Business Case'!C14*$E297)-MAX(0,(('Business Case'!C11*$C297*'Business Case'!C12*$B297)-'Business Case'!C11*$C297*'Business Case'!C13*$D297-'Business Case'!C14*$E297))*'Business Case'!$B$7-'Business Case'!$B$8*(('Business Case'!C11*$C297*'Business Case'!C12*$B297)-('Business Case'!B11*$C297*'Business Case'!B12*$B297))-'Business Case'!C15*$F297</f>
        <v>-15017843.9224107</v>
      </c>
      <c r="J297" s="53" t="n">
        <f aca="false">(('Business Case'!D11*$C297*'Business Case'!D12*$B297)-'Business Case'!D11*$C297*'Business Case'!D13*$D297-'Business Case'!D14*$E297)-MAX(0,(('Business Case'!D11*$C297*'Business Case'!D12*$B297)-'Business Case'!D11*$C297*'Business Case'!D13*$D297-'Business Case'!D14*$E297))*'Business Case'!$B$7-'Business Case'!$B$8*(('Business Case'!D11*$C297*'Business Case'!D12*$B297)-('Business Case'!C11*$C297*'Business Case'!C12*$B297))-'Business Case'!D15*$F297</f>
        <v>264590572.027287</v>
      </c>
      <c r="K297" s="53" t="n">
        <f aca="false">(('Business Case'!E11*$C297*'Business Case'!E12*$B297)-'Business Case'!E11*$C297*'Business Case'!E13*$D297-'Business Case'!E14*$E297)-MAX(0,(('Business Case'!E11*$C297*'Business Case'!E12*$B297)-'Business Case'!E11*$C297*'Business Case'!E13*$D297-'Business Case'!E14*$E297))*'Business Case'!$B$7-'Business Case'!$B$8*(('Business Case'!E11*$C297*'Business Case'!E12*$B297)-('Business Case'!D11*$C297*'Business Case'!D12*$B297))-'Business Case'!E15*$F297</f>
        <v>597032797.534727</v>
      </c>
      <c r="L297" s="53" t="n">
        <f aca="false">(('Business Case'!F11*$C297*'Business Case'!F12*$B297)-'Business Case'!F11*$C297*'Business Case'!F13*$D297-'Business Case'!F14*$E297)-MAX(0,(('Business Case'!F11*$C297*'Business Case'!F12*$B297)-'Business Case'!F11*$C297*'Business Case'!F13*$D297-'Business Case'!F14*$E297))*'Business Case'!$B$7-'Business Case'!$B$8*(('Business Case'!F11*$C297*'Business Case'!F12*$B297)-('Business Case'!E11*$C297*'Business Case'!E12*$B297))-'Business Case'!F15*$F297</f>
        <v>721792500.445541</v>
      </c>
      <c r="M297" s="53" t="n">
        <f aca="false">(('Business Case'!G11*$C297*'Business Case'!G12*$B297)-'Business Case'!G11*$C297*'Business Case'!G13*$D297-'Business Case'!G14*$E297)-MAX(0,(('Business Case'!G11*$C297*'Business Case'!G12*$B297)-'Business Case'!G11*$C297*'Business Case'!G13*$D297-'Business Case'!G14*$E297))*'Business Case'!$B$7-'Business Case'!$B$8*(('Business Case'!G11*$C297*'Business Case'!G12*$B297)-('Business Case'!F11*$C297*'Business Case'!F12*$B297))-'Business Case'!G15*$F297+'Business Case'!$B$8*('Business Case'!G11*$C297*'Business Case'!G12*$B297)</f>
        <v>895355437.213905</v>
      </c>
      <c r="N297" s="53" t="n">
        <f aca="false">IF(COUNT('Business Case'!B11:G11)=0,"",H297+NPV(G297,I297:M297))</f>
        <v>-509342410.123755</v>
      </c>
      <c r="P297" s="54" t="n">
        <f aca="true">RAND()</f>
        <v>0.563780059686255</v>
      </c>
      <c r="Q297" s="54" t="n">
        <f aca="true">RAND()</f>
        <v>0.202352862321315</v>
      </c>
      <c r="R297" s="54" t="n">
        <f aca="true">RAND()</f>
        <v>0.31685649078061</v>
      </c>
      <c r="S297" s="54" t="n">
        <f aca="true">RAND()</f>
        <v>0.281451777888566</v>
      </c>
      <c r="T297" s="54" t="n">
        <f aca="true">RAND()</f>
        <v>0.589165716362461</v>
      </c>
      <c r="U297" s="54" t="n">
        <f aca="true">RAND()</f>
        <v>0.987723442103577</v>
      </c>
    </row>
    <row r="298" customFormat="false" ht="15" hidden="false" customHeight="false" outlineLevel="0" collapsed="false">
      <c r="A298" s="50" t="n">
        <v>218</v>
      </c>
      <c r="B298" s="51" t="n">
        <f aca="false">1+IF($G$6=$E$6,$F$6,IF(P298&lt;($F$6-$E$6)/($G$6-$E$6),$E$6+SQRT(P298*($G$6-$E$6)*($F$6-$E$6)),$G$6-SQRT((1-P298)*($G$6-$E$6)*($G$6-$F$6))))</f>
        <v>0.990135205678373</v>
      </c>
      <c r="C298" s="51" t="n">
        <f aca="false">1+IF($G$7=$E$7,$F$7,IF(Q298&lt;($F$7-$E$7)/($G$7-$E$7),$E$7+SQRT(Q298*($G$7-$E$7)*($F$7-$E$7)),$G$7-SQRT((1-Q298)*($G$7-$E$7)*($G$7-$F$7))))</f>
        <v>0.898177743501703</v>
      </c>
      <c r="D298" s="51" t="n">
        <f aca="false">1+IF($G$8=$E$8,$F$8,IF(R298&lt;($F$8-$E$8)/($G$8-$E$8),$E$8+SQRT(R298*($G$8-$E$8)*($F$8-$E$8)),$G$8-SQRT((1-R298)*($G$8-$E$8)*($G$8-$F$8))))</f>
        <v>1.01152011347699</v>
      </c>
      <c r="E298" s="51" t="n">
        <f aca="false">1+IF($G$9=$E$9,$F$9,IF(S298&lt;($F$9-$E$9)/($G$9-$E$9),$E$9+SQRT(S298*($G$9-$E$9)*($F$9-$E$9)),$G$9-SQRT((1-S298)*($G$9-$E$9)*($G$9-$F$9))))</f>
        <v>1.00177947667427</v>
      </c>
      <c r="F298" s="51" t="n">
        <f aca="false">1+IF($G$10=$E$10,$F$10,IF(T298&lt;($F$10-$E$10)/($G$10-$E$10),$E$10+SQRT(T298*($G$10-$E$10)*($F$10-$E$10)),$G$10-SQRT((1-T298)*($G$10-$E$10)*($G$10-$F$10))))</f>
        <v>1.05957618267436</v>
      </c>
      <c r="G298" s="52" t="n">
        <f aca="false">IF($G$11=$E$11,$F$11,IF(U298&lt;($F$11-$E$11)/($G$11-$E$11),$E$11+SQRT(U298*($G$11-$E$11)*($F$11-$E$11)),$G$11-SQRT((1-U298)*($G$11-$E$11)*($G$11-$F$11))))</f>
        <v>0.112507360537438</v>
      </c>
      <c r="H298" s="53" t="n">
        <f aca="false">(('Business Case'!B11*$C298*'Business Case'!B12*$B298)-'Business Case'!B11*$C298*'Business Case'!B13*$D298-'Business Case'!B14*$E298)-MAX(0,(('Business Case'!B11*$C298*'Business Case'!B12*$B298)-'Business Case'!B11*$C298*'Business Case'!B13*$D298-'Business Case'!B14*$E298))*'Business Case'!$B$7-'Business Case'!$B$8*('Business Case'!B11*$C298*'Business Case'!B12*$B298)-'Business Case'!B15*$F298</f>
        <v>-2119152365.34871</v>
      </c>
      <c r="I298" s="53" t="n">
        <f aca="false">(('Business Case'!C11*$C298*'Business Case'!C12*$B298)-'Business Case'!C11*$C298*'Business Case'!C13*$D298-'Business Case'!C14*$E298)-MAX(0,(('Business Case'!C11*$C298*'Business Case'!C12*$B298)-'Business Case'!C11*$C298*'Business Case'!C13*$D298-'Business Case'!C14*$E298))*'Business Case'!$B$7-'Business Case'!$B$8*(('Business Case'!C11*$C298*'Business Case'!C12*$B298)-('Business Case'!B11*$C298*'Business Case'!B12*$B298))-'Business Case'!C15*$F298</f>
        <v>-31189931.4954805</v>
      </c>
      <c r="J298" s="53" t="n">
        <f aca="false">(('Business Case'!D11*$C298*'Business Case'!D12*$B298)-'Business Case'!D11*$C298*'Business Case'!D13*$D298-'Business Case'!D14*$E298)-MAX(0,(('Business Case'!D11*$C298*'Business Case'!D12*$B298)-'Business Case'!D11*$C298*'Business Case'!D13*$D298-'Business Case'!D14*$E298))*'Business Case'!$B$7-'Business Case'!$B$8*(('Business Case'!D11*$C298*'Business Case'!D12*$B298)-('Business Case'!C11*$C298*'Business Case'!C12*$B298))-'Business Case'!D15*$F298</f>
        <v>232133011.124273</v>
      </c>
      <c r="K298" s="53" t="n">
        <f aca="false">(('Business Case'!E11*$C298*'Business Case'!E12*$B298)-'Business Case'!E11*$C298*'Business Case'!E13*$D298-'Business Case'!E14*$E298)-MAX(0,(('Business Case'!E11*$C298*'Business Case'!E12*$B298)-'Business Case'!E11*$C298*'Business Case'!E13*$D298-'Business Case'!E14*$E298))*'Business Case'!$B$7-'Business Case'!$B$8*(('Business Case'!E11*$C298*'Business Case'!E12*$B298)-('Business Case'!D11*$C298*'Business Case'!D12*$B298))-'Business Case'!E15*$F298</f>
        <v>548434762.877745</v>
      </c>
      <c r="L298" s="53" t="n">
        <f aca="false">(('Business Case'!F11*$C298*'Business Case'!F12*$B298)-'Business Case'!F11*$C298*'Business Case'!F13*$D298-'Business Case'!F14*$E298)-MAX(0,(('Business Case'!F11*$C298*'Business Case'!F12*$B298)-'Business Case'!F11*$C298*'Business Case'!F13*$D298-'Business Case'!F14*$E298))*'Business Case'!$B$7-'Business Case'!$B$8*(('Business Case'!F11*$C298*'Business Case'!F12*$B298)-('Business Case'!E11*$C298*'Business Case'!E12*$B298))-'Business Case'!F15*$F298</f>
        <v>666943886.594142</v>
      </c>
      <c r="M298" s="53" t="n">
        <f aca="false">(('Business Case'!G11*$C298*'Business Case'!G12*$B298)-'Business Case'!G11*$C298*'Business Case'!G13*$D298-'Business Case'!G14*$E298)-MAX(0,(('Business Case'!G11*$C298*'Business Case'!G12*$B298)-'Business Case'!G11*$C298*'Business Case'!G13*$D298-'Business Case'!G14*$E298))*'Business Case'!$B$7-'Business Case'!$B$8*(('Business Case'!G11*$C298*'Business Case'!G12*$B298)-('Business Case'!F11*$C298*'Business Case'!F12*$B298))-'Business Case'!G15*$F298+'Business Case'!$B$8*('Business Case'!G11*$C298*'Business Case'!G12*$B298)</f>
        <v>835985338.898107</v>
      </c>
      <c r="N298" s="53" t="n">
        <f aca="false">IF(COUNT('Business Case'!B11:G11)=0,"",H298+NPV(G298,I298:M298))</f>
        <v>-635386205.831625</v>
      </c>
      <c r="P298" s="54" t="n">
        <f aca="true">RAND()</f>
        <v>0.512390320369556</v>
      </c>
      <c r="Q298" s="54" t="n">
        <f aca="true">RAND()</f>
        <v>0.137698133129802</v>
      </c>
      <c r="R298" s="54" t="n">
        <f aca="true">RAND()</f>
        <v>0.549087032865024</v>
      </c>
      <c r="S298" s="54" t="n">
        <f aca="true">RAND()</f>
        <v>0.356848586507961</v>
      </c>
      <c r="T298" s="54" t="n">
        <f aca="true">RAND()</f>
        <v>0.605623030553882</v>
      </c>
      <c r="U298" s="54" t="n">
        <f aca="true">RAND()</f>
        <v>0.906433923140102</v>
      </c>
    </row>
    <row r="299" customFormat="false" ht="15" hidden="false" customHeight="false" outlineLevel="0" collapsed="false">
      <c r="A299" s="50" t="n">
        <v>219</v>
      </c>
      <c r="B299" s="51" t="n">
        <f aca="false">1+IF($G$6=$E$6,$F$6,IF(P299&lt;($F$6-$E$6)/($G$6-$E$6),$E$6+SQRT(P299*($G$6-$E$6)*($F$6-$E$6)),$G$6-SQRT((1-P299)*($G$6-$E$6)*($G$6-$F$6))))</f>
        <v>0.994863915609032</v>
      </c>
      <c r="C299" s="51" t="n">
        <f aca="false">1+IF($G$7=$E$7,$F$7,IF(Q299&lt;($F$7-$E$7)/($G$7-$E$7),$E$7+SQRT(Q299*($G$7-$E$7)*($F$7-$E$7)),$G$7-SQRT((1-Q299)*($G$7-$E$7)*($G$7-$F$7))))</f>
        <v>0.875718917831692</v>
      </c>
      <c r="D299" s="51" t="n">
        <f aca="false">1+IF($G$8=$E$8,$F$8,IF(R299&lt;($F$8-$E$8)/($G$8-$E$8),$E$8+SQRT(R299*($G$8-$E$8)*($F$8-$E$8)),$G$8-SQRT((1-R299)*($G$8-$E$8)*($G$8-$F$8))))</f>
        <v>1.0406412159887</v>
      </c>
      <c r="E299" s="51" t="n">
        <f aca="false">1+IF($G$9=$E$9,$F$9,IF(S299&lt;($F$9-$E$9)/($G$9-$E$9),$E$9+SQRT(S299*($G$9-$E$9)*($F$9-$E$9)),$G$9-SQRT((1-S299)*($G$9-$E$9)*($G$9-$F$9))))</f>
        <v>1.03912468144767</v>
      </c>
      <c r="F299" s="51" t="n">
        <f aca="false">1+IF($G$10=$E$10,$F$10,IF(T299&lt;($F$10-$E$10)/($G$10-$E$10),$E$10+SQRT(T299*($G$10-$E$10)*($F$10-$E$10)),$G$10-SQRT((1-T299)*($G$10-$E$10)*($G$10-$F$10))))</f>
        <v>1.08166726094902</v>
      </c>
      <c r="G299" s="52" t="n">
        <f aca="false">IF($G$11=$E$11,$F$11,IF(U299&lt;($F$11-$E$11)/($G$11-$E$11),$E$11+SQRT(U299*($G$11-$E$11)*($F$11-$E$11)),$G$11-SQRT((1-U299)*($G$11-$E$11)*($G$11-$F$11))))</f>
        <v>0.103059167250359</v>
      </c>
      <c r="H299" s="53" t="n">
        <f aca="false">(('Business Case'!B11*$C299*'Business Case'!B12*$B299)-'Business Case'!B11*$C299*'Business Case'!B13*$D299-'Business Case'!B14*$E299)-MAX(0,(('Business Case'!B11*$C299*'Business Case'!B12*$B299)-'Business Case'!B11*$C299*'Business Case'!B13*$D299-'Business Case'!B14*$E299))*'Business Case'!$B$7-'Business Case'!$B$8*('Business Case'!B11*$C299*'Business Case'!B12*$B299)-'Business Case'!B15*$F299</f>
        <v>-2163334521.89804</v>
      </c>
      <c r="I299" s="53" t="n">
        <f aca="false">(('Business Case'!C11*$C299*'Business Case'!C12*$B299)-'Business Case'!C11*$C299*'Business Case'!C13*$D299-'Business Case'!C14*$E299)-MAX(0,(('Business Case'!C11*$C299*'Business Case'!C12*$B299)-'Business Case'!C11*$C299*'Business Case'!C13*$D299-'Business Case'!C14*$E299))*'Business Case'!$B$7-'Business Case'!$B$8*(('Business Case'!C11*$C299*'Business Case'!C12*$B299)-('Business Case'!B11*$C299*'Business Case'!B12*$B299))-'Business Case'!C15*$F299</f>
        <v>-54018914.6543328</v>
      </c>
      <c r="J299" s="53" t="n">
        <f aca="false">(('Business Case'!D11*$C299*'Business Case'!D12*$B299)-'Business Case'!D11*$C299*'Business Case'!D13*$D299-'Business Case'!D14*$E299)-MAX(0,(('Business Case'!D11*$C299*'Business Case'!D12*$B299)-'Business Case'!D11*$C299*'Business Case'!D13*$D299-'Business Case'!D14*$E299))*'Business Case'!$B$7-'Business Case'!$B$8*(('Business Case'!D11*$C299*'Business Case'!D12*$B299)-('Business Case'!C11*$C299*'Business Case'!C12*$B299))-'Business Case'!D15*$F299</f>
        <v>193056530.985326</v>
      </c>
      <c r="K299" s="53" t="n">
        <f aca="false">(('Business Case'!E11*$C299*'Business Case'!E12*$B299)-'Business Case'!E11*$C299*'Business Case'!E13*$D299-'Business Case'!E14*$E299)-MAX(0,(('Business Case'!E11*$C299*'Business Case'!E12*$B299)-'Business Case'!E11*$C299*'Business Case'!E13*$D299-'Business Case'!E14*$E299))*'Business Case'!$B$7-'Business Case'!$B$8*(('Business Case'!E11*$C299*'Business Case'!E12*$B299)-('Business Case'!D11*$C299*'Business Case'!D12*$B299))-'Business Case'!E15*$F299</f>
        <v>494215339.672435</v>
      </c>
      <c r="L299" s="53" t="n">
        <f aca="false">(('Business Case'!F11*$C299*'Business Case'!F12*$B299)-'Business Case'!F11*$C299*'Business Case'!F13*$D299-'Business Case'!F14*$E299)-MAX(0,(('Business Case'!F11*$C299*'Business Case'!F12*$B299)-'Business Case'!F11*$C299*'Business Case'!F13*$D299-'Business Case'!F14*$E299))*'Business Case'!$B$7-'Business Case'!$B$8*(('Business Case'!F11*$C299*'Business Case'!F12*$B299)-('Business Case'!E11*$C299*'Business Case'!E12*$B299))-'Business Case'!F15*$F299</f>
        <v>606683224.550475</v>
      </c>
      <c r="M299" s="53" t="n">
        <f aca="false">(('Business Case'!G11*$C299*'Business Case'!G12*$B299)-'Business Case'!G11*$C299*'Business Case'!G13*$D299-'Business Case'!G14*$E299)-MAX(0,(('Business Case'!G11*$C299*'Business Case'!G12*$B299)-'Business Case'!G11*$C299*'Business Case'!G13*$D299-'Business Case'!G14*$E299))*'Business Case'!$B$7-'Business Case'!$B$8*(('Business Case'!G11*$C299*'Business Case'!G12*$B299)-('Business Case'!F11*$C299*'Business Case'!F12*$B299))-'Business Case'!G15*$F299+'Business Case'!$B$8*('Business Case'!G11*$C299*'Business Case'!G12*$B299)</f>
        <v>772284941.040319</v>
      </c>
      <c r="N299" s="53" t="n">
        <f aca="false">IF(COUNT('Business Case'!B11:G11)=0,"",H299+NPV(G299,I299:M299))</f>
        <v>-802698233.366824</v>
      </c>
      <c r="P299" s="54" t="n">
        <f aca="true">RAND()</f>
        <v>0.583813110449615</v>
      </c>
      <c r="Q299" s="54" t="n">
        <f aca="true">RAND()</f>
        <v>0.0819050645371794</v>
      </c>
      <c r="R299" s="54" t="n">
        <f aca="true">RAND()</f>
        <v>0.851046742418453</v>
      </c>
      <c r="S299" s="54" t="n">
        <f aca="true">RAND()</f>
        <v>0.752946372743492</v>
      </c>
      <c r="T299" s="54" t="n">
        <f aca="true">RAND()</f>
        <v>0.719947257373864</v>
      </c>
      <c r="U299" s="54" t="n">
        <f aca="true">RAND()</f>
        <v>0.521680309581134</v>
      </c>
    </row>
    <row r="300" customFormat="false" ht="15" hidden="false" customHeight="false" outlineLevel="0" collapsed="false">
      <c r="A300" s="50" t="n">
        <v>220</v>
      </c>
      <c r="B300" s="51" t="n">
        <f aca="false">1+IF($G$6=$E$6,$F$6,IF(P300&lt;($F$6-$E$6)/($G$6-$E$6),$E$6+SQRT(P300*($G$6-$E$6)*($F$6-$E$6)),$G$6-SQRT((1-P300)*($G$6-$E$6)*($G$6-$F$6))))</f>
        <v>0.999117399795559</v>
      </c>
      <c r="C300" s="51" t="n">
        <f aca="false">1+IF($G$7=$E$7,$F$7,IF(Q300&lt;($F$7-$E$7)/($G$7-$E$7),$E$7+SQRT(Q300*($G$7-$E$7)*($F$7-$E$7)),$G$7-SQRT((1-Q300)*($G$7-$E$7)*($G$7-$F$7))))</f>
        <v>0.878046747886939</v>
      </c>
      <c r="D300" s="51" t="n">
        <f aca="false">1+IF($G$8=$E$8,$F$8,IF(R300&lt;($F$8-$E$8)/($G$8-$E$8),$E$8+SQRT(R300*($G$8-$E$8)*($F$8-$E$8)),$G$8-SQRT((1-R300)*($G$8-$E$8)*($G$8-$F$8))))</f>
        <v>1.01519410159461</v>
      </c>
      <c r="E300" s="51" t="n">
        <f aca="false">1+IF($G$9=$E$9,$F$9,IF(S300&lt;($F$9-$E$9)/($G$9-$E$9),$E$9+SQRT(S300*($G$9-$E$9)*($F$9-$E$9)),$G$9-SQRT((1-S300)*($G$9-$E$9)*($G$9-$F$9))))</f>
        <v>0.992958730698097</v>
      </c>
      <c r="F300" s="51" t="n">
        <f aca="false">1+IF($G$10=$E$10,$F$10,IF(T300&lt;($F$10-$E$10)/($G$10-$E$10),$E$10+SQRT(T300*($G$10-$E$10)*($F$10-$E$10)),$G$10-SQRT((1-T300)*($G$10-$E$10)*($G$10-$F$10))))</f>
        <v>1.08516065341884</v>
      </c>
      <c r="G300" s="52" t="n">
        <f aca="false">IF($G$11=$E$11,$F$11,IF(U300&lt;($F$11-$E$11)/($G$11-$E$11),$E$11+SQRT(U300*($G$11-$E$11)*($F$11-$E$11)),$G$11-SQRT((1-U300)*($G$11-$E$11)*($G$11-$F$11))))</f>
        <v>0.10145613039347</v>
      </c>
      <c r="H300" s="53" t="n">
        <f aca="false">(('Business Case'!B11*$C300*'Business Case'!B12*$B300)-'Business Case'!B11*$C300*'Business Case'!B13*$D300-'Business Case'!B14*$E300)-MAX(0,(('Business Case'!B11*$C300*'Business Case'!B12*$B300)-'Business Case'!B11*$C300*'Business Case'!B13*$D300-'Business Case'!B14*$E300))*'Business Case'!$B$7-'Business Case'!$B$8*('Business Case'!B11*$C300*'Business Case'!B12*$B300)-'Business Case'!B15*$F300</f>
        <v>-2170321306.83767</v>
      </c>
      <c r="I300" s="53" t="n">
        <f aca="false">(('Business Case'!C11*$C300*'Business Case'!C12*$B300)-'Business Case'!C11*$C300*'Business Case'!C13*$D300-'Business Case'!C14*$E300)-MAX(0,(('Business Case'!C11*$C300*'Business Case'!C12*$B300)-'Business Case'!C11*$C300*'Business Case'!C13*$D300-'Business Case'!C14*$E300))*'Business Case'!$B$7-'Business Case'!$B$8*(('Business Case'!C11*$C300*'Business Case'!C12*$B300)-('Business Case'!B11*$C300*'Business Case'!B12*$B300))-'Business Case'!C15*$F300</f>
        <v>-32963094.9473029</v>
      </c>
      <c r="J300" s="53" t="n">
        <f aca="false">(('Business Case'!D11*$C300*'Business Case'!D12*$B300)-'Business Case'!D11*$C300*'Business Case'!D13*$D300-'Business Case'!D14*$E300)-MAX(0,(('Business Case'!D11*$C300*'Business Case'!D12*$B300)-'Business Case'!D11*$C300*'Business Case'!D13*$D300-'Business Case'!D14*$E300))*'Business Case'!$B$7-'Business Case'!$B$8*(('Business Case'!D11*$C300*'Business Case'!D12*$B300)-('Business Case'!C11*$C300*'Business Case'!C12*$B300))-'Business Case'!D15*$F300</f>
        <v>229266376.216846</v>
      </c>
      <c r="K300" s="53" t="n">
        <f aca="false">(('Business Case'!E11*$C300*'Business Case'!E12*$B300)-'Business Case'!E11*$C300*'Business Case'!E13*$D300-'Business Case'!E14*$E300)-MAX(0,(('Business Case'!E11*$C300*'Business Case'!E12*$B300)-'Business Case'!E11*$C300*'Business Case'!E13*$D300-'Business Case'!E14*$E300))*'Business Case'!$B$7-'Business Case'!$B$8*(('Business Case'!E11*$C300*'Business Case'!E12*$B300)-('Business Case'!D11*$C300*'Business Case'!D12*$B300))-'Business Case'!E15*$F300</f>
        <v>545753880.051937</v>
      </c>
      <c r="L300" s="53" t="n">
        <f aca="false">(('Business Case'!F11*$C300*'Business Case'!F12*$B300)-'Business Case'!F11*$C300*'Business Case'!F13*$D300-'Business Case'!F14*$E300)-MAX(0,(('Business Case'!F11*$C300*'Business Case'!F12*$B300)-'Business Case'!F11*$C300*'Business Case'!F13*$D300-'Business Case'!F14*$E300))*'Business Case'!$B$7-'Business Case'!$B$8*(('Business Case'!F11*$C300*'Business Case'!F12*$B300)-('Business Case'!E11*$C300*'Business Case'!E12*$B300))-'Business Case'!F15*$F300</f>
        <v>663482216.616186</v>
      </c>
      <c r="M300" s="53" t="n">
        <f aca="false">(('Business Case'!G11*$C300*'Business Case'!G12*$B300)-'Business Case'!G11*$C300*'Business Case'!G13*$D300-'Business Case'!G14*$E300)-MAX(0,(('Business Case'!G11*$C300*'Business Case'!G12*$B300)-'Business Case'!G11*$C300*'Business Case'!G13*$D300-'Business Case'!G14*$E300))*'Business Case'!$B$7-'Business Case'!$B$8*(('Business Case'!G11*$C300*'Business Case'!G12*$B300)-('Business Case'!F11*$C300*'Business Case'!F12*$B300))-'Business Case'!G15*$F300+'Business Case'!$B$8*('Business Case'!G11*$C300*'Business Case'!G12*$B300)</f>
        <v>830234037.25195</v>
      </c>
      <c r="N300" s="53" t="n">
        <f aca="false">IF(COUNT('Business Case'!B11:G11)=0,"",H300+NPV(G300,I300:M300))</f>
        <v>-639976370.933142</v>
      </c>
      <c r="P300" s="54" t="n">
        <f aca="true">RAND()</f>
        <v>0.652037807334405</v>
      </c>
      <c r="Q300" s="54" t="n">
        <f aca="true">RAND()</f>
        <v>0.0870184979389623</v>
      </c>
      <c r="R300" s="54" t="n">
        <f aca="true">RAND()</f>
        <v>0.596172647295277</v>
      </c>
      <c r="S300" s="54" t="n">
        <f aca="true">RAND()</f>
        <v>0.246060339092214</v>
      </c>
      <c r="T300" s="54" t="n">
        <f aca="true">RAND()</f>
        <v>0.736238489536223</v>
      </c>
      <c r="U300" s="54" t="n">
        <f aca="true">RAND()</f>
        <v>0.426874833360033</v>
      </c>
    </row>
    <row r="301" customFormat="false" ht="15" hidden="false" customHeight="false" outlineLevel="0" collapsed="false">
      <c r="A301" s="50" t="n">
        <v>221</v>
      </c>
      <c r="B301" s="51" t="n">
        <f aca="false">1+IF($G$6=$E$6,$F$6,IF(P301&lt;($F$6-$E$6)/($G$6-$E$6),$E$6+SQRT(P301*($G$6-$E$6)*($F$6-$E$6)),$G$6-SQRT((1-P301)*($G$6-$E$6)*($G$6-$F$6))))</f>
        <v>0.991401976865544</v>
      </c>
      <c r="C301" s="51" t="n">
        <f aca="false">1+IF($G$7=$E$7,$F$7,IF(Q301&lt;($F$7-$E$7)/($G$7-$E$7),$E$7+SQRT(Q301*($G$7-$E$7)*($F$7-$E$7)),$G$7-SQRT((1-Q301)*($G$7-$E$7)*($G$7-$F$7))))</f>
        <v>1.06568579516566</v>
      </c>
      <c r="D301" s="51" t="n">
        <f aca="false">1+IF($G$8=$E$8,$F$8,IF(R301&lt;($F$8-$E$8)/($G$8-$E$8),$E$8+SQRT(R301*($G$8-$E$8)*($F$8-$E$8)),$G$8-SQRT((1-R301)*($G$8-$E$8)*($G$8-$F$8))))</f>
        <v>1.01834580374039</v>
      </c>
      <c r="E301" s="51" t="n">
        <f aca="false">1+IF($G$9=$E$9,$F$9,IF(S301&lt;($F$9-$E$9)/($G$9-$E$9),$E$9+SQRT(S301*($G$9-$E$9)*($F$9-$E$9)),$G$9-SQRT((1-S301)*($G$9-$E$9)*($G$9-$F$9))))</f>
        <v>1.03204456025196</v>
      </c>
      <c r="F301" s="51" t="n">
        <f aca="false">1+IF($G$10=$E$10,$F$10,IF(T301&lt;($F$10-$E$10)/($G$10-$E$10),$E$10+SQRT(T301*($G$10-$E$10)*($F$10-$E$10)),$G$10-SQRT((1-T301)*($G$10-$E$10)*($G$10-$F$10))))</f>
        <v>0.988255323740053</v>
      </c>
      <c r="G301" s="52" t="n">
        <f aca="false">IF($G$11=$E$11,$F$11,IF(U301&lt;($F$11-$E$11)/($G$11-$E$11),$E$11+SQRT(U301*($G$11-$E$11)*($F$11-$E$11)),$G$11-SQRT((1-U301)*($G$11-$E$11)*($G$11-$F$11))))</f>
        <v>0.093025004665435</v>
      </c>
      <c r="H301" s="53" t="n">
        <f aca="false">(('Business Case'!B11*$C301*'Business Case'!B12*$B301)-'Business Case'!B11*$C301*'Business Case'!B13*$D301-'Business Case'!B14*$E301)-MAX(0,(('Business Case'!B11*$C301*'Business Case'!B12*$B301)-'Business Case'!B11*$C301*'Business Case'!B13*$D301-'Business Case'!B14*$E301))*'Business Case'!$B$7-'Business Case'!$B$8*('Business Case'!B11*$C301*'Business Case'!B12*$B301)-'Business Case'!B15*$F301</f>
        <v>-1976510647.48011</v>
      </c>
      <c r="I301" s="53" t="n">
        <f aca="false">(('Business Case'!C11*$C301*'Business Case'!C12*$B301)-'Business Case'!C11*$C301*'Business Case'!C13*$D301-'Business Case'!C14*$E301)-MAX(0,(('Business Case'!C11*$C301*'Business Case'!C12*$B301)-'Business Case'!C11*$C301*'Business Case'!C13*$D301-'Business Case'!C14*$E301))*'Business Case'!$B$7-'Business Case'!$B$8*(('Business Case'!C11*$C301*'Business Case'!C12*$B301)-('Business Case'!B11*$C301*'Business Case'!B12*$B301))-'Business Case'!C15*$F301</f>
        <v>9461638.8323523</v>
      </c>
      <c r="J301" s="53" t="n">
        <f aca="false">(('Business Case'!D11*$C301*'Business Case'!D12*$B301)-'Business Case'!D11*$C301*'Business Case'!D13*$D301-'Business Case'!D14*$E301)-MAX(0,(('Business Case'!D11*$C301*'Business Case'!D12*$B301)-'Business Case'!D11*$C301*'Business Case'!D13*$D301-'Business Case'!D14*$E301))*'Business Case'!$B$7-'Business Case'!$B$8*(('Business Case'!D11*$C301*'Business Case'!D12*$B301)-('Business Case'!C11*$C301*'Business Case'!C12*$B301))-'Business Case'!D15*$F301</f>
        <v>319275699.03622</v>
      </c>
      <c r="K301" s="53" t="n">
        <f aca="false">(('Business Case'!E11*$C301*'Business Case'!E12*$B301)-'Business Case'!E11*$C301*'Business Case'!E13*$D301-'Business Case'!E14*$E301)-MAX(0,(('Business Case'!E11*$C301*'Business Case'!E12*$B301)-'Business Case'!E11*$C301*'Business Case'!E13*$D301-'Business Case'!E14*$E301))*'Business Case'!$B$7-'Business Case'!$B$8*(('Business Case'!E11*$C301*'Business Case'!E12*$B301)-('Business Case'!D11*$C301*'Business Case'!D12*$B301))-'Business Case'!E15*$F301</f>
        <v>678502525.42709</v>
      </c>
      <c r="L301" s="53" t="n">
        <f aca="false">(('Business Case'!F11*$C301*'Business Case'!F12*$B301)-'Business Case'!F11*$C301*'Business Case'!F13*$D301-'Business Case'!F14*$E301)-MAX(0,(('Business Case'!F11*$C301*'Business Case'!F12*$B301)-'Business Case'!F11*$C301*'Business Case'!F13*$D301-'Business Case'!F14*$E301))*'Business Case'!$B$7-'Business Case'!$B$8*(('Business Case'!F11*$C301*'Business Case'!F12*$B301)-('Business Case'!E11*$C301*'Business Case'!E12*$B301))-'Business Case'!F15*$F301</f>
        <v>818287313.848165</v>
      </c>
      <c r="M301" s="53" t="n">
        <f aca="false">(('Business Case'!G11*$C301*'Business Case'!G12*$B301)-'Business Case'!G11*$C301*'Business Case'!G13*$D301-'Business Case'!G14*$E301)-MAX(0,(('Business Case'!G11*$C301*'Business Case'!G12*$B301)-'Business Case'!G11*$C301*'Business Case'!G13*$D301-'Business Case'!G14*$E301))*'Business Case'!$B$7-'Business Case'!$B$8*(('Business Case'!G11*$C301*'Business Case'!G12*$B301)-('Business Case'!F11*$C301*'Business Case'!F12*$B301))-'Business Case'!G15*$F301+'Business Case'!$B$8*('Business Case'!G11*$C301*'Business Case'!G12*$B301)</f>
        <v>1019111206.45699</v>
      </c>
      <c r="N301" s="53" t="n">
        <f aca="false">IF(COUNT('Business Case'!B11:G11)=0,"",H301+NPV(G301,I301:M301))</f>
        <v>45520868.4440513</v>
      </c>
      <c r="P301" s="54" t="n">
        <f aca="true">RAND()</f>
        <v>0.531066906282048</v>
      </c>
      <c r="Q301" s="54" t="n">
        <f aca="true">RAND()</f>
        <v>0.864592664060057</v>
      </c>
      <c r="R301" s="54" t="n">
        <f aca="true">RAND()</f>
        <v>0.63449616188278</v>
      </c>
      <c r="S301" s="54" t="n">
        <f aca="true">RAND()</f>
        <v>0.692137213910058</v>
      </c>
      <c r="T301" s="54" t="n">
        <f aca="true">RAND()</f>
        <v>0.1170775835565</v>
      </c>
      <c r="U301" s="54" t="n">
        <f aca="true">RAND()</f>
        <v>0.0305021774196777</v>
      </c>
    </row>
    <row r="302" customFormat="false" ht="15" hidden="false" customHeight="false" outlineLevel="0" collapsed="false">
      <c r="A302" s="50" t="n">
        <v>222</v>
      </c>
      <c r="B302" s="51" t="n">
        <f aca="false">1+IF($G$6=$E$6,$F$6,IF(P302&lt;($F$6-$E$6)/($G$6-$E$6),$E$6+SQRT(P302*($G$6-$E$6)*($F$6-$E$6)),$G$6-SQRT((1-P302)*($G$6-$E$6)*($G$6-$F$6))))</f>
        <v>0.997961880688047</v>
      </c>
      <c r="C302" s="51" t="n">
        <f aca="false">1+IF($G$7=$E$7,$F$7,IF(Q302&lt;($F$7-$E$7)/($G$7-$E$7),$E$7+SQRT(Q302*($G$7-$E$7)*($F$7-$E$7)),$G$7-SQRT((1-Q302)*($G$7-$E$7)*($G$7-$F$7))))</f>
        <v>0.988345909899517</v>
      </c>
      <c r="D302" s="51" t="n">
        <f aca="false">1+IF($G$8=$E$8,$F$8,IF(R302&lt;($F$8-$E$8)/($G$8-$E$8),$E$8+SQRT(R302*($G$8-$E$8)*($F$8-$E$8)),$G$8-SQRT((1-R302)*($G$8-$E$8)*($G$8-$F$8))))</f>
        <v>0.990698910738683</v>
      </c>
      <c r="E302" s="51" t="n">
        <f aca="false">1+IF($G$9=$E$9,$F$9,IF(S302&lt;($F$9-$E$9)/($G$9-$E$9),$E$9+SQRT(S302*($G$9-$E$9)*($F$9-$E$9)),$G$9-SQRT((1-S302)*($G$9-$E$9)*($G$9-$F$9))))</f>
        <v>1.01500050838686</v>
      </c>
      <c r="F302" s="51" t="n">
        <f aca="false">1+IF($G$10=$E$10,$F$10,IF(T302&lt;($F$10-$E$10)/($G$10-$E$10),$E$10+SQRT(T302*($G$10-$E$10)*($F$10-$E$10)),$G$10-SQRT((1-T302)*($G$10-$E$10)*($G$10-$F$10))))</f>
        <v>0.953106391173837</v>
      </c>
      <c r="G302" s="52" t="n">
        <f aca="false">IF($G$11=$E$11,$F$11,IF(U302&lt;($F$11-$E$11)/($G$11-$E$11),$E$11+SQRT(U302*($G$11-$E$11)*($F$11-$E$11)),$G$11-SQRT((1-U302)*($G$11-$E$11)*($G$11-$F$11))))</f>
        <v>0.0973956495514039</v>
      </c>
      <c r="H302" s="53" t="n">
        <f aca="false">(('Business Case'!B11*$C302*'Business Case'!B12*$B302)-'Business Case'!B11*$C302*'Business Case'!B13*$D302-'Business Case'!B14*$E302)-MAX(0,(('Business Case'!B11*$C302*'Business Case'!B12*$B302)-'Business Case'!B11*$C302*'Business Case'!B13*$D302-'Business Case'!B14*$E302))*'Business Case'!$B$7-'Business Case'!$B$8*('Business Case'!B11*$C302*'Business Case'!B12*$B302)-'Business Case'!B15*$F302</f>
        <v>-1906212782.34767</v>
      </c>
      <c r="I302" s="53" t="n">
        <f aca="false">(('Business Case'!C11*$C302*'Business Case'!C12*$B302)-'Business Case'!C11*$C302*'Business Case'!C13*$D302-'Business Case'!C14*$E302)-MAX(0,(('Business Case'!C11*$C302*'Business Case'!C12*$B302)-'Business Case'!C11*$C302*'Business Case'!C13*$D302-'Business Case'!C14*$E302))*'Business Case'!$B$7-'Business Case'!$B$8*(('Business Case'!C11*$C302*'Business Case'!C12*$B302)-('Business Case'!B11*$C302*'Business Case'!B12*$B302))-'Business Case'!C15*$F302</f>
        <v>15853296.4750834</v>
      </c>
      <c r="J302" s="53" t="n">
        <f aca="false">(('Business Case'!D11*$C302*'Business Case'!D12*$B302)-'Business Case'!D11*$C302*'Business Case'!D13*$D302-'Business Case'!D14*$E302)-MAX(0,(('Business Case'!D11*$C302*'Business Case'!D12*$B302)-'Business Case'!D11*$C302*'Business Case'!D13*$D302-'Business Case'!D14*$E302))*'Business Case'!$B$7-'Business Case'!$B$8*(('Business Case'!D11*$C302*'Business Case'!D12*$B302)-('Business Case'!C11*$C302*'Business Case'!C12*$B302))-'Business Case'!D15*$F302</f>
        <v>322481731.54999</v>
      </c>
      <c r="K302" s="53" t="n">
        <f aca="false">(('Business Case'!E11*$C302*'Business Case'!E12*$B302)-'Business Case'!E11*$C302*'Business Case'!E13*$D302-'Business Case'!E14*$E302)-MAX(0,(('Business Case'!E11*$C302*'Business Case'!E12*$B302)-'Business Case'!E11*$C302*'Business Case'!E13*$D302-'Business Case'!E14*$E302))*'Business Case'!$B$7-'Business Case'!$B$8*(('Business Case'!E11*$C302*'Business Case'!E12*$B302)-('Business Case'!D11*$C302*'Business Case'!D12*$B302))-'Business Case'!E15*$F302</f>
        <v>676765486.183588</v>
      </c>
      <c r="L302" s="53" t="n">
        <f aca="false">(('Business Case'!F11*$C302*'Business Case'!F12*$B302)-'Business Case'!F11*$C302*'Business Case'!F13*$D302-'Business Case'!F14*$E302)-MAX(0,(('Business Case'!F11*$C302*'Business Case'!F12*$B302)-'Business Case'!F11*$C302*'Business Case'!F13*$D302-'Business Case'!F14*$E302))*'Business Case'!$B$7-'Business Case'!$B$8*(('Business Case'!F11*$C302*'Business Case'!F12*$B302)-('Business Case'!E11*$C302*'Business Case'!E12*$B302))-'Business Case'!F15*$F302</f>
        <v>813062582.668443</v>
      </c>
      <c r="M302" s="53" t="n">
        <f aca="false">(('Business Case'!G11*$C302*'Business Case'!G12*$B302)-'Business Case'!G11*$C302*'Business Case'!G13*$D302-'Business Case'!G14*$E302)-MAX(0,(('Business Case'!G11*$C302*'Business Case'!G12*$B302)-'Business Case'!G11*$C302*'Business Case'!G13*$D302-'Business Case'!G14*$E302))*'Business Case'!$B$7-'Business Case'!$B$8*(('Business Case'!G11*$C302*'Business Case'!G12*$B302)-('Business Case'!F11*$C302*'Business Case'!F12*$B302))-'Business Case'!G15*$F302+'Business Case'!$B$8*('Business Case'!G11*$C302*'Business Case'!G12*$B302)</f>
        <v>1000544482.36448</v>
      </c>
      <c r="N302" s="53" t="n">
        <f aca="false">IF(COUNT('Business Case'!B11:G11)=0,"",H302+NPV(G302,I302:M302))</f>
        <v>77395960.3615928</v>
      </c>
      <c r="P302" s="54" t="n">
        <f aca="true">RAND()</f>
        <v>0.633130712543457</v>
      </c>
      <c r="Q302" s="54" t="n">
        <f aca="true">RAND()</f>
        <v>0.506774025369669</v>
      </c>
      <c r="R302" s="54" t="n">
        <f aca="true">RAND()</f>
        <v>0.254830974663895</v>
      </c>
      <c r="S302" s="54" t="n">
        <f aca="true">RAND()</f>
        <v>0.518339095033833</v>
      </c>
      <c r="T302" s="54" t="n">
        <f aca="true">RAND()</f>
        <v>0.000771973289991149</v>
      </c>
      <c r="U302" s="54" t="n">
        <f aca="true">RAND()</f>
        <v>0.182318774290602</v>
      </c>
    </row>
    <row r="303" customFormat="false" ht="15" hidden="false" customHeight="false" outlineLevel="0" collapsed="false">
      <c r="A303" s="50" t="n">
        <v>223</v>
      </c>
      <c r="B303" s="51" t="n">
        <f aca="false">1+IF($G$6=$E$6,$F$6,IF(P303&lt;($F$6-$E$6)/($G$6-$E$6),$E$6+SQRT(P303*($G$6-$E$6)*($F$6-$E$6)),$G$6-SQRT((1-P303)*($G$6-$E$6)*($G$6-$F$6))))</f>
        <v>0.955308665490647</v>
      </c>
      <c r="C303" s="51" t="n">
        <f aca="false">1+IF($G$7=$E$7,$F$7,IF(Q303&lt;($F$7-$E$7)/($G$7-$E$7),$E$7+SQRT(Q303*($G$7-$E$7)*($F$7-$E$7)),$G$7-SQRT((1-Q303)*($G$7-$E$7)*($G$7-$F$7))))</f>
        <v>0.972387499629116</v>
      </c>
      <c r="D303" s="51" t="n">
        <f aca="false">1+IF($G$8=$E$8,$F$8,IF(R303&lt;($F$8-$E$8)/($G$8-$E$8),$E$8+SQRT(R303*($G$8-$E$8)*($F$8-$E$8)),$G$8-SQRT((1-R303)*($G$8-$E$8)*($G$8-$F$8))))</f>
        <v>1.02882023571163</v>
      </c>
      <c r="E303" s="51" t="n">
        <f aca="false">1+IF($G$9=$E$9,$F$9,IF(S303&lt;($F$9-$E$9)/($G$9-$E$9),$E$9+SQRT(S303*($G$9-$E$9)*($F$9-$E$9)),$G$9-SQRT((1-S303)*($G$9-$E$9)*($G$9-$F$9))))</f>
        <v>0.986552347322126</v>
      </c>
      <c r="F303" s="51" t="n">
        <f aca="false">1+IF($G$10=$E$10,$F$10,IF(T303&lt;($F$10-$E$10)/($G$10-$E$10),$E$10+SQRT(T303*($G$10-$E$10)*($F$10-$E$10)),$G$10-SQRT((1-T303)*($G$10-$E$10)*($G$10-$F$10))))</f>
        <v>1.00159523877348</v>
      </c>
      <c r="G303" s="52" t="n">
        <f aca="false">IF($G$11=$E$11,$F$11,IF(U303&lt;($F$11-$E$11)/($G$11-$E$11),$E$11+SQRT(U303*($G$11-$E$11)*($F$11-$E$11)),$G$11-SQRT((1-U303)*($G$11-$E$11)*($G$11-$F$11))))</f>
        <v>0.105079309567248</v>
      </c>
      <c r="H303" s="53" t="n">
        <f aca="false">(('Business Case'!B11*$C303*'Business Case'!B12*$B303)-'Business Case'!B11*$C303*'Business Case'!B13*$D303-'Business Case'!B14*$E303)-MAX(0,(('Business Case'!B11*$C303*'Business Case'!B12*$B303)-'Business Case'!B11*$C303*'Business Case'!B13*$D303-'Business Case'!B14*$E303))*'Business Case'!$B$7-'Business Case'!$B$8*('Business Case'!B11*$C303*'Business Case'!B12*$B303)-'Business Case'!B15*$F303</f>
        <v>-2003190477.54696</v>
      </c>
      <c r="I303" s="53" t="n">
        <f aca="false">(('Business Case'!C11*$C303*'Business Case'!C12*$B303)-'Business Case'!C11*$C303*'Business Case'!C13*$D303-'Business Case'!C14*$E303)-MAX(0,(('Business Case'!C11*$C303*'Business Case'!C12*$B303)-'Business Case'!C11*$C303*'Business Case'!C13*$D303-'Business Case'!C14*$E303))*'Business Case'!$B$7-'Business Case'!$B$8*(('Business Case'!C11*$C303*'Business Case'!C12*$B303)-('Business Case'!B11*$C303*'Business Case'!B12*$B303))-'Business Case'!C15*$F303</f>
        <v>-39873167.4925159</v>
      </c>
      <c r="J303" s="53" t="n">
        <f aca="false">(('Business Case'!D11*$C303*'Business Case'!D12*$B303)-'Business Case'!D11*$C303*'Business Case'!D13*$D303-'Business Case'!D14*$E303)-MAX(0,(('Business Case'!D11*$C303*'Business Case'!D12*$B303)-'Business Case'!D11*$C303*'Business Case'!D13*$D303-'Business Case'!D14*$E303))*'Business Case'!$B$7-'Business Case'!$B$8*(('Business Case'!D11*$C303*'Business Case'!D12*$B303)-('Business Case'!C11*$C303*'Business Case'!C12*$B303))-'Business Case'!D15*$F303</f>
        <v>208856674.488529</v>
      </c>
      <c r="K303" s="53" t="n">
        <f aca="false">(('Business Case'!E11*$C303*'Business Case'!E12*$B303)-'Business Case'!E11*$C303*'Business Case'!E13*$D303-'Business Case'!E14*$E303)-MAX(0,(('Business Case'!E11*$C303*'Business Case'!E12*$B303)-'Business Case'!E11*$C303*'Business Case'!E13*$D303-'Business Case'!E14*$E303))*'Business Case'!$B$7-'Business Case'!$B$8*(('Business Case'!E11*$C303*'Business Case'!E12*$B303)-('Business Case'!D11*$C303*'Business Case'!D12*$B303))-'Business Case'!E15*$F303</f>
        <v>507666278.408249</v>
      </c>
      <c r="L303" s="53" t="n">
        <f aca="false">(('Business Case'!F11*$C303*'Business Case'!F12*$B303)-'Business Case'!F11*$C303*'Business Case'!F13*$D303-'Business Case'!F14*$E303)-MAX(0,(('Business Case'!F11*$C303*'Business Case'!F12*$B303)-'Business Case'!F11*$C303*'Business Case'!F13*$D303-'Business Case'!F14*$E303))*'Business Case'!$B$7-'Business Case'!$B$8*(('Business Case'!F11*$C303*'Business Case'!F12*$B303)-('Business Case'!E11*$C303*'Business Case'!E12*$B303))-'Business Case'!F15*$F303</f>
        <v>622680053.606602</v>
      </c>
      <c r="M303" s="53" t="n">
        <f aca="false">(('Business Case'!G11*$C303*'Business Case'!G12*$B303)-'Business Case'!G11*$C303*'Business Case'!G13*$D303-'Business Case'!G14*$E303)-MAX(0,(('Business Case'!G11*$C303*'Business Case'!G12*$B303)-'Business Case'!G11*$C303*'Business Case'!G13*$D303-'Business Case'!G14*$E303))*'Business Case'!$B$7-'Business Case'!$B$8*(('Business Case'!G11*$C303*'Business Case'!G12*$B303)-('Business Case'!F11*$C303*'Business Case'!F12*$B303))-'Business Case'!G15*$F303+'Business Case'!$B$8*('Business Case'!G11*$C303*'Business Case'!G12*$B303)</f>
        <v>799251106.898961</v>
      </c>
      <c r="N303" s="53" t="n">
        <f aca="false">IF(COUNT('Business Case'!B11:G11)=0,"",H303+NPV(G303,I303:M303))</f>
        <v>-589559890.970954</v>
      </c>
      <c r="P303" s="54" t="n">
        <f aca="true">RAND()</f>
        <v>0.129864776951081</v>
      </c>
      <c r="Q303" s="54" t="n">
        <f aca="true">RAND()</f>
        <v>0.424535000405407</v>
      </c>
      <c r="R303" s="54" t="n">
        <f aca="true">RAND()</f>
        <v>0.748137666094911</v>
      </c>
      <c r="S303" s="54" t="n">
        <f aca="true">RAND()</f>
        <v>0.17814321263431</v>
      </c>
      <c r="T303" s="54" t="n">
        <f aca="true">RAND()</f>
        <v>0.212711014452933</v>
      </c>
      <c r="U303" s="54" t="n">
        <f aca="true">RAND()</f>
        <v>0.628954995016629</v>
      </c>
    </row>
    <row r="304" customFormat="false" ht="15" hidden="false" customHeight="false" outlineLevel="0" collapsed="false">
      <c r="A304" s="50" t="n">
        <v>224</v>
      </c>
      <c r="B304" s="51" t="n">
        <f aca="false">1+IF($G$6=$E$6,$F$6,IF(P304&lt;($F$6-$E$6)/($G$6-$E$6),$E$6+SQRT(P304*($G$6-$E$6)*($F$6-$E$6)),$G$6-SQRT((1-P304)*($G$6-$E$6)*($G$6-$F$6))))</f>
        <v>1.01867352089676</v>
      </c>
      <c r="C304" s="51" t="n">
        <f aca="false">1+IF($G$7=$E$7,$F$7,IF(Q304&lt;($F$7-$E$7)/($G$7-$E$7),$E$7+SQRT(Q304*($G$7-$E$7)*($F$7-$E$7)),$G$7-SQRT((1-Q304)*($G$7-$E$7)*($G$7-$F$7))))</f>
        <v>0.869190923379674</v>
      </c>
      <c r="D304" s="51" t="n">
        <f aca="false">1+IF($G$8=$E$8,$F$8,IF(R304&lt;($F$8-$E$8)/($G$8-$E$8),$E$8+SQRT(R304*($G$8-$E$8)*($F$8-$E$8)),$G$8-SQRT((1-R304)*($G$8-$E$8)*($G$8-$F$8))))</f>
        <v>0.991434613651557</v>
      </c>
      <c r="E304" s="51" t="n">
        <f aca="false">1+IF($G$9=$E$9,$F$9,IF(S304&lt;($F$9-$E$9)/($G$9-$E$9),$E$9+SQRT(S304*($G$9-$E$9)*($F$9-$E$9)),$G$9-SQRT((1-S304)*($G$9-$E$9)*($G$9-$F$9))))</f>
        <v>1.00348760793945</v>
      </c>
      <c r="F304" s="51" t="n">
        <f aca="false">1+IF($G$10=$E$10,$F$10,IF(T304&lt;($F$10-$E$10)/($G$10-$E$10),$E$10+SQRT(T304*($G$10-$E$10)*($F$10-$E$10)),$G$10-SQRT((1-T304)*($G$10-$E$10)*($G$10-$F$10))))</f>
        <v>1.08346686949138</v>
      </c>
      <c r="G304" s="52" t="n">
        <f aca="false">IF($G$11=$E$11,$F$11,IF(U304&lt;($F$11-$E$11)/($G$11-$E$11),$E$11+SQRT(U304*($G$11-$E$11)*($F$11-$E$11)),$G$11-SQRT((1-U304)*($G$11-$E$11)*($G$11-$F$11))))</f>
        <v>0.106486503410915</v>
      </c>
      <c r="H304" s="53" t="n">
        <f aca="false">(('Business Case'!B11*$C304*'Business Case'!B12*$B304)-'Business Case'!B11*$C304*'Business Case'!B13*$D304-'Business Case'!B14*$E304)-MAX(0,(('Business Case'!B11*$C304*'Business Case'!B12*$B304)-'Business Case'!B11*$C304*'Business Case'!B13*$D304-'Business Case'!B14*$E304))*'Business Case'!$B$7-'Business Case'!$B$8*('Business Case'!B11*$C304*'Business Case'!B12*$B304)-'Business Case'!B15*$F304</f>
        <v>-2166933738.98277</v>
      </c>
      <c r="I304" s="53" t="n">
        <f aca="false">(('Business Case'!C11*$C304*'Business Case'!C12*$B304)-'Business Case'!C11*$C304*'Business Case'!C13*$D304-'Business Case'!C14*$E304)-MAX(0,(('Business Case'!C11*$C304*'Business Case'!C12*$B304)-'Business Case'!C11*$C304*'Business Case'!C13*$D304-'Business Case'!C14*$E304))*'Business Case'!$B$7-'Business Case'!$B$8*(('Business Case'!C11*$C304*'Business Case'!C12*$B304)-('Business Case'!B11*$C304*'Business Case'!B12*$B304))-'Business Case'!C15*$F304</f>
        <v>-12863698.6128296</v>
      </c>
      <c r="J304" s="53" t="n">
        <f aca="false">(('Business Case'!D11*$C304*'Business Case'!D12*$B304)-'Business Case'!D11*$C304*'Business Case'!D13*$D304-'Business Case'!D14*$E304)-MAX(0,(('Business Case'!D11*$C304*'Business Case'!D12*$B304)-'Business Case'!D11*$C304*'Business Case'!D13*$D304-'Business Case'!D14*$E304))*'Business Case'!$B$7-'Business Case'!$B$8*(('Business Case'!D11*$C304*'Business Case'!D12*$B304)-('Business Case'!C11*$C304*'Business Case'!C12*$B304))-'Business Case'!D15*$F304</f>
        <v>271215492.556984</v>
      </c>
      <c r="K304" s="53" t="n">
        <f aca="false">(('Business Case'!E11*$C304*'Business Case'!E12*$B304)-'Business Case'!E11*$C304*'Business Case'!E13*$D304-'Business Case'!E14*$E304)-MAX(0,(('Business Case'!E11*$C304*'Business Case'!E12*$B304)-'Business Case'!E11*$C304*'Business Case'!E13*$D304-'Business Case'!E14*$E304))*'Business Case'!$B$7-'Business Case'!$B$8*(('Business Case'!E11*$C304*'Business Case'!E12*$B304)-('Business Case'!D11*$C304*'Business Case'!D12*$B304))-'Business Case'!E15*$F304</f>
        <v>609468027.201367</v>
      </c>
      <c r="L304" s="53" t="n">
        <f aca="false">(('Business Case'!F11*$C304*'Business Case'!F12*$B304)-'Business Case'!F11*$C304*'Business Case'!F13*$D304-'Business Case'!F14*$E304)-MAX(0,(('Business Case'!F11*$C304*'Business Case'!F12*$B304)-'Business Case'!F11*$C304*'Business Case'!F13*$D304-'Business Case'!F14*$E304))*'Business Case'!$B$7-'Business Case'!$B$8*(('Business Case'!F11*$C304*'Business Case'!F12*$B304)-('Business Case'!E11*$C304*'Business Case'!E12*$B304))-'Business Case'!F15*$F304</f>
        <v>734761267.580982</v>
      </c>
      <c r="M304" s="53" t="n">
        <f aca="false">(('Business Case'!G11*$C304*'Business Case'!G12*$B304)-'Business Case'!G11*$C304*'Business Case'!G13*$D304-'Business Case'!G14*$E304)-MAX(0,(('Business Case'!G11*$C304*'Business Case'!G12*$B304)-'Business Case'!G11*$C304*'Business Case'!G13*$D304-'Business Case'!G14*$E304))*'Business Case'!$B$7-'Business Case'!$B$8*(('Business Case'!G11*$C304*'Business Case'!G12*$B304)-('Business Case'!F11*$C304*'Business Case'!F12*$B304))-'Business Case'!G15*$F304+'Business Case'!$B$8*('Business Case'!G11*$C304*'Business Case'!G12*$B304)</f>
        <v>903062239.19087</v>
      </c>
      <c r="N304" s="53" t="n">
        <f aca="false">IF(COUNT('Business Case'!B11:G11)=0,"",H304+NPV(G304,I304:M304))</f>
        <v>-472464826.910056</v>
      </c>
      <c r="P304" s="54" t="n">
        <f aca="true">RAND()</f>
        <v>0.905246101887274</v>
      </c>
      <c r="Q304" s="54" t="n">
        <f aca="true">RAND()</f>
        <v>0.0683911982590278</v>
      </c>
      <c r="R304" s="54" t="n">
        <f aca="true">RAND()</f>
        <v>0.26412726283905</v>
      </c>
      <c r="S304" s="54" t="n">
        <f aca="true">RAND()</f>
        <v>0.379023878583403</v>
      </c>
      <c r="T304" s="54" t="n">
        <f aca="true">RAND()</f>
        <v>0.728400589877233</v>
      </c>
      <c r="U304" s="54" t="n">
        <f aca="true">RAND()</f>
        <v>0.69564234989463</v>
      </c>
    </row>
    <row r="305" customFormat="false" ht="15" hidden="false" customHeight="false" outlineLevel="0" collapsed="false">
      <c r="A305" s="50" t="n">
        <v>225</v>
      </c>
      <c r="B305" s="51" t="n">
        <f aca="false">1+IF($G$6=$E$6,$F$6,IF(P305&lt;($F$6-$E$6)/($G$6-$E$6),$E$6+SQRT(P305*($G$6-$E$6)*($F$6-$E$6)),$G$6-SQRT((1-P305)*($G$6-$E$6)*($G$6-$F$6))))</f>
        <v>0.989240057587058</v>
      </c>
      <c r="C305" s="51" t="n">
        <f aca="false">1+IF($G$7=$E$7,$F$7,IF(Q305&lt;($F$7-$E$7)/($G$7-$E$7),$E$7+SQRT(Q305*($G$7-$E$7)*($F$7-$E$7)),$G$7-SQRT((1-Q305)*($G$7-$E$7)*($G$7-$F$7))))</f>
        <v>0.956323160713596</v>
      </c>
      <c r="D305" s="51" t="n">
        <f aca="false">1+IF($G$8=$E$8,$F$8,IF(R305&lt;($F$8-$E$8)/($G$8-$E$8),$E$8+SQRT(R305*($G$8-$E$8)*($F$8-$E$8)),$G$8-SQRT((1-R305)*($G$8-$E$8)*($G$8-$F$8))))</f>
        <v>1.00232257712244</v>
      </c>
      <c r="E305" s="51" t="n">
        <f aca="false">1+IF($G$9=$E$9,$F$9,IF(S305&lt;($F$9-$E$9)/($G$9-$E$9),$E$9+SQRT(S305*($G$9-$E$9)*($F$9-$E$9)),$G$9-SQRT((1-S305)*($G$9-$E$9)*($G$9-$F$9))))</f>
        <v>0.980945379431324</v>
      </c>
      <c r="F305" s="51" t="n">
        <f aca="false">1+IF($G$10=$E$10,$F$10,IF(T305&lt;($F$10-$E$10)/($G$10-$E$10),$E$10+SQRT(T305*($G$10-$E$10)*($F$10-$E$10)),$G$10-SQRT((1-T305)*($G$10-$E$10)*($G$10-$F$10))))</f>
        <v>1.00181383473534</v>
      </c>
      <c r="G305" s="52" t="n">
        <f aca="false">IF($G$11=$E$11,$F$11,IF(U305&lt;($F$11-$E$11)/($G$11-$E$11),$E$11+SQRT(U305*($G$11-$E$11)*($F$11-$E$11)),$G$11-SQRT((1-U305)*($G$11-$E$11)*($G$11-$F$11))))</f>
        <v>0.10161673238864</v>
      </c>
      <c r="H305" s="53" t="n">
        <f aca="false">(('Business Case'!B11*$C305*'Business Case'!B12*$B305)-'Business Case'!B11*$C305*'Business Case'!B13*$D305-'Business Case'!B14*$E305)-MAX(0,(('Business Case'!B11*$C305*'Business Case'!B12*$B305)-'Business Case'!B11*$C305*'Business Case'!B13*$D305-'Business Case'!B14*$E305))*'Business Case'!$B$7-'Business Case'!$B$8*('Business Case'!B11*$C305*'Business Case'!B12*$B305)-'Business Case'!B15*$F305</f>
        <v>-2003627669.47068</v>
      </c>
      <c r="I305" s="53" t="n">
        <f aca="false">(('Business Case'!C11*$C305*'Business Case'!C12*$B305)-'Business Case'!C11*$C305*'Business Case'!C13*$D305-'Business Case'!C14*$E305)-MAX(0,(('Business Case'!C11*$C305*'Business Case'!C12*$B305)-'Business Case'!C11*$C305*'Business Case'!C13*$D305-'Business Case'!C14*$E305))*'Business Case'!$B$7-'Business Case'!$B$8*(('Business Case'!C11*$C305*'Business Case'!C12*$B305)-('Business Case'!B11*$C305*'Business Case'!B12*$B305))-'Business Case'!C15*$F305</f>
        <v>-4542884.26398994</v>
      </c>
      <c r="J305" s="53" t="n">
        <f aca="false">(('Business Case'!D11*$C305*'Business Case'!D12*$B305)-'Business Case'!D11*$C305*'Business Case'!D13*$D305-'Business Case'!D14*$E305)-MAX(0,(('Business Case'!D11*$C305*'Business Case'!D12*$B305)-'Business Case'!D11*$C305*'Business Case'!D13*$D305-'Business Case'!D14*$E305))*'Business Case'!$B$7-'Business Case'!$B$8*(('Business Case'!D11*$C305*'Business Case'!D12*$B305)-('Business Case'!C11*$C305*'Business Case'!C12*$B305))-'Business Case'!D15*$F305</f>
        <v>279628407.878076</v>
      </c>
      <c r="K305" s="53" t="n">
        <f aca="false">(('Business Case'!E11*$C305*'Business Case'!E12*$B305)-'Business Case'!E11*$C305*'Business Case'!E13*$D305-'Business Case'!E14*$E305)-MAX(0,(('Business Case'!E11*$C305*'Business Case'!E12*$B305)-'Business Case'!E11*$C305*'Business Case'!E13*$D305-'Business Case'!E14*$E305))*'Business Case'!$B$7-'Business Case'!$B$8*(('Business Case'!E11*$C305*'Business Case'!E12*$B305)-('Business Case'!D11*$C305*'Business Case'!D12*$B305))-'Business Case'!E15*$F305</f>
        <v>613890391.756909</v>
      </c>
      <c r="L305" s="53" t="n">
        <f aca="false">(('Business Case'!F11*$C305*'Business Case'!F12*$B305)-'Business Case'!F11*$C305*'Business Case'!F13*$D305-'Business Case'!F14*$E305)-MAX(0,(('Business Case'!F11*$C305*'Business Case'!F12*$B305)-'Business Case'!F11*$C305*'Business Case'!F13*$D305-'Business Case'!F14*$E305))*'Business Case'!$B$7-'Business Case'!$B$8*(('Business Case'!F11*$C305*'Business Case'!F12*$B305)-('Business Case'!E11*$C305*'Business Case'!E12*$B305))-'Business Case'!F15*$F305</f>
        <v>741309062.455856</v>
      </c>
      <c r="M305" s="53" t="n">
        <f aca="false">(('Business Case'!G11*$C305*'Business Case'!G12*$B305)-'Business Case'!G11*$C305*'Business Case'!G13*$D305-'Business Case'!G14*$E305)-MAX(0,(('Business Case'!G11*$C305*'Business Case'!G12*$B305)-'Business Case'!G11*$C305*'Business Case'!G13*$D305-'Business Case'!G14*$E305))*'Business Case'!$B$7-'Business Case'!$B$8*(('Business Case'!G11*$C305*'Business Case'!G12*$B305)-('Business Case'!F11*$C305*'Business Case'!F12*$B305))-'Business Case'!G15*$F305+'Business Case'!$B$8*('Business Case'!G11*$C305*'Business Case'!G12*$B305)</f>
        <v>921131049.039612</v>
      </c>
      <c r="N305" s="53" t="n">
        <f aca="false">IF(COUNT('Business Case'!B11:G11)=0,"",H305+NPV(G305,I305:M305))</f>
        <v>-247010710.638121</v>
      </c>
      <c r="P305" s="54" t="n">
        <f aca="true">RAND()</f>
        <v>0.499394330693661</v>
      </c>
      <c r="Q305" s="54" t="n">
        <f aca="true">RAND()</f>
        <v>0.349099008221268</v>
      </c>
      <c r="R305" s="54" t="n">
        <f aca="true">RAND()</f>
        <v>0.419828651451959</v>
      </c>
      <c r="S305" s="54" t="n">
        <f aca="true">RAND()</f>
        <v>0.12768220108648</v>
      </c>
      <c r="T305" s="54" t="n">
        <f aca="true">RAND()</f>
        <v>0.214444877953759</v>
      </c>
      <c r="U305" s="54" t="n">
        <f aca="true">RAND()</f>
        <v>0.436759119881878</v>
      </c>
    </row>
    <row r="306" customFormat="false" ht="15" hidden="false" customHeight="false" outlineLevel="0" collapsed="false">
      <c r="A306" s="50" t="n">
        <v>226</v>
      </c>
      <c r="B306" s="51" t="n">
        <f aca="false">1+IF($G$6=$E$6,$F$6,IF(P306&lt;($F$6-$E$6)/($G$6-$E$6),$E$6+SQRT(P306*($G$6-$E$6)*($F$6-$E$6)),$G$6-SQRT((1-P306)*($G$6-$E$6)*($G$6-$F$6))))</f>
        <v>1.01107109993717</v>
      </c>
      <c r="C306" s="51" t="n">
        <f aca="false">1+IF($G$7=$E$7,$F$7,IF(Q306&lt;($F$7-$E$7)/($G$7-$E$7),$E$7+SQRT(Q306*($G$7-$E$7)*($F$7-$E$7)),$G$7-SQRT((1-Q306)*($G$7-$E$7)*($G$7-$F$7))))</f>
        <v>1.04030097405867</v>
      </c>
      <c r="D306" s="51" t="n">
        <f aca="false">1+IF($G$8=$E$8,$F$8,IF(R306&lt;($F$8-$E$8)/($G$8-$E$8),$E$8+SQRT(R306*($G$8-$E$8)*($F$8-$E$8)),$G$8-SQRT((1-R306)*($G$8-$E$8)*($G$8-$F$8))))</f>
        <v>1.00458918021098</v>
      </c>
      <c r="E306" s="51" t="n">
        <f aca="false">1+IF($G$9=$E$9,$F$9,IF(S306&lt;($F$9-$E$9)/($G$9-$E$9),$E$9+SQRT(S306*($G$9-$E$9)*($F$9-$E$9)),$G$9-SQRT((1-S306)*($G$9-$E$9)*($G$9-$F$9))))</f>
        <v>1.02906938900955</v>
      </c>
      <c r="F306" s="51" t="n">
        <f aca="false">1+IF($G$10=$E$10,$F$10,IF(T306&lt;($F$10-$E$10)/($G$10-$E$10),$E$10+SQRT(T306*($G$10-$E$10)*($F$10-$E$10)),$G$10-SQRT((1-T306)*($G$10-$E$10)*($G$10-$F$10))))</f>
        <v>1.0370142196294</v>
      </c>
      <c r="G306" s="52" t="n">
        <f aca="false">IF($G$11=$E$11,$F$11,IF(U306&lt;($F$11-$E$11)/($G$11-$E$11),$E$11+SQRT(U306*($G$11-$E$11)*($F$11-$E$11)),$G$11-SQRT((1-U306)*($G$11-$E$11)*($G$11-$F$11))))</f>
        <v>0.100974861028197</v>
      </c>
      <c r="H306" s="53" t="n">
        <f aca="false">(('Business Case'!B11*$C306*'Business Case'!B12*$B306)-'Business Case'!B11*$C306*'Business Case'!B13*$D306-'Business Case'!B14*$E306)-MAX(0,(('Business Case'!B11*$C306*'Business Case'!B12*$B306)-'Business Case'!B11*$C306*'Business Case'!B13*$D306-'Business Case'!B14*$E306))*'Business Case'!$B$7-'Business Case'!$B$8*('Business Case'!B11*$C306*'Business Case'!B12*$B306)-'Business Case'!B15*$F306</f>
        <v>-2074028439.2588</v>
      </c>
      <c r="I306" s="53" t="n">
        <f aca="false">(('Business Case'!C11*$C306*'Business Case'!C12*$B306)-'Business Case'!C11*$C306*'Business Case'!C13*$D306-'Business Case'!C14*$E306)-MAX(0,(('Business Case'!C11*$C306*'Business Case'!C12*$B306)-'Business Case'!C11*$C306*'Business Case'!C13*$D306-'Business Case'!C14*$E306))*'Business Case'!$B$7-'Business Case'!$B$8*(('Business Case'!C11*$C306*'Business Case'!C12*$B306)-('Business Case'!B11*$C306*'Business Case'!B12*$B306))-'Business Case'!C15*$F306</f>
        <v>21958684.0107978</v>
      </c>
      <c r="J306" s="53" t="n">
        <f aca="false">(('Business Case'!D11*$C306*'Business Case'!D12*$B306)-'Business Case'!D11*$C306*'Business Case'!D13*$D306-'Business Case'!D14*$E306)-MAX(0,(('Business Case'!D11*$C306*'Business Case'!D12*$B306)-'Business Case'!D11*$C306*'Business Case'!D13*$D306-'Business Case'!D14*$E306))*'Business Case'!$B$7-'Business Case'!$B$8*(('Business Case'!D11*$C306*'Business Case'!D12*$B306)-('Business Case'!C11*$C306*'Business Case'!C12*$B306))-'Business Case'!D15*$F306</f>
        <v>348478715.187252</v>
      </c>
      <c r="K306" s="53" t="n">
        <f aca="false">(('Business Case'!E11*$C306*'Business Case'!E12*$B306)-'Business Case'!E11*$C306*'Business Case'!E13*$D306-'Business Case'!E14*$E306)-MAX(0,(('Business Case'!E11*$C306*'Business Case'!E12*$B306)-'Business Case'!E11*$C306*'Business Case'!E13*$D306-'Business Case'!E14*$E306))*'Business Case'!$B$7-'Business Case'!$B$8*(('Business Case'!E11*$C306*'Business Case'!E12*$B306)-('Business Case'!D11*$C306*'Business Case'!D12*$B306))-'Business Case'!E15*$F306</f>
        <v>726849457.345175</v>
      </c>
      <c r="L306" s="53" t="n">
        <f aca="false">(('Business Case'!F11*$C306*'Business Case'!F12*$B306)-'Business Case'!F11*$C306*'Business Case'!F13*$D306-'Business Case'!F14*$E306)-MAX(0,(('Business Case'!F11*$C306*'Business Case'!F12*$B306)-'Business Case'!F11*$C306*'Business Case'!F13*$D306-'Business Case'!F14*$E306))*'Business Case'!$B$7-'Business Case'!$B$8*(('Business Case'!F11*$C306*'Business Case'!F12*$B306)-('Business Case'!E11*$C306*'Business Case'!E12*$B306))-'Business Case'!F15*$F306</f>
        <v>872040306.461031</v>
      </c>
      <c r="M306" s="53" t="n">
        <f aca="false">(('Business Case'!G11*$C306*'Business Case'!G12*$B306)-'Business Case'!G11*$C306*'Business Case'!G13*$D306-'Business Case'!G14*$E306)-MAX(0,(('Business Case'!G11*$C306*'Business Case'!G12*$B306)-'Business Case'!G11*$C306*'Business Case'!G13*$D306-'Business Case'!G14*$E306))*'Business Case'!$B$7-'Business Case'!$B$8*(('Business Case'!G11*$C306*'Business Case'!G12*$B306)-('Business Case'!F11*$C306*'Business Case'!F12*$B306))-'Business Case'!G15*$F306+'Business Case'!$B$8*('Business Case'!G11*$C306*'Business Case'!G12*$B306)</f>
        <v>1071969919.44141</v>
      </c>
      <c r="N306" s="53" t="n">
        <f aca="false">IF(COUNT('Business Case'!B11:G11)=0,"",H306+NPV(G306,I306:M306))</f>
        <v>34224767.3372631</v>
      </c>
      <c r="P306" s="54" t="n">
        <f aca="true">RAND()</f>
        <v>0.825649737740538</v>
      </c>
      <c r="Q306" s="54" t="n">
        <f aca="true">RAND()</f>
        <v>0.77078330871473</v>
      </c>
      <c r="R306" s="54" t="n">
        <f aca="true">RAND()</f>
        <v>0.453193101802741</v>
      </c>
      <c r="S306" s="54" t="n">
        <f aca="true">RAND()</f>
        <v>0.664589894968139</v>
      </c>
      <c r="T306" s="54" t="n">
        <f aca="true">RAND()</f>
        <v>0.468712707939717</v>
      </c>
      <c r="U306" s="54" t="n">
        <f aca="true">RAND()</f>
        <v>0.396740145172645</v>
      </c>
    </row>
    <row r="307" customFormat="false" ht="15" hidden="false" customHeight="false" outlineLevel="0" collapsed="false">
      <c r="A307" s="50" t="n">
        <v>227</v>
      </c>
      <c r="B307" s="51" t="n">
        <f aca="false">1+IF($G$6=$E$6,$F$6,IF(P307&lt;($F$6-$E$6)/($G$6-$E$6),$E$6+SQRT(P307*($G$6-$E$6)*($F$6-$E$6)),$G$6-SQRT((1-P307)*($G$6-$E$6)*($G$6-$F$6))))</f>
        <v>0.986407759480612</v>
      </c>
      <c r="C307" s="51" t="n">
        <f aca="false">1+IF($G$7=$E$7,$F$7,IF(Q307&lt;($F$7-$E$7)/($G$7-$E$7),$E$7+SQRT(Q307*($G$7-$E$7)*($F$7-$E$7)),$G$7-SQRT((1-Q307)*($G$7-$E$7)*($G$7-$F$7))))</f>
        <v>1.04993635692996</v>
      </c>
      <c r="D307" s="51" t="n">
        <f aca="false">1+IF($G$8=$E$8,$F$8,IF(R307&lt;($F$8-$E$8)/($G$8-$E$8),$E$8+SQRT(R307*($G$8-$E$8)*($F$8-$E$8)),$G$8-SQRT((1-R307)*($G$8-$E$8)*($G$8-$F$8))))</f>
        <v>0.980820907139022</v>
      </c>
      <c r="E307" s="51" t="n">
        <f aca="false">1+IF($G$9=$E$9,$F$9,IF(S307&lt;($F$9-$E$9)/($G$9-$E$9),$E$9+SQRT(S307*($G$9-$E$9)*($F$9-$E$9)),$G$9-SQRT((1-S307)*($G$9-$E$9)*($G$9-$F$9))))</f>
        <v>1.03746107029002</v>
      </c>
      <c r="F307" s="51" t="n">
        <f aca="false">1+IF($G$10=$E$10,$F$10,IF(T307&lt;($F$10-$E$10)/($G$10-$E$10),$E$10+SQRT(T307*($G$10-$E$10)*($F$10-$E$10)),$G$10-SQRT((1-T307)*($G$10-$E$10)*($G$10-$F$10))))</f>
        <v>1.00517308301834</v>
      </c>
      <c r="G307" s="52" t="n">
        <f aca="false">IF($G$11=$E$11,$F$11,IF(U307&lt;($F$11-$E$11)/($G$11-$E$11),$E$11+SQRT(U307*($G$11-$E$11)*($F$11-$E$11)),$G$11-SQRT((1-U307)*($G$11-$E$11)*($G$11-$F$11))))</f>
        <v>0.094072399918396</v>
      </c>
      <c r="H307" s="53" t="n">
        <f aca="false">(('Business Case'!B11*$C307*'Business Case'!B12*$B307)-'Business Case'!B11*$C307*'Business Case'!B13*$D307-'Business Case'!B14*$E307)-MAX(0,(('Business Case'!B11*$C307*'Business Case'!B12*$B307)-'Business Case'!B11*$C307*'Business Case'!B13*$D307-'Business Case'!B14*$E307))*'Business Case'!$B$7-'Business Case'!$B$8*('Business Case'!B11*$C307*'Business Case'!B12*$B307)-'Business Case'!B15*$F307</f>
        <v>-2010346166.03667</v>
      </c>
      <c r="I307" s="53" t="n">
        <f aca="false">(('Business Case'!C11*$C307*'Business Case'!C12*$B307)-'Business Case'!C11*$C307*'Business Case'!C13*$D307-'Business Case'!C14*$E307)-MAX(0,(('Business Case'!C11*$C307*'Business Case'!C12*$B307)-'Business Case'!C11*$C307*'Business Case'!C13*$D307-'Business Case'!C14*$E307))*'Business Case'!$B$7-'Business Case'!$B$8*(('Business Case'!C11*$C307*'Business Case'!C12*$B307)-('Business Case'!B11*$C307*'Business Case'!B12*$B307))-'Business Case'!C15*$F307</f>
        <v>19376364.8071982</v>
      </c>
      <c r="J307" s="53" t="n">
        <f aca="false">(('Business Case'!D11*$C307*'Business Case'!D12*$B307)-'Business Case'!D11*$C307*'Business Case'!D13*$D307-'Business Case'!D14*$E307)-MAX(0,(('Business Case'!D11*$C307*'Business Case'!D12*$B307)-'Business Case'!D11*$C307*'Business Case'!D13*$D307-'Business Case'!D14*$E307))*'Business Case'!$B$7-'Business Case'!$B$8*(('Business Case'!D11*$C307*'Business Case'!D12*$B307)-('Business Case'!C11*$C307*'Business Case'!C12*$B307))-'Business Case'!D15*$F307</f>
        <v>340485894.86306</v>
      </c>
      <c r="K307" s="53" t="n">
        <f aca="false">(('Business Case'!E11*$C307*'Business Case'!E12*$B307)-'Business Case'!E11*$C307*'Business Case'!E13*$D307-'Business Case'!E14*$E307)-MAX(0,(('Business Case'!E11*$C307*'Business Case'!E12*$B307)-'Business Case'!E11*$C307*'Business Case'!E13*$D307-'Business Case'!E14*$E307))*'Business Case'!$B$7-'Business Case'!$B$8*(('Business Case'!E11*$C307*'Business Case'!E12*$B307)-('Business Case'!D11*$C307*'Business Case'!D12*$B307))-'Business Case'!E15*$F307</f>
        <v>711854079.069839</v>
      </c>
      <c r="L307" s="53" t="n">
        <f aca="false">(('Business Case'!F11*$C307*'Business Case'!F12*$B307)-'Business Case'!F11*$C307*'Business Case'!F13*$D307-'Business Case'!F14*$E307)-MAX(0,(('Business Case'!F11*$C307*'Business Case'!F12*$B307)-'Business Case'!F11*$C307*'Business Case'!F13*$D307-'Business Case'!F14*$E307))*'Business Case'!$B$7-'Business Case'!$B$8*(('Business Case'!F11*$C307*'Business Case'!F12*$B307)-('Business Case'!E11*$C307*'Business Case'!E12*$B307))-'Business Case'!F15*$F307</f>
        <v>854683184.256186</v>
      </c>
      <c r="M307" s="53" t="n">
        <f aca="false">(('Business Case'!G11*$C307*'Business Case'!G12*$B307)-'Business Case'!G11*$C307*'Business Case'!G13*$D307-'Business Case'!G14*$E307)-MAX(0,(('Business Case'!G11*$C307*'Business Case'!G12*$B307)-'Business Case'!G11*$C307*'Business Case'!G13*$D307-'Business Case'!G14*$E307))*'Business Case'!$B$7-'Business Case'!$B$8*(('Business Case'!G11*$C307*'Business Case'!G12*$B307)-('Business Case'!F11*$C307*'Business Case'!F12*$B307))-'Business Case'!G15*$F307+'Business Case'!$B$8*('Business Case'!G11*$C307*'Business Case'!G12*$B307)</f>
        <v>1051542457.67868</v>
      </c>
      <c r="N307" s="53" t="n">
        <f aca="false">IF(COUNT('Business Case'!B11:G11)=0,"",H307+NPV(G307,I307:M307))</f>
        <v>102701173.194321</v>
      </c>
      <c r="P307" s="54" t="n">
        <f aca="true">RAND()</f>
        <v>0.459374012420293</v>
      </c>
      <c r="Q307" s="54" t="n">
        <f aca="true">RAND()</f>
        <v>0.809281282581938</v>
      </c>
      <c r="R307" s="54" t="n">
        <f aca="true">RAND()</f>
        <v>0.146142817980342</v>
      </c>
      <c r="S307" s="54" t="n">
        <f aca="true">RAND()</f>
        <v>0.739258818048703</v>
      </c>
      <c r="T307" s="54" t="n">
        <f aca="true">RAND()</f>
        <v>0.240849448388396</v>
      </c>
      <c r="U307" s="54" t="n">
        <f aca="true">RAND()</f>
        <v>0.0552814703178393</v>
      </c>
    </row>
    <row r="308" customFormat="false" ht="15" hidden="false" customHeight="false" outlineLevel="0" collapsed="false">
      <c r="A308" s="50" t="n">
        <v>228</v>
      </c>
      <c r="B308" s="51" t="n">
        <f aca="false">1+IF($G$6=$E$6,$F$6,IF(P308&lt;($F$6-$E$6)/($G$6-$E$6),$E$6+SQRT(P308*($G$6-$E$6)*($F$6-$E$6)),$G$6-SQRT((1-P308)*($G$6-$E$6)*($G$6-$F$6))))</f>
        <v>1.00908960632967</v>
      </c>
      <c r="C308" s="51" t="n">
        <f aca="false">1+IF($G$7=$E$7,$F$7,IF(Q308&lt;($F$7-$E$7)/($G$7-$E$7),$E$7+SQRT(Q308*($G$7-$E$7)*($F$7-$E$7)),$G$7-SQRT((1-Q308)*($G$7-$E$7)*($G$7-$F$7))))</f>
        <v>1.03935659353919</v>
      </c>
      <c r="D308" s="51" t="n">
        <f aca="false">1+IF($G$8=$E$8,$F$8,IF(R308&lt;($F$8-$E$8)/($G$8-$E$8),$E$8+SQRT(R308*($G$8-$E$8)*($F$8-$E$8)),$G$8-SQRT((1-R308)*($G$8-$E$8)*($G$8-$F$8))))</f>
        <v>1.01489151007258</v>
      </c>
      <c r="E308" s="51" t="n">
        <f aca="false">1+IF($G$9=$E$9,$F$9,IF(S308&lt;($F$9-$E$9)/($G$9-$E$9),$E$9+SQRT(S308*($G$9-$E$9)*($F$9-$E$9)),$G$9-SQRT((1-S308)*($G$9-$E$9)*($G$9-$F$9))))</f>
        <v>0.991312154830022</v>
      </c>
      <c r="F308" s="51" t="n">
        <f aca="false">1+IF($G$10=$E$10,$F$10,IF(T308&lt;($F$10-$E$10)/($G$10-$E$10),$E$10+SQRT(T308*($G$10-$E$10)*($F$10-$E$10)),$G$10-SQRT((1-T308)*($G$10-$E$10)*($G$10-$F$10))))</f>
        <v>1.158023092894</v>
      </c>
      <c r="G308" s="52" t="n">
        <f aca="false">IF($G$11=$E$11,$F$11,IF(U308&lt;($F$11-$E$11)/($G$11-$E$11),$E$11+SQRT(U308*($G$11-$E$11)*($F$11-$E$11)),$G$11-SQRT((1-U308)*($G$11-$E$11)*($G$11-$F$11))))</f>
        <v>0.109832880065397</v>
      </c>
      <c r="H308" s="53" t="n">
        <f aca="false">(('Business Case'!B11*$C308*'Business Case'!B12*$B308)-'Business Case'!B11*$C308*'Business Case'!B13*$D308-'Business Case'!B14*$E308)-MAX(0,(('Business Case'!B11*$C308*'Business Case'!B12*$B308)-'Business Case'!B11*$C308*'Business Case'!B13*$D308-'Business Case'!B14*$E308))*'Business Case'!$B$7-'Business Case'!$B$8*('Business Case'!B11*$C308*'Business Case'!B12*$B308)-'Business Case'!B15*$F308</f>
        <v>-2316046185.78801</v>
      </c>
      <c r="I308" s="53" t="n">
        <f aca="false">(('Business Case'!C11*$C308*'Business Case'!C12*$B308)-'Business Case'!C11*$C308*'Business Case'!C13*$D308-'Business Case'!C14*$E308)-MAX(0,(('Business Case'!C11*$C308*'Business Case'!C12*$B308)-'Business Case'!C11*$C308*'Business Case'!C13*$D308-'Business Case'!C14*$E308))*'Business Case'!$B$7-'Business Case'!$B$8*(('Business Case'!C11*$C308*'Business Case'!C12*$B308)-('Business Case'!B11*$C308*'Business Case'!B12*$B308))-'Business Case'!C15*$F308</f>
        <v>7918328.7551385</v>
      </c>
      <c r="J308" s="53" t="n">
        <f aca="false">(('Business Case'!D11*$C308*'Business Case'!D12*$B308)-'Business Case'!D11*$C308*'Business Case'!D13*$D308-'Business Case'!D14*$E308)-MAX(0,(('Business Case'!D11*$C308*'Business Case'!D12*$B308)-'Business Case'!D11*$C308*'Business Case'!D13*$D308-'Business Case'!D14*$E308))*'Business Case'!$B$7-'Business Case'!$B$8*(('Business Case'!D11*$C308*'Business Case'!D12*$B308)-('Business Case'!C11*$C308*'Business Case'!C12*$B308))-'Business Case'!D15*$F308</f>
        <v>326973551.248928</v>
      </c>
      <c r="K308" s="53" t="n">
        <f aca="false">(('Business Case'!E11*$C308*'Business Case'!E12*$B308)-'Business Case'!E11*$C308*'Business Case'!E13*$D308-'Business Case'!E14*$E308)-MAX(0,(('Business Case'!E11*$C308*'Business Case'!E12*$B308)-'Business Case'!E11*$C308*'Business Case'!E13*$D308-'Business Case'!E14*$E308))*'Business Case'!$B$7-'Business Case'!$B$8*(('Business Case'!E11*$C308*'Business Case'!E12*$B308)-('Business Case'!D11*$C308*'Business Case'!D12*$B308))-'Business Case'!E15*$F308</f>
        <v>703929928.387418</v>
      </c>
      <c r="L308" s="53" t="n">
        <f aca="false">(('Business Case'!F11*$C308*'Business Case'!F12*$B308)-'Business Case'!F11*$C308*'Business Case'!F13*$D308-'Business Case'!F14*$E308)-MAX(0,(('Business Case'!F11*$C308*'Business Case'!F12*$B308)-'Business Case'!F11*$C308*'Business Case'!F13*$D308-'Business Case'!F14*$E308))*'Business Case'!$B$7-'Business Case'!$B$8*(('Business Case'!F11*$C308*'Business Case'!F12*$B308)-('Business Case'!E11*$C308*'Business Case'!E12*$B308))-'Business Case'!F15*$F308</f>
        <v>846528333.240296</v>
      </c>
      <c r="M308" s="53" t="n">
        <f aca="false">(('Business Case'!G11*$C308*'Business Case'!G12*$B308)-'Business Case'!G11*$C308*'Business Case'!G13*$D308-'Business Case'!G14*$E308)-MAX(0,(('Business Case'!G11*$C308*'Business Case'!G12*$B308)-'Business Case'!G11*$C308*'Business Case'!G13*$D308-'Business Case'!G14*$E308))*'Business Case'!$B$7-'Business Case'!$B$8*(('Business Case'!G11*$C308*'Business Case'!G12*$B308)-('Business Case'!F11*$C308*'Business Case'!F12*$B308))-'Business Case'!G15*$F308+'Business Case'!$B$8*('Business Case'!G11*$C308*'Business Case'!G12*$B308)</f>
        <v>1045884985.35917</v>
      </c>
      <c r="N308" s="53" t="n">
        <f aca="false">IF(COUNT('Business Case'!B11:G11)=0,"",H308+NPV(G308,I308:M308))</f>
        <v>-349392761.398222</v>
      </c>
      <c r="P308" s="54" t="n">
        <f aca="true">RAND()</f>
        <v>0.800947408988546</v>
      </c>
      <c r="Q308" s="54" t="n">
        <f aca="true">RAND()</f>
        <v>0.766819744890425</v>
      </c>
      <c r="R308" s="54" t="n">
        <f aca="true">RAND()</f>
        <v>0.59239274417028</v>
      </c>
      <c r="S308" s="54" t="n">
        <f aca="true">RAND()</f>
        <v>0.227559218226625</v>
      </c>
      <c r="T308" s="54" t="n">
        <f aca="true">RAND()</f>
        <v>0.964758785396293</v>
      </c>
      <c r="U308" s="54" t="n">
        <f aca="true">RAND()</f>
        <v>0.827716120392336</v>
      </c>
    </row>
    <row r="309" customFormat="false" ht="15" hidden="false" customHeight="false" outlineLevel="0" collapsed="false">
      <c r="A309" s="50" t="n">
        <v>229</v>
      </c>
      <c r="B309" s="51" t="n">
        <f aca="false">1+IF($G$6=$E$6,$F$6,IF(P309&lt;($F$6-$E$6)/($G$6-$E$6),$E$6+SQRT(P309*($G$6-$E$6)*($F$6-$E$6)),$G$6-SQRT((1-P309)*($G$6-$E$6)*($G$6-$F$6))))</f>
        <v>1.01415991576634</v>
      </c>
      <c r="C309" s="51" t="n">
        <f aca="false">1+IF($G$7=$E$7,$F$7,IF(Q309&lt;($F$7-$E$7)/($G$7-$E$7),$E$7+SQRT(Q309*($G$7-$E$7)*($F$7-$E$7)),$G$7-SQRT((1-Q309)*($G$7-$E$7)*($G$7-$F$7))))</f>
        <v>0.861509259777409</v>
      </c>
      <c r="D309" s="51" t="n">
        <f aca="false">1+IF($G$8=$E$8,$F$8,IF(R309&lt;($F$8-$E$8)/($G$8-$E$8),$E$8+SQRT(R309*($G$8-$E$8)*($F$8-$E$8)),$G$8-SQRT((1-R309)*($G$8-$E$8)*($G$8-$F$8))))</f>
        <v>1.00211647570677</v>
      </c>
      <c r="E309" s="51" t="n">
        <f aca="false">1+IF($G$9=$E$9,$F$9,IF(S309&lt;($F$9-$E$9)/($G$9-$E$9),$E$9+SQRT(S309*($G$9-$E$9)*($F$9-$E$9)),$G$9-SQRT((1-S309)*($G$9-$E$9)*($G$9-$F$9))))</f>
        <v>0.970339808790716</v>
      </c>
      <c r="F309" s="51" t="n">
        <f aca="false">1+IF($G$10=$E$10,$F$10,IF(T309&lt;($F$10-$E$10)/($G$10-$E$10),$E$10+SQRT(T309*($G$10-$E$10)*($F$10-$E$10)),$G$10-SQRT((1-T309)*($G$10-$E$10)*($G$10-$F$10))))</f>
        <v>1.03148641522678</v>
      </c>
      <c r="G309" s="52" t="n">
        <f aca="false">IF($G$11=$E$11,$F$11,IF(U309&lt;($F$11-$E$11)/($G$11-$E$11),$E$11+SQRT(U309*($G$11-$E$11)*($F$11-$E$11)),$G$11-SQRT((1-U309)*($G$11-$E$11)*($G$11-$F$11))))</f>
        <v>0.111114381476151</v>
      </c>
      <c r="H309" s="53" t="n">
        <f aca="false">(('Business Case'!B11*$C309*'Business Case'!B12*$B309)-'Business Case'!B11*$C309*'Business Case'!B13*$D309-'Business Case'!B14*$E309)-MAX(0,(('Business Case'!B11*$C309*'Business Case'!B12*$B309)-'Business Case'!B11*$C309*'Business Case'!B13*$D309-'Business Case'!B14*$E309))*'Business Case'!$B$7-'Business Case'!$B$8*('Business Case'!B11*$C309*'Business Case'!B12*$B309)-'Business Case'!B15*$F309</f>
        <v>-2062972830.45357</v>
      </c>
      <c r="I309" s="53" t="n">
        <f aca="false">(('Business Case'!C11*$C309*'Business Case'!C12*$B309)-'Business Case'!C11*$C309*'Business Case'!C13*$D309-'Business Case'!C14*$E309)-MAX(0,(('Business Case'!C11*$C309*'Business Case'!C12*$B309)-'Business Case'!C11*$C309*'Business Case'!C13*$D309-'Business Case'!C14*$E309))*'Business Case'!$B$7-'Business Case'!$B$8*(('Business Case'!C11*$C309*'Business Case'!C12*$B309)-('Business Case'!B11*$C309*'Business Case'!B12*$B309))-'Business Case'!C15*$F309</f>
        <v>-12751341.0695303</v>
      </c>
      <c r="J309" s="53" t="n">
        <f aca="false">(('Business Case'!D11*$C309*'Business Case'!D12*$B309)-'Business Case'!D11*$C309*'Business Case'!D13*$D309-'Business Case'!D14*$E309)-MAX(0,(('Business Case'!D11*$C309*'Business Case'!D12*$B309)-'Business Case'!D11*$C309*'Business Case'!D13*$D309-'Business Case'!D14*$E309))*'Business Case'!$B$7-'Business Case'!$B$8*(('Business Case'!D11*$C309*'Business Case'!D12*$B309)-('Business Case'!C11*$C309*'Business Case'!C12*$B309))-'Business Case'!D15*$F309</f>
        <v>260921311.12137</v>
      </c>
      <c r="K309" s="53" t="n">
        <f aca="false">(('Business Case'!E11*$C309*'Business Case'!E12*$B309)-'Business Case'!E11*$C309*'Business Case'!E13*$D309-'Business Case'!E14*$E309)-MAX(0,(('Business Case'!E11*$C309*'Business Case'!E12*$B309)-'Business Case'!E11*$C309*'Business Case'!E13*$D309-'Business Case'!E14*$E309))*'Business Case'!$B$7-'Business Case'!$B$8*(('Business Case'!E11*$C309*'Business Case'!E12*$B309)-('Business Case'!D11*$C309*'Business Case'!D12*$B309))-'Business Case'!E15*$F309</f>
        <v>586168284.073609</v>
      </c>
      <c r="L309" s="53" t="n">
        <f aca="false">(('Business Case'!F11*$C309*'Business Case'!F12*$B309)-'Business Case'!F11*$C309*'Business Case'!F13*$D309-'Business Case'!F14*$E309)-MAX(0,(('Business Case'!F11*$C309*'Business Case'!F12*$B309)-'Business Case'!F11*$C309*'Business Case'!F13*$D309-'Business Case'!F14*$E309))*'Business Case'!$B$7-'Business Case'!$B$8*(('Business Case'!F11*$C309*'Business Case'!F12*$B309)-('Business Case'!E11*$C309*'Business Case'!E12*$B309))-'Business Case'!F15*$F309</f>
        <v>707587855.422383</v>
      </c>
      <c r="M309" s="53" t="n">
        <f aca="false">(('Business Case'!G11*$C309*'Business Case'!G12*$B309)-'Business Case'!G11*$C309*'Business Case'!G13*$D309-'Business Case'!G14*$E309)-MAX(0,(('Business Case'!G11*$C309*'Business Case'!G12*$B309)-'Business Case'!G11*$C309*'Business Case'!G13*$D309-'Business Case'!G14*$E309))*'Business Case'!$B$7-'Business Case'!$B$8*(('Business Case'!G11*$C309*'Business Case'!G12*$B309)-('Business Case'!F11*$C309*'Business Case'!F12*$B309))-'Business Case'!G15*$F309+'Business Case'!$B$8*('Business Case'!G11*$C309*'Business Case'!G12*$B309)</f>
        <v>873662302.157327</v>
      </c>
      <c r="N309" s="53" t="n">
        <f aca="false">IF(COUNT('Business Case'!B11:G11)=0,"",H309+NPV(G309,I309:M309))</f>
        <v>-455666892.878723</v>
      </c>
      <c r="P309" s="54" t="n">
        <f aca="true">RAND()</f>
        <v>0.860893759749405</v>
      </c>
      <c r="Q309" s="54" t="n">
        <f aca="true">RAND()</f>
        <v>0.0540484148337834</v>
      </c>
      <c r="R309" s="54" t="n">
        <f aca="true">RAND()</f>
        <v>0.416745831121667</v>
      </c>
      <c r="S309" s="54" t="n">
        <f aca="true">RAND()</f>
        <v>0.0551610428857188</v>
      </c>
      <c r="T309" s="54" t="n">
        <f aca="true">RAND()</f>
        <v>0.432063434937607</v>
      </c>
      <c r="U309" s="54" t="n">
        <f aca="true">RAND()</f>
        <v>0.868409639081046</v>
      </c>
    </row>
    <row r="310" customFormat="false" ht="15" hidden="false" customHeight="false" outlineLevel="0" collapsed="false">
      <c r="A310" s="50" t="n">
        <v>230</v>
      </c>
      <c r="B310" s="51" t="n">
        <f aca="false">1+IF($G$6=$E$6,$F$6,IF(P310&lt;($F$6-$E$6)/($G$6-$E$6),$E$6+SQRT(P310*($G$6-$E$6)*($F$6-$E$6)),$G$6-SQRT((1-P310)*($G$6-$E$6)*($G$6-$F$6))))</f>
        <v>1.02893169902423</v>
      </c>
      <c r="C310" s="51" t="n">
        <f aca="false">1+IF($G$7=$E$7,$F$7,IF(Q310&lt;($F$7-$E$7)/($G$7-$E$7),$E$7+SQRT(Q310*($G$7-$E$7)*($F$7-$E$7)),$G$7-SQRT((1-Q310)*($G$7-$E$7)*($G$7-$F$7))))</f>
        <v>0.981835241257271</v>
      </c>
      <c r="D310" s="51" t="n">
        <f aca="false">1+IF($G$8=$E$8,$F$8,IF(R310&lt;($F$8-$E$8)/($G$8-$E$8),$E$8+SQRT(R310*($G$8-$E$8)*($F$8-$E$8)),$G$8-SQRT((1-R310)*($G$8-$E$8)*($G$8-$F$8))))</f>
        <v>1.02429270006139</v>
      </c>
      <c r="E310" s="51" t="n">
        <f aca="false">1+IF($G$9=$E$9,$F$9,IF(S310&lt;($F$9-$E$9)/($G$9-$E$9),$E$9+SQRT(S310*($G$9-$E$9)*($F$9-$E$9)),$G$9-SQRT((1-S310)*($G$9-$E$9)*($G$9-$F$9))))</f>
        <v>1.0164972608725</v>
      </c>
      <c r="F310" s="51" t="n">
        <f aca="false">1+IF($G$10=$E$10,$F$10,IF(T310&lt;($F$10-$E$10)/($G$10-$E$10),$E$10+SQRT(T310*($G$10-$E$10)*($F$10-$E$10)),$G$10-SQRT((1-T310)*($G$10-$E$10)*($G$10-$F$10))))</f>
        <v>1.13647693768757</v>
      </c>
      <c r="G310" s="52" t="n">
        <f aca="false">IF($G$11=$E$11,$F$11,IF(U310&lt;($F$11-$E$11)/($G$11-$E$11),$E$11+SQRT(U310*($G$11-$E$11)*($F$11-$E$11)),$G$11-SQRT((1-U310)*($G$11-$E$11)*($G$11-$F$11))))</f>
        <v>0.102237569797007</v>
      </c>
      <c r="H310" s="53" t="n">
        <f aca="false">(('Business Case'!B11*$C310*'Business Case'!B12*$B310)-'Business Case'!B11*$C310*'Business Case'!B13*$D310-'Business Case'!B14*$E310)-MAX(0,(('Business Case'!B11*$C310*'Business Case'!B12*$B310)-'Business Case'!B11*$C310*'Business Case'!B13*$D310-'Business Case'!B14*$E310))*'Business Case'!$B$7-'Business Case'!$B$8*('Business Case'!B11*$C310*'Business Case'!B12*$B310)-'Business Case'!B15*$F310</f>
        <v>-2272953875.37515</v>
      </c>
      <c r="I310" s="53" t="n">
        <f aca="false">(('Business Case'!C11*$C310*'Business Case'!C12*$B310)-'Business Case'!C11*$C310*'Business Case'!C13*$D310-'Business Case'!C14*$E310)-MAX(0,(('Business Case'!C11*$C310*'Business Case'!C12*$B310)-'Business Case'!C11*$C310*'Business Case'!C13*$D310-'Business Case'!C14*$E310))*'Business Case'!$B$7-'Business Case'!$B$8*(('Business Case'!C11*$C310*'Business Case'!C12*$B310)-('Business Case'!B11*$C310*'Business Case'!B12*$B310))-'Business Case'!C15*$F310</f>
        <v>2064807.55112515</v>
      </c>
      <c r="J310" s="53" t="n">
        <f aca="false">(('Business Case'!D11*$C310*'Business Case'!D12*$B310)-'Business Case'!D11*$C310*'Business Case'!D13*$D310-'Business Case'!D14*$E310)-MAX(0,(('Business Case'!D11*$C310*'Business Case'!D12*$B310)-'Business Case'!D11*$C310*'Business Case'!D13*$D310-'Business Case'!D14*$E310))*'Business Case'!$B$7-'Business Case'!$B$8*(('Business Case'!D11*$C310*'Business Case'!D12*$B310)-('Business Case'!C11*$C310*'Business Case'!C12*$B310))-'Business Case'!D15*$F310</f>
        <v>314694133.695938</v>
      </c>
      <c r="K310" s="53" t="n">
        <f aca="false">(('Business Case'!E11*$C310*'Business Case'!E12*$B310)-'Business Case'!E11*$C310*'Business Case'!E13*$D310-'Business Case'!E14*$E310)-MAX(0,(('Business Case'!E11*$C310*'Business Case'!E12*$B310)-'Business Case'!E11*$C310*'Business Case'!E13*$D310-'Business Case'!E14*$E310))*'Business Case'!$B$7-'Business Case'!$B$8*(('Business Case'!E11*$C310*'Business Case'!E12*$B310)-('Business Case'!D11*$C310*'Business Case'!D12*$B310))-'Business Case'!E15*$F310</f>
        <v>684147306.725129</v>
      </c>
      <c r="L310" s="53" t="n">
        <f aca="false">(('Business Case'!F11*$C310*'Business Case'!F12*$B310)-'Business Case'!F11*$C310*'Business Case'!F13*$D310-'Business Case'!F14*$E310)-MAX(0,(('Business Case'!F11*$C310*'Business Case'!F12*$B310)-'Business Case'!F11*$C310*'Business Case'!F13*$D310-'Business Case'!F14*$E310))*'Business Case'!$B$7-'Business Case'!$B$8*(('Business Case'!F11*$C310*'Business Case'!F12*$B310)-('Business Case'!E11*$C310*'Business Case'!E12*$B310))-'Business Case'!F15*$F310</f>
        <v>823271024.992641</v>
      </c>
      <c r="M310" s="53" t="n">
        <f aca="false">(('Business Case'!G11*$C310*'Business Case'!G12*$B310)-'Business Case'!G11*$C310*'Business Case'!G13*$D310-'Business Case'!G14*$E310)-MAX(0,(('Business Case'!G11*$C310*'Business Case'!G12*$B310)-'Business Case'!G11*$C310*'Business Case'!G13*$D310-'Business Case'!G14*$E310))*'Business Case'!$B$7-'Business Case'!$B$8*(('Business Case'!G11*$C310*'Business Case'!G12*$B310)-('Business Case'!F11*$C310*'Business Case'!F12*$B310))-'Business Case'!G15*$F310+'Business Case'!$B$8*('Business Case'!G11*$C310*'Business Case'!G12*$B310)</f>
        <v>1015297710.86513</v>
      </c>
      <c r="N310" s="53" t="n">
        <f aca="false">IF(COUNT('Business Case'!B11:G11)=0,"",H310+NPV(G310,I310:M310))</f>
        <v>-319371479.141058</v>
      </c>
      <c r="P310" s="54" t="n">
        <f aca="true">RAND()</f>
        <v>0.974477648647866</v>
      </c>
      <c r="Q310" s="54" t="n">
        <f aca="true">RAND()</f>
        <v>0.472343642329856</v>
      </c>
      <c r="R310" s="54" t="n">
        <f aca="true">RAND()</f>
        <v>0.701605455149051</v>
      </c>
      <c r="S310" s="54" t="n">
        <f aca="true">RAND()</f>
        <v>0.535152837213626</v>
      </c>
      <c r="T310" s="54" t="n">
        <f aca="true">RAND()</f>
        <v>0.919296411089032</v>
      </c>
      <c r="U310" s="54" t="n">
        <f aca="true">RAND()</f>
        <v>0.474160122139678</v>
      </c>
    </row>
    <row r="311" customFormat="false" ht="15" hidden="false" customHeight="false" outlineLevel="0" collapsed="false">
      <c r="A311" s="50" t="n">
        <v>231</v>
      </c>
      <c r="B311" s="51" t="n">
        <f aca="false">1+IF($G$6=$E$6,$F$6,IF(P311&lt;($F$6-$E$6)/($G$6-$E$6),$E$6+SQRT(P311*($G$6-$E$6)*($F$6-$E$6)),$G$6-SQRT((1-P311)*($G$6-$E$6)*($G$6-$F$6))))</f>
        <v>1.03136741274628</v>
      </c>
      <c r="C311" s="51" t="n">
        <f aca="false">1+IF($G$7=$E$7,$F$7,IF(Q311&lt;($F$7-$E$7)/($G$7-$E$7),$E$7+SQRT(Q311*($G$7-$E$7)*($F$7-$E$7)),$G$7-SQRT((1-Q311)*($G$7-$E$7)*($G$7-$F$7))))</f>
        <v>0.891157074840962</v>
      </c>
      <c r="D311" s="51" t="n">
        <f aca="false">1+IF($G$8=$E$8,$F$8,IF(R311&lt;($F$8-$E$8)/($G$8-$E$8),$E$8+SQRT(R311*($G$8-$E$8)*($F$8-$E$8)),$G$8-SQRT((1-R311)*($G$8-$E$8)*($G$8-$F$8))))</f>
        <v>1.00562352457086</v>
      </c>
      <c r="E311" s="51" t="n">
        <f aca="false">1+IF($G$9=$E$9,$F$9,IF(S311&lt;($F$9-$E$9)/($G$9-$E$9),$E$9+SQRT(S311*($G$9-$E$9)*($F$9-$E$9)),$G$9-SQRT((1-S311)*($G$9-$E$9)*($G$9-$F$9))))</f>
        <v>0.977213258816142</v>
      </c>
      <c r="F311" s="51" t="n">
        <f aca="false">1+IF($G$10=$E$10,$F$10,IF(T311&lt;($F$10-$E$10)/($G$10-$E$10),$E$10+SQRT(T311*($G$10-$E$10)*($F$10-$E$10)),$G$10-SQRT((1-T311)*($G$10-$E$10)*($G$10-$F$10))))</f>
        <v>1.11591301304997</v>
      </c>
      <c r="G311" s="52" t="n">
        <f aca="false">IF($G$11=$E$11,$F$11,IF(U311&lt;($F$11-$E$11)/($G$11-$E$11),$E$11+SQRT(U311*($G$11-$E$11)*($F$11-$E$11)),$G$11-SQRT((1-U311)*($G$11-$E$11)*($G$11-$F$11))))</f>
        <v>0.104654065265857</v>
      </c>
      <c r="H311" s="53" t="n">
        <f aca="false">(('Business Case'!B11*$C311*'Business Case'!B12*$B311)-'Business Case'!B11*$C311*'Business Case'!B13*$D311-'Business Case'!B14*$E311)-MAX(0,(('Business Case'!B11*$C311*'Business Case'!B12*$B311)-'Business Case'!B11*$C311*'Business Case'!B13*$D311-'Business Case'!B14*$E311))*'Business Case'!$B$7-'Business Case'!$B$8*('Business Case'!B11*$C311*'Business Case'!B12*$B311)-'Business Case'!B15*$F311</f>
        <v>-2231826026.09995</v>
      </c>
      <c r="I311" s="53" t="n">
        <f aca="false">(('Business Case'!C11*$C311*'Business Case'!C12*$B311)-'Business Case'!C11*$C311*'Business Case'!C13*$D311-'Business Case'!C14*$E311)-MAX(0,(('Business Case'!C11*$C311*'Business Case'!C12*$B311)-'Business Case'!C11*$C311*'Business Case'!C13*$D311-'Business Case'!C14*$E311))*'Business Case'!$B$7-'Business Case'!$B$8*(('Business Case'!C11*$C311*'Business Case'!C12*$B311)-('Business Case'!B11*$C311*'Business Case'!B12*$B311))-'Business Case'!C15*$F311</f>
        <v>-4146729.91395211</v>
      </c>
      <c r="J311" s="53" t="n">
        <f aca="false">(('Business Case'!D11*$C311*'Business Case'!D12*$B311)-'Business Case'!D11*$C311*'Business Case'!D13*$D311-'Business Case'!D14*$E311)-MAX(0,(('Business Case'!D11*$C311*'Business Case'!D12*$B311)-'Business Case'!D11*$C311*'Business Case'!D13*$D311-'Business Case'!D14*$E311))*'Business Case'!$B$7-'Business Case'!$B$8*(('Business Case'!D11*$C311*'Business Case'!D12*$B311)-('Business Case'!C11*$C311*'Business Case'!C12*$B311))-'Business Case'!D15*$F311</f>
        <v>289904248.28681</v>
      </c>
      <c r="K311" s="53" t="n">
        <f aca="false">(('Business Case'!E11*$C311*'Business Case'!E12*$B311)-'Business Case'!E11*$C311*'Business Case'!E13*$D311-'Business Case'!E14*$E311)-MAX(0,(('Business Case'!E11*$C311*'Business Case'!E12*$B311)-'Business Case'!E11*$C311*'Business Case'!E13*$D311-'Business Case'!E14*$E311))*'Business Case'!$B$7-'Business Case'!$B$8*(('Business Case'!E11*$C311*'Business Case'!E12*$B311)-('Business Case'!D11*$C311*'Business Case'!D12*$B311))-'Business Case'!E15*$F311</f>
        <v>639750877.14007</v>
      </c>
      <c r="L311" s="53" t="n">
        <f aca="false">(('Business Case'!F11*$C311*'Business Case'!F12*$B311)-'Business Case'!F11*$C311*'Business Case'!F13*$D311-'Business Case'!F14*$E311)-MAX(0,(('Business Case'!F11*$C311*'Business Case'!F12*$B311)-'Business Case'!F11*$C311*'Business Case'!F13*$D311-'Business Case'!F14*$E311))*'Business Case'!$B$7-'Business Case'!$B$8*(('Business Case'!F11*$C311*'Business Case'!F12*$B311)-('Business Case'!E11*$C311*'Business Case'!E12*$B311))-'Business Case'!F15*$F311</f>
        <v>769532324.144365</v>
      </c>
      <c r="M311" s="53" t="n">
        <f aca="false">(('Business Case'!G11*$C311*'Business Case'!G12*$B311)-'Business Case'!G11*$C311*'Business Case'!G13*$D311-'Business Case'!G14*$E311)-MAX(0,(('Business Case'!G11*$C311*'Business Case'!G12*$B311)-'Business Case'!G11*$C311*'Business Case'!G13*$D311-'Business Case'!G14*$E311))*'Business Case'!$B$7-'Business Case'!$B$8*(('Business Case'!G11*$C311*'Business Case'!G12*$B311)-('Business Case'!F11*$C311*'Business Case'!F12*$B311))-'Business Case'!G15*$F311+'Business Case'!$B$8*('Business Case'!G11*$C311*'Business Case'!G12*$B311)</f>
        <v>944236822.633256</v>
      </c>
      <c r="N311" s="53" t="n">
        <f aca="false">IF(COUNT('Business Case'!B11:G11)=0,"",H311+NPV(G311,I311:M311))</f>
        <v>-432550869.938175</v>
      </c>
      <c r="P311" s="54" t="n">
        <f aca="true">RAND()</f>
        <v>0.984474674438938</v>
      </c>
      <c r="Q311" s="54" t="n">
        <f aca="true">RAND()</f>
        <v>0.118708747050866</v>
      </c>
      <c r="R311" s="54" t="n">
        <f aca="true">RAND()</f>
        <v>0.468090375263347</v>
      </c>
      <c r="S311" s="54" t="n">
        <f aca="true">RAND()</f>
        <v>0.0987415273859099</v>
      </c>
      <c r="T311" s="54" t="n">
        <f aca="true">RAND()</f>
        <v>0.858587572513326</v>
      </c>
      <c r="U311" s="54" t="n">
        <f aca="true">RAND()</f>
        <v>0.60750381189235</v>
      </c>
    </row>
    <row r="312" customFormat="false" ht="15" hidden="false" customHeight="false" outlineLevel="0" collapsed="false">
      <c r="A312" s="50" t="n">
        <v>232</v>
      </c>
      <c r="B312" s="51" t="n">
        <f aca="false">1+IF($G$6=$E$6,$F$6,IF(P312&lt;($F$6-$E$6)/($G$6-$E$6),$E$6+SQRT(P312*($G$6-$E$6)*($F$6-$E$6)),$G$6-SQRT((1-P312)*($G$6-$E$6)*($G$6-$F$6))))</f>
        <v>0.984128795937478</v>
      </c>
      <c r="C312" s="51" t="n">
        <f aca="false">1+IF($G$7=$E$7,$F$7,IF(Q312&lt;($F$7-$E$7)/($G$7-$E$7),$E$7+SQRT(Q312*($G$7-$E$7)*($F$7-$E$7)),$G$7-SQRT((1-Q312)*($G$7-$E$7)*($G$7-$F$7))))</f>
        <v>1.06815609114448</v>
      </c>
      <c r="D312" s="51" t="n">
        <f aca="false">1+IF($G$8=$E$8,$F$8,IF(R312&lt;($F$8-$E$8)/($G$8-$E$8),$E$8+SQRT(R312*($G$8-$E$8)*($F$8-$E$8)),$G$8-SQRT((1-R312)*($G$8-$E$8)*($G$8-$F$8))))</f>
        <v>1.02077861539385</v>
      </c>
      <c r="E312" s="51" t="n">
        <f aca="false">1+IF($G$9=$E$9,$F$9,IF(S312&lt;($F$9-$E$9)/($G$9-$E$9),$E$9+SQRT(S312*($G$9-$E$9)*($F$9-$E$9)),$G$9-SQRT((1-S312)*($G$9-$E$9)*($G$9-$F$9))))</f>
        <v>0.965312462542677</v>
      </c>
      <c r="F312" s="51" t="n">
        <f aca="false">1+IF($G$10=$E$10,$F$10,IF(T312&lt;($F$10-$E$10)/($G$10-$E$10),$E$10+SQRT(T312*($G$10-$E$10)*($F$10-$E$10)),$G$10-SQRT((1-T312)*($G$10-$E$10)*($G$10-$F$10))))</f>
        <v>1.05643165570093</v>
      </c>
      <c r="G312" s="52" t="n">
        <f aca="false">IF($G$11=$E$11,$F$11,IF(U312&lt;($F$11-$E$11)/($G$11-$E$11),$E$11+SQRT(U312*($G$11-$E$11)*($F$11-$E$11)),$G$11-SQRT((1-U312)*($G$11-$E$11)*($G$11-$F$11))))</f>
        <v>0.0929214926800477</v>
      </c>
      <c r="H312" s="53" t="n">
        <f aca="false">(('Business Case'!B11*$C312*'Business Case'!B12*$B312)-'Business Case'!B11*$C312*'Business Case'!B13*$D312-'Business Case'!B14*$E312)-MAX(0,(('Business Case'!B11*$C312*'Business Case'!B12*$B312)-'Business Case'!B11*$C312*'Business Case'!B13*$D312-'Business Case'!B14*$E312))*'Business Case'!$B$7-'Business Case'!$B$8*('Business Case'!B11*$C312*'Business Case'!B12*$B312)-'Business Case'!B15*$F312</f>
        <v>-2112863311.40186</v>
      </c>
      <c r="I312" s="53" t="n">
        <f aca="false">(('Business Case'!C11*$C312*'Business Case'!C12*$B312)-'Business Case'!C11*$C312*'Business Case'!C13*$D312-'Business Case'!C14*$E312)-MAX(0,(('Business Case'!C11*$C312*'Business Case'!C12*$B312)-'Business Case'!C11*$C312*'Business Case'!C13*$D312-'Business Case'!C14*$E312))*'Business Case'!$B$7-'Business Case'!$B$8*(('Business Case'!C11*$C312*'Business Case'!C12*$B312)-('Business Case'!B11*$C312*'Business Case'!B12*$B312))-'Business Case'!C15*$F312</f>
        <v>5433680.58448626</v>
      </c>
      <c r="J312" s="53" t="n">
        <f aca="false">(('Business Case'!D11*$C312*'Business Case'!D12*$B312)-'Business Case'!D11*$C312*'Business Case'!D13*$D312-'Business Case'!D14*$E312)-MAX(0,(('Business Case'!D11*$C312*'Business Case'!D12*$B312)-'Business Case'!D11*$C312*'Business Case'!D13*$D312-'Business Case'!D14*$E312))*'Business Case'!$B$7-'Business Case'!$B$8*(('Business Case'!D11*$C312*'Business Case'!D12*$B312)-('Business Case'!C11*$C312*'Business Case'!C12*$B312))-'Business Case'!D15*$F312</f>
        <v>308272331.134045</v>
      </c>
      <c r="K312" s="53" t="n">
        <f aca="false">(('Business Case'!E11*$C312*'Business Case'!E12*$B312)-'Business Case'!E11*$C312*'Business Case'!E13*$D312-'Business Case'!E14*$E312)-MAX(0,(('Business Case'!E11*$C312*'Business Case'!E12*$B312)-'Business Case'!E11*$C312*'Business Case'!E13*$D312-'Business Case'!E14*$E312))*'Business Case'!$B$7-'Business Case'!$B$8*(('Business Case'!E11*$C312*'Business Case'!E12*$B312)-('Business Case'!D11*$C312*'Business Case'!D12*$B312))-'Business Case'!E15*$F312</f>
        <v>663932564.468651</v>
      </c>
      <c r="L312" s="53" t="n">
        <f aca="false">(('Business Case'!F11*$C312*'Business Case'!F12*$B312)-'Business Case'!F11*$C312*'Business Case'!F13*$D312-'Business Case'!F14*$E312)-MAX(0,(('Business Case'!F11*$C312*'Business Case'!F12*$B312)-'Business Case'!F11*$C312*'Business Case'!F13*$D312-'Business Case'!F14*$E312))*'Business Case'!$B$7-'Business Case'!$B$8*(('Business Case'!F11*$C312*'Business Case'!F12*$B312)-('Business Case'!E11*$C312*'Business Case'!E12*$B312))-'Business Case'!F15*$F312</f>
        <v>801208362.799445</v>
      </c>
      <c r="M312" s="53" t="n">
        <f aca="false">(('Business Case'!G11*$C312*'Business Case'!G12*$B312)-'Business Case'!G11*$C312*'Business Case'!G13*$D312-'Business Case'!G14*$E312)-MAX(0,(('Business Case'!G11*$C312*'Business Case'!G12*$B312)-'Business Case'!G11*$C312*'Business Case'!G13*$D312-'Business Case'!G14*$E312))*'Business Case'!$B$7-'Business Case'!$B$8*(('Business Case'!G11*$C312*'Business Case'!G12*$B312)-('Business Case'!F11*$C312*'Business Case'!F12*$B312))-'Business Case'!G15*$F312+'Business Case'!$B$8*('Business Case'!G11*$C312*'Business Case'!G12*$B312)</f>
        <v>1001021060.94462</v>
      </c>
      <c r="N312" s="53" t="n">
        <f aca="false">IF(COUNT('Business Case'!B11:G11)=0,"",H312+NPV(G312,I312:M312))</f>
        <v>-137735498.234055</v>
      </c>
      <c r="P312" s="54" t="n">
        <f aca="true">RAND()</f>
        <v>0.428385673790699</v>
      </c>
      <c r="Q312" s="54" t="n">
        <f aca="true">RAND()</f>
        <v>0.872410944442832</v>
      </c>
      <c r="R312" s="54" t="n">
        <f aca="true">RAND()</f>
        <v>0.662771885127908</v>
      </c>
      <c r="S312" s="54" t="n">
        <f aca="true">RAND()</f>
        <v>0.0312628678827837</v>
      </c>
      <c r="T312" s="54" t="n">
        <f aca="true">RAND()</f>
        <v>0.587762610304477</v>
      </c>
      <c r="U312" s="54" t="n">
        <f aca="true">RAND()</f>
        <v>0.0284503982652405</v>
      </c>
    </row>
    <row r="313" customFormat="false" ht="15" hidden="false" customHeight="false" outlineLevel="0" collapsed="false">
      <c r="A313" s="50" t="n">
        <v>233</v>
      </c>
      <c r="B313" s="51" t="n">
        <f aca="false">1+IF($G$6=$E$6,$F$6,IF(P313&lt;($F$6-$E$6)/($G$6-$E$6),$E$6+SQRT(P313*($G$6-$E$6)*($F$6-$E$6)),$G$6-SQRT((1-P313)*($G$6-$E$6)*($G$6-$F$6))))</f>
        <v>0.931820080567334</v>
      </c>
      <c r="C313" s="51" t="n">
        <f aca="false">1+IF($G$7=$E$7,$F$7,IF(Q313&lt;($F$7-$E$7)/($G$7-$E$7),$E$7+SQRT(Q313*($G$7-$E$7)*($F$7-$E$7)),$G$7-SQRT((1-Q313)*($G$7-$E$7)*($G$7-$F$7))))</f>
        <v>0.924087631932715</v>
      </c>
      <c r="D313" s="51" t="n">
        <f aca="false">1+IF($G$8=$E$8,$F$8,IF(R313&lt;($F$8-$E$8)/($G$8-$E$8),$E$8+SQRT(R313*($G$8-$E$8)*($F$8-$E$8)),$G$8-SQRT((1-R313)*($G$8-$E$8)*($G$8-$F$8))))</f>
        <v>1.0033049024204</v>
      </c>
      <c r="E313" s="51" t="n">
        <f aca="false">1+IF($G$9=$E$9,$F$9,IF(S313&lt;($F$9-$E$9)/($G$9-$E$9),$E$9+SQRT(S313*($G$9-$E$9)*($F$9-$E$9)),$G$9-SQRT((1-S313)*($G$9-$E$9)*($G$9-$F$9))))</f>
        <v>1.00783810745182</v>
      </c>
      <c r="F313" s="51" t="n">
        <f aca="false">1+IF($G$10=$E$10,$F$10,IF(T313&lt;($F$10-$E$10)/($G$10-$E$10),$E$10+SQRT(T313*($G$10-$E$10)*($F$10-$E$10)),$G$10-SQRT((1-T313)*($G$10-$E$10)*($G$10-$F$10))))</f>
        <v>1.00838974225467</v>
      </c>
      <c r="G313" s="52" t="n">
        <f aca="false">IF($G$11=$E$11,$F$11,IF(U313&lt;($F$11-$E$11)/($G$11-$E$11),$E$11+SQRT(U313*($G$11-$E$11)*($F$11-$E$11)),$G$11-SQRT((1-U313)*($G$11-$E$11)*($G$11-$F$11))))</f>
        <v>0.105160202768365</v>
      </c>
      <c r="H313" s="53" t="n">
        <f aca="false">(('Business Case'!B11*$C313*'Business Case'!B12*$B313)-'Business Case'!B11*$C313*'Business Case'!B13*$D313-'Business Case'!B14*$E313)-MAX(0,(('Business Case'!B11*$C313*'Business Case'!B12*$B313)-'Business Case'!B11*$C313*'Business Case'!B13*$D313-'Business Case'!B14*$E313))*'Business Case'!$B$7-'Business Case'!$B$8*('Business Case'!B11*$C313*'Business Case'!B12*$B313)-'Business Case'!B15*$F313</f>
        <v>-2016779484.50933</v>
      </c>
      <c r="I313" s="53" t="n">
        <f aca="false">(('Business Case'!C11*$C313*'Business Case'!C12*$B313)-'Business Case'!C11*$C313*'Business Case'!C13*$D313-'Business Case'!C14*$E313)-MAX(0,(('Business Case'!C11*$C313*'Business Case'!C12*$B313)-'Business Case'!C11*$C313*'Business Case'!C13*$D313-'Business Case'!C14*$E313))*'Business Case'!$B$7-'Business Case'!$B$8*(('Business Case'!C11*$C313*'Business Case'!C12*$B313)-('Business Case'!B11*$C313*'Business Case'!B12*$B313))-'Business Case'!C15*$F313</f>
        <v>-58125159.203213</v>
      </c>
      <c r="J313" s="53" t="n">
        <f aca="false">(('Business Case'!D11*$C313*'Business Case'!D12*$B313)-'Business Case'!D11*$C313*'Business Case'!D13*$D313-'Business Case'!D14*$E313)-MAX(0,(('Business Case'!D11*$C313*'Business Case'!D12*$B313)-'Business Case'!D11*$C313*'Business Case'!D13*$D313-'Business Case'!D14*$E313))*'Business Case'!$B$7-'Business Case'!$B$8*(('Business Case'!D11*$C313*'Business Case'!D12*$B313)-('Business Case'!C11*$C313*'Business Case'!C12*$B313))-'Business Case'!D15*$F313</f>
        <v>172541798.758045</v>
      </c>
      <c r="K313" s="53" t="n">
        <f aca="false">(('Business Case'!E11*$C313*'Business Case'!E12*$B313)-'Business Case'!E11*$C313*'Business Case'!E13*$D313-'Business Case'!E14*$E313)-MAX(0,(('Business Case'!E11*$C313*'Business Case'!E12*$B313)-'Business Case'!E11*$C313*'Business Case'!E13*$D313-'Business Case'!E14*$E313))*'Business Case'!$B$7-'Business Case'!$B$8*(('Business Case'!E11*$C313*'Business Case'!E12*$B313)-('Business Case'!D11*$C313*'Business Case'!D12*$B313))-'Business Case'!E15*$F313</f>
        <v>453628243.832037</v>
      </c>
      <c r="L313" s="53" t="n">
        <f aca="false">(('Business Case'!F11*$C313*'Business Case'!F12*$B313)-'Business Case'!F11*$C313*'Business Case'!F13*$D313-'Business Case'!F14*$E313)-MAX(0,(('Business Case'!F11*$C313*'Business Case'!F12*$B313)-'Business Case'!F11*$C313*'Business Case'!F13*$D313-'Business Case'!F14*$E313))*'Business Case'!$B$7-'Business Case'!$B$8*(('Business Case'!F11*$C313*'Business Case'!F12*$B313)-('Business Case'!E11*$C313*'Business Case'!E12*$B313))-'Business Case'!F15*$F313</f>
        <v>560276272.525361</v>
      </c>
      <c r="M313" s="53" t="n">
        <f aca="false">(('Business Case'!G11*$C313*'Business Case'!G12*$B313)-'Business Case'!G11*$C313*'Business Case'!G13*$D313-'Business Case'!G14*$E313)-MAX(0,(('Business Case'!G11*$C313*'Business Case'!G12*$B313)-'Business Case'!G11*$C313*'Business Case'!G13*$D313-'Business Case'!G14*$E313))*'Business Case'!$B$7-'Business Case'!$B$8*(('Business Case'!G11*$C313*'Business Case'!G12*$B313)-('Business Case'!F11*$C313*'Business Case'!F12*$B313))-'Business Case'!G15*$F313+'Business Case'!$B$8*('Business Case'!G11*$C313*'Business Case'!G12*$B313)</f>
        <v>723951007.409668</v>
      </c>
      <c r="N313" s="53" t="n">
        <f aca="false">IF(COUNT('Business Case'!B11:G11)=0,"",H313+NPV(G313,I313:M313))</f>
        <v>-777341201.962026</v>
      </c>
      <c r="P313" s="54" t="n">
        <f aca="true">RAND()</f>
        <v>0.0145535733977363</v>
      </c>
      <c r="Q313" s="54" t="n">
        <f aca="true">RAND()</f>
        <v>0.219967719980983</v>
      </c>
      <c r="R313" s="54" t="n">
        <f aca="true">RAND()</f>
        <v>0.434409808389899</v>
      </c>
      <c r="S313" s="54" t="n">
        <f aca="true">RAND()</f>
        <v>0.433745704129152</v>
      </c>
      <c r="T313" s="54" t="n">
        <f aca="true">RAND()</f>
        <v>0.265710182535329</v>
      </c>
      <c r="U313" s="54" t="n">
        <f aca="true">RAND()</f>
        <v>0.632967363539951</v>
      </c>
    </row>
    <row r="314" customFormat="false" ht="15" hidden="false" customHeight="false" outlineLevel="0" collapsed="false">
      <c r="A314" s="50" t="n">
        <v>234</v>
      </c>
      <c r="B314" s="51" t="n">
        <f aca="false">1+IF($G$6=$E$6,$F$6,IF(P314&lt;($F$6-$E$6)/($G$6-$E$6),$E$6+SQRT(P314*($G$6-$E$6)*($F$6-$E$6)),$G$6-SQRT((1-P314)*($G$6-$E$6)*($G$6-$F$6))))</f>
        <v>0.98004398445933</v>
      </c>
      <c r="C314" s="51" t="n">
        <f aca="false">1+IF($G$7=$E$7,$F$7,IF(Q314&lt;($F$7-$E$7)/($G$7-$E$7),$E$7+SQRT(Q314*($G$7-$E$7)*($F$7-$E$7)),$G$7-SQRT((1-Q314)*($G$7-$E$7)*($G$7-$F$7))))</f>
        <v>1.01563188836169</v>
      </c>
      <c r="D314" s="51" t="n">
        <f aca="false">1+IF($G$8=$E$8,$F$8,IF(R314&lt;($F$8-$E$8)/($G$8-$E$8),$E$8+SQRT(R314*($G$8-$E$8)*($F$8-$E$8)),$G$8-SQRT((1-R314)*($G$8-$E$8)*($G$8-$F$8))))</f>
        <v>1.01854520958563</v>
      </c>
      <c r="E314" s="51" t="n">
        <f aca="false">1+IF($G$9=$E$9,$F$9,IF(S314&lt;($F$9-$E$9)/($G$9-$E$9),$E$9+SQRT(S314*($G$9-$E$9)*($F$9-$E$9)),$G$9-SQRT((1-S314)*($G$9-$E$9)*($G$9-$F$9))))</f>
        <v>1.01836428580126</v>
      </c>
      <c r="F314" s="51" t="n">
        <f aca="false">1+IF($G$10=$E$10,$F$10,IF(T314&lt;($F$10-$E$10)/($G$10-$E$10),$E$10+SQRT(T314*($G$10-$E$10)*($F$10-$E$10)),$G$10-SQRT((1-T314)*($G$10-$E$10)*($G$10-$F$10))))</f>
        <v>0.977227252496687</v>
      </c>
      <c r="G314" s="52" t="n">
        <f aca="false">IF($G$11=$E$11,$F$11,IF(U314&lt;($F$11-$E$11)/($G$11-$E$11),$E$11+SQRT(U314*($G$11-$E$11)*($F$11-$E$11)),$G$11-SQRT((1-U314)*($G$11-$E$11)*($G$11-$F$11))))</f>
        <v>0.0978401154522928</v>
      </c>
      <c r="H314" s="53" t="n">
        <f aca="false">(('Business Case'!B11*$C314*'Business Case'!B12*$B314)-'Business Case'!B11*$C314*'Business Case'!B13*$D314-'Business Case'!B14*$E314)-MAX(0,(('Business Case'!B11*$C314*'Business Case'!B12*$B314)-'Business Case'!B11*$C314*'Business Case'!B13*$D314-'Business Case'!B14*$E314))*'Business Case'!$B$7-'Business Case'!$B$8*('Business Case'!B11*$C314*'Business Case'!B12*$B314)-'Business Case'!B15*$F314</f>
        <v>-1954454504.99337</v>
      </c>
      <c r="I314" s="53" t="n">
        <f aca="false">(('Business Case'!C11*$C314*'Business Case'!C12*$B314)-'Business Case'!C11*$C314*'Business Case'!C13*$D314-'Business Case'!C14*$E314)-MAX(0,(('Business Case'!C11*$C314*'Business Case'!C12*$B314)-'Business Case'!C11*$C314*'Business Case'!C13*$D314-'Business Case'!C14*$E314))*'Business Case'!$B$7-'Business Case'!$B$8*(('Business Case'!C11*$C314*'Business Case'!C12*$B314)-('Business Case'!B11*$C314*'Business Case'!B12*$B314))-'Business Case'!C15*$F314</f>
        <v>-8423417.4878211</v>
      </c>
      <c r="J314" s="53" t="n">
        <f aca="false">(('Business Case'!D11*$C314*'Business Case'!D12*$B314)-'Business Case'!D11*$C314*'Business Case'!D13*$D314-'Business Case'!D14*$E314)-MAX(0,(('Business Case'!D11*$C314*'Business Case'!D12*$B314)-'Business Case'!D11*$C314*'Business Case'!D13*$D314-'Business Case'!D14*$E314))*'Business Case'!$B$7-'Business Case'!$B$8*(('Business Case'!D11*$C314*'Business Case'!D12*$B314)-('Business Case'!C11*$C314*'Business Case'!C12*$B314))-'Business Case'!D15*$F314</f>
        <v>277286957.463272</v>
      </c>
      <c r="K314" s="53" t="n">
        <f aca="false">(('Business Case'!E11*$C314*'Business Case'!E12*$B314)-'Business Case'!E11*$C314*'Business Case'!E13*$D314-'Business Case'!E14*$E314)-MAX(0,(('Business Case'!E11*$C314*'Business Case'!E12*$B314)-'Business Case'!E11*$C314*'Business Case'!E13*$D314-'Business Case'!E14*$E314))*'Business Case'!$B$7-'Business Case'!$B$8*(('Business Case'!E11*$C314*'Business Case'!E12*$B314)-('Business Case'!D11*$C314*'Business Case'!D12*$B314))-'Business Case'!E15*$F314</f>
        <v>611858695.039199</v>
      </c>
      <c r="L314" s="53" t="n">
        <f aca="false">(('Business Case'!F11*$C314*'Business Case'!F12*$B314)-'Business Case'!F11*$C314*'Business Case'!F13*$D314-'Business Case'!F14*$E314)-MAX(0,(('Business Case'!F11*$C314*'Business Case'!F12*$B314)-'Business Case'!F11*$C314*'Business Case'!F13*$D314-'Business Case'!F14*$E314))*'Business Case'!$B$7-'Business Case'!$B$8*(('Business Case'!F11*$C314*'Business Case'!F12*$B314)-('Business Case'!E11*$C314*'Business Case'!E12*$B314))-'Business Case'!F15*$F314</f>
        <v>741495263.855101</v>
      </c>
      <c r="M314" s="53" t="n">
        <f aca="false">(('Business Case'!G11*$C314*'Business Case'!G12*$B314)-'Business Case'!G11*$C314*'Business Case'!G13*$D314-'Business Case'!G14*$E314)-MAX(0,(('Business Case'!G11*$C314*'Business Case'!G12*$B314)-'Business Case'!G11*$C314*'Business Case'!G13*$D314-'Business Case'!G14*$E314))*'Business Case'!$B$7-'Business Case'!$B$8*(('Business Case'!G11*$C314*'Business Case'!G12*$B314)-('Business Case'!F11*$C314*'Business Case'!F12*$B314))-'Business Case'!G15*$F314+'Business Case'!$B$8*('Business Case'!G11*$C314*'Business Case'!G12*$B314)</f>
        <v>930694038.26556</v>
      </c>
      <c r="N314" s="53" t="n">
        <f aca="false">IF(COUNT('Business Case'!B11:G11)=0,"",H314+NPV(G314,I314:M314))</f>
        <v>-175601365.516148</v>
      </c>
      <c r="P314" s="54" t="n">
        <f aca="true">RAND()</f>
        <v>0.375550007265865</v>
      </c>
      <c r="Q314" s="54" t="n">
        <f aca="true">RAND()</f>
        <v>0.65609924904294</v>
      </c>
      <c r="R314" s="54" t="n">
        <f aca="true">RAND()</f>
        <v>0.636856609146741</v>
      </c>
      <c r="S314" s="54" t="n">
        <f aca="true">RAND()</f>
        <v>0.555707344484066</v>
      </c>
      <c r="T314" s="54" t="n">
        <f aca="true">RAND()</f>
        <v>0.0593058622814678</v>
      </c>
      <c r="U314" s="54" t="n">
        <f aca="true">RAND()</f>
        <v>0.20489136768427</v>
      </c>
    </row>
    <row r="315" customFormat="false" ht="15" hidden="false" customHeight="false" outlineLevel="0" collapsed="false">
      <c r="A315" s="50" t="n">
        <v>235</v>
      </c>
      <c r="B315" s="51" t="n">
        <f aca="false">1+IF($G$6=$E$6,$F$6,IF(P315&lt;($F$6-$E$6)/($G$6-$E$6),$E$6+SQRT(P315*($G$6-$E$6)*($F$6-$E$6)),$G$6-SQRT((1-P315)*($G$6-$E$6)*($G$6-$F$6))))</f>
        <v>0.974813489615007</v>
      </c>
      <c r="C315" s="51" t="n">
        <f aca="false">1+IF($G$7=$E$7,$F$7,IF(Q315&lt;($F$7-$E$7)/($G$7-$E$7),$E$7+SQRT(Q315*($G$7-$E$7)*($F$7-$E$7)),$G$7-SQRT((1-Q315)*($G$7-$E$7)*($G$7-$F$7))))</f>
        <v>0.968920593458991</v>
      </c>
      <c r="D315" s="51" t="n">
        <f aca="false">1+IF($G$8=$E$8,$F$8,IF(R315&lt;($F$8-$E$8)/($G$8-$E$8),$E$8+SQRT(R315*($G$8-$E$8)*($F$8-$E$8)),$G$8-SQRT((1-R315)*($G$8-$E$8)*($G$8-$F$8))))</f>
        <v>1.03626941357065</v>
      </c>
      <c r="E315" s="51" t="n">
        <f aca="false">1+IF($G$9=$E$9,$F$9,IF(S315&lt;($F$9-$E$9)/($G$9-$E$9),$E$9+SQRT(S315*($G$9-$E$9)*($F$9-$E$9)),$G$9-SQRT((1-S315)*($G$9-$E$9)*($G$9-$F$9))))</f>
        <v>1.04017570943265</v>
      </c>
      <c r="F315" s="51" t="n">
        <f aca="false">1+IF($G$10=$E$10,$F$10,IF(T315&lt;($F$10-$E$10)/($G$10-$E$10),$E$10+SQRT(T315*($G$10-$E$10)*($F$10-$E$10)),$G$10-SQRT((1-T315)*($G$10-$E$10)*($G$10-$F$10))))</f>
        <v>1.08147455138753</v>
      </c>
      <c r="G315" s="52" t="n">
        <f aca="false">IF($G$11=$E$11,$F$11,IF(U315&lt;($F$11-$E$11)/($G$11-$E$11),$E$11+SQRT(U315*($G$11-$E$11)*($F$11-$E$11)),$G$11-SQRT((1-U315)*($G$11-$E$11)*($G$11-$F$11))))</f>
        <v>0.109587184274512</v>
      </c>
      <c r="H315" s="53" t="n">
        <f aca="false">(('Business Case'!B11*$C315*'Business Case'!B12*$B315)-'Business Case'!B11*$C315*'Business Case'!B13*$D315-'Business Case'!B14*$E315)-MAX(0,(('Business Case'!B11*$C315*'Business Case'!B12*$B315)-'Business Case'!B11*$C315*'Business Case'!B13*$D315-'Business Case'!B14*$E315))*'Business Case'!$B$7-'Business Case'!$B$8*('Business Case'!B11*$C315*'Business Case'!B12*$B315)-'Business Case'!B15*$F315</f>
        <v>-2162949102.77507</v>
      </c>
      <c r="I315" s="53" t="n">
        <f aca="false">(('Business Case'!C11*$C315*'Business Case'!C12*$B315)-'Business Case'!C11*$C315*'Business Case'!C13*$D315-'Business Case'!C14*$E315)-MAX(0,(('Business Case'!C11*$C315*'Business Case'!C12*$B315)-'Business Case'!C11*$C315*'Business Case'!C13*$D315-'Business Case'!C14*$E315))*'Business Case'!$B$7-'Business Case'!$B$8*(('Business Case'!C11*$C315*'Business Case'!C12*$B315)-('Business Case'!B11*$C315*'Business Case'!B12*$B315))-'Business Case'!C15*$F315</f>
        <v>-45396693.6227278</v>
      </c>
      <c r="J315" s="53" t="n">
        <f aca="false">(('Business Case'!D11*$C315*'Business Case'!D12*$B315)-'Business Case'!D11*$C315*'Business Case'!D13*$D315-'Business Case'!D14*$E315)-MAX(0,(('Business Case'!D11*$C315*'Business Case'!D12*$B315)-'Business Case'!D11*$C315*'Business Case'!D13*$D315-'Business Case'!D14*$E315))*'Business Case'!$B$7-'Business Case'!$B$8*(('Business Case'!D11*$C315*'Business Case'!D12*$B315)-('Business Case'!C11*$C315*'Business Case'!C12*$B315))-'Business Case'!D15*$F315</f>
        <v>214230808.04946</v>
      </c>
      <c r="K315" s="53" t="n">
        <f aca="false">(('Business Case'!E11*$C315*'Business Case'!E12*$B315)-'Business Case'!E11*$C315*'Business Case'!E13*$D315-'Business Case'!E14*$E315)-MAX(0,(('Business Case'!E11*$C315*'Business Case'!E12*$B315)-'Business Case'!E11*$C315*'Business Case'!E13*$D315-'Business Case'!E14*$E315))*'Business Case'!$B$7-'Business Case'!$B$8*(('Business Case'!E11*$C315*'Business Case'!E12*$B315)-('Business Case'!D11*$C315*'Business Case'!D12*$B315))-'Business Case'!E15*$F315</f>
        <v>527932037.291026</v>
      </c>
      <c r="L315" s="53" t="n">
        <f aca="false">(('Business Case'!F11*$C315*'Business Case'!F12*$B315)-'Business Case'!F11*$C315*'Business Case'!F13*$D315-'Business Case'!F14*$E315)-MAX(0,(('Business Case'!F11*$C315*'Business Case'!F12*$B315)-'Business Case'!F11*$C315*'Business Case'!F13*$D315-'Business Case'!F14*$E315))*'Business Case'!$B$7-'Business Case'!$B$8*(('Business Case'!F11*$C315*'Business Case'!F12*$B315)-('Business Case'!E11*$C315*'Business Case'!E12*$B315))-'Business Case'!F15*$F315</f>
        <v>647117040.698315</v>
      </c>
      <c r="M315" s="53" t="n">
        <f aca="false">(('Business Case'!G11*$C315*'Business Case'!G12*$B315)-'Business Case'!G11*$C315*'Business Case'!G13*$D315-'Business Case'!G14*$E315)-MAX(0,(('Business Case'!G11*$C315*'Business Case'!G12*$B315)-'Business Case'!G11*$C315*'Business Case'!G13*$D315-'Business Case'!G14*$E315))*'Business Case'!$B$7-'Business Case'!$B$8*(('Business Case'!G11*$C315*'Business Case'!G12*$B315)-('Business Case'!F11*$C315*'Business Case'!F12*$B315))-'Business Case'!G15*$F315+'Business Case'!$B$8*('Business Case'!G11*$C315*'Business Case'!G12*$B315)</f>
        <v>826650806.372729</v>
      </c>
      <c r="N315" s="53" t="n">
        <f aca="false">IF(COUNT('Business Case'!B11:G11)=0,"",H315+NPV(G315,I315:M315))</f>
        <v>-725006896.377937</v>
      </c>
      <c r="P315" s="54" t="n">
        <f aca="true">RAND()</f>
        <v>0.312970692059846</v>
      </c>
      <c r="Q315" s="54" t="n">
        <f aca="true">RAND()</f>
        <v>0.407630955636252</v>
      </c>
      <c r="R315" s="54" t="n">
        <f aca="true">RAND()</f>
        <v>0.816118827937048</v>
      </c>
      <c r="S315" s="54" t="n">
        <f aca="true">RAND()</f>
        <v>0.761403617207531</v>
      </c>
      <c r="T315" s="54" t="n">
        <f aca="true">RAND()</f>
        <v>0.71903436062427</v>
      </c>
      <c r="U315" s="54" t="n">
        <f aca="true">RAND()</f>
        <v>0.819288781111718</v>
      </c>
    </row>
    <row r="316" customFormat="false" ht="15" hidden="false" customHeight="false" outlineLevel="0" collapsed="false">
      <c r="A316" s="50" t="n">
        <v>236</v>
      </c>
      <c r="B316" s="51" t="n">
        <f aca="false">1+IF($G$6=$E$6,$F$6,IF(P316&lt;($F$6-$E$6)/($G$6-$E$6),$E$6+SQRT(P316*($G$6-$E$6)*($F$6-$E$6)),$G$6-SQRT((1-P316)*($G$6-$E$6)*($G$6-$F$6))))</f>
        <v>0.944675857045098</v>
      </c>
      <c r="C316" s="51" t="n">
        <f aca="false">1+IF($G$7=$E$7,$F$7,IF(Q316&lt;($F$7-$E$7)/($G$7-$E$7),$E$7+SQRT(Q316*($G$7-$E$7)*($F$7-$E$7)),$G$7-SQRT((1-Q316)*($G$7-$E$7)*($G$7-$F$7))))</f>
        <v>1.03803714323674</v>
      </c>
      <c r="D316" s="51" t="n">
        <f aca="false">1+IF($G$8=$E$8,$F$8,IF(R316&lt;($F$8-$E$8)/($G$8-$E$8),$E$8+SQRT(R316*($G$8-$E$8)*($F$8-$E$8)),$G$8-SQRT((1-R316)*($G$8-$E$8)*($G$8-$F$8))))</f>
        <v>1.06016531197974</v>
      </c>
      <c r="E316" s="51" t="n">
        <f aca="false">1+IF($G$9=$E$9,$F$9,IF(S316&lt;($F$9-$E$9)/($G$9-$E$9),$E$9+SQRT(S316*($G$9-$E$9)*($F$9-$E$9)),$G$9-SQRT((1-S316)*($G$9-$E$9)*($G$9-$F$9))))</f>
        <v>1.03268793999521</v>
      </c>
      <c r="F316" s="51" t="n">
        <f aca="false">1+IF($G$10=$E$10,$F$10,IF(T316&lt;($F$10-$E$10)/($G$10-$E$10),$E$10+SQRT(T316*($G$10-$E$10)*($F$10-$E$10)),$G$10-SQRT((1-T316)*($G$10-$E$10)*($G$10-$F$10))))</f>
        <v>0.990647834903148</v>
      </c>
      <c r="G316" s="52" t="n">
        <f aca="false">IF($G$11=$E$11,$F$11,IF(U316&lt;($F$11-$E$11)/($G$11-$E$11),$E$11+SQRT(U316*($G$11-$E$11)*($F$11-$E$11)),$G$11-SQRT((1-U316)*($G$11-$E$11)*($G$11-$F$11))))</f>
        <v>0.114190608614095</v>
      </c>
      <c r="H316" s="53" t="n">
        <f aca="false">(('Business Case'!B11*$C316*'Business Case'!B12*$B316)-'Business Case'!B11*$C316*'Business Case'!B13*$D316-'Business Case'!B14*$E316)-MAX(0,(('Business Case'!B11*$C316*'Business Case'!B12*$B316)-'Business Case'!B11*$C316*'Business Case'!B13*$D316-'Business Case'!B14*$E316))*'Business Case'!$B$7-'Business Case'!$B$8*('Business Case'!B11*$C316*'Business Case'!B12*$B316)-'Business Case'!B15*$F316</f>
        <v>-1981295669.8063</v>
      </c>
      <c r="I316" s="53" t="n">
        <f aca="false">(('Business Case'!C11*$C316*'Business Case'!C12*$B316)-'Business Case'!C11*$C316*'Business Case'!C13*$D316-'Business Case'!C14*$E316)-MAX(0,(('Business Case'!C11*$C316*'Business Case'!C12*$B316)-'Business Case'!C11*$C316*'Business Case'!C13*$D316-'Business Case'!C14*$E316))*'Business Case'!$B$7-'Business Case'!$B$8*(('Business Case'!C11*$C316*'Business Case'!C12*$B316)-('Business Case'!B11*$C316*'Business Case'!B12*$B316))-'Business Case'!C15*$F316</f>
        <v>-56922028.0192534</v>
      </c>
      <c r="J316" s="53" t="n">
        <f aca="false">(('Business Case'!D11*$C316*'Business Case'!D12*$B316)-'Business Case'!D11*$C316*'Business Case'!D13*$D316-'Business Case'!D14*$E316)-MAX(0,(('Business Case'!D11*$C316*'Business Case'!D12*$B316)-'Business Case'!D11*$C316*'Business Case'!D13*$D316-'Business Case'!D14*$E316))*'Business Case'!$B$7-'Business Case'!$B$8*(('Business Case'!D11*$C316*'Business Case'!D12*$B316)-('Business Case'!C11*$C316*'Business Case'!C12*$B316))-'Business Case'!D15*$F316</f>
        <v>182903703.791113</v>
      </c>
      <c r="K316" s="53" t="n">
        <f aca="false">(('Business Case'!E11*$C316*'Business Case'!E12*$B316)-'Business Case'!E11*$C316*'Business Case'!E13*$D316-'Business Case'!E14*$E316)-MAX(0,(('Business Case'!E11*$C316*'Business Case'!E12*$B316)-'Business Case'!E11*$C316*'Business Case'!E13*$D316-'Business Case'!E14*$E316))*'Business Case'!$B$7-'Business Case'!$B$8*(('Business Case'!E11*$C316*'Business Case'!E12*$B316)-('Business Case'!D11*$C316*'Business Case'!D12*$B316))-'Business Case'!E15*$F316</f>
        <v>472261827.346635</v>
      </c>
      <c r="L316" s="53" t="n">
        <f aca="false">(('Business Case'!F11*$C316*'Business Case'!F12*$B316)-'Business Case'!F11*$C316*'Business Case'!F13*$D316-'Business Case'!F14*$E316)-MAX(0,(('Business Case'!F11*$C316*'Business Case'!F12*$B316)-'Business Case'!F11*$C316*'Business Case'!F13*$D316-'Business Case'!F14*$E316))*'Business Case'!$B$7-'Business Case'!$B$8*(('Business Case'!F11*$C316*'Business Case'!F12*$B316)-('Business Case'!E11*$C316*'Business Case'!E12*$B316))-'Business Case'!F15*$F316</f>
        <v>586093572.131415</v>
      </c>
      <c r="M316" s="53" t="n">
        <f aca="false">(('Business Case'!G11*$C316*'Business Case'!G12*$B316)-'Business Case'!G11*$C316*'Business Case'!G13*$D316-'Business Case'!G14*$E316)-MAX(0,(('Business Case'!G11*$C316*'Business Case'!G12*$B316)-'Business Case'!G11*$C316*'Business Case'!G13*$D316-'Business Case'!G14*$E316))*'Business Case'!$B$7-'Business Case'!$B$8*(('Business Case'!G11*$C316*'Business Case'!G12*$B316)-('Business Case'!F11*$C316*'Business Case'!F12*$B316))-'Business Case'!G15*$F316+'Business Case'!$B$8*('Business Case'!G11*$C316*'Business Case'!G12*$B316)</f>
        <v>772487660.128694</v>
      </c>
      <c r="N316" s="53" t="n">
        <f aca="false">IF(COUNT('Business Case'!B11:G11)=0,"",H316+NPV(G316,I316:M316))</f>
        <v>-713437978.629292</v>
      </c>
      <c r="P316" s="54" t="n">
        <f aca="true">RAND()</f>
        <v>0.0634268667614679</v>
      </c>
      <c r="Q316" s="54" t="n">
        <f aca="true">RAND()</f>
        <v>0.761225118198292</v>
      </c>
      <c r="R316" s="54" t="n">
        <f aca="true">RAND()</f>
        <v>0.962171649147994</v>
      </c>
      <c r="S316" s="54" t="n">
        <f aca="true">RAND()</f>
        <v>0.697939105194125</v>
      </c>
      <c r="T316" s="54" t="n">
        <f aca="true">RAND()</f>
        <v>0.132179718585087</v>
      </c>
      <c r="U316" s="54" t="n">
        <f aca="true">RAND()</f>
        <v>0.943751619542294</v>
      </c>
    </row>
    <row r="317" customFormat="false" ht="15" hidden="false" customHeight="false" outlineLevel="0" collapsed="false">
      <c r="A317" s="50" t="n">
        <v>237</v>
      </c>
      <c r="B317" s="51" t="n">
        <f aca="false">1+IF($G$6=$E$6,$F$6,IF(P317&lt;($F$6-$E$6)/($G$6-$E$6),$E$6+SQRT(P317*($G$6-$E$6)*($F$6-$E$6)),$G$6-SQRT((1-P317)*($G$6-$E$6)*($G$6-$F$6))))</f>
        <v>1.00213758759576</v>
      </c>
      <c r="C317" s="51" t="n">
        <f aca="false">1+IF($G$7=$E$7,$F$7,IF(Q317&lt;($F$7-$E$7)/($G$7-$E$7),$E$7+SQRT(Q317*($G$7-$E$7)*($F$7-$E$7)),$G$7-SQRT((1-Q317)*($G$7-$E$7)*($G$7-$F$7))))</f>
        <v>1.03773837923757</v>
      </c>
      <c r="D317" s="51" t="n">
        <f aca="false">1+IF($G$8=$E$8,$F$8,IF(R317&lt;($F$8-$E$8)/($G$8-$E$8),$E$8+SQRT(R317*($G$8-$E$8)*($F$8-$E$8)),$G$8-SQRT((1-R317)*($G$8-$E$8)*($G$8-$F$8))))</f>
        <v>0.984423805485994</v>
      </c>
      <c r="E317" s="51" t="n">
        <f aca="false">1+IF($G$9=$E$9,$F$9,IF(S317&lt;($F$9-$E$9)/($G$9-$E$9),$E$9+SQRT(S317*($G$9-$E$9)*($F$9-$E$9)),$G$9-SQRT((1-S317)*($G$9-$E$9)*($G$9-$F$9))))</f>
        <v>0.980974761566559</v>
      </c>
      <c r="F317" s="51" t="n">
        <f aca="false">1+IF($G$10=$E$10,$F$10,IF(T317&lt;($F$10-$E$10)/($G$10-$E$10),$E$10+SQRT(T317*($G$10-$E$10)*($F$10-$E$10)),$G$10-SQRT((1-T317)*($G$10-$E$10)*($G$10-$F$10))))</f>
        <v>1.0775189711025</v>
      </c>
      <c r="G317" s="52" t="n">
        <f aca="false">IF($G$11=$E$11,$F$11,IF(U317&lt;($F$11-$E$11)/($G$11-$E$11),$E$11+SQRT(U317*($G$11-$E$11)*($F$11-$E$11)),$G$11-SQRT((1-U317)*($G$11-$E$11)*($G$11-$F$11))))</f>
        <v>0.101009773578543</v>
      </c>
      <c r="H317" s="53" t="n">
        <f aca="false">(('Business Case'!B11*$C317*'Business Case'!B12*$B317)-'Business Case'!B11*$C317*'Business Case'!B13*$D317-'Business Case'!B14*$E317)-MAX(0,(('Business Case'!B11*$C317*'Business Case'!B12*$B317)-'Business Case'!B11*$C317*'Business Case'!B13*$D317-'Business Case'!B14*$E317))*'Business Case'!$B$7-'Business Case'!$B$8*('Business Case'!B11*$C317*'Business Case'!B12*$B317)-'Business Case'!B15*$F317</f>
        <v>-2155037942.20499</v>
      </c>
      <c r="I317" s="53" t="n">
        <f aca="false">(('Business Case'!C11*$C317*'Business Case'!C12*$B317)-'Business Case'!C11*$C317*'Business Case'!C13*$D317-'Business Case'!C14*$E317)-MAX(0,(('Business Case'!C11*$C317*'Business Case'!C12*$B317)-'Business Case'!C11*$C317*'Business Case'!C13*$D317-'Business Case'!C14*$E317))*'Business Case'!$B$7-'Business Case'!$B$8*(('Business Case'!C11*$C317*'Business Case'!C12*$B317)-('Business Case'!B11*$C317*'Business Case'!B12*$B317))-'Business Case'!C15*$F317</f>
        <v>27677152.8712861</v>
      </c>
      <c r="J317" s="53" t="n">
        <f aca="false">(('Business Case'!D11*$C317*'Business Case'!D12*$B317)-'Business Case'!D11*$C317*'Business Case'!D13*$D317-'Business Case'!D14*$E317)-MAX(0,(('Business Case'!D11*$C317*'Business Case'!D12*$B317)-'Business Case'!D11*$C317*'Business Case'!D13*$D317-'Business Case'!D14*$E317))*'Business Case'!$B$7-'Business Case'!$B$8*(('Business Case'!D11*$C317*'Business Case'!D12*$B317)-('Business Case'!C11*$C317*'Business Case'!C12*$B317))-'Business Case'!D15*$F317</f>
        <v>356512165.953922</v>
      </c>
      <c r="K317" s="53" t="n">
        <f aca="false">(('Business Case'!E11*$C317*'Business Case'!E12*$B317)-'Business Case'!E11*$C317*'Business Case'!E13*$D317-'Business Case'!E14*$E317)-MAX(0,(('Business Case'!E11*$C317*'Business Case'!E12*$B317)-'Business Case'!E11*$C317*'Business Case'!E13*$D317-'Business Case'!E14*$E317))*'Business Case'!$B$7-'Business Case'!$B$8*(('Business Case'!E11*$C317*'Business Case'!E12*$B317)-('Business Case'!D11*$C317*'Business Case'!D12*$B317))-'Business Case'!E15*$F317</f>
        <v>739223127.591682</v>
      </c>
      <c r="L317" s="53" t="n">
        <f aca="false">(('Business Case'!F11*$C317*'Business Case'!F12*$B317)-'Business Case'!F11*$C317*'Business Case'!F13*$D317-'Business Case'!F14*$E317)-MAX(0,(('Business Case'!F11*$C317*'Business Case'!F12*$B317)-'Business Case'!F11*$C317*'Business Case'!F13*$D317-'Business Case'!F14*$E317))*'Business Case'!$B$7-'Business Case'!$B$8*(('Business Case'!F11*$C317*'Business Case'!F12*$B317)-('Business Case'!E11*$C317*'Business Case'!E12*$B317))-'Business Case'!F15*$F317</f>
        <v>884775699.956784</v>
      </c>
      <c r="M317" s="53" t="n">
        <f aca="false">(('Business Case'!G11*$C317*'Business Case'!G12*$B317)-'Business Case'!G11*$C317*'Business Case'!G13*$D317-'Business Case'!G14*$E317)-MAX(0,(('Business Case'!G11*$C317*'Business Case'!G12*$B317)-'Business Case'!G11*$C317*'Business Case'!G13*$D317-'Business Case'!G14*$E317))*'Business Case'!$B$7-'Business Case'!$B$8*(('Business Case'!G11*$C317*'Business Case'!G12*$B317)-('Business Case'!F11*$C317*'Business Case'!F12*$B317))-'Business Case'!G15*$F317+'Business Case'!$B$8*('Business Case'!G11*$C317*'Business Case'!G12*$B317)</f>
        <v>1082450657.31335</v>
      </c>
      <c r="N317" s="53" t="n">
        <f aca="false">IF(COUNT('Business Case'!B11:G11)=0,"",H317+NPV(G317,I317:M317))</f>
        <v>-10799389.2072208</v>
      </c>
      <c r="P317" s="54" t="n">
        <f aca="true">RAND()</f>
        <v>0.701341193110738</v>
      </c>
      <c r="Q317" s="54" t="n">
        <f aca="true">RAND()</f>
        <v>0.75994911435797</v>
      </c>
      <c r="R317" s="54" t="n">
        <f aca="true">RAND()</f>
        <v>0.182307443713471</v>
      </c>
      <c r="S317" s="54" t="n">
        <f aca="true">RAND()</f>
        <v>0.127924780547356</v>
      </c>
      <c r="T317" s="54" t="n">
        <f aca="true">RAND()</f>
        <v>0.69996795120418</v>
      </c>
      <c r="U317" s="54" t="n">
        <f aca="true">RAND()</f>
        <v>0.39895216743631</v>
      </c>
    </row>
    <row r="318" customFormat="false" ht="15" hidden="false" customHeight="false" outlineLevel="0" collapsed="false">
      <c r="A318" s="50" t="n">
        <v>238</v>
      </c>
      <c r="B318" s="51" t="n">
        <f aca="false">1+IF($G$6=$E$6,$F$6,IF(P318&lt;($F$6-$E$6)/($G$6-$E$6),$E$6+SQRT(P318*($G$6-$E$6)*($F$6-$E$6)),$G$6-SQRT((1-P318)*($G$6-$E$6)*($G$6-$F$6))))</f>
        <v>0.960122284050264</v>
      </c>
      <c r="C318" s="51" t="n">
        <f aca="false">1+IF($G$7=$E$7,$F$7,IF(Q318&lt;($F$7-$E$7)/($G$7-$E$7),$E$7+SQRT(Q318*($G$7-$E$7)*($F$7-$E$7)),$G$7-SQRT((1-Q318)*($G$7-$E$7)*($G$7-$F$7))))</f>
        <v>0.883246623340881</v>
      </c>
      <c r="D318" s="51" t="n">
        <f aca="false">1+IF($G$8=$E$8,$F$8,IF(R318&lt;($F$8-$E$8)/($G$8-$E$8),$E$8+SQRT(R318*($G$8-$E$8)*($F$8-$E$8)),$G$8-SQRT((1-R318)*($G$8-$E$8)*($G$8-$F$8))))</f>
        <v>0.960297818723052</v>
      </c>
      <c r="E318" s="51" t="n">
        <f aca="false">1+IF($G$9=$E$9,$F$9,IF(S318&lt;($F$9-$E$9)/($G$9-$E$9),$E$9+SQRT(S318*($G$9-$E$9)*($F$9-$E$9)),$G$9-SQRT((1-S318)*($G$9-$E$9)*($G$9-$F$9))))</f>
        <v>1.08565634674092</v>
      </c>
      <c r="F318" s="51" t="n">
        <f aca="false">1+IF($G$10=$E$10,$F$10,IF(T318&lt;($F$10-$E$10)/($G$10-$E$10),$E$10+SQRT(T318*($G$10-$E$10)*($F$10-$E$10)),$G$10-SQRT((1-T318)*($G$10-$E$10)*($G$10-$F$10))))</f>
        <v>0.963365503508148</v>
      </c>
      <c r="G318" s="52" t="n">
        <f aca="false">IF($G$11=$E$11,$F$11,IF(U318&lt;($F$11-$E$11)/($G$11-$E$11),$E$11+SQRT(U318*($G$11-$E$11)*($F$11-$E$11)),$G$11-SQRT((1-U318)*($G$11-$E$11)*($G$11-$F$11))))</f>
        <v>0.0995463165488649</v>
      </c>
      <c r="H318" s="53" t="n">
        <f aca="false">(('Business Case'!B11*$C318*'Business Case'!B12*$B318)-'Business Case'!B11*$C318*'Business Case'!B13*$D318-'Business Case'!B14*$E318)-MAX(0,(('Business Case'!B11*$C318*'Business Case'!B12*$B318)-'Business Case'!B11*$C318*'Business Case'!B13*$D318-'Business Case'!B14*$E318))*'Business Case'!$B$7-'Business Case'!$B$8*('Business Case'!B11*$C318*'Business Case'!B12*$B318)-'Business Case'!B15*$F318</f>
        <v>-1926731007.0163</v>
      </c>
      <c r="I318" s="53" t="n">
        <f aca="false">(('Business Case'!C11*$C318*'Business Case'!C12*$B318)-'Business Case'!C11*$C318*'Business Case'!C13*$D318-'Business Case'!C14*$E318)-MAX(0,(('Business Case'!C11*$C318*'Business Case'!C12*$B318)-'Business Case'!C11*$C318*'Business Case'!C13*$D318-'Business Case'!C14*$E318))*'Business Case'!$B$7-'Business Case'!$B$8*(('Business Case'!C11*$C318*'Business Case'!C12*$B318)-('Business Case'!B11*$C318*'Business Case'!B12*$B318))-'Business Case'!C15*$F318</f>
        <v>-34285352.2433942</v>
      </c>
      <c r="J318" s="53" t="n">
        <f aca="false">(('Business Case'!D11*$C318*'Business Case'!D12*$B318)-'Business Case'!D11*$C318*'Business Case'!D13*$D318-'Business Case'!D14*$E318)-MAX(0,(('Business Case'!D11*$C318*'Business Case'!D12*$B318)-'Business Case'!D11*$C318*'Business Case'!D13*$D318-'Business Case'!D14*$E318))*'Business Case'!$B$7-'Business Case'!$B$8*(('Business Case'!D11*$C318*'Business Case'!D12*$B318)-('Business Case'!C11*$C318*'Business Case'!C12*$B318))-'Business Case'!D15*$F318</f>
        <v>226107782.207974</v>
      </c>
      <c r="K318" s="53" t="n">
        <f aca="false">(('Business Case'!E11*$C318*'Business Case'!E12*$B318)-'Business Case'!E11*$C318*'Business Case'!E13*$D318-'Business Case'!E14*$E318)-MAX(0,(('Business Case'!E11*$C318*'Business Case'!E12*$B318)-'Business Case'!E11*$C318*'Business Case'!E13*$D318-'Business Case'!E14*$E318))*'Business Case'!$B$7-'Business Case'!$B$8*(('Business Case'!E11*$C318*'Business Case'!E12*$B318)-('Business Case'!D11*$C318*'Business Case'!D12*$B318))-'Business Case'!E15*$F318</f>
        <v>534669191.834749</v>
      </c>
      <c r="L318" s="53" t="n">
        <f aca="false">(('Business Case'!F11*$C318*'Business Case'!F12*$B318)-'Business Case'!F11*$C318*'Business Case'!F13*$D318-'Business Case'!F14*$E318)-MAX(0,(('Business Case'!F11*$C318*'Business Case'!F12*$B318)-'Business Case'!F11*$C318*'Business Case'!F13*$D318-'Business Case'!F14*$E318))*'Business Case'!$B$7-'Business Case'!$B$8*(('Business Case'!F11*$C318*'Business Case'!F12*$B318)-('Business Case'!E11*$C318*'Business Case'!E12*$B318))-'Business Case'!F15*$F318</f>
        <v>650774639.210132</v>
      </c>
      <c r="M318" s="53" t="n">
        <f aca="false">(('Business Case'!G11*$C318*'Business Case'!G12*$B318)-'Business Case'!G11*$C318*'Business Case'!G13*$D318-'Business Case'!G14*$E318)-MAX(0,(('Business Case'!G11*$C318*'Business Case'!G12*$B318)-'Business Case'!G11*$C318*'Business Case'!G13*$D318-'Business Case'!G14*$E318))*'Business Case'!$B$7-'Business Case'!$B$8*(('Business Case'!G11*$C318*'Business Case'!G12*$B318)-('Business Case'!F11*$C318*'Business Case'!F12*$B318))-'Business Case'!G15*$F318+'Business Case'!$B$8*('Business Case'!G11*$C318*'Business Case'!G12*$B318)</f>
        <v>811967186.613891</v>
      </c>
      <c r="N318" s="53" t="n">
        <f aca="false">IF(COUNT('Business Case'!B11:G11)=0,"",H318+NPV(G318,I318:M318))</f>
        <v>-418259262.005946</v>
      </c>
      <c r="P318" s="54" t="n">
        <f aca="true">RAND()</f>
        <v>0.167687258063552</v>
      </c>
      <c r="Q318" s="54" t="n">
        <f aca="true">RAND()</f>
        <v>0.0990000042522637</v>
      </c>
      <c r="R318" s="54" t="n">
        <f aca="true">RAND()</f>
        <v>0.0163146262235122</v>
      </c>
      <c r="S318" s="54" t="n">
        <f aca="true">RAND()</f>
        <v>0.986283974078883</v>
      </c>
      <c r="T318" s="54" t="n">
        <f aca="true">RAND()</f>
        <v>0.0142909347221053</v>
      </c>
      <c r="U318" s="54" t="n">
        <f aca="true">RAND()</f>
        <v>0.303773865503774</v>
      </c>
    </row>
    <row r="319" customFormat="false" ht="15" hidden="false" customHeight="false" outlineLevel="0" collapsed="false">
      <c r="A319" s="50" t="n">
        <v>239</v>
      </c>
      <c r="B319" s="51" t="n">
        <f aca="false">1+IF($G$6=$E$6,$F$6,IF(P319&lt;($F$6-$E$6)/($G$6-$E$6),$E$6+SQRT(P319*($G$6-$E$6)*($F$6-$E$6)),$G$6-SQRT((1-P319)*($G$6-$E$6)*($G$6-$F$6))))</f>
        <v>0.99948968381274</v>
      </c>
      <c r="C319" s="51" t="n">
        <f aca="false">1+IF($G$7=$E$7,$F$7,IF(Q319&lt;($F$7-$E$7)/($G$7-$E$7),$E$7+SQRT(Q319*($G$7-$E$7)*($F$7-$E$7)),$G$7-SQRT((1-Q319)*($G$7-$E$7)*($G$7-$F$7))))</f>
        <v>0.978885594156028</v>
      </c>
      <c r="D319" s="51" t="n">
        <f aca="false">1+IF($G$8=$E$8,$F$8,IF(R319&lt;($F$8-$E$8)/($G$8-$E$8),$E$8+SQRT(R319*($G$8-$E$8)*($F$8-$E$8)),$G$8-SQRT((1-R319)*($G$8-$E$8)*($G$8-$F$8))))</f>
        <v>0.963399647637281</v>
      </c>
      <c r="E319" s="51" t="n">
        <f aca="false">1+IF($G$9=$E$9,$F$9,IF(S319&lt;($F$9-$E$9)/($G$9-$E$9),$E$9+SQRT(S319*($G$9-$E$9)*($F$9-$E$9)),$G$9-SQRT((1-S319)*($G$9-$E$9)*($G$9-$F$9))))</f>
        <v>1.07200333245655</v>
      </c>
      <c r="F319" s="51" t="n">
        <f aca="false">1+IF($G$10=$E$10,$F$10,IF(T319&lt;($F$10-$E$10)/($G$10-$E$10),$E$10+SQRT(T319*($G$10-$E$10)*($F$10-$E$10)),$G$10-SQRT((1-T319)*($G$10-$E$10)*($G$10-$F$10))))</f>
        <v>1.03349702822627</v>
      </c>
      <c r="G319" s="52" t="n">
        <f aca="false">IF($G$11=$E$11,$F$11,IF(U319&lt;($F$11-$E$11)/($G$11-$E$11),$E$11+SQRT(U319*($G$11-$E$11)*($F$11-$E$11)),$G$11-SQRT((1-U319)*($G$11-$E$11)*($G$11-$F$11))))</f>
        <v>0.0973676319026641</v>
      </c>
      <c r="H319" s="53" t="n">
        <f aca="false">(('Business Case'!B11*$C319*'Business Case'!B12*$B319)-'Business Case'!B11*$C319*'Business Case'!B13*$D319-'Business Case'!B14*$E319)-MAX(0,(('Business Case'!B11*$C319*'Business Case'!B12*$B319)-'Business Case'!B11*$C319*'Business Case'!B13*$D319-'Business Case'!B14*$E319))*'Business Case'!$B$7-'Business Case'!$B$8*('Business Case'!B11*$C319*'Business Case'!B12*$B319)-'Business Case'!B15*$F319</f>
        <v>-2066994056.45254</v>
      </c>
      <c r="I319" s="53" t="n">
        <f aca="false">(('Business Case'!C11*$C319*'Business Case'!C12*$B319)-'Business Case'!C11*$C319*'Business Case'!C13*$D319-'Business Case'!C14*$E319)-MAX(0,(('Business Case'!C11*$C319*'Business Case'!C12*$B319)-'Business Case'!C11*$C319*'Business Case'!C13*$D319-'Business Case'!C14*$E319))*'Business Case'!$B$7-'Business Case'!$B$8*(('Business Case'!C11*$C319*'Business Case'!C12*$B319)-('Business Case'!B11*$C319*'Business Case'!B12*$B319))-'Business Case'!C15*$F319</f>
        <v>12090241.472608</v>
      </c>
      <c r="J319" s="53" t="n">
        <f aca="false">(('Business Case'!D11*$C319*'Business Case'!D12*$B319)-'Business Case'!D11*$C319*'Business Case'!D13*$D319-'Business Case'!D14*$E319)-MAX(0,(('Business Case'!D11*$C319*'Business Case'!D12*$B319)-'Business Case'!D11*$C319*'Business Case'!D13*$D319-'Business Case'!D14*$E319))*'Business Case'!$B$7-'Business Case'!$B$8*(('Business Case'!D11*$C319*'Business Case'!D12*$B319)-('Business Case'!C11*$C319*'Business Case'!C12*$B319))-'Business Case'!D15*$F319</f>
        <v>330688592.630262</v>
      </c>
      <c r="K319" s="53" t="n">
        <f aca="false">(('Business Case'!E11*$C319*'Business Case'!E12*$B319)-'Business Case'!E11*$C319*'Business Case'!E13*$D319-'Business Case'!E14*$E319)-MAX(0,(('Business Case'!E11*$C319*'Business Case'!E12*$B319)-'Business Case'!E11*$C319*'Business Case'!E13*$D319-'Business Case'!E14*$E319))*'Business Case'!$B$7-'Business Case'!$B$8*(('Business Case'!E11*$C319*'Business Case'!E12*$B319)-('Business Case'!D11*$C319*'Business Case'!D12*$B319))-'Business Case'!E15*$F319</f>
        <v>700961795.199229</v>
      </c>
      <c r="L319" s="53" t="n">
        <f aca="false">(('Business Case'!F11*$C319*'Business Case'!F12*$B319)-'Business Case'!F11*$C319*'Business Case'!F13*$D319-'Business Case'!F14*$E319)-MAX(0,(('Business Case'!F11*$C319*'Business Case'!F12*$B319)-'Business Case'!F11*$C319*'Business Case'!F13*$D319-'Business Case'!F14*$E319))*'Business Case'!$B$7-'Business Case'!$B$8*(('Business Case'!F11*$C319*'Business Case'!F12*$B319)-('Business Case'!E11*$C319*'Business Case'!E12*$B319))-'Business Case'!F15*$F319</f>
        <v>840974267.576512</v>
      </c>
      <c r="M319" s="53" t="n">
        <f aca="false">(('Business Case'!G11*$C319*'Business Case'!G12*$B319)-'Business Case'!G11*$C319*'Business Case'!G13*$D319-'Business Case'!G14*$E319)-MAX(0,(('Business Case'!G11*$C319*'Business Case'!G12*$B319)-'Business Case'!G11*$C319*'Business Case'!G13*$D319-'Business Case'!G14*$E319))*'Business Case'!$B$7-'Business Case'!$B$8*(('Business Case'!G11*$C319*'Business Case'!G12*$B319)-('Business Case'!F11*$C319*'Business Case'!F12*$B319))-'Business Case'!G15*$F319+'Business Case'!$B$8*('Business Case'!G11*$C319*'Business Case'!G12*$B319)</f>
        <v>1026945888.5292</v>
      </c>
      <c r="N319" s="53" t="n">
        <f aca="false">IF(COUNT('Business Case'!B11:G11)=0,"",H319+NPV(G319,I319:M319))</f>
        <v>-25660003.2641544</v>
      </c>
      <c r="P319" s="54" t="n">
        <f aca="true">RAND()</f>
        <v>0.658188524234307</v>
      </c>
      <c r="Q319" s="54" t="n">
        <f aca="true">RAND()</f>
        <v>0.4571436542365</v>
      </c>
      <c r="R319" s="54" t="n">
        <f aca="true">RAND()</f>
        <v>0.0276231625851203</v>
      </c>
      <c r="S319" s="54" t="n">
        <f aca="true">RAND()</f>
        <v>0.94774577376409</v>
      </c>
      <c r="T319" s="54" t="n">
        <f aca="true">RAND()</f>
        <v>0.445535207810332</v>
      </c>
      <c r="U319" s="54" t="n">
        <f aca="true">RAND()</f>
        <v>0.180939999510512</v>
      </c>
    </row>
    <row r="320" customFormat="false" ht="15" hidden="false" customHeight="false" outlineLevel="0" collapsed="false">
      <c r="A320" s="50" t="n">
        <v>240</v>
      </c>
      <c r="B320" s="51" t="n">
        <f aca="false">1+IF($G$6=$E$6,$F$6,IF(P320&lt;($F$6-$E$6)/($G$6-$E$6),$E$6+SQRT(P320*($G$6-$E$6)*($F$6-$E$6)),$G$6-SQRT((1-P320)*($G$6-$E$6)*($G$6-$F$6))))</f>
        <v>0.934237103266561</v>
      </c>
      <c r="C320" s="51" t="n">
        <f aca="false">1+IF($G$7=$E$7,$F$7,IF(Q320&lt;($F$7-$E$7)/($G$7-$E$7),$E$7+SQRT(Q320*($G$7-$E$7)*($F$7-$E$7)),$G$7-SQRT((1-Q320)*($G$7-$E$7)*($G$7-$F$7))))</f>
        <v>1.01410991529439</v>
      </c>
      <c r="D320" s="51" t="n">
        <f aca="false">1+IF($G$8=$E$8,$F$8,IF(R320&lt;($F$8-$E$8)/($G$8-$E$8),$E$8+SQRT(R320*($G$8-$E$8)*($F$8-$E$8)),$G$8-SQRT((1-R320)*($G$8-$E$8)*($G$8-$F$8))))</f>
        <v>1.0348926264143</v>
      </c>
      <c r="E320" s="51" t="n">
        <f aca="false">1+IF($G$9=$E$9,$F$9,IF(S320&lt;($F$9-$E$9)/($G$9-$E$9),$E$9+SQRT(S320*($G$9-$E$9)*($F$9-$E$9)),$G$9-SQRT((1-S320)*($G$9-$E$9)*($G$9-$F$9))))</f>
        <v>1.02782362757939</v>
      </c>
      <c r="F320" s="51" t="n">
        <f aca="false">1+IF($G$10=$E$10,$F$10,IF(T320&lt;($F$10-$E$10)/($G$10-$E$10),$E$10+SQRT(T320*($G$10-$E$10)*($F$10-$E$10)),$G$10-SQRT((1-T320)*($G$10-$E$10)*($G$10-$F$10))))</f>
        <v>1.01169020166421</v>
      </c>
      <c r="G320" s="52" t="n">
        <f aca="false">IF($G$11=$E$11,$F$11,IF(U320&lt;($F$11-$E$11)/($G$11-$E$11),$E$11+SQRT(U320*($G$11-$E$11)*($F$11-$E$11)),$G$11-SQRT((1-U320)*($G$11-$E$11)*($G$11-$F$11))))</f>
        <v>0.0980606683709003</v>
      </c>
      <c r="H320" s="53" t="n">
        <f aca="false">(('Business Case'!B11*$C320*'Business Case'!B12*$B320)-'Business Case'!B11*$C320*'Business Case'!B13*$D320-'Business Case'!B14*$E320)-MAX(0,(('Business Case'!B11*$C320*'Business Case'!B12*$B320)-'Business Case'!B11*$C320*'Business Case'!B13*$D320-'Business Case'!B14*$E320))*'Business Case'!$B$7-'Business Case'!$B$8*('Business Case'!B11*$C320*'Business Case'!B12*$B320)-'Business Case'!B15*$F320</f>
        <v>-2023380403.32842</v>
      </c>
      <c r="I320" s="53" t="n">
        <f aca="false">(('Business Case'!C11*$C320*'Business Case'!C12*$B320)-'Business Case'!C11*$C320*'Business Case'!C13*$D320-'Business Case'!C14*$E320)-MAX(0,(('Business Case'!C11*$C320*'Business Case'!C12*$B320)-'Business Case'!C11*$C320*'Business Case'!C13*$D320-'Business Case'!C14*$E320))*'Business Case'!$B$7-'Business Case'!$B$8*(('Business Case'!C11*$C320*'Business Case'!C12*$B320)-('Business Case'!B11*$C320*'Business Case'!B12*$B320))-'Business Case'!C15*$F320</f>
        <v>-57692697.4172176</v>
      </c>
      <c r="J320" s="53" t="n">
        <f aca="false">(('Business Case'!D11*$C320*'Business Case'!D12*$B320)-'Business Case'!D11*$C320*'Business Case'!D13*$D320-'Business Case'!D14*$E320)-MAX(0,(('Business Case'!D11*$C320*'Business Case'!D12*$B320)-'Business Case'!D11*$C320*'Business Case'!D13*$D320-'Business Case'!D14*$E320))*'Business Case'!$B$7-'Business Case'!$B$8*(('Business Case'!D11*$C320*'Business Case'!D12*$B320)-('Business Case'!C11*$C320*'Business Case'!C12*$B320))-'Business Case'!D15*$F320</f>
        <v>181054351.818473</v>
      </c>
      <c r="K320" s="53" t="n">
        <f aca="false">(('Business Case'!E11*$C320*'Business Case'!E12*$B320)-'Business Case'!E11*$C320*'Business Case'!E13*$D320-'Business Case'!E14*$E320)-MAX(0,(('Business Case'!E11*$C320*'Business Case'!E12*$B320)-'Business Case'!E11*$C320*'Business Case'!E13*$D320-'Business Case'!E14*$E320))*'Business Case'!$B$7-'Business Case'!$B$8*(('Business Case'!E11*$C320*'Business Case'!E12*$B320)-('Business Case'!D11*$C320*'Business Case'!D12*$B320))-'Business Case'!E15*$F320</f>
        <v>470385911.137374</v>
      </c>
      <c r="L320" s="53" t="n">
        <f aca="false">(('Business Case'!F11*$C320*'Business Case'!F12*$B320)-'Business Case'!F11*$C320*'Business Case'!F13*$D320-'Business Case'!F14*$E320)-MAX(0,(('Business Case'!F11*$C320*'Business Case'!F12*$B320)-'Business Case'!F11*$C320*'Business Case'!F13*$D320-'Business Case'!F14*$E320))*'Business Case'!$B$7-'Business Case'!$B$8*(('Business Case'!F11*$C320*'Business Case'!F12*$B320)-('Business Case'!E11*$C320*'Business Case'!E12*$B320))-'Business Case'!F15*$F320</f>
        <v>582711065.312403</v>
      </c>
      <c r="M320" s="53" t="n">
        <f aca="false">(('Business Case'!G11*$C320*'Business Case'!G12*$B320)-'Business Case'!G11*$C320*'Business Case'!G13*$D320-'Business Case'!G14*$E320)-MAX(0,(('Business Case'!G11*$C320*'Business Case'!G12*$B320)-'Business Case'!G11*$C320*'Business Case'!G13*$D320-'Business Case'!G14*$E320))*'Business Case'!$B$7-'Business Case'!$B$8*(('Business Case'!G11*$C320*'Business Case'!G12*$B320)-('Business Case'!F11*$C320*'Business Case'!F12*$B320))-'Business Case'!G15*$F320+'Business Case'!$B$8*('Business Case'!G11*$C320*'Business Case'!G12*$B320)</f>
        <v>762796489.676296</v>
      </c>
      <c r="N320" s="53" t="n">
        <f aca="false">IF(COUNT('Business Case'!B11:G11)=0,"",H320+NPV(G320,I320:M320))</f>
        <v>-691823918.441917</v>
      </c>
      <c r="P320" s="54" t="n">
        <f aca="true">RAND()</f>
        <v>0.0211140738982014</v>
      </c>
      <c r="Q320" s="54" t="n">
        <f aca="true">RAND()</f>
        <v>0.648264473880044</v>
      </c>
      <c r="R320" s="54" t="n">
        <f aca="true">RAND()</f>
        <v>0.804358158480748</v>
      </c>
      <c r="S320" s="54" t="n">
        <f aca="true">RAND()</f>
        <v>0.652704750946763</v>
      </c>
      <c r="T320" s="54" t="n">
        <f aca="true">RAND()</f>
        <v>0.290788397014667</v>
      </c>
      <c r="U320" s="54" t="n">
        <f aca="true">RAND()</f>
        <v>0.216581248618773</v>
      </c>
    </row>
    <row r="321" customFormat="false" ht="15" hidden="false" customHeight="false" outlineLevel="0" collapsed="false">
      <c r="A321" s="50" t="n">
        <v>241</v>
      </c>
      <c r="B321" s="51" t="n">
        <f aca="false">1+IF($G$6=$E$6,$F$6,IF(P321&lt;($F$6-$E$6)/($G$6-$E$6),$E$6+SQRT(P321*($G$6-$E$6)*($F$6-$E$6)),$G$6-SQRT((1-P321)*($G$6-$E$6)*($G$6-$F$6))))</f>
        <v>1.00167548396589</v>
      </c>
      <c r="C321" s="51" t="n">
        <f aca="false">1+IF($G$7=$E$7,$F$7,IF(Q321&lt;($F$7-$E$7)/($G$7-$E$7),$E$7+SQRT(Q321*($G$7-$E$7)*($F$7-$E$7)),$G$7-SQRT((1-Q321)*($G$7-$E$7)*($G$7-$F$7))))</f>
        <v>0.978441114965159</v>
      </c>
      <c r="D321" s="51" t="n">
        <f aca="false">1+IF($G$8=$E$8,$F$8,IF(R321&lt;($F$8-$E$8)/($G$8-$E$8),$E$8+SQRT(R321*($G$8-$E$8)*($F$8-$E$8)),$G$8-SQRT((1-R321)*($G$8-$E$8)*($G$8-$F$8))))</f>
        <v>1.03877291870314</v>
      </c>
      <c r="E321" s="51" t="n">
        <f aca="false">1+IF($G$9=$E$9,$F$9,IF(S321&lt;($F$9-$E$9)/($G$9-$E$9),$E$9+SQRT(S321*($G$9-$E$9)*($F$9-$E$9)),$G$9-SQRT((1-S321)*($G$9-$E$9)*($G$9-$F$9))))</f>
        <v>1.05970582247018</v>
      </c>
      <c r="F321" s="51" t="n">
        <f aca="false">1+IF($G$10=$E$10,$F$10,IF(T321&lt;($F$10-$E$10)/($G$10-$E$10),$E$10+SQRT(T321*($G$10-$E$10)*($F$10-$E$10)),$G$10-SQRT((1-T321)*($G$10-$E$10)*($G$10-$F$10))))</f>
        <v>1.03104236660348</v>
      </c>
      <c r="G321" s="52" t="n">
        <f aca="false">IF($G$11=$E$11,$F$11,IF(U321&lt;($F$11-$E$11)/($G$11-$E$11),$E$11+SQRT(U321*($G$11-$E$11)*($F$11-$E$11)),$G$11-SQRT((1-U321)*($G$11-$E$11)*($G$11-$F$11))))</f>
        <v>0.10981945103108</v>
      </c>
      <c r="H321" s="53" t="n">
        <f aca="false">(('Business Case'!B11*$C321*'Business Case'!B12*$B321)-'Business Case'!B11*$C321*'Business Case'!B13*$D321-'Business Case'!B14*$E321)-MAX(0,(('Business Case'!B11*$C321*'Business Case'!B12*$B321)-'Business Case'!B11*$C321*'Business Case'!B13*$D321-'Business Case'!B14*$E321))*'Business Case'!$B$7-'Business Case'!$B$8*('Business Case'!B11*$C321*'Business Case'!B12*$B321)-'Business Case'!B15*$F321</f>
        <v>-2062084733.20697</v>
      </c>
      <c r="I321" s="53" t="n">
        <f aca="false">(('Business Case'!C11*$C321*'Business Case'!C12*$B321)-'Business Case'!C11*$C321*'Business Case'!C13*$D321-'Business Case'!C14*$E321)-MAX(0,(('Business Case'!C11*$C321*'Business Case'!C12*$B321)-'Business Case'!C11*$C321*'Business Case'!C13*$D321-'Business Case'!C14*$E321))*'Business Case'!$B$7-'Business Case'!$B$8*(('Business Case'!C11*$C321*'Business Case'!C12*$B321)-('Business Case'!B11*$C321*'Business Case'!B12*$B321))-'Business Case'!C15*$F321</f>
        <v>-22149593.5344131</v>
      </c>
      <c r="J321" s="53" t="n">
        <f aca="false">(('Business Case'!D11*$C321*'Business Case'!D12*$B321)-'Business Case'!D11*$C321*'Business Case'!D13*$D321-'Business Case'!D14*$E321)-MAX(0,(('Business Case'!D11*$C321*'Business Case'!D12*$B321)-'Business Case'!D11*$C321*'Business Case'!D13*$D321-'Business Case'!D14*$E321))*'Business Case'!$B$7-'Business Case'!$B$8*(('Business Case'!D11*$C321*'Business Case'!D12*$B321)-('Business Case'!C11*$C321*'Business Case'!C12*$B321))-'Business Case'!D15*$F321</f>
        <v>260302589.493376</v>
      </c>
      <c r="K321" s="53" t="n">
        <f aca="false">(('Business Case'!E11*$C321*'Business Case'!E12*$B321)-'Business Case'!E11*$C321*'Business Case'!E13*$D321-'Business Case'!E14*$E321)-MAX(0,(('Business Case'!E11*$C321*'Business Case'!E12*$B321)-'Business Case'!E11*$C321*'Business Case'!E13*$D321-'Business Case'!E14*$E321))*'Business Case'!$B$7-'Business Case'!$B$8*(('Business Case'!E11*$C321*'Business Case'!E12*$B321)-('Business Case'!D11*$C321*'Business Case'!D12*$B321))-'Business Case'!E15*$F321</f>
        <v>594306890.851339</v>
      </c>
      <c r="L321" s="53" t="n">
        <f aca="false">(('Business Case'!F11*$C321*'Business Case'!F12*$B321)-'Business Case'!F11*$C321*'Business Case'!F13*$D321-'Business Case'!F14*$E321)-MAX(0,(('Business Case'!F11*$C321*'Business Case'!F12*$B321)-'Business Case'!F11*$C321*'Business Case'!F13*$D321-'Business Case'!F14*$E321))*'Business Case'!$B$7-'Business Case'!$B$8*(('Business Case'!F11*$C321*'Business Case'!F12*$B321)-('Business Case'!E11*$C321*'Business Case'!E12*$B321))-'Business Case'!F15*$F321</f>
        <v>722329199.824998</v>
      </c>
      <c r="M321" s="53" t="n">
        <f aca="false">(('Business Case'!G11*$C321*'Business Case'!G12*$B321)-'Business Case'!G11*$C321*'Business Case'!G13*$D321-'Business Case'!G14*$E321)-MAX(0,(('Business Case'!G11*$C321*'Business Case'!G12*$B321)-'Business Case'!G11*$C321*'Business Case'!G13*$D321-'Business Case'!G14*$E321))*'Business Case'!$B$7-'Business Case'!$B$8*(('Business Case'!G11*$C321*'Business Case'!G12*$B321)-('Business Case'!F11*$C321*'Business Case'!F12*$B321))-'Business Case'!G15*$F321+'Business Case'!$B$8*('Business Case'!G11*$C321*'Business Case'!G12*$B321)</f>
        <v>908622896.962509</v>
      </c>
      <c r="N321" s="53" t="n">
        <f aca="false">IF(COUNT('Business Case'!B11:G11)=0,"",H321+NPV(G321,I321:M321))</f>
        <v>-420149662.692151</v>
      </c>
      <c r="P321" s="54" t="n">
        <f aca="true">RAND()</f>
        <v>0.694006556406531</v>
      </c>
      <c r="Q321" s="54" t="n">
        <f aca="true">RAND()</f>
        <v>0.454874735857274</v>
      </c>
      <c r="R321" s="54" t="n">
        <f aca="true">RAND()</f>
        <v>0.836569977667543</v>
      </c>
      <c r="S321" s="54" t="n">
        <f aca="true">RAND()</f>
        <v>0.891758617146368</v>
      </c>
      <c r="T321" s="54" t="n">
        <f aca="true">RAND()</f>
        <v>0.429066362340964</v>
      </c>
      <c r="U321" s="54" t="n">
        <f aca="true">RAND()</f>
        <v>0.827260704485711</v>
      </c>
    </row>
    <row r="322" customFormat="false" ht="15" hidden="false" customHeight="false" outlineLevel="0" collapsed="false">
      <c r="A322" s="50" t="n">
        <v>242</v>
      </c>
      <c r="B322" s="51" t="n">
        <f aca="false">1+IF($G$6=$E$6,$F$6,IF(P322&lt;($F$6-$E$6)/($G$6-$E$6),$E$6+SQRT(P322*($G$6-$E$6)*($F$6-$E$6)),$G$6-SQRT((1-P322)*($G$6-$E$6)*($G$6-$F$6))))</f>
        <v>0.999609790062931</v>
      </c>
      <c r="C322" s="51" t="n">
        <f aca="false">1+IF($G$7=$E$7,$F$7,IF(Q322&lt;($F$7-$E$7)/($G$7-$E$7),$E$7+SQRT(Q322*($G$7-$E$7)*($F$7-$E$7)),$G$7-SQRT((1-Q322)*($G$7-$E$7)*($G$7-$F$7))))</f>
        <v>1.12340397839069</v>
      </c>
      <c r="D322" s="51" t="n">
        <f aca="false">1+IF($G$8=$E$8,$F$8,IF(R322&lt;($F$8-$E$8)/($G$8-$E$8),$E$8+SQRT(R322*($G$8-$E$8)*($F$8-$E$8)),$G$8-SQRT((1-R322)*($G$8-$E$8)*($G$8-$F$8))))</f>
        <v>1.0186072539582</v>
      </c>
      <c r="E322" s="51" t="n">
        <f aca="false">1+IF($G$9=$E$9,$F$9,IF(S322&lt;($F$9-$E$9)/($G$9-$E$9),$E$9+SQRT(S322*($G$9-$E$9)*($F$9-$E$9)),$G$9-SQRT((1-S322)*($G$9-$E$9)*($G$9-$F$9))))</f>
        <v>1.02460822154427</v>
      </c>
      <c r="F322" s="51" t="n">
        <f aca="false">1+IF($G$10=$E$10,$F$10,IF(T322&lt;($F$10-$E$10)/($G$10-$E$10),$E$10+SQRT(T322*($G$10-$E$10)*($F$10-$E$10)),$G$10-SQRT((1-T322)*($G$10-$E$10)*($G$10-$F$10))))</f>
        <v>1.01457709497741</v>
      </c>
      <c r="G322" s="52" t="n">
        <f aca="false">IF($G$11=$E$11,$F$11,IF(U322&lt;($F$11-$E$11)/($G$11-$E$11),$E$11+SQRT(U322*($G$11-$E$11)*($F$11-$E$11)),$G$11-SQRT((1-U322)*($G$11-$E$11)*($G$11-$F$11))))</f>
        <v>0.0984201533943114</v>
      </c>
      <c r="H322" s="53" t="n">
        <f aca="false">(('Business Case'!B11*$C322*'Business Case'!B12*$B322)-'Business Case'!B11*$C322*'Business Case'!B13*$D322-'Business Case'!B14*$E322)-MAX(0,(('Business Case'!B11*$C322*'Business Case'!B12*$B322)-'Business Case'!B11*$C322*'Business Case'!B13*$D322-'Business Case'!B14*$E322))*'Business Case'!$B$7-'Business Case'!$B$8*('Business Case'!B11*$C322*'Business Case'!B12*$B322)-'Business Case'!B15*$F322</f>
        <v>-2029154189.95481</v>
      </c>
      <c r="I322" s="53" t="n">
        <f aca="false">(('Business Case'!C11*$C322*'Business Case'!C12*$B322)-'Business Case'!C11*$C322*'Business Case'!C13*$D322-'Business Case'!C14*$E322)-MAX(0,(('Business Case'!C11*$C322*'Business Case'!C12*$B322)-'Business Case'!C11*$C322*'Business Case'!C13*$D322-'Business Case'!C14*$E322))*'Business Case'!$B$7-'Business Case'!$B$8*(('Business Case'!C11*$C322*'Business Case'!C12*$B322)-('Business Case'!B11*$C322*'Business Case'!B12*$B322))-'Business Case'!C15*$F322</f>
        <v>28624290.6625126</v>
      </c>
      <c r="J322" s="53" t="n">
        <f aca="false">(('Business Case'!D11*$C322*'Business Case'!D12*$B322)-'Business Case'!D11*$C322*'Business Case'!D13*$D322-'Business Case'!D14*$E322)-MAX(0,(('Business Case'!D11*$C322*'Business Case'!D12*$B322)-'Business Case'!D11*$C322*'Business Case'!D13*$D322-'Business Case'!D14*$E322))*'Business Case'!$B$7-'Business Case'!$B$8*(('Business Case'!D11*$C322*'Business Case'!D12*$B322)-('Business Case'!C11*$C322*'Business Case'!C12*$B322))-'Business Case'!D15*$F322</f>
        <v>362620117.407701</v>
      </c>
      <c r="K322" s="53" t="n">
        <f aca="false">(('Business Case'!E11*$C322*'Business Case'!E12*$B322)-'Business Case'!E11*$C322*'Business Case'!E13*$D322-'Business Case'!E14*$E322)-MAX(0,(('Business Case'!E11*$C322*'Business Case'!E12*$B322)-'Business Case'!E11*$C322*'Business Case'!E13*$D322-'Business Case'!E14*$E322))*'Business Case'!$B$7-'Business Case'!$B$8*(('Business Case'!E11*$C322*'Business Case'!E12*$B322)-('Business Case'!D11*$C322*'Business Case'!D12*$B322))-'Business Case'!E15*$F322</f>
        <v>747344798.901761</v>
      </c>
      <c r="L322" s="53" t="n">
        <f aca="false">(('Business Case'!F11*$C322*'Business Case'!F12*$B322)-'Business Case'!F11*$C322*'Business Case'!F13*$D322-'Business Case'!F14*$E322)-MAX(0,(('Business Case'!F11*$C322*'Business Case'!F12*$B322)-'Business Case'!F11*$C322*'Business Case'!F13*$D322-'Business Case'!F14*$E322))*'Business Case'!$B$7-'Business Case'!$B$8*(('Business Case'!F11*$C322*'Business Case'!F12*$B322)-('Business Case'!E11*$C322*'Business Case'!E12*$B322))-'Business Case'!F15*$F322</f>
        <v>897486432.804384</v>
      </c>
      <c r="M322" s="53" t="n">
        <f aca="false">(('Business Case'!G11*$C322*'Business Case'!G12*$B322)-'Business Case'!G11*$C322*'Business Case'!G13*$D322-'Business Case'!G14*$E322)-MAX(0,(('Business Case'!G11*$C322*'Business Case'!G12*$B322)-'Business Case'!G11*$C322*'Business Case'!G13*$D322-'Business Case'!G14*$E322))*'Business Case'!$B$7-'Business Case'!$B$8*(('Business Case'!G11*$C322*'Business Case'!G12*$B322)-('Business Case'!F11*$C322*'Business Case'!F12*$B322))-'Business Case'!G15*$F322+'Business Case'!$B$8*('Business Case'!G11*$C322*'Business Case'!G12*$B322)</f>
        <v>1110939736.90263</v>
      </c>
      <c r="N322" s="53" t="n">
        <f aca="false">IF(COUNT('Business Case'!B11:G11)=0,"",H322+NPV(G322,I322:M322))</f>
        <v>172682267.668829</v>
      </c>
      <c r="P322" s="54" t="n">
        <f aca="true">RAND()</f>
        <v>0.660179028527487</v>
      </c>
      <c r="Q322" s="54" t="n">
        <f aca="true">RAND()</f>
        <v>0.986526697801087</v>
      </c>
      <c r="R322" s="54" t="n">
        <f aca="true">RAND()</f>
        <v>0.637589493600664</v>
      </c>
      <c r="S322" s="54" t="n">
        <f aca="true">RAND()</f>
        <v>0.621071982752183</v>
      </c>
      <c r="T322" s="54" t="n">
        <f aca="true">RAND()</f>
        <v>0.312366925859649</v>
      </c>
      <c r="U322" s="54" t="n">
        <f aca="true">RAND()</f>
        <v>0.236329943945778</v>
      </c>
    </row>
    <row r="323" customFormat="false" ht="15" hidden="false" customHeight="false" outlineLevel="0" collapsed="false">
      <c r="A323" s="50" t="n">
        <v>243</v>
      </c>
      <c r="B323" s="51" t="n">
        <f aca="false">1+IF($G$6=$E$6,$F$6,IF(P323&lt;($F$6-$E$6)/($G$6-$E$6),$E$6+SQRT(P323*($G$6-$E$6)*($F$6-$E$6)),$G$6-SQRT((1-P323)*($G$6-$E$6)*($G$6-$F$6))))</f>
        <v>0.994135074315953</v>
      </c>
      <c r="C323" s="51" t="n">
        <f aca="false">1+IF($G$7=$E$7,$F$7,IF(Q323&lt;($F$7-$E$7)/($G$7-$E$7),$E$7+SQRT(Q323*($G$7-$E$7)*($F$7-$E$7)),$G$7-SQRT((1-Q323)*($G$7-$E$7)*($G$7-$F$7))))</f>
        <v>1.09700163909248</v>
      </c>
      <c r="D323" s="51" t="n">
        <f aca="false">1+IF($G$8=$E$8,$F$8,IF(R323&lt;($F$8-$E$8)/($G$8-$E$8),$E$8+SQRT(R323*($G$8-$E$8)*($F$8-$E$8)),$G$8-SQRT((1-R323)*($G$8-$E$8)*($G$8-$F$8))))</f>
        <v>1.0082418897094</v>
      </c>
      <c r="E323" s="51" t="n">
        <f aca="false">1+IF($G$9=$E$9,$F$9,IF(S323&lt;($F$9-$E$9)/($G$9-$E$9),$E$9+SQRT(S323*($G$9-$E$9)*($F$9-$E$9)),$G$9-SQRT((1-S323)*($G$9-$E$9)*($G$9-$F$9))))</f>
        <v>0.965651519928296</v>
      </c>
      <c r="F323" s="51" t="n">
        <f aca="false">1+IF($G$10=$E$10,$F$10,IF(T323&lt;($F$10-$E$10)/($G$10-$E$10),$E$10+SQRT(T323*($G$10-$E$10)*($F$10-$E$10)),$G$10-SQRT((1-T323)*($G$10-$E$10)*($G$10-$F$10))))</f>
        <v>1.15031148427434</v>
      </c>
      <c r="G323" s="52" t="n">
        <f aca="false">IF($G$11=$E$11,$F$11,IF(U323&lt;($F$11-$E$11)/($G$11-$E$11),$E$11+SQRT(U323*($G$11-$E$11)*($F$11-$E$11)),$G$11-SQRT((1-U323)*($G$11-$E$11)*($G$11-$F$11))))</f>
        <v>0.0971410951985778</v>
      </c>
      <c r="H323" s="53" t="n">
        <f aca="false">(('Business Case'!B11*$C323*'Business Case'!B12*$B323)-'Business Case'!B11*$C323*'Business Case'!B13*$D323-'Business Case'!B14*$E323)-MAX(0,(('Business Case'!B11*$C323*'Business Case'!B12*$B323)-'Business Case'!B11*$C323*'Business Case'!B13*$D323-'Business Case'!B14*$E323))*'Business Case'!$B$7-'Business Case'!$B$8*('Business Case'!B11*$C323*'Business Case'!B12*$B323)-'Business Case'!B15*$F323</f>
        <v>-2300622968.54867</v>
      </c>
      <c r="I323" s="53" t="n">
        <f aca="false">(('Business Case'!C11*$C323*'Business Case'!C12*$B323)-'Business Case'!C11*$C323*'Business Case'!C13*$D323-'Business Case'!C14*$E323)-MAX(0,(('Business Case'!C11*$C323*'Business Case'!C12*$B323)-'Business Case'!C11*$C323*'Business Case'!C13*$D323-'Business Case'!C14*$E323))*'Business Case'!$B$7-'Business Case'!$B$8*(('Business Case'!C11*$C323*'Business Case'!C12*$B323)-('Business Case'!B11*$C323*'Business Case'!B12*$B323))-'Business Case'!C15*$F323</f>
        <v>18166188.9414036</v>
      </c>
      <c r="J323" s="53" t="n">
        <f aca="false">(('Business Case'!D11*$C323*'Business Case'!D12*$B323)-'Business Case'!D11*$C323*'Business Case'!D13*$D323-'Business Case'!D14*$E323)-MAX(0,(('Business Case'!D11*$C323*'Business Case'!D12*$B323)-'Business Case'!D11*$C323*'Business Case'!D13*$D323-'Business Case'!D14*$E323))*'Business Case'!$B$7-'Business Case'!$B$8*(('Business Case'!D11*$C323*'Business Case'!D12*$B323)-('Business Case'!C11*$C323*'Business Case'!C12*$B323))-'Business Case'!D15*$F323</f>
        <v>345214207.507288</v>
      </c>
      <c r="K323" s="53" t="n">
        <f aca="false">(('Business Case'!E11*$C323*'Business Case'!E12*$B323)-'Business Case'!E11*$C323*'Business Case'!E13*$D323-'Business Case'!E14*$E323)-MAX(0,(('Business Case'!E11*$C323*'Business Case'!E12*$B323)-'Business Case'!E11*$C323*'Business Case'!E13*$D323-'Business Case'!E14*$E323))*'Business Case'!$B$7-'Business Case'!$B$8*(('Business Case'!E11*$C323*'Business Case'!E12*$B323)-('Business Case'!D11*$C323*'Business Case'!D12*$B323))-'Business Case'!E15*$F323</f>
        <v>729777800.286889</v>
      </c>
      <c r="L323" s="53" t="n">
        <f aca="false">(('Business Case'!F11*$C323*'Business Case'!F12*$B323)-'Business Case'!F11*$C323*'Business Case'!F13*$D323-'Business Case'!F14*$E323)-MAX(0,(('Business Case'!F11*$C323*'Business Case'!F12*$B323)-'Business Case'!F11*$C323*'Business Case'!F13*$D323-'Business Case'!F14*$E323))*'Business Case'!$B$7-'Business Case'!$B$8*(('Business Case'!F11*$C323*'Business Case'!F12*$B323)-('Business Case'!E11*$C323*'Business Case'!E12*$B323))-'Business Case'!F15*$F323</f>
        <v>876483829.851012</v>
      </c>
      <c r="M323" s="53" t="n">
        <f aca="false">(('Business Case'!G11*$C323*'Business Case'!G12*$B323)-'Business Case'!G11*$C323*'Business Case'!G13*$D323-'Business Case'!G14*$E323)-MAX(0,(('Business Case'!G11*$C323*'Business Case'!G12*$B323)-'Business Case'!G11*$C323*'Business Case'!G13*$D323-'Business Case'!G14*$E323))*'Business Case'!$B$7-'Business Case'!$B$8*(('Business Case'!G11*$C323*'Business Case'!G12*$B323)-('Business Case'!F11*$C323*'Business Case'!F12*$B323))-'Business Case'!G15*$F323+'Business Case'!$B$8*('Business Case'!G11*$C323*'Business Case'!G12*$B323)</f>
        <v>1083778958.41624</v>
      </c>
      <c r="N323" s="53" t="n">
        <f aca="false">IF(COUNT('Business Case'!B11:G11)=0,"",H323+NPV(G323,I323:M323))</f>
        <v>-158015763.336133</v>
      </c>
      <c r="P323" s="54" t="n">
        <f aca="true">RAND()</f>
        <v>0.572500962899146</v>
      </c>
      <c r="Q323" s="54" t="n">
        <f aca="true">RAND()</f>
        <v>0.946498547449829</v>
      </c>
      <c r="R323" s="54" t="n">
        <f aca="true">RAND()</f>
        <v>0.504882077646354</v>
      </c>
      <c r="S323" s="54" t="n">
        <f aca="true">RAND()</f>
        <v>0.03266267680878</v>
      </c>
      <c r="T323" s="54" t="n">
        <f aca="true">RAND()</f>
        <v>0.950621028099608</v>
      </c>
      <c r="U323" s="54" t="n">
        <f aca="true">RAND()</f>
        <v>0.169984135450502</v>
      </c>
    </row>
    <row r="324" customFormat="false" ht="15" hidden="false" customHeight="false" outlineLevel="0" collapsed="false">
      <c r="A324" s="50" t="n">
        <v>244</v>
      </c>
      <c r="B324" s="51" t="n">
        <f aca="false">1+IF($G$6=$E$6,$F$6,IF(P324&lt;($F$6-$E$6)/($G$6-$E$6),$E$6+SQRT(P324*($G$6-$E$6)*($F$6-$E$6)),$G$6-SQRT((1-P324)*($G$6-$E$6)*($G$6-$F$6))))</f>
        <v>0.984029528063094</v>
      </c>
      <c r="C324" s="51" t="n">
        <f aca="false">1+IF($G$7=$E$7,$F$7,IF(Q324&lt;($F$7-$E$7)/($G$7-$E$7),$E$7+SQRT(Q324*($G$7-$E$7)*($F$7-$E$7)),$G$7-SQRT((1-Q324)*($G$7-$E$7)*($G$7-$F$7))))</f>
        <v>1.05092378402067</v>
      </c>
      <c r="D324" s="51" t="n">
        <f aca="false">1+IF($G$8=$E$8,$F$8,IF(R324&lt;($F$8-$E$8)/($G$8-$E$8),$E$8+SQRT(R324*($G$8-$E$8)*($F$8-$E$8)),$G$8-SQRT((1-R324)*($G$8-$E$8)*($G$8-$F$8))))</f>
        <v>0.999819657835579</v>
      </c>
      <c r="E324" s="51" t="n">
        <f aca="false">1+IF($G$9=$E$9,$F$9,IF(S324&lt;($F$9-$E$9)/($G$9-$E$9),$E$9+SQRT(S324*($G$9-$E$9)*($F$9-$E$9)),$G$9-SQRT((1-S324)*($G$9-$E$9)*($G$9-$F$9))))</f>
        <v>0.970229300853014</v>
      </c>
      <c r="F324" s="51" t="n">
        <f aca="false">1+IF($G$10=$E$10,$F$10,IF(T324&lt;($F$10-$E$10)/($G$10-$E$10),$E$10+SQRT(T324*($G$10-$E$10)*($F$10-$E$10)),$G$10-SQRT((1-T324)*($G$10-$E$10)*($G$10-$F$10))))</f>
        <v>1.03053662496564</v>
      </c>
      <c r="G324" s="52" t="n">
        <f aca="false">IF($G$11=$E$11,$F$11,IF(U324&lt;($F$11-$E$11)/($G$11-$E$11),$E$11+SQRT(U324*($G$11-$E$11)*($F$11-$E$11)),$G$11-SQRT((1-U324)*($G$11-$E$11)*($G$11-$F$11))))</f>
        <v>0.0999850190047499</v>
      </c>
      <c r="H324" s="53" t="n">
        <f aca="false">(('Business Case'!B11*$C324*'Business Case'!B12*$B324)-'Business Case'!B11*$C324*'Business Case'!B13*$D324-'Business Case'!B14*$E324)-MAX(0,(('Business Case'!B11*$C324*'Business Case'!B12*$B324)-'Business Case'!B11*$C324*'Business Case'!B13*$D324-'Business Case'!B14*$E324))*'Business Case'!$B$7-'Business Case'!$B$8*('Business Case'!B11*$C324*'Business Case'!B12*$B324)-'Business Case'!B15*$F324</f>
        <v>-2061073249.93128</v>
      </c>
      <c r="I324" s="53" t="n">
        <f aca="false">(('Business Case'!C11*$C324*'Business Case'!C12*$B324)-'Business Case'!C11*$C324*'Business Case'!C13*$D324-'Business Case'!C14*$E324)-MAX(0,(('Business Case'!C11*$C324*'Business Case'!C12*$B324)-'Business Case'!C11*$C324*'Business Case'!C13*$D324-'Business Case'!C14*$E324))*'Business Case'!$B$7-'Business Case'!$B$8*(('Business Case'!C11*$C324*'Business Case'!C12*$B324)-('Business Case'!B11*$C324*'Business Case'!B12*$B324))-'Business Case'!C15*$F324</f>
        <v>14513176.9915896</v>
      </c>
      <c r="J324" s="53" t="n">
        <f aca="false">(('Business Case'!D11*$C324*'Business Case'!D12*$B324)-'Business Case'!D11*$C324*'Business Case'!D13*$D324-'Business Case'!D14*$E324)-MAX(0,(('Business Case'!D11*$C324*'Business Case'!D12*$B324)-'Business Case'!D11*$C324*'Business Case'!D13*$D324-'Business Case'!D14*$E324))*'Business Case'!$B$7-'Business Case'!$B$8*(('Business Case'!D11*$C324*'Business Case'!D12*$B324)-('Business Case'!C11*$C324*'Business Case'!C12*$B324))-'Business Case'!D15*$F324</f>
        <v>323656442.486854</v>
      </c>
      <c r="K324" s="53" t="n">
        <f aca="false">(('Business Case'!E11*$C324*'Business Case'!E12*$B324)-'Business Case'!E11*$C324*'Business Case'!E13*$D324-'Business Case'!E14*$E324)-MAX(0,(('Business Case'!E11*$C324*'Business Case'!E12*$B324)-'Business Case'!E11*$C324*'Business Case'!E13*$D324-'Business Case'!E14*$E324))*'Business Case'!$B$7-'Business Case'!$B$8*(('Business Case'!E11*$C324*'Business Case'!E12*$B324)-('Business Case'!D11*$C324*'Business Case'!D12*$B324))-'Business Case'!E15*$F324</f>
        <v>684326539.2304</v>
      </c>
      <c r="L324" s="53" t="n">
        <f aca="false">(('Business Case'!F11*$C324*'Business Case'!F12*$B324)-'Business Case'!F11*$C324*'Business Case'!F13*$D324-'Business Case'!F14*$E324)-MAX(0,(('Business Case'!F11*$C324*'Business Case'!F12*$B324)-'Business Case'!F11*$C324*'Business Case'!F13*$D324-'Business Case'!F14*$E324))*'Business Case'!$B$7-'Business Case'!$B$8*(('Business Case'!F11*$C324*'Business Case'!F12*$B324)-('Business Case'!E11*$C324*'Business Case'!E12*$B324))-'Business Case'!F15*$F324</f>
        <v>823114174.012696</v>
      </c>
      <c r="M324" s="53" t="n">
        <f aca="false">(('Business Case'!G11*$C324*'Business Case'!G12*$B324)-'Business Case'!G11*$C324*'Business Case'!G13*$D324-'Business Case'!G14*$E324)-MAX(0,(('Business Case'!G11*$C324*'Business Case'!G12*$B324)-'Business Case'!G11*$C324*'Business Case'!G13*$D324-'Business Case'!G14*$E324))*'Business Case'!$B$7-'Business Case'!$B$8*(('Business Case'!G11*$C324*'Business Case'!G12*$B324)-('Business Case'!F11*$C324*'Business Case'!F12*$B324))-'Business Case'!G15*$F324+'Business Case'!$B$8*('Business Case'!G11*$C324*'Business Case'!G12*$B324)</f>
        <v>1019683511.90734</v>
      </c>
      <c r="N324" s="53" t="n">
        <f aca="false">IF(COUNT('Business Case'!B11:G11)=0,"",H324+NPV(G324,I324:M324))</f>
        <v>-70806624.2033792</v>
      </c>
      <c r="P324" s="54" t="n">
        <f aca="true">RAND()</f>
        <v>0.427060464998175</v>
      </c>
      <c r="Q324" s="54" t="n">
        <f aca="true">RAND()</f>
        <v>0.813026731946993</v>
      </c>
      <c r="R324" s="54" t="n">
        <f aca="true">RAND()</f>
        <v>0.381845893362173</v>
      </c>
      <c r="S324" s="54" t="n">
        <f aca="true">RAND()</f>
        <v>0.0545632817335651</v>
      </c>
      <c r="T324" s="54" t="n">
        <f aca="true">RAND()</f>
        <v>0.425643290439275</v>
      </c>
      <c r="U324" s="54" t="n">
        <f aca="true">RAND()</f>
        <v>0.332335348417391</v>
      </c>
    </row>
    <row r="325" customFormat="false" ht="15" hidden="false" customHeight="false" outlineLevel="0" collapsed="false">
      <c r="A325" s="50" t="n">
        <v>245</v>
      </c>
      <c r="B325" s="51" t="n">
        <f aca="false">1+IF($G$6=$E$6,$F$6,IF(P325&lt;($F$6-$E$6)/($G$6-$E$6),$E$6+SQRT(P325*($G$6-$E$6)*($F$6-$E$6)),$G$6-SQRT((1-P325)*($G$6-$E$6)*($G$6-$F$6))))</f>
        <v>0.967201259080674</v>
      </c>
      <c r="C325" s="51" t="n">
        <f aca="false">1+IF($G$7=$E$7,$F$7,IF(Q325&lt;($F$7-$E$7)/($G$7-$E$7),$E$7+SQRT(Q325*($G$7-$E$7)*($F$7-$E$7)),$G$7-SQRT((1-Q325)*($G$7-$E$7)*($G$7-$F$7))))</f>
        <v>0.955236711509472</v>
      </c>
      <c r="D325" s="51" t="n">
        <f aca="false">1+IF($G$8=$E$8,$F$8,IF(R325&lt;($F$8-$E$8)/($G$8-$E$8),$E$8+SQRT(R325*($G$8-$E$8)*($F$8-$E$8)),$G$8-SQRT((1-R325)*($G$8-$E$8)*($G$8-$F$8))))</f>
        <v>1.01468714575697</v>
      </c>
      <c r="E325" s="51" t="n">
        <f aca="false">1+IF($G$9=$E$9,$F$9,IF(S325&lt;($F$9-$E$9)/($G$9-$E$9),$E$9+SQRT(S325*($G$9-$E$9)*($F$9-$E$9)),$G$9-SQRT((1-S325)*($G$9-$E$9)*($G$9-$F$9))))</f>
        <v>1.03162794580566</v>
      </c>
      <c r="F325" s="51" t="n">
        <f aca="false">1+IF($G$10=$E$10,$F$10,IF(T325&lt;($F$10-$E$10)/($G$10-$E$10),$E$10+SQRT(T325*($G$10-$E$10)*($F$10-$E$10)),$G$10-SQRT((1-T325)*($G$10-$E$10)*($G$10-$F$10))))</f>
        <v>0.995260535483498</v>
      </c>
      <c r="G325" s="52" t="n">
        <f aca="false">IF($G$11=$E$11,$F$11,IF(U325&lt;($F$11-$E$11)/($G$11-$E$11),$E$11+SQRT(U325*($G$11-$E$11)*($F$11-$E$11)),$G$11-SQRT((1-U325)*($G$11-$E$11)*($G$11-$F$11))))</f>
        <v>0.102675581745905</v>
      </c>
      <c r="H325" s="53" t="n">
        <f aca="false">(('Business Case'!B11*$C325*'Business Case'!B12*$B325)-'Business Case'!B11*$C325*'Business Case'!B13*$D325-'Business Case'!B14*$E325)-MAX(0,(('Business Case'!B11*$C325*'Business Case'!B12*$B325)-'Business Case'!B11*$C325*'Business Case'!B13*$D325-'Business Case'!B14*$E325))*'Business Case'!$B$7-'Business Case'!$B$8*('Business Case'!B11*$C325*'Business Case'!B12*$B325)-'Business Case'!B15*$F325</f>
        <v>-1990521070.967</v>
      </c>
      <c r="I325" s="53" t="n">
        <f aca="false">(('Business Case'!C11*$C325*'Business Case'!C12*$B325)-'Business Case'!C11*$C325*'Business Case'!C13*$D325-'Business Case'!C14*$E325)-MAX(0,(('Business Case'!C11*$C325*'Business Case'!C12*$B325)-'Business Case'!C11*$C325*'Business Case'!C13*$D325-'Business Case'!C14*$E325))*'Business Case'!$B$7-'Business Case'!$B$8*(('Business Case'!C11*$C325*'Business Case'!C12*$B325)-('Business Case'!B11*$C325*'Business Case'!B12*$B325))-'Business Case'!C15*$F325</f>
        <v>-33560045.8913078</v>
      </c>
      <c r="J325" s="53" t="n">
        <f aca="false">(('Business Case'!D11*$C325*'Business Case'!D12*$B325)-'Business Case'!D11*$C325*'Business Case'!D13*$D325-'Business Case'!D14*$E325)-MAX(0,(('Business Case'!D11*$C325*'Business Case'!D12*$B325)-'Business Case'!D11*$C325*'Business Case'!D13*$D325-'Business Case'!D14*$E325))*'Business Case'!$B$7-'Business Case'!$B$8*(('Business Case'!D11*$C325*'Business Case'!D12*$B325)-('Business Case'!C11*$C325*'Business Case'!C12*$B325))-'Business Case'!D15*$F325</f>
        <v>226998750.480071</v>
      </c>
      <c r="K325" s="53" t="n">
        <f aca="false">(('Business Case'!E11*$C325*'Business Case'!E12*$B325)-'Business Case'!E11*$C325*'Business Case'!E13*$D325-'Business Case'!E14*$E325)-MAX(0,(('Business Case'!E11*$C325*'Business Case'!E12*$B325)-'Business Case'!E11*$C325*'Business Case'!E13*$D325-'Business Case'!E14*$E325))*'Business Case'!$B$7-'Business Case'!$B$8*(('Business Case'!E11*$C325*'Business Case'!E12*$B325)-('Business Case'!D11*$C325*'Business Case'!D12*$B325))-'Business Case'!E15*$F325</f>
        <v>537320573.625624</v>
      </c>
      <c r="L325" s="53" t="n">
        <f aca="false">(('Business Case'!F11*$C325*'Business Case'!F12*$B325)-'Business Case'!F11*$C325*'Business Case'!F13*$D325-'Business Case'!F14*$E325)-MAX(0,(('Business Case'!F11*$C325*'Business Case'!F12*$B325)-'Business Case'!F11*$C325*'Business Case'!F13*$D325-'Business Case'!F14*$E325))*'Business Case'!$B$7-'Business Case'!$B$8*(('Business Case'!F11*$C325*'Business Case'!F12*$B325)-('Business Case'!E11*$C325*'Business Case'!E12*$B325))-'Business Case'!F15*$F325</f>
        <v>656103702.296598</v>
      </c>
      <c r="M325" s="53" t="n">
        <f aca="false">(('Business Case'!G11*$C325*'Business Case'!G12*$B325)-'Business Case'!G11*$C325*'Business Case'!G13*$D325-'Business Case'!G14*$E325)-MAX(0,(('Business Case'!G11*$C325*'Business Case'!G12*$B325)-'Business Case'!G11*$C325*'Business Case'!G13*$D325-'Business Case'!G14*$E325))*'Business Case'!$B$7-'Business Case'!$B$8*(('Business Case'!G11*$C325*'Business Case'!G12*$B325)-('Business Case'!F11*$C325*'Business Case'!F12*$B325))-'Business Case'!G15*$F325+'Business Case'!$B$8*('Business Case'!G11*$C325*'Business Case'!G12*$B325)</f>
        <v>831719783.306094</v>
      </c>
      <c r="N325" s="53" t="n">
        <f aca="false">IF(COUNT('Business Case'!B11:G11)=0,"",H325+NPV(G325,I325:M325))</f>
        <v>-479506393.802255</v>
      </c>
      <c r="P325" s="54" t="n">
        <f aca="true">RAND()</f>
        <v>0.232079047791762</v>
      </c>
      <c r="Q325" s="54" t="n">
        <f aca="true">RAND()</f>
        <v>0.34426338000393</v>
      </c>
      <c r="R325" s="54" t="n">
        <f aca="true">RAND()</f>
        <v>0.589829910637427</v>
      </c>
      <c r="S325" s="54" t="n">
        <f aca="true">RAND()</f>
        <v>0.688350813683103</v>
      </c>
      <c r="T325" s="54" t="n">
        <f aca="true">RAND()</f>
        <v>0.163881285780234</v>
      </c>
      <c r="U325" s="54" t="n">
        <f aca="true">RAND()</f>
        <v>0.499774220261978</v>
      </c>
    </row>
    <row r="326" customFormat="false" ht="15" hidden="false" customHeight="false" outlineLevel="0" collapsed="false">
      <c r="A326" s="50" t="n">
        <v>246</v>
      </c>
      <c r="B326" s="51" t="n">
        <f aca="false">1+IF($G$6=$E$6,$F$6,IF(P326&lt;($F$6-$E$6)/($G$6-$E$6),$E$6+SQRT(P326*($G$6-$E$6)*($F$6-$E$6)),$G$6-SQRT((1-P326)*($G$6-$E$6)*($G$6-$F$6))))</f>
        <v>0.99997035449236</v>
      </c>
      <c r="C326" s="51" t="n">
        <f aca="false">1+IF($G$7=$E$7,$F$7,IF(Q326&lt;($F$7-$E$7)/($G$7-$E$7),$E$7+SQRT(Q326*($G$7-$E$7)*($F$7-$E$7)),$G$7-SQRT((1-Q326)*($G$7-$E$7)*($G$7-$F$7))))</f>
        <v>0.990747549836797</v>
      </c>
      <c r="D326" s="51" t="n">
        <f aca="false">1+IF($G$8=$E$8,$F$8,IF(R326&lt;($F$8-$E$8)/($G$8-$E$8),$E$8+SQRT(R326*($G$8-$E$8)*($F$8-$E$8)),$G$8-SQRT((1-R326)*($G$8-$E$8)*($G$8-$F$8))))</f>
        <v>1.0489616062374</v>
      </c>
      <c r="E326" s="51" t="n">
        <f aca="false">1+IF($G$9=$E$9,$F$9,IF(S326&lt;($F$9-$E$9)/($G$9-$E$9),$E$9+SQRT(S326*($G$9-$E$9)*($F$9-$E$9)),$G$9-SQRT((1-S326)*($G$9-$E$9)*($G$9-$F$9))))</f>
        <v>1.03668766496023</v>
      </c>
      <c r="F326" s="51" t="n">
        <f aca="false">1+IF($G$10=$E$10,$F$10,IF(T326&lt;($F$10-$E$10)/($G$10-$E$10),$E$10+SQRT(T326*($G$10-$E$10)*($F$10-$E$10)),$G$10-SQRT((1-T326)*($G$10-$E$10)*($G$10-$F$10))))</f>
        <v>1.00415546537749</v>
      </c>
      <c r="G326" s="52" t="n">
        <f aca="false">IF($G$11=$E$11,$F$11,IF(U326&lt;($F$11-$E$11)/($G$11-$E$11),$E$11+SQRT(U326*($G$11-$E$11)*($F$11-$E$11)),$G$11-SQRT((1-U326)*($G$11-$E$11)*($G$11-$F$11))))</f>
        <v>0.10430218573171</v>
      </c>
      <c r="H326" s="53" t="n">
        <f aca="false">(('Business Case'!B11*$C326*'Business Case'!B12*$B326)-'Business Case'!B11*$C326*'Business Case'!B13*$D326-'Business Case'!B14*$E326)-MAX(0,(('Business Case'!B11*$C326*'Business Case'!B12*$B326)-'Business Case'!B11*$C326*'Business Case'!B13*$D326-'Business Case'!B14*$E326))*'Business Case'!$B$7-'Business Case'!$B$8*('Business Case'!B11*$C326*'Business Case'!B12*$B326)-'Business Case'!B15*$F326</f>
        <v>-2008310930.75497</v>
      </c>
      <c r="I326" s="53" t="n">
        <f aca="false">(('Business Case'!C11*$C326*'Business Case'!C12*$B326)-'Business Case'!C11*$C326*'Business Case'!C13*$D326-'Business Case'!C14*$E326)-MAX(0,(('Business Case'!C11*$C326*'Business Case'!C12*$B326)-'Business Case'!C11*$C326*'Business Case'!C13*$D326-'Business Case'!C14*$E326))*'Business Case'!$B$7-'Business Case'!$B$8*(('Business Case'!C11*$C326*'Business Case'!C12*$B326)-('Business Case'!B11*$C326*'Business Case'!B12*$B326))-'Business Case'!C15*$F326</f>
        <v>-19737846.7040295</v>
      </c>
      <c r="J326" s="53" t="n">
        <f aca="false">(('Business Case'!D11*$C326*'Business Case'!D12*$B326)-'Business Case'!D11*$C326*'Business Case'!D13*$D326-'Business Case'!D14*$E326)-MAX(0,(('Business Case'!D11*$C326*'Business Case'!D12*$B326)-'Business Case'!D11*$C326*'Business Case'!D13*$D326-'Business Case'!D14*$E326))*'Business Case'!$B$7-'Business Case'!$B$8*(('Business Case'!D11*$C326*'Business Case'!D12*$B326)-('Business Case'!C11*$C326*'Business Case'!C12*$B326))-'Business Case'!D15*$F326</f>
        <v>259715669.466837</v>
      </c>
      <c r="K326" s="53" t="n">
        <f aca="false">(('Business Case'!E11*$C326*'Business Case'!E12*$B326)-'Business Case'!E11*$C326*'Business Case'!E13*$D326-'Business Case'!E14*$E326)-MAX(0,(('Business Case'!E11*$C326*'Business Case'!E12*$B326)-'Business Case'!E11*$C326*'Business Case'!E13*$D326-'Business Case'!E14*$E326))*'Business Case'!$B$7-'Business Case'!$B$8*(('Business Case'!E11*$C326*'Business Case'!E12*$B326)-('Business Case'!D11*$C326*'Business Case'!D12*$B326))-'Business Case'!E15*$F326</f>
        <v>589376958.906578</v>
      </c>
      <c r="L326" s="53" t="n">
        <f aca="false">(('Business Case'!F11*$C326*'Business Case'!F12*$B326)-'Business Case'!F11*$C326*'Business Case'!F13*$D326-'Business Case'!F14*$E326)-MAX(0,(('Business Case'!F11*$C326*'Business Case'!F12*$B326)-'Business Case'!F11*$C326*'Business Case'!F13*$D326-'Business Case'!F14*$E326))*'Business Case'!$B$7-'Business Case'!$B$8*(('Business Case'!F11*$C326*'Business Case'!F12*$B326)-('Business Case'!E11*$C326*'Business Case'!E12*$B326))-'Business Case'!F15*$F326</f>
        <v>716767351.216735</v>
      </c>
      <c r="M326" s="53" t="n">
        <f aca="false">(('Business Case'!G11*$C326*'Business Case'!G12*$B326)-'Business Case'!G11*$C326*'Business Case'!G13*$D326-'Business Case'!G14*$E326)-MAX(0,(('Business Case'!G11*$C326*'Business Case'!G12*$B326)-'Business Case'!G11*$C326*'Business Case'!G13*$D326-'Business Case'!G14*$E326))*'Business Case'!$B$7-'Business Case'!$B$8*(('Business Case'!G11*$C326*'Business Case'!G12*$B326)-('Business Case'!F11*$C326*'Business Case'!F12*$B326))-'Business Case'!G15*$F326+'Business Case'!$B$8*('Business Case'!G11*$C326*'Business Case'!G12*$B326)</f>
        <v>905083062.609345</v>
      </c>
      <c r="N326" s="53" t="n">
        <f aca="false">IF(COUNT('Business Case'!B11:G11)=0,"",H326+NPV(G326,I326:M326))</f>
        <v>-342459685.061744</v>
      </c>
      <c r="P326" s="54" t="n">
        <f aca="true">RAND()</f>
        <v>0.666172666420185</v>
      </c>
      <c r="Q326" s="54" t="n">
        <f aca="true">RAND()</f>
        <v>0.519780396696305</v>
      </c>
      <c r="R326" s="54" t="n">
        <f aca="true">RAND()</f>
        <v>0.907367126215166</v>
      </c>
      <c r="S326" s="54" t="n">
        <f aca="true">RAND()</f>
        <v>0.732769882120802</v>
      </c>
      <c r="T326" s="54" t="n">
        <f aca="true">RAND()</f>
        <v>0.232898365169811</v>
      </c>
      <c r="U326" s="54" t="n">
        <f aca="true">RAND()</f>
        <v>0.589297711997099</v>
      </c>
    </row>
    <row r="327" customFormat="false" ht="15" hidden="false" customHeight="false" outlineLevel="0" collapsed="false">
      <c r="A327" s="50" t="n">
        <v>247</v>
      </c>
      <c r="B327" s="51" t="n">
        <f aca="false">1+IF($G$6=$E$6,$F$6,IF(P327&lt;($F$6-$E$6)/($G$6-$E$6),$E$6+SQRT(P327*($G$6-$E$6)*($F$6-$E$6)),$G$6-SQRT((1-P327)*($G$6-$E$6)*($G$6-$F$6))))</f>
        <v>1.00583409491034</v>
      </c>
      <c r="C327" s="51" t="n">
        <f aca="false">1+IF($G$7=$E$7,$F$7,IF(Q327&lt;($F$7-$E$7)/($G$7-$E$7),$E$7+SQRT(Q327*($G$7-$E$7)*($F$7-$E$7)),$G$7-SQRT((1-Q327)*($G$7-$E$7)*($G$7-$F$7))))</f>
        <v>1.09319469311253</v>
      </c>
      <c r="D327" s="51" t="n">
        <f aca="false">1+IF($G$8=$E$8,$F$8,IF(R327&lt;($F$8-$E$8)/($G$8-$E$8),$E$8+SQRT(R327*($G$8-$E$8)*($F$8-$E$8)),$G$8-SQRT((1-R327)*($G$8-$E$8)*($G$8-$F$8))))</f>
        <v>1.02171948673759</v>
      </c>
      <c r="E327" s="51" t="n">
        <f aca="false">1+IF($G$9=$E$9,$F$9,IF(S327&lt;($F$9-$E$9)/($G$9-$E$9),$E$9+SQRT(S327*($G$9-$E$9)*($F$9-$E$9)),$G$9-SQRT((1-S327)*($G$9-$E$9)*($G$9-$F$9))))</f>
        <v>1.01783069532485</v>
      </c>
      <c r="F327" s="51" t="n">
        <f aca="false">1+IF($G$10=$E$10,$F$10,IF(T327&lt;($F$10-$E$10)/($G$10-$E$10),$E$10+SQRT(T327*($G$10-$E$10)*($F$10-$E$10)),$G$10-SQRT((1-T327)*($G$10-$E$10)*($G$10-$F$10))))</f>
        <v>1.11891431758495</v>
      </c>
      <c r="G327" s="52" t="n">
        <f aca="false">IF($G$11=$E$11,$F$11,IF(U327&lt;($F$11-$E$11)/($G$11-$E$11),$E$11+SQRT(U327*($G$11-$E$11)*($F$11-$E$11)),$G$11-SQRT((1-U327)*($G$11-$E$11)*($G$11-$F$11))))</f>
        <v>0.105945246931165</v>
      </c>
      <c r="H327" s="53" t="n">
        <f aca="false">(('Business Case'!B11*$C327*'Business Case'!B12*$B327)-'Business Case'!B11*$C327*'Business Case'!B13*$D327-'Business Case'!B14*$E327)-MAX(0,(('Business Case'!B11*$C327*'Business Case'!B12*$B327)-'Business Case'!B11*$C327*'Business Case'!B13*$D327-'Business Case'!B14*$E327))*'Business Case'!$B$7-'Business Case'!$B$8*('Business Case'!B11*$C327*'Business Case'!B12*$B327)-'Business Case'!B15*$F327</f>
        <v>-2237828635.16991</v>
      </c>
      <c r="I327" s="53" t="n">
        <f aca="false">(('Business Case'!C11*$C327*'Business Case'!C12*$B327)-'Business Case'!C11*$C327*'Business Case'!C13*$D327-'Business Case'!C14*$E327)-MAX(0,(('Business Case'!C11*$C327*'Business Case'!C12*$B327)-'Business Case'!C11*$C327*'Business Case'!C13*$D327-'Business Case'!C14*$E327))*'Business Case'!$B$7-'Business Case'!$B$8*(('Business Case'!C11*$C327*'Business Case'!C12*$B327)-('Business Case'!B11*$C327*'Business Case'!B12*$B327))-'Business Case'!C15*$F327</f>
        <v>15217182.4668869</v>
      </c>
      <c r="J327" s="53" t="n">
        <f aca="false">(('Business Case'!D11*$C327*'Business Case'!D12*$B327)-'Business Case'!D11*$C327*'Business Case'!D13*$D327-'Business Case'!D14*$E327)-MAX(0,(('Business Case'!D11*$C327*'Business Case'!D12*$B327)-'Business Case'!D11*$C327*'Business Case'!D13*$D327-'Business Case'!D14*$E327))*'Business Case'!$B$7-'Business Case'!$B$8*(('Business Case'!D11*$C327*'Business Case'!D12*$B327)-('Business Case'!C11*$C327*'Business Case'!C12*$B327))-'Business Case'!D15*$F327</f>
        <v>344063159.693106</v>
      </c>
      <c r="K327" s="53" t="n">
        <f aca="false">(('Business Case'!E11*$C327*'Business Case'!E12*$B327)-'Business Case'!E11*$C327*'Business Case'!E13*$D327-'Business Case'!E14*$E327)-MAX(0,(('Business Case'!E11*$C327*'Business Case'!E12*$B327)-'Business Case'!E11*$C327*'Business Case'!E13*$D327-'Business Case'!E14*$E327))*'Business Case'!$B$7-'Business Case'!$B$8*(('Business Case'!E11*$C327*'Business Case'!E12*$B327)-('Business Case'!D11*$C327*'Business Case'!D12*$B327))-'Business Case'!E15*$F327</f>
        <v>728854852.798574</v>
      </c>
      <c r="L327" s="53" t="n">
        <f aca="false">(('Business Case'!F11*$C327*'Business Case'!F12*$B327)-'Business Case'!F11*$C327*'Business Case'!F13*$D327-'Business Case'!F14*$E327)-MAX(0,(('Business Case'!F11*$C327*'Business Case'!F12*$B327)-'Business Case'!F11*$C327*'Business Case'!F13*$D327-'Business Case'!F14*$E327))*'Business Case'!$B$7-'Business Case'!$B$8*(('Business Case'!F11*$C327*'Business Case'!F12*$B327)-('Business Case'!E11*$C327*'Business Case'!E12*$B327))-'Business Case'!F15*$F327</f>
        <v>876471403.957743</v>
      </c>
      <c r="M327" s="53" t="n">
        <f aca="false">(('Business Case'!G11*$C327*'Business Case'!G12*$B327)-'Business Case'!G11*$C327*'Business Case'!G13*$D327-'Business Case'!G14*$E327)-MAX(0,(('Business Case'!G11*$C327*'Business Case'!G12*$B327)-'Business Case'!G11*$C327*'Business Case'!G13*$D327-'Business Case'!G14*$E327))*'Business Case'!$B$7-'Business Case'!$B$8*(('Business Case'!G11*$C327*'Business Case'!G12*$B327)-('Business Case'!F11*$C327*'Business Case'!F12*$B327))-'Business Case'!G15*$F327+'Business Case'!$B$8*('Business Case'!G11*$C327*'Business Case'!G12*$B327)</f>
        <v>1085478143.75177</v>
      </c>
      <c r="N327" s="53" t="n">
        <f aca="false">IF(COUNT('Business Case'!B11:G11)=0,"",H327+NPV(G327,I327:M327))</f>
        <v>-162005953.453414</v>
      </c>
      <c r="P327" s="54" t="n">
        <f aca="true">RAND()</f>
        <v>0.756810610292591</v>
      </c>
      <c r="Q327" s="54" t="n">
        <f aca="true">RAND()</f>
        <v>0.938536325893726</v>
      </c>
      <c r="R327" s="54" t="n">
        <f aca="true">RAND()</f>
        <v>0.673402093641335</v>
      </c>
      <c r="S327" s="54" t="n">
        <f aca="true">RAND()</f>
        <v>0.549880357946834</v>
      </c>
      <c r="T327" s="54" t="n">
        <f aca="true">RAND()</f>
        <v>0.868502242145722</v>
      </c>
      <c r="U327" s="54" t="n">
        <f aca="true">RAND()</f>
        <v>0.670773193623437</v>
      </c>
    </row>
    <row r="328" customFormat="false" ht="15" hidden="false" customHeight="false" outlineLevel="0" collapsed="false">
      <c r="A328" s="50" t="n">
        <v>248</v>
      </c>
      <c r="B328" s="51" t="n">
        <f aca="false">1+IF($G$6=$E$6,$F$6,IF(P328&lt;($F$6-$E$6)/($G$6-$E$6),$E$6+SQRT(P328*($G$6-$E$6)*($F$6-$E$6)),$G$6-SQRT((1-P328)*($G$6-$E$6)*($G$6-$F$6))))</f>
        <v>0.989860883700043</v>
      </c>
      <c r="C328" s="51" t="n">
        <f aca="false">1+IF($G$7=$E$7,$F$7,IF(Q328&lt;($F$7-$E$7)/($G$7-$E$7),$E$7+SQRT(Q328*($G$7-$E$7)*($F$7-$E$7)),$G$7-SQRT((1-Q328)*($G$7-$E$7)*($G$7-$F$7))))</f>
        <v>1.0653322224916</v>
      </c>
      <c r="D328" s="51" t="n">
        <f aca="false">1+IF($G$8=$E$8,$F$8,IF(R328&lt;($F$8-$E$8)/($G$8-$E$8),$E$8+SQRT(R328*($G$8-$E$8)*($F$8-$E$8)),$G$8-SQRT((1-R328)*($G$8-$E$8)*($G$8-$F$8))))</f>
        <v>0.999059683729275</v>
      </c>
      <c r="E328" s="51" t="n">
        <f aca="false">1+IF($G$9=$E$9,$F$9,IF(S328&lt;($F$9-$E$9)/($G$9-$E$9),$E$9+SQRT(S328*($G$9-$E$9)*($F$9-$E$9)),$G$9-SQRT((1-S328)*($G$9-$E$9)*($G$9-$F$9))))</f>
        <v>1.04519384840072</v>
      </c>
      <c r="F328" s="51" t="n">
        <f aca="false">1+IF($G$10=$E$10,$F$10,IF(T328&lt;($F$10-$E$10)/($G$10-$E$10),$E$10+SQRT(T328*($G$10-$E$10)*($F$10-$E$10)),$G$10-SQRT((1-T328)*($G$10-$E$10)*($G$10-$F$10))))</f>
        <v>1.10098068104275</v>
      </c>
      <c r="G328" s="52" t="n">
        <f aca="false">IF($G$11=$E$11,$F$11,IF(U328&lt;($F$11-$E$11)/($G$11-$E$11),$E$11+SQRT(U328*($G$11-$E$11)*($F$11-$E$11)),$G$11-SQRT((1-U328)*($G$11-$E$11)*($G$11-$F$11))))</f>
        <v>0.0935330668360951</v>
      </c>
      <c r="H328" s="53" t="n">
        <f aca="false">(('Business Case'!B11*$C328*'Business Case'!B12*$B328)-'Business Case'!B11*$C328*'Business Case'!B13*$D328-'Business Case'!B14*$E328)-MAX(0,(('Business Case'!B11*$C328*'Business Case'!B12*$B328)-'Business Case'!B11*$C328*'Business Case'!B13*$D328-'Business Case'!B14*$E328))*'Business Case'!$B$7-'Business Case'!$B$8*('Business Case'!B11*$C328*'Business Case'!B12*$B328)-'Business Case'!B15*$F328</f>
        <v>-2201961362.0855</v>
      </c>
      <c r="I328" s="53" t="n">
        <f aca="false">(('Business Case'!C11*$C328*'Business Case'!C12*$B328)-'Business Case'!C11*$C328*'Business Case'!C13*$D328-'Business Case'!C14*$E328)-MAX(0,(('Business Case'!C11*$C328*'Business Case'!C12*$B328)-'Business Case'!C11*$C328*'Business Case'!C13*$D328-'Business Case'!C14*$E328))*'Business Case'!$B$7-'Business Case'!$B$8*(('Business Case'!C11*$C328*'Business Case'!C12*$B328)-('Business Case'!B11*$C328*'Business Case'!B12*$B328))-'Business Case'!C15*$F328</f>
        <v>5493005.10900073</v>
      </c>
      <c r="J328" s="53" t="n">
        <f aca="false">(('Business Case'!D11*$C328*'Business Case'!D12*$B328)-'Business Case'!D11*$C328*'Business Case'!D13*$D328-'Business Case'!D14*$E328)-MAX(0,(('Business Case'!D11*$C328*'Business Case'!D12*$B328)-'Business Case'!D11*$C328*'Business Case'!D13*$D328-'Business Case'!D14*$E328))*'Business Case'!$B$7-'Business Case'!$B$8*(('Business Case'!D11*$C328*'Business Case'!D12*$B328)-('Business Case'!C11*$C328*'Business Case'!C12*$B328))-'Business Case'!D15*$F328</f>
        <v>324377514.80349</v>
      </c>
      <c r="K328" s="53" t="n">
        <f aca="false">(('Business Case'!E11*$C328*'Business Case'!E12*$B328)-'Business Case'!E11*$C328*'Business Case'!E13*$D328-'Business Case'!E14*$E328)-MAX(0,(('Business Case'!E11*$C328*'Business Case'!E12*$B328)-'Business Case'!E11*$C328*'Business Case'!E13*$D328-'Business Case'!E14*$E328))*'Business Case'!$B$7-'Business Case'!$B$8*(('Business Case'!E11*$C328*'Business Case'!E12*$B328)-('Business Case'!D11*$C328*'Business Case'!D12*$B328))-'Business Case'!E15*$F328</f>
        <v>698311058.550117</v>
      </c>
      <c r="L328" s="53" t="n">
        <f aca="false">(('Business Case'!F11*$C328*'Business Case'!F12*$B328)-'Business Case'!F11*$C328*'Business Case'!F13*$D328-'Business Case'!F14*$E328)-MAX(0,(('Business Case'!F11*$C328*'Business Case'!F12*$B328)-'Business Case'!F11*$C328*'Business Case'!F13*$D328-'Business Case'!F14*$E328))*'Business Case'!$B$7-'Business Case'!$B$8*(('Business Case'!F11*$C328*'Business Case'!F12*$B328)-('Business Case'!E11*$C328*'Business Case'!E12*$B328))-'Business Case'!F15*$F328</f>
        <v>841050475.940702</v>
      </c>
      <c r="M328" s="53" t="n">
        <f aca="false">(('Business Case'!G11*$C328*'Business Case'!G12*$B328)-'Business Case'!G11*$C328*'Business Case'!G13*$D328-'Business Case'!G14*$E328)-MAX(0,(('Business Case'!G11*$C328*'Business Case'!G12*$B328)-'Business Case'!G11*$C328*'Business Case'!G13*$D328-'Business Case'!G14*$E328))*'Business Case'!$B$7-'Business Case'!$B$8*(('Business Case'!G11*$C328*'Business Case'!G12*$B328)-('Business Case'!F11*$C328*'Business Case'!F12*$B328))-'Business Case'!G15*$F328+'Business Case'!$B$8*('Business Case'!G11*$C328*'Business Case'!G12*$B328)</f>
        <v>1041495670.48235</v>
      </c>
      <c r="N328" s="53" t="n">
        <f aca="false">IF(COUNT('Business Case'!B11:G11)=0,"",H328+NPV(G328,I328:M328))</f>
        <v>-137468081.96863</v>
      </c>
      <c r="P328" s="54" t="n">
        <f aca="true">RAND()</f>
        <v>0.508389903265719</v>
      </c>
      <c r="Q328" s="54" t="n">
        <f aca="true">RAND()</f>
        <v>0.863454618129281</v>
      </c>
      <c r="R328" s="54" t="n">
        <f aca="true">RAND()</f>
        <v>0.370285010402538</v>
      </c>
      <c r="S328" s="54" t="n">
        <f aca="true">RAND()</f>
        <v>0.799752383125083</v>
      </c>
      <c r="T328" s="54" t="n">
        <f aca="true">RAND()</f>
        <v>0.803903489464848</v>
      </c>
      <c r="U328" s="54" t="n">
        <f aca="true">RAND()</f>
        <v>0.0416085375610499</v>
      </c>
    </row>
    <row r="329" customFormat="false" ht="15" hidden="false" customHeight="false" outlineLevel="0" collapsed="false">
      <c r="A329" s="50" t="n">
        <v>249</v>
      </c>
      <c r="B329" s="51" t="n">
        <f aca="false">1+IF($G$6=$E$6,$F$6,IF(P329&lt;($F$6-$E$6)/($G$6-$E$6),$E$6+SQRT(P329*($G$6-$E$6)*($F$6-$E$6)),$G$6-SQRT((1-P329)*($G$6-$E$6)*($G$6-$F$6))))</f>
        <v>0.977123767938148</v>
      </c>
      <c r="C329" s="51" t="n">
        <f aca="false">1+IF($G$7=$E$7,$F$7,IF(Q329&lt;($F$7-$E$7)/($G$7-$E$7),$E$7+SQRT(Q329*($G$7-$E$7)*($F$7-$E$7)),$G$7-SQRT((1-Q329)*($G$7-$E$7)*($G$7-$F$7))))</f>
        <v>0.886579995982756</v>
      </c>
      <c r="D329" s="51" t="n">
        <f aca="false">1+IF($G$8=$E$8,$F$8,IF(R329&lt;($F$8-$E$8)/($G$8-$E$8),$E$8+SQRT(R329*($G$8-$E$8)*($F$8-$E$8)),$G$8-SQRT((1-R329)*($G$8-$E$8)*($G$8-$F$8))))</f>
        <v>0.954061660017716</v>
      </c>
      <c r="E329" s="51" t="n">
        <f aca="false">1+IF($G$9=$E$9,$F$9,IF(S329&lt;($F$9-$E$9)/($G$9-$E$9),$E$9+SQRT(S329*($G$9-$E$9)*($F$9-$E$9)),$G$9-SQRT((1-S329)*($G$9-$E$9)*($G$9-$F$9))))</f>
        <v>0.996744314185231</v>
      </c>
      <c r="F329" s="51" t="n">
        <f aca="false">1+IF($G$10=$E$10,$F$10,IF(T329&lt;($F$10-$E$10)/($G$10-$E$10),$E$10+SQRT(T329*($G$10-$E$10)*($F$10-$E$10)),$G$10-SQRT((1-T329)*($G$10-$E$10)*($G$10-$F$10))))</f>
        <v>1.04972023800845</v>
      </c>
      <c r="G329" s="52" t="n">
        <f aca="false">IF($G$11=$E$11,$F$11,IF(U329&lt;($F$11-$E$11)/($G$11-$E$11),$E$11+SQRT(U329*($G$11-$E$11)*($F$11-$E$11)),$G$11-SQRT((1-U329)*($G$11-$E$11)*($G$11-$F$11))))</f>
        <v>0.09438355185907</v>
      </c>
      <c r="H329" s="53" t="n">
        <f aca="false">(('Business Case'!B11*$C329*'Business Case'!B12*$B329)-'Business Case'!B11*$C329*'Business Case'!B13*$D329-'Business Case'!B14*$E329)-MAX(0,(('Business Case'!B11*$C329*'Business Case'!B12*$B329)-'Business Case'!B11*$C329*'Business Case'!B13*$D329-'Business Case'!B14*$E329))*'Business Case'!$B$7-'Business Case'!$B$8*('Business Case'!B11*$C329*'Business Case'!B12*$B329)-'Business Case'!B15*$F329</f>
        <v>-2099440476.0169</v>
      </c>
      <c r="I329" s="53" t="n">
        <f aca="false">(('Business Case'!C11*$C329*'Business Case'!C12*$B329)-'Business Case'!C11*$C329*'Business Case'!C13*$D329-'Business Case'!C14*$E329)-MAX(0,(('Business Case'!C11*$C329*'Business Case'!C12*$B329)-'Business Case'!C11*$C329*'Business Case'!C13*$D329-'Business Case'!C14*$E329))*'Business Case'!$B$7-'Business Case'!$B$8*(('Business Case'!C11*$C329*'Business Case'!C12*$B329)-('Business Case'!B11*$C329*'Business Case'!B12*$B329))-'Business Case'!C15*$F329</f>
        <v>-15065768.7828822</v>
      </c>
      <c r="J329" s="53" t="n">
        <f aca="false">(('Business Case'!D11*$C329*'Business Case'!D12*$B329)-'Business Case'!D11*$C329*'Business Case'!D13*$D329-'Business Case'!D14*$E329)-MAX(0,(('Business Case'!D11*$C329*'Business Case'!D12*$B329)-'Business Case'!D11*$C329*'Business Case'!D13*$D329-'Business Case'!D14*$E329))*'Business Case'!$B$7-'Business Case'!$B$8*(('Business Case'!D11*$C329*'Business Case'!D12*$B329)-('Business Case'!C11*$C329*'Business Case'!C12*$B329))-'Business Case'!D15*$F329</f>
        <v>261486436.055589</v>
      </c>
      <c r="K329" s="53" t="n">
        <f aca="false">(('Business Case'!E11*$C329*'Business Case'!E12*$B329)-'Business Case'!E11*$C329*'Business Case'!E13*$D329-'Business Case'!E14*$E329)-MAX(0,(('Business Case'!E11*$C329*'Business Case'!E12*$B329)-'Business Case'!E11*$C329*'Business Case'!E13*$D329-'Business Case'!E14*$E329))*'Business Case'!$B$7-'Business Case'!$B$8*(('Business Case'!E11*$C329*'Business Case'!E12*$B329)-('Business Case'!D11*$C329*'Business Case'!D12*$B329))-'Business Case'!E15*$F329</f>
        <v>590524652.794483</v>
      </c>
      <c r="L329" s="53" t="n">
        <f aca="false">(('Business Case'!F11*$C329*'Business Case'!F12*$B329)-'Business Case'!F11*$C329*'Business Case'!F13*$D329-'Business Case'!F14*$E329)-MAX(0,(('Business Case'!F11*$C329*'Business Case'!F12*$B329)-'Business Case'!F11*$C329*'Business Case'!F13*$D329-'Business Case'!F14*$E329))*'Business Case'!$B$7-'Business Case'!$B$8*(('Business Case'!F11*$C329*'Business Case'!F12*$B329)-('Business Case'!E11*$C329*'Business Case'!E12*$B329))-'Business Case'!F15*$F329</f>
        <v>712647993.302886</v>
      </c>
      <c r="M329" s="53" t="n">
        <f aca="false">(('Business Case'!G11*$C329*'Business Case'!G12*$B329)-'Business Case'!G11*$C329*'Business Case'!G13*$D329-'Business Case'!G14*$E329)-MAX(0,(('Business Case'!G11*$C329*'Business Case'!G12*$B329)-'Business Case'!G11*$C329*'Business Case'!G13*$D329-'Business Case'!G14*$E329))*'Business Case'!$B$7-'Business Case'!$B$8*(('Business Case'!G11*$C329*'Business Case'!G12*$B329)-('Business Case'!F11*$C329*'Business Case'!F12*$B329))-'Business Case'!G15*$F329+'Business Case'!$B$8*('Business Case'!G11*$C329*'Business Case'!G12*$B329)</f>
        <v>877313990.561906</v>
      </c>
      <c r="N329" s="53" t="n">
        <f aca="false">IF(COUNT('Business Case'!B11:G11)=0,"",H329+NPV(G329,I329:M329))</f>
        <v>-388659846.384505</v>
      </c>
      <c r="P329" s="54" t="n">
        <f aca="true">RAND()</f>
        <v>0.339908839942849</v>
      </c>
      <c r="Q329" s="54" t="n">
        <f aca="true">RAND()</f>
        <v>0.107087081491058</v>
      </c>
      <c r="R329" s="54" t="n">
        <f aca="true">RAND()</f>
        <v>0.00253801263069432</v>
      </c>
      <c r="S329" s="54" t="n">
        <f aca="true">RAND()</f>
        <v>0.291337454486346</v>
      </c>
      <c r="T329" s="54" t="n">
        <f aca="true">RAND()</f>
        <v>0.548319862715256</v>
      </c>
      <c r="U329" s="54" t="n">
        <f aca="true">RAND()</f>
        <v>0.064051756337187</v>
      </c>
    </row>
    <row r="330" customFormat="false" ht="15" hidden="false" customHeight="false" outlineLevel="0" collapsed="false">
      <c r="A330" s="50" t="n">
        <v>250</v>
      </c>
      <c r="B330" s="51" t="n">
        <f aca="false">1+IF($G$6=$E$6,$F$6,IF(P330&lt;($F$6-$E$6)/($G$6-$E$6),$E$6+SQRT(P330*($G$6-$E$6)*($F$6-$E$6)),$G$6-SQRT((1-P330)*($G$6-$E$6)*($G$6-$F$6))))</f>
        <v>0.98732917072988</v>
      </c>
      <c r="C330" s="51" t="n">
        <f aca="false">1+IF($G$7=$E$7,$F$7,IF(Q330&lt;($F$7-$E$7)/($G$7-$E$7),$E$7+SQRT(Q330*($G$7-$E$7)*($F$7-$E$7)),$G$7-SQRT((1-Q330)*($G$7-$E$7)*($G$7-$F$7))))</f>
        <v>1.10427904783314</v>
      </c>
      <c r="D330" s="51" t="n">
        <f aca="false">1+IF($G$8=$E$8,$F$8,IF(R330&lt;($F$8-$E$8)/($G$8-$E$8),$E$8+SQRT(R330*($G$8-$E$8)*($F$8-$E$8)),$G$8-SQRT((1-R330)*($G$8-$E$8)*($G$8-$F$8))))</f>
        <v>1.02191724941942</v>
      </c>
      <c r="E330" s="51" t="n">
        <f aca="false">1+IF($G$9=$E$9,$F$9,IF(S330&lt;($F$9-$E$9)/($G$9-$E$9),$E$9+SQRT(S330*($G$9-$E$9)*($F$9-$E$9)),$G$9-SQRT((1-S330)*($G$9-$E$9)*($G$9-$F$9))))</f>
        <v>1.08801442665851</v>
      </c>
      <c r="F330" s="51" t="n">
        <f aca="false">1+IF($G$10=$E$10,$F$10,IF(T330&lt;($F$10-$E$10)/($G$10-$E$10),$E$10+SQRT(T330*($G$10-$E$10)*($F$10-$E$10)),$G$10-SQRT((1-T330)*($G$10-$E$10)*($G$10-$F$10))))</f>
        <v>1.03565384094316</v>
      </c>
      <c r="G330" s="52" t="n">
        <f aca="false">IF($G$11=$E$11,$F$11,IF(U330&lt;($F$11-$E$11)/($G$11-$E$11),$E$11+SQRT(U330*($G$11-$E$11)*($F$11-$E$11)),$G$11-SQRT((1-U330)*($G$11-$E$11)*($G$11-$F$11))))</f>
        <v>0.114485126611859</v>
      </c>
      <c r="H330" s="53" t="n">
        <f aca="false">(('Business Case'!B11*$C330*'Business Case'!B12*$B330)-'Business Case'!B11*$C330*'Business Case'!B13*$D330-'Business Case'!B14*$E330)-MAX(0,(('Business Case'!B11*$C330*'Business Case'!B12*$B330)-'Business Case'!B11*$C330*'Business Case'!B13*$D330-'Business Case'!B14*$E330))*'Business Case'!$B$7-'Business Case'!$B$8*('Business Case'!B11*$C330*'Business Case'!B12*$B330)-'Business Case'!B15*$F330</f>
        <v>-2071307681.88632</v>
      </c>
      <c r="I330" s="53" t="n">
        <f aca="false">(('Business Case'!C11*$C330*'Business Case'!C12*$B330)-'Business Case'!C11*$C330*'Business Case'!C13*$D330-'Business Case'!C14*$E330)-MAX(0,(('Business Case'!C11*$C330*'Business Case'!C12*$B330)-'Business Case'!C11*$C330*'Business Case'!C13*$D330-'Business Case'!C14*$E330))*'Business Case'!$B$7-'Business Case'!$B$8*(('Business Case'!C11*$C330*'Business Case'!C12*$B330)-('Business Case'!B11*$C330*'Business Case'!B12*$B330))-'Business Case'!C15*$F330</f>
        <v>529569.276633471</v>
      </c>
      <c r="J330" s="53" t="n">
        <f aca="false">(('Business Case'!D11*$C330*'Business Case'!D12*$B330)-'Business Case'!D11*$C330*'Business Case'!D13*$D330-'Business Case'!D14*$E330)-MAX(0,(('Business Case'!D11*$C330*'Business Case'!D12*$B330)-'Business Case'!D11*$C330*'Business Case'!D13*$D330-'Business Case'!D14*$E330))*'Business Case'!$B$7-'Business Case'!$B$8*(('Business Case'!D11*$C330*'Business Case'!D12*$B330)-('Business Case'!C11*$C330*'Business Case'!C12*$B330))-'Business Case'!D15*$F330</f>
        <v>315860647.872451</v>
      </c>
      <c r="K330" s="53" t="n">
        <f aca="false">(('Business Case'!E11*$C330*'Business Case'!E12*$B330)-'Business Case'!E11*$C330*'Business Case'!E13*$D330-'Business Case'!E14*$E330)-MAX(0,(('Business Case'!E11*$C330*'Business Case'!E12*$B330)-'Business Case'!E11*$C330*'Business Case'!E13*$D330-'Business Case'!E14*$E330))*'Business Case'!$B$7-'Business Case'!$B$8*(('Business Case'!E11*$C330*'Business Case'!E12*$B330)-('Business Case'!D11*$C330*'Business Case'!D12*$B330))-'Business Case'!E15*$F330</f>
        <v>682974418.515426</v>
      </c>
      <c r="L330" s="53" t="n">
        <f aca="false">(('Business Case'!F11*$C330*'Business Case'!F12*$B330)-'Business Case'!F11*$C330*'Business Case'!F13*$D330-'Business Case'!F14*$E330)-MAX(0,(('Business Case'!F11*$C330*'Business Case'!F12*$B330)-'Business Case'!F11*$C330*'Business Case'!F13*$D330-'Business Case'!F14*$E330))*'Business Case'!$B$7-'Business Case'!$B$8*(('Business Case'!F11*$C330*'Business Case'!F12*$B330)-('Business Case'!E11*$C330*'Business Case'!E12*$B330))-'Business Case'!F15*$F330</f>
        <v>825765093.883385</v>
      </c>
      <c r="M330" s="53" t="n">
        <f aca="false">(('Business Case'!G11*$C330*'Business Case'!G12*$B330)-'Business Case'!G11*$C330*'Business Case'!G13*$D330-'Business Case'!G14*$E330)-MAX(0,(('Business Case'!G11*$C330*'Business Case'!G12*$B330)-'Business Case'!G11*$C330*'Business Case'!G13*$D330-'Business Case'!G14*$E330))*'Business Case'!$B$7-'Business Case'!$B$8*(('Business Case'!G11*$C330*'Business Case'!G12*$B330)-('Business Case'!F11*$C330*'Business Case'!F12*$B330))-'Business Case'!G15*$F330+'Business Case'!$B$8*('Business Case'!G11*$C330*'Business Case'!G12*$B330)</f>
        <v>1033006830.98149</v>
      </c>
      <c r="N330" s="53" t="n">
        <f aca="false">IF(COUNT('Business Case'!B11:G11)=0,"",H330+NPV(G330,I330:M330))</f>
        <v>-187096101.919074</v>
      </c>
      <c r="P330" s="54" t="n">
        <f aca="true">RAND()</f>
        <v>0.472210128247224</v>
      </c>
      <c r="Q330" s="54" t="n">
        <f aca="true">RAND()</f>
        <v>0.960182753008684</v>
      </c>
      <c r="R330" s="54" t="n">
        <f aca="true">RAND()</f>
        <v>0.675614815864796</v>
      </c>
      <c r="S330" s="54" t="n">
        <f aca="true">RAND()</f>
        <v>0.990423068778378</v>
      </c>
      <c r="T330" s="54" t="n">
        <f aca="true">RAND()</f>
        <v>0.459806800065262</v>
      </c>
      <c r="U330" s="54" t="n">
        <f aca="true">RAND()</f>
        <v>0.949310285854616</v>
      </c>
    </row>
    <row r="331" customFormat="false" ht="15" hidden="false" customHeight="false" outlineLevel="0" collapsed="false">
      <c r="A331" s="50" t="n">
        <v>251</v>
      </c>
      <c r="B331" s="51" t="n">
        <f aca="false">1+IF($G$6=$E$6,$F$6,IF(P331&lt;($F$6-$E$6)/($G$6-$E$6),$E$6+SQRT(P331*($G$6-$E$6)*($F$6-$E$6)),$G$6-SQRT((1-P331)*($G$6-$E$6)*($G$6-$F$6))))</f>
        <v>0.948374691980886</v>
      </c>
      <c r="C331" s="51" t="n">
        <f aca="false">1+IF($G$7=$E$7,$F$7,IF(Q331&lt;($F$7-$E$7)/($G$7-$E$7),$E$7+SQRT(Q331*($G$7-$E$7)*($F$7-$E$7)),$G$7-SQRT((1-Q331)*($G$7-$E$7)*($G$7-$F$7))))</f>
        <v>1.02422901606293</v>
      </c>
      <c r="D331" s="51" t="n">
        <f aca="false">1+IF($G$8=$E$8,$F$8,IF(R331&lt;($F$8-$E$8)/($G$8-$E$8),$E$8+SQRT(R331*($G$8-$E$8)*($F$8-$E$8)),$G$8-SQRT((1-R331)*($G$8-$E$8)*($G$8-$F$8))))</f>
        <v>1.03320707519342</v>
      </c>
      <c r="E331" s="51" t="n">
        <f aca="false">1+IF($G$9=$E$9,$F$9,IF(S331&lt;($F$9-$E$9)/($G$9-$E$9),$E$9+SQRT(S331*($G$9-$E$9)*($F$9-$E$9)),$G$9-SQRT((1-S331)*($G$9-$E$9)*($G$9-$F$9))))</f>
        <v>1.00589704916438</v>
      </c>
      <c r="F331" s="51" t="n">
        <f aca="false">1+IF($G$10=$E$10,$F$10,IF(T331&lt;($F$10-$E$10)/($G$10-$E$10),$E$10+SQRT(T331*($G$10-$E$10)*($F$10-$E$10)),$G$10-SQRT((1-T331)*($G$10-$E$10)*($G$10-$F$10))))</f>
        <v>1.10135803033155</v>
      </c>
      <c r="G331" s="52" t="n">
        <f aca="false">IF($G$11=$E$11,$F$11,IF(U331&lt;($F$11-$E$11)/($G$11-$E$11),$E$11+SQRT(U331*($G$11-$E$11)*($F$11-$E$11)),$G$11-SQRT((1-U331)*($G$11-$E$11)*($G$11-$F$11))))</f>
        <v>0.107412946906312</v>
      </c>
      <c r="H331" s="53" t="n">
        <f aca="false">(('Business Case'!B11*$C331*'Business Case'!B12*$B331)-'Business Case'!B11*$C331*'Business Case'!B13*$D331-'Business Case'!B14*$E331)-MAX(0,(('Business Case'!B11*$C331*'Business Case'!B12*$B331)-'Business Case'!B11*$C331*'Business Case'!B13*$D331-'Business Case'!B14*$E331))*'Business Case'!$B$7-'Business Case'!$B$8*('Business Case'!B11*$C331*'Business Case'!B12*$B331)-'Business Case'!B15*$F331</f>
        <v>-2202716060.66309</v>
      </c>
      <c r="I331" s="53" t="n">
        <f aca="false">(('Business Case'!C11*$C331*'Business Case'!C12*$B331)-'Business Case'!C11*$C331*'Business Case'!C13*$D331-'Business Case'!C14*$E331)-MAX(0,(('Business Case'!C11*$C331*'Business Case'!C12*$B331)-'Business Case'!C11*$C331*'Business Case'!C13*$D331-'Business Case'!C14*$E331))*'Business Case'!$B$7-'Business Case'!$B$8*(('Business Case'!C11*$C331*'Business Case'!C12*$B331)-('Business Case'!B11*$C331*'Business Case'!B12*$B331))-'Business Case'!C15*$F331</f>
        <v>-49655914.1633427</v>
      </c>
      <c r="J331" s="53" t="n">
        <f aca="false">(('Business Case'!D11*$C331*'Business Case'!D12*$B331)-'Business Case'!D11*$C331*'Business Case'!D13*$D331-'Business Case'!D14*$E331)-MAX(0,(('Business Case'!D11*$C331*'Business Case'!D12*$B331)-'Business Case'!D11*$C331*'Business Case'!D13*$D331-'Business Case'!D14*$E331))*'Business Case'!$B$7-'Business Case'!$B$8*(('Business Case'!D11*$C331*'Business Case'!D12*$B331)-('Business Case'!C11*$C331*'Business Case'!C12*$B331))-'Business Case'!D15*$F331</f>
        <v>204217468.273805</v>
      </c>
      <c r="K331" s="53" t="n">
        <f aca="false">(('Business Case'!E11*$C331*'Business Case'!E12*$B331)-'Business Case'!E11*$C331*'Business Case'!E13*$D331-'Business Case'!E14*$E331)-MAX(0,(('Business Case'!E11*$C331*'Business Case'!E12*$B331)-'Business Case'!E11*$C331*'Business Case'!E13*$D331-'Business Case'!E14*$E331))*'Business Case'!$B$7-'Business Case'!$B$8*(('Business Case'!E11*$C331*'Business Case'!E12*$B331)-('Business Case'!D11*$C331*'Business Case'!D12*$B331))-'Business Case'!E15*$F331</f>
        <v>513158752.227529</v>
      </c>
      <c r="L331" s="53" t="n">
        <f aca="false">(('Business Case'!F11*$C331*'Business Case'!F12*$B331)-'Business Case'!F11*$C331*'Business Case'!F13*$D331-'Business Case'!F14*$E331)-MAX(0,(('Business Case'!F11*$C331*'Business Case'!F12*$B331)-'Business Case'!F11*$C331*'Business Case'!F13*$D331-'Business Case'!F14*$E331))*'Business Case'!$B$7-'Business Case'!$B$8*(('Business Case'!F11*$C331*'Business Case'!F12*$B331)-('Business Case'!E11*$C331*'Business Case'!E12*$B331))-'Business Case'!F15*$F331</f>
        <v>631353168.490686</v>
      </c>
      <c r="M331" s="53" t="n">
        <f aca="false">(('Business Case'!G11*$C331*'Business Case'!G12*$B331)-'Business Case'!G11*$C331*'Business Case'!G13*$D331-'Business Case'!G14*$E331)-MAX(0,(('Business Case'!G11*$C331*'Business Case'!G12*$B331)-'Business Case'!G11*$C331*'Business Case'!G13*$D331-'Business Case'!G14*$E331))*'Business Case'!$B$7-'Business Case'!$B$8*(('Business Case'!G11*$C331*'Business Case'!G12*$B331)-('Business Case'!F11*$C331*'Business Case'!F12*$B331))-'Business Case'!G15*$F331+'Business Case'!$B$8*('Business Case'!G11*$C331*'Business Case'!G12*$B331)</f>
        <v>815987923.469944</v>
      </c>
      <c r="N331" s="53" t="n">
        <f aca="false">IF(COUNT('Business Case'!B11:G11)=0,"",H331+NPV(G331,I331:M331))</f>
        <v>-793456002.373592</v>
      </c>
      <c r="P331" s="54" t="n">
        <f aca="true">RAND()</f>
        <v>0.0838669942718909</v>
      </c>
      <c r="Q331" s="54" t="n">
        <f aca="true">RAND()</f>
        <v>0.698698278085739</v>
      </c>
      <c r="R331" s="54" t="n">
        <f aca="true">RAND()</f>
        <v>0.789463671927456</v>
      </c>
      <c r="S331" s="54" t="n">
        <f aca="true">RAND()</f>
        <v>0.409642309601877</v>
      </c>
      <c r="T331" s="54" t="n">
        <f aca="true">RAND()</f>
        <v>0.805395236398559</v>
      </c>
      <c r="U331" s="54" t="n">
        <f aca="true">RAND()</f>
        <v>0.73594349069448</v>
      </c>
    </row>
    <row r="332" customFormat="false" ht="15" hidden="false" customHeight="false" outlineLevel="0" collapsed="false">
      <c r="A332" s="50" t="n">
        <v>252</v>
      </c>
      <c r="B332" s="51" t="n">
        <f aca="false">1+IF($G$6=$E$6,$F$6,IF(P332&lt;($F$6-$E$6)/($G$6-$E$6),$E$6+SQRT(P332*($G$6-$E$6)*($F$6-$E$6)),$G$6-SQRT((1-P332)*($G$6-$E$6)*($G$6-$F$6))))</f>
        <v>0.961510603602452</v>
      </c>
      <c r="C332" s="51" t="n">
        <f aca="false">1+IF($G$7=$E$7,$F$7,IF(Q332&lt;($F$7-$E$7)/($G$7-$E$7),$E$7+SQRT(Q332*($G$7-$E$7)*($F$7-$E$7)),$G$7-SQRT((1-Q332)*($G$7-$E$7)*($G$7-$F$7))))</f>
        <v>1.11992018304354</v>
      </c>
      <c r="D332" s="51" t="n">
        <f aca="false">1+IF($G$8=$E$8,$F$8,IF(R332&lt;($F$8-$E$8)/($G$8-$E$8),$E$8+SQRT(R332*($G$8-$E$8)*($F$8-$E$8)),$G$8-SQRT((1-R332)*($G$8-$E$8)*($G$8-$F$8))))</f>
        <v>0.975755475495444</v>
      </c>
      <c r="E332" s="51" t="n">
        <f aca="false">1+IF($G$9=$E$9,$F$9,IF(S332&lt;($F$9-$E$9)/($G$9-$E$9),$E$9+SQRT(S332*($G$9-$E$9)*($F$9-$E$9)),$G$9-SQRT((1-S332)*($G$9-$E$9)*($G$9-$F$9))))</f>
        <v>0.963759256831387</v>
      </c>
      <c r="F332" s="51" t="n">
        <f aca="false">1+IF($G$10=$E$10,$F$10,IF(T332&lt;($F$10-$E$10)/($G$10-$E$10),$E$10+SQRT(T332*($G$10-$E$10)*($F$10-$E$10)),$G$10-SQRT((1-T332)*($G$10-$E$10)*($G$10-$F$10))))</f>
        <v>1.15192792674256</v>
      </c>
      <c r="G332" s="52" t="n">
        <f aca="false">IF($G$11=$E$11,$F$11,IF(U332&lt;($F$11-$E$11)/($G$11-$E$11),$E$11+SQRT(U332*($G$11-$E$11)*($F$11-$E$11)),$G$11-SQRT((1-U332)*($G$11-$E$11)*($G$11-$F$11))))</f>
        <v>0.112091639387723</v>
      </c>
      <c r="H332" s="53" t="n">
        <f aca="false">(('Business Case'!B11*$C332*'Business Case'!B12*$B332)-'Business Case'!B11*$C332*'Business Case'!B13*$D332-'Business Case'!B14*$E332)-MAX(0,(('Business Case'!B11*$C332*'Business Case'!B12*$B332)-'Business Case'!B11*$C332*'Business Case'!B13*$D332-'Business Case'!B14*$E332))*'Business Case'!$B$7-'Business Case'!$B$8*('Business Case'!B11*$C332*'Business Case'!B12*$B332)-'Business Case'!B15*$F332</f>
        <v>-2303855853.48512</v>
      </c>
      <c r="I332" s="53" t="n">
        <f aca="false">(('Business Case'!C11*$C332*'Business Case'!C12*$B332)-'Business Case'!C11*$C332*'Business Case'!C13*$D332-'Business Case'!C14*$E332)-MAX(0,(('Business Case'!C11*$C332*'Business Case'!C12*$B332)-'Business Case'!C11*$C332*'Business Case'!C13*$D332-'Business Case'!C14*$E332))*'Business Case'!$B$7-'Business Case'!$B$8*(('Business Case'!C11*$C332*'Business Case'!C12*$B332)-('Business Case'!B11*$C332*'Business Case'!B12*$B332))-'Business Case'!C15*$F332</f>
        <v>14517744.8235574</v>
      </c>
      <c r="J332" s="53" t="n">
        <f aca="false">(('Business Case'!D11*$C332*'Business Case'!D12*$B332)-'Business Case'!D11*$C332*'Business Case'!D13*$D332-'Business Case'!D14*$E332)-MAX(0,(('Business Case'!D11*$C332*'Business Case'!D12*$B332)-'Business Case'!D11*$C332*'Business Case'!D13*$D332-'Business Case'!D14*$E332))*'Business Case'!$B$7-'Business Case'!$B$8*(('Business Case'!D11*$C332*'Business Case'!D12*$B332)-('Business Case'!C11*$C332*'Business Case'!C12*$B332))-'Business Case'!D15*$F332</f>
        <v>337096945.043412</v>
      </c>
      <c r="K332" s="53" t="n">
        <f aca="false">(('Business Case'!E11*$C332*'Business Case'!E12*$B332)-'Business Case'!E11*$C332*'Business Case'!E13*$D332-'Business Case'!E14*$E332)-MAX(0,(('Business Case'!E11*$C332*'Business Case'!E12*$B332)-'Business Case'!E11*$C332*'Business Case'!E13*$D332-'Business Case'!E14*$E332))*'Business Case'!$B$7-'Business Case'!$B$8*(('Business Case'!E11*$C332*'Business Case'!E12*$B332)-('Business Case'!D11*$C332*'Business Case'!D12*$B332))-'Business Case'!E15*$F332</f>
        <v>717272541.600395</v>
      </c>
      <c r="L332" s="53" t="n">
        <f aca="false">(('Business Case'!F11*$C332*'Business Case'!F12*$B332)-'Business Case'!F11*$C332*'Business Case'!F13*$D332-'Business Case'!F14*$E332)-MAX(0,(('Business Case'!F11*$C332*'Business Case'!F12*$B332)-'Business Case'!F11*$C332*'Business Case'!F13*$D332-'Business Case'!F14*$E332))*'Business Case'!$B$7-'Business Case'!$B$8*(('Business Case'!F11*$C332*'Business Case'!F12*$B332)-('Business Case'!E11*$C332*'Business Case'!E12*$B332))-'Business Case'!F15*$F332</f>
        <v>862013672.607425</v>
      </c>
      <c r="M332" s="53" t="n">
        <f aca="false">(('Business Case'!G11*$C332*'Business Case'!G12*$B332)-'Business Case'!G11*$C332*'Business Case'!G13*$D332-'Business Case'!G14*$E332)-MAX(0,(('Business Case'!G11*$C332*'Business Case'!G12*$B332)-'Business Case'!G11*$C332*'Business Case'!G13*$D332-'Business Case'!G14*$E332))*'Business Case'!$B$7-'Business Case'!$B$8*(('Business Case'!G11*$C332*'Business Case'!G12*$B332)-('Business Case'!F11*$C332*'Business Case'!F12*$B332))-'Business Case'!G15*$F332+'Business Case'!$B$8*('Business Case'!G11*$C332*'Business Case'!G12*$B332)</f>
        <v>1066694692.74302</v>
      </c>
      <c r="N332" s="53" t="n">
        <f aca="false">IF(COUNT('Business Case'!B11:G11)=0,"",H332+NPV(G332,I332:M332))</f>
        <v>-306048525.483806</v>
      </c>
      <c r="P332" s="54" t="n">
        <f aca="true">RAND()</f>
        <v>0.17949273035832</v>
      </c>
      <c r="Q332" s="54" t="n">
        <f aca="true">RAND()</f>
        <v>0.982765802130775</v>
      </c>
      <c r="R332" s="54" t="n">
        <f aca="true">RAND()</f>
        <v>0.102053002768678</v>
      </c>
      <c r="S332" s="54" t="n">
        <f aca="true">RAND()</f>
        <v>0.0252422864736102</v>
      </c>
      <c r="T332" s="54" t="n">
        <f aca="true">RAND()</f>
        <v>0.953781515454622</v>
      </c>
      <c r="U332" s="54" t="n">
        <f aca="true">RAND()</f>
        <v>0.895763054043651</v>
      </c>
    </row>
    <row r="333" customFormat="false" ht="15" hidden="false" customHeight="false" outlineLevel="0" collapsed="false">
      <c r="A333" s="50" t="n">
        <v>253</v>
      </c>
      <c r="B333" s="51" t="n">
        <f aca="false">1+IF($G$6=$E$6,$F$6,IF(P333&lt;($F$6-$E$6)/($G$6-$E$6),$E$6+SQRT(P333*($G$6-$E$6)*($F$6-$E$6)),$G$6-SQRT((1-P333)*($G$6-$E$6)*($G$6-$F$6))))</f>
        <v>0.992498584814185</v>
      </c>
      <c r="C333" s="51" t="n">
        <f aca="false">1+IF($G$7=$E$7,$F$7,IF(Q333&lt;($F$7-$E$7)/($G$7-$E$7),$E$7+SQRT(Q333*($G$7-$E$7)*($F$7-$E$7)),$G$7-SQRT((1-Q333)*($G$7-$E$7)*($G$7-$F$7))))</f>
        <v>0.922372143414786</v>
      </c>
      <c r="D333" s="51" t="n">
        <f aca="false">1+IF($G$8=$E$8,$F$8,IF(R333&lt;($F$8-$E$8)/($G$8-$E$8),$E$8+SQRT(R333*($G$8-$E$8)*($F$8-$E$8)),$G$8-SQRT((1-R333)*($G$8-$E$8)*($G$8-$F$8))))</f>
        <v>1.0307935007767</v>
      </c>
      <c r="E333" s="51" t="n">
        <f aca="false">1+IF($G$9=$E$9,$F$9,IF(S333&lt;($F$9-$E$9)/($G$9-$E$9),$E$9+SQRT(S333*($G$9-$E$9)*($F$9-$E$9)),$G$9-SQRT((1-S333)*($G$9-$E$9)*($G$9-$F$9))))</f>
        <v>1.02636915878236</v>
      </c>
      <c r="F333" s="51" t="n">
        <f aca="false">1+IF($G$10=$E$10,$F$10,IF(T333&lt;($F$10-$E$10)/($G$10-$E$10),$E$10+SQRT(T333*($G$10-$E$10)*($F$10-$E$10)),$G$10-SQRT((1-T333)*($G$10-$E$10)*($G$10-$F$10))))</f>
        <v>1.01500098874759</v>
      </c>
      <c r="G333" s="52" t="n">
        <f aca="false">IF($G$11=$E$11,$F$11,IF(U333&lt;($F$11-$E$11)/($G$11-$E$11),$E$11+SQRT(U333*($G$11-$E$11)*($F$11-$E$11)),$G$11-SQRT((1-U333)*($G$11-$E$11)*($G$11-$F$11))))</f>
        <v>0.0996635355969612</v>
      </c>
      <c r="H333" s="53" t="n">
        <f aca="false">(('Business Case'!B11*$C333*'Business Case'!B12*$B333)-'Business Case'!B11*$C333*'Business Case'!B13*$D333-'Business Case'!B14*$E333)-MAX(0,(('Business Case'!B11*$C333*'Business Case'!B12*$B333)-'Business Case'!B11*$C333*'Business Case'!B13*$D333-'Business Case'!B14*$E333))*'Business Case'!$B$7-'Business Case'!$B$8*('Business Case'!B11*$C333*'Business Case'!B12*$B333)-'Business Case'!B15*$F333</f>
        <v>-2030001977.49518</v>
      </c>
      <c r="I333" s="53" t="n">
        <f aca="false">(('Business Case'!C11*$C333*'Business Case'!C12*$B333)-'Business Case'!C11*$C333*'Business Case'!C13*$D333-'Business Case'!C14*$E333)-MAX(0,(('Business Case'!C11*$C333*'Business Case'!C12*$B333)-'Business Case'!C11*$C333*'Business Case'!C13*$D333-'Business Case'!C14*$E333))*'Business Case'!$B$7-'Business Case'!$B$8*(('Business Case'!C11*$C333*'Business Case'!C12*$B333)-('Business Case'!B11*$C333*'Business Case'!B12*$B333))-'Business Case'!C15*$F333</f>
        <v>-31805766.9657261</v>
      </c>
      <c r="J333" s="53" t="n">
        <f aca="false">(('Business Case'!D11*$C333*'Business Case'!D12*$B333)-'Business Case'!D11*$C333*'Business Case'!D13*$D333-'Business Case'!D14*$E333)-MAX(0,(('Business Case'!D11*$C333*'Business Case'!D12*$B333)-'Business Case'!D11*$C333*'Business Case'!D13*$D333-'Business Case'!D14*$E333))*'Business Case'!$B$7-'Business Case'!$B$8*(('Business Case'!D11*$C333*'Business Case'!D12*$B333)-('Business Case'!C11*$C333*'Business Case'!C12*$B333))-'Business Case'!D15*$F333</f>
        <v>231295345.279219</v>
      </c>
      <c r="K333" s="53" t="n">
        <f aca="false">(('Business Case'!E11*$C333*'Business Case'!E12*$B333)-'Business Case'!E11*$C333*'Business Case'!E13*$D333-'Business Case'!E14*$E333)-MAX(0,(('Business Case'!E11*$C333*'Business Case'!E12*$B333)-'Business Case'!E11*$C333*'Business Case'!E13*$D333-'Business Case'!E14*$E333))*'Business Case'!$B$7-'Business Case'!$B$8*(('Business Case'!E11*$C333*'Business Case'!E12*$B333)-('Business Case'!D11*$C333*'Business Case'!D12*$B333))-'Business Case'!E15*$F333</f>
        <v>545146506.961543</v>
      </c>
      <c r="L333" s="53" t="n">
        <f aca="false">(('Business Case'!F11*$C333*'Business Case'!F12*$B333)-'Business Case'!F11*$C333*'Business Case'!F13*$D333-'Business Case'!F14*$E333)-MAX(0,(('Business Case'!F11*$C333*'Business Case'!F12*$B333)-'Business Case'!F11*$C333*'Business Case'!F13*$D333-'Business Case'!F14*$E333))*'Business Case'!$B$7-'Business Case'!$B$8*(('Business Case'!F11*$C333*'Business Case'!F12*$B333)-('Business Case'!E11*$C333*'Business Case'!E12*$B333))-'Business Case'!F15*$F333</f>
        <v>664484935.014564</v>
      </c>
      <c r="M333" s="53" t="n">
        <f aca="false">(('Business Case'!G11*$C333*'Business Case'!G12*$B333)-'Business Case'!G11*$C333*'Business Case'!G13*$D333-'Business Case'!G14*$E333)-MAX(0,(('Business Case'!G11*$C333*'Business Case'!G12*$B333)-'Business Case'!G11*$C333*'Business Case'!G13*$D333-'Business Case'!G14*$E333))*'Business Case'!$B$7-'Business Case'!$B$8*(('Business Case'!G11*$C333*'Business Case'!G12*$B333)-('Business Case'!F11*$C333*'Business Case'!F12*$B333))-'Business Case'!G15*$F333+'Business Case'!$B$8*('Business Case'!G11*$C333*'Business Case'!G12*$B333)</f>
        <v>838494250.190453</v>
      </c>
      <c r="N333" s="53" t="n">
        <f aca="false">IF(COUNT('Business Case'!B11:G11)=0,"",H333+NPV(G333,I333:M333))</f>
        <v>-481858463.804823</v>
      </c>
      <c r="P333" s="54" t="n">
        <f aca="true">RAND()</f>
        <v>0.547504666672869</v>
      </c>
      <c r="Q333" s="54" t="n">
        <f aca="true">RAND()</f>
        <v>0.213927735484697</v>
      </c>
      <c r="R333" s="54" t="n">
        <f aca="true">RAND()</f>
        <v>0.767184657133429</v>
      </c>
      <c r="S333" s="54" t="n">
        <f aca="true">RAND()</f>
        <v>0.638566614772138</v>
      </c>
      <c r="T333" s="54" t="n">
        <f aca="true">RAND()</f>
        <v>0.315507316712616</v>
      </c>
      <c r="U333" s="54" t="n">
        <f aca="true">RAND()</f>
        <v>0.311279734112457</v>
      </c>
    </row>
    <row r="334" customFormat="false" ht="15" hidden="false" customHeight="false" outlineLevel="0" collapsed="false">
      <c r="A334" s="50" t="n">
        <v>254</v>
      </c>
      <c r="B334" s="51" t="n">
        <f aca="false">1+IF($G$6=$E$6,$F$6,IF(P334&lt;($F$6-$E$6)/($G$6-$E$6),$E$6+SQRT(P334*($G$6-$E$6)*($F$6-$E$6)),$G$6-SQRT((1-P334)*($G$6-$E$6)*($G$6-$F$6))))</f>
        <v>1.00416237547587</v>
      </c>
      <c r="C334" s="51" t="n">
        <f aca="false">1+IF($G$7=$E$7,$F$7,IF(Q334&lt;($F$7-$E$7)/($G$7-$E$7),$E$7+SQRT(Q334*($G$7-$E$7)*($F$7-$E$7)),$G$7-SQRT((1-Q334)*($G$7-$E$7)*($G$7-$F$7))))</f>
        <v>0.932512888150793</v>
      </c>
      <c r="D334" s="51" t="n">
        <f aca="false">1+IF($G$8=$E$8,$F$8,IF(R334&lt;($F$8-$E$8)/($G$8-$E$8),$E$8+SQRT(R334*($G$8-$E$8)*($F$8-$E$8)),$G$8-SQRT((1-R334)*($G$8-$E$8)*($G$8-$F$8))))</f>
        <v>0.99861877771593</v>
      </c>
      <c r="E334" s="51" t="n">
        <f aca="false">1+IF($G$9=$E$9,$F$9,IF(S334&lt;($F$9-$E$9)/($G$9-$E$9),$E$9+SQRT(S334*($G$9-$E$9)*($F$9-$E$9)),$G$9-SQRT((1-S334)*($G$9-$E$9)*($G$9-$F$9))))</f>
        <v>0.979066596975321</v>
      </c>
      <c r="F334" s="51" t="n">
        <f aca="false">1+IF($G$10=$E$10,$F$10,IF(T334&lt;($F$10-$E$10)/($G$10-$E$10),$E$10+SQRT(T334*($G$10-$E$10)*($F$10-$E$10)),$G$10-SQRT((1-T334)*($G$10-$E$10)*($G$10-$F$10))))</f>
        <v>1.04192980499625</v>
      </c>
      <c r="G334" s="52" t="n">
        <f aca="false">IF($G$11=$E$11,$F$11,IF(U334&lt;($F$11-$E$11)/($G$11-$E$11),$E$11+SQRT(U334*($G$11-$E$11)*($F$11-$E$11)),$G$11-SQRT((1-U334)*($G$11-$E$11)*($G$11-$F$11))))</f>
        <v>0.0980783321847618</v>
      </c>
      <c r="H334" s="53" t="n">
        <f aca="false">(('Business Case'!B11*$C334*'Business Case'!B12*$B334)-'Business Case'!B11*$C334*'Business Case'!B13*$D334-'Business Case'!B14*$E334)-MAX(0,(('Business Case'!B11*$C334*'Business Case'!B12*$B334)-'Business Case'!B11*$C334*'Business Case'!B13*$D334-'Business Case'!B14*$E334))*'Business Case'!$B$7-'Business Case'!$B$8*('Business Case'!B11*$C334*'Business Case'!B12*$B334)-'Business Case'!B15*$F334</f>
        <v>-2083859609.99249</v>
      </c>
      <c r="I334" s="53" t="n">
        <f aca="false">(('Business Case'!C11*$C334*'Business Case'!C12*$B334)-'Business Case'!C11*$C334*'Business Case'!C13*$D334-'Business Case'!C14*$E334)-MAX(0,(('Business Case'!C11*$C334*'Business Case'!C12*$B334)-'Business Case'!C11*$C334*'Business Case'!C13*$D334-'Business Case'!C14*$E334))*'Business Case'!$B$7-'Business Case'!$B$8*(('Business Case'!C11*$C334*'Business Case'!C12*$B334)-('Business Case'!B11*$C334*'Business Case'!B12*$B334))-'Business Case'!C15*$F334</f>
        <v>-1697176.19655301</v>
      </c>
      <c r="J334" s="53" t="n">
        <f aca="false">(('Business Case'!D11*$C334*'Business Case'!D12*$B334)-'Business Case'!D11*$C334*'Business Case'!D13*$D334-'Business Case'!D14*$E334)-MAX(0,(('Business Case'!D11*$C334*'Business Case'!D12*$B334)-'Business Case'!D11*$C334*'Business Case'!D13*$D334-'Business Case'!D14*$E334))*'Business Case'!$B$7-'Business Case'!$B$8*(('Business Case'!D11*$C334*'Business Case'!D12*$B334)-('Business Case'!C11*$C334*'Business Case'!C12*$B334))-'Business Case'!D15*$F334</f>
        <v>288564581.659524</v>
      </c>
      <c r="K334" s="53" t="n">
        <f aca="false">(('Business Case'!E11*$C334*'Business Case'!E12*$B334)-'Business Case'!E11*$C334*'Business Case'!E13*$D334-'Business Case'!E14*$E334)-MAX(0,(('Business Case'!E11*$C334*'Business Case'!E12*$B334)-'Business Case'!E11*$C334*'Business Case'!E13*$D334-'Business Case'!E14*$E334))*'Business Case'!$B$7-'Business Case'!$B$8*(('Business Case'!E11*$C334*'Business Case'!E12*$B334)-('Business Case'!D11*$C334*'Business Case'!D12*$B334))-'Business Case'!E15*$F334</f>
        <v>630922829.765413</v>
      </c>
      <c r="L334" s="53" t="n">
        <f aca="false">(('Business Case'!F11*$C334*'Business Case'!F12*$B334)-'Business Case'!F11*$C334*'Business Case'!F13*$D334-'Business Case'!F14*$E334)-MAX(0,(('Business Case'!F11*$C334*'Business Case'!F12*$B334)-'Business Case'!F11*$C334*'Business Case'!F13*$D334-'Business Case'!F14*$E334))*'Business Case'!$B$7-'Business Case'!$B$8*(('Business Case'!F11*$C334*'Business Case'!F12*$B334)-('Business Case'!E11*$C334*'Business Case'!E12*$B334))-'Business Case'!F15*$F334</f>
        <v>760038538.026182</v>
      </c>
      <c r="M334" s="53" t="n">
        <f aca="false">(('Business Case'!G11*$C334*'Business Case'!G12*$B334)-'Business Case'!G11*$C334*'Business Case'!G13*$D334-'Business Case'!G14*$E334)-MAX(0,(('Business Case'!G11*$C334*'Business Case'!G12*$B334)-'Business Case'!G11*$C334*'Business Case'!G13*$D334-'Business Case'!G14*$E334))*'Business Case'!$B$7-'Business Case'!$B$8*(('Business Case'!G11*$C334*'Business Case'!G12*$B334)-('Business Case'!F11*$C334*'Business Case'!F12*$B334))-'Business Case'!G15*$F334+'Business Case'!$B$8*('Business Case'!G11*$C334*'Business Case'!G12*$B334)</f>
        <v>938028377.390937</v>
      </c>
      <c r="N334" s="53" t="n">
        <f aca="false">IF(COUNT('Business Case'!B11:G11)=0,"",H334+NPV(G334,I334:M334))</f>
        <v>-259255856.109586</v>
      </c>
      <c r="P334" s="54" t="n">
        <f aca="true">RAND()</f>
        <v>0.732430139264123</v>
      </c>
      <c r="Q334" s="54" t="n">
        <f aca="true">RAND()</f>
        <v>0.250852364658064</v>
      </c>
      <c r="R334" s="54" t="n">
        <f aca="true">RAND()</f>
        <v>0.363659314860151</v>
      </c>
      <c r="S334" s="54" t="n">
        <f aca="true">RAND()</f>
        <v>0.112648941296765</v>
      </c>
      <c r="T334" s="54" t="n">
        <f aca="true">RAND()</f>
        <v>0.500276269029506</v>
      </c>
      <c r="U334" s="54" t="n">
        <f aca="true">RAND()</f>
        <v>0.217531502957863</v>
      </c>
    </row>
    <row r="335" customFormat="false" ht="15" hidden="false" customHeight="false" outlineLevel="0" collapsed="false">
      <c r="A335" s="50" t="n">
        <v>255</v>
      </c>
      <c r="B335" s="51" t="n">
        <f aca="false">1+IF($G$6=$E$6,$F$6,IF(P335&lt;($F$6-$E$6)/($G$6-$E$6),$E$6+SQRT(P335*($G$6-$E$6)*($F$6-$E$6)),$G$6-SQRT((1-P335)*($G$6-$E$6)*($G$6-$F$6))))</f>
        <v>1.02407770602286</v>
      </c>
      <c r="C335" s="51" t="n">
        <f aca="false">1+IF($G$7=$E$7,$F$7,IF(Q335&lt;($F$7-$E$7)/($G$7-$E$7),$E$7+SQRT(Q335*($G$7-$E$7)*($F$7-$E$7)),$G$7-SQRT((1-Q335)*($G$7-$E$7)*($G$7-$F$7))))</f>
        <v>1.01102319991773</v>
      </c>
      <c r="D335" s="51" t="n">
        <f aca="false">1+IF($G$8=$E$8,$F$8,IF(R335&lt;($F$8-$E$8)/($G$8-$E$8),$E$8+SQRT(R335*($G$8-$E$8)*($F$8-$E$8)),$G$8-SQRT((1-R335)*($G$8-$E$8)*($G$8-$F$8))))</f>
        <v>1.03163240649686</v>
      </c>
      <c r="E335" s="51" t="n">
        <f aca="false">1+IF($G$9=$E$9,$F$9,IF(S335&lt;($F$9-$E$9)/($G$9-$E$9),$E$9+SQRT(S335*($G$9-$E$9)*($F$9-$E$9)),$G$9-SQRT((1-S335)*($G$9-$E$9)*($G$9-$F$9))))</f>
        <v>1.00955498032606</v>
      </c>
      <c r="F335" s="51" t="n">
        <f aca="false">1+IF($G$10=$E$10,$F$10,IF(T335&lt;($F$10-$E$10)/($G$10-$E$10),$E$10+SQRT(T335*($G$10-$E$10)*($F$10-$E$10)),$G$10-SQRT((1-T335)*($G$10-$E$10)*($G$10-$F$10))))</f>
        <v>1.09084634153989</v>
      </c>
      <c r="G335" s="52" t="n">
        <f aca="false">IF($G$11=$E$11,$F$11,IF(U335&lt;($F$11-$E$11)/($G$11-$E$11),$E$11+SQRT(U335*($G$11-$E$11)*($F$11-$E$11)),$G$11-SQRT((1-U335)*($G$11-$E$11)*($G$11-$F$11))))</f>
        <v>0.112645905929041</v>
      </c>
      <c r="H335" s="53" t="n">
        <f aca="false">(('Business Case'!B11*$C335*'Business Case'!B12*$B335)-'Business Case'!B11*$C335*'Business Case'!B13*$D335-'Business Case'!B14*$E335)-MAX(0,(('Business Case'!B11*$C335*'Business Case'!B12*$B335)-'Business Case'!B11*$C335*'Business Case'!B13*$D335-'Business Case'!B14*$E335))*'Business Case'!$B$7-'Business Case'!$B$8*('Business Case'!B11*$C335*'Business Case'!B12*$B335)-'Business Case'!B15*$F335</f>
        <v>-2181692683.07977</v>
      </c>
      <c r="I335" s="53" t="n">
        <f aca="false">(('Business Case'!C11*$C335*'Business Case'!C12*$B335)-'Business Case'!C11*$C335*'Business Case'!C13*$D335-'Business Case'!C14*$E335)-MAX(0,(('Business Case'!C11*$C335*'Business Case'!C12*$B335)-'Business Case'!C11*$C335*'Business Case'!C13*$D335-'Business Case'!C14*$E335))*'Business Case'!$B$7-'Business Case'!$B$8*(('Business Case'!C11*$C335*'Business Case'!C12*$B335)-('Business Case'!B11*$C335*'Business Case'!B12*$B335))-'Business Case'!C15*$F335</f>
        <v>7788059.94371687</v>
      </c>
      <c r="J335" s="53" t="n">
        <f aca="false">(('Business Case'!D11*$C335*'Business Case'!D12*$B335)-'Business Case'!D11*$C335*'Business Case'!D13*$D335-'Business Case'!D14*$E335)-MAX(0,(('Business Case'!D11*$C335*'Business Case'!D12*$B335)-'Business Case'!D11*$C335*'Business Case'!D13*$D335-'Business Case'!D14*$E335))*'Business Case'!$B$7-'Business Case'!$B$8*(('Business Case'!D11*$C335*'Business Case'!D12*$B335)-('Business Case'!C11*$C335*'Business Case'!C12*$B335))-'Business Case'!D15*$F335</f>
        <v>321892862.236695</v>
      </c>
      <c r="K335" s="53" t="n">
        <f aca="false">(('Business Case'!E11*$C335*'Business Case'!E12*$B335)-'Business Case'!E11*$C335*'Business Case'!E13*$D335-'Business Case'!E14*$E335)-MAX(0,(('Business Case'!E11*$C335*'Business Case'!E12*$B335)-'Business Case'!E11*$C335*'Business Case'!E13*$D335-'Business Case'!E14*$E335))*'Business Case'!$B$7-'Business Case'!$B$8*(('Business Case'!E11*$C335*'Business Case'!E12*$B335)-('Business Case'!D11*$C335*'Business Case'!D12*$B335))-'Business Case'!E15*$F335</f>
        <v>690539981.606668</v>
      </c>
      <c r="L335" s="53" t="n">
        <f aca="false">(('Business Case'!F11*$C335*'Business Case'!F12*$B335)-'Business Case'!F11*$C335*'Business Case'!F13*$D335-'Business Case'!F14*$E335)-MAX(0,(('Business Case'!F11*$C335*'Business Case'!F12*$B335)-'Business Case'!F11*$C335*'Business Case'!F13*$D335-'Business Case'!F14*$E335))*'Business Case'!$B$7-'Business Case'!$B$8*(('Business Case'!F11*$C335*'Business Case'!F12*$B335)-('Business Case'!E11*$C335*'Business Case'!E12*$B335))-'Business Case'!F15*$F335</f>
        <v>831023842.366266</v>
      </c>
      <c r="M335" s="53" t="n">
        <f aca="false">(('Business Case'!G11*$C335*'Business Case'!G12*$B335)-'Business Case'!G11*$C335*'Business Case'!G13*$D335-'Business Case'!G14*$E335)-MAX(0,(('Business Case'!G11*$C335*'Business Case'!G12*$B335)-'Business Case'!G11*$C335*'Business Case'!G13*$D335-'Business Case'!G14*$E335))*'Business Case'!$B$7-'Business Case'!$B$8*(('Business Case'!G11*$C335*'Business Case'!G12*$B335)-('Business Case'!F11*$C335*'Business Case'!F12*$B335))-'Business Case'!G15*$F335+'Business Case'!$B$8*('Business Case'!G11*$C335*'Business Case'!G12*$B335)</f>
        <v>1027826272.34026</v>
      </c>
      <c r="N335" s="53" t="n">
        <f aca="false">IF(COUNT('Business Case'!B11:G11)=0,"",H335+NPV(G335,I335:M335))</f>
        <v>-268376124.495241</v>
      </c>
      <c r="P335" s="54" t="n">
        <f aca="true">RAND()</f>
        <v>0.947183448855298</v>
      </c>
      <c r="Q335" s="54" t="n">
        <f aca="true">RAND()</f>
        <v>0.632103791216985</v>
      </c>
      <c r="R335" s="54" t="n">
        <f aca="true">RAND()</f>
        <v>0.775055374876457</v>
      </c>
      <c r="S335" s="54" t="n">
        <f aca="true">RAND()</f>
        <v>0.454646561078662</v>
      </c>
      <c r="T335" s="54" t="n">
        <f aca="true">RAND()</f>
        <v>0.761709576895452</v>
      </c>
      <c r="U335" s="54" t="n">
        <f aca="true">RAND()</f>
        <v>0.909862167325813</v>
      </c>
    </row>
    <row r="336" customFormat="false" ht="15" hidden="false" customHeight="false" outlineLevel="0" collapsed="false">
      <c r="A336" s="50" t="n">
        <v>256</v>
      </c>
      <c r="B336" s="51" t="n">
        <f aca="false">1+IF($G$6=$E$6,$F$6,IF(P336&lt;($F$6-$E$6)/($G$6-$E$6),$E$6+SQRT(P336*($G$6-$E$6)*($F$6-$E$6)),$G$6-SQRT((1-P336)*($G$6-$E$6)*($G$6-$F$6))))</f>
        <v>0.993397417793012</v>
      </c>
      <c r="C336" s="51" t="n">
        <f aca="false">1+IF($G$7=$E$7,$F$7,IF(Q336&lt;($F$7-$E$7)/($G$7-$E$7),$E$7+SQRT(Q336*($G$7-$E$7)*($F$7-$E$7)),$G$7-SQRT((1-Q336)*($G$7-$E$7)*($G$7-$F$7))))</f>
        <v>1.00840104944941</v>
      </c>
      <c r="D336" s="51" t="n">
        <f aca="false">1+IF($G$8=$E$8,$F$8,IF(R336&lt;($F$8-$E$8)/($G$8-$E$8),$E$8+SQRT(R336*($G$8-$E$8)*($F$8-$E$8)),$G$8-SQRT((1-R336)*($G$8-$E$8)*($G$8-$F$8))))</f>
        <v>0.982796911753777</v>
      </c>
      <c r="E336" s="51" t="n">
        <f aca="false">1+IF($G$9=$E$9,$F$9,IF(S336&lt;($F$9-$E$9)/($G$9-$E$9),$E$9+SQRT(S336*($G$9-$E$9)*($F$9-$E$9)),$G$9-SQRT((1-S336)*($G$9-$E$9)*($G$9-$F$9))))</f>
        <v>1.01290994141884</v>
      </c>
      <c r="F336" s="51" t="n">
        <f aca="false">1+IF($G$10=$E$10,$F$10,IF(T336&lt;($F$10-$E$10)/($G$10-$E$10),$E$10+SQRT(T336*($G$10-$E$10)*($F$10-$E$10)),$G$10-SQRT((1-T336)*($G$10-$E$10)*($G$10-$F$10))))</f>
        <v>0.958146824532996</v>
      </c>
      <c r="G336" s="52" t="n">
        <f aca="false">IF($G$11=$E$11,$F$11,IF(U336&lt;($F$11-$E$11)/($G$11-$E$11),$E$11+SQRT(U336*($G$11-$E$11)*($F$11-$E$11)),$G$11-SQRT((1-U336)*($G$11-$E$11)*($G$11-$F$11))))</f>
        <v>0.102222436496503</v>
      </c>
      <c r="H336" s="53" t="n">
        <f aca="false">(('Business Case'!B11*$C336*'Business Case'!B12*$B336)-'Business Case'!B11*$C336*'Business Case'!B13*$D336-'Business Case'!B14*$E336)-MAX(0,(('Business Case'!B11*$C336*'Business Case'!B12*$B336)-'Business Case'!B11*$C336*'Business Case'!B13*$D336-'Business Case'!B14*$E336))*'Business Case'!$B$7-'Business Case'!$B$8*('Business Case'!B11*$C336*'Business Case'!B12*$B336)-'Business Case'!B15*$F336</f>
        <v>-1916293649.06599</v>
      </c>
      <c r="I336" s="53" t="n">
        <f aca="false">(('Business Case'!C11*$C336*'Business Case'!C12*$B336)-'Business Case'!C11*$C336*'Business Case'!C13*$D336-'Business Case'!C14*$E336)-MAX(0,(('Business Case'!C11*$C336*'Business Case'!C12*$B336)-'Business Case'!C11*$C336*'Business Case'!C13*$D336-'Business Case'!C14*$E336))*'Business Case'!$B$7-'Business Case'!$B$8*(('Business Case'!C11*$C336*'Business Case'!C12*$B336)-('Business Case'!B11*$C336*'Business Case'!B12*$B336))-'Business Case'!C15*$F336</f>
        <v>21378732.6207199</v>
      </c>
      <c r="J336" s="53" t="n">
        <f aca="false">(('Business Case'!D11*$C336*'Business Case'!D12*$B336)-'Business Case'!D11*$C336*'Business Case'!D13*$D336-'Business Case'!D14*$E336)-MAX(0,(('Business Case'!D11*$C336*'Business Case'!D12*$B336)-'Business Case'!D11*$C336*'Business Case'!D13*$D336-'Business Case'!D14*$E336))*'Business Case'!$B$7-'Business Case'!$B$8*(('Business Case'!D11*$C336*'Business Case'!D12*$B336)-('Business Case'!C11*$C336*'Business Case'!C12*$B336))-'Business Case'!D15*$F336</f>
        <v>334538298.413104</v>
      </c>
      <c r="K336" s="53" t="n">
        <f aca="false">(('Business Case'!E11*$C336*'Business Case'!E12*$B336)-'Business Case'!E11*$C336*'Business Case'!E13*$D336-'Business Case'!E14*$E336)-MAX(0,(('Business Case'!E11*$C336*'Business Case'!E12*$B336)-'Business Case'!E11*$C336*'Business Case'!E13*$D336-'Business Case'!E14*$E336))*'Business Case'!$B$7-'Business Case'!$B$8*(('Business Case'!E11*$C336*'Business Case'!E12*$B336)-('Business Case'!D11*$C336*'Business Case'!D12*$B336))-'Business Case'!E15*$F336</f>
        <v>695605205.432138</v>
      </c>
      <c r="L336" s="53" t="n">
        <f aca="false">(('Business Case'!F11*$C336*'Business Case'!F12*$B336)-'Business Case'!F11*$C336*'Business Case'!F13*$D336-'Business Case'!F14*$E336)-MAX(0,(('Business Case'!F11*$C336*'Business Case'!F12*$B336)-'Business Case'!F11*$C336*'Business Case'!F13*$D336-'Business Case'!F14*$E336))*'Business Case'!$B$7-'Business Case'!$B$8*(('Business Case'!F11*$C336*'Business Case'!F12*$B336)-('Business Case'!E11*$C336*'Business Case'!E12*$B336))-'Business Case'!F15*$F336</f>
        <v>834611965.395337</v>
      </c>
      <c r="M336" s="53" t="n">
        <f aca="false">(('Business Case'!G11*$C336*'Business Case'!G12*$B336)-'Business Case'!G11*$C336*'Business Case'!G13*$D336-'Business Case'!G14*$E336)-MAX(0,(('Business Case'!G11*$C336*'Business Case'!G12*$B336)-'Business Case'!G11*$C336*'Business Case'!G13*$D336-'Business Case'!G14*$E336))*'Business Case'!$B$7-'Business Case'!$B$8*(('Business Case'!G11*$C336*'Business Case'!G12*$B336)-('Business Case'!F11*$C336*'Business Case'!F12*$B336))-'Business Case'!G15*$F336+'Business Case'!$B$8*('Business Case'!G11*$C336*'Business Case'!G12*$B336)</f>
        <v>1025023274.57356</v>
      </c>
      <c r="N336" s="53" t="n">
        <f aca="false">IF(COUNT('Business Case'!B11:G11)=0,"",H336+NPV(G336,I336:M336))</f>
        <v>93465605.1132319</v>
      </c>
      <c r="P336" s="54" t="n">
        <f aca="true">RAND()</f>
        <v>0.561164681112708</v>
      </c>
      <c r="Q336" s="54" t="n">
        <f aca="true">RAND()</f>
        <v>0.618090232437538</v>
      </c>
      <c r="R336" s="54" t="n">
        <f aca="true">RAND()</f>
        <v>0.165482680090005</v>
      </c>
      <c r="S336" s="54" t="n">
        <f aca="true">RAND()</f>
        <v>0.494354779755305</v>
      </c>
      <c r="T336" s="54" t="n">
        <f aca="true">RAND()</f>
        <v>0.00530965999771459</v>
      </c>
      <c r="U336" s="54" t="n">
        <f aca="true">RAND()</f>
        <v>0.473263726465232</v>
      </c>
    </row>
    <row r="337" customFormat="false" ht="15" hidden="false" customHeight="false" outlineLevel="0" collapsed="false">
      <c r="A337" s="50" t="n">
        <v>257</v>
      </c>
      <c r="B337" s="51" t="n">
        <f aca="false">1+IF($G$6=$E$6,$F$6,IF(P337&lt;($F$6-$E$6)/($G$6-$E$6),$E$6+SQRT(P337*($G$6-$E$6)*($F$6-$E$6)),$G$6-SQRT((1-P337)*($G$6-$E$6)*($G$6-$F$6))))</f>
        <v>0.966288965719514</v>
      </c>
      <c r="C337" s="51" t="n">
        <f aca="false">1+IF($G$7=$E$7,$F$7,IF(Q337&lt;($F$7-$E$7)/($G$7-$E$7),$E$7+SQRT(Q337*($G$7-$E$7)*($F$7-$E$7)),$G$7-SQRT((1-Q337)*($G$7-$E$7)*($G$7-$F$7))))</f>
        <v>1.02649658258826</v>
      </c>
      <c r="D337" s="51" t="n">
        <f aca="false">1+IF($G$8=$E$8,$F$8,IF(R337&lt;($F$8-$E$8)/($G$8-$E$8),$E$8+SQRT(R337*($G$8-$E$8)*($F$8-$E$8)),$G$8-SQRT((1-R337)*($G$8-$E$8)*($G$8-$F$8))))</f>
        <v>1.05184332544635</v>
      </c>
      <c r="E337" s="51" t="n">
        <f aca="false">1+IF($G$9=$E$9,$F$9,IF(S337&lt;($F$9-$E$9)/($G$9-$E$9),$E$9+SQRT(S337*($G$9-$E$9)*($F$9-$E$9)),$G$9-SQRT((1-S337)*($G$9-$E$9)*($G$9-$F$9))))</f>
        <v>1.03653505887353</v>
      </c>
      <c r="F337" s="51" t="n">
        <f aca="false">1+IF($G$10=$E$10,$F$10,IF(T337&lt;($F$10-$E$10)/($G$10-$E$10),$E$10+SQRT(T337*($G$10-$E$10)*($F$10-$E$10)),$G$10-SQRT((1-T337)*($G$10-$E$10)*($G$10-$F$10))))</f>
        <v>1.15527966344663</v>
      </c>
      <c r="G337" s="52" t="n">
        <f aca="false">IF($G$11=$E$11,$F$11,IF(U337&lt;($F$11-$E$11)/($G$11-$E$11),$E$11+SQRT(U337*($G$11-$E$11)*($F$11-$E$11)),$G$11-SQRT((1-U337)*($G$11-$E$11)*($G$11-$F$11))))</f>
        <v>0.108367408198351</v>
      </c>
      <c r="H337" s="53" t="n">
        <f aca="false">(('Business Case'!B11*$C337*'Business Case'!B12*$B337)-'Business Case'!B11*$C337*'Business Case'!B13*$D337-'Business Case'!B14*$E337)-MAX(0,(('Business Case'!B11*$C337*'Business Case'!B12*$B337)-'Business Case'!B11*$C337*'Business Case'!B13*$D337-'Business Case'!B14*$E337))*'Business Case'!$B$7-'Business Case'!$B$8*('Business Case'!B11*$C337*'Business Case'!B12*$B337)-'Business Case'!B15*$F337</f>
        <v>-2310559326.89326</v>
      </c>
      <c r="I337" s="53" t="n">
        <f aca="false">(('Business Case'!C11*$C337*'Business Case'!C12*$B337)-'Business Case'!C11*$C337*'Business Case'!C13*$D337-'Business Case'!C14*$E337)-MAX(0,(('Business Case'!C11*$C337*'Business Case'!C12*$B337)-'Business Case'!C11*$C337*'Business Case'!C13*$D337-'Business Case'!C14*$E337))*'Business Case'!$B$7-'Business Case'!$B$8*(('Business Case'!C11*$C337*'Business Case'!C12*$B337)-('Business Case'!B11*$C337*'Business Case'!B12*$B337))-'Business Case'!C15*$F337</f>
        <v>-54638697.7673741</v>
      </c>
      <c r="J337" s="53" t="n">
        <f aca="false">(('Business Case'!D11*$C337*'Business Case'!D12*$B337)-'Business Case'!D11*$C337*'Business Case'!D13*$D337-'Business Case'!D14*$E337)-MAX(0,(('Business Case'!D11*$C337*'Business Case'!D12*$B337)-'Business Case'!D11*$C337*'Business Case'!D13*$D337-'Business Case'!D14*$E337))*'Business Case'!$B$7-'Business Case'!$B$8*(('Business Case'!D11*$C337*'Business Case'!D12*$B337)-('Business Case'!C11*$C337*'Business Case'!C12*$B337))-'Business Case'!D15*$F337</f>
        <v>205065554.107754</v>
      </c>
      <c r="K337" s="53" t="n">
        <f aca="false">(('Business Case'!E11*$C337*'Business Case'!E12*$B337)-'Business Case'!E11*$C337*'Business Case'!E13*$D337-'Business Case'!E14*$E337)-MAX(0,(('Business Case'!E11*$C337*'Business Case'!E12*$B337)-'Business Case'!E11*$C337*'Business Case'!E13*$D337-'Business Case'!E14*$E337))*'Business Case'!$B$7-'Business Case'!$B$8*(('Business Case'!E11*$C337*'Business Case'!E12*$B337)-('Business Case'!D11*$C337*'Business Case'!D12*$B337))-'Business Case'!E15*$F337</f>
        <v>522533789.155214</v>
      </c>
      <c r="L337" s="53" t="n">
        <f aca="false">(('Business Case'!F11*$C337*'Business Case'!F12*$B337)-'Business Case'!F11*$C337*'Business Case'!F13*$D337-'Business Case'!F14*$E337)-MAX(0,(('Business Case'!F11*$C337*'Business Case'!F12*$B337)-'Business Case'!F11*$C337*'Business Case'!F13*$D337-'Business Case'!F14*$E337))*'Business Case'!$B$7-'Business Case'!$B$8*(('Business Case'!F11*$C337*'Business Case'!F12*$B337)-('Business Case'!E11*$C337*'Business Case'!E12*$B337))-'Business Case'!F15*$F337</f>
        <v>643381671.730938</v>
      </c>
      <c r="M337" s="53" t="n">
        <f aca="false">(('Business Case'!G11*$C337*'Business Case'!G12*$B337)-'Business Case'!G11*$C337*'Business Case'!G13*$D337-'Business Case'!G14*$E337)-MAX(0,(('Business Case'!G11*$C337*'Business Case'!G12*$B337)-'Business Case'!G11*$C337*'Business Case'!G13*$D337-'Business Case'!G14*$E337))*'Business Case'!$B$7-'Business Case'!$B$8*(('Business Case'!G11*$C337*'Business Case'!G12*$B337)-('Business Case'!F11*$C337*'Business Case'!F12*$B337))-'Business Case'!G15*$F337+'Business Case'!$B$8*('Business Case'!G11*$C337*'Business Case'!G12*$B337)</f>
        <v>831920564.126354</v>
      </c>
      <c r="N337" s="53" t="n">
        <f aca="false">IF(COUNT('Business Case'!B11:G11)=0,"",H337+NPV(G337,I337:M337))</f>
        <v>-885497199.112207</v>
      </c>
      <c r="P337" s="54" t="n">
        <f aca="true">RAND()</f>
        <v>0.223194619518992</v>
      </c>
      <c r="Q337" s="54" t="n">
        <f aca="true">RAND()</f>
        <v>0.709464874049947</v>
      </c>
      <c r="R337" s="54" t="n">
        <f aca="true">RAND()</f>
        <v>0.923769392123084</v>
      </c>
      <c r="S337" s="54" t="n">
        <f aca="true">RAND()</f>
        <v>0.731480083187606</v>
      </c>
      <c r="T337" s="54" t="n">
        <f aca="true">RAND()</f>
        <v>0.96000182997107</v>
      </c>
      <c r="U337" s="54" t="n">
        <f aca="true">RAND()</f>
        <v>0.774471346627025</v>
      </c>
    </row>
    <row r="338" customFormat="false" ht="15" hidden="false" customHeight="false" outlineLevel="0" collapsed="false">
      <c r="A338" s="50" t="n">
        <v>258</v>
      </c>
      <c r="B338" s="51" t="n">
        <f aca="false">1+IF($G$6=$E$6,$F$6,IF(P338&lt;($F$6-$E$6)/($G$6-$E$6),$E$6+SQRT(P338*($G$6-$E$6)*($F$6-$E$6)),$G$6-SQRT((1-P338)*($G$6-$E$6)*($G$6-$F$6))))</f>
        <v>1.00347196764529</v>
      </c>
      <c r="C338" s="51" t="n">
        <f aca="false">1+IF($G$7=$E$7,$F$7,IF(Q338&lt;($F$7-$E$7)/($G$7-$E$7),$E$7+SQRT(Q338*($G$7-$E$7)*($F$7-$E$7)),$G$7-SQRT((1-Q338)*($G$7-$E$7)*($G$7-$F$7))))</f>
        <v>0.906227528644685</v>
      </c>
      <c r="D338" s="51" t="n">
        <f aca="false">1+IF($G$8=$E$8,$F$8,IF(R338&lt;($F$8-$E$8)/($G$8-$E$8),$E$8+SQRT(R338*($G$8-$E$8)*($F$8-$E$8)),$G$8-SQRT((1-R338)*($G$8-$E$8)*($G$8-$F$8))))</f>
        <v>0.961834082536979</v>
      </c>
      <c r="E338" s="51" t="n">
        <f aca="false">1+IF($G$9=$E$9,$F$9,IF(S338&lt;($F$9-$E$9)/($G$9-$E$9),$E$9+SQRT(S338*($G$9-$E$9)*($F$9-$E$9)),$G$9-SQRT((1-S338)*($G$9-$E$9)*($G$9-$F$9))))</f>
        <v>1.06743668208436</v>
      </c>
      <c r="F338" s="51" t="n">
        <f aca="false">1+IF($G$10=$E$10,$F$10,IF(T338&lt;($F$10-$E$10)/($G$10-$E$10),$E$10+SQRT(T338*($G$10-$E$10)*($F$10-$E$10)),$G$10-SQRT((1-T338)*($G$10-$E$10)*($G$10-$F$10))))</f>
        <v>0.975331140363601</v>
      </c>
      <c r="G338" s="52" t="n">
        <f aca="false">IF($G$11=$E$11,$F$11,IF(U338&lt;($F$11-$E$11)/($G$11-$E$11),$E$11+SQRT(U338*($G$11-$E$11)*($F$11-$E$11)),$G$11-SQRT((1-U338)*($G$11-$E$11)*($G$11-$F$11))))</f>
        <v>0.1038669297113</v>
      </c>
      <c r="H338" s="53" t="n">
        <f aca="false">(('Business Case'!B11*$C338*'Business Case'!B12*$B338)-'Business Case'!B11*$C338*'Business Case'!B13*$D338-'Business Case'!B14*$E338)-MAX(0,(('Business Case'!B11*$C338*'Business Case'!B12*$B338)-'Business Case'!B11*$C338*'Business Case'!B13*$D338-'Business Case'!B14*$E338))*'Business Case'!$B$7-'Business Case'!$B$8*('Business Case'!B11*$C338*'Business Case'!B12*$B338)-'Business Case'!B15*$F338</f>
        <v>-1950662280.7272</v>
      </c>
      <c r="I338" s="53" t="n">
        <f aca="false">(('Business Case'!C11*$C338*'Business Case'!C12*$B338)-'Business Case'!C11*$C338*'Business Case'!C13*$D338-'Business Case'!C14*$E338)-MAX(0,(('Business Case'!C11*$C338*'Business Case'!C12*$B338)-'Business Case'!C11*$C338*'Business Case'!C13*$D338-'Business Case'!C14*$E338))*'Business Case'!$B$7-'Business Case'!$B$8*(('Business Case'!C11*$C338*'Business Case'!C12*$B338)-('Business Case'!B11*$C338*'Business Case'!B12*$B338))-'Business Case'!C15*$F338</f>
        <v>2167945.32772702</v>
      </c>
      <c r="J338" s="53" t="n">
        <f aca="false">(('Business Case'!D11*$C338*'Business Case'!D12*$B338)-'Business Case'!D11*$C338*'Business Case'!D13*$D338-'Business Case'!D14*$E338)-MAX(0,(('Business Case'!D11*$C338*'Business Case'!D12*$B338)-'Business Case'!D11*$C338*'Business Case'!D13*$D338-'Business Case'!D14*$E338))*'Business Case'!$B$7-'Business Case'!$B$8*(('Business Case'!D11*$C338*'Business Case'!D12*$B338)-('Business Case'!C11*$C338*'Business Case'!C12*$B338))-'Business Case'!D15*$F338</f>
        <v>300800444.964578</v>
      </c>
      <c r="K338" s="53" t="n">
        <f aca="false">(('Business Case'!E11*$C338*'Business Case'!E12*$B338)-'Business Case'!E11*$C338*'Business Case'!E13*$D338-'Business Case'!E14*$E338)-MAX(0,(('Business Case'!E11*$C338*'Business Case'!E12*$B338)-'Business Case'!E11*$C338*'Business Case'!E13*$D338-'Business Case'!E14*$E338))*'Business Case'!$B$7-'Business Case'!$B$8*(('Business Case'!E11*$C338*'Business Case'!E12*$B338)-('Business Case'!D11*$C338*'Business Case'!D12*$B338))-'Business Case'!E15*$F338</f>
        <v>648199501.61961</v>
      </c>
      <c r="L338" s="53" t="n">
        <f aca="false">(('Business Case'!F11*$C338*'Business Case'!F12*$B338)-'Business Case'!F11*$C338*'Business Case'!F13*$D338-'Business Case'!F14*$E338)-MAX(0,(('Business Case'!F11*$C338*'Business Case'!F12*$B338)-'Business Case'!F11*$C338*'Business Case'!F13*$D338-'Business Case'!F14*$E338))*'Business Case'!$B$7-'Business Case'!$B$8*(('Business Case'!F11*$C338*'Business Case'!F12*$B338)-('Business Case'!E11*$C338*'Business Case'!E12*$B338))-'Business Case'!F15*$F338</f>
        <v>779171630.885473</v>
      </c>
      <c r="M338" s="53" t="n">
        <f aca="false">(('Business Case'!G11*$C338*'Business Case'!G12*$B338)-'Business Case'!G11*$C338*'Business Case'!G13*$D338-'Business Case'!G14*$E338)-MAX(0,(('Business Case'!G11*$C338*'Business Case'!G12*$B338)-'Business Case'!G11*$C338*'Business Case'!G13*$D338-'Business Case'!G14*$E338))*'Business Case'!$B$7-'Business Case'!$B$8*(('Business Case'!G11*$C338*'Business Case'!G12*$B338)-('Business Case'!F11*$C338*'Business Case'!F12*$B338))-'Business Case'!G15*$F338+'Business Case'!$B$8*('Business Case'!G11*$C338*'Business Case'!G12*$B338)</f>
        <v>952025425.846825</v>
      </c>
      <c r="N338" s="53" t="n">
        <f aca="false">IF(COUNT('Business Case'!B11:G11)=0,"",H338+NPV(G338,I338:M338))</f>
        <v>-114321864.85975</v>
      </c>
      <c r="P338" s="54" t="n">
        <f aca="true">RAND()</f>
        <v>0.722021427561081</v>
      </c>
      <c r="Q338" s="54" t="n">
        <f aca="true">RAND()</f>
        <v>0.161204112027962</v>
      </c>
      <c r="R338" s="54" t="n">
        <f aca="true">RAND()</f>
        <v>0.0215454629987724</v>
      </c>
      <c r="S338" s="54" t="n">
        <f aca="true">RAND()</f>
        <v>0.929308688421649</v>
      </c>
      <c r="T338" s="54" t="n">
        <f aca="true">RAND()</f>
        <v>0.0513333337696372</v>
      </c>
      <c r="U338" s="54" t="n">
        <f aca="true">RAND()</f>
        <v>0.566206738433123</v>
      </c>
    </row>
    <row r="339" customFormat="false" ht="15" hidden="false" customHeight="false" outlineLevel="0" collapsed="false">
      <c r="A339" s="50" t="n">
        <v>259</v>
      </c>
      <c r="B339" s="51" t="n">
        <f aca="false">1+IF($G$6=$E$6,$F$6,IF(P339&lt;($F$6-$E$6)/($G$6-$E$6),$E$6+SQRT(P339*($G$6-$E$6)*($F$6-$E$6)),$G$6-SQRT((1-P339)*($G$6-$E$6)*($G$6-$F$6))))</f>
        <v>0.950403038728362</v>
      </c>
      <c r="C339" s="51" t="n">
        <f aca="false">1+IF($G$7=$E$7,$F$7,IF(Q339&lt;($F$7-$E$7)/($G$7-$E$7),$E$7+SQRT(Q339*($G$7-$E$7)*($F$7-$E$7)),$G$7-SQRT((1-Q339)*($G$7-$E$7)*($G$7-$F$7))))</f>
        <v>0.907330026021622</v>
      </c>
      <c r="D339" s="51" t="n">
        <f aca="false">1+IF($G$8=$E$8,$F$8,IF(R339&lt;($F$8-$E$8)/($G$8-$E$8),$E$8+SQRT(R339*($G$8-$E$8)*($F$8-$E$8)),$G$8-SQRT((1-R339)*($G$8-$E$8)*($G$8-$F$8))))</f>
        <v>0.984989125521536</v>
      </c>
      <c r="E339" s="51" t="n">
        <f aca="false">1+IF($G$9=$E$9,$F$9,IF(S339&lt;($F$9-$E$9)/($G$9-$E$9),$E$9+SQRT(S339*($G$9-$E$9)*($F$9-$E$9)),$G$9-SQRT((1-S339)*($G$9-$E$9)*($G$9-$F$9))))</f>
        <v>1.03868503651126</v>
      </c>
      <c r="F339" s="51" t="n">
        <f aca="false">1+IF($G$10=$E$10,$F$10,IF(T339&lt;($F$10-$E$10)/($G$10-$E$10),$E$10+SQRT(T339*($G$10-$E$10)*($F$10-$E$10)),$G$10-SQRT((1-T339)*($G$10-$E$10)*($G$10-$F$10))))</f>
        <v>1.01579713601031</v>
      </c>
      <c r="G339" s="52" t="n">
        <f aca="false">IF($G$11=$E$11,$F$11,IF(U339&lt;($F$11-$E$11)/($G$11-$E$11),$E$11+SQRT(U339*($G$11-$E$11)*($F$11-$E$11)),$G$11-SQRT((1-U339)*($G$11-$E$11)*($G$11-$F$11))))</f>
        <v>0.102748570611815</v>
      </c>
      <c r="H339" s="53" t="n">
        <f aca="false">(('Business Case'!B11*$C339*'Business Case'!B12*$B339)-'Business Case'!B11*$C339*'Business Case'!B13*$D339-'Business Case'!B14*$E339)-MAX(0,(('Business Case'!B11*$C339*'Business Case'!B12*$B339)-'Business Case'!B11*$C339*'Business Case'!B13*$D339-'Business Case'!B14*$E339))*'Business Case'!$B$7-'Business Case'!$B$8*('Business Case'!B11*$C339*'Business Case'!B12*$B339)-'Business Case'!B15*$F339</f>
        <v>-2031594272.02063</v>
      </c>
      <c r="I339" s="53" t="n">
        <f aca="false">(('Business Case'!C11*$C339*'Business Case'!C12*$B339)-'Business Case'!C11*$C339*'Business Case'!C13*$D339-'Business Case'!C14*$E339)-MAX(0,(('Business Case'!C11*$C339*'Business Case'!C12*$B339)-'Business Case'!C11*$C339*'Business Case'!C13*$D339-'Business Case'!C14*$E339))*'Business Case'!$B$7-'Business Case'!$B$8*(('Business Case'!C11*$C339*'Business Case'!C12*$B339)-('Business Case'!B11*$C339*'Business Case'!B12*$B339))-'Business Case'!C15*$F339</f>
        <v>-45182288.5195742</v>
      </c>
      <c r="J339" s="53" t="n">
        <f aca="false">(('Business Case'!D11*$C339*'Business Case'!D12*$B339)-'Business Case'!D11*$C339*'Business Case'!D13*$D339-'Business Case'!D14*$E339)-MAX(0,(('Business Case'!D11*$C339*'Business Case'!D12*$B339)-'Business Case'!D11*$C339*'Business Case'!D13*$D339-'Business Case'!D14*$E339))*'Business Case'!$B$7-'Business Case'!$B$8*(('Business Case'!D11*$C339*'Business Case'!D12*$B339)-('Business Case'!C11*$C339*'Business Case'!C12*$B339))-'Business Case'!D15*$F339</f>
        <v>203619295.200309</v>
      </c>
      <c r="K339" s="53" t="n">
        <f aca="false">(('Business Case'!E11*$C339*'Business Case'!E12*$B339)-'Business Case'!E11*$C339*'Business Case'!E13*$D339-'Business Case'!E14*$E339)-MAX(0,(('Business Case'!E11*$C339*'Business Case'!E12*$B339)-'Business Case'!E11*$C339*'Business Case'!E13*$D339-'Business Case'!E14*$E339))*'Business Case'!$B$7-'Business Case'!$B$8*(('Business Case'!E11*$C339*'Business Case'!E12*$B339)-('Business Case'!D11*$C339*'Business Case'!D12*$B339))-'Business Case'!E15*$F339</f>
        <v>503210735.720708</v>
      </c>
      <c r="L339" s="53" t="n">
        <f aca="false">(('Business Case'!F11*$C339*'Business Case'!F12*$B339)-'Business Case'!F11*$C339*'Business Case'!F13*$D339-'Business Case'!F14*$E339)-MAX(0,(('Business Case'!F11*$C339*'Business Case'!F12*$B339)-'Business Case'!F11*$C339*'Business Case'!F13*$D339-'Business Case'!F14*$E339))*'Business Case'!$B$7-'Business Case'!$B$8*(('Business Case'!F11*$C339*'Business Case'!F12*$B339)-('Business Case'!E11*$C339*'Business Case'!E12*$B339))-'Business Case'!F15*$F339</f>
        <v>615946694.591685</v>
      </c>
      <c r="M339" s="53" t="n">
        <f aca="false">(('Business Case'!G11*$C339*'Business Case'!G12*$B339)-'Business Case'!G11*$C339*'Business Case'!G13*$D339-'Business Case'!G14*$E339)-MAX(0,(('Business Case'!G11*$C339*'Business Case'!G12*$B339)-'Business Case'!G11*$C339*'Business Case'!G13*$D339-'Business Case'!G14*$E339))*'Business Case'!$B$7-'Business Case'!$B$8*(('Business Case'!G11*$C339*'Business Case'!G12*$B339)-('Business Case'!F11*$C339*'Business Case'!F12*$B339))-'Business Case'!G15*$F339+'Business Case'!$B$8*('Business Case'!G11*$C339*'Business Case'!G12*$B339)</f>
        <v>779858231.562277</v>
      </c>
      <c r="N339" s="53" t="n">
        <f aca="false">IF(COUNT('Business Case'!B11:G11)=0,"",H339+NPV(G339,I339:M339))</f>
        <v>-635127228.042119</v>
      </c>
      <c r="P339" s="54" t="n">
        <f aca="true">RAND()</f>
        <v>0.096285912908152</v>
      </c>
      <c r="Q339" s="54" t="n">
        <f aca="true">RAND()</f>
        <v>0.164567635511459</v>
      </c>
      <c r="R339" s="54" t="n">
        <f aca="true">RAND()</f>
        <v>0.188344446886433</v>
      </c>
      <c r="S339" s="54" t="n">
        <f aca="true">RAND()</f>
        <v>0.749365016824972</v>
      </c>
      <c r="T339" s="54" t="n">
        <f aca="true">RAND()</f>
        <v>0.321386097959937</v>
      </c>
      <c r="U339" s="54" t="n">
        <f aca="true">RAND()</f>
        <v>0.503980306774087</v>
      </c>
    </row>
    <row r="340" customFormat="false" ht="15" hidden="false" customHeight="false" outlineLevel="0" collapsed="false">
      <c r="A340" s="50" t="n">
        <v>260</v>
      </c>
      <c r="B340" s="51" t="n">
        <f aca="false">1+IF($G$6=$E$6,$F$6,IF(P340&lt;($F$6-$E$6)/($G$6-$E$6),$E$6+SQRT(P340*($G$6-$E$6)*($F$6-$E$6)),$G$6-SQRT((1-P340)*($G$6-$E$6)*($G$6-$F$6))))</f>
        <v>0.939079594623191</v>
      </c>
      <c r="C340" s="51" t="n">
        <f aca="false">1+IF($G$7=$E$7,$F$7,IF(Q340&lt;($F$7-$E$7)/($G$7-$E$7),$E$7+SQRT(Q340*($G$7-$E$7)*($F$7-$E$7)),$G$7-SQRT((1-Q340)*($G$7-$E$7)*($G$7-$F$7))))</f>
        <v>0.89330332103183</v>
      </c>
      <c r="D340" s="51" t="n">
        <f aca="false">1+IF($G$8=$E$8,$F$8,IF(R340&lt;($F$8-$E$8)/($G$8-$E$8),$E$8+SQRT(R340*($G$8-$E$8)*($F$8-$E$8)),$G$8-SQRT((1-R340)*($G$8-$E$8)*($G$8-$F$8))))</f>
        <v>0.974629605068125</v>
      </c>
      <c r="E340" s="51" t="n">
        <f aca="false">1+IF($G$9=$E$9,$F$9,IF(S340&lt;($F$9-$E$9)/($G$9-$E$9),$E$9+SQRT(S340*($G$9-$E$9)*($F$9-$E$9)),$G$9-SQRT((1-S340)*($G$9-$E$9)*($G$9-$F$9))))</f>
        <v>1.0507044988356</v>
      </c>
      <c r="F340" s="51" t="n">
        <f aca="false">1+IF($G$10=$E$10,$F$10,IF(T340&lt;($F$10-$E$10)/($G$10-$E$10),$E$10+SQRT(T340*($G$10-$E$10)*($F$10-$E$10)),$G$10-SQRT((1-T340)*($G$10-$E$10)*($G$10-$F$10))))</f>
        <v>0.976532465979348</v>
      </c>
      <c r="G340" s="52" t="n">
        <f aca="false">IF($G$11=$E$11,$F$11,IF(U340&lt;($F$11-$E$11)/($G$11-$E$11),$E$11+SQRT(U340*($G$11-$E$11)*($F$11-$E$11)),$G$11-SQRT((1-U340)*($G$11-$E$11)*($G$11-$F$11))))</f>
        <v>0.10409753184927</v>
      </c>
      <c r="H340" s="53" t="n">
        <f aca="false">(('Business Case'!B11*$C340*'Business Case'!B12*$B340)-'Business Case'!B11*$C340*'Business Case'!B13*$D340-'Business Case'!B14*$E340)-MAX(0,(('Business Case'!B11*$C340*'Business Case'!B12*$B340)-'Business Case'!B11*$C340*'Business Case'!B13*$D340-'Business Case'!B14*$E340))*'Business Case'!$B$7-'Business Case'!$B$8*('Business Case'!B11*$C340*'Business Case'!B12*$B340)-'Business Case'!B15*$F340</f>
        <v>-1953064931.9587</v>
      </c>
      <c r="I340" s="53" t="n">
        <f aca="false">(('Business Case'!C11*$C340*'Business Case'!C12*$B340)-'Business Case'!C11*$C340*'Business Case'!C13*$D340-'Business Case'!C14*$E340)-MAX(0,(('Business Case'!C11*$C340*'Business Case'!C12*$B340)-'Business Case'!C11*$C340*'Business Case'!C13*$D340-'Business Case'!C14*$E340))*'Business Case'!$B$7-'Business Case'!$B$8*(('Business Case'!C11*$C340*'Business Case'!C12*$B340)-('Business Case'!B11*$C340*'Business Case'!B12*$B340))-'Business Case'!C15*$F340</f>
        <v>-49143564.0605669</v>
      </c>
      <c r="J340" s="53" t="n">
        <f aca="false">(('Business Case'!D11*$C340*'Business Case'!D12*$B340)-'Business Case'!D11*$C340*'Business Case'!D13*$D340-'Business Case'!D14*$E340)-MAX(0,(('Business Case'!D11*$C340*'Business Case'!D12*$B340)-'Business Case'!D11*$C340*'Business Case'!D13*$D340-'Business Case'!D14*$E340))*'Business Case'!$B$7-'Business Case'!$B$8*(('Business Case'!D11*$C340*'Business Case'!D12*$B340)-('Business Case'!C11*$C340*'Business Case'!C12*$B340))-'Business Case'!D15*$F340</f>
        <v>192263988.814616</v>
      </c>
      <c r="K340" s="53" t="n">
        <f aca="false">(('Business Case'!E11*$C340*'Business Case'!E12*$B340)-'Business Case'!E11*$C340*'Business Case'!E13*$D340-'Business Case'!E14*$E340)-MAX(0,(('Business Case'!E11*$C340*'Business Case'!E12*$B340)-'Business Case'!E11*$C340*'Business Case'!E13*$D340-'Business Case'!E14*$E340))*'Business Case'!$B$7-'Business Case'!$B$8*(('Business Case'!E11*$C340*'Business Case'!E12*$B340)-('Business Case'!D11*$C340*'Business Case'!D12*$B340))-'Business Case'!E15*$F340</f>
        <v>482498164.988766</v>
      </c>
      <c r="L340" s="53" t="n">
        <f aca="false">(('Business Case'!F11*$C340*'Business Case'!F12*$B340)-'Business Case'!F11*$C340*'Business Case'!F13*$D340-'Business Case'!F14*$E340)-MAX(0,(('Business Case'!F11*$C340*'Business Case'!F12*$B340)-'Business Case'!F11*$C340*'Business Case'!F13*$D340-'Business Case'!F14*$E340))*'Business Case'!$B$7-'Business Case'!$B$8*(('Business Case'!F11*$C340*'Business Case'!F12*$B340)-('Business Case'!E11*$C340*'Business Case'!E12*$B340))-'Business Case'!F15*$F340</f>
        <v>591959143.016088</v>
      </c>
      <c r="M340" s="53" t="n">
        <f aca="false">(('Business Case'!G11*$C340*'Business Case'!G12*$B340)-'Business Case'!G11*$C340*'Business Case'!G13*$D340-'Business Case'!G14*$E340)-MAX(0,(('Business Case'!G11*$C340*'Business Case'!G12*$B340)-'Business Case'!G11*$C340*'Business Case'!G13*$D340-'Business Case'!G14*$E340))*'Business Case'!$B$7-'Business Case'!$B$8*(('Business Case'!G11*$C340*'Business Case'!G12*$B340)-('Business Case'!F11*$C340*'Business Case'!F12*$B340))-'Business Case'!G15*$F340+'Business Case'!$B$8*('Business Case'!G11*$C340*'Business Case'!G12*$B340)</f>
        <v>751414008.561858</v>
      </c>
      <c r="N340" s="53" t="n">
        <f aca="false">IF(COUNT('Business Case'!B11:G11)=0,"",H340+NPV(G340,I340:M340))</f>
        <v>-625046763.305882</v>
      </c>
      <c r="P340" s="54" t="n">
        <f aca="true">RAND()</f>
        <v>0.0379198886443032</v>
      </c>
      <c r="Q340" s="54" t="n">
        <f aca="true">RAND()</f>
        <v>0.124364424508124</v>
      </c>
      <c r="R340" s="54" t="n">
        <f aca="true">RAND()</f>
        <v>0.0933257608941251</v>
      </c>
      <c r="S340" s="54" t="n">
        <f aca="true">RAND()</f>
        <v>0.837996904330062</v>
      </c>
      <c r="T340" s="54" t="n">
        <f aca="true">RAND()</f>
        <v>0.0563177400756198</v>
      </c>
      <c r="U340" s="54" t="n">
        <f aca="true">RAND()</f>
        <v>0.578519177858343</v>
      </c>
    </row>
    <row r="341" customFormat="false" ht="15" hidden="false" customHeight="false" outlineLevel="0" collapsed="false">
      <c r="A341" s="50" t="n">
        <v>261</v>
      </c>
      <c r="B341" s="51" t="n">
        <f aca="false">1+IF($G$6=$E$6,$F$6,IF(P341&lt;($F$6-$E$6)/($G$6-$E$6),$E$6+SQRT(P341*($G$6-$E$6)*($F$6-$E$6)),$G$6-SQRT((1-P341)*($G$6-$E$6)*($G$6-$F$6))))</f>
        <v>0.995278789710263</v>
      </c>
      <c r="C341" s="51" t="n">
        <f aca="false">1+IF($G$7=$E$7,$F$7,IF(Q341&lt;($F$7-$E$7)/($G$7-$E$7),$E$7+SQRT(Q341*($G$7-$E$7)*($F$7-$E$7)),$G$7-SQRT((1-Q341)*($G$7-$E$7)*($G$7-$F$7))))</f>
        <v>1.01143767031434</v>
      </c>
      <c r="D341" s="51" t="n">
        <f aca="false">1+IF($G$8=$E$8,$F$8,IF(R341&lt;($F$8-$E$8)/($G$8-$E$8),$E$8+SQRT(R341*($G$8-$E$8)*($F$8-$E$8)),$G$8-SQRT((1-R341)*($G$8-$E$8)*($G$8-$F$8))))</f>
        <v>0.9887220683929</v>
      </c>
      <c r="E341" s="51" t="n">
        <f aca="false">1+IF($G$9=$E$9,$F$9,IF(S341&lt;($F$9-$E$9)/($G$9-$E$9),$E$9+SQRT(S341*($G$9-$E$9)*($F$9-$E$9)),$G$9-SQRT((1-S341)*($G$9-$E$9)*($G$9-$F$9))))</f>
        <v>0.965154269744104</v>
      </c>
      <c r="F341" s="51" t="n">
        <f aca="false">1+IF($G$10=$E$10,$F$10,IF(T341&lt;($F$10-$E$10)/($G$10-$E$10),$E$10+SQRT(T341*($G$10-$E$10)*($F$10-$E$10)),$G$10-SQRT((1-T341)*($G$10-$E$10)*($G$10-$F$10))))</f>
        <v>0.99439796860759</v>
      </c>
      <c r="G341" s="52" t="n">
        <f aca="false">IF($G$11=$E$11,$F$11,IF(U341&lt;($F$11-$E$11)/($G$11-$E$11),$E$11+SQRT(U341*($G$11-$E$11)*($F$11-$E$11)),$G$11-SQRT((1-U341)*($G$11-$E$11)*($G$11-$F$11))))</f>
        <v>0.0944040126945625</v>
      </c>
      <c r="H341" s="53" t="n">
        <f aca="false">(('Business Case'!B11*$C341*'Business Case'!B12*$B341)-'Business Case'!B11*$C341*'Business Case'!B13*$D341-'Business Case'!B14*$E341)-MAX(0,(('Business Case'!B11*$C341*'Business Case'!B12*$B341)-'Business Case'!B11*$C341*'Business Case'!B13*$D341-'Business Case'!B14*$E341))*'Business Case'!$B$7-'Business Case'!$B$8*('Business Case'!B11*$C341*'Business Case'!B12*$B341)-'Business Case'!B15*$F341</f>
        <v>-1988795937.21518</v>
      </c>
      <c r="I341" s="53" t="n">
        <f aca="false">(('Business Case'!C11*$C341*'Business Case'!C12*$B341)-'Business Case'!C11*$C341*'Business Case'!C13*$D341-'Business Case'!C14*$E341)-MAX(0,(('Business Case'!C11*$C341*'Business Case'!C12*$B341)-'Business Case'!C11*$C341*'Business Case'!C13*$D341-'Business Case'!C14*$E341))*'Business Case'!$B$7-'Business Case'!$B$8*(('Business Case'!C11*$C341*'Business Case'!C12*$B341)-('Business Case'!B11*$C341*'Business Case'!B12*$B341))-'Business Case'!C15*$F341</f>
        <v>23723179.5746946</v>
      </c>
      <c r="J341" s="53" t="n">
        <f aca="false">(('Business Case'!D11*$C341*'Business Case'!D12*$B341)-'Business Case'!D11*$C341*'Business Case'!D13*$D341-'Business Case'!D14*$E341)-MAX(0,(('Business Case'!D11*$C341*'Business Case'!D12*$B341)-'Business Case'!D11*$C341*'Business Case'!D13*$D341-'Business Case'!D14*$E341))*'Business Case'!$B$7-'Business Case'!$B$8*(('Business Case'!D11*$C341*'Business Case'!D12*$B341)-('Business Case'!C11*$C341*'Business Case'!C12*$B341))-'Business Case'!D15*$F341</f>
        <v>336316475.113746</v>
      </c>
      <c r="K341" s="53" t="n">
        <f aca="false">(('Business Case'!E11*$C341*'Business Case'!E12*$B341)-'Business Case'!E11*$C341*'Business Case'!E13*$D341-'Business Case'!E14*$E341)-MAX(0,(('Business Case'!E11*$C341*'Business Case'!E12*$B341)-'Business Case'!E11*$C341*'Business Case'!E13*$D341-'Business Case'!E14*$E341))*'Business Case'!$B$7-'Business Case'!$B$8*(('Business Case'!E11*$C341*'Business Case'!E12*$B341)-('Business Case'!D11*$C341*'Business Case'!D12*$B341))-'Business Case'!E15*$F341</f>
        <v>698629669.083177</v>
      </c>
      <c r="L341" s="53" t="n">
        <f aca="false">(('Business Case'!F11*$C341*'Business Case'!F12*$B341)-'Business Case'!F11*$C341*'Business Case'!F13*$D341-'Business Case'!F14*$E341)-MAX(0,(('Business Case'!F11*$C341*'Business Case'!F12*$B341)-'Business Case'!F11*$C341*'Business Case'!F13*$D341-'Business Case'!F14*$E341))*'Business Case'!$B$7-'Business Case'!$B$8*(('Business Case'!F11*$C341*'Business Case'!F12*$B341)-('Business Case'!E11*$C341*'Business Case'!E12*$B341))-'Business Case'!F15*$F341</f>
        <v>837617688.893518</v>
      </c>
      <c r="M341" s="53" t="n">
        <f aca="false">(('Business Case'!G11*$C341*'Business Case'!G12*$B341)-'Business Case'!G11*$C341*'Business Case'!G13*$D341-'Business Case'!G14*$E341)-MAX(0,(('Business Case'!G11*$C341*'Business Case'!G12*$B341)-'Business Case'!G11*$C341*'Business Case'!G13*$D341-'Business Case'!G14*$E341))*'Business Case'!$B$7-'Business Case'!$B$8*(('Business Case'!G11*$C341*'Business Case'!G12*$B341)-('Business Case'!F11*$C341*'Business Case'!F12*$B341))-'Business Case'!G15*$F341+'Business Case'!$B$8*('Business Case'!G11*$C341*'Business Case'!G12*$B341)</f>
        <v>1028964089.36213</v>
      </c>
      <c r="N341" s="53" t="n">
        <f aca="false">IF(COUNT('Business Case'!B11:G11)=0,"",H341+NPV(G341,I341:M341))</f>
        <v>85965510.773932</v>
      </c>
      <c r="P341" s="54" t="n">
        <f aca="true">RAND()</f>
        <v>0.590301685441881</v>
      </c>
      <c r="Q341" s="54" t="n">
        <f aca="true">RAND()</f>
        <v>0.634294872230135</v>
      </c>
      <c r="R341" s="54" t="n">
        <f aca="true">RAND()</f>
        <v>0.230676704711447</v>
      </c>
      <c r="S341" s="54" t="n">
        <f aca="true">RAND()</f>
        <v>0.0306202521969402</v>
      </c>
      <c r="T341" s="54" t="n">
        <f aca="true">RAND()</f>
        <v>0.157694369318443</v>
      </c>
      <c r="U341" s="54" t="n">
        <f aca="true">RAND()</f>
        <v>0.0646510927128933</v>
      </c>
    </row>
    <row r="342" customFormat="false" ht="15" hidden="false" customHeight="false" outlineLevel="0" collapsed="false">
      <c r="A342" s="50" t="n">
        <v>262</v>
      </c>
      <c r="B342" s="51" t="n">
        <f aca="false">1+IF($G$6=$E$6,$F$6,IF(P342&lt;($F$6-$E$6)/($G$6-$E$6),$E$6+SQRT(P342*($G$6-$E$6)*($F$6-$E$6)),$G$6-SQRT((1-P342)*($G$6-$E$6)*($G$6-$F$6))))</f>
        <v>0.99869007379206</v>
      </c>
      <c r="C342" s="51" t="n">
        <f aca="false">1+IF($G$7=$E$7,$F$7,IF(Q342&lt;($F$7-$E$7)/($G$7-$E$7),$E$7+SQRT(Q342*($G$7-$E$7)*($F$7-$E$7)),$G$7-SQRT((1-Q342)*($G$7-$E$7)*($G$7-$F$7))))</f>
        <v>1.00213484042144</v>
      </c>
      <c r="D342" s="51" t="n">
        <f aca="false">1+IF($G$8=$E$8,$F$8,IF(R342&lt;($F$8-$E$8)/($G$8-$E$8),$E$8+SQRT(R342*($G$8-$E$8)*($F$8-$E$8)),$G$8-SQRT((1-R342)*($G$8-$E$8)*($G$8-$F$8))))</f>
        <v>0.986320261547469</v>
      </c>
      <c r="E342" s="51" t="n">
        <f aca="false">1+IF($G$9=$E$9,$F$9,IF(S342&lt;($F$9-$E$9)/($G$9-$E$9),$E$9+SQRT(S342*($G$9-$E$9)*($F$9-$E$9)),$G$9-SQRT((1-S342)*($G$9-$E$9)*($G$9-$F$9))))</f>
        <v>0.99135810578148</v>
      </c>
      <c r="F342" s="51" t="n">
        <f aca="false">1+IF($G$10=$E$10,$F$10,IF(T342&lt;($F$10-$E$10)/($G$10-$E$10),$E$10+SQRT(T342*($G$10-$E$10)*($F$10-$E$10)),$G$10-SQRT((1-T342)*($G$10-$E$10)*($G$10-$F$10))))</f>
        <v>1.00215492350315</v>
      </c>
      <c r="G342" s="52" t="n">
        <f aca="false">IF($G$11=$E$11,$F$11,IF(U342&lt;($F$11-$E$11)/($G$11-$E$11),$E$11+SQRT(U342*($G$11-$E$11)*($F$11-$E$11)),$G$11-SQRT((1-U342)*($G$11-$E$11)*($G$11-$F$11))))</f>
        <v>0.100625534871373</v>
      </c>
      <c r="H342" s="53" t="n">
        <f aca="false">(('Business Case'!B11*$C342*'Business Case'!B12*$B342)-'Business Case'!B11*$C342*'Business Case'!B13*$D342-'Business Case'!B14*$E342)-MAX(0,(('Business Case'!B11*$C342*'Business Case'!B12*$B342)-'Business Case'!B11*$C342*'Business Case'!B13*$D342-'Business Case'!B14*$E342))*'Business Case'!$B$7-'Business Case'!$B$8*('Business Case'!B11*$C342*'Business Case'!B12*$B342)-'Business Case'!B15*$F342</f>
        <v>-2004309847.0063</v>
      </c>
      <c r="I342" s="53" t="n">
        <f aca="false">(('Business Case'!C11*$C342*'Business Case'!C12*$B342)-'Business Case'!C11*$C342*'Business Case'!C13*$D342-'Business Case'!C14*$E342)-MAX(0,(('Business Case'!C11*$C342*'Business Case'!C12*$B342)-'Business Case'!C11*$C342*'Business Case'!C13*$D342-'Business Case'!C14*$E342))*'Business Case'!$B$7-'Business Case'!$B$8*(('Business Case'!C11*$C342*'Business Case'!C12*$B342)-('Business Case'!B11*$C342*'Business Case'!B12*$B342))-'Business Case'!C15*$F342</f>
        <v>20681154.3796017</v>
      </c>
      <c r="J342" s="53" t="n">
        <f aca="false">(('Business Case'!D11*$C342*'Business Case'!D12*$B342)-'Business Case'!D11*$C342*'Business Case'!D13*$D342-'Business Case'!D14*$E342)-MAX(0,(('Business Case'!D11*$C342*'Business Case'!D12*$B342)-'Business Case'!D11*$C342*'Business Case'!D13*$D342-'Business Case'!D14*$E342))*'Business Case'!$B$7-'Business Case'!$B$8*(('Business Case'!D11*$C342*'Business Case'!D12*$B342)-('Business Case'!C11*$C342*'Business Case'!C12*$B342))-'Business Case'!D15*$F342</f>
        <v>334431542.334772</v>
      </c>
      <c r="K342" s="53" t="n">
        <f aca="false">(('Business Case'!E11*$C342*'Business Case'!E12*$B342)-'Business Case'!E11*$C342*'Business Case'!E13*$D342-'Business Case'!E14*$E342)-MAX(0,(('Business Case'!E11*$C342*'Business Case'!E12*$B342)-'Business Case'!E11*$C342*'Business Case'!E13*$D342-'Business Case'!E14*$E342))*'Business Case'!$B$7-'Business Case'!$B$8*(('Business Case'!E11*$C342*'Business Case'!E12*$B342)-('Business Case'!D11*$C342*'Business Case'!D12*$B342))-'Business Case'!E15*$F342</f>
        <v>698289676.465101</v>
      </c>
      <c r="L342" s="53" t="n">
        <f aca="false">(('Business Case'!F11*$C342*'Business Case'!F12*$B342)-'Business Case'!F11*$C342*'Business Case'!F13*$D342-'Business Case'!F14*$E342)-MAX(0,(('Business Case'!F11*$C342*'Business Case'!F12*$B342)-'Business Case'!F11*$C342*'Business Case'!F13*$D342-'Business Case'!F14*$E342))*'Business Case'!$B$7-'Business Case'!$B$8*(('Business Case'!F11*$C342*'Business Case'!F12*$B342)-('Business Case'!E11*$C342*'Business Case'!E12*$B342))-'Business Case'!F15*$F342</f>
        <v>837461551.505576</v>
      </c>
      <c r="M342" s="53" t="n">
        <f aca="false">(('Business Case'!G11*$C342*'Business Case'!G12*$B342)-'Business Case'!G11*$C342*'Business Case'!G13*$D342-'Business Case'!G14*$E342)-MAX(0,(('Business Case'!G11*$C342*'Business Case'!G12*$B342)-'Business Case'!G11*$C342*'Business Case'!G13*$D342-'Business Case'!G14*$E342))*'Business Case'!$B$7-'Business Case'!$B$8*(('Business Case'!G11*$C342*'Business Case'!G12*$B342)-('Business Case'!F11*$C342*'Business Case'!F12*$B342))-'Business Case'!G15*$F342+'Business Case'!$B$8*('Business Case'!G11*$C342*'Business Case'!G12*$B342)</f>
        <v>1027697819.64371</v>
      </c>
      <c r="N342" s="53" t="n">
        <f aca="false">IF(COUNT('Business Case'!B11:G11)=0,"",H342+NPV(G342,I342:M342))</f>
        <v>21303936.4538758</v>
      </c>
      <c r="P342" s="54" t="n">
        <f aca="true">RAND()</f>
        <v>0.645013303479159</v>
      </c>
      <c r="Q342" s="54" t="n">
        <f aca="true">RAND()</f>
        <v>0.58354084919633</v>
      </c>
      <c r="R342" s="54" t="n">
        <f aca="true">RAND()</f>
        <v>0.20294790751947</v>
      </c>
      <c r="S342" s="54" t="n">
        <f aca="true">RAND()</f>
        <v>0.228065721844274</v>
      </c>
      <c r="T342" s="54" t="n">
        <f aca="true">RAND()</f>
        <v>0.217146514119117</v>
      </c>
      <c r="U342" s="54" t="n">
        <f aca="true">RAND()</f>
        <v>0.374383501632684</v>
      </c>
    </row>
    <row r="343" customFormat="false" ht="15" hidden="false" customHeight="false" outlineLevel="0" collapsed="false">
      <c r="A343" s="50" t="n">
        <v>263</v>
      </c>
      <c r="B343" s="51" t="n">
        <f aca="false">1+IF($G$6=$E$6,$F$6,IF(P343&lt;($F$6-$E$6)/($G$6-$E$6),$E$6+SQRT(P343*($G$6-$E$6)*($F$6-$E$6)),$G$6-SQRT((1-P343)*($G$6-$E$6)*($G$6-$F$6))))</f>
        <v>1.00003873970788</v>
      </c>
      <c r="C343" s="51" t="n">
        <f aca="false">1+IF($G$7=$E$7,$F$7,IF(Q343&lt;($F$7-$E$7)/($G$7-$E$7),$E$7+SQRT(Q343*($G$7-$E$7)*($F$7-$E$7)),$G$7-SQRT((1-Q343)*($G$7-$E$7)*($G$7-$F$7))))</f>
        <v>0.832725555159418</v>
      </c>
      <c r="D343" s="51" t="n">
        <f aca="false">1+IF($G$8=$E$8,$F$8,IF(R343&lt;($F$8-$E$8)/($G$8-$E$8),$E$8+SQRT(R343*($G$8-$E$8)*($F$8-$E$8)),$G$8-SQRT((1-R343)*($G$8-$E$8)*($G$8-$F$8))))</f>
        <v>0.974013024397643</v>
      </c>
      <c r="E343" s="51" t="n">
        <f aca="false">1+IF($G$9=$E$9,$F$9,IF(S343&lt;($F$9-$E$9)/($G$9-$E$9),$E$9+SQRT(S343*($G$9-$E$9)*($F$9-$E$9)),$G$9-SQRT((1-S343)*($G$9-$E$9)*($G$9-$F$9))))</f>
        <v>1.07126661926916</v>
      </c>
      <c r="F343" s="51" t="n">
        <f aca="false">1+IF($G$10=$E$10,$F$10,IF(T343&lt;($F$10-$E$10)/($G$10-$E$10),$E$10+SQRT(T343*($G$10-$E$10)*($F$10-$E$10)),$G$10-SQRT((1-T343)*($G$10-$E$10)*($G$10-$F$10))))</f>
        <v>1.07257799284271</v>
      </c>
      <c r="G343" s="52" t="n">
        <f aca="false">IF($G$11=$E$11,$F$11,IF(U343&lt;($F$11-$E$11)/($G$11-$E$11),$E$11+SQRT(U343*($G$11-$E$11)*($F$11-$E$11)),$G$11-SQRT((1-U343)*($G$11-$E$11)*($G$11-$F$11))))</f>
        <v>0.104475814198564</v>
      </c>
      <c r="H343" s="53" t="n">
        <f aca="false">(('Business Case'!B11*$C343*'Business Case'!B12*$B343)-'Business Case'!B11*$C343*'Business Case'!B13*$D343-'Business Case'!B14*$E343)-MAX(0,(('Business Case'!B11*$C343*'Business Case'!B12*$B343)-'Business Case'!B11*$C343*'Business Case'!B13*$D343-'Business Case'!B14*$E343))*'Business Case'!$B$7-'Business Case'!$B$8*('Business Case'!B11*$C343*'Business Case'!B12*$B343)-'Business Case'!B15*$F343</f>
        <v>-2145155985.68542</v>
      </c>
      <c r="I343" s="53" t="n">
        <f aca="false">(('Business Case'!C11*$C343*'Business Case'!C12*$B343)-'Business Case'!C11*$C343*'Business Case'!C13*$D343-'Business Case'!C14*$E343)-MAX(0,(('Business Case'!C11*$C343*'Business Case'!C12*$B343)-'Business Case'!C11*$C343*'Business Case'!C13*$D343-'Business Case'!C14*$E343))*'Business Case'!$B$7-'Business Case'!$B$8*(('Business Case'!C11*$C343*'Business Case'!C12*$B343)-('Business Case'!B11*$C343*'Business Case'!B12*$B343))-'Business Case'!C15*$F343</f>
        <v>-35884376.6850221</v>
      </c>
      <c r="J343" s="53" t="n">
        <f aca="false">(('Business Case'!D11*$C343*'Business Case'!D12*$B343)-'Business Case'!D11*$C343*'Business Case'!D13*$D343-'Business Case'!D14*$E343)-MAX(0,(('Business Case'!D11*$C343*'Business Case'!D12*$B343)-'Business Case'!D11*$C343*'Business Case'!D13*$D343-'Business Case'!D14*$E343))*'Business Case'!$B$7-'Business Case'!$B$8*(('Business Case'!D11*$C343*'Business Case'!D12*$B343)-('Business Case'!C11*$C343*'Business Case'!C12*$B343))-'Business Case'!D15*$F343</f>
        <v>230993324.288565</v>
      </c>
      <c r="K343" s="53" t="n">
        <f aca="false">(('Business Case'!E11*$C343*'Business Case'!E12*$B343)-'Business Case'!E11*$C343*'Business Case'!E13*$D343-'Business Case'!E14*$E343)-MAX(0,(('Business Case'!E11*$C343*'Business Case'!E12*$B343)-'Business Case'!E11*$C343*'Business Case'!E13*$D343-'Business Case'!E14*$E343))*'Business Case'!$B$7-'Business Case'!$B$8*(('Business Case'!E11*$C343*'Business Case'!E12*$B343)-('Business Case'!D11*$C343*'Business Case'!D12*$B343))-'Business Case'!E15*$F343</f>
        <v>551499924.904288</v>
      </c>
      <c r="L343" s="53" t="n">
        <f aca="false">(('Business Case'!F11*$C343*'Business Case'!F12*$B343)-'Business Case'!F11*$C343*'Business Case'!F13*$D343-'Business Case'!F14*$E343)-MAX(0,(('Business Case'!F11*$C343*'Business Case'!F12*$B343)-'Business Case'!F11*$C343*'Business Case'!F13*$D343-'Business Case'!F14*$E343))*'Business Case'!$B$7-'Business Case'!$B$8*(('Business Case'!F11*$C343*'Business Case'!F12*$B343)-('Business Case'!E11*$C343*'Business Case'!E12*$B343))-'Business Case'!F15*$F343</f>
        <v>669239268.638327</v>
      </c>
      <c r="M343" s="53" t="n">
        <f aca="false">(('Business Case'!G11*$C343*'Business Case'!G12*$B343)-'Business Case'!G11*$C343*'Business Case'!G13*$D343-'Business Case'!G14*$E343)-MAX(0,(('Business Case'!G11*$C343*'Business Case'!G12*$B343)-'Business Case'!G11*$C343*'Business Case'!G13*$D343-'Business Case'!G14*$E343))*'Business Case'!$B$7-'Business Case'!$B$8*(('Business Case'!G11*$C343*'Business Case'!G12*$B343)-('Business Case'!F11*$C343*'Business Case'!F12*$B343))-'Business Case'!G15*$F343+'Business Case'!$B$8*('Business Case'!G11*$C343*'Business Case'!G12*$B343)</f>
        <v>827529874.057295</v>
      </c>
      <c r="N343" s="53" t="n">
        <f aca="false">IF(COUNT('Business Case'!B11:G11)=0,"",H343+NPV(G343,I343:M343))</f>
        <v>-625714879.049848</v>
      </c>
      <c r="P343" s="54" t="n">
        <f aca="true">RAND()</f>
        <v>0.667312015805303</v>
      </c>
      <c r="Q343" s="54" t="n">
        <f aca="true">RAND()</f>
        <v>0.0152994565784582</v>
      </c>
      <c r="R343" s="54" t="n">
        <f aca="true">RAND()</f>
        <v>0.0887115908802738</v>
      </c>
      <c r="S343" s="54" t="n">
        <f aca="true">RAND()</f>
        <v>0.944959522118432</v>
      </c>
      <c r="T343" s="54" t="n">
        <f aca="true">RAND()</f>
        <v>0.675272641840159</v>
      </c>
      <c r="U343" s="54" t="n">
        <f aca="true">RAND()</f>
        <v>0.598332758670828</v>
      </c>
    </row>
    <row r="344" customFormat="false" ht="15" hidden="false" customHeight="false" outlineLevel="0" collapsed="false">
      <c r="A344" s="50" t="n">
        <v>264</v>
      </c>
      <c r="B344" s="51" t="n">
        <f aca="false">1+IF($G$6=$E$6,$F$6,IF(P344&lt;($F$6-$E$6)/($G$6-$E$6),$E$6+SQRT(P344*($G$6-$E$6)*($F$6-$E$6)),$G$6-SQRT((1-P344)*($G$6-$E$6)*($G$6-$F$6))))</f>
        <v>1.00029185217464</v>
      </c>
      <c r="C344" s="51" t="n">
        <f aca="false">1+IF($G$7=$E$7,$F$7,IF(Q344&lt;($F$7-$E$7)/($G$7-$E$7),$E$7+SQRT(Q344*($G$7-$E$7)*($F$7-$E$7)),$G$7-SQRT((1-Q344)*($G$7-$E$7)*($G$7-$F$7))))</f>
        <v>1.02340035792181</v>
      </c>
      <c r="D344" s="51" t="n">
        <f aca="false">1+IF($G$8=$E$8,$F$8,IF(R344&lt;($F$8-$E$8)/($G$8-$E$8),$E$8+SQRT(R344*($G$8-$E$8)*($F$8-$E$8)),$G$8-SQRT((1-R344)*($G$8-$E$8)*($G$8-$F$8))))</f>
        <v>0.998370577887983</v>
      </c>
      <c r="E344" s="51" t="n">
        <f aca="false">1+IF($G$9=$E$9,$F$9,IF(S344&lt;($F$9-$E$9)/($G$9-$E$9),$E$9+SQRT(S344*($G$9-$E$9)*($F$9-$E$9)),$G$9-SQRT((1-S344)*($G$9-$E$9)*($G$9-$F$9))))</f>
        <v>0.965814495709751</v>
      </c>
      <c r="F344" s="51" t="n">
        <f aca="false">1+IF($G$10=$E$10,$F$10,IF(T344&lt;($F$10-$E$10)/($G$10-$E$10),$E$10+SQRT(T344*($G$10-$E$10)*($F$10-$E$10)),$G$10-SQRT((1-T344)*($G$10-$E$10)*($G$10-$F$10))))</f>
        <v>1.08596096064077</v>
      </c>
      <c r="G344" s="52" t="n">
        <f aca="false">IF($G$11=$E$11,$F$11,IF(U344&lt;($F$11-$E$11)/($G$11-$E$11),$E$11+SQRT(U344*($G$11-$E$11)*($F$11-$E$11)),$G$11-SQRT((1-U344)*($G$11-$E$11)*($G$11-$F$11))))</f>
        <v>0.113708704976473</v>
      </c>
      <c r="H344" s="53" t="n">
        <f aca="false">(('Business Case'!B11*$C344*'Business Case'!B12*$B344)-'Business Case'!B11*$C344*'Business Case'!B13*$D344-'Business Case'!B14*$E344)-MAX(0,(('Business Case'!B11*$C344*'Business Case'!B12*$B344)-'Business Case'!B11*$C344*'Business Case'!B13*$D344-'Business Case'!B14*$E344))*'Business Case'!$B$7-'Business Case'!$B$8*('Business Case'!B11*$C344*'Business Case'!B12*$B344)-'Business Case'!B15*$F344</f>
        <v>-2171921921.28153</v>
      </c>
      <c r="I344" s="53" t="n">
        <f aca="false">(('Business Case'!C11*$C344*'Business Case'!C12*$B344)-'Business Case'!C11*$C344*'Business Case'!C13*$D344-'Business Case'!C14*$E344)-MAX(0,(('Business Case'!C11*$C344*'Business Case'!C12*$B344)-'Business Case'!C11*$C344*'Business Case'!C13*$D344-'Business Case'!C14*$E344))*'Business Case'!$B$7-'Business Case'!$B$8*(('Business Case'!C11*$C344*'Business Case'!C12*$B344)-('Business Case'!B11*$C344*'Business Case'!B12*$B344))-'Business Case'!C15*$F344</f>
        <v>16434285.7206988</v>
      </c>
      <c r="J344" s="53" t="n">
        <f aca="false">(('Business Case'!D11*$C344*'Business Case'!D12*$B344)-'Business Case'!D11*$C344*'Business Case'!D13*$D344-'Business Case'!D14*$E344)-MAX(0,(('Business Case'!D11*$C344*'Business Case'!D12*$B344)-'Business Case'!D11*$C344*'Business Case'!D13*$D344-'Business Case'!D14*$E344))*'Business Case'!$B$7-'Business Case'!$B$8*(('Business Case'!D11*$C344*'Business Case'!D12*$B344)-('Business Case'!C11*$C344*'Business Case'!C12*$B344))-'Business Case'!D15*$F344</f>
        <v>331872047.005248</v>
      </c>
      <c r="K344" s="53" t="n">
        <f aca="false">(('Business Case'!E11*$C344*'Business Case'!E12*$B344)-'Business Case'!E11*$C344*'Business Case'!E13*$D344-'Business Case'!E14*$E344)-MAX(0,(('Business Case'!E11*$C344*'Business Case'!E12*$B344)-'Business Case'!E11*$C344*'Business Case'!E13*$D344-'Business Case'!E14*$E344))*'Business Case'!$B$7-'Business Case'!$B$8*(('Business Case'!E11*$C344*'Business Case'!E12*$B344)-('Business Case'!D11*$C344*'Business Case'!D12*$B344))-'Business Case'!E15*$F344</f>
        <v>701607856.321835</v>
      </c>
      <c r="L344" s="53" t="n">
        <f aca="false">(('Business Case'!F11*$C344*'Business Case'!F12*$B344)-'Business Case'!F11*$C344*'Business Case'!F13*$D344-'Business Case'!F14*$E344)-MAX(0,(('Business Case'!F11*$C344*'Business Case'!F12*$B344)-'Business Case'!F11*$C344*'Business Case'!F13*$D344-'Business Case'!F14*$E344))*'Business Case'!$B$7-'Business Case'!$B$8*(('Business Case'!F11*$C344*'Business Case'!F12*$B344)-('Business Case'!E11*$C344*'Business Case'!E12*$B344))-'Business Case'!F15*$F344</f>
        <v>842132815.556583</v>
      </c>
      <c r="M344" s="53" t="n">
        <f aca="false">(('Business Case'!G11*$C344*'Business Case'!G12*$B344)-'Business Case'!G11*$C344*'Business Case'!G13*$D344-'Business Case'!G14*$E344)-MAX(0,(('Business Case'!G11*$C344*'Business Case'!G12*$B344)-'Business Case'!G11*$C344*'Business Case'!G13*$D344-'Business Case'!G14*$E344))*'Business Case'!$B$7-'Business Case'!$B$8*(('Business Case'!G11*$C344*'Business Case'!G12*$B344)-('Business Case'!F11*$C344*'Business Case'!F12*$B344))-'Business Case'!G15*$F344+'Business Case'!$B$8*('Business Case'!G11*$C344*'Business Case'!G12*$B344)</f>
        <v>1036717528.99269</v>
      </c>
      <c r="N344" s="53" t="n">
        <f aca="false">IF(COUNT('Business Case'!B11:G11)=0,"",H344+NPV(G344,I344:M344))</f>
        <v>-229248045.923011</v>
      </c>
      <c r="P344" s="54" t="n">
        <f aca="true">RAND()</f>
        <v>0.671513124224933</v>
      </c>
      <c r="Q344" s="54" t="n">
        <f aca="true">RAND()</f>
        <v>0.694714869060462</v>
      </c>
      <c r="R344" s="54" t="n">
        <f aca="true">RAND()</f>
        <v>0.359955816187296</v>
      </c>
      <c r="S344" s="54" t="n">
        <f aca="true">RAND()</f>
        <v>0.0333464366071659</v>
      </c>
      <c r="T344" s="54" t="n">
        <f aca="true">RAND()</f>
        <v>0.73990195004046</v>
      </c>
      <c r="U344" s="54" t="n">
        <f aca="true">RAND()</f>
        <v>0.934032678211564</v>
      </c>
    </row>
    <row r="345" customFormat="false" ht="15" hidden="false" customHeight="false" outlineLevel="0" collapsed="false">
      <c r="A345" s="50" t="n">
        <v>265</v>
      </c>
      <c r="B345" s="51" t="n">
        <f aca="false">1+IF($G$6=$E$6,$F$6,IF(P345&lt;($F$6-$E$6)/($G$6-$E$6),$E$6+SQRT(P345*($G$6-$E$6)*($F$6-$E$6)),$G$6-SQRT((1-P345)*($G$6-$E$6)*($G$6-$F$6))))</f>
        <v>0.946075223541409</v>
      </c>
      <c r="C345" s="51" t="n">
        <f aca="false">1+IF($G$7=$E$7,$F$7,IF(Q345&lt;($F$7-$E$7)/($G$7-$E$7),$E$7+SQRT(Q345*($G$7-$E$7)*($F$7-$E$7)),$G$7-SQRT((1-Q345)*($G$7-$E$7)*($G$7-$F$7))))</f>
        <v>1.05611748172723</v>
      </c>
      <c r="D345" s="51" t="n">
        <f aca="false">1+IF($G$8=$E$8,$F$8,IF(R345&lt;($F$8-$E$8)/($G$8-$E$8),$E$8+SQRT(R345*($G$8-$E$8)*($F$8-$E$8)),$G$8-SQRT((1-R345)*($G$8-$E$8)*($G$8-$F$8))))</f>
        <v>0.979291866900089</v>
      </c>
      <c r="E345" s="51" t="n">
        <f aca="false">1+IF($G$9=$E$9,$F$9,IF(S345&lt;($F$9-$E$9)/($G$9-$E$9),$E$9+SQRT(S345*($G$9-$E$9)*($F$9-$E$9)),$G$9-SQRT((1-S345)*($G$9-$E$9)*($G$9-$F$9))))</f>
        <v>1.00038739145227</v>
      </c>
      <c r="F345" s="51" t="n">
        <f aca="false">1+IF($G$10=$E$10,$F$10,IF(T345&lt;($F$10-$E$10)/($G$10-$E$10),$E$10+SQRT(T345*($G$10-$E$10)*($F$10-$E$10)),$G$10-SQRT((1-T345)*($G$10-$E$10)*($G$10-$F$10))))</f>
        <v>1.05532032996951</v>
      </c>
      <c r="G345" s="52" t="n">
        <f aca="false">IF($G$11=$E$11,$F$11,IF(U345&lt;($F$11-$E$11)/($G$11-$E$11),$E$11+SQRT(U345*($G$11-$E$11)*($F$11-$E$11)),$G$11-SQRT((1-U345)*($G$11-$E$11)*($G$11-$F$11))))</f>
        <v>0.106392575689459</v>
      </c>
      <c r="H345" s="53" t="n">
        <f aca="false">(('Business Case'!B11*$C345*'Business Case'!B12*$B345)-'Business Case'!B11*$C345*'Business Case'!B13*$D345-'Business Case'!B14*$E345)-MAX(0,(('Business Case'!B11*$C345*'Business Case'!B12*$B345)-'Business Case'!B11*$C345*'Business Case'!B13*$D345-'Business Case'!B14*$E345))*'Business Case'!$B$7-'Business Case'!$B$8*('Business Case'!B11*$C345*'Business Case'!B12*$B345)-'Business Case'!B15*$F345</f>
        <v>-2110640659.93901</v>
      </c>
      <c r="I345" s="53" t="n">
        <f aca="false">(('Business Case'!C11*$C345*'Business Case'!C12*$B345)-'Business Case'!C11*$C345*'Business Case'!C13*$D345-'Business Case'!C14*$E345)-MAX(0,(('Business Case'!C11*$C345*'Business Case'!C12*$B345)-'Business Case'!C11*$C345*'Business Case'!C13*$D345-'Business Case'!C14*$E345))*'Business Case'!$B$7-'Business Case'!$B$8*(('Business Case'!C11*$C345*'Business Case'!C12*$B345)-('Business Case'!B11*$C345*'Business Case'!B12*$B345))-'Business Case'!C15*$F345</f>
        <v>-10646402.0681704</v>
      </c>
      <c r="J345" s="53" t="n">
        <f aca="false">(('Business Case'!D11*$C345*'Business Case'!D12*$B345)-'Business Case'!D11*$C345*'Business Case'!D13*$D345-'Business Case'!D14*$E345)-MAX(0,(('Business Case'!D11*$C345*'Business Case'!D12*$B345)-'Business Case'!D11*$C345*'Business Case'!D13*$D345-'Business Case'!D14*$E345))*'Business Case'!$B$7-'Business Case'!$B$8*(('Business Case'!D11*$C345*'Business Case'!D12*$B345)-('Business Case'!C11*$C345*'Business Case'!C12*$B345))-'Business Case'!D15*$F345</f>
        <v>278291111.567681</v>
      </c>
      <c r="K345" s="53" t="n">
        <f aca="false">(('Business Case'!E11*$C345*'Business Case'!E12*$B345)-'Business Case'!E11*$C345*'Business Case'!E13*$D345-'Business Case'!E14*$E345)-MAX(0,(('Business Case'!E11*$C345*'Business Case'!E12*$B345)-'Business Case'!E11*$C345*'Business Case'!E13*$D345-'Business Case'!E14*$E345))*'Business Case'!$B$7-'Business Case'!$B$8*(('Business Case'!E11*$C345*'Business Case'!E12*$B345)-('Business Case'!D11*$C345*'Business Case'!D12*$B345))-'Business Case'!E15*$F345</f>
        <v>619994641.702008</v>
      </c>
      <c r="L345" s="53" t="n">
        <f aca="false">(('Business Case'!F11*$C345*'Business Case'!F12*$B345)-'Business Case'!F11*$C345*'Business Case'!F13*$D345-'Business Case'!F14*$E345)-MAX(0,(('Business Case'!F11*$C345*'Business Case'!F12*$B345)-'Business Case'!F11*$C345*'Business Case'!F13*$D345-'Business Case'!F14*$E345))*'Business Case'!$B$7-'Business Case'!$B$8*(('Business Case'!F11*$C345*'Business Case'!F12*$B345)-('Business Case'!E11*$C345*'Business Case'!E12*$B345))-'Business Case'!F15*$F345</f>
        <v>750838343.34233</v>
      </c>
      <c r="M345" s="53" t="n">
        <f aca="false">(('Business Case'!G11*$C345*'Business Case'!G12*$B345)-'Business Case'!G11*$C345*'Business Case'!G13*$D345-'Business Case'!G14*$E345)-MAX(0,(('Business Case'!G11*$C345*'Business Case'!G12*$B345)-'Business Case'!G11*$C345*'Business Case'!G13*$D345-'Business Case'!G14*$E345))*'Business Case'!$B$7-'Business Case'!$B$8*(('Business Case'!G11*$C345*'Business Case'!G12*$B345)-('Business Case'!F11*$C345*'Business Case'!F12*$B345))-'Business Case'!G15*$F345+'Business Case'!$B$8*('Business Case'!G11*$C345*'Business Case'!G12*$B345)</f>
        <v>940759927.365044</v>
      </c>
      <c r="N345" s="53" t="n">
        <f aca="false">IF(COUNT('Business Case'!B11:G11)=0,"",H345+NPV(G345,I345:M345))</f>
        <v>-366597949.744021</v>
      </c>
      <c r="P345" s="54" t="n">
        <f aca="true">RAND()</f>
        <v>0.0708247169515058</v>
      </c>
      <c r="Q345" s="54" t="n">
        <f aca="true">RAND()</f>
        <v>0.83211567167167</v>
      </c>
      <c r="R345" s="54" t="n">
        <f aca="true">RAND()</f>
        <v>0.132002071768085</v>
      </c>
      <c r="S345" s="54" t="n">
        <f aca="true">RAND()</f>
        <v>0.338488547887784</v>
      </c>
      <c r="T345" s="54" t="n">
        <f aca="true">RAND()</f>
        <v>0.581355861597351</v>
      </c>
      <c r="U345" s="54" t="n">
        <f aca="true">RAND()</f>
        <v>0.691396672721489</v>
      </c>
    </row>
    <row r="346" customFormat="false" ht="15" hidden="false" customHeight="false" outlineLevel="0" collapsed="false">
      <c r="A346" s="50" t="n">
        <v>266</v>
      </c>
      <c r="B346" s="51" t="n">
        <f aca="false">1+IF($G$6=$E$6,$F$6,IF(P346&lt;($F$6-$E$6)/($G$6-$E$6),$E$6+SQRT(P346*($G$6-$E$6)*($F$6-$E$6)),$G$6-SQRT((1-P346)*($G$6-$E$6)*($G$6-$F$6))))</f>
        <v>1.02214681209471</v>
      </c>
      <c r="C346" s="51" t="n">
        <f aca="false">1+IF($G$7=$E$7,$F$7,IF(Q346&lt;($F$7-$E$7)/($G$7-$E$7),$E$7+SQRT(Q346*($G$7-$E$7)*($F$7-$E$7)),$G$7-SQRT((1-Q346)*($G$7-$E$7)*($G$7-$F$7))))</f>
        <v>0.990455029663727</v>
      </c>
      <c r="D346" s="51" t="n">
        <f aca="false">1+IF($G$8=$E$8,$F$8,IF(R346&lt;($F$8-$E$8)/($G$8-$E$8),$E$8+SQRT(R346*($G$8-$E$8)*($F$8-$E$8)),$G$8-SQRT((1-R346)*($G$8-$E$8)*($G$8-$F$8))))</f>
        <v>1.01229833039041</v>
      </c>
      <c r="E346" s="51" t="n">
        <f aca="false">1+IF($G$9=$E$9,$F$9,IF(S346&lt;($F$9-$E$9)/($G$9-$E$9),$E$9+SQRT(S346*($G$9-$E$9)*($F$9-$E$9)),$G$9-SQRT((1-S346)*($G$9-$E$9)*($G$9-$F$9))))</f>
        <v>1.0313904656722</v>
      </c>
      <c r="F346" s="51" t="n">
        <f aca="false">1+IF($G$10=$E$10,$F$10,IF(T346&lt;($F$10-$E$10)/($G$10-$E$10),$E$10+SQRT(T346*($G$10-$E$10)*($F$10-$E$10)),$G$10-SQRT((1-T346)*($G$10-$E$10)*($G$10-$F$10))))</f>
        <v>1.02715349219583</v>
      </c>
      <c r="G346" s="52" t="n">
        <f aca="false">IF($G$11=$E$11,$F$11,IF(U346&lt;($F$11-$E$11)/($G$11-$E$11),$E$11+SQRT(U346*($G$11-$E$11)*($F$11-$E$11)),$G$11-SQRT((1-U346)*($G$11-$E$11)*($G$11-$F$11))))</f>
        <v>0.10714222258187</v>
      </c>
      <c r="H346" s="53" t="n">
        <f aca="false">(('Business Case'!B11*$C346*'Business Case'!B12*$B346)-'Business Case'!B11*$C346*'Business Case'!B13*$D346-'Business Case'!B14*$E346)-MAX(0,(('Business Case'!B11*$C346*'Business Case'!B12*$B346)-'Business Case'!B11*$C346*'Business Case'!B13*$D346-'Business Case'!B14*$E346))*'Business Case'!$B$7-'Business Case'!$B$8*('Business Case'!B11*$C346*'Business Case'!B12*$B346)-'Business Case'!B15*$F346</f>
        <v>-2054306984.39166</v>
      </c>
      <c r="I346" s="53" t="n">
        <f aca="false">(('Business Case'!C11*$C346*'Business Case'!C12*$B346)-'Business Case'!C11*$C346*'Business Case'!C13*$D346-'Business Case'!C14*$E346)-MAX(0,(('Business Case'!C11*$C346*'Business Case'!C12*$B346)-'Business Case'!C11*$C346*'Business Case'!C13*$D346-'Business Case'!C14*$E346))*'Business Case'!$B$7-'Business Case'!$B$8*(('Business Case'!C11*$C346*'Business Case'!C12*$B346)-('Business Case'!B11*$C346*'Business Case'!B12*$B346))-'Business Case'!C15*$F346</f>
        <v>14089869.9114209</v>
      </c>
      <c r="J346" s="53" t="n">
        <f aca="false">(('Business Case'!D11*$C346*'Business Case'!D12*$B346)-'Business Case'!D11*$C346*'Business Case'!D13*$D346-'Business Case'!D14*$E346)-MAX(0,(('Business Case'!D11*$C346*'Business Case'!D12*$B346)-'Business Case'!D11*$C346*'Business Case'!D13*$D346-'Business Case'!D14*$E346))*'Business Case'!$B$7-'Business Case'!$B$8*(('Business Case'!D11*$C346*'Business Case'!D12*$B346)-('Business Case'!C11*$C346*'Business Case'!C12*$B346))-'Business Case'!D15*$F346</f>
        <v>330041134.245722</v>
      </c>
      <c r="K346" s="53" t="n">
        <f aca="false">(('Business Case'!E11*$C346*'Business Case'!E12*$B346)-'Business Case'!E11*$C346*'Business Case'!E13*$D346-'Business Case'!E14*$E346)-MAX(0,(('Business Case'!E11*$C346*'Business Case'!E12*$B346)-'Business Case'!E11*$C346*'Business Case'!E13*$D346-'Business Case'!E14*$E346))*'Business Case'!$B$7-'Business Case'!$B$8*(('Business Case'!E11*$C346*'Business Case'!E12*$B346)-('Business Case'!D11*$C346*'Business Case'!D12*$B346))-'Business Case'!E15*$F346</f>
        <v>697350073.189815</v>
      </c>
      <c r="L346" s="53" t="n">
        <f aca="false">(('Business Case'!F11*$C346*'Business Case'!F12*$B346)-'Business Case'!F11*$C346*'Business Case'!F13*$D346-'Business Case'!F14*$E346)-MAX(0,(('Business Case'!F11*$C346*'Business Case'!F12*$B346)-'Business Case'!F11*$C346*'Business Case'!F13*$D346-'Business Case'!F14*$E346))*'Business Case'!$B$7-'Business Case'!$B$8*(('Business Case'!F11*$C346*'Business Case'!F12*$B346)-('Business Case'!E11*$C346*'Business Case'!E12*$B346))-'Business Case'!F15*$F346</f>
        <v>837655375.291056</v>
      </c>
      <c r="M346" s="53" t="n">
        <f aca="false">(('Business Case'!G11*$C346*'Business Case'!G12*$B346)-'Business Case'!G11*$C346*'Business Case'!G13*$D346-'Business Case'!G14*$E346)-MAX(0,(('Business Case'!G11*$C346*'Business Case'!G12*$B346)-'Business Case'!G11*$C346*'Business Case'!G13*$D346-'Business Case'!G14*$E346))*'Business Case'!$B$7-'Business Case'!$B$8*(('Business Case'!G11*$C346*'Business Case'!G12*$B346)-('Business Case'!F11*$C346*'Business Case'!F12*$B346))-'Business Case'!G15*$F346+'Business Case'!$B$8*('Business Case'!G11*$C346*'Business Case'!G12*$B346)</f>
        <v>1030090552.23499</v>
      </c>
      <c r="N346" s="53" t="n">
        <f aca="false">IF(COUNT('Business Case'!B11:G11)=0,"",H346+NPV(G346,I346:M346))</f>
        <v>-81724337.0926542</v>
      </c>
      <c r="P346" s="54" t="n">
        <f aca="true">RAND()</f>
        <v>0.933596600337201</v>
      </c>
      <c r="Q346" s="54" t="n">
        <f aca="true">RAND()</f>
        <v>0.518187404631587</v>
      </c>
      <c r="R346" s="54" t="n">
        <f aca="true">RAND()</f>
        <v>0.559277301161013</v>
      </c>
      <c r="S346" s="54" t="n">
        <f aca="true">RAND()</f>
        <v>0.686182119954841</v>
      </c>
      <c r="T346" s="54" t="n">
        <f aca="true">RAND()</f>
        <v>0.402481694798062</v>
      </c>
      <c r="U346" s="54" t="n">
        <f aca="true">RAND()</f>
        <v>0.72446259977637</v>
      </c>
    </row>
    <row r="347" customFormat="false" ht="15" hidden="false" customHeight="false" outlineLevel="0" collapsed="false">
      <c r="A347" s="50" t="n">
        <v>267</v>
      </c>
      <c r="B347" s="51" t="n">
        <f aca="false">1+IF($G$6=$E$6,$F$6,IF(P347&lt;($F$6-$E$6)/($G$6-$E$6),$E$6+SQRT(P347*($G$6-$E$6)*($F$6-$E$6)),$G$6-SQRT((1-P347)*($G$6-$E$6)*($G$6-$F$6))))</f>
        <v>0.95856926314732</v>
      </c>
      <c r="C347" s="51" t="n">
        <f aca="false">1+IF($G$7=$E$7,$F$7,IF(Q347&lt;($F$7-$E$7)/($G$7-$E$7),$E$7+SQRT(Q347*($G$7-$E$7)*($F$7-$E$7)),$G$7-SQRT((1-Q347)*($G$7-$E$7)*($G$7-$F$7))))</f>
        <v>1.01317237346303</v>
      </c>
      <c r="D347" s="51" t="n">
        <f aca="false">1+IF($G$8=$E$8,$F$8,IF(R347&lt;($F$8-$E$8)/($G$8-$E$8),$E$8+SQRT(R347*($G$8-$E$8)*($F$8-$E$8)),$G$8-SQRT((1-R347)*($G$8-$E$8)*($G$8-$F$8))))</f>
        <v>1.02124006048094</v>
      </c>
      <c r="E347" s="51" t="n">
        <f aca="false">1+IF($G$9=$E$9,$F$9,IF(S347&lt;($F$9-$E$9)/($G$9-$E$9),$E$9+SQRT(S347*($G$9-$E$9)*($F$9-$E$9)),$G$9-SQRT((1-S347)*($G$9-$E$9)*($G$9-$F$9))))</f>
        <v>1.0177446938628</v>
      </c>
      <c r="F347" s="51" t="n">
        <f aca="false">1+IF($G$10=$E$10,$F$10,IF(T347&lt;($F$10-$E$10)/($G$10-$E$10),$E$10+SQRT(T347*($G$10-$E$10)*($F$10-$E$10)),$G$10-SQRT((1-T347)*($G$10-$E$10)*($G$10-$F$10))))</f>
        <v>1.03485300712429</v>
      </c>
      <c r="G347" s="52" t="n">
        <f aca="false">IF($G$11=$E$11,$F$11,IF(U347&lt;($F$11-$E$11)/($G$11-$E$11),$E$11+SQRT(U347*($G$11-$E$11)*($F$11-$E$11)),$G$11-SQRT((1-U347)*($G$11-$E$11)*($G$11-$F$11))))</f>
        <v>0.106967011668922</v>
      </c>
      <c r="H347" s="53" t="n">
        <f aca="false">(('Business Case'!B11*$C347*'Business Case'!B12*$B347)-'Business Case'!B11*$C347*'Business Case'!B13*$D347-'Business Case'!B14*$E347)-MAX(0,(('Business Case'!B11*$C347*'Business Case'!B12*$B347)-'Business Case'!B11*$C347*'Business Case'!B13*$D347-'Business Case'!B14*$E347))*'Business Case'!$B$7-'Business Case'!$B$8*('Business Case'!B11*$C347*'Business Case'!B12*$B347)-'Business Case'!B15*$F347</f>
        <v>-2069706014.24859</v>
      </c>
      <c r="I347" s="53" t="n">
        <f aca="false">(('Business Case'!C11*$C347*'Business Case'!C12*$B347)-'Business Case'!C11*$C347*'Business Case'!C13*$D347-'Business Case'!C14*$E347)-MAX(0,(('Business Case'!C11*$C347*'Business Case'!C12*$B347)-'Business Case'!C11*$C347*'Business Case'!C13*$D347-'Business Case'!C14*$E347))*'Business Case'!$B$7-'Business Case'!$B$8*(('Business Case'!C11*$C347*'Business Case'!C12*$B347)-('Business Case'!B11*$C347*'Business Case'!B12*$B347))-'Business Case'!C15*$F347</f>
        <v>-32755666.0958558</v>
      </c>
      <c r="J347" s="53" t="n">
        <f aca="false">(('Business Case'!D11*$C347*'Business Case'!D12*$B347)-'Business Case'!D11*$C347*'Business Case'!D13*$D347-'Business Case'!D14*$E347)-MAX(0,(('Business Case'!D11*$C347*'Business Case'!D12*$B347)-'Business Case'!D11*$C347*'Business Case'!D13*$D347-'Business Case'!D14*$E347))*'Business Case'!$B$7-'Business Case'!$B$8*(('Business Case'!D11*$C347*'Business Case'!D12*$B347)-('Business Case'!C11*$C347*'Business Case'!C12*$B347))-'Business Case'!D15*$F347</f>
        <v>233044059.20926</v>
      </c>
      <c r="K347" s="53" t="n">
        <f aca="false">(('Business Case'!E11*$C347*'Business Case'!E12*$B347)-'Business Case'!E11*$C347*'Business Case'!E13*$D347-'Business Case'!E14*$E347)-MAX(0,(('Business Case'!E11*$C347*'Business Case'!E12*$B347)-'Business Case'!E11*$C347*'Business Case'!E13*$D347-'Business Case'!E14*$E347))*'Business Case'!$B$7-'Business Case'!$B$8*(('Business Case'!E11*$C347*'Business Case'!E12*$B347)-('Business Case'!D11*$C347*'Business Case'!D12*$B347))-'Business Case'!E15*$F347</f>
        <v>550586434.870589</v>
      </c>
      <c r="L347" s="53" t="n">
        <f aca="false">(('Business Case'!F11*$C347*'Business Case'!F12*$B347)-'Business Case'!F11*$C347*'Business Case'!F13*$D347-'Business Case'!F14*$E347)-MAX(0,(('Business Case'!F11*$C347*'Business Case'!F12*$B347)-'Business Case'!F11*$C347*'Business Case'!F13*$D347-'Business Case'!F14*$E347))*'Business Case'!$B$7-'Business Case'!$B$8*(('Business Case'!F11*$C347*'Business Case'!F12*$B347)-('Business Case'!E11*$C347*'Business Case'!E12*$B347))-'Business Case'!F15*$F347</f>
        <v>672750873.453129</v>
      </c>
      <c r="M347" s="53" t="n">
        <f aca="false">(('Business Case'!G11*$C347*'Business Case'!G12*$B347)-'Business Case'!G11*$C347*'Business Case'!G13*$D347-'Business Case'!G14*$E347)-MAX(0,(('Business Case'!G11*$C347*'Business Case'!G12*$B347)-'Business Case'!G11*$C347*'Business Case'!G13*$D347-'Business Case'!G14*$E347))*'Business Case'!$B$7-'Business Case'!$B$8*(('Business Case'!G11*$C347*'Business Case'!G12*$B347)-('Business Case'!F11*$C347*'Business Case'!F12*$B347))-'Business Case'!G15*$F347+'Business Case'!$B$8*('Business Case'!G11*$C347*'Business Case'!G12*$B347)</f>
        <v>857355789.264385</v>
      </c>
      <c r="N347" s="53" t="n">
        <f aca="false">IF(COUNT('Business Case'!B11:G11)=0,"",H347+NPV(G347,I347:M347))</f>
        <v>-539366263.426405</v>
      </c>
      <c r="P347" s="54" t="n">
        <f aca="true">RAND()</f>
        <v>0.154957089554917</v>
      </c>
      <c r="Q347" s="54" t="n">
        <f aca="true">RAND()</f>
        <v>0.643394297452537</v>
      </c>
      <c r="R347" s="54" t="n">
        <f aca="true">RAND()</f>
        <v>0.668006683434282</v>
      </c>
      <c r="S347" s="54" t="n">
        <f aca="true">RAND()</f>
        <v>0.548937640818387</v>
      </c>
      <c r="T347" s="54" t="n">
        <f aca="true">RAND()</f>
        <v>0.45452941488222</v>
      </c>
      <c r="U347" s="54" t="n">
        <f aca="true">RAND()</f>
        <v>0.716902025269973</v>
      </c>
    </row>
    <row r="348" customFormat="false" ht="15" hidden="false" customHeight="false" outlineLevel="0" collapsed="false">
      <c r="A348" s="50" t="n">
        <v>268</v>
      </c>
      <c r="B348" s="51" t="n">
        <f aca="false">1+IF($G$6=$E$6,$F$6,IF(P348&lt;($F$6-$E$6)/($G$6-$E$6),$E$6+SQRT(P348*($G$6-$E$6)*($F$6-$E$6)),$G$6-SQRT((1-P348)*($G$6-$E$6)*($G$6-$F$6))))</f>
        <v>1.02542550069268</v>
      </c>
      <c r="C348" s="51" t="n">
        <f aca="false">1+IF($G$7=$E$7,$F$7,IF(Q348&lt;($F$7-$E$7)/($G$7-$E$7),$E$7+SQRT(Q348*($G$7-$E$7)*($F$7-$E$7)),$G$7-SQRT((1-Q348)*($G$7-$E$7)*($G$7-$F$7))))</f>
        <v>1.03731820436459</v>
      </c>
      <c r="D348" s="51" t="n">
        <f aca="false">1+IF($G$8=$E$8,$F$8,IF(R348&lt;($F$8-$E$8)/($G$8-$E$8),$E$8+SQRT(R348*($G$8-$E$8)*($F$8-$E$8)),$G$8-SQRT((1-R348)*($G$8-$E$8)*($G$8-$F$8))))</f>
        <v>1.01626929462608</v>
      </c>
      <c r="E348" s="51" t="n">
        <f aca="false">1+IF($G$9=$E$9,$F$9,IF(S348&lt;($F$9-$E$9)/($G$9-$E$9),$E$9+SQRT(S348*($G$9-$E$9)*($F$9-$E$9)),$G$9-SQRT((1-S348)*($G$9-$E$9)*($G$9-$F$9))))</f>
        <v>0.999319805872239</v>
      </c>
      <c r="F348" s="51" t="n">
        <f aca="false">1+IF($G$10=$E$10,$F$10,IF(T348&lt;($F$10-$E$10)/($G$10-$E$10),$E$10+SQRT(T348*($G$10-$E$10)*($F$10-$E$10)),$G$10-SQRT((1-T348)*($G$10-$E$10)*($G$10-$F$10))))</f>
        <v>0.979660881927933</v>
      </c>
      <c r="G348" s="52" t="n">
        <f aca="false">IF($G$11=$E$11,$F$11,IF(U348&lt;($F$11-$E$11)/($G$11-$E$11),$E$11+SQRT(U348*($G$11-$E$11)*($F$11-$E$11)),$G$11-SQRT((1-U348)*($G$11-$E$11)*($G$11-$F$11))))</f>
        <v>0.101392672171479</v>
      </c>
      <c r="H348" s="53" t="n">
        <f aca="false">(('Business Case'!B11*$C348*'Business Case'!B12*$B348)-'Business Case'!B11*$C348*'Business Case'!B13*$D348-'Business Case'!B14*$E348)-MAX(0,(('Business Case'!B11*$C348*'Business Case'!B12*$B348)-'Business Case'!B11*$C348*'Business Case'!B13*$D348-'Business Case'!B14*$E348))*'Business Case'!$B$7-'Business Case'!$B$8*('Business Case'!B11*$C348*'Business Case'!B12*$B348)-'Business Case'!B15*$F348</f>
        <v>-1959321763.85587</v>
      </c>
      <c r="I348" s="53" t="n">
        <f aca="false">(('Business Case'!C11*$C348*'Business Case'!C12*$B348)-'Business Case'!C11*$C348*'Business Case'!C13*$D348-'Business Case'!C14*$E348)-MAX(0,(('Business Case'!C11*$C348*'Business Case'!C12*$B348)-'Business Case'!C11*$C348*'Business Case'!C13*$D348-'Business Case'!C14*$E348))*'Business Case'!$B$7-'Business Case'!$B$8*(('Business Case'!C11*$C348*'Business Case'!C12*$B348)-('Business Case'!B11*$C348*'Business Case'!B12*$B348))-'Business Case'!C15*$F348</f>
        <v>36366269.5286447</v>
      </c>
      <c r="J348" s="53" t="n">
        <f aca="false">(('Business Case'!D11*$C348*'Business Case'!D12*$B348)-'Business Case'!D11*$C348*'Business Case'!D13*$D348-'Business Case'!D14*$E348)-MAX(0,(('Business Case'!D11*$C348*'Business Case'!D12*$B348)-'Business Case'!D11*$C348*'Business Case'!D13*$D348-'Business Case'!D14*$E348))*'Business Case'!$B$7-'Business Case'!$B$8*(('Business Case'!D11*$C348*'Business Case'!D12*$B348)-('Business Case'!C11*$C348*'Business Case'!C12*$B348))-'Business Case'!D15*$F348</f>
        <v>367943724.871447</v>
      </c>
      <c r="K348" s="53" t="n">
        <f aca="false">(('Business Case'!E11*$C348*'Business Case'!E12*$B348)-'Business Case'!E11*$C348*'Business Case'!E13*$D348-'Business Case'!E14*$E348)-MAX(0,(('Business Case'!E11*$C348*'Business Case'!E12*$B348)-'Business Case'!E11*$C348*'Business Case'!E13*$D348-'Business Case'!E14*$E348))*'Business Case'!$B$7-'Business Case'!$B$8*(('Business Case'!E11*$C348*'Business Case'!E12*$B348)-('Business Case'!D11*$C348*'Business Case'!D12*$B348))-'Business Case'!E15*$F348</f>
        <v>748504224.310645</v>
      </c>
      <c r="L348" s="53" t="n">
        <f aca="false">(('Business Case'!F11*$C348*'Business Case'!F12*$B348)-'Business Case'!F11*$C348*'Business Case'!F13*$D348-'Business Case'!F14*$E348)-MAX(0,(('Business Case'!F11*$C348*'Business Case'!F12*$B348)-'Business Case'!F11*$C348*'Business Case'!F13*$D348-'Business Case'!F14*$E348))*'Business Case'!$B$7-'Business Case'!$B$8*(('Business Case'!F11*$C348*'Business Case'!F12*$B348)-('Business Case'!E11*$C348*'Business Case'!E12*$B348))-'Business Case'!F15*$F348</f>
        <v>895791256.909134</v>
      </c>
      <c r="M348" s="53" t="n">
        <f aca="false">(('Business Case'!G11*$C348*'Business Case'!G12*$B348)-'Business Case'!G11*$C348*'Business Case'!G13*$D348-'Business Case'!G14*$E348)-MAX(0,(('Business Case'!G11*$C348*'Business Case'!G12*$B348)-'Business Case'!G11*$C348*'Business Case'!G13*$D348-'Business Case'!G14*$E348))*'Business Case'!$B$7-'Business Case'!$B$8*(('Business Case'!G11*$C348*'Business Case'!G12*$B348)-('Business Case'!F11*$C348*'Business Case'!F12*$B348))-'Business Case'!G15*$F348+'Business Case'!$B$8*('Business Case'!G11*$C348*'Business Case'!G12*$B348)</f>
        <v>1097977934.73902</v>
      </c>
      <c r="N348" s="53" t="n">
        <f aca="false">IF(COUNT('Business Case'!B11:G11)=0,"",H348+NPV(G348,I348:M348))</f>
        <v>223452875.297012</v>
      </c>
      <c r="P348" s="54" t="n">
        <f aca="true">RAND()</f>
        <v>0.95574666040434</v>
      </c>
      <c r="Q348" s="54" t="n">
        <f aca="true">RAND()</f>
        <v>0.758148817759603</v>
      </c>
      <c r="R348" s="54" t="n">
        <f aca="true">RAND()</f>
        <v>0.609461268513715</v>
      </c>
      <c r="S348" s="54" t="n">
        <f aca="true">RAND()</f>
        <v>0.32432576683671</v>
      </c>
      <c r="T348" s="54" t="n">
        <f aca="true">RAND()</f>
        <v>0.0703814333394241</v>
      </c>
      <c r="U348" s="54" t="n">
        <f aca="true">RAND()</f>
        <v>0.422945585136551</v>
      </c>
    </row>
    <row r="349" customFormat="false" ht="15" hidden="false" customHeight="false" outlineLevel="0" collapsed="false">
      <c r="A349" s="50" t="n">
        <v>269</v>
      </c>
      <c r="B349" s="51" t="n">
        <f aca="false">1+IF($G$6=$E$6,$F$6,IF(P349&lt;($F$6-$E$6)/($G$6-$E$6),$E$6+SQRT(P349*($G$6-$E$6)*($F$6-$E$6)),$G$6-SQRT((1-P349)*($G$6-$E$6)*($G$6-$F$6))))</f>
        <v>0.948647727105461</v>
      </c>
      <c r="C349" s="51" t="n">
        <f aca="false">1+IF($G$7=$E$7,$F$7,IF(Q349&lt;($F$7-$E$7)/($G$7-$E$7),$E$7+SQRT(Q349*($G$7-$E$7)*($F$7-$E$7)),$G$7-SQRT((1-Q349)*($G$7-$E$7)*($G$7-$F$7))))</f>
        <v>0.961881143770794</v>
      </c>
      <c r="D349" s="51" t="n">
        <f aca="false">1+IF($G$8=$E$8,$F$8,IF(R349&lt;($F$8-$E$8)/($G$8-$E$8),$E$8+SQRT(R349*($G$8-$E$8)*($F$8-$E$8)),$G$8-SQRT((1-R349)*($G$8-$E$8)*($G$8-$F$8))))</f>
        <v>1.00054515170769</v>
      </c>
      <c r="E349" s="51" t="n">
        <f aca="false">1+IF($G$9=$E$9,$F$9,IF(S349&lt;($F$9-$E$9)/($G$9-$E$9),$E$9+SQRT(S349*($G$9-$E$9)*($F$9-$E$9)),$G$9-SQRT((1-S349)*($G$9-$E$9)*($G$9-$F$9))))</f>
        <v>1.07427304215407</v>
      </c>
      <c r="F349" s="51" t="n">
        <f aca="false">1+IF($G$10=$E$10,$F$10,IF(T349&lt;($F$10-$E$10)/($G$10-$E$10),$E$10+SQRT(T349*($G$10-$E$10)*($F$10-$E$10)),$G$10-SQRT((1-T349)*($G$10-$E$10)*($G$10-$F$10))))</f>
        <v>1.17277808208482</v>
      </c>
      <c r="G349" s="52" t="n">
        <f aca="false">IF($G$11=$E$11,$F$11,IF(U349&lt;($F$11-$E$11)/($G$11-$E$11),$E$11+SQRT(U349*($G$11-$E$11)*($F$11-$E$11)),$G$11-SQRT((1-U349)*($G$11-$E$11)*($G$11-$F$11))))</f>
        <v>0.100666121238916</v>
      </c>
      <c r="H349" s="53" t="n">
        <f aca="false">(('Business Case'!B11*$C349*'Business Case'!B12*$B349)-'Business Case'!B11*$C349*'Business Case'!B13*$D349-'Business Case'!B14*$E349)-MAX(0,(('Business Case'!B11*$C349*'Business Case'!B12*$B349)-'Business Case'!B11*$C349*'Business Case'!B13*$D349-'Business Case'!B14*$E349))*'Business Case'!$B$7-'Business Case'!$B$8*('Business Case'!B11*$C349*'Business Case'!B12*$B349)-'Business Case'!B15*$F349</f>
        <v>-2345556164.16963</v>
      </c>
      <c r="I349" s="53" t="n">
        <f aca="false">(('Business Case'!C11*$C349*'Business Case'!C12*$B349)-'Business Case'!C11*$C349*'Business Case'!C13*$D349-'Business Case'!C14*$E349)-MAX(0,(('Business Case'!C11*$C349*'Business Case'!C12*$B349)-'Business Case'!C11*$C349*'Business Case'!C13*$D349-'Business Case'!C14*$E349))*'Business Case'!$B$7-'Business Case'!$B$8*(('Business Case'!C11*$C349*'Business Case'!C12*$B349)-('Business Case'!B11*$C349*'Business Case'!B12*$B349))-'Business Case'!C15*$F349</f>
        <v>-62625330.4432335</v>
      </c>
      <c r="J349" s="53" t="n">
        <f aca="false">(('Business Case'!D11*$C349*'Business Case'!D12*$B349)-'Business Case'!D11*$C349*'Business Case'!D13*$D349-'Business Case'!D14*$E349)-MAX(0,(('Business Case'!D11*$C349*'Business Case'!D12*$B349)-'Business Case'!D11*$C349*'Business Case'!D13*$D349-'Business Case'!D14*$E349))*'Business Case'!$B$7-'Business Case'!$B$8*(('Business Case'!D11*$C349*'Business Case'!D12*$B349)-('Business Case'!C11*$C349*'Business Case'!C12*$B349))-'Business Case'!D15*$F349</f>
        <v>192092066.859355</v>
      </c>
      <c r="K349" s="53" t="n">
        <f aca="false">(('Business Case'!E11*$C349*'Business Case'!E12*$B349)-'Business Case'!E11*$C349*'Business Case'!E13*$D349-'Business Case'!E14*$E349)-MAX(0,(('Business Case'!E11*$C349*'Business Case'!E12*$B349)-'Business Case'!E11*$C349*'Business Case'!E13*$D349-'Business Case'!E14*$E349))*'Business Case'!$B$7-'Business Case'!$B$8*(('Business Case'!E11*$C349*'Business Case'!E12*$B349)-('Business Case'!D11*$C349*'Business Case'!D12*$B349))-'Business Case'!E15*$F349</f>
        <v>505448368.266184</v>
      </c>
      <c r="L349" s="53" t="n">
        <f aca="false">(('Business Case'!F11*$C349*'Business Case'!F12*$B349)-'Business Case'!F11*$C349*'Business Case'!F13*$D349-'Business Case'!F14*$E349)-MAX(0,(('Business Case'!F11*$C349*'Business Case'!F12*$B349)-'Business Case'!F11*$C349*'Business Case'!F13*$D349-'Business Case'!F14*$E349))*'Business Case'!$B$7-'Business Case'!$B$8*(('Business Case'!F11*$C349*'Business Case'!F12*$B349)-('Business Case'!E11*$C349*'Business Case'!E12*$B349))-'Business Case'!F15*$F349</f>
        <v>621889695.995733</v>
      </c>
      <c r="M349" s="53" t="n">
        <f aca="false">(('Business Case'!G11*$C349*'Business Case'!G12*$B349)-'Business Case'!G11*$C349*'Business Case'!G13*$D349-'Business Case'!G14*$E349)-MAX(0,(('Business Case'!G11*$C349*'Business Case'!G12*$B349)-'Business Case'!G11*$C349*'Business Case'!G13*$D349-'Business Case'!G14*$E349))*'Business Case'!$B$7-'Business Case'!$B$8*(('Business Case'!G11*$C349*'Business Case'!G12*$B349)-('Business Case'!F11*$C349*'Business Case'!F12*$B349))-'Business Case'!G15*$F349+'Business Case'!$B$8*('Business Case'!G11*$C349*'Business Case'!G12*$B349)</f>
        <v>795335103.453511</v>
      </c>
      <c r="N349" s="53" t="n">
        <f aca="false">IF(COUNT('Business Case'!B11:G11)=0,"",H349+NPV(G349,I349:M349))</f>
        <v>-948750681.784409</v>
      </c>
      <c r="P349" s="54" t="n">
        <f aca="true">RAND()</f>
        <v>0.0854887779488491</v>
      </c>
      <c r="Q349" s="54" t="n">
        <f aca="true">RAND()</f>
        <v>0.374364352979148</v>
      </c>
      <c r="R349" s="54" t="n">
        <f aca="true">RAND()</f>
        <v>0.392973757965971</v>
      </c>
      <c r="S349" s="54" t="n">
        <f aca="true">RAND()</f>
        <v>0.955874909332932</v>
      </c>
      <c r="T349" s="54" t="n">
        <f aca="true">RAND()</f>
        <v>0.985179343700381</v>
      </c>
      <c r="U349" s="54" t="n">
        <f aca="true">RAND()</f>
        <v>0.37700188675282</v>
      </c>
    </row>
    <row r="350" customFormat="false" ht="15" hidden="false" customHeight="false" outlineLevel="0" collapsed="false">
      <c r="A350" s="50" t="n">
        <v>270</v>
      </c>
      <c r="B350" s="51" t="n">
        <f aca="false">1+IF($G$6=$E$6,$F$6,IF(P350&lt;($F$6-$E$6)/($G$6-$E$6),$E$6+SQRT(P350*($G$6-$E$6)*($F$6-$E$6)),$G$6-SQRT((1-P350)*($G$6-$E$6)*($G$6-$F$6))))</f>
        <v>0.983753263773155</v>
      </c>
      <c r="C350" s="51" t="n">
        <f aca="false">1+IF($G$7=$E$7,$F$7,IF(Q350&lt;($F$7-$E$7)/($G$7-$E$7),$E$7+SQRT(Q350*($G$7-$E$7)*($F$7-$E$7)),$G$7-SQRT((1-Q350)*($G$7-$E$7)*($G$7-$F$7))))</f>
        <v>1.03675382965583</v>
      </c>
      <c r="D350" s="51" t="n">
        <f aca="false">1+IF($G$8=$E$8,$F$8,IF(R350&lt;($F$8-$E$8)/($G$8-$E$8),$E$8+SQRT(R350*($G$8-$E$8)*($F$8-$E$8)),$G$8-SQRT((1-R350)*($G$8-$E$8)*($G$8-$F$8))))</f>
        <v>0.995586510434066</v>
      </c>
      <c r="E350" s="51" t="n">
        <f aca="false">1+IF($G$9=$E$9,$F$9,IF(S350&lt;($F$9-$E$9)/($G$9-$E$9),$E$9+SQRT(S350*($G$9-$E$9)*($F$9-$E$9)),$G$9-SQRT((1-S350)*($G$9-$E$9)*($G$9-$F$9))))</f>
        <v>0.972992595364119</v>
      </c>
      <c r="F350" s="51" t="n">
        <f aca="false">1+IF($G$10=$E$10,$F$10,IF(T350&lt;($F$10-$E$10)/($G$10-$E$10),$E$10+SQRT(T350*($G$10-$E$10)*($F$10-$E$10)),$G$10-SQRT((1-T350)*($G$10-$E$10)*($G$10-$F$10))))</f>
        <v>1.11008656385782</v>
      </c>
      <c r="G350" s="52" t="n">
        <f aca="false">IF($G$11=$E$11,$F$11,IF(U350&lt;($F$11-$E$11)/($G$11-$E$11),$E$11+SQRT(U350*($G$11-$E$11)*($F$11-$E$11)),$G$11-SQRT((1-U350)*($G$11-$E$11)*($G$11-$F$11))))</f>
        <v>0.0998386321299769</v>
      </c>
      <c r="H350" s="53" t="n">
        <f aca="false">(('Business Case'!B11*$C350*'Business Case'!B12*$B350)-'Business Case'!B11*$C350*'Business Case'!B13*$D350-'Business Case'!B14*$E350)-MAX(0,(('Business Case'!B11*$C350*'Business Case'!B12*$B350)-'Business Case'!B11*$C350*'Business Case'!B13*$D350-'Business Case'!B14*$E350))*'Business Case'!$B$7-'Business Case'!$B$8*('Business Case'!B11*$C350*'Business Case'!B12*$B350)-'Business Case'!B15*$F350</f>
        <v>-2220173127.71565</v>
      </c>
      <c r="I350" s="53" t="n">
        <f aca="false">(('Business Case'!C11*$C350*'Business Case'!C12*$B350)-'Business Case'!C11*$C350*'Business Case'!C13*$D350-'Business Case'!C14*$E350)-MAX(0,(('Business Case'!C11*$C350*'Business Case'!C12*$B350)-'Business Case'!C11*$C350*'Business Case'!C13*$D350-'Business Case'!C14*$E350))*'Business Case'!$B$7-'Business Case'!$B$8*(('Business Case'!C11*$C350*'Business Case'!C12*$B350)-('Business Case'!B11*$C350*'Business Case'!B12*$B350))-'Business Case'!C15*$F350</f>
        <v>4746730.78478257</v>
      </c>
      <c r="J350" s="53" t="n">
        <f aca="false">(('Business Case'!D11*$C350*'Business Case'!D12*$B350)-'Business Case'!D11*$C350*'Business Case'!D13*$D350-'Business Case'!D14*$E350)-MAX(0,(('Business Case'!D11*$C350*'Business Case'!D12*$B350)-'Business Case'!D11*$C350*'Business Case'!D13*$D350-'Business Case'!D14*$E350))*'Business Case'!$B$7-'Business Case'!$B$8*(('Business Case'!D11*$C350*'Business Case'!D12*$B350)-('Business Case'!C11*$C350*'Business Case'!C12*$B350))-'Business Case'!D15*$F350</f>
        <v>311733797.531909</v>
      </c>
      <c r="K350" s="53" t="n">
        <f aca="false">(('Business Case'!E11*$C350*'Business Case'!E12*$B350)-'Business Case'!E11*$C350*'Business Case'!E13*$D350-'Business Case'!E14*$E350)-MAX(0,(('Business Case'!E11*$C350*'Business Case'!E12*$B350)-'Business Case'!E11*$C350*'Business Case'!E13*$D350-'Business Case'!E14*$E350))*'Business Case'!$B$7-'Business Case'!$B$8*(('Business Case'!E11*$C350*'Business Case'!E12*$B350)-('Business Case'!D11*$C350*'Business Case'!D12*$B350))-'Business Case'!E15*$F350</f>
        <v>674225192.471927</v>
      </c>
      <c r="L350" s="53" t="n">
        <f aca="false">(('Business Case'!F11*$C350*'Business Case'!F12*$B350)-'Business Case'!F11*$C350*'Business Case'!F13*$D350-'Business Case'!F14*$E350)-MAX(0,(('Business Case'!F11*$C350*'Business Case'!F12*$B350)-'Business Case'!F11*$C350*'Business Case'!F13*$D350-'Business Case'!F14*$E350))*'Business Case'!$B$7-'Business Case'!$B$8*(('Business Case'!F11*$C350*'Business Case'!F12*$B350)-('Business Case'!E11*$C350*'Business Case'!E12*$B350))-'Business Case'!F15*$F350</f>
        <v>811802303.064825</v>
      </c>
      <c r="M350" s="53" t="n">
        <f aca="false">(('Business Case'!G11*$C350*'Business Case'!G12*$B350)-'Business Case'!G11*$C350*'Business Case'!G13*$D350-'Business Case'!G14*$E350)-MAX(0,(('Business Case'!G11*$C350*'Business Case'!G12*$B350)-'Business Case'!G11*$C350*'Business Case'!G13*$D350-'Business Case'!G14*$E350))*'Business Case'!$B$7-'Business Case'!$B$8*(('Business Case'!G11*$C350*'Business Case'!G12*$B350)-('Business Case'!F11*$C350*'Business Case'!F12*$B350))-'Business Case'!G15*$F350+'Business Case'!$B$8*('Business Case'!G11*$C350*'Business Case'!G12*$B350)</f>
        <v>1005666788.95603</v>
      </c>
      <c r="N350" s="53" t="n">
        <f aca="false">IF(COUNT('Business Case'!B11:G11)=0,"",H350+NPV(G350,I350:M350))</f>
        <v>-271676528.050595</v>
      </c>
      <c r="P350" s="54" t="n">
        <f aca="true">RAND()</f>
        <v>0.423383191846817</v>
      </c>
      <c r="Q350" s="54" t="n">
        <f aca="true">RAND()</f>
        <v>0.755720093378642</v>
      </c>
      <c r="R350" s="54" t="n">
        <f aca="true">RAND()</f>
        <v>0.319712297470025</v>
      </c>
      <c r="S350" s="54" t="n">
        <f aca="true">RAND()</f>
        <v>0.0704879255437495</v>
      </c>
      <c r="T350" s="54" t="n">
        <f aca="true">RAND()</f>
        <v>0.838311480022138</v>
      </c>
      <c r="U350" s="54" t="n">
        <f aca="true">RAND()</f>
        <v>0.322662273963378</v>
      </c>
    </row>
    <row r="351" customFormat="false" ht="15" hidden="false" customHeight="false" outlineLevel="0" collapsed="false">
      <c r="A351" s="50" t="n">
        <v>271</v>
      </c>
      <c r="B351" s="51" t="n">
        <f aca="false">1+IF($G$6=$E$6,$F$6,IF(P351&lt;($F$6-$E$6)/($G$6-$E$6),$E$6+SQRT(P351*($G$6-$E$6)*($F$6-$E$6)),$G$6-SQRT((1-P351)*($G$6-$E$6)*($G$6-$F$6))))</f>
        <v>1.02207720513299</v>
      </c>
      <c r="C351" s="51" t="n">
        <f aca="false">1+IF($G$7=$E$7,$F$7,IF(Q351&lt;($F$7-$E$7)/($G$7-$E$7),$E$7+SQRT(Q351*($G$7-$E$7)*($F$7-$E$7)),$G$7-SQRT((1-Q351)*($G$7-$E$7)*($G$7-$F$7))))</f>
        <v>0.905756632150475</v>
      </c>
      <c r="D351" s="51" t="n">
        <f aca="false">1+IF($G$8=$E$8,$F$8,IF(R351&lt;($F$8-$E$8)/($G$8-$E$8),$E$8+SQRT(R351*($G$8-$E$8)*($F$8-$E$8)),$G$8-SQRT((1-R351)*($G$8-$E$8)*($G$8-$F$8))))</f>
        <v>0.99341377884398</v>
      </c>
      <c r="E351" s="51" t="n">
        <f aca="false">1+IF($G$9=$E$9,$F$9,IF(S351&lt;($F$9-$E$9)/($G$9-$E$9),$E$9+SQRT(S351*($G$9-$E$9)*($F$9-$E$9)),$G$9-SQRT((1-S351)*($G$9-$E$9)*($G$9-$F$9))))</f>
        <v>1.02940812757565</v>
      </c>
      <c r="F351" s="51" t="n">
        <f aca="false">1+IF($G$10=$E$10,$F$10,IF(T351&lt;($F$10-$E$10)/($G$10-$E$10),$E$10+SQRT(T351*($G$10-$E$10)*($F$10-$E$10)),$G$10-SQRT((1-T351)*($G$10-$E$10)*($G$10-$F$10))))</f>
        <v>1.08839182290433</v>
      </c>
      <c r="G351" s="52" t="n">
        <f aca="false">IF($G$11=$E$11,$F$11,IF(U351&lt;($F$11-$E$11)/($G$11-$E$11),$E$11+SQRT(U351*($G$11-$E$11)*($F$11-$E$11)),$G$11-SQRT((1-U351)*($G$11-$E$11)*($G$11-$F$11))))</f>
        <v>0.108240496107186</v>
      </c>
      <c r="H351" s="53" t="n">
        <f aca="false">(('Business Case'!B11*$C351*'Business Case'!B12*$B351)-'Business Case'!B11*$C351*'Business Case'!B13*$D351-'Business Case'!B14*$E351)-MAX(0,(('Business Case'!B11*$C351*'Business Case'!B12*$B351)-'Business Case'!B11*$C351*'Business Case'!B13*$D351-'Business Case'!B14*$E351))*'Business Case'!$B$7-'Business Case'!$B$8*('Business Case'!B11*$C351*'Business Case'!B12*$B351)-'Business Case'!B15*$F351</f>
        <v>-2176783645.80866</v>
      </c>
      <c r="I351" s="53" t="n">
        <f aca="false">(('Business Case'!C11*$C351*'Business Case'!C12*$B351)-'Business Case'!C11*$C351*'Business Case'!C13*$D351-'Business Case'!C14*$E351)-MAX(0,(('Business Case'!C11*$C351*'Business Case'!C12*$B351)-'Business Case'!C11*$C351*'Business Case'!C13*$D351-'Business Case'!C14*$E351))*'Business Case'!$B$7-'Business Case'!$B$8*(('Business Case'!C11*$C351*'Business Case'!C12*$B351)-('Business Case'!B11*$C351*'Business Case'!B12*$B351))-'Business Case'!C15*$F351</f>
        <v>-5574602.8905429</v>
      </c>
      <c r="J351" s="53" t="n">
        <f aca="false">(('Business Case'!D11*$C351*'Business Case'!D12*$B351)-'Business Case'!D11*$C351*'Business Case'!D13*$D351-'Business Case'!D14*$E351)-MAX(0,(('Business Case'!D11*$C351*'Business Case'!D12*$B351)-'Business Case'!D11*$C351*'Business Case'!D13*$D351-'Business Case'!D14*$E351))*'Business Case'!$B$7-'Business Case'!$B$8*(('Business Case'!D11*$C351*'Business Case'!D12*$B351)-('Business Case'!C11*$C351*'Business Case'!C12*$B351))-'Business Case'!D15*$F351</f>
        <v>292062858.507655</v>
      </c>
      <c r="K351" s="53" t="n">
        <f aca="false">(('Business Case'!E11*$C351*'Business Case'!E12*$B351)-'Business Case'!E11*$C351*'Business Case'!E13*$D351-'Business Case'!E14*$E351)-MAX(0,(('Business Case'!E11*$C351*'Business Case'!E12*$B351)-'Business Case'!E11*$C351*'Business Case'!E13*$D351-'Business Case'!E14*$E351))*'Business Case'!$B$7-'Business Case'!$B$8*(('Business Case'!E11*$C351*'Business Case'!E12*$B351)-('Business Case'!D11*$C351*'Business Case'!D12*$B351))-'Business Case'!E15*$F351</f>
        <v>644119911.051069</v>
      </c>
      <c r="L351" s="53" t="n">
        <f aca="false">(('Business Case'!F11*$C351*'Business Case'!F12*$B351)-'Business Case'!F11*$C351*'Business Case'!F13*$D351-'Business Case'!F14*$E351)-MAX(0,(('Business Case'!F11*$C351*'Business Case'!F12*$B351)-'Business Case'!F11*$C351*'Business Case'!F13*$D351-'Business Case'!F14*$E351))*'Business Case'!$B$7-'Business Case'!$B$8*(('Business Case'!F11*$C351*'Business Case'!F12*$B351)-('Business Case'!E11*$C351*'Business Case'!E12*$B351))-'Business Case'!F15*$F351</f>
        <v>775326429.021835</v>
      </c>
      <c r="M351" s="53" t="n">
        <f aca="false">(('Business Case'!G11*$C351*'Business Case'!G12*$B351)-'Business Case'!G11*$C351*'Business Case'!G13*$D351-'Business Case'!G14*$E351)-MAX(0,(('Business Case'!G11*$C351*'Business Case'!G12*$B351)-'Business Case'!G11*$C351*'Business Case'!G13*$D351-'Business Case'!G14*$E351))*'Business Case'!$B$7-'Business Case'!$B$8*(('Business Case'!G11*$C351*'Business Case'!G12*$B351)-('Business Case'!F11*$C351*'Business Case'!F12*$B351))-'Business Case'!G15*$F351+'Business Case'!$B$8*('Business Case'!G11*$C351*'Business Case'!G12*$B351)</f>
        <v>951293598.63102</v>
      </c>
      <c r="N351" s="53" t="n">
        <f aca="false">IF(COUNT('Business Case'!B11:G11)=0,"",H351+NPV(G351,I351:M351))</f>
        <v>-387769042.591654</v>
      </c>
      <c r="P351" s="54" t="n">
        <f aca="true">RAND()</f>
        <v>0.933077796698981</v>
      </c>
      <c r="Q351" s="54" t="n">
        <f aca="true">RAND()</f>
        <v>0.159778074911585</v>
      </c>
      <c r="R351" s="54" t="n">
        <f aca="true">RAND()</f>
        <v>0.289962491309853</v>
      </c>
      <c r="S351" s="54" t="n">
        <f aca="true">RAND()</f>
        <v>0.667785836508266</v>
      </c>
      <c r="T351" s="54" t="n">
        <f aca="true">RAND()</f>
        <v>0.750872296107631</v>
      </c>
      <c r="U351" s="54" t="n">
        <f aca="true">RAND()</f>
        <v>0.769523446991502</v>
      </c>
    </row>
    <row r="352" customFormat="false" ht="15" hidden="false" customHeight="false" outlineLevel="0" collapsed="false">
      <c r="A352" s="50" t="n">
        <v>272</v>
      </c>
      <c r="B352" s="51" t="n">
        <f aca="false">1+IF($G$6=$E$6,$F$6,IF(P352&lt;($F$6-$E$6)/($G$6-$E$6),$E$6+SQRT(P352*($G$6-$E$6)*($F$6-$E$6)),$G$6-SQRT((1-P352)*($G$6-$E$6)*($G$6-$F$6))))</f>
        <v>0.98611801445754</v>
      </c>
      <c r="C352" s="51" t="n">
        <f aca="false">1+IF($G$7=$E$7,$F$7,IF(Q352&lt;($F$7-$E$7)/($G$7-$E$7),$E$7+SQRT(Q352*($G$7-$E$7)*($F$7-$E$7)),$G$7-SQRT((1-Q352)*($G$7-$E$7)*($G$7-$F$7))))</f>
        <v>0.970009991703343</v>
      </c>
      <c r="D352" s="51" t="n">
        <f aca="false">1+IF($G$8=$E$8,$F$8,IF(R352&lt;($F$8-$E$8)/($G$8-$E$8),$E$8+SQRT(R352*($G$8-$E$8)*($F$8-$E$8)),$G$8-SQRT((1-R352)*($G$8-$E$8)*($G$8-$F$8))))</f>
        <v>0.995917635967403</v>
      </c>
      <c r="E352" s="51" t="n">
        <f aca="false">1+IF($G$9=$E$9,$F$9,IF(S352&lt;($F$9-$E$9)/($G$9-$E$9),$E$9+SQRT(S352*($G$9-$E$9)*($F$9-$E$9)),$G$9-SQRT((1-S352)*($G$9-$E$9)*($G$9-$F$9))))</f>
        <v>1.01357377820551</v>
      </c>
      <c r="F352" s="51" t="n">
        <f aca="false">1+IF($G$10=$E$10,$F$10,IF(T352&lt;($F$10-$E$10)/($G$10-$E$10),$E$10+SQRT(T352*($G$10-$E$10)*($F$10-$E$10)),$G$10-SQRT((1-T352)*($G$10-$E$10)*($G$10-$F$10))))</f>
        <v>1.10589078835565</v>
      </c>
      <c r="G352" s="52" t="n">
        <f aca="false">IF($G$11=$E$11,$F$11,IF(U352&lt;($F$11-$E$11)/($G$11-$E$11),$E$11+SQRT(U352*($G$11-$E$11)*($F$11-$E$11)),$G$11-SQRT((1-U352)*($G$11-$E$11)*($G$11-$F$11))))</f>
        <v>0.102107889111053</v>
      </c>
      <c r="H352" s="53" t="n">
        <f aca="false">(('Business Case'!B11*$C352*'Business Case'!B12*$B352)-'Business Case'!B11*$C352*'Business Case'!B13*$D352-'Business Case'!B14*$E352)-MAX(0,(('Business Case'!B11*$C352*'Business Case'!B12*$B352)-'Business Case'!B11*$C352*'Business Case'!B13*$D352-'Business Case'!B14*$E352))*'Business Case'!$B$7-'Business Case'!$B$8*('Business Case'!B11*$C352*'Business Case'!B12*$B352)-'Business Case'!B15*$F352</f>
        <v>-2211781576.71131</v>
      </c>
      <c r="I352" s="53" t="n">
        <f aca="false">(('Business Case'!C11*$C352*'Business Case'!C12*$B352)-'Business Case'!C11*$C352*'Business Case'!C13*$D352-'Business Case'!C14*$E352)-MAX(0,(('Business Case'!C11*$C352*'Business Case'!C12*$B352)-'Business Case'!C11*$C352*'Business Case'!C13*$D352-'Business Case'!C14*$E352))*'Business Case'!$B$7-'Business Case'!$B$8*(('Business Case'!C11*$C352*'Business Case'!C12*$B352)-('Business Case'!B11*$C352*'Business Case'!B12*$B352))-'Business Case'!C15*$F352</f>
        <v>-15368198.5762568</v>
      </c>
      <c r="J352" s="53" t="n">
        <f aca="false">(('Business Case'!D11*$C352*'Business Case'!D12*$B352)-'Business Case'!D11*$C352*'Business Case'!D13*$D352-'Business Case'!D14*$E352)-MAX(0,(('Business Case'!D11*$C352*'Business Case'!D12*$B352)-'Business Case'!D11*$C352*'Business Case'!D13*$D352-'Business Case'!D14*$E352))*'Business Case'!$B$7-'Business Case'!$B$8*(('Business Case'!D11*$C352*'Business Case'!D12*$B352)-('Business Case'!C11*$C352*'Business Case'!C12*$B352))-'Business Case'!D15*$F352</f>
        <v>273570130.85672</v>
      </c>
      <c r="K352" s="53" t="n">
        <f aca="false">(('Business Case'!E11*$C352*'Business Case'!E12*$B352)-'Business Case'!E11*$C352*'Business Case'!E13*$D352-'Business Case'!E14*$E352)-MAX(0,(('Business Case'!E11*$C352*'Business Case'!E12*$B352)-'Business Case'!E11*$C352*'Business Case'!E13*$D352-'Business Case'!E14*$E352))*'Business Case'!$B$7-'Business Case'!$B$8*(('Business Case'!E11*$C352*'Business Case'!E12*$B352)-('Business Case'!D11*$C352*'Business Case'!D12*$B352))-'Business Case'!E15*$F352</f>
        <v>617802999.707479</v>
      </c>
      <c r="L352" s="53" t="n">
        <f aca="false">(('Business Case'!F11*$C352*'Business Case'!F12*$B352)-'Business Case'!F11*$C352*'Business Case'!F13*$D352-'Business Case'!F14*$E352)-MAX(0,(('Business Case'!F11*$C352*'Business Case'!F12*$B352)-'Business Case'!F11*$C352*'Business Case'!F13*$D352-'Business Case'!F14*$E352))*'Business Case'!$B$7-'Business Case'!$B$8*(('Business Case'!F11*$C352*'Business Case'!F12*$B352)-('Business Case'!E11*$C352*'Business Case'!E12*$B352))-'Business Case'!F15*$F352</f>
        <v>747173948.127035</v>
      </c>
      <c r="M352" s="53" t="n">
        <f aca="false">(('Business Case'!G11*$C352*'Business Case'!G12*$B352)-'Business Case'!G11*$C352*'Business Case'!G13*$D352-'Business Case'!G14*$E352)-MAX(0,(('Business Case'!G11*$C352*'Business Case'!G12*$B352)-'Business Case'!G11*$C352*'Business Case'!G13*$D352-'Business Case'!G14*$E352))*'Business Case'!$B$7-'Business Case'!$B$8*(('Business Case'!G11*$C352*'Business Case'!G12*$B352)-('Business Case'!F11*$C352*'Business Case'!F12*$B352))-'Business Case'!G15*$F352+'Business Case'!$B$8*('Business Case'!G11*$C352*'Business Case'!G12*$B352)</f>
        <v>928993893.807467</v>
      </c>
      <c r="N352" s="53" t="n">
        <f aca="false">IF(COUNT('Business Case'!B11:G11)=0,"",H352+NPV(G352,I352:M352))</f>
        <v>-461218832.841695</v>
      </c>
      <c r="P352" s="54" t="n">
        <f aca="true">RAND()</f>
        <v>0.455374149563271</v>
      </c>
      <c r="Q352" s="54" t="n">
        <f aca="true">RAND()</f>
        <v>0.412905675413867</v>
      </c>
      <c r="R352" s="54" t="n">
        <f aca="true">RAND()</f>
        <v>0.324373737359219</v>
      </c>
      <c r="S352" s="54" t="n">
        <f aca="true">RAND()</f>
        <v>0.502033879088591</v>
      </c>
      <c r="T352" s="54" t="n">
        <f aca="true">RAND()</f>
        <v>0.822869125673595</v>
      </c>
      <c r="U352" s="54" t="n">
        <f aca="true">RAND()</f>
        <v>0.466453946562721</v>
      </c>
    </row>
    <row r="353" customFormat="false" ht="15" hidden="false" customHeight="false" outlineLevel="0" collapsed="false">
      <c r="A353" s="50" t="n">
        <v>273</v>
      </c>
      <c r="B353" s="51" t="n">
        <f aca="false">1+IF($G$6=$E$6,$F$6,IF(P353&lt;($F$6-$E$6)/($G$6-$E$6),$E$6+SQRT(P353*($G$6-$E$6)*($F$6-$E$6)),$G$6-SQRT((1-P353)*($G$6-$E$6)*($G$6-$F$6))))</f>
        <v>1.01551777800588</v>
      </c>
      <c r="C353" s="51" t="n">
        <f aca="false">1+IF($G$7=$E$7,$F$7,IF(Q353&lt;($F$7-$E$7)/($G$7-$E$7),$E$7+SQRT(Q353*($G$7-$E$7)*($F$7-$E$7)),$G$7-SQRT((1-Q353)*($G$7-$E$7)*($G$7-$F$7))))</f>
        <v>1.07903410119791</v>
      </c>
      <c r="D353" s="51" t="n">
        <f aca="false">1+IF($G$8=$E$8,$F$8,IF(R353&lt;($F$8-$E$8)/($G$8-$E$8),$E$8+SQRT(R353*($G$8-$E$8)*($F$8-$E$8)),$G$8-SQRT((1-R353)*($G$8-$E$8)*($G$8-$F$8))))</f>
        <v>1.00614917376851</v>
      </c>
      <c r="E353" s="51" t="n">
        <f aca="false">1+IF($G$9=$E$9,$F$9,IF(S353&lt;($F$9-$E$9)/($G$9-$E$9),$E$9+SQRT(S353*($G$9-$E$9)*($F$9-$E$9)),$G$9-SQRT((1-S353)*($G$9-$E$9)*($G$9-$F$9))))</f>
        <v>1.02094357469217</v>
      </c>
      <c r="F353" s="51" t="n">
        <f aca="false">1+IF($G$10=$E$10,$F$10,IF(T353&lt;($F$10-$E$10)/($G$10-$E$10),$E$10+SQRT(T353*($G$10-$E$10)*($F$10-$E$10)),$G$10-SQRT((1-T353)*($G$10-$E$10)*($G$10-$F$10))))</f>
        <v>1.13199740207553</v>
      </c>
      <c r="G353" s="52" t="n">
        <f aca="false">IF($G$11=$E$11,$F$11,IF(U353&lt;($F$11-$E$11)/($G$11-$E$11),$E$11+SQRT(U353*($G$11-$E$11)*($F$11-$E$11)),$G$11-SQRT((1-U353)*($G$11-$E$11)*($G$11-$F$11))))</f>
        <v>0.0924273216701163</v>
      </c>
      <c r="H353" s="53" t="n">
        <f aca="false">(('Business Case'!B11*$C353*'Business Case'!B12*$B353)-'Business Case'!B11*$C353*'Business Case'!B13*$D353-'Business Case'!B14*$E353)-MAX(0,(('Business Case'!B11*$C353*'Business Case'!B12*$B353)-'Business Case'!B11*$C353*'Business Case'!B13*$D353-'Business Case'!B14*$E353))*'Business Case'!$B$7-'Business Case'!$B$8*('Business Case'!B11*$C353*'Business Case'!B12*$B353)-'Business Case'!B15*$F353</f>
        <v>-2263994804.15107</v>
      </c>
      <c r="I353" s="53" t="n">
        <f aca="false">(('Business Case'!C11*$C353*'Business Case'!C12*$B353)-'Business Case'!C11*$C353*'Business Case'!C13*$D353-'Business Case'!C14*$E353)-MAX(0,(('Business Case'!C11*$C353*'Business Case'!C12*$B353)-'Business Case'!C11*$C353*'Business Case'!C13*$D353-'Business Case'!C14*$E353))*'Business Case'!$B$7-'Business Case'!$B$8*(('Business Case'!C11*$C353*'Business Case'!C12*$B353)-('Business Case'!B11*$C353*'Business Case'!B12*$B353))-'Business Case'!C15*$F353</f>
        <v>26562457.603633</v>
      </c>
      <c r="J353" s="53" t="n">
        <f aca="false">(('Business Case'!D11*$C353*'Business Case'!D12*$B353)-'Business Case'!D11*$C353*'Business Case'!D13*$D353-'Business Case'!D14*$E353)-MAX(0,(('Business Case'!D11*$C353*'Business Case'!D12*$B353)-'Business Case'!D11*$C353*'Business Case'!D13*$D353-'Business Case'!D14*$E353))*'Business Case'!$B$7-'Business Case'!$B$8*(('Business Case'!D11*$C353*'Business Case'!D12*$B353)-('Business Case'!C11*$C353*'Business Case'!C12*$B353))-'Business Case'!D15*$F353</f>
        <v>368307979.473727</v>
      </c>
      <c r="K353" s="53" t="n">
        <f aca="false">(('Business Case'!E11*$C353*'Business Case'!E12*$B353)-'Business Case'!E11*$C353*'Business Case'!E13*$D353-'Business Case'!E14*$E353)-MAX(0,(('Business Case'!E11*$C353*'Business Case'!E12*$B353)-'Business Case'!E11*$C353*'Business Case'!E13*$D353-'Business Case'!E14*$E353))*'Business Case'!$B$7-'Business Case'!$B$8*(('Business Case'!E11*$C353*'Business Case'!E12*$B353)-('Business Case'!D11*$C353*'Business Case'!D12*$B353))-'Business Case'!E15*$F353</f>
        <v>766653371.447599</v>
      </c>
      <c r="L353" s="53" t="n">
        <f aca="false">(('Business Case'!F11*$C353*'Business Case'!F12*$B353)-'Business Case'!F11*$C353*'Business Case'!F13*$D353-'Business Case'!F14*$E353)-MAX(0,(('Business Case'!F11*$C353*'Business Case'!F12*$B353)-'Business Case'!F11*$C353*'Business Case'!F13*$D353-'Business Case'!F14*$E353))*'Business Case'!$B$7-'Business Case'!$B$8*(('Business Case'!F11*$C353*'Business Case'!F12*$B353)-('Business Case'!E11*$C353*'Business Case'!E12*$B353))-'Business Case'!F15*$F353</f>
        <v>918438643.896084</v>
      </c>
      <c r="M353" s="53" t="n">
        <f aca="false">(('Business Case'!G11*$C353*'Business Case'!G12*$B353)-'Business Case'!G11*$C353*'Business Case'!G13*$D353-'Business Case'!G14*$E353)-MAX(0,(('Business Case'!G11*$C353*'Business Case'!G12*$B353)-'Business Case'!G11*$C353*'Business Case'!G13*$D353-'Business Case'!G14*$E353))*'Business Case'!$B$7-'Business Case'!$B$8*(('Business Case'!G11*$C353*'Business Case'!G12*$B353)-('Business Case'!F11*$C353*'Business Case'!F12*$B353))-'Business Case'!G15*$F353+'Business Case'!$B$8*('Business Case'!G11*$C353*'Business Case'!G12*$B353)</f>
        <v>1126724185.60092</v>
      </c>
      <c r="N353" s="53" t="n">
        <f aca="false">IF(COUNT('Business Case'!B11:G11)=0,"",H353+NPV(G353,I353:M353))</f>
        <v>26076731.2435856</v>
      </c>
      <c r="P353" s="54" t="n">
        <f aca="true">RAND()</f>
        <v>0.8751293346314</v>
      </c>
      <c r="Q353" s="54" t="n">
        <f aca="true">RAND()</f>
        <v>0.904073165851658</v>
      </c>
      <c r="R353" s="54" t="n">
        <f aca="true">RAND()</f>
        <v>0.475582256242945</v>
      </c>
      <c r="S353" s="54" t="n">
        <f aca="true">RAND()</f>
        <v>0.583338774503157</v>
      </c>
      <c r="T353" s="54" t="n">
        <f aca="true">RAND()</f>
        <v>0.907512933510467</v>
      </c>
      <c r="U353" s="54" t="n">
        <f aca="true">RAND()</f>
        <v>0.0196396349673875</v>
      </c>
    </row>
    <row r="354" customFormat="false" ht="15" hidden="false" customHeight="false" outlineLevel="0" collapsed="false">
      <c r="A354" s="50" t="n">
        <v>274</v>
      </c>
      <c r="B354" s="51" t="n">
        <f aca="false">1+IF($G$6=$E$6,$F$6,IF(P354&lt;($F$6-$E$6)/($G$6-$E$6),$E$6+SQRT(P354*($G$6-$E$6)*($F$6-$E$6)),$G$6-SQRT((1-P354)*($G$6-$E$6)*($G$6-$F$6))))</f>
        <v>1.02327179107697</v>
      </c>
      <c r="C354" s="51" t="n">
        <f aca="false">1+IF($G$7=$E$7,$F$7,IF(Q354&lt;($F$7-$E$7)/($G$7-$E$7),$E$7+SQRT(Q354*($G$7-$E$7)*($F$7-$E$7)),$G$7-SQRT((1-Q354)*($G$7-$E$7)*($G$7-$F$7))))</f>
        <v>0.927941547515853</v>
      </c>
      <c r="D354" s="51" t="n">
        <f aca="false">1+IF($G$8=$E$8,$F$8,IF(R354&lt;($F$8-$E$8)/($G$8-$E$8),$E$8+SQRT(R354*($G$8-$E$8)*($F$8-$E$8)),$G$8-SQRT((1-R354)*($G$8-$E$8)*($G$8-$F$8))))</f>
        <v>0.990556380186328</v>
      </c>
      <c r="E354" s="51" t="n">
        <f aca="false">1+IF($G$9=$E$9,$F$9,IF(S354&lt;($F$9-$E$9)/($G$9-$E$9),$E$9+SQRT(S354*($G$9-$E$9)*($F$9-$E$9)),$G$9-SQRT((1-S354)*($G$9-$E$9)*($G$9-$F$9))))</f>
        <v>0.996617936069969</v>
      </c>
      <c r="F354" s="51" t="n">
        <f aca="false">1+IF($G$10=$E$10,$F$10,IF(T354&lt;($F$10-$E$10)/($G$10-$E$10),$E$10+SQRT(T354*($G$10-$E$10)*($F$10-$E$10)),$G$10-SQRT((1-T354)*($G$10-$E$10)*($G$10-$F$10))))</f>
        <v>0.965712060219563</v>
      </c>
      <c r="G354" s="52" t="n">
        <f aca="false">IF($G$11=$E$11,$F$11,IF(U354&lt;($F$11-$E$11)/($G$11-$E$11),$E$11+SQRT(U354*($G$11-$E$11)*($F$11-$E$11)),$G$11-SQRT((1-U354)*($G$11-$E$11)*($G$11-$F$11))))</f>
        <v>0.0959972839594636</v>
      </c>
      <c r="H354" s="53" t="n">
        <f aca="false">(('Business Case'!B11*$C354*'Business Case'!B12*$B354)-'Business Case'!B11*$C354*'Business Case'!B13*$D354-'Business Case'!B14*$E354)-MAX(0,(('Business Case'!B11*$C354*'Business Case'!B12*$B354)-'Business Case'!B11*$C354*'Business Case'!B13*$D354-'Business Case'!B14*$E354))*'Business Case'!$B$7-'Business Case'!$B$8*('Business Case'!B11*$C354*'Business Case'!B12*$B354)-'Business Case'!B15*$F354</f>
        <v>-1931424120.43913</v>
      </c>
      <c r="I354" s="53" t="n">
        <f aca="false">(('Business Case'!C11*$C354*'Business Case'!C12*$B354)-'Business Case'!C11*$C354*'Business Case'!C13*$D354-'Business Case'!C14*$E354)-MAX(0,(('Business Case'!C11*$C354*'Business Case'!C12*$B354)-'Business Case'!C11*$C354*'Business Case'!C13*$D354-'Business Case'!C14*$E354))*'Business Case'!$B$7-'Business Case'!$B$8*(('Business Case'!C11*$C354*'Business Case'!C12*$B354)-('Business Case'!B11*$C354*'Business Case'!B12*$B354))-'Business Case'!C15*$F354</f>
        <v>19678624.9443669</v>
      </c>
      <c r="J354" s="53" t="n">
        <f aca="false">(('Business Case'!D11*$C354*'Business Case'!D12*$B354)-'Business Case'!D11*$C354*'Business Case'!D13*$D354-'Business Case'!D14*$E354)-MAX(0,(('Business Case'!D11*$C354*'Business Case'!D12*$B354)-'Business Case'!D11*$C354*'Business Case'!D13*$D354-'Business Case'!D14*$E354))*'Business Case'!$B$7-'Business Case'!$B$8*(('Business Case'!D11*$C354*'Business Case'!D12*$B354)-('Business Case'!C11*$C354*'Business Case'!C12*$B354))-'Business Case'!D15*$F354</f>
        <v>326871493.880092</v>
      </c>
      <c r="K354" s="53" t="n">
        <f aca="false">(('Business Case'!E11*$C354*'Business Case'!E12*$B354)-'Business Case'!E11*$C354*'Business Case'!E13*$D354-'Business Case'!E14*$E354)-MAX(0,(('Business Case'!E11*$C354*'Business Case'!E12*$B354)-'Business Case'!E11*$C354*'Business Case'!E13*$D354-'Business Case'!E14*$E354))*'Business Case'!$B$7-'Business Case'!$B$8*(('Business Case'!E11*$C354*'Business Case'!E12*$B354)-('Business Case'!D11*$C354*'Business Case'!D12*$B354))-'Business Case'!E15*$F354</f>
        <v>682349965.826795</v>
      </c>
      <c r="L354" s="53" t="n">
        <f aca="false">(('Business Case'!F11*$C354*'Business Case'!F12*$B354)-'Business Case'!F11*$C354*'Business Case'!F13*$D354-'Business Case'!F14*$E354)-MAX(0,(('Business Case'!F11*$C354*'Business Case'!F12*$B354)-'Business Case'!F11*$C354*'Business Case'!F13*$D354-'Business Case'!F14*$E354))*'Business Case'!$B$7-'Business Case'!$B$8*(('Business Case'!F11*$C354*'Business Case'!F12*$B354)-('Business Case'!E11*$C354*'Business Case'!E12*$B354))-'Business Case'!F15*$F354</f>
        <v>817563567.112205</v>
      </c>
      <c r="M354" s="53" t="n">
        <f aca="false">(('Business Case'!G11*$C354*'Business Case'!G12*$B354)-'Business Case'!G11*$C354*'Business Case'!G13*$D354-'Business Case'!G14*$E354)-MAX(0,(('Business Case'!G11*$C354*'Business Case'!G12*$B354)-'Business Case'!G11*$C354*'Business Case'!G13*$D354-'Business Case'!G14*$E354))*'Business Case'!$B$7-'Business Case'!$B$8*(('Business Case'!G11*$C354*'Business Case'!G12*$B354)-('Business Case'!F11*$C354*'Business Case'!F12*$B354))-'Business Case'!G15*$F354+'Business Case'!$B$8*('Business Case'!G11*$C354*'Business Case'!G12*$B354)</f>
        <v>998051447.799795</v>
      </c>
      <c r="N354" s="53" t="n">
        <f aca="false">IF(COUNT('Business Case'!B11:G11)=0,"",H354+NPV(G354,I354:M354))</f>
        <v>74666332.4153371</v>
      </c>
      <c r="P354" s="54" t="n">
        <f aca="true">RAND()</f>
        <v>0.941701463797374</v>
      </c>
      <c r="Q354" s="54" t="n">
        <f aca="true">RAND()</f>
        <v>0.233843422582162</v>
      </c>
      <c r="R354" s="54" t="n">
        <f aca="true">RAND()</f>
        <v>0.253049226741227</v>
      </c>
      <c r="S354" s="54" t="n">
        <f aca="true">RAND()</f>
        <v>0.289764261789831</v>
      </c>
      <c r="T354" s="54" t="n">
        <f aca="true">RAND()</f>
        <v>0.0197495069074532</v>
      </c>
      <c r="U354" s="54" t="n">
        <f aca="true">RAND()</f>
        <v>0.119891382968129</v>
      </c>
    </row>
    <row r="355" customFormat="false" ht="15" hidden="false" customHeight="false" outlineLevel="0" collapsed="false">
      <c r="A355" s="50" t="n">
        <v>275</v>
      </c>
      <c r="B355" s="51" t="n">
        <f aca="false">1+IF($G$6=$E$6,$F$6,IF(P355&lt;($F$6-$E$6)/($G$6-$E$6),$E$6+SQRT(P355*($G$6-$E$6)*($F$6-$E$6)),$G$6-SQRT((1-P355)*($G$6-$E$6)*($G$6-$F$6))))</f>
        <v>1.00158511241894</v>
      </c>
      <c r="C355" s="51" t="n">
        <f aca="false">1+IF($G$7=$E$7,$F$7,IF(Q355&lt;($F$7-$E$7)/($G$7-$E$7),$E$7+SQRT(Q355*($G$7-$E$7)*($F$7-$E$7)),$G$7-SQRT((1-Q355)*($G$7-$E$7)*($G$7-$F$7))))</f>
        <v>1.07244477504527</v>
      </c>
      <c r="D355" s="51" t="n">
        <f aca="false">1+IF($G$8=$E$8,$F$8,IF(R355&lt;($F$8-$E$8)/($G$8-$E$8),$E$8+SQRT(R355*($G$8-$E$8)*($F$8-$E$8)),$G$8-SQRT((1-R355)*($G$8-$E$8)*($G$8-$F$8))))</f>
        <v>1.02983389905534</v>
      </c>
      <c r="E355" s="51" t="n">
        <f aca="false">1+IF($G$9=$E$9,$F$9,IF(S355&lt;($F$9-$E$9)/($G$9-$E$9),$E$9+SQRT(S355*($G$9-$E$9)*($F$9-$E$9)),$G$9-SQRT((1-S355)*($G$9-$E$9)*($G$9-$F$9))))</f>
        <v>1.02151870957445</v>
      </c>
      <c r="F355" s="51" t="n">
        <f aca="false">1+IF($G$10=$E$10,$F$10,IF(T355&lt;($F$10-$E$10)/($G$10-$E$10),$E$10+SQRT(T355*($G$10-$E$10)*($F$10-$E$10)),$G$10-SQRT((1-T355)*($G$10-$E$10)*($G$10-$F$10))))</f>
        <v>0.979978682470636</v>
      </c>
      <c r="G355" s="52" t="n">
        <f aca="false">IF($G$11=$E$11,$F$11,IF(U355&lt;($F$11-$E$11)/($G$11-$E$11),$E$11+SQRT(U355*($G$11-$E$11)*($F$11-$E$11)),$G$11-SQRT((1-U355)*($G$11-$E$11)*($G$11-$F$11))))</f>
        <v>0.0929667006462744</v>
      </c>
      <c r="H355" s="53" t="n">
        <f aca="false">(('Business Case'!B11*$C355*'Business Case'!B12*$B355)-'Business Case'!B11*$C355*'Business Case'!B13*$D355-'Business Case'!B14*$E355)-MAX(0,(('Business Case'!B11*$C355*'Business Case'!B12*$B355)-'Business Case'!B11*$C355*'Business Case'!B13*$D355-'Business Case'!B14*$E355))*'Business Case'!$B$7-'Business Case'!$B$8*('Business Case'!B11*$C355*'Business Case'!B12*$B355)-'Business Case'!B15*$F355</f>
        <v>-1959957364.94127</v>
      </c>
      <c r="I355" s="53" t="n">
        <f aca="false">(('Business Case'!C11*$C355*'Business Case'!C12*$B355)-'Business Case'!C11*$C355*'Business Case'!C13*$D355-'Business Case'!C14*$E355)-MAX(0,(('Business Case'!C11*$C355*'Business Case'!C12*$B355)-'Business Case'!C11*$C355*'Business Case'!C13*$D355-'Business Case'!C14*$E355))*'Business Case'!$B$7-'Business Case'!$B$8*(('Business Case'!C11*$C355*'Business Case'!C12*$B355)-('Business Case'!B11*$C355*'Business Case'!B12*$B355))-'Business Case'!C15*$F355</f>
        <v>15475456.7941054</v>
      </c>
      <c r="J355" s="53" t="n">
        <f aca="false">(('Business Case'!D11*$C355*'Business Case'!D12*$B355)-'Business Case'!D11*$C355*'Business Case'!D13*$D355-'Business Case'!D14*$E355)-MAX(0,(('Business Case'!D11*$C355*'Business Case'!D12*$B355)-'Business Case'!D11*$C355*'Business Case'!D13*$D355-'Business Case'!D14*$E355))*'Business Case'!$B$7-'Business Case'!$B$8*(('Business Case'!D11*$C355*'Business Case'!D12*$B355)-('Business Case'!C11*$C355*'Business Case'!C12*$B355))-'Business Case'!D15*$F355</f>
        <v>329892404.651464</v>
      </c>
      <c r="K355" s="53" t="n">
        <f aca="false">(('Business Case'!E11*$C355*'Business Case'!E12*$B355)-'Business Case'!E11*$C355*'Business Case'!E13*$D355-'Business Case'!E14*$E355)-MAX(0,(('Business Case'!E11*$C355*'Business Case'!E12*$B355)-'Business Case'!E11*$C355*'Business Case'!E13*$D355-'Business Case'!E14*$E355))*'Business Case'!$B$7-'Business Case'!$B$8*(('Business Case'!E11*$C355*'Business Case'!E12*$B355)-('Business Case'!D11*$C355*'Business Case'!D12*$B355))-'Business Case'!E15*$F355</f>
        <v>693308286.632354</v>
      </c>
      <c r="L355" s="53" t="n">
        <f aca="false">(('Business Case'!F11*$C355*'Business Case'!F12*$B355)-'Business Case'!F11*$C355*'Business Case'!F13*$D355-'Business Case'!F14*$E355)-MAX(0,(('Business Case'!F11*$C355*'Business Case'!F12*$B355)-'Business Case'!F11*$C355*'Business Case'!F13*$D355-'Business Case'!F14*$E355))*'Business Case'!$B$7-'Business Case'!$B$8*(('Business Case'!F11*$C355*'Business Case'!F12*$B355)-('Business Case'!E11*$C355*'Business Case'!E12*$B355))-'Business Case'!F15*$F355</f>
        <v>835236377.461275</v>
      </c>
      <c r="M355" s="53" t="n">
        <f aca="false">(('Business Case'!G11*$C355*'Business Case'!G12*$B355)-'Business Case'!G11*$C355*'Business Case'!G13*$D355-'Business Case'!G14*$E355)-MAX(0,(('Business Case'!G11*$C355*'Business Case'!G12*$B355)-'Business Case'!G11*$C355*'Business Case'!G13*$D355-'Business Case'!G14*$E355))*'Business Case'!$B$7-'Business Case'!$B$8*(('Business Case'!G11*$C355*'Business Case'!G12*$B355)-('Business Case'!F11*$C355*'Business Case'!F12*$B355))-'Business Case'!G15*$F355+'Business Case'!$B$8*('Business Case'!G11*$C355*'Business Case'!G12*$B355)</f>
        <v>1039409805.94852</v>
      </c>
      <c r="N355" s="53" t="n">
        <f aca="false">IF(COUNT('Business Case'!B11:G11)=0,"",H355+NPV(G355,I355:M355))</f>
        <v>113104432.194959</v>
      </c>
      <c r="P355" s="54" t="n">
        <f aca="true">RAND()</f>
        <v>0.692561752527984</v>
      </c>
      <c r="Q355" s="54" t="n">
        <f aca="true">RAND()</f>
        <v>0.885432134899461</v>
      </c>
      <c r="R355" s="54" t="n">
        <f aca="true">RAND()</f>
        <v>0.758015607308668</v>
      </c>
      <c r="S355" s="54" t="n">
        <f aca="true">RAND()</f>
        <v>0.589379136876043</v>
      </c>
      <c r="T355" s="54" t="n">
        <f aca="true">RAND()</f>
        <v>0.0718977122140176</v>
      </c>
      <c r="U355" s="54" t="n">
        <f aca="true">RAND()</f>
        <v>0.0293377090820157</v>
      </c>
    </row>
    <row r="356" customFormat="false" ht="15" hidden="false" customHeight="false" outlineLevel="0" collapsed="false">
      <c r="A356" s="50" t="n">
        <v>276</v>
      </c>
      <c r="B356" s="51" t="n">
        <f aca="false">1+IF($G$6=$E$6,$F$6,IF(P356&lt;($F$6-$E$6)/($G$6-$E$6),$E$6+SQRT(P356*($G$6-$E$6)*($F$6-$E$6)),$G$6-SQRT((1-P356)*($G$6-$E$6)*($G$6-$F$6))))</f>
        <v>0.933925771515968</v>
      </c>
      <c r="C356" s="51" t="n">
        <f aca="false">1+IF($G$7=$E$7,$F$7,IF(Q356&lt;($F$7-$E$7)/($G$7-$E$7),$E$7+SQRT(Q356*($G$7-$E$7)*($F$7-$E$7)),$G$7-SQRT((1-Q356)*($G$7-$E$7)*($G$7-$F$7))))</f>
        <v>0.888583894866063</v>
      </c>
      <c r="D356" s="51" t="n">
        <f aca="false">1+IF($G$8=$E$8,$F$8,IF(R356&lt;($F$8-$E$8)/($G$8-$E$8),$E$8+SQRT(R356*($G$8-$E$8)*($F$8-$E$8)),$G$8-SQRT((1-R356)*($G$8-$E$8)*($G$8-$F$8))))</f>
        <v>1.00558095341401</v>
      </c>
      <c r="E356" s="51" t="n">
        <f aca="false">1+IF($G$9=$E$9,$F$9,IF(S356&lt;($F$9-$E$9)/($G$9-$E$9),$E$9+SQRT(S356*($G$9-$E$9)*($F$9-$E$9)),$G$9-SQRT((1-S356)*($G$9-$E$9)*($G$9-$F$9))))</f>
        <v>0.991950706773396</v>
      </c>
      <c r="F356" s="51" t="n">
        <f aca="false">1+IF($G$10=$E$10,$F$10,IF(T356&lt;($F$10-$E$10)/($G$10-$E$10),$E$10+SQRT(T356*($G$10-$E$10)*($F$10-$E$10)),$G$10-SQRT((1-T356)*($G$10-$E$10)*($G$10-$F$10))))</f>
        <v>1.040717092048</v>
      </c>
      <c r="G356" s="52" t="n">
        <f aca="false">IF($G$11=$E$11,$F$11,IF(U356&lt;($F$11-$E$11)/($G$11-$E$11),$E$11+SQRT(U356*($G$11-$E$11)*($F$11-$E$11)),$G$11-SQRT((1-U356)*($G$11-$E$11)*($G$11-$F$11))))</f>
        <v>0.100150947599022</v>
      </c>
      <c r="H356" s="53" t="n">
        <f aca="false">(('Business Case'!B11*$C356*'Business Case'!B12*$B356)-'Business Case'!B11*$C356*'Business Case'!B13*$D356-'Business Case'!B14*$E356)-MAX(0,(('Business Case'!B11*$C356*'Business Case'!B12*$B356)-'Business Case'!B11*$C356*'Business Case'!B13*$D356-'Business Case'!B14*$E356))*'Business Case'!$B$7-'Business Case'!$B$8*('Business Case'!B11*$C356*'Business Case'!B12*$B356)-'Business Case'!B15*$F356</f>
        <v>-2081434184.09601</v>
      </c>
      <c r="I356" s="53" t="n">
        <f aca="false">(('Business Case'!C11*$C356*'Business Case'!C12*$B356)-'Business Case'!C11*$C356*'Business Case'!C13*$D356-'Business Case'!C14*$E356)-MAX(0,(('Business Case'!C11*$C356*'Business Case'!C12*$B356)-'Business Case'!C11*$C356*'Business Case'!C13*$D356-'Business Case'!C14*$E356))*'Business Case'!$B$7-'Business Case'!$B$8*(('Business Case'!C11*$C356*'Business Case'!C12*$B356)-('Business Case'!B11*$C356*'Business Case'!B12*$B356))-'Business Case'!C15*$F356</f>
        <v>-65845759.2064211</v>
      </c>
      <c r="J356" s="53" t="n">
        <f aca="false">(('Business Case'!D11*$C356*'Business Case'!D12*$B356)-'Business Case'!D11*$C356*'Business Case'!D13*$D356-'Business Case'!D14*$E356)-MAX(0,(('Business Case'!D11*$C356*'Business Case'!D12*$B356)-'Business Case'!D11*$C356*'Business Case'!D13*$D356-'Business Case'!D14*$E356))*'Business Case'!$B$7-'Business Case'!$B$8*(('Business Case'!D11*$C356*'Business Case'!D12*$B356)-('Business Case'!C11*$C356*'Business Case'!C12*$B356))-'Business Case'!D15*$F356</f>
        <v>156456114.648816</v>
      </c>
      <c r="K356" s="53" t="n">
        <f aca="false">(('Business Case'!E11*$C356*'Business Case'!E12*$B356)-'Business Case'!E11*$C356*'Business Case'!E13*$D356-'Business Case'!E14*$E356)-MAX(0,(('Business Case'!E11*$C356*'Business Case'!E12*$B356)-'Business Case'!E11*$C356*'Business Case'!E13*$D356-'Business Case'!E14*$E356))*'Business Case'!$B$7-'Business Case'!$B$8*(('Business Case'!E11*$C356*'Business Case'!E12*$B356)-('Business Case'!D11*$C356*'Business Case'!D12*$B356))-'Business Case'!E15*$F356</f>
        <v>430793843.106452</v>
      </c>
      <c r="L356" s="53" t="n">
        <f aca="false">(('Business Case'!F11*$C356*'Business Case'!F12*$B356)-'Business Case'!F11*$C356*'Business Case'!F13*$D356-'Business Case'!F14*$E356)-MAX(0,(('Business Case'!F11*$C356*'Business Case'!F12*$B356)-'Business Case'!F11*$C356*'Business Case'!F13*$D356-'Business Case'!F14*$E356))*'Business Case'!$B$7-'Business Case'!$B$8*(('Business Case'!F11*$C356*'Business Case'!F12*$B356)-('Business Case'!E11*$C356*'Business Case'!E12*$B356))-'Business Case'!F15*$F356</f>
        <v>533574823.293985</v>
      </c>
      <c r="M356" s="53" t="n">
        <f aca="false">(('Business Case'!G11*$C356*'Business Case'!G12*$B356)-'Business Case'!G11*$C356*'Business Case'!G13*$D356-'Business Case'!G14*$E356)-MAX(0,(('Business Case'!G11*$C356*'Business Case'!G12*$B356)-'Business Case'!G11*$C356*'Business Case'!G13*$D356-'Business Case'!G14*$E356))*'Business Case'!$B$7-'Business Case'!$B$8*(('Business Case'!G11*$C356*'Business Case'!G12*$B356)-('Business Case'!F11*$C356*'Business Case'!F12*$B356))-'Business Case'!G15*$F356+'Business Case'!$B$8*('Business Case'!G11*$C356*'Business Case'!G12*$B356)</f>
        <v>691316778.924146</v>
      </c>
      <c r="N356" s="53" t="n">
        <f aca="false">IF(COUNT('Business Case'!B11:G11)=0,"",H356+NPV(G356,I356:M356))</f>
        <v>-895292333.929714</v>
      </c>
      <c r="P356" s="54" t="n">
        <f aca="true">RAND()</f>
        <v>0.0202007408661401</v>
      </c>
      <c r="Q356" s="54" t="n">
        <f aca="true">RAND()</f>
        <v>0.112101520423453</v>
      </c>
      <c r="R356" s="54" t="n">
        <f aca="true">RAND()</f>
        <v>0.467481298580036</v>
      </c>
      <c r="S356" s="54" t="n">
        <f aca="true">RAND()</f>
        <v>0.234648239838325</v>
      </c>
      <c r="T356" s="54" t="n">
        <f aca="true">RAND()</f>
        <v>0.492579104687116</v>
      </c>
      <c r="U356" s="54" t="n">
        <f aca="true">RAND()</f>
        <v>0.343358531305387</v>
      </c>
    </row>
    <row r="357" customFormat="false" ht="15" hidden="false" customHeight="false" outlineLevel="0" collapsed="false">
      <c r="A357" s="50" t="n">
        <v>277</v>
      </c>
      <c r="B357" s="51" t="n">
        <f aca="false">1+IF($G$6=$E$6,$F$6,IF(P357&lt;($F$6-$E$6)/($G$6-$E$6),$E$6+SQRT(P357*($G$6-$E$6)*($F$6-$E$6)),$G$6-SQRT((1-P357)*($G$6-$E$6)*($G$6-$F$6))))</f>
        <v>0.958877169876648</v>
      </c>
      <c r="C357" s="51" t="n">
        <f aca="false">1+IF($G$7=$E$7,$F$7,IF(Q357&lt;($F$7-$E$7)/($G$7-$E$7),$E$7+SQRT(Q357*($G$7-$E$7)*($F$7-$E$7)),$G$7-SQRT((1-Q357)*($G$7-$E$7)*($G$7-$F$7))))</f>
        <v>1.08869560983618</v>
      </c>
      <c r="D357" s="51" t="n">
        <f aca="false">1+IF($G$8=$E$8,$F$8,IF(R357&lt;($F$8-$E$8)/($G$8-$E$8),$E$8+SQRT(R357*($G$8-$E$8)*($F$8-$E$8)),$G$8-SQRT((1-R357)*($G$8-$E$8)*($G$8-$F$8))))</f>
        <v>1.00886103047284</v>
      </c>
      <c r="E357" s="51" t="n">
        <f aca="false">1+IF($G$9=$E$9,$F$9,IF(S357&lt;($F$9-$E$9)/($G$9-$E$9),$E$9+SQRT(S357*($G$9-$E$9)*($F$9-$E$9)),$G$9-SQRT((1-S357)*($G$9-$E$9)*($G$9-$F$9))))</f>
        <v>0.984113783944982</v>
      </c>
      <c r="F357" s="51" t="n">
        <f aca="false">1+IF($G$10=$E$10,$F$10,IF(T357&lt;($F$10-$E$10)/($G$10-$E$10),$E$10+SQRT(T357*($G$10-$E$10)*($F$10-$E$10)),$G$10-SQRT((1-T357)*($G$10-$E$10)*($G$10-$F$10))))</f>
        <v>1.13728358453743</v>
      </c>
      <c r="G357" s="52" t="n">
        <f aca="false">IF($G$11=$E$11,$F$11,IF(U357&lt;($F$11-$E$11)/($G$11-$E$11),$E$11+SQRT(U357*($G$11-$E$11)*($F$11-$E$11)),$G$11-SQRT((1-U357)*($G$11-$E$11)*($G$11-$F$11))))</f>
        <v>0.101621888745015</v>
      </c>
      <c r="H357" s="53" t="n">
        <f aca="false">(('Business Case'!B11*$C357*'Business Case'!B12*$B357)-'Business Case'!B11*$C357*'Business Case'!B13*$D357-'Business Case'!B14*$E357)-MAX(0,(('Business Case'!B11*$C357*'Business Case'!B12*$B357)-'Business Case'!B11*$C357*'Business Case'!B13*$D357-'Business Case'!B14*$E357))*'Business Case'!$B$7-'Business Case'!$B$8*('Business Case'!B11*$C357*'Business Case'!B12*$B357)-'Business Case'!B15*$F357</f>
        <v>-2274567169.07485</v>
      </c>
      <c r="I357" s="53" t="n">
        <f aca="false">(('Business Case'!C11*$C357*'Business Case'!C12*$B357)-'Business Case'!C11*$C357*'Business Case'!C13*$D357-'Business Case'!C14*$E357)-MAX(0,(('Business Case'!C11*$C357*'Business Case'!C12*$B357)-'Business Case'!C11*$C357*'Business Case'!C13*$D357-'Business Case'!C14*$E357))*'Business Case'!$B$7-'Business Case'!$B$8*(('Business Case'!C11*$C357*'Business Case'!C12*$B357)-('Business Case'!B11*$C357*'Business Case'!B12*$B357))-'Business Case'!C15*$F357</f>
        <v>-14999923.6217031</v>
      </c>
      <c r="J357" s="53" t="n">
        <f aca="false">(('Business Case'!D11*$C357*'Business Case'!D12*$B357)-'Business Case'!D11*$C357*'Business Case'!D13*$D357-'Business Case'!D14*$E357)-MAX(0,(('Business Case'!D11*$C357*'Business Case'!D12*$B357)-'Business Case'!D11*$C357*'Business Case'!D13*$D357-'Business Case'!D14*$E357))*'Business Case'!$B$7-'Business Case'!$B$8*(('Business Case'!D11*$C357*'Business Case'!D12*$B357)-('Business Case'!C11*$C357*'Business Case'!C12*$B357))-'Business Case'!D15*$F357</f>
        <v>277786582.220154</v>
      </c>
      <c r="K357" s="53" t="n">
        <f aca="false">(('Business Case'!E11*$C357*'Business Case'!E12*$B357)-'Business Case'!E11*$C357*'Business Case'!E13*$D357-'Business Case'!E14*$E357)-MAX(0,(('Business Case'!E11*$C357*'Business Case'!E12*$B357)-'Business Case'!E11*$C357*'Business Case'!E13*$D357-'Business Case'!E14*$E357))*'Business Case'!$B$7-'Business Case'!$B$8*(('Business Case'!E11*$C357*'Business Case'!E12*$B357)-('Business Case'!D11*$C357*'Business Case'!D12*$B357))-'Business Case'!E15*$F357</f>
        <v>627437267.288882</v>
      </c>
      <c r="L357" s="53" t="n">
        <f aca="false">(('Business Case'!F11*$C357*'Business Case'!F12*$B357)-'Business Case'!F11*$C357*'Business Case'!F13*$D357-'Business Case'!F14*$E357)-MAX(0,(('Business Case'!F11*$C357*'Business Case'!F12*$B357)-'Business Case'!F11*$C357*'Business Case'!F13*$D357-'Business Case'!F14*$E357))*'Business Case'!$B$7-'Business Case'!$B$8*(('Business Case'!F11*$C357*'Business Case'!F12*$B357)-('Business Case'!E11*$C357*'Business Case'!E12*$B357))-'Business Case'!F15*$F357</f>
        <v>761110829.858062</v>
      </c>
      <c r="M357" s="53" t="n">
        <f aca="false">(('Business Case'!G11*$C357*'Business Case'!G12*$B357)-'Business Case'!G11*$C357*'Business Case'!G13*$D357-'Business Case'!G14*$E357)-MAX(0,(('Business Case'!G11*$C357*'Business Case'!G12*$B357)-'Business Case'!G11*$C357*'Business Case'!G13*$D357-'Business Case'!G14*$E357))*'Business Case'!$B$7-'Business Case'!$B$8*(('Business Case'!G11*$C357*'Business Case'!G12*$B357)-('Business Case'!F11*$C357*'Business Case'!F12*$B357))-'Business Case'!G15*$F357+'Business Case'!$B$8*('Business Case'!G11*$C357*'Business Case'!G12*$B357)</f>
        <v>959540163.27848</v>
      </c>
      <c r="N357" s="53" t="n">
        <f aca="false">IF(COUNT('Business Case'!B11:G11)=0,"",H357+NPV(G357,I357:M357))</f>
        <v>-481739129.642629</v>
      </c>
      <c r="P357" s="54" t="n">
        <f aca="true">RAND()</f>
        <v>0.157441076835185</v>
      </c>
      <c r="Q357" s="54" t="n">
        <f aca="true">RAND()</f>
        <v>0.928414699936035</v>
      </c>
      <c r="R357" s="54" t="n">
        <f aca="true">RAND()</f>
        <v>0.513389136020594</v>
      </c>
      <c r="S357" s="54" t="n">
        <f aca="true">RAND()</f>
        <v>0.155166700672653</v>
      </c>
      <c r="T357" s="54" t="n">
        <f aca="true">RAND()</f>
        <v>0.921333024630518</v>
      </c>
      <c r="U357" s="54" t="n">
        <f aca="true">RAND()</f>
        <v>0.437075044499016</v>
      </c>
    </row>
    <row r="358" customFormat="false" ht="15" hidden="false" customHeight="false" outlineLevel="0" collapsed="false">
      <c r="A358" s="50" t="n">
        <v>278</v>
      </c>
      <c r="B358" s="51" t="n">
        <f aca="false">1+IF($G$6=$E$6,$F$6,IF(P358&lt;($F$6-$E$6)/($G$6-$E$6),$E$6+SQRT(P358*($G$6-$E$6)*($F$6-$E$6)),$G$6-SQRT((1-P358)*($G$6-$E$6)*($G$6-$F$6))))</f>
        <v>0.934149049536552</v>
      </c>
      <c r="C358" s="51" t="n">
        <f aca="false">1+IF($G$7=$E$7,$F$7,IF(Q358&lt;($F$7-$E$7)/($G$7-$E$7),$E$7+SQRT(Q358*($G$7-$E$7)*($F$7-$E$7)),$G$7-SQRT((1-Q358)*($G$7-$E$7)*($G$7-$F$7))))</f>
        <v>0.925018300131905</v>
      </c>
      <c r="D358" s="51" t="n">
        <f aca="false">1+IF($G$8=$E$8,$F$8,IF(R358&lt;($F$8-$E$8)/($G$8-$E$8),$E$8+SQRT(R358*($G$8-$E$8)*($F$8-$E$8)),$G$8-SQRT((1-R358)*($G$8-$E$8)*($G$8-$F$8))))</f>
        <v>1.00182017577682</v>
      </c>
      <c r="E358" s="51" t="n">
        <f aca="false">1+IF($G$9=$E$9,$F$9,IF(S358&lt;($F$9-$E$9)/($G$9-$E$9),$E$9+SQRT(S358*($G$9-$E$9)*($F$9-$E$9)),$G$9-SQRT((1-S358)*($G$9-$E$9)*($G$9-$F$9))))</f>
        <v>1.0096176670763</v>
      </c>
      <c r="F358" s="51" t="n">
        <f aca="false">1+IF($G$10=$E$10,$F$10,IF(T358&lt;($F$10-$E$10)/($G$10-$E$10),$E$10+SQRT(T358*($G$10-$E$10)*($F$10-$E$10)),$G$10-SQRT((1-T358)*($G$10-$E$10)*($G$10-$F$10))))</f>
        <v>1.05617722416457</v>
      </c>
      <c r="G358" s="52" t="n">
        <f aca="false">IF($G$11=$E$11,$F$11,IF(U358&lt;($F$11-$E$11)/($G$11-$E$11),$E$11+SQRT(U358*($G$11-$E$11)*($F$11-$E$11)),$G$11-SQRT((1-U358)*($G$11-$E$11)*($G$11-$F$11))))</f>
        <v>0.110880385252321</v>
      </c>
      <c r="H358" s="53" t="n">
        <f aca="false">(('Business Case'!B11*$C358*'Business Case'!B12*$B358)-'Business Case'!B11*$C358*'Business Case'!B13*$D358-'Business Case'!B14*$E358)-MAX(0,(('Business Case'!B11*$C358*'Business Case'!B12*$B358)-'Business Case'!B11*$C358*'Business Case'!B13*$D358-'Business Case'!B14*$E358))*'Business Case'!$B$7-'Business Case'!$B$8*('Business Case'!B11*$C358*'Business Case'!B12*$B358)-'Business Case'!B15*$F358</f>
        <v>-2112354448.32913</v>
      </c>
      <c r="I358" s="53" t="n">
        <f aca="false">(('Business Case'!C11*$C358*'Business Case'!C12*$B358)-'Business Case'!C11*$C358*'Business Case'!C13*$D358-'Business Case'!C14*$E358)-MAX(0,(('Business Case'!C11*$C358*'Business Case'!C12*$B358)-'Business Case'!C11*$C358*'Business Case'!C13*$D358-'Business Case'!C14*$E358))*'Business Case'!$B$7-'Business Case'!$B$8*(('Business Case'!C11*$C358*'Business Case'!C12*$B358)-('Business Case'!B11*$C358*'Business Case'!B12*$B358))-'Business Case'!C15*$F358</f>
        <v>-60613659.308891</v>
      </c>
      <c r="J358" s="53" t="n">
        <f aca="false">(('Business Case'!D11*$C358*'Business Case'!D12*$B358)-'Business Case'!D11*$C358*'Business Case'!D13*$D358-'Business Case'!D14*$E358)-MAX(0,(('Business Case'!D11*$C358*'Business Case'!D12*$B358)-'Business Case'!D11*$C358*'Business Case'!D13*$D358-'Business Case'!D14*$E358))*'Business Case'!$B$7-'Business Case'!$B$8*(('Business Case'!D11*$C358*'Business Case'!D12*$B358)-('Business Case'!C11*$C358*'Business Case'!C12*$B358))-'Business Case'!D15*$F358</f>
        <v>172753237.487736</v>
      </c>
      <c r="K358" s="53" t="n">
        <f aca="false">(('Business Case'!E11*$C358*'Business Case'!E12*$B358)-'Business Case'!E11*$C358*'Business Case'!E13*$D358-'Business Case'!E14*$E358)-MAX(0,(('Business Case'!E11*$C358*'Business Case'!E12*$B358)-'Business Case'!E11*$C358*'Business Case'!E13*$D358-'Business Case'!E14*$E358))*'Business Case'!$B$7-'Business Case'!$B$8*(('Business Case'!E11*$C358*'Business Case'!E12*$B358)-('Business Case'!D11*$C358*'Business Case'!D12*$B358))-'Business Case'!E15*$F358</f>
        <v>458928995.492591</v>
      </c>
      <c r="L358" s="53" t="n">
        <f aca="false">(('Business Case'!F11*$C358*'Business Case'!F12*$B358)-'Business Case'!F11*$C358*'Business Case'!F13*$D358-'Business Case'!F14*$E358)-MAX(0,(('Business Case'!F11*$C358*'Business Case'!F12*$B358)-'Business Case'!F11*$C358*'Business Case'!F13*$D358-'Business Case'!F14*$E358))*'Business Case'!$B$7-'Business Case'!$B$8*(('Business Case'!F11*$C358*'Business Case'!F12*$B358)-('Business Case'!E11*$C358*'Business Case'!E12*$B358))-'Business Case'!F15*$F358</f>
        <v>566581428.712007</v>
      </c>
      <c r="M358" s="53" t="n">
        <f aca="false">(('Business Case'!G11*$C358*'Business Case'!G12*$B358)-'Business Case'!G11*$C358*'Business Case'!G13*$D358-'Business Case'!G14*$E358)-MAX(0,(('Business Case'!G11*$C358*'Business Case'!G12*$B358)-'Business Case'!G11*$C358*'Business Case'!G13*$D358-'Business Case'!G14*$E358))*'Business Case'!$B$7-'Business Case'!$B$8*(('Business Case'!G11*$C358*'Business Case'!G12*$B358)-('Business Case'!F11*$C358*'Business Case'!F12*$B358))-'Business Case'!G15*$F358+'Business Case'!$B$8*('Business Case'!G11*$C358*'Business Case'!G12*$B358)</f>
        <v>730830500.624983</v>
      </c>
      <c r="N358" s="53" t="n">
        <f aca="false">IF(COUNT('Business Case'!B11:G11)=0,"",H358+NPV(G358,I358:M358))</f>
        <v>-888122630.013268</v>
      </c>
      <c r="P358" s="54" t="n">
        <f aca="true">RAND()</f>
        <v>0.0208537086237292</v>
      </c>
      <c r="Q358" s="54" t="n">
        <f aca="true">RAND()</f>
        <v>0.223279648112444</v>
      </c>
      <c r="R358" s="54" t="n">
        <f aca="true">RAND()</f>
        <v>0.412299527349269</v>
      </c>
      <c r="S358" s="54" t="n">
        <f aca="true">RAND()</f>
        <v>0.455402259684589</v>
      </c>
      <c r="T358" s="54" t="n">
        <f aca="true">RAND()</f>
        <v>0.586300183019816</v>
      </c>
      <c r="U358" s="54" t="n">
        <f aca="true">RAND()</f>
        <v>0.861387711423179</v>
      </c>
    </row>
    <row r="359" customFormat="false" ht="15" hidden="false" customHeight="false" outlineLevel="0" collapsed="false">
      <c r="A359" s="50" t="n">
        <v>279</v>
      </c>
      <c r="B359" s="51" t="n">
        <f aca="false">1+IF($G$6=$E$6,$F$6,IF(P359&lt;($F$6-$E$6)/($G$6-$E$6),$E$6+SQRT(P359*($G$6-$E$6)*($F$6-$E$6)),$G$6-SQRT((1-P359)*($G$6-$E$6)*($G$6-$F$6))))</f>
        <v>1.01700346593186</v>
      </c>
      <c r="C359" s="51" t="n">
        <f aca="false">1+IF($G$7=$E$7,$F$7,IF(Q359&lt;($F$7-$E$7)/($G$7-$E$7),$E$7+SQRT(Q359*($G$7-$E$7)*($F$7-$E$7)),$G$7-SQRT((1-Q359)*($G$7-$E$7)*($G$7-$F$7))))</f>
        <v>0.878849682976243</v>
      </c>
      <c r="D359" s="51" t="n">
        <f aca="false">1+IF($G$8=$E$8,$F$8,IF(R359&lt;($F$8-$E$8)/($G$8-$E$8),$E$8+SQRT(R359*($G$8-$E$8)*($F$8-$E$8)),$G$8-SQRT((1-R359)*($G$8-$E$8)*($G$8-$F$8))))</f>
        <v>1.00729478621917</v>
      </c>
      <c r="E359" s="51" t="n">
        <f aca="false">1+IF($G$9=$E$9,$F$9,IF(S359&lt;($F$9-$E$9)/($G$9-$E$9),$E$9+SQRT(S359*($G$9-$E$9)*($F$9-$E$9)),$G$9-SQRT((1-S359)*($G$9-$E$9)*($G$9-$F$9))))</f>
        <v>1.006053748357</v>
      </c>
      <c r="F359" s="51" t="n">
        <f aca="false">1+IF($G$10=$E$10,$F$10,IF(T359&lt;($F$10-$E$10)/($G$10-$E$10),$E$10+SQRT(T359*($G$10-$E$10)*($F$10-$E$10)),$G$10-SQRT((1-T359)*($G$10-$E$10)*($G$10-$F$10))))</f>
        <v>0.986731284574592</v>
      </c>
      <c r="G359" s="52" t="n">
        <f aca="false">IF($G$11=$E$11,$F$11,IF(U359&lt;($F$11-$E$11)/($G$11-$E$11),$E$11+SQRT(U359*($G$11-$E$11)*($F$11-$E$11)),$G$11-SQRT((1-U359)*($G$11-$E$11)*($G$11-$F$11))))</f>
        <v>0.0994577680193751</v>
      </c>
      <c r="H359" s="53" t="n">
        <f aca="false">(('Business Case'!B11*$C359*'Business Case'!B12*$B359)-'Business Case'!B11*$C359*'Business Case'!B13*$D359-'Business Case'!B14*$E359)-MAX(0,(('Business Case'!B11*$C359*'Business Case'!B12*$B359)-'Business Case'!B11*$C359*'Business Case'!B13*$D359-'Business Case'!B14*$E359))*'Business Case'!$B$7-'Business Case'!$B$8*('Business Case'!B11*$C359*'Business Case'!B12*$B359)-'Business Case'!B15*$F359</f>
        <v>-1973462569.14918</v>
      </c>
      <c r="I359" s="53" t="n">
        <f aca="false">(('Business Case'!C11*$C359*'Business Case'!C12*$B359)-'Business Case'!C11*$C359*'Business Case'!C13*$D359-'Business Case'!C14*$E359)-MAX(0,(('Business Case'!C11*$C359*'Business Case'!C12*$B359)-'Business Case'!C11*$C359*'Business Case'!C13*$D359-'Business Case'!C14*$E359))*'Business Case'!$B$7-'Business Case'!$B$8*(('Business Case'!C11*$C359*'Business Case'!C12*$B359)-('Business Case'!B11*$C359*'Business Case'!B12*$B359))-'Business Case'!C15*$F359</f>
        <v>-9169906.64331681</v>
      </c>
      <c r="J359" s="53" t="n">
        <f aca="false">(('Business Case'!D11*$C359*'Business Case'!D12*$B359)-'Business Case'!D11*$C359*'Business Case'!D13*$D359-'Business Case'!D14*$E359)-MAX(0,(('Business Case'!D11*$C359*'Business Case'!D12*$B359)-'Business Case'!D11*$C359*'Business Case'!D13*$D359-'Business Case'!D14*$E359))*'Business Case'!$B$7-'Business Case'!$B$8*(('Business Case'!D11*$C359*'Business Case'!D12*$B359)-('Business Case'!C11*$C359*'Business Case'!C12*$B359))-'Business Case'!D15*$F359</f>
        <v>269728396.307649</v>
      </c>
      <c r="K359" s="53" t="n">
        <f aca="false">(('Business Case'!E11*$C359*'Business Case'!E12*$B359)-'Business Case'!E11*$C359*'Business Case'!E13*$D359-'Business Case'!E14*$E359)-MAX(0,(('Business Case'!E11*$C359*'Business Case'!E12*$B359)-'Business Case'!E11*$C359*'Business Case'!E13*$D359-'Business Case'!E14*$E359))*'Business Case'!$B$7-'Business Case'!$B$8*(('Business Case'!E11*$C359*'Business Case'!E12*$B359)-('Business Case'!D11*$C359*'Business Case'!D12*$B359))-'Business Case'!E15*$F359</f>
        <v>597963263.487344</v>
      </c>
      <c r="L359" s="53" t="n">
        <f aca="false">(('Business Case'!F11*$C359*'Business Case'!F12*$B359)-'Business Case'!F11*$C359*'Business Case'!F13*$D359-'Business Case'!F14*$E359)-MAX(0,(('Business Case'!F11*$C359*'Business Case'!F12*$B359)-'Business Case'!F11*$C359*'Business Case'!F13*$D359-'Business Case'!F14*$E359))*'Business Case'!$B$7-'Business Case'!$B$8*(('Business Case'!F11*$C359*'Business Case'!F12*$B359)-('Business Case'!E11*$C359*'Business Case'!E12*$B359))-'Business Case'!F15*$F359</f>
        <v>721818856.551305</v>
      </c>
      <c r="M359" s="53" t="n">
        <f aca="false">(('Business Case'!G11*$C359*'Business Case'!G12*$B359)-'Business Case'!G11*$C359*'Business Case'!G13*$D359-'Business Case'!G14*$E359)-MAX(0,(('Business Case'!G11*$C359*'Business Case'!G12*$B359)-'Business Case'!G11*$C359*'Business Case'!G13*$D359-'Business Case'!G14*$E359))*'Business Case'!$B$7-'Business Case'!$B$8*(('Business Case'!G11*$C359*'Business Case'!G12*$B359)-('Business Case'!F11*$C359*'Business Case'!F12*$B359))-'Business Case'!G15*$F359+'Business Case'!$B$8*('Business Case'!G11*$C359*'Business Case'!G12*$B359)</f>
        <v>891711062.992986</v>
      </c>
      <c r="N359" s="53" t="n">
        <f aca="false">IF(COUNT('Business Case'!B11:G11)=0,"",H359+NPV(G359,I359:M359))</f>
        <v>-259708945.398003</v>
      </c>
      <c r="P359" s="54" t="n">
        <f aca="true">RAND()</f>
        <v>0.889824879344335</v>
      </c>
      <c r="Q359" s="54" t="n">
        <f aca="true">RAND()</f>
        <v>0.088818178649343</v>
      </c>
      <c r="R359" s="54" t="n">
        <f aca="true">RAND()</f>
        <v>0.491726143181202</v>
      </c>
      <c r="S359" s="54" t="n">
        <f aca="true">RAND()</f>
        <v>0.411606786815278</v>
      </c>
      <c r="T359" s="54" t="n">
        <f aca="true">RAND()</f>
        <v>0.10793498131997</v>
      </c>
      <c r="U359" s="54" t="n">
        <f aca="true">RAND()</f>
        <v>0.298164586361051</v>
      </c>
    </row>
    <row r="360" customFormat="false" ht="15" hidden="false" customHeight="false" outlineLevel="0" collapsed="false">
      <c r="A360" s="50" t="n">
        <v>280</v>
      </c>
      <c r="B360" s="51" t="n">
        <f aca="false">1+IF($G$6=$E$6,$F$6,IF(P360&lt;($F$6-$E$6)/($G$6-$E$6),$E$6+SQRT(P360*($G$6-$E$6)*($F$6-$E$6)),$G$6-SQRT((1-P360)*($G$6-$E$6)*($G$6-$F$6))))</f>
        <v>0.996358922485289</v>
      </c>
      <c r="C360" s="51" t="n">
        <f aca="false">1+IF($G$7=$E$7,$F$7,IF(Q360&lt;($F$7-$E$7)/($G$7-$E$7),$E$7+SQRT(Q360*($G$7-$E$7)*($F$7-$E$7)),$G$7-SQRT((1-Q360)*($G$7-$E$7)*($G$7-$F$7))))</f>
        <v>0.840662018161802</v>
      </c>
      <c r="D360" s="51" t="n">
        <f aca="false">1+IF($G$8=$E$8,$F$8,IF(R360&lt;($F$8-$E$8)/($G$8-$E$8),$E$8+SQRT(R360*($G$8-$E$8)*($F$8-$E$8)),$G$8-SQRT((1-R360)*($G$8-$E$8)*($G$8-$F$8))))</f>
        <v>0.9744801137189</v>
      </c>
      <c r="E360" s="51" t="n">
        <f aca="false">1+IF($G$9=$E$9,$F$9,IF(S360&lt;($F$9-$E$9)/($G$9-$E$9),$E$9+SQRT(S360*($G$9-$E$9)*($F$9-$E$9)),$G$9-SQRT((1-S360)*($G$9-$E$9)*($G$9-$F$9))))</f>
        <v>1.00290956862096</v>
      </c>
      <c r="F360" s="51" t="n">
        <f aca="false">1+IF($G$10=$E$10,$F$10,IF(T360&lt;($F$10-$E$10)/($G$10-$E$10),$E$10+SQRT(T360*($G$10-$E$10)*($F$10-$E$10)),$G$10-SQRT((1-T360)*($G$10-$E$10)*($G$10-$F$10))))</f>
        <v>1.16312673389974</v>
      </c>
      <c r="G360" s="52" t="n">
        <f aca="false">IF($G$11=$E$11,$F$11,IF(U360&lt;($F$11-$E$11)/($G$11-$E$11),$E$11+SQRT(U360*($G$11-$E$11)*($F$11-$E$11)),$G$11-SQRT((1-U360)*($G$11-$E$11)*($G$11-$F$11))))</f>
        <v>0.103247398512759</v>
      </c>
      <c r="H360" s="53" t="n">
        <f aca="false">(('Business Case'!B11*$C360*'Business Case'!B12*$B360)-'Business Case'!B11*$C360*'Business Case'!B13*$D360-'Business Case'!B14*$E360)-MAX(0,(('Business Case'!B11*$C360*'Business Case'!B12*$B360)-'Business Case'!B11*$C360*'Business Case'!B13*$D360-'Business Case'!B14*$E360))*'Business Case'!$B$7-'Business Case'!$B$8*('Business Case'!B11*$C360*'Business Case'!B12*$B360)-'Business Case'!B15*$F360</f>
        <v>-2326253467.79948</v>
      </c>
      <c r="I360" s="53" t="n">
        <f aca="false">(('Business Case'!C11*$C360*'Business Case'!C12*$B360)-'Business Case'!C11*$C360*'Business Case'!C13*$D360-'Business Case'!C14*$E360)-MAX(0,(('Business Case'!C11*$C360*'Business Case'!C12*$B360)-'Business Case'!C11*$C360*'Business Case'!C13*$D360-'Business Case'!C14*$E360))*'Business Case'!$B$7-'Business Case'!$B$8*(('Business Case'!C11*$C360*'Business Case'!C12*$B360)-('Business Case'!B11*$C360*'Business Case'!B12*$B360))-'Business Case'!C15*$F360</f>
        <v>-35661218.7894436</v>
      </c>
      <c r="J360" s="53" t="n">
        <f aca="false">(('Business Case'!D11*$C360*'Business Case'!D12*$B360)-'Business Case'!D11*$C360*'Business Case'!D13*$D360-'Business Case'!D14*$E360)-MAX(0,(('Business Case'!D11*$C360*'Business Case'!D12*$B360)-'Business Case'!D11*$C360*'Business Case'!D13*$D360-'Business Case'!D14*$E360))*'Business Case'!$B$7-'Business Case'!$B$8*(('Business Case'!D11*$C360*'Business Case'!D12*$B360)-('Business Case'!C11*$C360*'Business Case'!C12*$B360))-'Business Case'!D15*$F360</f>
        <v>231025217.627253</v>
      </c>
      <c r="K360" s="53" t="n">
        <f aca="false">(('Business Case'!E11*$C360*'Business Case'!E12*$B360)-'Business Case'!E11*$C360*'Business Case'!E13*$D360-'Business Case'!E14*$E360)-MAX(0,(('Business Case'!E11*$C360*'Business Case'!E12*$B360)-'Business Case'!E11*$C360*'Business Case'!E13*$D360-'Business Case'!E14*$E360))*'Business Case'!$B$7-'Business Case'!$B$8*(('Business Case'!E11*$C360*'Business Case'!E12*$B360)-('Business Case'!D11*$C360*'Business Case'!D12*$B360))-'Business Case'!E15*$F360</f>
        <v>555867990.738937</v>
      </c>
      <c r="L360" s="53" t="n">
        <f aca="false">(('Business Case'!F11*$C360*'Business Case'!F12*$B360)-'Business Case'!F11*$C360*'Business Case'!F13*$D360-'Business Case'!F14*$E360)-MAX(0,(('Business Case'!F11*$C360*'Business Case'!F12*$B360)-'Business Case'!F11*$C360*'Business Case'!F13*$D360-'Business Case'!F14*$E360))*'Business Case'!$B$7-'Business Case'!$B$8*(('Business Case'!F11*$C360*'Business Case'!F12*$B360)-('Business Case'!E11*$C360*'Business Case'!E12*$B360))-'Business Case'!F15*$F360</f>
        <v>673710963.650013</v>
      </c>
      <c r="M360" s="53" t="n">
        <f aca="false">(('Business Case'!G11*$C360*'Business Case'!G12*$B360)-'Business Case'!G11*$C360*'Business Case'!G13*$D360-'Business Case'!G14*$E360)-MAX(0,(('Business Case'!G11*$C360*'Business Case'!G12*$B360)-'Business Case'!G11*$C360*'Business Case'!G13*$D360-'Business Case'!G14*$E360))*'Business Case'!$B$7-'Business Case'!$B$8*(('Business Case'!G11*$C360*'Business Case'!G12*$B360)-('Business Case'!F11*$C360*'Business Case'!F12*$B360))-'Business Case'!G15*$F360+'Business Case'!$B$8*('Business Case'!G11*$C360*'Business Case'!G12*$B360)</f>
        <v>832922181.23032</v>
      </c>
      <c r="N360" s="53" t="n">
        <f aca="false">IF(COUNT('Business Case'!B11:G11)=0,"",H360+NPV(G360,I360:M360))</f>
        <v>-790442984.305874</v>
      </c>
      <c r="P360" s="54" t="n">
        <f aca="true">RAND()</f>
        <v>0.60736302532442</v>
      </c>
      <c r="Q360" s="54" t="n">
        <f aca="true">RAND()</f>
        <v>0.0236199960141531</v>
      </c>
      <c r="R360" s="54" t="n">
        <f aca="true">RAND()</f>
        <v>0.092196302721578</v>
      </c>
      <c r="S360" s="54" t="n">
        <f aca="true">RAND()</f>
        <v>0.371563208975441</v>
      </c>
      <c r="T360" s="54" t="n">
        <f aca="true">RAND()</f>
        <v>0.97280724494199</v>
      </c>
      <c r="U360" s="54" t="n">
        <f aca="true">RAND()</f>
        <v>0.532250572349497</v>
      </c>
    </row>
    <row r="361" customFormat="false" ht="15" hidden="false" customHeight="false" outlineLevel="0" collapsed="false">
      <c r="A361" s="50" t="n">
        <v>281</v>
      </c>
      <c r="B361" s="51" t="n">
        <f aca="false">1+IF($G$6=$E$6,$F$6,IF(P361&lt;($F$6-$E$6)/($G$6-$E$6),$E$6+SQRT(P361*($G$6-$E$6)*($F$6-$E$6)),$G$6-SQRT((1-P361)*($G$6-$E$6)*($G$6-$F$6))))</f>
        <v>1.00049642285578</v>
      </c>
      <c r="C361" s="51" t="n">
        <f aca="false">1+IF($G$7=$E$7,$F$7,IF(Q361&lt;($F$7-$E$7)/($G$7-$E$7),$E$7+SQRT(Q361*($G$7-$E$7)*($F$7-$E$7)),$G$7-SQRT((1-Q361)*($G$7-$E$7)*($G$7-$F$7))))</f>
        <v>0.913896218465574</v>
      </c>
      <c r="D361" s="51" t="n">
        <f aca="false">1+IF($G$8=$E$8,$F$8,IF(R361&lt;($F$8-$E$8)/($G$8-$E$8),$E$8+SQRT(R361*($G$8-$E$8)*($F$8-$E$8)),$G$8-SQRT((1-R361)*($G$8-$E$8)*($G$8-$F$8))))</f>
        <v>1.00403975467997</v>
      </c>
      <c r="E361" s="51" t="n">
        <f aca="false">1+IF($G$9=$E$9,$F$9,IF(S361&lt;($F$9-$E$9)/($G$9-$E$9),$E$9+SQRT(S361*($G$9-$E$9)*($F$9-$E$9)),$G$9-SQRT((1-S361)*($G$9-$E$9)*($G$9-$F$9))))</f>
        <v>1.05171140351143</v>
      </c>
      <c r="F361" s="51" t="n">
        <f aca="false">1+IF($G$10=$E$10,$F$10,IF(T361&lt;($F$10-$E$10)/($G$10-$E$10),$E$10+SQRT(T361*($G$10-$E$10)*($F$10-$E$10)),$G$10-SQRT((1-T361)*($G$10-$E$10)*($G$10-$F$10))))</f>
        <v>1.0633000763852</v>
      </c>
      <c r="G361" s="52" t="n">
        <f aca="false">IF($G$11=$E$11,$F$11,IF(U361&lt;($F$11-$E$11)/($G$11-$E$11),$E$11+SQRT(U361*($G$11-$E$11)*($F$11-$E$11)),$G$11-SQRT((1-U361)*($G$11-$E$11)*($G$11-$F$11))))</f>
        <v>0.0941084431943847</v>
      </c>
      <c r="H361" s="53" t="n">
        <f aca="false">(('Business Case'!B11*$C361*'Business Case'!B12*$B361)-'Business Case'!B11*$C361*'Business Case'!B13*$D361-'Business Case'!B14*$E361)-MAX(0,(('Business Case'!B11*$C361*'Business Case'!B12*$B361)-'Business Case'!B11*$C361*'Business Case'!B13*$D361-'Business Case'!B14*$E361))*'Business Case'!$B$7-'Business Case'!$B$8*('Business Case'!B11*$C361*'Business Case'!B12*$B361)-'Business Case'!B15*$F361</f>
        <v>-2126600152.77039</v>
      </c>
      <c r="I361" s="53" t="n">
        <f aca="false">(('Business Case'!C11*$C361*'Business Case'!C12*$B361)-'Business Case'!C11*$C361*'Business Case'!C13*$D361-'Business Case'!C14*$E361)-MAX(0,(('Business Case'!C11*$C361*'Business Case'!C12*$B361)-'Business Case'!C11*$C361*'Business Case'!C13*$D361-'Business Case'!C14*$E361))*'Business Case'!$B$7-'Business Case'!$B$8*(('Business Case'!C11*$C361*'Business Case'!C12*$B361)-('Business Case'!B11*$C361*'Business Case'!B12*$B361))-'Business Case'!C15*$F361</f>
        <v>-24096586.7727104</v>
      </c>
      <c r="J361" s="53" t="n">
        <f aca="false">(('Business Case'!D11*$C361*'Business Case'!D12*$B361)-'Business Case'!D11*$C361*'Business Case'!D13*$D361-'Business Case'!D14*$E361)-MAX(0,(('Business Case'!D11*$C361*'Business Case'!D12*$B361)-'Business Case'!D11*$C361*'Business Case'!D13*$D361-'Business Case'!D14*$E361))*'Business Case'!$B$7-'Business Case'!$B$8*(('Business Case'!D11*$C361*'Business Case'!D12*$B361)-('Business Case'!C11*$C361*'Business Case'!C12*$B361))-'Business Case'!D15*$F361</f>
        <v>255090094.355519</v>
      </c>
      <c r="K361" s="53" t="n">
        <f aca="false">(('Business Case'!E11*$C361*'Business Case'!E12*$B361)-'Business Case'!E11*$C361*'Business Case'!E13*$D361-'Business Case'!E14*$E361)-MAX(0,(('Business Case'!E11*$C361*'Business Case'!E12*$B361)-'Business Case'!E11*$C361*'Business Case'!E13*$D361-'Business Case'!E14*$E361))*'Business Case'!$B$7-'Business Case'!$B$8*(('Business Case'!E11*$C361*'Business Case'!E12*$B361)-('Business Case'!D11*$C361*'Business Case'!D12*$B361))-'Business Case'!E15*$F361</f>
        <v>587441779.303007</v>
      </c>
      <c r="L361" s="53" t="n">
        <f aca="false">(('Business Case'!F11*$C361*'Business Case'!F12*$B361)-'Business Case'!F11*$C361*'Business Case'!F13*$D361-'Business Case'!F14*$E361)-MAX(0,(('Business Case'!F11*$C361*'Business Case'!F12*$B361)-'Business Case'!F11*$C361*'Business Case'!F13*$D361-'Business Case'!F14*$E361))*'Business Case'!$B$7-'Business Case'!$B$8*(('Business Case'!F11*$C361*'Business Case'!F12*$B361)-('Business Case'!E11*$C361*'Business Case'!E12*$B361))-'Business Case'!F15*$F361</f>
        <v>712103938.801146</v>
      </c>
      <c r="M361" s="53" t="n">
        <f aca="false">(('Business Case'!G11*$C361*'Business Case'!G12*$B361)-'Business Case'!G11*$C361*'Business Case'!G13*$D361-'Business Case'!G14*$E361)-MAX(0,(('Business Case'!G11*$C361*'Business Case'!G12*$B361)-'Business Case'!G11*$C361*'Business Case'!G13*$D361-'Business Case'!G14*$E361))*'Business Case'!$B$7-'Business Case'!$B$8*(('Business Case'!G11*$C361*'Business Case'!G12*$B361)-('Business Case'!F11*$C361*'Business Case'!F12*$B361))-'Business Case'!G15*$F361+'Business Case'!$B$8*('Business Case'!G11*$C361*'Business Case'!G12*$B361)</f>
        <v>885903567.305824</v>
      </c>
      <c r="N361" s="53" t="n">
        <f aca="false">IF(COUNT('Business Case'!B11:G11)=0,"",H361+NPV(G361,I361:M361))</f>
        <v>-425022629.398108</v>
      </c>
      <c r="P361" s="54" t="n">
        <f aca="true">RAND()</f>
        <v>0.674889040168813</v>
      </c>
      <c r="Q361" s="54" t="n">
        <f aca="true">RAND()</f>
        <v>0.185319265439395</v>
      </c>
      <c r="R361" s="54" t="n">
        <f aca="true">RAND()</f>
        <v>0.445196262588502</v>
      </c>
      <c r="S361" s="54" t="n">
        <f aca="true">RAND()</f>
        <v>0.844547429944281</v>
      </c>
      <c r="T361" s="54" t="n">
        <f aca="true">RAND()</f>
        <v>0.626262617674142</v>
      </c>
      <c r="U361" s="54" t="n">
        <f aca="true">RAND()</f>
        <v>0.0562643516049541</v>
      </c>
    </row>
    <row r="362" customFormat="false" ht="15" hidden="false" customHeight="false" outlineLevel="0" collapsed="false">
      <c r="A362" s="50" t="n">
        <v>282</v>
      </c>
      <c r="B362" s="51" t="n">
        <f aca="false">1+IF($G$6=$E$6,$F$6,IF(P362&lt;($F$6-$E$6)/($G$6-$E$6),$E$6+SQRT(P362*($G$6-$E$6)*($F$6-$E$6)),$G$6-SQRT((1-P362)*($G$6-$E$6)*($G$6-$F$6))))</f>
        <v>1.03293491184187</v>
      </c>
      <c r="C362" s="51" t="n">
        <f aca="false">1+IF($G$7=$E$7,$F$7,IF(Q362&lt;($F$7-$E$7)/($G$7-$E$7),$E$7+SQRT(Q362*($G$7-$E$7)*($F$7-$E$7)),$G$7-SQRT((1-Q362)*($G$7-$E$7)*($G$7-$F$7))))</f>
        <v>1.1177888844597</v>
      </c>
      <c r="D362" s="51" t="n">
        <f aca="false">1+IF($G$8=$E$8,$F$8,IF(R362&lt;($F$8-$E$8)/($G$8-$E$8),$E$8+SQRT(R362*($G$8-$E$8)*($F$8-$E$8)),$G$8-SQRT((1-R362)*($G$8-$E$8)*($G$8-$F$8))))</f>
        <v>0.989705067301165</v>
      </c>
      <c r="E362" s="51" t="n">
        <f aca="false">1+IF($G$9=$E$9,$F$9,IF(S362&lt;($F$9-$E$9)/($G$9-$E$9),$E$9+SQRT(S362*($G$9-$E$9)*($F$9-$E$9)),$G$9-SQRT((1-S362)*($G$9-$E$9)*($G$9-$F$9))))</f>
        <v>1.00213645776821</v>
      </c>
      <c r="F362" s="51" t="n">
        <f aca="false">1+IF($G$10=$E$10,$F$10,IF(T362&lt;($F$10-$E$10)/($G$10-$E$10),$E$10+SQRT(T362*($G$10-$E$10)*($F$10-$E$10)),$G$10-SQRT((1-T362)*($G$10-$E$10)*($G$10-$F$10))))</f>
        <v>1.06623674191292</v>
      </c>
      <c r="G362" s="52" t="n">
        <f aca="false">IF($G$11=$E$11,$F$11,IF(U362&lt;($F$11-$E$11)/($G$11-$E$11),$E$11+SQRT(U362*($G$11-$E$11)*($F$11-$E$11)),$G$11-SQRT((1-U362)*($G$11-$E$11)*($G$11-$F$11))))</f>
        <v>0.112802530229255</v>
      </c>
      <c r="H362" s="53" t="n">
        <f aca="false">(('Business Case'!B11*$C362*'Business Case'!B12*$B362)-'Business Case'!B11*$C362*'Business Case'!B13*$D362-'Business Case'!B14*$E362)-MAX(0,(('Business Case'!B11*$C362*'Business Case'!B12*$B362)-'Business Case'!B11*$C362*'Business Case'!B13*$D362-'Business Case'!B14*$E362))*'Business Case'!$B$7-'Business Case'!$B$8*('Business Case'!B11*$C362*'Business Case'!B12*$B362)-'Business Case'!B15*$F362</f>
        <v>-2132473483.82584</v>
      </c>
      <c r="I362" s="53" t="n">
        <f aca="false">(('Business Case'!C11*$C362*'Business Case'!C12*$B362)-'Business Case'!C11*$C362*'Business Case'!C13*$D362-'Business Case'!C14*$E362)-MAX(0,(('Business Case'!C11*$C362*'Business Case'!C12*$B362)-'Business Case'!C11*$C362*'Business Case'!C13*$D362-'Business Case'!C14*$E362))*'Business Case'!$B$7-'Business Case'!$B$8*(('Business Case'!C11*$C362*'Business Case'!C12*$B362)-('Business Case'!B11*$C362*'Business Case'!B12*$B362))-'Business Case'!C15*$F362</f>
        <v>70393480.4033455</v>
      </c>
      <c r="J362" s="53" t="n">
        <f aca="false">(('Business Case'!D11*$C362*'Business Case'!D12*$B362)-'Business Case'!D11*$C362*'Business Case'!D13*$D362-'Business Case'!D14*$E362)-MAX(0,(('Business Case'!D11*$C362*'Business Case'!D12*$B362)-'Business Case'!D11*$C362*'Business Case'!D13*$D362-'Business Case'!D14*$E362))*'Business Case'!$B$7-'Business Case'!$B$8*(('Business Case'!D11*$C362*'Business Case'!D12*$B362)-('Business Case'!C11*$C362*'Business Case'!C12*$B362))-'Business Case'!D15*$F362</f>
        <v>449769067.253585</v>
      </c>
      <c r="K362" s="53" t="n">
        <f aca="false">(('Business Case'!E11*$C362*'Business Case'!E12*$B362)-'Business Case'!E11*$C362*'Business Case'!E13*$D362-'Business Case'!E14*$E362)-MAX(0,(('Business Case'!E11*$C362*'Business Case'!E12*$B362)-'Business Case'!E11*$C362*'Business Case'!E13*$D362-'Business Case'!E14*$E362))*'Business Case'!$B$7-'Business Case'!$B$8*(('Business Case'!E11*$C362*'Business Case'!E12*$B362)-('Business Case'!D11*$C362*'Business Case'!D12*$B362))-'Business Case'!E15*$F362</f>
        <v>882456491.19947</v>
      </c>
      <c r="L362" s="53" t="n">
        <f aca="false">(('Business Case'!F11*$C362*'Business Case'!F12*$B362)-'Business Case'!F11*$C362*'Business Case'!F13*$D362-'Business Case'!F14*$E362)-MAX(0,(('Business Case'!F11*$C362*'Business Case'!F12*$B362)-'Business Case'!F11*$C362*'Business Case'!F13*$D362-'Business Case'!F14*$E362))*'Business Case'!$B$7-'Business Case'!$B$8*(('Business Case'!F11*$C362*'Business Case'!F12*$B362)-('Business Case'!E11*$C362*'Business Case'!E12*$B362))-'Business Case'!F15*$F362</f>
        <v>1048818105.45686</v>
      </c>
      <c r="M362" s="53" t="n">
        <f aca="false">(('Business Case'!G11*$C362*'Business Case'!G12*$B362)-'Business Case'!G11*$C362*'Business Case'!G13*$D362-'Business Case'!G14*$E362)-MAX(0,(('Business Case'!G11*$C362*'Business Case'!G12*$B362)-'Business Case'!G11*$C362*'Business Case'!G13*$D362-'Business Case'!G14*$E362))*'Business Case'!$B$7-'Business Case'!$B$8*(('Business Case'!G11*$C362*'Business Case'!G12*$B362)-('Business Case'!F11*$C362*'Business Case'!F12*$B362))-'Business Case'!G15*$F362+'Business Case'!$B$8*('Business Case'!G11*$C362*'Business Case'!G12*$B362)</f>
        <v>1268285074.64705</v>
      </c>
      <c r="N362" s="53" t="n">
        <f aca="false">IF(COUNT('Business Case'!B11:G11)=0,"",H362+NPV(G362,I362:M362))</f>
        <v>361563180.151067</v>
      </c>
      <c r="P362" s="54" t="n">
        <f aca="true">RAND()</f>
        <v>0.989600943607888</v>
      </c>
      <c r="Q362" s="54" t="n">
        <f aca="true">RAND()</f>
        <v>0.980237029250464</v>
      </c>
      <c r="R362" s="54" t="n">
        <f aca="true">RAND()</f>
        <v>0.242537287598467</v>
      </c>
      <c r="S362" s="54" t="n">
        <f aca="true">RAND()</f>
        <v>0.361515140123135</v>
      </c>
      <c r="T362" s="54" t="n">
        <f aca="true">RAND()</f>
        <v>0.642147815718593</v>
      </c>
      <c r="U362" s="54" t="n">
        <f aca="true">RAND()</f>
        <v>0.913660714832019</v>
      </c>
    </row>
    <row r="363" customFormat="false" ht="15" hidden="false" customHeight="false" outlineLevel="0" collapsed="false">
      <c r="A363" s="50" t="n">
        <v>283</v>
      </c>
      <c r="B363" s="51" t="n">
        <f aca="false">1+IF($G$6=$E$6,$F$6,IF(P363&lt;($F$6-$E$6)/($G$6-$E$6),$E$6+SQRT(P363*($G$6-$E$6)*($F$6-$E$6)),$G$6-SQRT((1-P363)*($G$6-$E$6)*($G$6-$F$6))))</f>
        <v>1.02398305955694</v>
      </c>
      <c r="C363" s="51" t="n">
        <f aca="false">1+IF($G$7=$E$7,$F$7,IF(Q363&lt;($F$7-$E$7)/($G$7-$E$7),$E$7+SQRT(Q363*($G$7-$E$7)*($F$7-$E$7)),$G$7-SQRT((1-Q363)*($G$7-$E$7)*($G$7-$F$7))))</f>
        <v>1.01932833201368</v>
      </c>
      <c r="D363" s="51" t="n">
        <f aca="false">1+IF($G$8=$E$8,$F$8,IF(R363&lt;($F$8-$E$8)/($G$8-$E$8),$E$8+SQRT(R363*($G$8-$E$8)*($F$8-$E$8)),$G$8-SQRT((1-R363)*($G$8-$E$8)*($G$8-$F$8))))</f>
        <v>0.998368668794654</v>
      </c>
      <c r="E363" s="51" t="n">
        <f aca="false">1+IF($G$9=$E$9,$F$9,IF(S363&lt;($F$9-$E$9)/($G$9-$E$9),$E$9+SQRT(S363*($G$9-$E$9)*($F$9-$E$9)),$G$9-SQRT((1-S363)*($G$9-$E$9)*($G$9-$F$9))))</f>
        <v>0.998589095182337</v>
      </c>
      <c r="F363" s="51" t="n">
        <f aca="false">1+IF($G$10=$E$10,$F$10,IF(T363&lt;($F$10-$E$10)/($G$10-$E$10),$E$10+SQRT(T363*($G$10-$E$10)*($F$10-$E$10)),$G$10-SQRT((1-T363)*($G$10-$E$10)*($G$10-$F$10))))</f>
        <v>1.10859660664488</v>
      </c>
      <c r="G363" s="52" t="n">
        <f aca="false">IF($G$11=$E$11,$F$11,IF(U363&lt;($F$11-$E$11)/($G$11-$E$11),$E$11+SQRT(U363*($G$11-$E$11)*($F$11-$E$11)),$G$11-SQRT((1-U363)*($G$11-$E$11)*($G$11-$F$11))))</f>
        <v>0.100146173732261</v>
      </c>
      <c r="H363" s="53" t="n">
        <f aca="false">(('Business Case'!B11*$C363*'Business Case'!B12*$B363)-'Business Case'!B11*$C363*'Business Case'!B13*$D363-'Business Case'!B14*$E363)-MAX(0,(('Business Case'!B11*$C363*'Business Case'!B12*$B363)-'Business Case'!B11*$C363*'Business Case'!B13*$D363-'Business Case'!B14*$E363))*'Business Case'!$B$7-'Business Case'!$B$8*('Business Case'!B11*$C363*'Business Case'!B12*$B363)-'Business Case'!B15*$F363</f>
        <v>-2217193213.28976</v>
      </c>
      <c r="I363" s="53" t="n">
        <f aca="false">(('Business Case'!C11*$C363*'Business Case'!C12*$B363)-'Business Case'!C11*$C363*'Business Case'!C13*$D363-'Business Case'!C14*$E363)-MAX(0,(('Business Case'!C11*$C363*'Business Case'!C12*$B363)-'Business Case'!C11*$C363*'Business Case'!C13*$D363-'Business Case'!C14*$E363))*'Business Case'!$B$7-'Business Case'!$B$8*(('Business Case'!C11*$C363*'Business Case'!C12*$B363)-('Business Case'!B11*$C363*'Business Case'!B12*$B363))-'Business Case'!C15*$F363</f>
        <v>26995200.5690329</v>
      </c>
      <c r="J363" s="53" t="n">
        <f aca="false">(('Business Case'!D11*$C363*'Business Case'!D12*$B363)-'Business Case'!D11*$C363*'Business Case'!D13*$D363-'Business Case'!D14*$E363)-MAX(0,(('Business Case'!D11*$C363*'Business Case'!D12*$B363)-'Business Case'!D11*$C363*'Business Case'!D13*$D363-'Business Case'!D14*$E363))*'Business Case'!$B$7-'Business Case'!$B$8*(('Business Case'!D11*$C363*'Business Case'!D12*$B363)-('Business Case'!C11*$C363*'Business Case'!C12*$B363))-'Business Case'!D15*$F363</f>
        <v>360958724.240064</v>
      </c>
      <c r="K363" s="53" t="n">
        <f aca="false">(('Business Case'!E11*$C363*'Business Case'!E12*$B363)-'Business Case'!E11*$C363*'Business Case'!E13*$D363-'Business Case'!E14*$E363)-MAX(0,(('Business Case'!E11*$C363*'Business Case'!E12*$B363)-'Business Case'!E11*$C363*'Business Case'!E13*$D363-'Business Case'!E14*$E363))*'Business Case'!$B$7-'Business Case'!$B$8*(('Business Case'!E11*$C363*'Business Case'!E12*$B363)-('Business Case'!D11*$C363*'Business Case'!D12*$B363))-'Business Case'!E15*$F363</f>
        <v>750352078.243338</v>
      </c>
      <c r="L363" s="53" t="n">
        <f aca="false">(('Business Case'!F11*$C363*'Business Case'!F12*$B363)-'Business Case'!F11*$C363*'Business Case'!F13*$D363-'Business Case'!F14*$E363)-MAX(0,(('Business Case'!F11*$C363*'Business Case'!F12*$B363)-'Business Case'!F11*$C363*'Business Case'!F13*$D363-'Business Case'!F14*$E363))*'Business Case'!$B$7-'Business Case'!$B$8*(('Business Case'!F11*$C363*'Business Case'!F12*$B363)-('Business Case'!E11*$C363*'Business Case'!E12*$B363))-'Business Case'!F15*$F363</f>
        <v>897746114.868737</v>
      </c>
      <c r="M363" s="53" t="n">
        <f aca="false">(('Business Case'!G11*$C363*'Business Case'!G12*$B363)-'Business Case'!G11*$C363*'Business Case'!G13*$D363-'Business Case'!G14*$E363)-MAX(0,(('Business Case'!G11*$C363*'Business Case'!G12*$B363)-'Business Case'!G11*$C363*'Business Case'!G13*$D363-'Business Case'!G14*$E363))*'Business Case'!$B$7-'Business Case'!$B$8*(('Business Case'!G11*$C363*'Business Case'!G12*$B363)-('Business Case'!F11*$C363*'Business Case'!F12*$B363))-'Business Case'!G15*$F363+'Business Case'!$B$8*('Business Case'!G11*$C363*'Business Case'!G12*$B363)</f>
        <v>1096146856.24487</v>
      </c>
      <c r="N363" s="53" t="n">
        <f aca="false">IF(COUNT('Business Case'!B11:G11)=0,"",H363+NPV(G363,I363:M363))</f>
        <v>-37879942.6244311</v>
      </c>
      <c r="P363" s="54" t="n">
        <f aca="true">RAND()</f>
        <v>0.946553670592417</v>
      </c>
      <c r="Q363" s="54" t="n">
        <f aca="true">RAND()</f>
        <v>0.674760289250907</v>
      </c>
      <c r="R363" s="54" t="n">
        <f aca="true">RAND()</f>
        <v>0.359927403225685</v>
      </c>
      <c r="S363" s="54" t="n">
        <f aca="true">RAND()</f>
        <v>0.314786689418426</v>
      </c>
      <c r="T363" s="54" t="n">
        <f aca="true">RAND()</f>
        <v>0.83290839366338</v>
      </c>
      <c r="U363" s="54" t="n">
        <f aca="true">RAND()</f>
        <v>0.343042637550717</v>
      </c>
    </row>
    <row r="364" customFormat="false" ht="15" hidden="false" customHeight="false" outlineLevel="0" collapsed="false">
      <c r="A364" s="50" t="n">
        <v>284</v>
      </c>
      <c r="B364" s="51" t="n">
        <f aca="false">1+IF($G$6=$E$6,$F$6,IF(P364&lt;($F$6-$E$6)/($G$6-$E$6),$E$6+SQRT(P364*($G$6-$E$6)*($F$6-$E$6)),$G$6-SQRT((1-P364)*($G$6-$E$6)*($G$6-$F$6))))</f>
        <v>1.00858114656572</v>
      </c>
      <c r="C364" s="51" t="n">
        <f aca="false">1+IF($G$7=$E$7,$F$7,IF(Q364&lt;($F$7-$E$7)/($G$7-$E$7),$E$7+SQRT(Q364*($G$7-$E$7)*($F$7-$E$7)),$G$7-SQRT((1-Q364)*($G$7-$E$7)*($G$7-$F$7))))</f>
        <v>1.04877131969798</v>
      </c>
      <c r="D364" s="51" t="n">
        <f aca="false">1+IF($G$8=$E$8,$F$8,IF(R364&lt;($F$8-$E$8)/($G$8-$E$8),$E$8+SQRT(R364*($G$8-$E$8)*($F$8-$E$8)),$G$8-SQRT((1-R364)*($G$8-$E$8)*($G$8-$F$8))))</f>
        <v>0.990717036811211</v>
      </c>
      <c r="E364" s="51" t="n">
        <f aca="false">1+IF($G$9=$E$9,$F$9,IF(S364&lt;($F$9-$E$9)/($G$9-$E$9),$E$9+SQRT(S364*($G$9-$E$9)*($F$9-$E$9)),$G$9-SQRT((1-S364)*($G$9-$E$9)*($G$9-$F$9))))</f>
        <v>1.04175914511519</v>
      </c>
      <c r="F364" s="51" t="n">
        <f aca="false">1+IF($G$10=$E$10,$F$10,IF(T364&lt;($F$10-$E$10)/($G$10-$E$10),$E$10+SQRT(T364*($G$10-$E$10)*($F$10-$E$10)),$G$10-SQRT((1-T364)*($G$10-$E$10)*($G$10-$F$10))))</f>
        <v>1.10742391300388</v>
      </c>
      <c r="G364" s="52" t="n">
        <f aca="false">IF($G$11=$E$11,$F$11,IF(U364&lt;($F$11-$E$11)/($G$11-$E$11),$E$11+SQRT(U364*($G$11-$E$11)*($F$11-$E$11)),$G$11-SQRT((1-U364)*($G$11-$E$11)*($G$11-$F$11))))</f>
        <v>0.101503776621319</v>
      </c>
      <c r="H364" s="53" t="n">
        <f aca="false">(('Business Case'!B11*$C364*'Business Case'!B12*$B364)-'Business Case'!B11*$C364*'Business Case'!B13*$D364-'Business Case'!B14*$E364)-MAX(0,(('Business Case'!B11*$C364*'Business Case'!B12*$B364)-'Business Case'!B11*$C364*'Business Case'!B13*$D364-'Business Case'!B14*$E364))*'Business Case'!$B$7-'Business Case'!$B$8*('Business Case'!B11*$C364*'Business Case'!B12*$B364)-'Business Case'!B15*$F364</f>
        <v>-2214847826.00777</v>
      </c>
      <c r="I364" s="53" t="n">
        <f aca="false">(('Business Case'!C11*$C364*'Business Case'!C12*$B364)-'Business Case'!C11*$C364*'Business Case'!C13*$D364-'Business Case'!C14*$E364)-MAX(0,(('Business Case'!C11*$C364*'Business Case'!C12*$B364)-'Business Case'!C11*$C364*'Business Case'!C13*$D364-'Business Case'!C14*$E364))*'Business Case'!$B$7-'Business Case'!$B$8*(('Business Case'!C11*$C364*'Business Case'!C12*$B364)-('Business Case'!B11*$C364*'Business Case'!B12*$B364))-'Business Case'!C15*$F364</f>
        <v>20772091.2806204</v>
      </c>
      <c r="J364" s="53" t="n">
        <f aca="false">(('Business Case'!D11*$C364*'Business Case'!D12*$B364)-'Business Case'!D11*$C364*'Business Case'!D13*$D364-'Business Case'!D14*$E364)-MAX(0,(('Business Case'!D11*$C364*'Business Case'!D12*$B364)-'Business Case'!D11*$C364*'Business Case'!D13*$D364-'Business Case'!D14*$E364))*'Business Case'!$B$7-'Business Case'!$B$8*(('Business Case'!D11*$C364*'Business Case'!D12*$B364)-('Business Case'!C11*$C364*'Business Case'!C12*$B364))-'Business Case'!D15*$F364</f>
        <v>355259571.905716</v>
      </c>
      <c r="K364" s="53" t="n">
        <f aca="false">(('Business Case'!E11*$C364*'Business Case'!E12*$B364)-'Business Case'!E11*$C364*'Business Case'!E13*$D364-'Business Case'!E14*$E364)-MAX(0,(('Business Case'!E11*$C364*'Business Case'!E12*$B364)-'Business Case'!E11*$C364*'Business Case'!E13*$D364-'Business Case'!E14*$E364))*'Business Case'!$B$7-'Business Case'!$B$8*(('Business Case'!E11*$C364*'Business Case'!E12*$B364)-('Business Case'!D11*$C364*'Business Case'!D12*$B364))-'Business Case'!E15*$F364</f>
        <v>745118248.181006</v>
      </c>
      <c r="L364" s="53" t="n">
        <f aca="false">(('Business Case'!F11*$C364*'Business Case'!F12*$B364)-'Business Case'!F11*$C364*'Business Case'!F13*$D364-'Business Case'!F14*$E364)-MAX(0,(('Business Case'!F11*$C364*'Business Case'!F12*$B364)-'Business Case'!F11*$C364*'Business Case'!F13*$D364-'Business Case'!F14*$E364))*'Business Case'!$B$7-'Business Case'!$B$8*(('Business Case'!F11*$C364*'Business Case'!F12*$B364)-('Business Case'!E11*$C364*'Business Case'!E12*$B364))-'Business Case'!F15*$F364</f>
        <v>893170640.128509</v>
      </c>
      <c r="M364" s="53" t="n">
        <f aca="false">(('Business Case'!G11*$C364*'Business Case'!G12*$B364)-'Business Case'!G11*$C364*'Business Case'!G13*$D364-'Business Case'!G14*$E364)-MAX(0,(('Business Case'!G11*$C364*'Business Case'!G12*$B364)-'Business Case'!G11*$C364*'Business Case'!G13*$D364-'Business Case'!G14*$E364))*'Business Case'!$B$7-'Business Case'!$B$8*(('Business Case'!G11*$C364*'Business Case'!G12*$B364)-('Business Case'!F11*$C364*'Business Case'!F12*$B364))-'Business Case'!G15*$F364+'Business Case'!$B$8*('Business Case'!G11*$C364*'Business Case'!G12*$B364)</f>
        <v>1094231748.0271</v>
      </c>
      <c r="N364" s="53" t="n">
        <f aca="false">IF(COUNT('Business Case'!B11:G11)=0,"",H364+NPV(G364,I364:M364))</f>
        <v>-64129661.0811772</v>
      </c>
      <c r="P364" s="54" t="n">
        <f aca="true">RAND()</f>
        <v>0.794344926849029</v>
      </c>
      <c r="Q364" s="54" t="n">
        <f aca="true">RAND()</f>
        <v>0.804814367320206</v>
      </c>
      <c r="R364" s="54" t="n">
        <f aca="true">RAND()</f>
        <v>0.255058013336227</v>
      </c>
      <c r="S364" s="54" t="n">
        <f aca="true">RAND()</f>
        <v>0.7738668548191</v>
      </c>
      <c r="T364" s="54" t="n">
        <f aca="true">RAND()</f>
        <v>0.828593362329747</v>
      </c>
      <c r="U364" s="54" t="n">
        <f aca="true">RAND()</f>
        <v>0.429816201209899</v>
      </c>
    </row>
    <row r="365" customFormat="false" ht="15" hidden="false" customHeight="false" outlineLevel="0" collapsed="false">
      <c r="A365" s="50" t="n">
        <v>285</v>
      </c>
      <c r="B365" s="51" t="n">
        <f aca="false">1+IF($G$6=$E$6,$F$6,IF(P365&lt;($F$6-$E$6)/($G$6-$E$6),$E$6+SQRT(P365*($G$6-$E$6)*($F$6-$E$6)),$G$6-SQRT((1-P365)*($G$6-$E$6)*($G$6-$F$6))))</f>
        <v>0.983477317691412</v>
      </c>
      <c r="C365" s="51" t="n">
        <f aca="false">1+IF($G$7=$E$7,$F$7,IF(Q365&lt;($F$7-$E$7)/($G$7-$E$7),$E$7+SQRT(Q365*($G$7-$E$7)*($F$7-$E$7)),$G$7-SQRT((1-Q365)*($G$7-$E$7)*($G$7-$F$7))))</f>
        <v>0.884701112187428</v>
      </c>
      <c r="D365" s="51" t="n">
        <f aca="false">1+IF($G$8=$E$8,$F$8,IF(R365&lt;($F$8-$E$8)/($G$8-$E$8),$E$8+SQRT(R365*($G$8-$E$8)*($F$8-$E$8)),$G$8-SQRT((1-R365)*($G$8-$E$8)*($G$8-$F$8))))</f>
        <v>1.03743358290292</v>
      </c>
      <c r="E365" s="51" t="n">
        <f aca="false">1+IF($G$9=$E$9,$F$9,IF(S365&lt;($F$9-$E$9)/($G$9-$E$9),$E$9+SQRT(S365*($G$9-$E$9)*($F$9-$E$9)),$G$9-SQRT((1-S365)*($G$9-$E$9)*($G$9-$F$9))))</f>
        <v>0.96286517936725</v>
      </c>
      <c r="F365" s="51" t="n">
        <f aca="false">1+IF($G$10=$E$10,$F$10,IF(T365&lt;($F$10-$E$10)/($G$10-$E$10),$E$10+SQRT(T365*($G$10-$E$10)*($F$10-$E$10)),$G$10-SQRT((1-T365)*($G$10-$E$10)*($G$10-$F$10))))</f>
        <v>1.10212248897717</v>
      </c>
      <c r="G365" s="52" t="n">
        <f aca="false">IF($G$11=$E$11,$F$11,IF(U365&lt;($F$11-$E$11)/($G$11-$E$11),$E$11+SQRT(U365*($G$11-$E$11)*($F$11-$E$11)),$G$11-SQRT((1-U365)*($G$11-$E$11)*($G$11-$F$11))))</f>
        <v>0.108469814081397</v>
      </c>
      <c r="H365" s="53" t="n">
        <f aca="false">(('Business Case'!B11*$C365*'Business Case'!B12*$B365)-'Business Case'!B11*$C365*'Business Case'!B13*$D365-'Business Case'!B14*$E365)-MAX(0,(('Business Case'!B11*$C365*'Business Case'!B12*$B365)-'Business Case'!B11*$C365*'Business Case'!B13*$D365-'Business Case'!B14*$E365))*'Business Case'!$B$7-'Business Case'!$B$8*('Business Case'!B11*$C365*'Business Case'!B12*$B365)-'Business Case'!B15*$F365</f>
        <v>-2204244977.95433</v>
      </c>
      <c r="I365" s="53" t="n">
        <f aca="false">(('Business Case'!C11*$C365*'Business Case'!C12*$B365)-'Business Case'!C11*$C365*'Business Case'!C13*$D365-'Business Case'!C14*$E365)-MAX(0,(('Business Case'!C11*$C365*'Business Case'!C12*$B365)-'Business Case'!C11*$C365*'Business Case'!C13*$D365-'Business Case'!C14*$E365))*'Business Case'!$B$7-'Business Case'!$B$8*(('Business Case'!C11*$C365*'Business Case'!C12*$B365)-('Business Case'!B11*$C365*'Business Case'!B12*$B365))-'Business Case'!C15*$F365</f>
        <v>-49425511.9036742</v>
      </c>
      <c r="J365" s="53" t="n">
        <f aca="false">(('Business Case'!D11*$C365*'Business Case'!D12*$B365)-'Business Case'!D11*$C365*'Business Case'!D13*$D365-'Business Case'!D14*$E365)-MAX(0,(('Business Case'!D11*$C365*'Business Case'!D12*$B365)-'Business Case'!D11*$C365*'Business Case'!D13*$D365-'Business Case'!D14*$E365))*'Business Case'!$B$7-'Business Case'!$B$8*(('Business Case'!D11*$C365*'Business Case'!D12*$B365)-('Business Case'!C11*$C365*'Business Case'!C12*$B365))-'Business Case'!D15*$F365</f>
        <v>193385781.032288</v>
      </c>
      <c r="K365" s="53" t="n">
        <f aca="false">(('Business Case'!E11*$C365*'Business Case'!E12*$B365)-'Business Case'!E11*$C365*'Business Case'!E13*$D365-'Business Case'!E14*$E365)-MAX(0,(('Business Case'!E11*$C365*'Business Case'!E12*$B365)-'Business Case'!E11*$C365*'Business Case'!E13*$D365-'Business Case'!E14*$E365))*'Business Case'!$B$7-'Business Case'!$B$8*(('Business Case'!E11*$C365*'Business Case'!E12*$B365)-('Business Case'!D11*$C365*'Business Case'!D12*$B365))-'Business Case'!E15*$F365</f>
        <v>491303198.417108</v>
      </c>
      <c r="L365" s="53" t="n">
        <f aca="false">(('Business Case'!F11*$C365*'Business Case'!F12*$B365)-'Business Case'!F11*$C365*'Business Case'!F13*$D365-'Business Case'!F14*$E365)-MAX(0,(('Business Case'!F11*$C365*'Business Case'!F12*$B365)-'Business Case'!F11*$C365*'Business Case'!F13*$D365-'Business Case'!F14*$E365))*'Business Case'!$B$7-'Business Case'!$B$8*(('Business Case'!F11*$C365*'Business Case'!F12*$B365)-('Business Case'!E11*$C365*'Business Case'!E12*$B365))-'Business Case'!F15*$F365</f>
        <v>602310381.019694</v>
      </c>
      <c r="M365" s="53" t="n">
        <f aca="false">(('Business Case'!G11*$C365*'Business Case'!G12*$B365)-'Business Case'!G11*$C365*'Business Case'!G13*$D365-'Business Case'!G14*$E365)-MAX(0,(('Business Case'!G11*$C365*'Business Case'!G12*$B365)-'Business Case'!G11*$C365*'Business Case'!G13*$D365-'Business Case'!G14*$E365))*'Business Case'!$B$7-'Business Case'!$B$8*(('Business Case'!G11*$C365*'Business Case'!G12*$B365)-('Business Case'!F11*$C365*'Business Case'!F12*$B365))-'Business Case'!G15*$F365+'Business Case'!$B$8*('Business Case'!G11*$C365*'Business Case'!G12*$B365)</f>
        <v>767695848.284649</v>
      </c>
      <c r="N365" s="53" t="n">
        <f aca="false">IF(COUNT('Business Case'!B11:G11)=0,"",H365+NPV(G365,I365:M365))</f>
        <v>-873018330.119238</v>
      </c>
      <c r="P365" s="54" t="n">
        <f aca="true">RAND()</f>
        <v>0.419726027218383</v>
      </c>
      <c r="Q365" s="54" t="n">
        <f aca="true">RAND()</f>
        <v>0.102489691511246</v>
      </c>
      <c r="R365" s="54" t="n">
        <f aca="true">RAND()</f>
        <v>0.825778859184336</v>
      </c>
      <c r="S365" s="54" t="n">
        <f aca="true">RAND()</f>
        <v>0.0220683786868667</v>
      </c>
      <c r="T365" s="54" t="n">
        <f aca="true">RAND()</f>
        <v>0.808399856719497</v>
      </c>
      <c r="U365" s="54" t="n">
        <f aca="true">RAND()</f>
        <v>0.778424687804075</v>
      </c>
    </row>
    <row r="366" customFormat="false" ht="15" hidden="false" customHeight="false" outlineLevel="0" collapsed="false">
      <c r="A366" s="50" t="n">
        <v>286</v>
      </c>
      <c r="B366" s="51" t="n">
        <f aca="false">1+IF($G$6=$E$6,$F$6,IF(P366&lt;($F$6-$E$6)/($G$6-$E$6),$E$6+SQRT(P366*($G$6-$E$6)*($F$6-$E$6)),$G$6-SQRT((1-P366)*($G$6-$E$6)*($G$6-$F$6))))</f>
        <v>1.01283095255103</v>
      </c>
      <c r="C366" s="51" t="n">
        <f aca="false">1+IF($G$7=$E$7,$F$7,IF(Q366&lt;($F$7-$E$7)/($G$7-$E$7),$E$7+SQRT(Q366*($G$7-$E$7)*($F$7-$E$7)),$G$7-SQRT((1-Q366)*($G$7-$E$7)*($G$7-$F$7))))</f>
        <v>0.933394933077968</v>
      </c>
      <c r="D366" s="51" t="n">
        <f aca="false">1+IF($G$8=$E$8,$F$8,IF(R366&lt;($F$8-$E$8)/($G$8-$E$8),$E$8+SQRT(R366*($G$8-$E$8)*($F$8-$E$8)),$G$8-SQRT((1-R366)*($G$8-$E$8)*($G$8-$F$8))))</f>
        <v>1.01872068238221</v>
      </c>
      <c r="E366" s="51" t="n">
        <f aca="false">1+IF($G$9=$E$9,$F$9,IF(S366&lt;($F$9-$E$9)/($G$9-$E$9),$E$9+SQRT(S366*($G$9-$E$9)*($F$9-$E$9)),$G$9-SQRT((1-S366)*($G$9-$E$9)*($G$9-$F$9))))</f>
        <v>1.04950347778653</v>
      </c>
      <c r="F366" s="51" t="n">
        <f aca="false">1+IF($G$10=$E$10,$F$10,IF(T366&lt;($F$10-$E$10)/($G$10-$E$10),$E$10+SQRT(T366*($G$10-$E$10)*($F$10-$E$10)),$G$10-SQRT((1-T366)*($G$10-$E$10)*($G$10-$F$10))))</f>
        <v>1.07978200265148</v>
      </c>
      <c r="G366" s="52" t="n">
        <f aca="false">IF($G$11=$E$11,$F$11,IF(U366&lt;($F$11-$E$11)/($G$11-$E$11),$E$11+SQRT(U366*($G$11-$E$11)*($F$11-$E$11)),$G$11-SQRT((1-U366)*($G$11-$E$11)*($G$11-$F$11))))</f>
        <v>0.0986161186570417</v>
      </c>
      <c r="H366" s="53" t="n">
        <f aca="false">(('Business Case'!B11*$C366*'Business Case'!B12*$B366)-'Business Case'!B11*$C366*'Business Case'!B13*$D366-'Business Case'!B14*$E366)-MAX(0,(('Business Case'!B11*$C366*'Business Case'!B12*$B366)-'Business Case'!B11*$C366*'Business Case'!B13*$D366-'Business Case'!B14*$E366))*'Business Case'!$B$7-'Business Case'!$B$8*('Business Case'!B11*$C366*'Business Case'!B12*$B366)-'Business Case'!B15*$F366</f>
        <v>-2159564005.30295</v>
      </c>
      <c r="I366" s="53" t="n">
        <f aca="false">(('Business Case'!C11*$C366*'Business Case'!C12*$B366)-'Business Case'!C11*$C366*'Business Case'!C13*$D366-'Business Case'!C14*$E366)-MAX(0,(('Business Case'!C11*$C366*'Business Case'!C12*$B366)-'Business Case'!C11*$C366*'Business Case'!C13*$D366-'Business Case'!C14*$E366))*'Business Case'!$B$7-'Business Case'!$B$8*(('Business Case'!C11*$C366*'Business Case'!C12*$B366)-('Business Case'!B11*$C366*'Business Case'!B12*$B366))-'Business Case'!C15*$F366</f>
        <v>-18667214.3005636</v>
      </c>
      <c r="J366" s="53" t="n">
        <f aca="false">(('Business Case'!D11*$C366*'Business Case'!D12*$B366)-'Business Case'!D11*$C366*'Business Case'!D13*$D366-'Business Case'!D14*$E366)-MAX(0,(('Business Case'!D11*$C366*'Business Case'!D12*$B366)-'Business Case'!D11*$C366*'Business Case'!D13*$D366-'Business Case'!D14*$E366))*'Business Case'!$B$7-'Business Case'!$B$8*(('Business Case'!D11*$C366*'Business Case'!D12*$B366)-('Business Case'!C11*$C366*'Business Case'!C12*$B366))-'Business Case'!D15*$F366</f>
        <v>268891213.317731</v>
      </c>
      <c r="K366" s="53" t="n">
        <f aca="false">(('Business Case'!E11*$C366*'Business Case'!E12*$B366)-'Business Case'!E11*$C366*'Business Case'!E13*$D366-'Business Case'!E14*$E366)-MAX(0,(('Business Case'!E11*$C366*'Business Case'!E12*$B366)-'Business Case'!E11*$C366*'Business Case'!E13*$D366-'Business Case'!E14*$E366))*'Business Case'!$B$7-'Business Case'!$B$8*(('Business Case'!E11*$C366*'Business Case'!E12*$B366)-('Business Case'!D11*$C366*'Business Case'!D12*$B366))-'Business Case'!E15*$F366</f>
        <v>610438741.0686</v>
      </c>
      <c r="L366" s="53" t="n">
        <f aca="false">(('Business Case'!F11*$C366*'Business Case'!F12*$B366)-'Business Case'!F11*$C366*'Business Case'!F13*$D366-'Business Case'!F14*$E366)-MAX(0,(('Business Case'!F11*$C366*'Business Case'!F12*$B366)-'Business Case'!F11*$C366*'Business Case'!F13*$D366-'Business Case'!F14*$E366))*'Business Case'!$B$7-'Business Case'!$B$8*(('Business Case'!F11*$C366*'Business Case'!F12*$B366)-('Business Case'!E11*$C366*'Business Case'!E12*$B366))-'Business Case'!F15*$F366</f>
        <v>738963581.68301</v>
      </c>
      <c r="M366" s="53" t="n">
        <f aca="false">(('Business Case'!G11*$C366*'Business Case'!G12*$B366)-'Business Case'!G11*$C366*'Business Case'!G13*$D366-'Business Case'!G14*$E366)-MAX(0,(('Business Case'!G11*$C366*'Business Case'!G12*$B366)-'Business Case'!G11*$C366*'Business Case'!G13*$D366-'Business Case'!G14*$E366))*'Business Case'!$B$7-'Business Case'!$B$8*(('Business Case'!G11*$C366*'Business Case'!G12*$B366)-('Business Case'!F11*$C366*'Business Case'!F12*$B366))-'Business Case'!G15*$F366+'Business Case'!$B$8*('Business Case'!G11*$C366*'Business Case'!G12*$B366)</f>
        <v>918659754.42872</v>
      </c>
      <c r="N366" s="53" t="n">
        <f aca="false">IF(COUNT('Business Case'!B11:G11)=0,"",H366+NPV(G366,I366:M366))</f>
        <v>-412117099.344034</v>
      </c>
      <c r="P366" s="54" t="n">
        <f aca="true">RAND()</f>
        <v>0.846217262649106</v>
      </c>
      <c r="Q366" s="54" t="n">
        <f aca="true">RAND()</f>
        <v>0.254202973869652</v>
      </c>
      <c r="R366" s="54" t="n">
        <f aca="true">RAND()</f>
        <v>0.638927426182454</v>
      </c>
      <c r="S366" s="54" t="n">
        <f aca="true">RAND()</f>
        <v>0.830006749622963</v>
      </c>
      <c r="T366" s="54" t="n">
        <f aca="true">RAND()</f>
        <v>0.71095266227021</v>
      </c>
      <c r="U366" s="54" t="n">
        <f aca="true">RAND()</f>
        <v>0.247458335707408</v>
      </c>
    </row>
    <row r="367" customFormat="false" ht="15" hidden="false" customHeight="false" outlineLevel="0" collapsed="false">
      <c r="A367" s="50" t="n">
        <v>287</v>
      </c>
      <c r="B367" s="51" t="n">
        <f aca="false">1+IF($G$6=$E$6,$F$6,IF(P367&lt;($F$6-$E$6)/($G$6-$E$6),$E$6+SQRT(P367*($G$6-$E$6)*($F$6-$E$6)),$G$6-SQRT((1-P367)*($G$6-$E$6)*($G$6-$F$6))))</f>
        <v>0.979888992914591</v>
      </c>
      <c r="C367" s="51" t="n">
        <f aca="false">1+IF($G$7=$E$7,$F$7,IF(Q367&lt;($F$7-$E$7)/($G$7-$E$7),$E$7+SQRT(Q367*($G$7-$E$7)*($F$7-$E$7)),$G$7-SQRT((1-Q367)*($G$7-$E$7)*($G$7-$F$7))))</f>
        <v>1.01302181002688</v>
      </c>
      <c r="D367" s="51" t="n">
        <f aca="false">1+IF($G$8=$E$8,$F$8,IF(R367&lt;($F$8-$E$8)/($G$8-$E$8),$E$8+SQRT(R367*($G$8-$E$8)*($F$8-$E$8)),$G$8-SQRT((1-R367)*($G$8-$E$8)*($G$8-$F$8))))</f>
        <v>1.05762870338211</v>
      </c>
      <c r="E367" s="51" t="n">
        <f aca="false">1+IF($G$9=$E$9,$F$9,IF(S367&lt;($F$9-$E$9)/($G$9-$E$9),$E$9+SQRT(S367*($G$9-$E$9)*($F$9-$E$9)),$G$9-SQRT((1-S367)*($G$9-$E$9)*($G$9-$F$9))))</f>
        <v>1.03693538765707</v>
      </c>
      <c r="F367" s="51" t="n">
        <f aca="false">1+IF($G$10=$E$10,$F$10,IF(T367&lt;($F$10-$E$10)/($G$10-$E$10),$E$10+SQRT(T367*($G$10-$E$10)*($F$10-$E$10)),$G$10-SQRT((1-T367)*($G$10-$E$10)*($G$10-$F$10))))</f>
        <v>1.03573624557159</v>
      </c>
      <c r="G367" s="52" t="n">
        <f aca="false">IF($G$11=$E$11,$F$11,IF(U367&lt;($F$11-$E$11)/($G$11-$E$11),$E$11+SQRT(U367*($G$11-$E$11)*($F$11-$E$11)),$G$11-SQRT((1-U367)*($G$11-$E$11)*($G$11-$F$11))))</f>
        <v>0.101995189908372</v>
      </c>
      <c r="H367" s="53" t="n">
        <f aca="false">(('Business Case'!B11*$C367*'Business Case'!B12*$B367)-'Business Case'!B11*$C367*'Business Case'!B13*$D367-'Business Case'!B14*$E367)-MAX(0,(('Business Case'!B11*$C367*'Business Case'!B12*$B367)-'Business Case'!B11*$C367*'Business Case'!B13*$D367-'Business Case'!B14*$E367))*'Business Case'!$B$7-'Business Case'!$B$8*('Business Case'!B11*$C367*'Business Case'!B12*$B367)-'Business Case'!B15*$F367</f>
        <v>-2071472491.14318</v>
      </c>
      <c r="I367" s="53" t="n">
        <f aca="false">(('Business Case'!C11*$C367*'Business Case'!C12*$B367)-'Business Case'!C11*$C367*'Business Case'!C13*$D367-'Business Case'!C14*$E367)-MAX(0,(('Business Case'!C11*$C367*'Business Case'!C12*$B367)-'Business Case'!C11*$C367*'Business Case'!C13*$D367-'Business Case'!C14*$E367))*'Business Case'!$B$7-'Business Case'!$B$8*(('Business Case'!C11*$C367*'Business Case'!C12*$B367)-('Business Case'!B11*$C367*'Business Case'!B12*$B367))-'Business Case'!C15*$F367</f>
        <v>-37905390.5146061</v>
      </c>
      <c r="J367" s="53" t="n">
        <f aca="false">(('Business Case'!D11*$C367*'Business Case'!D12*$B367)-'Business Case'!D11*$C367*'Business Case'!D13*$D367-'Business Case'!D14*$E367)-MAX(0,(('Business Case'!D11*$C367*'Business Case'!D12*$B367)-'Business Case'!D11*$C367*'Business Case'!D13*$D367-'Business Case'!D14*$E367))*'Business Case'!$B$7-'Business Case'!$B$8*(('Business Case'!D11*$C367*'Business Case'!D12*$B367)-('Business Case'!C11*$C367*'Business Case'!C12*$B367))-'Business Case'!D15*$F367</f>
        <v>226673975.72923</v>
      </c>
      <c r="K367" s="53" t="n">
        <f aca="false">(('Business Case'!E11*$C367*'Business Case'!E12*$B367)-'Business Case'!E11*$C367*'Business Case'!E13*$D367-'Business Case'!E14*$E367)-MAX(0,(('Business Case'!E11*$C367*'Business Case'!E12*$B367)-'Business Case'!E11*$C367*'Business Case'!E13*$D367-'Business Case'!E14*$E367))*'Business Case'!$B$7-'Business Case'!$B$8*(('Business Case'!E11*$C367*'Business Case'!E12*$B367)-('Business Case'!D11*$C367*'Business Case'!D12*$B367))-'Business Case'!E15*$F367</f>
        <v>543040154.251646</v>
      </c>
      <c r="L367" s="53" t="n">
        <f aca="false">(('Business Case'!F11*$C367*'Business Case'!F12*$B367)-'Business Case'!F11*$C367*'Business Case'!F13*$D367-'Business Case'!F14*$E367)-MAX(0,(('Business Case'!F11*$C367*'Business Case'!F12*$B367)-'Business Case'!F11*$C367*'Business Case'!F13*$D367-'Business Case'!F14*$E367))*'Business Case'!$B$7-'Business Case'!$B$8*(('Business Case'!F11*$C367*'Business Case'!F12*$B367)-('Business Case'!E11*$C367*'Business Case'!E12*$B367))-'Business Case'!F15*$F367</f>
        <v>665539223.050555</v>
      </c>
      <c r="M367" s="53" t="n">
        <f aca="false">(('Business Case'!G11*$C367*'Business Case'!G12*$B367)-'Business Case'!G11*$C367*'Business Case'!G13*$D367-'Business Case'!G14*$E367)-MAX(0,(('Business Case'!G11*$C367*'Business Case'!G12*$B367)-'Business Case'!G11*$C367*'Business Case'!G13*$D367-'Business Case'!G14*$E367))*'Business Case'!$B$7-'Business Case'!$B$8*(('Business Case'!G11*$C367*'Business Case'!G12*$B367)-('Business Case'!F11*$C367*'Business Case'!F12*$B367))-'Business Case'!G15*$F367+'Business Case'!$B$8*('Business Case'!G11*$C367*'Business Case'!G12*$B367)</f>
        <v>854221929.997528</v>
      </c>
      <c r="N367" s="53" t="n">
        <f aca="false">IF(COUNT('Business Case'!B11:G11)=0,"",H367+NPV(G367,I367:M367))</f>
        <v>-536521821.484966</v>
      </c>
      <c r="P367" s="54" t="n">
        <f aca="true">RAND()</f>
        <v>0.37361369503374</v>
      </c>
      <c r="Q367" s="54" t="n">
        <f aca="true">RAND()</f>
        <v>0.642609056603599</v>
      </c>
      <c r="R367" s="54" t="n">
        <f aca="true">RAND()</f>
        <v>0.951877412272521</v>
      </c>
      <c r="S367" s="54" t="n">
        <f aca="true">RAND()</f>
        <v>0.734856978002429</v>
      </c>
      <c r="T367" s="54" t="n">
        <f aca="true">RAND()</f>
        <v>0.460348379621673</v>
      </c>
      <c r="U367" s="54" t="n">
        <f aca="true">RAND()</f>
        <v>0.459711355940665</v>
      </c>
    </row>
    <row r="368" customFormat="false" ht="15" hidden="false" customHeight="false" outlineLevel="0" collapsed="false">
      <c r="A368" s="50" t="n">
        <v>288</v>
      </c>
      <c r="B368" s="51" t="n">
        <f aca="false">1+IF($G$6=$E$6,$F$6,IF(P368&lt;($F$6-$E$6)/($G$6-$E$6),$E$6+SQRT(P368*($G$6-$E$6)*($F$6-$E$6)),$G$6-SQRT((1-P368)*($G$6-$E$6)*($G$6-$F$6))))</f>
        <v>0.971373058369744</v>
      </c>
      <c r="C368" s="51" t="n">
        <f aca="false">1+IF($G$7=$E$7,$F$7,IF(Q368&lt;($F$7-$E$7)/($G$7-$E$7),$E$7+SQRT(Q368*($G$7-$E$7)*($F$7-$E$7)),$G$7-SQRT((1-Q368)*($G$7-$E$7)*($G$7-$F$7))))</f>
        <v>1.03498543701392</v>
      </c>
      <c r="D368" s="51" t="n">
        <f aca="false">1+IF($G$8=$E$8,$F$8,IF(R368&lt;($F$8-$E$8)/($G$8-$E$8),$E$8+SQRT(R368*($G$8-$E$8)*($F$8-$E$8)),$G$8-SQRT((1-R368)*($G$8-$E$8)*($G$8-$F$8))))</f>
        <v>0.996216921905017</v>
      </c>
      <c r="E368" s="51" t="n">
        <f aca="false">1+IF($G$9=$E$9,$F$9,IF(S368&lt;($F$9-$E$9)/($G$9-$E$9),$E$9+SQRT(S368*($G$9-$E$9)*($F$9-$E$9)),$G$9-SQRT((1-S368)*($G$9-$E$9)*($G$9-$F$9))))</f>
        <v>1.0301470972673</v>
      </c>
      <c r="F368" s="51" t="n">
        <f aca="false">1+IF($G$10=$E$10,$F$10,IF(T368&lt;($F$10-$E$10)/($G$10-$E$10),$E$10+SQRT(T368*($G$10-$E$10)*($F$10-$E$10)),$G$10-SQRT((1-T368)*($G$10-$E$10)*($G$10-$F$10))))</f>
        <v>1.12273251972917</v>
      </c>
      <c r="G368" s="52" t="n">
        <f aca="false">IF($G$11=$E$11,$F$11,IF(U368&lt;($F$11-$E$11)/($G$11-$E$11),$E$11+SQRT(U368*($G$11-$E$11)*($F$11-$E$11)),$G$11-SQRT((1-U368)*($G$11-$E$11)*($G$11-$F$11))))</f>
        <v>0.102894285359516</v>
      </c>
      <c r="H368" s="53" t="n">
        <f aca="false">(('Business Case'!B11*$C368*'Business Case'!B12*$B368)-'Business Case'!B11*$C368*'Business Case'!B13*$D368-'Business Case'!B14*$E368)-MAX(0,(('Business Case'!B11*$C368*'Business Case'!B12*$B368)-'Business Case'!B11*$C368*'Business Case'!B13*$D368-'Business Case'!B14*$E368))*'Business Case'!$B$7-'Business Case'!$B$8*('Business Case'!B11*$C368*'Business Case'!B12*$B368)-'Business Case'!B15*$F368</f>
        <v>-2245465039.45834</v>
      </c>
      <c r="I368" s="53" t="n">
        <f aca="false">(('Business Case'!C11*$C368*'Business Case'!C12*$B368)-'Business Case'!C11*$C368*'Business Case'!C13*$D368-'Business Case'!C14*$E368)-MAX(0,(('Business Case'!C11*$C368*'Business Case'!C12*$B368)-'Business Case'!C11*$C368*'Business Case'!C13*$D368-'Business Case'!C14*$E368))*'Business Case'!$B$7-'Business Case'!$B$8*(('Business Case'!C11*$C368*'Business Case'!C12*$B368)-('Business Case'!B11*$C368*'Business Case'!B12*$B368))-'Business Case'!C15*$F368</f>
        <v>-15243488.5328344</v>
      </c>
      <c r="J368" s="53" t="n">
        <f aca="false">(('Business Case'!D11*$C368*'Business Case'!D12*$B368)-'Business Case'!D11*$C368*'Business Case'!D13*$D368-'Business Case'!D14*$E368)-MAX(0,(('Business Case'!D11*$C368*'Business Case'!D12*$B368)-'Business Case'!D11*$C368*'Business Case'!D13*$D368-'Business Case'!D14*$E368))*'Business Case'!$B$7-'Business Case'!$B$8*(('Business Case'!D11*$C368*'Business Case'!D12*$B368)-('Business Case'!C11*$C368*'Business Case'!C12*$B368))-'Business Case'!D15*$F368</f>
        <v>280390897.428225</v>
      </c>
      <c r="K368" s="53" t="n">
        <f aca="false">(('Business Case'!E11*$C368*'Business Case'!E12*$B368)-'Business Case'!E11*$C368*'Business Case'!E13*$D368-'Business Case'!E14*$E368)-MAX(0,(('Business Case'!E11*$C368*'Business Case'!E12*$B368)-'Business Case'!E11*$C368*'Business Case'!E13*$D368-'Business Case'!E14*$E368))*'Business Case'!$B$7-'Business Case'!$B$8*(('Business Case'!E11*$C368*'Business Case'!E12*$B368)-('Business Case'!D11*$C368*'Business Case'!D12*$B368))-'Business Case'!E15*$F368</f>
        <v>632161909.375742</v>
      </c>
      <c r="L368" s="53" t="n">
        <f aca="false">(('Business Case'!F11*$C368*'Business Case'!F12*$B368)-'Business Case'!F11*$C368*'Business Case'!F13*$D368-'Business Case'!F14*$E368)-MAX(0,(('Business Case'!F11*$C368*'Business Case'!F12*$B368)-'Business Case'!F11*$C368*'Business Case'!F13*$D368-'Business Case'!F14*$E368))*'Business Case'!$B$7-'Business Case'!$B$8*(('Business Case'!F11*$C368*'Business Case'!F12*$B368)-('Business Case'!E11*$C368*'Business Case'!E12*$B368))-'Business Case'!F15*$F368</f>
        <v>765451841.555806</v>
      </c>
      <c r="M368" s="53" t="n">
        <f aca="false">(('Business Case'!G11*$C368*'Business Case'!G12*$B368)-'Business Case'!G11*$C368*'Business Case'!G13*$D368-'Business Case'!G14*$E368)-MAX(0,(('Business Case'!G11*$C368*'Business Case'!G12*$B368)-'Business Case'!G11*$C368*'Business Case'!G13*$D368-'Business Case'!G14*$E368))*'Business Case'!$B$7-'Business Case'!$B$8*(('Business Case'!G11*$C368*'Business Case'!G12*$B368)-('Business Case'!F11*$C368*'Business Case'!F12*$B368))-'Business Case'!G15*$F368+'Business Case'!$B$8*('Business Case'!G11*$C368*'Business Case'!G12*$B368)</f>
        <v>956550094.284219</v>
      </c>
      <c r="N368" s="53" t="n">
        <f aca="false">IF(COUNT('Business Case'!B11:G11)=0,"",H368+NPV(G368,I368:M368))</f>
        <v>-454012503.804343</v>
      </c>
      <c r="P368" s="54" t="n">
        <f aca="true">RAND()</f>
        <v>0.274915742318864</v>
      </c>
      <c r="Q368" s="54" t="n">
        <f aca="true">RAND()</f>
        <v>0.748031434307049</v>
      </c>
      <c r="R368" s="54" t="n">
        <f aca="true">RAND()</f>
        <v>0.328615980057613</v>
      </c>
      <c r="S368" s="54" t="n">
        <f aca="true">RAND()</f>
        <v>0.674704798654356</v>
      </c>
      <c r="T368" s="54" t="n">
        <f aca="true">RAND()</f>
        <v>0.880594729851933</v>
      </c>
      <c r="U368" s="54" t="n">
        <f aca="true">RAND()</f>
        <v>0.512324211063873</v>
      </c>
    </row>
    <row r="369" customFormat="false" ht="15" hidden="false" customHeight="false" outlineLevel="0" collapsed="false">
      <c r="A369" s="50" t="n">
        <v>289</v>
      </c>
      <c r="B369" s="51" t="n">
        <f aca="false">1+IF($G$6=$E$6,$F$6,IF(P369&lt;($F$6-$E$6)/($G$6-$E$6),$E$6+SQRT(P369*($G$6-$E$6)*($F$6-$E$6)),$G$6-SQRT((1-P369)*($G$6-$E$6)*($G$6-$F$6))))</f>
        <v>0.967583680821447</v>
      </c>
      <c r="C369" s="51" t="n">
        <f aca="false">1+IF($G$7=$E$7,$F$7,IF(Q369&lt;($F$7-$E$7)/($G$7-$E$7),$E$7+SQRT(Q369*($G$7-$E$7)*($F$7-$E$7)),$G$7-SQRT((1-Q369)*($G$7-$E$7)*($G$7-$F$7))))</f>
        <v>0.962356107602222</v>
      </c>
      <c r="D369" s="51" t="n">
        <f aca="false">1+IF($G$8=$E$8,$F$8,IF(R369&lt;($F$8-$E$8)/($G$8-$E$8),$E$8+SQRT(R369*($G$8-$E$8)*($F$8-$E$8)),$G$8-SQRT((1-R369)*($G$8-$E$8)*($G$8-$F$8))))</f>
        <v>0.99695696694431</v>
      </c>
      <c r="E369" s="51" t="n">
        <f aca="false">1+IF($G$9=$E$9,$F$9,IF(S369&lt;($F$9-$E$9)/($G$9-$E$9),$E$9+SQRT(S369*($G$9-$E$9)*($F$9-$E$9)),$G$9-SQRT((1-S369)*($G$9-$E$9)*($G$9-$F$9))))</f>
        <v>0.95764019615223</v>
      </c>
      <c r="F369" s="51" t="n">
        <f aca="false">1+IF($G$10=$E$10,$F$10,IF(T369&lt;($F$10-$E$10)/($G$10-$E$10),$E$10+SQRT(T369*($G$10-$E$10)*($F$10-$E$10)),$G$10-SQRT((1-T369)*($G$10-$E$10)*($G$10-$F$10))))</f>
        <v>1.05361202094488</v>
      </c>
      <c r="G369" s="52" t="n">
        <f aca="false">IF($G$11=$E$11,$F$11,IF(U369&lt;($F$11-$E$11)/($G$11-$E$11),$E$11+SQRT(U369*($G$11-$E$11)*($F$11-$E$11)),$G$11-SQRT((1-U369)*($G$11-$E$11)*($G$11-$F$11))))</f>
        <v>0.10468367638108</v>
      </c>
      <c r="H369" s="53" t="n">
        <f aca="false">(('Business Case'!B11*$C369*'Business Case'!B12*$B369)-'Business Case'!B11*$C369*'Business Case'!B13*$D369-'Business Case'!B14*$E369)-MAX(0,(('Business Case'!B11*$C369*'Business Case'!B12*$B369)-'Business Case'!B11*$C369*'Business Case'!B13*$D369-'Business Case'!B14*$E369))*'Business Case'!$B$7-'Business Case'!$B$8*('Business Case'!B11*$C369*'Business Case'!B12*$B369)-'Business Case'!B15*$F369</f>
        <v>-2107224041.88976</v>
      </c>
      <c r="I369" s="53" t="n">
        <f aca="false">(('Business Case'!C11*$C369*'Business Case'!C12*$B369)-'Business Case'!C11*$C369*'Business Case'!C13*$D369-'Business Case'!C14*$E369)-MAX(0,(('Business Case'!C11*$C369*'Business Case'!C12*$B369)-'Business Case'!C11*$C369*'Business Case'!C13*$D369-'Business Case'!C14*$E369))*'Business Case'!$B$7-'Business Case'!$B$8*(('Business Case'!C11*$C369*'Business Case'!C12*$B369)-('Business Case'!B11*$C369*'Business Case'!B12*$B369))-'Business Case'!C15*$F369</f>
        <v>-18272029.490184</v>
      </c>
      <c r="J369" s="53" t="n">
        <f aca="false">(('Business Case'!D11*$C369*'Business Case'!D12*$B369)-'Business Case'!D11*$C369*'Business Case'!D13*$D369-'Business Case'!D14*$E369)-MAX(0,(('Business Case'!D11*$C369*'Business Case'!D12*$B369)-'Business Case'!D11*$C369*'Business Case'!D13*$D369-'Business Case'!D14*$E369))*'Business Case'!$B$7-'Business Case'!$B$8*(('Business Case'!D11*$C369*'Business Case'!D12*$B369)-('Business Case'!C11*$C369*'Business Case'!C12*$B369))-'Business Case'!D15*$F369</f>
        <v>253264916.769038</v>
      </c>
      <c r="K369" s="53" t="n">
        <f aca="false">(('Business Case'!E11*$C369*'Business Case'!E12*$B369)-'Business Case'!E11*$C369*'Business Case'!E13*$D369-'Business Case'!E14*$E369)-MAX(0,(('Business Case'!E11*$C369*'Business Case'!E12*$B369)-'Business Case'!E11*$C369*'Business Case'!E13*$D369-'Business Case'!E14*$E369))*'Business Case'!$B$7-'Business Case'!$B$8*(('Business Case'!E11*$C369*'Business Case'!E12*$B369)-('Business Case'!D11*$C369*'Business Case'!D12*$B369))-'Business Case'!E15*$F369</f>
        <v>577482464.075504</v>
      </c>
      <c r="L369" s="53" t="n">
        <f aca="false">(('Business Case'!F11*$C369*'Business Case'!F12*$B369)-'Business Case'!F11*$C369*'Business Case'!F13*$D369-'Business Case'!F14*$E369)-MAX(0,(('Business Case'!F11*$C369*'Business Case'!F12*$B369)-'Business Case'!F11*$C369*'Business Case'!F13*$D369-'Business Case'!F14*$E369))*'Business Case'!$B$7-'Business Case'!$B$8*(('Business Case'!F11*$C369*'Business Case'!F12*$B369)-('Business Case'!E11*$C369*'Business Case'!E12*$B369))-'Business Case'!F15*$F369</f>
        <v>700175671.336625</v>
      </c>
      <c r="M369" s="53" t="n">
        <f aca="false">(('Business Case'!G11*$C369*'Business Case'!G12*$B369)-'Business Case'!G11*$C369*'Business Case'!G13*$D369-'Business Case'!G14*$E369)-MAX(0,(('Business Case'!G11*$C369*'Business Case'!G12*$B369)-'Business Case'!G11*$C369*'Business Case'!G13*$D369-'Business Case'!G14*$E369))*'Business Case'!$B$7-'Business Case'!$B$8*(('Business Case'!G11*$C369*'Business Case'!G12*$B369)-('Business Case'!F11*$C369*'Business Case'!F12*$B369))-'Business Case'!G15*$F369+'Business Case'!$B$8*('Business Case'!G11*$C369*'Business Case'!G12*$B369)</f>
        <v>877170576.464217</v>
      </c>
      <c r="N369" s="53" t="n">
        <f aca="false">IF(COUNT('Business Case'!B11:G11)=0,"",H369+NPV(G369,I369:M369))</f>
        <v>-484474375.583461</v>
      </c>
      <c r="P369" s="54" t="n">
        <f aca="true">RAND()</f>
        <v>0.235854862553889</v>
      </c>
      <c r="Q369" s="54" t="n">
        <f aca="true">RAND()</f>
        <v>0.376564366796345</v>
      </c>
      <c r="R369" s="54" t="n">
        <f aca="true">RAND()</f>
        <v>0.339224114555239</v>
      </c>
      <c r="S369" s="54" t="n">
        <f aca="true">RAND()</f>
        <v>0.00778301296594085</v>
      </c>
      <c r="T369" s="54" t="n">
        <f aca="true">RAND()</f>
        <v>0.571411191763152</v>
      </c>
      <c r="U369" s="54" t="n">
        <f aca="true">RAND()</f>
        <v>0.609017051334202</v>
      </c>
    </row>
    <row r="370" customFormat="false" ht="15" hidden="false" customHeight="false" outlineLevel="0" collapsed="false">
      <c r="A370" s="50" t="n">
        <v>290</v>
      </c>
      <c r="B370" s="51" t="n">
        <f aca="false">1+IF($G$6=$E$6,$F$6,IF(P370&lt;($F$6-$E$6)/($G$6-$E$6),$E$6+SQRT(P370*($G$6-$E$6)*($F$6-$E$6)),$G$6-SQRT((1-P370)*($G$6-$E$6)*($G$6-$F$6))))</f>
        <v>0.989648627749617</v>
      </c>
      <c r="C370" s="51" t="n">
        <f aca="false">1+IF($G$7=$E$7,$F$7,IF(Q370&lt;($F$7-$E$7)/($G$7-$E$7),$E$7+SQRT(Q370*($G$7-$E$7)*($F$7-$E$7)),$G$7-SQRT((1-Q370)*($G$7-$E$7)*($G$7-$F$7))))</f>
        <v>1.01088863124127</v>
      </c>
      <c r="D370" s="51" t="n">
        <f aca="false">1+IF($G$8=$E$8,$F$8,IF(R370&lt;($F$8-$E$8)/($G$8-$E$8),$E$8+SQRT(R370*($G$8-$E$8)*($F$8-$E$8)),$G$8-SQRT((1-R370)*($G$8-$E$8)*($G$8-$F$8))))</f>
        <v>1.04194479703085</v>
      </c>
      <c r="E370" s="51" t="n">
        <f aca="false">1+IF($G$9=$E$9,$F$9,IF(S370&lt;($F$9-$E$9)/($G$9-$E$9),$E$9+SQRT(S370*($G$9-$E$9)*($F$9-$E$9)),$G$9-SQRT((1-S370)*($G$9-$E$9)*($G$9-$F$9))))</f>
        <v>1.0746107723406</v>
      </c>
      <c r="F370" s="51" t="n">
        <f aca="false">1+IF($G$10=$E$10,$F$10,IF(T370&lt;($F$10-$E$10)/($G$10-$E$10),$E$10+SQRT(T370*($G$10-$E$10)*($F$10-$E$10)),$G$10-SQRT((1-T370)*($G$10-$E$10)*($G$10-$F$10))))</f>
        <v>1.02294532697987</v>
      </c>
      <c r="G370" s="52" t="n">
        <f aca="false">IF($G$11=$E$11,$F$11,IF(U370&lt;($F$11-$E$11)/($G$11-$E$11),$E$11+SQRT(U370*($G$11-$E$11)*($F$11-$E$11)),$G$11-SQRT((1-U370)*($G$11-$E$11)*($G$11-$F$11))))</f>
        <v>0.117949328977558</v>
      </c>
      <c r="H370" s="53" t="n">
        <f aca="false">(('Business Case'!B11*$C370*'Business Case'!B12*$B370)-'Business Case'!B11*$C370*'Business Case'!B13*$D370-'Business Case'!B14*$E370)-MAX(0,(('Business Case'!B11*$C370*'Business Case'!B12*$B370)-'Business Case'!B11*$C370*'Business Case'!B13*$D370-'Business Case'!B14*$E370))*'Business Case'!$B$7-'Business Case'!$B$8*('Business Case'!B11*$C370*'Business Case'!B12*$B370)-'Business Case'!B15*$F370</f>
        <v>-2045890653.95974</v>
      </c>
      <c r="I370" s="53" t="n">
        <f aca="false">(('Business Case'!C11*$C370*'Business Case'!C12*$B370)-'Business Case'!C11*$C370*'Business Case'!C13*$D370-'Business Case'!C14*$E370)-MAX(0,(('Business Case'!C11*$C370*'Business Case'!C12*$B370)-'Business Case'!C11*$C370*'Business Case'!C13*$D370-'Business Case'!C14*$E370))*'Business Case'!$B$7-'Business Case'!$B$8*(('Business Case'!C11*$C370*'Business Case'!C12*$B370)-('Business Case'!B11*$C370*'Business Case'!B12*$B370))-'Business Case'!C15*$F370</f>
        <v>-26746752.1332641</v>
      </c>
      <c r="J370" s="53" t="n">
        <f aca="false">(('Business Case'!D11*$C370*'Business Case'!D12*$B370)-'Business Case'!D11*$C370*'Business Case'!D13*$D370-'Business Case'!D14*$E370)-MAX(0,(('Business Case'!D11*$C370*'Business Case'!D12*$B370)-'Business Case'!D11*$C370*'Business Case'!D13*$D370-'Business Case'!D14*$E370))*'Business Case'!$B$7-'Business Case'!$B$8*(('Business Case'!D11*$C370*'Business Case'!D12*$B370)-('Business Case'!C11*$C370*'Business Case'!C12*$B370))-'Business Case'!D15*$F370</f>
        <v>253472688.76003</v>
      </c>
      <c r="K370" s="53" t="n">
        <f aca="false">(('Business Case'!E11*$C370*'Business Case'!E12*$B370)-'Business Case'!E11*$C370*'Business Case'!E13*$D370-'Business Case'!E14*$E370)-MAX(0,(('Business Case'!E11*$C370*'Business Case'!E12*$B370)-'Business Case'!E11*$C370*'Business Case'!E13*$D370-'Business Case'!E14*$E370))*'Business Case'!$B$7-'Business Case'!$B$8*(('Business Case'!E11*$C370*'Business Case'!E12*$B370)-('Business Case'!D11*$C370*'Business Case'!D12*$B370))-'Business Case'!E15*$F370</f>
        <v>584839396.002316</v>
      </c>
      <c r="L370" s="53" t="n">
        <f aca="false">(('Business Case'!F11*$C370*'Business Case'!F12*$B370)-'Business Case'!F11*$C370*'Business Case'!F13*$D370-'Business Case'!F14*$E370)-MAX(0,(('Business Case'!F11*$C370*'Business Case'!F12*$B370)-'Business Case'!F11*$C370*'Business Case'!F13*$D370-'Business Case'!F14*$E370))*'Business Case'!$B$7-'Business Case'!$B$8*(('Business Case'!F11*$C370*'Business Case'!F12*$B370)-('Business Case'!E11*$C370*'Business Case'!E12*$B370))-'Business Case'!F15*$F370</f>
        <v>712820548.634573</v>
      </c>
      <c r="M370" s="53" t="n">
        <f aca="false">(('Business Case'!G11*$C370*'Business Case'!G12*$B370)-'Business Case'!G11*$C370*'Business Case'!G13*$D370-'Business Case'!G14*$E370)-MAX(0,(('Business Case'!G11*$C370*'Business Case'!G12*$B370)-'Business Case'!G11*$C370*'Business Case'!G13*$D370-'Business Case'!G14*$E370))*'Business Case'!$B$7-'Business Case'!$B$8*(('Business Case'!G11*$C370*'Business Case'!G12*$B370)-('Business Case'!F11*$C370*'Business Case'!F12*$B370))-'Business Case'!G15*$F370+'Business Case'!$B$8*('Business Case'!G11*$C370*'Business Case'!G12*$B370)</f>
        <v>902981246.474276</v>
      </c>
      <c r="N370" s="53" t="n">
        <f aca="false">IF(COUNT('Business Case'!B11:G11)=0,"",H370+NPV(G370,I370:M370))</f>
        <v>-474998809.132881</v>
      </c>
      <c r="P370" s="54" t="n">
        <f aca="true">RAND()</f>
        <v>0.505305348687987</v>
      </c>
      <c r="Q370" s="54" t="n">
        <f aca="true">RAND()</f>
        <v>0.631390992039466</v>
      </c>
      <c r="R370" s="54" t="n">
        <f aca="true">RAND()</f>
        <v>0.860750146824657</v>
      </c>
      <c r="S370" s="54" t="n">
        <f aca="true">RAND()</f>
        <v>0.957025807923951</v>
      </c>
      <c r="T370" s="54" t="n">
        <f aca="true">RAND()</f>
        <v>0.37303285523469</v>
      </c>
      <c r="U370" s="54" t="n">
        <f aca="true">RAND()</f>
        <v>0.992991247262863</v>
      </c>
    </row>
    <row r="371" customFormat="false" ht="15" hidden="false" customHeight="false" outlineLevel="0" collapsed="false">
      <c r="A371" s="50" t="n">
        <v>291</v>
      </c>
      <c r="B371" s="51" t="n">
        <f aca="false">1+IF($G$6=$E$6,$F$6,IF(P371&lt;($F$6-$E$6)/($G$6-$E$6),$E$6+SQRT(P371*($G$6-$E$6)*($F$6-$E$6)),$G$6-SQRT((1-P371)*($G$6-$E$6)*($G$6-$F$6))))</f>
        <v>0.983681289929705</v>
      </c>
      <c r="C371" s="51" t="n">
        <f aca="false">1+IF($G$7=$E$7,$F$7,IF(Q371&lt;($F$7-$E$7)/($G$7-$E$7),$E$7+SQRT(Q371*($G$7-$E$7)*($F$7-$E$7)),$G$7-SQRT((1-Q371)*($G$7-$E$7)*($G$7-$F$7))))</f>
        <v>0.834801895491316</v>
      </c>
      <c r="D371" s="51" t="n">
        <f aca="false">1+IF($G$8=$E$8,$F$8,IF(R371&lt;($F$8-$E$8)/($G$8-$E$8),$E$8+SQRT(R371*($G$8-$E$8)*($F$8-$E$8)),$G$8-SQRT((1-R371)*($G$8-$E$8)*($G$8-$F$8))))</f>
        <v>0.98785045287022</v>
      </c>
      <c r="E371" s="51" t="n">
        <f aca="false">1+IF($G$9=$E$9,$F$9,IF(S371&lt;($F$9-$E$9)/($G$9-$E$9),$E$9+SQRT(S371*($G$9-$E$9)*($F$9-$E$9)),$G$9-SQRT((1-S371)*($G$9-$E$9)*($G$9-$F$9))))</f>
        <v>1.00623774370078</v>
      </c>
      <c r="F371" s="51" t="n">
        <f aca="false">1+IF($G$10=$E$10,$F$10,IF(T371&lt;($F$10-$E$10)/($G$10-$E$10),$E$10+SQRT(T371*($G$10-$E$10)*($F$10-$E$10)),$G$10-SQRT((1-T371)*($G$10-$E$10)*($G$10-$F$10))))</f>
        <v>1.08916716506163</v>
      </c>
      <c r="G371" s="52" t="n">
        <f aca="false">IF($G$11=$E$11,$F$11,IF(U371&lt;($F$11-$E$11)/($G$11-$E$11),$E$11+SQRT(U371*($G$11-$E$11)*($F$11-$E$11)),$G$11-SQRT((1-U371)*($G$11-$E$11)*($G$11-$F$11))))</f>
        <v>0.0919908781611889</v>
      </c>
      <c r="H371" s="53" t="n">
        <f aca="false">(('Business Case'!B11*$C371*'Business Case'!B12*$B371)-'Business Case'!B11*$C371*'Business Case'!B13*$D371-'Business Case'!B14*$E371)-MAX(0,(('Business Case'!B11*$C371*'Business Case'!B12*$B371)-'Business Case'!B11*$C371*'Business Case'!B13*$D371-'Business Case'!B14*$E371))*'Business Case'!$B$7-'Business Case'!$B$8*('Business Case'!B11*$C371*'Business Case'!B12*$B371)-'Business Case'!B15*$F371</f>
        <v>-2178334330.12325</v>
      </c>
      <c r="I371" s="53" t="n">
        <f aca="false">(('Business Case'!C11*$C371*'Business Case'!C12*$B371)-'Business Case'!C11*$C371*'Business Case'!C13*$D371-'Business Case'!C14*$E371)-MAX(0,(('Business Case'!C11*$C371*'Business Case'!C12*$B371)-'Business Case'!C11*$C371*'Business Case'!C13*$D371-'Business Case'!C14*$E371))*'Business Case'!$B$7-'Business Case'!$B$8*(('Business Case'!C11*$C371*'Business Case'!C12*$B371)-('Business Case'!B11*$C371*'Business Case'!B12*$B371))-'Business Case'!C15*$F371</f>
        <v>-44128568.6657731</v>
      </c>
      <c r="J371" s="53" t="n">
        <f aca="false">(('Business Case'!D11*$C371*'Business Case'!D12*$B371)-'Business Case'!D11*$C371*'Business Case'!D13*$D371-'Business Case'!D14*$E371)-MAX(0,(('Business Case'!D11*$C371*'Business Case'!D12*$B371)-'Business Case'!D11*$C371*'Business Case'!D13*$D371-'Business Case'!D14*$E371))*'Business Case'!$B$7-'Business Case'!$B$8*(('Business Case'!D11*$C371*'Business Case'!D12*$B371)-('Business Case'!C11*$C371*'Business Case'!C12*$B371))-'Business Case'!D15*$F371</f>
        <v>206316505.968422</v>
      </c>
      <c r="K371" s="53" t="n">
        <f aca="false">(('Business Case'!E11*$C371*'Business Case'!E12*$B371)-'Business Case'!E11*$C371*'Business Case'!E13*$D371-'Business Case'!E14*$E371)-MAX(0,(('Business Case'!E11*$C371*'Business Case'!E12*$B371)-'Business Case'!E11*$C371*'Business Case'!E13*$D371-'Business Case'!E14*$E371))*'Business Case'!$B$7-'Business Case'!$B$8*(('Business Case'!E11*$C371*'Business Case'!E12*$B371)-('Business Case'!D11*$C371*'Business Case'!D12*$B371))-'Business Case'!E15*$F371</f>
        <v>511219938.855699</v>
      </c>
      <c r="L371" s="53" t="n">
        <f aca="false">(('Business Case'!F11*$C371*'Business Case'!F12*$B371)-'Business Case'!F11*$C371*'Business Case'!F13*$D371-'Business Case'!F14*$E371)-MAX(0,(('Business Case'!F11*$C371*'Business Case'!F12*$B371)-'Business Case'!F11*$C371*'Business Case'!F13*$D371-'Business Case'!F14*$E371))*'Business Case'!$B$7-'Business Case'!$B$8*(('Business Case'!F11*$C371*'Business Case'!F12*$B371)-('Business Case'!E11*$C371*'Business Case'!E12*$B371))-'Business Case'!F15*$F371</f>
        <v>623081576.826801</v>
      </c>
      <c r="M371" s="53" t="n">
        <f aca="false">(('Business Case'!G11*$C371*'Business Case'!G12*$B371)-'Business Case'!G11*$C371*'Business Case'!G13*$D371-'Business Case'!G14*$E371)-MAX(0,(('Business Case'!G11*$C371*'Business Case'!G12*$B371)-'Business Case'!G11*$C371*'Business Case'!G13*$D371-'Business Case'!G14*$E371))*'Business Case'!$B$7-'Business Case'!$B$8*(('Business Case'!G11*$C371*'Business Case'!G12*$B371)-('Business Case'!F11*$C371*'Business Case'!F12*$B371))-'Business Case'!G15*$F371+'Business Case'!$B$8*('Business Case'!G11*$C371*'Business Case'!G12*$B371)</f>
        <v>779171282.171838</v>
      </c>
      <c r="N371" s="53" t="n">
        <f aca="false">IF(COUNT('Business Case'!B11:G11)=0,"",H371+NPV(G371,I371:M371))</f>
        <v>-713120358.220226</v>
      </c>
      <c r="P371" s="54" t="n">
        <f aca="true">RAND()</f>
        <v>0.422427779907412</v>
      </c>
      <c r="Q371" s="54" t="n">
        <f aca="true">RAND()</f>
        <v>0.0173024561398359</v>
      </c>
      <c r="R371" s="54" t="n">
        <f aca="true">RAND()</f>
        <v>0.220408735766265</v>
      </c>
      <c r="S371" s="54" t="n">
        <f aca="true">RAND()</f>
        <v>0.413909286245258</v>
      </c>
      <c r="T371" s="54" t="n">
        <f aca="true">RAND()</f>
        <v>0.754321653990463</v>
      </c>
      <c r="U371" s="54" t="n">
        <f aca="true">RAND()</f>
        <v>0.0132119861756628</v>
      </c>
    </row>
    <row r="372" customFormat="false" ht="15" hidden="false" customHeight="false" outlineLevel="0" collapsed="false">
      <c r="A372" s="50" t="n">
        <v>292</v>
      </c>
      <c r="B372" s="51" t="n">
        <f aca="false">1+IF($G$6=$E$6,$F$6,IF(P372&lt;($F$6-$E$6)/($G$6-$E$6),$E$6+SQRT(P372*($G$6-$E$6)*($F$6-$E$6)),$G$6-SQRT((1-P372)*($G$6-$E$6)*($G$6-$F$6))))</f>
        <v>0.967475684613284</v>
      </c>
      <c r="C372" s="51" t="n">
        <f aca="false">1+IF($G$7=$E$7,$F$7,IF(Q372&lt;($F$7-$E$7)/($G$7-$E$7),$E$7+SQRT(Q372*($G$7-$E$7)*($F$7-$E$7)),$G$7-SQRT((1-Q372)*($G$7-$E$7)*($G$7-$F$7))))</f>
        <v>1.0985435673858</v>
      </c>
      <c r="D372" s="51" t="n">
        <f aca="false">1+IF($G$8=$E$8,$F$8,IF(R372&lt;($F$8-$E$8)/($G$8-$E$8),$E$8+SQRT(R372*($G$8-$E$8)*($F$8-$E$8)),$G$8-SQRT((1-R372)*($G$8-$E$8)*($G$8-$F$8))))</f>
        <v>0.968458029099074</v>
      </c>
      <c r="E372" s="51" t="n">
        <f aca="false">1+IF($G$9=$E$9,$F$9,IF(S372&lt;($F$9-$E$9)/($G$9-$E$9),$E$9+SQRT(S372*($G$9-$E$9)*($F$9-$E$9)),$G$9-SQRT((1-S372)*($G$9-$E$9)*($G$9-$F$9))))</f>
        <v>0.987689693959675</v>
      </c>
      <c r="F372" s="51" t="n">
        <f aca="false">1+IF($G$10=$E$10,$F$10,IF(T372&lt;($F$10-$E$10)/($G$10-$E$10),$E$10+SQRT(T372*($G$10-$E$10)*($F$10-$E$10)),$G$10-SQRT((1-T372)*($G$10-$E$10)*($G$10-$F$10))))</f>
        <v>0.995655071628838</v>
      </c>
      <c r="G372" s="52" t="n">
        <f aca="false">IF($G$11=$E$11,$F$11,IF(U372&lt;($F$11-$E$11)/($G$11-$E$11),$E$11+SQRT(U372*($G$11-$E$11)*($F$11-$E$11)),$G$11-SQRT((1-U372)*($G$11-$E$11)*($G$11-$F$11))))</f>
        <v>0.0980194352374139</v>
      </c>
      <c r="H372" s="53" t="n">
        <f aca="false">(('Business Case'!B11*$C372*'Business Case'!B12*$B372)-'Business Case'!B11*$C372*'Business Case'!B13*$D372-'Business Case'!B14*$E372)-MAX(0,(('Business Case'!B11*$C372*'Business Case'!B12*$B372)-'Business Case'!B11*$C372*'Business Case'!B13*$D372-'Business Case'!B14*$E372))*'Business Case'!$B$7-'Business Case'!$B$8*('Business Case'!B11*$C372*'Business Case'!B12*$B372)-'Business Case'!B15*$F372</f>
        <v>-1991310143.25768</v>
      </c>
      <c r="I372" s="53" t="n">
        <f aca="false">(('Business Case'!C11*$C372*'Business Case'!C12*$B372)-'Business Case'!C11*$C372*'Business Case'!C13*$D372-'Business Case'!C14*$E372)-MAX(0,(('Business Case'!C11*$C372*'Business Case'!C12*$B372)-'Business Case'!C11*$C372*'Business Case'!C13*$D372-'Business Case'!C14*$E372))*'Business Case'!$B$7-'Business Case'!$B$8*(('Business Case'!C11*$C372*'Business Case'!C12*$B372)-('Business Case'!B11*$C372*'Business Case'!B12*$B372))-'Business Case'!C15*$F372</f>
        <v>30781797.2618616</v>
      </c>
      <c r="J372" s="53" t="n">
        <f aca="false">(('Business Case'!D11*$C372*'Business Case'!D12*$B372)-'Business Case'!D11*$C372*'Business Case'!D13*$D372-'Business Case'!D14*$E372)-MAX(0,(('Business Case'!D11*$C372*'Business Case'!D12*$B372)-'Business Case'!D11*$C372*'Business Case'!D13*$D372-'Business Case'!D14*$E372))*'Business Case'!$B$7-'Business Case'!$B$8*(('Business Case'!D11*$C372*'Business Case'!D12*$B372)-('Business Case'!C11*$C372*'Business Case'!C12*$B372))-'Business Case'!D15*$F372</f>
        <v>356674863.773857</v>
      </c>
      <c r="K372" s="53" t="n">
        <f aca="false">(('Business Case'!E11*$C372*'Business Case'!E12*$B372)-'Business Case'!E11*$C372*'Business Case'!E13*$D372-'Business Case'!E14*$E372)-MAX(0,(('Business Case'!E11*$C372*'Business Case'!E12*$B372)-'Business Case'!E11*$C372*'Business Case'!E13*$D372-'Business Case'!E14*$E372))*'Business Case'!$B$7-'Business Case'!$B$8*(('Business Case'!E11*$C372*'Business Case'!E12*$B372)-('Business Case'!D11*$C372*'Business Case'!D12*$B372))-'Business Case'!E15*$F372</f>
        <v>732350683.867294</v>
      </c>
      <c r="L372" s="53" t="n">
        <f aca="false">(('Business Case'!F11*$C372*'Business Case'!F12*$B372)-'Business Case'!F11*$C372*'Business Case'!F13*$D372-'Business Case'!F14*$E372)-MAX(0,(('Business Case'!F11*$C372*'Business Case'!F12*$B372)-'Business Case'!F11*$C372*'Business Case'!F13*$D372-'Business Case'!F14*$E372))*'Business Case'!$B$7-'Business Case'!$B$8*(('Business Case'!F11*$C372*'Business Case'!F12*$B372)-('Business Case'!E11*$C372*'Business Case'!E12*$B372))-'Business Case'!F15*$F372</f>
        <v>877712564.442081</v>
      </c>
      <c r="M372" s="53" t="n">
        <f aca="false">(('Business Case'!G11*$C372*'Business Case'!G12*$B372)-'Business Case'!G11*$C372*'Business Case'!G13*$D372-'Business Case'!G14*$E372)-MAX(0,(('Business Case'!G11*$C372*'Business Case'!G12*$B372)-'Business Case'!G11*$C372*'Business Case'!G13*$D372-'Business Case'!G14*$E372))*'Business Case'!$B$7-'Business Case'!$B$8*(('Business Case'!G11*$C372*'Business Case'!G12*$B372)-('Business Case'!F11*$C372*'Business Case'!F12*$B372))-'Business Case'!G15*$F372+'Business Case'!$B$8*('Business Case'!G11*$C372*'Business Case'!G12*$B372)</f>
        <v>1079732285.66475</v>
      </c>
      <c r="N372" s="53" t="n">
        <f aca="false">IF(COUNT('Business Case'!B11:G11)=0,"",H372+NPV(G372,I372:M372))</f>
        <v>166093137.316017</v>
      </c>
      <c r="P372" s="54" t="n">
        <f aca="true">RAND()</f>
        <v>0.234785482239584</v>
      </c>
      <c r="Q372" s="54" t="n">
        <f aca="true">RAND()</f>
        <v>0.949566391288011</v>
      </c>
      <c r="R372" s="54" t="n">
        <f aca="true">RAND()</f>
        <v>0.0524152058803489</v>
      </c>
      <c r="S372" s="54" t="n">
        <f aca="true">RAND()</f>
        <v>0.189401737436525</v>
      </c>
      <c r="T372" s="54" t="n">
        <f aca="true">RAND()</f>
        <v>0.166750845234744</v>
      </c>
      <c r="U372" s="54" t="n">
        <f aca="true">RAND()</f>
        <v>0.214371138423586</v>
      </c>
    </row>
    <row r="373" customFormat="false" ht="15" hidden="false" customHeight="false" outlineLevel="0" collapsed="false">
      <c r="A373" s="50" t="n">
        <v>293</v>
      </c>
      <c r="B373" s="51" t="n">
        <f aca="false">1+IF($G$6=$E$6,$F$6,IF(P373&lt;($F$6-$E$6)/($G$6-$E$6),$E$6+SQRT(P373*($G$6-$E$6)*($F$6-$E$6)),$G$6-SQRT((1-P373)*($G$6-$E$6)*($G$6-$F$6))))</f>
        <v>0.944217675675442</v>
      </c>
      <c r="C373" s="51" t="n">
        <f aca="false">1+IF($G$7=$E$7,$F$7,IF(Q373&lt;($F$7-$E$7)/($G$7-$E$7),$E$7+SQRT(Q373*($G$7-$E$7)*($F$7-$E$7)),$G$7-SQRT((1-Q373)*($G$7-$E$7)*($G$7-$F$7))))</f>
        <v>1.14056689827067</v>
      </c>
      <c r="D373" s="51" t="n">
        <f aca="false">1+IF($G$8=$E$8,$F$8,IF(R373&lt;($F$8-$E$8)/($G$8-$E$8),$E$8+SQRT(R373*($G$8-$E$8)*($F$8-$E$8)),$G$8-SQRT((1-R373)*($G$8-$E$8)*($G$8-$F$8))))</f>
        <v>0.964065127805273</v>
      </c>
      <c r="E373" s="51" t="n">
        <f aca="false">1+IF($G$9=$E$9,$F$9,IF(S373&lt;($F$9-$E$9)/($G$9-$E$9),$E$9+SQRT(S373*($G$9-$E$9)*($F$9-$E$9)),$G$9-SQRT((1-S373)*($G$9-$E$9)*($G$9-$F$9))))</f>
        <v>0.992961314268941</v>
      </c>
      <c r="F373" s="51" t="n">
        <f aca="false">1+IF($G$10=$E$10,$F$10,IF(T373&lt;($F$10-$E$10)/($G$10-$E$10),$E$10+SQRT(T373*($G$10-$E$10)*($F$10-$E$10)),$G$10-SQRT((1-T373)*($G$10-$E$10)*($G$10-$F$10))))</f>
        <v>1.0126302359743</v>
      </c>
      <c r="G373" s="52" t="n">
        <f aca="false">IF($G$11=$E$11,$F$11,IF(U373&lt;($F$11-$E$11)/($G$11-$E$11),$E$11+SQRT(U373*($G$11-$E$11)*($F$11-$E$11)),$G$11-SQRT((1-U373)*($G$11-$E$11)*($G$11-$F$11))))</f>
        <v>0.101402662378716</v>
      </c>
      <c r="H373" s="53" t="n">
        <f aca="false">(('Business Case'!B11*$C373*'Business Case'!B12*$B373)-'Business Case'!B11*$C373*'Business Case'!B13*$D373-'Business Case'!B14*$E373)-MAX(0,(('Business Case'!B11*$C373*'Business Case'!B12*$B373)-'Business Case'!B11*$C373*'Business Case'!B13*$D373-'Business Case'!B14*$E373))*'Business Case'!$B$7-'Business Case'!$B$8*('Business Case'!B11*$C373*'Business Case'!B12*$B373)-'Business Case'!B15*$F373</f>
        <v>-2025260471.94859</v>
      </c>
      <c r="I373" s="53" t="n">
        <f aca="false">(('Business Case'!C11*$C373*'Business Case'!C12*$B373)-'Business Case'!C11*$C373*'Business Case'!C13*$D373-'Business Case'!C14*$E373)-MAX(0,(('Business Case'!C11*$C373*'Business Case'!C12*$B373)-'Business Case'!C11*$C373*'Business Case'!C13*$D373-'Business Case'!C14*$E373))*'Business Case'!$B$7-'Business Case'!$B$8*(('Business Case'!C11*$C373*'Business Case'!C12*$B373)-('Business Case'!B11*$C373*'Business Case'!B12*$B373))-'Business Case'!C15*$F373</f>
        <v>20905946.7675151</v>
      </c>
      <c r="J373" s="53" t="n">
        <f aca="false">(('Business Case'!D11*$C373*'Business Case'!D12*$B373)-'Business Case'!D11*$C373*'Business Case'!D13*$D373-'Business Case'!D14*$E373)-MAX(0,(('Business Case'!D11*$C373*'Business Case'!D12*$B373)-'Business Case'!D11*$C373*'Business Case'!D13*$D373-'Business Case'!D14*$E373))*'Business Case'!$B$7-'Business Case'!$B$8*(('Business Case'!D11*$C373*'Business Case'!D12*$B373)-('Business Case'!C11*$C373*'Business Case'!C12*$B373))-'Business Case'!D15*$F373</f>
        <v>340102763.20655</v>
      </c>
      <c r="K373" s="53" t="n">
        <f aca="false">(('Business Case'!E11*$C373*'Business Case'!E12*$B373)-'Business Case'!E11*$C373*'Business Case'!E13*$D373-'Business Case'!E14*$E373)-MAX(0,(('Business Case'!E11*$C373*'Business Case'!E12*$B373)-'Business Case'!E11*$C373*'Business Case'!E13*$D373-'Business Case'!E14*$E373))*'Business Case'!$B$7-'Business Case'!$B$8*(('Business Case'!E11*$C373*'Business Case'!E12*$B373)-('Business Case'!D11*$C373*'Business Case'!D12*$B373))-'Business Case'!E15*$F373</f>
        <v>709931091.4443</v>
      </c>
      <c r="L373" s="53" t="n">
        <f aca="false">(('Business Case'!F11*$C373*'Business Case'!F12*$B373)-'Business Case'!F11*$C373*'Business Case'!F13*$D373-'Business Case'!F14*$E373)-MAX(0,(('Business Case'!F11*$C373*'Business Case'!F12*$B373)-'Business Case'!F11*$C373*'Business Case'!F13*$D373-'Business Case'!F14*$E373))*'Business Case'!$B$7-'Business Case'!$B$8*(('Business Case'!F11*$C373*'Business Case'!F12*$B373)-('Business Case'!E11*$C373*'Business Case'!E12*$B373))-'Business Case'!F15*$F373</f>
        <v>853549195.047343</v>
      </c>
      <c r="M373" s="53" t="n">
        <f aca="false">(('Business Case'!G11*$C373*'Business Case'!G12*$B373)-'Business Case'!G11*$C373*'Business Case'!G13*$D373-'Business Case'!G14*$E373)-MAX(0,(('Business Case'!G11*$C373*'Business Case'!G12*$B373)-'Business Case'!G11*$C373*'Business Case'!G13*$D373-'Business Case'!G14*$E373))*'Business Case'!$B$7-'Business Case'!$B$8*(('Business Case'!G11*$C373*'Business Case'!G12*$B373)-('Business Case'!F11*$C373*'Business Case'!F12*$B373))-'Business Case'!G15*$F373+'Business Case'!$B$8*('Business Case'!G11*$C373*'Business Case'!G12*$B373)</f>
        <v>1058254601.39251</v>
      </c>
      <c r="N373" s="53" t="n">
        <f aca="false">IF(COUNT('Business Case'!B11:G11)=0,"",H373+NPV(G373,I373:M373))</f>
        <v>38369286.2078075</v>
      </c>
      <c r="P373" s="54" t="n">
        <f aca="true">RAND()</f>
        <v>0.0610933140750934</v>
      </c>
      <c r="Q373" s="54" t="n">
        <f aca="true">RAND()</f>
        <v>0.998305077938362</v>
      </c>
      <c r="R373" s="54" t="n">
        <f aca="true">RAND()</f>
        <v>0.0304350492582566</v>
      </c>
      <c r="S373" s="54" t="n">
        <f aca="true">RAND()</f>
        <v>0.246089936495299</v>
      </c>
      <c r="T373" s="54" t="n">
        <f aca="true">RAND()</f>
        <v>0.297851430579047</v>
      </c>
      <c r="U373" s="54" t="n">
        <f aca="true">RAND()</f>
        <v>0.423565055666642</v>
      </c>
    </row>
    <row r="374" customFormat="false" ht="15" hidden="false" customHeight="false" outlineLevel="0" collapsed="false">
      <c r="A374" s="50" t="n">
        <v>294</v>
      </c>
      <c r="B374" s="51" t="n">
        <f aca="false">1+IF($G$6=$E$6,$F$6,IF(P374&lt;($F$6-$E$6)/($G$6-$E$6),$E$6+SQRT(P374*($G$6-$E$6)*($F$6-$E$6)),$G$6-SQRT((1-P374)*($G$6-$E$6)*($G$6-$F$6))))</f>
        <v>0.963643805677103</v>
      </c>
      <c r="C374" s="51" t="n">
        <f aca="false">1+IF($G$7=$E$7,$F$7,IF(Q374&lt;($F$7-$E$7)/($G$7-$E$7),$E$7+SQRT(Q374*($G$7-$E$7)*($F$7-$E$7)),$G$7-SQRT((1-Q374)*($G$7-$E$7)*($G$7-$F$7))))</f>
        <v>0.994745826578084</v>
      </c>
      <c r="D374" s="51" t="n">
        <f aca="false">1+IF($G$8=$E$8,$F$8,IF(R374&lt;($F$8-$E$8)/($G$8-$E$8),$E$8+SQRT(R374*($G$8-$E$8)*($F$8-$E$8)),$G$8-SQRT((1-R374)*($G$8-$E$8)*($G$8-$F$8))))</f>
        <v>1.01064423170069</v>
      </c>
      <c r="E374" s="51" t="n">
        <f aca="false">1+IF($G$9=$E$9,$F$9,IF(S374&lt;($F$9-$E$9)/($G$9-$E$9),$E$9+SQRT(S374*($G$9-$E$9)*($F$9-$E$9)),$G$9-SQRT((1-S374)*($G$9-$E$9)*($G$9-$F$9))))</f>
        <v>0.965728552551692</v>
      </c>
      <c r="F374" s="51" t="n">
        <f aca="false">1+IF($G$10=$E$10,$F$10,IF(T374&lt;($F$10-$E$10)/($G$10-$E$10),$E$10+SQRT(T374*($G$10-$E$10)*($F$10-$E$10)),$G$10-SQRT((1-T374)*($G$10-$E$10)*($G$10-$F$10))))</f>
        <v>1.00975678315627</v>
      </c>
      <c r="G374" s="52" t="n">
        <f aca="false">IF($G$11=$E$11,$F$11,IF(U374&lt;($F$11-$E$11)/($G$11-$E$11),$E$11+SQRT(U374*($G$11-$E$11)*($F$11-$E$11)),$G$11-SQRT((1-U374)*($G$11-$E$11)*($G$11-$F$11))))</f>
        <v>0.0979772840210314</v>
      </c>
      <c r="H374" s="53" t="n">
        <f aca="false">(('Business Case'!B11*$C374*'Business Case'!B12*$B374)-'Business Case'!B11*$C374*'Business Case'!B13*$D374-'Business Case'!B14*$E374)-MAX(0,(('Business Case'!B11*$C374*'Business Case'!B12*$B374)-'Business Case'!B11*$C374*'Business Case'!B13*$D374-'Business Case'!B14*$E374))*'Business Case'!$B$7-'Business Case'!$B$8*('Business Case'!B11*$C374*'Business Case'!B12*$B374)-'Business Case'!B15*$F374</f>
        <v>-2019513566.31254</v>
      </c>
      <c r="I374" s="53" t="n">
        <f aca="false">(('Business Case'!C11*$C374*'Business Case'!C12*$B374)-'Business Case'!C11*$C374*'Business Case'!C13*$D374-'Business Case'!C14*$E374)-MAX(0,(('Business Case'!C11*$C374*'Business Case'!C12*$B374)-'Business Case'!C11*$C374*'Business Case'!C13*$D374-'Business Case'!C14*$E374))*'Business Case'!$B$7-'Business Case'!$B$8*(('Business Case'!C11*$C374*'Business Case'!C12*$B374)-('Business Case'!B11*$C374*'Business Case'!B12*$B374))-'Business Case'!C15*$F374</f>
        <v>-17499174.8237027</v>
      </c>
      <c r="J374" s="53" t="n">
        <f aca="false">(('Business Case'!D11*$C374*'Business Case'!D12*$B374)-'Business Case'!D11*$C374*'Business Case'!D13*$D374-'Business Case'!D14*$E374)-MAX(0,(('Business Case'!D11*$C374*'Business Case'!D12*$B374)-'Business Case'!D11*$C374*'Business Case'!D13*$D374-'Business Case'!D14*$E374))*'Business Case'!$B$7-'Business Case'!$B$8*(('Business Case'!D11*$C374*'Business Case'!D12*$B374)-('Business Case'!C11*$C374*'Business Case'!C12*$B374))-'Business Case'!D15*$F374</f>
        <v>252996749.944698</v>
      </c>
      <c r="K374" s="53" t="n">
        <f aca="false">(('Business Case'!E11*$C374*'Business Case'!E12*$B374)-'Business Case'!E11*$C374*'Business Case'!E13*$D374-'Business Case'!E14*$E374)-MAX(0,(('Business Case'!E11*$C374*'Business Case'!E12*$B374)-'Business Case'!E11*$C374*'Business Case'!E13*$D374-'Business Case'!E14*$E374))*'Business Case'!$B$7-'Business Case'!$B$8*(('Business Case'!E11*$C374*'Business Case'!E12*$B374)-('Business Case'!D11*$C374*'Business Case'!D12*$B374))-'Business Case'!E15*$F374</f>
        <v>573980513.870912</v>
      </c>
      <c r="L374" s="53" t="n">
        <f aca="false">(('Business Case'!F11*$C374*'Business Case'!F12*$B374)-'Business Case'!F11*$C374*'Business Case'!F13*$D374-'Business Case'!F14*$E374)-MAX(0,(('Business Case'!F11*$C374*'Business Case'!F12*$B374)-'Business Case'!F11*$C374*'Business Case'!F13*$D374-'Business Case'!F14*$E374))*'Business Case'!$B$7-'Business Case'!$B$8*(('Business Case'!F11*$C374*'Business Case'!F12*$B374)-('Business Case'!E11*$C374*'Business Case'!E12*$B374))-'Business Case'!F15*$F374</f>
        <v>697274369.529462</v>
      </c>
      <c r="M374" s="53" t="n">
        <f aca="false">(('Business Case'!G11*$C374*'Business Case'!G12*$B374)-'Business Case'!G11*$C374*'Business Case'!G13*$D374-'Business Case'!G14*$E374)-MAX(0,(('Business Case'!G11*$C374*'Business Case'!G12*$B374)-'Business Case'!G11*$C374*'Business Case'!G13*$D374-'Business Case'!G14*$E374))*'Business Case'!$B$7-'Business Case'!$B$8*(('Business Case'!G11*$C374*'Business Case'!G12*$B374)-('Business Case'!F11*$C374*'Business Case'!F12*$B374))-'Business Case'!G15*$F374+'Business Case'!$B$8*('Business Case'!G11*$C374*'Business Case'!G12*$B374)</f>
        <v>879481380.242755</v>
      </c>
      <c r="N374" s="53" t="n">
        <f aca="false">IF(COUNT('Business Case'!B11:G11)=0,"",H374+NPV(G374,I374:M374))</f>
        <v>-361059854.315933</v>
      </c>
      <c r="P374" s="54" t="n">
        <f aca="true">RAND()</f>
        <v>0.198414768122992</v>
      </c>
      <c r="Q374" s="54" t="n">
        <f aca="true">RAND()</f>
        <v>0.541799099565447</v>
      </c>
      <c r="R374" s="54" t="n">
        <f aca="true">RAND()</f>
        <v>0.537478596501233</v>
      </c>
      <c r="S374" s="54" t="n">
        <f aca="true">RAND()</f>
        <v>0.0329849820495133</v>
      </c>
      <c r="T374" s="54" t="n">
        <f aca="true">RAND()</f>
        <v>0.27615036889898</v>
      </c>
      <c r="U374" s="54" t="n">
        <f aca="true">RAND()</f>
        <v>0.212123534507344</v>
      </c>
    </row>
    <row r="375" customFormat="false" ht="15" hidden="false" customHeight="false" outlineLevel="0" collapsed="false">
      <c r="A375" s="50" t="n">
        <v>295</v>
      </c>
      <c r="B375" s="51" t="n">
        <f aca="false">1+IF($G$6=$E$6,$F$6,IF(P375&lt;($F$6-$E$6)/($G$6-$E$6),$E$6+SQRT(P375*($G$6-$E$6)*($F$6-$E$6)),$G$6-SQRT((1-P375)*($G$6-$E$6)*($G$6-$F$6))))</f>
        <v>1.01775906010586</v>
      </c>
      <c r="C375" s="51" t="n">
        <f aca="false">1+IF($G$7=$E$7,$F$7,IF(Q375&lt;($F$7-$E$7)/($G$7-$E$7),$E$7+SQRT(Q375*($G$7-$E$7)*($F$7-$E$7)),$G$7-SQRT((1-Q375)*($G$7-$E$7)*($G$7-$F$7))))</f>
        <v>0.934514286467063</v>
      </c>
      <c r="D375" s="51" t="n">
        <f aca="false">1+IF($G$8=$E$8,$F$8,IF(R375&lt;($F$8-$E$8)/($G$8-$E$8),$E$8+SQRT(R375*($G$8-$E$8)*($F$8-$E$8)),$G$8-SQRT((1-R375)*($G$8-$E$8)*($G$8-$F$8))))</f>
        <v>1.05712592805096</v>
      </c>
      <c r="E375" s="51" t="n">
        <f aca="false">1+IF($G$9=$E$9,$F$9,IF(S375&lt;($F$9-$E$9)/($G$9-$E$9),$E$9+SQRT(S375*($G$9-$E$9)*($F$9-$E$9)),$G$9-SQRT((1-S375)*($G$9-$E$9)*($G$9-$F$9))))</f>
        <v>0.985259289624007</v>
      </c>
      <c r="F375" s="51" t="n">
        <f aca="false">1+IF($G$10=$E$10,$F$10,IF(T375&lt;($F$10-$E$10)/($G$10-$E$10),$E$10+SQRT(T375*($G$10-$E$10)*($F$10-$E$10)),$G$10-SQRT((1-T375)*($G$10-$E$10)*($G$10-$F$10))))</f>
        <v>1.0095830183162</v>
      </c>
      <c r="G375" s="52" t="n">
        <f aca="false">IF($G$11=$E$11,$F$11,IF(U375&lt;($F$11-$E$11)/($G$11-$E$11),$E$11+SQRT(U375*($G$11-$E$11)*($F$11-$E$11)),$G$11-SQRT((1-U375)*($G$11-$E$11)*($G$11-$F$11))))</f>
        <v>0.11013737406281</v>
      </c>
      <c r="H375" s="53" t="n">
        <f aca="false">(('Business Case'!B11*$C375*'Business Case'!B12*$B375)-'Business Case'!B11*$C375*'Business Case'!B13*$D375-'Business Case'!B14*$E375)-MAX(0,(('Business Case'!B11*$C375*'Business Case'!B12*$B375)-'Business Case'!B11*$C375*'Business Case'!B13*$D375-'Business Case'!B14*$E375))*'Business Case'!$B$7-'Business Case'!$B$8*('Business Case'!B11*$C375*'Business Case'!B12*$B375)-'Business Case'!B15*$F375</f>
        <v>-2019166036.6324</v>
      </c>
      <c r="I375" s="53" t="n">
        <f aca="false">(('Business Case'!C11*$C375*'Business Case'!C12*$B375)-'Business Case'!C11*$C375*'Business Case'!C13*$D375-'Business Case'!C14*$E375)-MAX(0,(('Business Case'!C11*$C375*'Business Case'!C12*$B375)-'Business Case'!C11*$C375*'Business Case'!C13*$D375-'Business Case'!C14*$E375))*'Business Case'!$B$7-'Business Case'!$B$8*(('Business Case'!C11*$C375*'Business Case'!C12*$B375)-('Business Case'!B11*$C375*'Business Case'!B12*$B375))-'Business Case'!C15*$F375</f>
        <v>-17065252.9533439</v>
      </c>
      <c r="J375" s="53" t="n">
        <f aca="false">(('Business Case'!D11*$C375*'Business Case'!D12*$B375)-'Business Case'!D11*$C375*'Business Case'!D13*$D375-'Business Case'!D14*$E375)-MAX(0,(('Business Case'!D11*$C375*'Business Case'!D12*$B375)-'Business Case'!D11*$C375*'Business Case'!D13*$D375-'Business Case'!D14*$E375))*'Business Case'!$B$7-'Business Case'!$B$8*(('Business Case'!D11*$C375*'Business Case'!D12*$B375)-('Business Case'!C11*$C375*'Business Case'!C12*$B375))-'Business Case'!D15*$F375</f>
        <v>256237229.104581</v>
      </c>
      <c r="K375" s="53" t="n">
        <f aca="false">(('Business Case'!E11*$C375*'Business Case'!E12*$B375)-'Business Case'!E11*$C375*'Business Case'!E13*$D375-'Business Case'!E14*$E375)-MAX(0,(('Business Case'!E11*$C375*'Business Case'!E12*$B375)-'Business Case'!E11*$C375*'Business Case'!E13*$D375-'Business Case'!E14*$E375))*'Business Case'!$B$7-'Business Case'!$B$8*(('Business Case'!E11*$C375*'Business Case'!E12*$B375)-('Business Case'!D11*$C375*'Business Case'!D12*$B375))-'Business Case'!E15*$F375</f>
        <v>580018862.078317</v>
      </c>
      <c r="L375" s="53" t="n">
        <f aca="false">(('Business Case'!F11*$C375*'Business Case'!F12*$B375)-'Business Case'!F11*$C375*'Business Case'!F13*$D375-'Business Case'!F14*$E375)-MAX(0,(('Business Case'!F11*$C375*'Business Case'!F12*$B375)-'Business Case'!F11*$C375*'Business Case'!F13*$D375-'Business Case'!F14*$E375))*'Business Case'!$B$7-'Business Case'!$B$8*(('Business Case'!F11*$C375*'Business Case'!F12*$B375)-('Business Case'!E11*$C375*'Business Case'!E12*$B375))-'Business Case'!F15*$F375</f>
        <v>703990064.227702</v>
      </c>
      <c r="M375" s="53" t="n">
        <f aca="false">(('Business Case'!G11*$C375*'Business Case'!G12*$B375)-'Business Case'!G11*$C375*'Business Case'!G13*$D375-'Business Case'!G14*$E375)-MAX(0,(('Business Case'!G11*$C375*'Business Case'!G12*$B375)-'Business Case'!G11*$C375*'Business Case'!G13*$D375-'Business Case'!G14*$E375))*'Business Case'!$B$7-'Business Case'!$B$8*(('Business Case'!G11*$C375*'Business Case'!G12*$B375)-('Business Case'!F11*$C375*'Business Case'!F12*$B375))-'Business Case'!G15*$F375+'Business Case'!$B$8*('Business Case'!G11*$C375*'Business Case'!G12*$B375)</f>
        <v>884777125.609792</v>
      </c>
      <c r="N375" s="53" t="n">
        <f aca="false">IF(COUNT('Business Case'!B11:G11)=0,"",H375+NPV(G375,I375:M375))</f>
        <v>-414416523.387719</v>
      </c>
      <c r="P375" s="54" t="n">
        <f aca="true">RAND()</f>
        <v>0.896945956796957</v>
      </c>
      <c r="Q375" s="54" t="n">
        <f aca="true">RAND()</f>
        <v>0.258487046624903</v>
      </c>
      <c r="R375" s="54" t="n">
        <f aca="true">RAND()</f>
        <v>0.949690080045193</v>
      </c>
      <c r="S375" s="54" t="n">
        <f aca="true">RAND()</f>
        <v>0.165762333971952</v>
      </c>
      <c r="T375" s="54" t="n">
        <f aca="true">RAND()</f>
        <v>0.274827461728631</v>
      </c>
      <c r="U375" s="54" t="n">
        <f aca="true">RAND()</f>
        <v>0.837881016038453</v>
      </c>
    </row>
    <row r="376" customFormat="false" ht="15" hidden="false" customHeight="false" outlineLevel="0" collapsed="false">
      <c r="A376" s="50" t="n">
        <v>296</v>
      </c>
      <c r="B376" s="51" t="n">
        <f aca="false">1+IF($G$6=$E$6,$F$6,IF(P376&lt;($F$6-$E$6)/($G$6-$E$6),$E$6+SQRT(P376*($G$6-$E$6)*($F$6-$E$6)),$G$6-SQRT((1-P376)*($G$6-$E$6)*($G$6-$F$6))))</f>
        <v>0.992980447589076</v>
      </c>
      <c r="C376" s="51" t="n">
        <f aca="false">1+IF($G$7=$E$7,$F$7,IF(Q376&lt;($F$7-$E$7)/($G$7-$E$7),$E$7+SQRT(Q376*($G$7-$E$7)*($F$7-$E$7)),$G$7-SQRT((1-Q376)*($G$7-$E$7)*($G$7-$F$7))))</f>
        <v>1.02159617320522</v>
      </c>
      <c r="D376" s="51" t="n">
        <f aca="false">1+IF($G$8=$E$8,$F$8,IF(R376&lt;($F$8-$E$8)/($G$8-$E$8),$E$8+SQRT(R376*($G$8-$E$8)*($F$8-$E$8)),$G$8-SQRT((1-R376)*($G$8-$E$8)*($G$8-$F$8))))</f>
        <v>1.01506575539817</v>
      </c>
      <c r="E376" s="51" t="n">
        <f aca="false">1+IF($G$9=$E$9,$F$9,IF(S376&lt;($F$9-$E$9)/($G$9-$E$9),$E$9+SQRT(S376*($G$9-$E$9)*($F$9-$E$9)),$G$9-SQRT((1-S376)*($G$9-$E$9)*($G$9-$F$9))))</f>
        <v>1.06336278162366</v>
      </c>
      <c r="F376" s="51" t="n">
        <f aca="false">1+IF($G$10=$E$10,$F$10,IF(T376&lt;($F$10-$E$10)/($G$10-$E$10),$E$10+SQRT(T376*($G$10-$E$10)*($F$10-$E$10)),$G$10-SQRT((1-T376)*($G$10-$E$10)*($G$10-$F$10))))</f>
        <v>1.03844748100968</v>
      </c>
      <c r="G376" s="52" t="n">
        <f aca="false">IF($G$11=$E$11,$F$11,IF(U376&lt;($F$11-$E$11)/($G$11-$E$11),$E$11+SQRT(U376*($G$11-$E$11)*($F$11-$E$11)),$G$11-SQRT((1-U376)*($G$11-$E$11)*($G$11-$F$11))))</f>
        <v>0.100461381465737</v>
      </c>
      <c r="H376" s="53" t="n">
        <f aca="false">(('Business Case'!B11*$C376*'Business Case'!B12*$B376)-'Business Case'!B11*$C376*'Business Case'!B13*$D376-'Business Case'!B14*$E376)-MAX(0,(('Business Case'!B11*$C376*'Business Case'!B12*$B376)-'Business Case'!B11*$C376*'Business Case'!B13*$D376-'Business Case'!B14*$E376))*'Business Case'!$B$7-'Business Case'!$B$8*('Business Case'!B11*$C376*'Business Case'!B12*$B376)-'Business Case'!B15*$F376</f>
        <v>-2076894962.01937</v>
      </c>
      <c r="I376" s="53" t="n">
        <f aca="false">(('Business Case'!C11*$C376*'Business Case'!C12*$B376)-'Business Case'!C11*$C376*'Business Case'!C13*$D376-'Business Case'!C14*$E376)-MAX(0,(('Business Case'!C11*$C376*'Business Case'!C12*$B376)-'Business Case'!C11*$C376*'Business Case'!C13*$D376-'Business Case'!C14*$E376))*'Business Case'!$B$7-'Business Case'!$B$8*(('Business Case'!C11*$C376*'Business Case'!C12*$B376)-('Business Case'!B11*$C376*'Business Case'!B12*$B376))-'Business Case'!C15*$F376</f>
        <v>-7610128.76311497</v>
      </c>
      <c r="J376" s="53" t="n">
        <f aca="false">(('Business Case'!D11*$C376*'Business Case'!D12*$B376)-'Business Case'!D11*$C376*'Business Case'!D13*$D376-'Business Case'!D14*$E376)-MAX(0,(('Business Case'!D11*$C376*'Business Case'!D12*$B376)-'Business Case'!D11*$C376*'Business Case'!D13*$D376-'Business Case'!D14*$E376))*'Business Case'!$B$7-'Business Case'!$B$8*(('Business Case'!D11*$C376*'Business Case'!D12*$B376)-('Business Case'!C11*$C376*'Business Case'!C12*$B376))-'Business Case'!D15*$F376</f>
        <v>292422471.43445</v>
      </c>
      <c r="K376" s="53" t="n">
        <f aca="false">(('Business Case'!E11*$C376*'Business Case'!E12*$B376)-'Business Case'!E11*$C376*'Business Case'!E13*$D376-'Business Case'!E14*$E376)-MAX(0,(('Business Case'!E11*$C376*'Business Case'!E12*$B376)-'Business Case'!E11*$C376*'Business Case'!E13*$D376-'Business Case'!E14*$E376))*'Business Case'!$B$7-'Business Case'!$B$8*(('Business Case'!E11*$C376*'Business Case'!E12*$B376)-('Business Case'!D11*$C376*'Business Case'!D12*$B376))-'Business Case'!E15*$F376</f>
        <v>644377445.682499</v>
      </c>
      <c r="L376" s="53" t="n">
        <f aca="false">(('Business Case'!F11*$C376*'Business Case'!F12*$B376)-'Business Case'!F11*$C376*'Business Case'!F13*$D376-'Business Case'!F14*$E376)-MAX(0,(('Business Case'!F11*$C376*'Business Case'!F12*$B376)-'Business Case'!F11*$C376*'Business Case'!F13*$D376-'Business Case'!F14*$E376))*'Business Case'!$B$7-'Business Case'!$B$8*(('Business Case'!F11*$C376*'Business Case'!F12*$B376)-('Business Case'!E11*$C376*'Business Case'!E12*$B376))-'Business Case'!F15*$F376</f>
        <v>779446841.290239</v>
      </c>
      <c r="M376" s="53" t="n">
        <f aca="false">(('Business Case'!G11*$C376*'Business Case'!G12*$B376)-'Business Case'!G11*$C376*'Business Case'!G13*$D376-'Business Case'!G14*$E376)-MAX(0,(('Business Case'!G11*$C376*'Business Case'!G12*$B376)-'Business Case'!G11*$C376*'Business Case'!G13*$D376-'Business Case'!G14*$E376))*'Business Case'!$B$7-'Business Case'!$B$8*(('Business Case'!G11*$C376*'Business Case'!G12*$B376)-('Business Case'!F11*$C376*'Business Case'!F12*$B376))-'Business Case'!G15*$F376+'Business Case'!$B$8*('Business Case'!G11*$C376*'Business Case'!G12*$B376)</f>
        <v>972268750.103941</v>
      </c>
      <c r="N376" s="53" t="n">
        <f aca="false">IF(COUNT('Business Case'!B11:G11)=0,"",H376+NPV(G376,I376:M376))</f>
        <v>-224901525.610558</v>
      </c>
      <c r="P376" s="54" t="n">
        <f aca="true">RAND()</f>
        <v>0.554806846906452</v>
      </c>
      <c r="Q376" s="54" t="n">
        <f aca="true">RAND()</f>
        <v>0.685951566942022</v>
      </c>
      <c r="R376" s="54" t="n">
        <f aca="true">RAND()</f>
        <v>0.594571526729722</v>
      </c>
      <c r="S376" s="54" t="n">
        <f aca="true">RAND()</f>
        <v>0.910514281976269</v>
      </c>
      <c r="T376" s="54" t="n">
        <f aca="true">RAND()</f>
        <v>0.478015672157669</v>
      </c>
      <c r="U376" s="54" t="n">
        <f aca="true">RAND()</f>
        <v>0.363737309620926</v>
      </c>
    </row>
    <row r="377" customFormat="false" ht="15" hidden="false" customHeight="false" outlineLevel="0" collapsed="false">
      <c r="A377" s="50" t="n">
        <v>297</v>
      </c>
      <c r="B377" s="51" t="n">
        <f aca="false">1+IF($G$6=$E$6,$F$6,IF(P377&lt;($F$6-$E$6)/($G$6-$E$6),$E$6+SQRT(P377*($G$6-$E$6)*($F$6-$E$6)),$G$6-SQRT((1-P377)*($G$6-$E$6)*($G$6-$F$6))))</f>
        <v>0.991668806445623</v>
      </c>
      <c r="C377" s="51" t="n">
        <f aca="false">1+IF($G$7=$E$7,$F$7,IF(Q377&lt;($F$7-$E$7)/($G$7-$E$7),$E$7+SQRT(Q377*($G$7-$E$7)*($F$7-$E$7)),$G$7-SQRT((1-Q377)*($G$7-$E$7)*($G$7-$F$7))))</f>
        <v>0.845423891949376</v>
      </c>
      <c r="D377" s="51" t="n">
        <f aca="false">1+IF($G$8=$E$8,$F$8,IF(R377&lt;($F$8-$E$8)/($G$8-$E$8),$E$8+SQRT(R377*($G$8-$E$8)*($F$8-$E$8)),$G$8-SQRT((1-R377)*($G$8-$E$8)*($G$8-$F$8))))</f>
        <v>0.983654024392996</v>
      </c>
      <c r="E377" s="51" t="n">
        <f aca="false">1+IF($G$9=$E$9,$F$9,IF(S377&lt;($F$9-$E$9)/($G$9-$E$9),$E$9+SQRT(S377*($G$9-$E$9)*($F$9-$E$9)),$G$9-SQRT((1-S377)*($G$9-$E$9)*($G$9-$F$9))))</f>
        <v>1.04231957189488</v>
      </c>
      <c r="F377" s="51" t="n">
        <f aca="false">1+IF($G$10=$E$10,$F$10,IF(T377&lt;($F$10-$E$10)/($G$10-$E$10),$E$10+SQRT(T377*($G$10-$E$10)*($F$10-$E$10)),$G$10-SQRT((1-T377)*($G$10-$E$10)*($G$10-$F$10))))</f>
        <v>0.990126907839674</v>
      </c>
      <c r="G377" s="52" t="n">
        <f aca="false">IF($G$11=$E$11,$F$11,IF(U377&lt;($F$11-$E$11)/($G$11-$E$11),$E$11+SQRT(U377*($G$11-$E$11)*($F$11-$E$11)),$G$11-SQRT((1-U377)*($G$11-$E$11)*($G$11-$F$11))))</f>
        <v>0.0995709888076758</v>
      </c>
      <c r="H377" s="53" t="n">
        <f aca="false">(('Business Case'!B11*$C377*'Business Case'!B12*$B377)-'Business Case'!B11*$C377*'Business Case'!B13*$D377-'Business Case'!B14*$E377)-MAX(0,(('Business Case'!B11*$C377*'Business Case'!B12*$B377)-'Business Case'!B11*$C377*'Business Case'!B13*$D377-'Business Case'!B14*$E377))*'Business Case'!$B$7-'Business Case'!$B$8*('Business Case'!B11*$C377*'Business Case'!B12*$B377)-'Business Case'!B15*$F377</f>
        <v>-1980253815.67935</v>
      </c>
      <c r="I377" s="53" t="n">
        <f aca="false">(('Business Case'!C11*$C377*'Business Case'!C12*$B377)-'Business Case'!C11*$C377*'Business Case'!C13*$D377-'Business Case'!C14*$E377)-MAX(0,(('Business Case'!C11*$C377*'Business Case'!C12*$B377)-'Business Case'!C11*$C377*'Business Case'!C13*$D377-'Business Case'!C14*$E377))*'Business Case'!$B$7-'Business Case'!$B$8*(('Business Case'!C11*$C377*'Business Case'!C12*$B377)-('Business Case'!B11*$C377*'Business Case'!B12*$B377))-'Business Case'!C15*$F377</f>
        <v>-29713218.5081705</v>
      </c>
      <c r="J377" s="53" t="n">
        <f aca="false">(('Business Case'!D11*$C377*'Business Case'!D12*$B377)-'Business Case'!D11*$C377*'Business Case'!D13*$D377-'Business Case'!D14*$E377)-MAX(0,(('Business Case'!D11*$C377*'Business Case'!D12*$B377)-'Business Case'!D11*$C377*'Business Case'!D13*$D377-'Business Case'!D14*$E377))*'Business Case'!$B$7-'Business Case'!$B$8*(('Business Case'!D11*$C377*'Business Case'!D12*$B377)-('Business Case'!C11*$C377*'Business Case'!C12*$B377))-'Business Case'!D15*$F377</f>
        <v>231265742.108022</v>
      </c>
      <c r="K377" s="53" t="n">
        <f aca="false">(('Business Case'!E11*$C377*'Business Case'!E12*$B377)-'Business Case'!E11*$C377*'Business Case'!E13*$D377-'Business Case'!E14*$E377)-MAX(0,(('Business Case'!E11*$C377*'Business Case'!E12*$B377)-'Business Case'!E11*$C377*'Business Case'!E13*$D377-'Business Case'!E14*$E377))*'Business Case'!$B$7-'Business Case'!$B$8*(('Business Case'!E11*$C377*'Business Case'!E12*$B377)-('Business Case'!D11*$C377*'Business Case'!D12*$B377))-'Business Case'!E15*$F377</f>
        <v>541751048.116198</v>
      </c>
      <c r="L377" s="53" t="n">
        <f aca="false">(('Business Case'!F11*$C377*'Business Case'!F12*$B377)-'Business Case'!F11*$C377*'Business Case'!F13*$D377-'Business Case'!F14*$E377)-MAX(0,(('Business Case'!F11*$C377*'Business Case'!F12*$B377)-'Business Case'!F11*$C377*'Business Case'!F13*$D377-'Business Case'!F14*$E377))*'Business Case'!$B$7-'Business Case'!$B$8*(('Business Case'!F11*$C377*'Business Case'!F12*$B377)-('Business Case'!E11*$C377*'Business Case'!E12*$B377))-'Business Case'!F15*$F377</f>
        <v>657718465.132891</v>
      </c>
      <c r="M377" s="53" t="n">
        <f aca="false">(('Business Case'!G11*$C377*'Business Case'!G12*$B377)-'Business Case'!G11*$C377*'Business Case'!G13*$D377-'Business Case'!G14*$E377)-MAX(0,(('Business Case'!G11*$C377*'Business Case'!G12*$B377)-'Business Case'!G11*$C377*'Business Case'!G13*$D377-'Business Case'!G14*$E377))*'Business Case'!$B$7-'Business Case'!$B$8*(('Business Case'!G11*$C377*'Business Case'!G12*$B377)-('Business Case'!F11*$C377*'Business Case'!F12*$B377))-'Business Case'!G15*$F377+'Business Case'!$B$8*('Business Case'!G11*$C377*'Business Case'!G12*$B377)</f>
        <v>817077830.92835</v>
      </c>
      <c r="N377" s="53" t="n">
        <f aca="false">IF(COUNT('Business Case'!B11:G11)=0,"",H377+NPV(G377,I377:M377))</f>
        <v>-450232691.998306</v>
      </c>
      <c r="P377" s="54" t="n">
        <f aca="true">RAND()</f>
        <v>0.535043522639599</v>
      </c>
      <c r="Q377" s="54" t="n">
        <f aca="true">RAND()</f>
        <v>0.0294761422832655</v>
      </c>
      <c r="R377" s="54" t="n">
        <f aca="true">RAND()</f>
        <v>0.174245131976057</v>
      </c>
      <c r="S377" s="54" t="n">
        <f aca="true">RAND()</f>
        <v>0.778197880907349</v>
      </c>
      <c r="T377" s="54" t="n">
        <f aca="true">RAND()</f>
        <v>0.128813498621896</v>
      </c>
      <c r="U377" s="54" t="n">
        <f aca="true">RAND()</f>
        <v>0.305346089188848</v>
      </c>
    </row>
    <row r="378" customFormat="false" ht="15" hidden="false" customHeight="false" outlineLevel="0" collapsed="false">
      <c r="A378" s="50" t="n">
        <v>298</v>
      </c>
      <c r="B378" s="51" t="n">
        <f aca="false">1+IF($G$6=$E$6,$F$6,IF(P378&lt;($F$6-$E$6)/($G$6-$E$6),$E$6+SQRT(P378*($G$6-$E$6)*($F$6-$E$6)),$G$6-SQRT((1-P378)*($G$6-$E$6)*($G$6-$F$6))))</f>
        <v>1.0181022848227</v>
      </c>
      <c r="C378" s="51" t="n">
        <f aca="false">1+IF($G$7=$E$7,$F$7,IF(Q378&lt;($F$7-$E$7)/($G$7-$E$7),$E$7+SQRT(Q378*($G$7-$E$7)*($F$7-$E$7)),$G$7-SQRT((1-Q378)*($G$7-$E$7)*($G$7-$F$7))))</f>
        <v>1.06861208969433</v>
      </c>
      <c r="D378" s="51" t="n">
        <f aca="false">1+IF($G$8=$E$8,$F$8,IF(R378&lt;($F$8-$E$8)/($G$8-$E$8),$E$8+SQRT(R378*($G$8-$E$8)*($F$8-$E$8)),$G$8-SQRT((1-R378)*($G$8-$E$8)*($G$8-$F$8))))</f>
        <v>1.01000574365667</v>
      </c>
      <c r="E378" s="51" t="n">
        <f aca="false">1+IF($G$9=$E$9,$F$9,IF(S378&lt;($F$9-$E$9)/($G$9-$E$9),$E$9+SQRT(S378*($G$9-$E$9)*($F$9-$E$9)),$G$9-SQRT((1-S378)*($G$9-$E$9)*($G$9-$F$9))))</f>
        <v>1.05494366138925</v>
      </c>
      <c r="F378" s="51" t="n">
        <f aca="false">1+IF($G$10=$E$10,$F$10,IF(T378&lt;($F$10-$E$10)/($G$10-$E$10),$E$10+SQRT(T378*($G$10-$E$10)*($F$10-$E$10)),$G$10-SQRT((1-T378)*($G$10-$E$10)*($G$10-$F$10))))</f>
        <v>1.00723115514255</v>
      </c>
      <c r="G378" s="52" t="n">
        <f aca="false">IF($G$11=$E$11,$F$11,IF(U378&lt;($F$11-$E$11)/($G$11-$E$11),$E$11+SQRT(U378*($G$11-$E$11)*($F$11-$E$11)),$G$11-SQRT((1-U378)*($G$11-$E$11)*($G$11-$F$11))))</f>
        <v>0.0910478859795105</v>
      </c>
      <c r="H378" s="53" t="n">
        <f aca="false">(('Business Case'!B11*$C378*'Business Case'!B12*$B378)-'Business Case'!B11*$C378*'Business Case'!B13*$D378-'Business Case'!B14*$E378)-MAX(0,(('Business Case'!B11*$C378*'Business Case'!B12*$B378)-'Business Case'!B11*$C378*'Business Case'!B13*$D378-'Business Case'!B14*$E378))*'Business Case'!$B$7-'Business Case'!$B$8*('Business Case'!B11*$C378*'Business Case'!B12*$B378)-'Business Case'!B15*$F378</f>
        <v>-2014462310.2851</v>
      </c>
      <c r="I378" s="53" t="n">
        <f aca="false">(('Business Case'!C11*$C378*'Business Case'!C12*$B378)-'Business Case'!C11*$C378*'Business Case'!C13*$D378-'Business Case'!C14*$E378)-MAX(0,(('Business Case'!C11*$C378*'Business Case'!C12*$B378)-'Business Case'!C11*$C378*'Business Case'!C13*$D378-'Business Case'!C14*$E378))*'Business Case'!$B$7-'Business Case'!$B$8*(('Business Case'!C11*$C378*'Business Case'!C12*$B378)-('Business Case'!B11*$C378*'Business Case'!B12*$B378))-'Business Case'!C15*$F378</f>
        <v>31461386.2771377</v>
      </c>
      <c r="J378" s="53" t="n">
        <f aca="false">(('Business Case'!D11*$C378*'Business Case'!D12*$B378)-'Business Case'!D11*$C378*'Business Case'!D13*$D378-'Business Case'!D14*$E378)-MAX(0,(('Business Case'!D11*$C378*'Business Case'!D12*$B378)-'Business Case'!D11*$C378*'Business Case'!D13*$D378-'Business Case'!D14*$E378))*'Business Case'!$B$7-'Business Case'!$B$8*(('Business Case'!D11*$C378*'Business Case'!D12*$B378)-('Business Case'!C11*$C378*'Business Case'!C12*$B378))-'Business Case'!D15*$F378</f>
        <v>370058537.018026</v>
      </c>
      <c r="K378" s="53" t="n">
        <f aca="false">(('Business Case'!E11*$C378*'Business Case'!E12*$B378)-'Business Case'!E11*$C378*'Business Case'!E13*$D378-'Business Case'!E14*$E378)-MAX(0,(('Business Case'!E11*$C378*'Business Case'!E12*$B378)-'Business Case'!E11*$C378*'Business Case'!E13*$D378-'Business Case'!E14*$E378))*'Business Case'!$B$7-'Business Case'!$B$8*(('Business Case'!E11*$C378*'Business Case'!E12*$B378)-('Business Case'!D11*$C378*'Business Case'!D12*$B378))-'Business Case'!E15*$F378</f>
        <v>759017245.516041</v>
      </c>
      <c r="L378" s="53" t="n">
        <f aca="false">(('Business Case'!F11*$C378*'Business Case'!F12*$B378)-'Business Case'!F11*$C378*'Business Case'!F13*$D378-'Business Case'!F14*$E378)-MAX(0,(('Business Case'!F11*$C378*'Business Case'!F12*$B378)-'Business Case'!F11*$C378*'Business Case'!F13*$D378-'Business Case'!F14*$E378))*'Business Case'!$B$7-'Business Case'!$B$8*(('Business Case'!F11*$C378*'Business Case'!F12*$B378)-('Business Case'!E11*$C378*'Business Case'!E12*$B378))-'Business Case'!F15*$F378</f>
        <v>909482735.962967</v>
      </c>
      <c r="M378" s="53" t="n">
        <f aca="false">(('Business Case'!G11*$C378*'Business Case'!G12*$B378)-'Business Case'!G11*$C378*'Business Case'!G13*$D378-'Business Case'!G14*$E378)-MAX(0,(('Business Case'!G11*$C378*'Business Case'!G12*$B378)-'Business Case'!G11*$C378*'Business Case'!G13*$D378-'Business Case'!G14*$E378))*'Business Case'!$B$7-'Business Case'!$B$8*(('Business Case'!G11*$C378*'Business Case'!G12*$B378)-('Business Case'!F11*$C378*'Business Case'!F12*$B378))-'Business Case'!G15*$F378+'Business Case'!$B$8*('Business Case'!G11*$C378*'Business Case'!G12*$B378)</f>
        <v>1116281490.3961</v>
      </c>
      <c r="N378" s="53" t="n">
        <f aca="false">IF(COUNT('Business Case'!B11:G11)=0,"",H378+NPV(G378,I378:M378))</f>
        <v>273517788.529703</v>
      </c>
      <c r="P378" s="54" t="n">
        <f aca="true">RAND()</f>
        <v>0.900102097919521</v>
      </c>
      <c r="Q378" s="54" t="n">
        <f aca="true">RAND()</f>
        <v>0.873828724877652</v>
      </c>
      <c r="R378" s="54" t="n">
        <f aca="true">RAND()</f>
        <v>0.528923469129273</v>
      </c>
      <c r="S378" s="54" t="n">
        <f aca="true">RAND()</f>
        <v>0.864661756732868</v>
      </c>
      <c r="T378" s="54" t="n">
        <f aca="true">RAND()</f>
        <v>0.256803449046488</v>
      </c>
      <c r="U378" s="54" t="n">
        <f aca="true">RAND()</f>
        <v>0.00366021675351588</v>
      </c>
    </row>
    <row r="379" customFormat="false" ht="15" hidden="false" customHeight="false" outlineLevel="0" collapsed="false">
      <c r="A379" s="50" t="n">
        <v>299</v>
      </c>
      <c r="B379" s="51" t="n">
        <f aca="false">1+IF($G$6=$E$6,$F$6,IF(P379&lt;($F$6-$E$6)/($G$6-$E$6),$E$6+SQRT(P379*($G$6-$E$6)*($F$6-$E$6)),$G$6-SQRT((1-P379)*($G$6-$E$6)*($G$6-$F$6))))</f>
        <v>0.968989543505613</v>
      </c>
      <c r="C379" s="51" t="n">
        <f aca="false">1+IF($G$7=$E$7,$F$7,IF(Q379&lt;($F$7-$E$7)/($G$7-$E$7),$E$7+SQRT(Q379*($G$7-$E$7)*($F$7-$E$7)),$G$7-SQRT((1-Q379)*($G$7-$E$7)*($G$7-$F$7))))</f>
        <v>0.994981208675704</v>
      </c>
      <c r="D379" s="51" t="n">
        <f aca="false">1+IF($G$8=$E$8,$F$8,IF(R379&lt;($F$8-$E$8)/($G$8-$E$8),$E$8+SQRT(R379*($G$8-$E$8)*($F$8-$E$8)),$G$8-SQRT((1-R379)*($G$8-$E$8)*($G$8-$F$8))))</f>
        <v>1.01198661061748</v>
      </c>
      <c r="E379" s="51" t="n">
        <f aca="false">1+IF($G$9=$E$9,$F$9,IF(S379&lt;($F$9-$E$9)/($G$9-$E$9),$E$9+SQRT(S379*($G$9-$E$9)*($F$9-$E$9)),$G$9-SQRT((1-S379)*($G$9-$E$9)*($G$9-$F$9))))</f>
        <v>1.07663186250922</v>
      </c>
      <c r="F379" s="51" t="n">
        <f aca="false">1+IF($G$10=$E$10,$F$10,IF(T379&lt;($F$10-$E$10)/($G$10-$E$10),$E$10+SQRT(T379*($G$10-$E$10)*($F$10-$E$10)),$G$10-SQRT((1-T379)*($G$10-$E$10)*($G$10-$F$10))))</f>
        <v>1.10248596667445</v>
      </c>
      <c r="G379" s="52" t="n">
        <f aca="false">IF($G$11=$E$11,$F$11,IF(U379&lt;($F$11-$E$11)/($G$11-$E$11),$E$11+SQRT(U379*($G$11-$E$11)*($F$11-$E$11)),$G$11-SQRT((1-U379)*($G$11-$E$11)*($G$11-$F$11))))</f>
        <v>0.101261911096983</v>
      </c>
      <c r="H379" s="53" t="n">
        <f aca="false">(('Business Case'!B11*$C379*'Business Case'!B12*$B379)-'Business Case'!B11*$C379*'Business Case'!B13*$D379-'Business Case'!B14*$E379)-MAX(0,(('Business Case'!B11*$C379*'Business Case'!B12*$B379)-'Business Case'!B11*$C379*'Business Case'!B13*$D379-'Business Case'!B14*$E379))*'Business Case'!$B$7-'Business Case'!$B$8*('Business Case'!B11*$C379*'Business Case'!B12*$B379)-'Business Case'!B15*$F379</f>
        <v>-2204971933.3489</v>
      </c>
      <c r="I379" s="53" t="n">
        <f aca="false">(('Business Case'!C11*$C379*'Business Case'!C12*$B379)-'Business Case'!C11*$C379*'Business Case'!C13*$D379-'Business Case'!C14*$E379)-MAX(0,(('Business Case'!C11*$C379*'Business Case'!C12*$B379)-'Business Case'!C11*$C379*'Business Case'!C13*$D379-'Business Case'!C14*$E379))*'Business Case'!$B$7-'Business Case'!$B$8*(('Business Case'!C11*$C379*'Business Case'!C12*$B379)-('Business Case'!B11*$C379*'Business Case'!B12*$B379))-'Business Case'!C15*$F379</f>
        <v>-39093201.0356506</v>
      </c>
      <c r="J379" s="53" t="n">
        <f aca="false">(('Business Case'!D11*$C379*'Business Case'!D12*$B379)-'Business Case'!D11*$C379*'Business Case'!D13*$D379-'Business Case'!D14*$E379)-MAX(0,(('Business Case'!D11*$C379*'Business Case'!D12*$B379)-'Business Case'!D11*$C379*'Business Case'!D13*$D379-'Business Case'!D14*$E379))*'Business Case'!$B$7-'Business Case'!$B$8*(('Business Case'!D11*$C379*'Business Case'!D12*$B379)-('Business Case'!C11*$C379*'Business Case'!C12*$B379))-'Business Case'!D15*$F379</f>
        <v>235139557.356954</v>
      </c>
      <c r="K379" s="53" t="n">
        <f aca="false">(('Business Case'!E11*$C379*'Business Case'!E12*$B379)-'Business Case'!E11*$C379*'Business Case'!E13*$D379-'Business Case'!E14*$E379)-MAX(0,(('Business Case'!E11*$C379*'Business Case'!E12*$B379)-'Business Case'!E11*$C379*'Business Case'!E13*$D379-'Business Case'!E14*$E379))*'Business Case'!$B$7-'Business Case'!$B$8*(('Business Case'!E11*$C379*'Business Case'!E12*$B379)-('Business Case'!D11*$C379*'Business Case'!D12*$B379))-'Business Case'!E15*$F379</f>
        <v>564496614.083282</v>
      </c>
      <c r="L379" s="53" t="n">
        <f aca="false">(('Business Case'!F11*$C379*'Business Case'!F12*$B379)-'Business Case'!F11*$C379*'Business Case'!F13*$D379-'Business Case'!F14*$E379)-MAX(0,(('Business Case'!F11*$C379*'Business Case'!F12*$B379)-'Business Case'!F11*$C379*'Business Case'!F13*$D379-'Business Case'!F14*$E379))*'Business Case'!$B$7-'Business Case'!$B$8*(('Business Case'!F11*$C379*'Business Case'!F12*$B379)-('Business Case'!E11*$C379*'Business Case'!E12*$B379))-'Business Case'!F15*$F379</f>
        <v>689227741.488816</v>
      </c>
      <c r="M379" s="53" t="n">
        <f aca="false">(('Business Case'!G11*$C379*'Business Case'!G12*$B379)-'Business Case'!G11*$C379*'Business Case'!G13*$D379-'Business Case'!G14*$E379)-MAX(0,(('Business Case'!G11*$C379*'Business Case'!G12*$B379)-'Business Case'!G11*$C379*'Business Case'!G13*$D379-'Business Case'!G14*$E379))*'Business Case'!$B$7-'Business Case'!$B$8*(('Business Case'!G11*$C379*'Business Case'!G12*$B379)-('Business Case'!F11*$C379*'Business Case'!F12*$B379))-'Business Case'!G15*$F379+'Business Case'!$B$8*('Business Case'!G11*$C379*'Business Case'!G12*$B379)</f>
        <v>872488885.166145</v>
      </c>
      <c r="N379" s="53" t="n">
        <f aca="false">IF(COUNT('Business Case'!B11:G11)=0,"",H379+NPV(G379,I379:M379))</f>
        <v>-616678979.728405</v>
      </c>
      <c r="P379" s="54" t="n">
        <f aca="true">RAND()</f>
        <v>0.249997434675868</v>
      </c>
      <c r="Q379" s="54" t="n">
        <f aca="true">RAND()</f>
        <v>0.543109596237694</v>
      </c>
      <c r="R379" s="54" t="n">
        <f aca="true">RAND()</f>
        <v>0.555209506221326</v>
      </c>
      <c r="S379" s="54" t="n">
        <f aca="true">RAND()</f>
        <v>0.96359534334748</v>
      </c>
      <c r="T379" s="54" t="n">
        <f aca="true">RAND()</f>
        <v>0.80982026609167</v>
      </c>
      <c r="U379" s="54" t="n">
        <f aca="true">RAND()</f>
        <v>0.414806707104386</v>
      </c>
    </row>
    <row r="380" customFormat="false" ht="15" hidden="false" customHeight="false" outlineLevel="0" collapsed="false">
      <c r="A380" s="50" t="n">
        <v>300</v>
      </c>
      <c r="B380" s="51" t="n">
        <f aca="false">1+IF($G$6=$E$6,$F$6,IF(P380&lt;($F$6-$E$6)/($G$6-$E$6),$E$6+SQRT(P380*($G$6-$E$6)*($F$6-$E$6)),$G$6-SQRT((1-P380)*($G$6-$E$6)*($G$6-$F$6))))</f>
        <v>0.974591762630867</v>
      </c>
      <c r="C380" s="51" t="n">
        <f aca="false">1+IF($G$7=$E$7,$F$7,IF(Q380&lt;($F$7-$E$7)/($G$7-$E$7),$E$7+SQRT(Q380*($G$7-$E$7)*($F$7-$E$7)),$G$7-SQRT((1-Q380)*($G$7-$E$7)*($G$7-$F$7))))</f>
        <v>0.868863451133841</v>
      </c>
      <c r="D380" s="51" t="n">
        <f aca="false">1+IF($G$8=$E$8,$F$8,IF(R380&lt;($F$8-$E$8)/($G$8-$E$8),$E$8+SQRT(R380*($G$8-$E$8)*($F$8-$E$8)),$G$8-SQRT((1-R380)*($G$8-$E$8)*($G$8-$F$8))))</f>
        <v>1.01383958928615</v>
      </c>
      <c r="E380" s="51" t="n">
        <f aca="false">1+IF($G$9=$E$9,$F$9,IF(S380&lt;($F$9-$E$9)/($G$9-$E$9),$E$9+SQRT(S380*($G$9-$E$9)*($F$9-$E$9)),$G$9-SQRT((1-S380)*($G$9-$E$9)*($G$9-$F$9))))</f>
        <v>1.04498059691668</v>
      </c>
      <c r="F380" s="51" t="n">
        <f aca="false">1+IF($G$10=$E$10,$F$10,IF(T380&lt;($F$10-$E$10)/($G$10-$E$10),$E$10+SQRT(T380*($G$10-$E$10)*($F$10-$E$10)),$G$10-SQRT((1-T380)*($G$10-$E$10)*($G$10-$F$10))))</f>
        <v>1.00132268846279</v>
      </c>
      <c r="G380" s="52" t="n">
        <f aca="false">IF($G$11=$E$11,$F$11,IF(U380&lt;($F$11-$E$11)/($G$11-$E$11),$E$11+SQRT(U380*($G$11-$E$11)*($F$11-$E$11)),$G$11-SQRT((1-U380)*($G$11-$E$11)*($G$11-$F$11))))</f>
        <v>0.0991195515825637</v>
      </c>
      <c r="H380" s="53" t="n">
        <f aca="false">(('Business Case'!B11*$C380*'Business Case'!B12*$B380)-'Business Case'!B11*$C380*'Business Case'!B13*$D380-'Business Case'!B14*$E380)-MAX(0,(('Business Case'!B11*$C380*'Business Case'!B12*$B380)-'Business Case'!B11*$C380*'Business Case'!B13*$D380-'Business Case'!B14*$E380))*'Business Case'!$B$7-'Business Case'!$B$8*('Business Case'!B11*$C380*'Business Case'!B12*$B380)-'Business Case'!B15*$F380</f>
        <v>-2002645376.92558</v>
      </c>
      <c r="I380" s="53" t="n">
        <f aca="false">(('Business Case'!C11*$C380*'Business Case'!C12*$B380)-'Business Case'!C11*$C380*'Business Case'!C13*$D380-'Business Case'!C14*$E380)-MAX(0,(('Business Case'!C11*$C380*'Business Case'!C12*$B380)-'Business Case'!C11*$C380*'Business Case'!C13*$D380-'Business Case'!C14*$E380))*'Business Case'!$B$7-'Business Case'!$B$8*(('Business Case'!C11*$C380*'Business Case'!C12*$B380)-('Business Case'!B11*$C380*'Business Case'!B12*$B380))-'Business Case'!C15*$F380</f>
        <v>-49990570.7438794</v>
      </c>
      <c r="J380" s="53" t="n">
        <f aca="false">(('Business Case'!D11*$C380*'Business Case'!D12*$B380)-'Business Case'!D11*$C380*'Business Case'!D13*$D380-'Business Case'!D14*$E380)-MAX(0,(('Business Case'!D11*$C380*'Business Case'!D12*$B380)-'Business Case'!D11*$C380*'Business Case'!D13*$D380-'Business Case'!D14*$E380))*'Business Case'!$B$7-'Business Case'!$B$8*(('Business Case'!D11*$C380*'Business Case'!D12*$B380)-('Business Case'!C11*$C380*'Business Case'!C12*$B380))-'Business Case'!D15*$F380</f>
        <v>192644814.735055</v>
      </c>
      <c r="K380" s="53" t="n">
        <f aca="false">(('Business Case'!E11*$C380*'Business Case'!E12*$B380)-'Business Case'!E11*$C380*'Business Case'!E13*$D380-'Business Case'!E14*$E380)-MAX(0,(('Business Case'!E11*$C380*'Business Case'!E12*$B380)-'Business Case'!E11*$C380*'Business Case'!E13*$D380-'Business Case'!E14*$E380))*'Business Case'!$B$7-'Business Case'!$B$8*(('Business Case'!E11*$C380*'Business Case'!E12*$B380)-('Business Case'!D11*$C380*'Business Case'!D12*$B380))-'Business Case'!E15*$F380</f>
        <v>485346334.63713</v>
      </c>
      <c r="L380" s="53" t="n">
        <f aca="false">(('Business Case'!F11*$C380*'Business Case'!F12*$B380)-'Business Case'!F11*$C380*'Business Case'!F13*$D380-'Business Case'!F14*$E380)-MAX(0,(('Business Case'!F11*$C380*'Business Case'!F12*$B380)-'Business Case'!F11*$C380*'Business Case'!F13*$D380-'Business Case'!F14*$E380))*'Business Case'!$B$7-'Business Case'!$B$8*(('Business Case'!F11*$C380*'Business Case'!F12*$B380)-('Business Case'!E11*$C380*'Business Case'!E12*$B380))-'Business Case'!F15*$F380</f>
        <v>595489760.793431</v>
      </c>
      <c r="M380" s="53" t="n">
        <f aca="false">(('Business Case'!G11*$C380*'Business Case'!G12*$B380)-'Business Case'!G11*$C380*'Business Case'!G13*$D380-'Business Case'!G14*$E380)-MAX(0,(('Business Case'!G11*$C380*'Business Case'!G12*$B380)-'Business Case'!G11*$C380*'Business Case'!G13*$D380-'Business Case'!G14*$E380))*'Business Case'!$B$7-'Business Case'!$B$8*(('Business Case'!G11*$C380*'Business Case'!G12*$B380)-('Business Case'!F11*$C380*'Business Case'!F12*$B380))-'Business Case'!G15*$F380+'Business Case'!$B$8*('Business Case'!G11*$C380*'Business Case'!G12*$B380)</f>
        <v>756447064.60837</v>
      </c>
      <c r="N380" s="53" t="n">
        <f aca="false">IF(COUNT('Business Case'!B11:G11)=0,"",H380+NPV(G380,I380:M380))</f>
        <v>-643526413.405947</v>
      </c>
      <c r="P380" s="54" t="n">
        <f aca="true">RAND()</f>
        <v>0.310443806994266</v>
      </c>
      <c r="Q380" s="54" t="n">
        <f aca="true">RAND()</f>
        <v>0.067745355743756</v>
      </c>
      <c r="R380" s="54" t="n">
        <f aca="true">RAND()</f>
        <v>0.579115389824458</v>
      </c>
      <c r="S380" s="54" t="n">
        <f aca="true">RAND()</f>
        <v>0.798191018957001</v>
      </c>
      <c r="T380" s="54" t="n">
        <f aca="true">RAND()</f>
        <v>0.210546517606922</v>
      </c>
      <c r="U380" s="54" t="n">
        <f aca="true">RAND()</f>
        <v>0.277220736890131</v>
      </c>
    </row>
    <row r="381" customFormat="false" ht="15" hidden="false" customHeight="false" outlineLevel="0" collapsed="false">
      <c r="A381" s="50" t="n">
        <v>301</v>
      </c>
      <c r="B381" s="51" t="n">
        <f aca="false">1+IF($G$6=$E$6,$F$6,IF(P381&lt;($F$6-$E$6)/($G$6-$E$6),$E$6+SQRT(P381*($G$6-$E$6)*($F$6-$E$6)),$G$6-SQRT((1-P381)*($G$6-$E$6)*($G$6-$F$6))))</f>
        <v>0.980407602770805</v>
      </c>
      <c r="C381" s="51" t="n">
        <f aca="false">1+IF($G$7=$E$7,$F$7,IF(Q381&lt;($F$7-$E$7)/($G$7-$E$7),$E$7+SQRT(Q381*($G$7-$E$7)*($F$7-$E$7)),$G$7-SQRT((1-Q381)*($G$7-$E$7)*($G$7-$F$7))))</f>
        <v>1.11755472675358</v>
      </c>
      <c r="D381" s="51" t="n">
        <f aca="false">1+IF($G$8=$E$8,$F$8,IF(R381&lt;($F$8-$E$8)/($G$8-$E$8),$E$8+SQRT(R381*($G$8-$E$8)*($F$8-$E$8)),$G$8-SQRT((1-R381)*($G$8-$E$8)*($G$8-$F$8))))</f>
        <v>1.02716672029498</v>
      </c>
      <c r="E381" s="51" t="n">
        <f aca="false">1+IF($G$9=$E$9,$F$9,IF(S381&lt;($F$9-$E$9)/($G$9-$E$9),$E$9+SQRT(S381*($G$9-$E$9)*($F$9-$E$9)),$G$9-SQRT((1-S381)*($G$9-$E$9)*($G$9-$F$9))))</f>
        <v>1.03477860153216</v>
      </c>
      <c r="F381" s="51" t="n">
        <f aca="false">1+IF($G$10=$E$10,$F$10,IF(T381&lt;($F$10-$E$10)/($G$10-$E$10),$E$10+SQRT(T381*($G$10-$E$10)*($F$10-$E$10)),$G$10-SQRT((1-T381)*($G$10-$E$10)*($G$10-$F$10))))</f>
        <v>1.08324341702996</v>
      </c>
      <c r="G381" s="52" t="n">
        <f aca="false">IF($G$11=$E$11,$F$11,IF(U381&lt;($F$11-$E$11)/($G$11-$E$11),$E$11+SQRT(U381*($G$11-$E$11)*($F$11-$E$11)),$G$11-SQRT((1-U381)*($G$11-$E$11)*($G$11-$F$11))))</f>
        <v>0.115725522439051</v>
      </c>
      <c r="H381" s="53" t="n">
        <f aca="false">(('Business Case'!B11*$C381*'Business Case'!B12*$B381)-'Business Case'!B11*$C381*'Business Case'!B13*$D381-'Business Case'!B14*$E381)-MAX(0,(('Business Case'!B11*$C381*'Business Case'!B12*$B381)-'Business Case'!B11*$C381*'Business Case'!B13*$D381-'Business Case'!B14*$E381))*'Business Case'!$B$7-'Business Case'!$B$8*('Business Case'!B11*$C381*'Business Case'!B12*$B381)-'Business Case'!B15*$F381</f>
        <v>-2166486834.05992</v>
      </c>
      <c r="I381" s="53" t="n">
        <f aca="false">(('Business Case'!C11*$C381*'Business Case'!C12*$B381)-'Business Case'!C11*$C381*'Business Case'!C13*$D381-'Business Case'!C14*$E381)-MAX(0,(('Business Case'!C11*$C381*'Business Case'!C12*$B381)-'Business Case'!C11*$C381*'Business Case'!C13*$D381-'Business Case'!C14*$E381))*'Business Case'!$B$7-'Business Case'!$B$8*(('Business Case'!C11*$C381*'Business Case'!C12*$B381)-('Business Case'!B11*$C381*'Business Case'!B12*$B381))-'Business Case'!C15*$F381</f>
        <v>-2485756.18520647</v>
      </c>
      <c r="J381" s="53" t="n">
        <f aca="false">(('Business Case'!D11*$C381*'Business Case'!D12*$B381)-'Business Case'!D11*$C381*'Business Case'!D13*$D381-'Business Case'!D14*$E381)-MAX(0,(('Business Case'!D11*$C381*'Business Case'!D12*$B381)-'Business Case'!D11*$C381*'Business Case'!D13*$D381-'Business Case'!D14*$E381))*'Business Case'!$B$7-'Business Case'!$B$8*(('Business Case'!D11*$C381*'Business Case'!D12*$B381)-('Business Case'!C11*$C381*'Business Case'!C12*$B381))-'Business Case'!D15*$F381</f>
        <v>307297316.838684</v>
      </c>
      <c r="K381" s="53" t="n">
        <f aca="false">(('Business Case'!E11*$C381*'Business Case'!E12*$B381)-'Business Case'!E11*$C381*'Business Case'!E13*$D381-'Business Case'!E14*$E381)-MAX(0,(('Business Case'!E11*$C381*'Business Case'!E12*$B381)-'Business Case'!E11*$C381*'Business Case'!E13*$D381-'Business Case'!E14*$E381))*'Business Case'!$B$7-'Business Case'!$B$8*(('Business Case'!E11*$C381*'Business Case'!E12*$B381)-('Business Case'!D11*$C381*'Business Case'!D12*$B381))-'Business Case'!E15*$F381</f>
        <v>671242560.714073</v>
      </c>
      <c r="L381" s="53" t="n">
        <f aca="false">(('Business Case'!F11*$C381*'Business Case'!F12*$B381)-'Business Case'!F11*$C381*'Business Case'!F13*$D381-'Business Case'!F14*$E381)-MAX(0,(('Business Case'!F11*$C381*'Business Case'!F12*$B381)-'Business Case'!F11*$C381*'Business Case'!F13*$D381-'Business Case'!F14*$E381))*'Business Case'!$B$7-'Business Case'!$B$8*(('Business Case'!F11*$C381*'Business Case'!F12*$B381)-('Business Case'!E11*$C381*'Business Case'!E12*$B381))-'Business Case'!F15*$F381</f>
        <v>812369565.300854</v>
      </c>
      <c r="M381" s="53" t="n">
        <f aca="false">(('Business Case'!G11*$C381*'Business Case'!G12*$B381)-'Business Case'!G11*$C381*'Business Case'!G13*$D381-'Business Case'!G14*$E381)-MAX(0,(('Business Case'!G11*$C381*'Business Case'!G12*$B381)-'Business Case'!G11*$C381*'Business Case'!G13*$D381-'Business Case'!G14*$E381))*'Business Case'!$B$7-'Business Case'!$B$8*(('Business Case'!G11*$C381*'Business Case'!G12*$B381)-('Business Case'!F11*$C381*'Business Case'!F12*$B381))-'Business Case'!G15*$F381+'Business Case'!$B$8*('Business Case'!G11*$C381*'Business Case'!G12*$B381)</f>
        <v>1020632456.65102</v>
      </c>
      <c r="N381" s="53" t="n">
        <f aca="false">IF(COUNT('Business Case'!B11:G11)=0,"",H381+NPV(G381,I381:M381))</f>
        <v>-324023004.45956</v>
      </c>
      <c r="P381" s="54" t="n">
        <f aca="true">RAND()</f>
        <v>0.380112340887011</v>
      </c>
      <c r="Q381" s="54" t="n">
        <f aca="true">RAND()</f>
        <v>0.979948652266005</v>
      </c>
      <c r="R381" s="54" t="n">
        <f aca="true">RAND()</f>
        <v>0.73160043803951</v>
      </c>
      <c r="S381" s="54" t="n">
        <f aca="true">RAND()</f>
        <v>0.71641127879331</v>
      </c>
      <c r="T381" s="54" t="n">
        <f aca="true">RAND()</f>
        <v>0.727358006663212</v>
      </c>
      <c r="U381" s="54" t="n">
        <f aca="true">RAND()</f>
        <v>0.969548069301566</v>
      </c>
    </row>
    <row r="382" customFormat="false" ht="15" hidden="false" customHeight="false" outlineLevel="0" collapsed="false">
      <c r="A382" s="50" t="n">
        <v>302</v>
      </c>
      <c r="B382" s="51" t="n">
        <f aca="false">1+IF($G$6=$E$6,$F$6,IF(P382&lt;($F$6-$E$6)/($G$6-$E$6),$E$6+SQRT(P382*($G$6-$E$6)*($F$6-$E$6)),$G$6-SQRT((1-P382)*($G$6-$E$6)*($G$6-$F$6))))</f>
        <v>1.02364189017001</v>
      </c>
      <c r="C382" s="51" t="n">
        <f aca="false">1+IF($G$7=$E$7,$F$7,IF(Q382&lt;($F$7-$E$7)/($G$7-$E$7),$E$7+SQRT(Q382*($G$7-$E$7)*($F$7-$E$7)),$G$7-SQRT((1-Q382)*($G$7-$E$7)*($G$7-$F$7))))</f>
        <v>0.88991380260981</v>
      </c>
      <c r="D382" s="51" t="n">
        <f aca="false">1+IF($G$8=$E$8,$F$8,IF(R382&lt;($F$8-$E$8)/($G$8-$E$8),$E$8+SQRT(R382*($G$8-$E$8)*($F$8-$E$8)),$G$8-SQRT((1-R382)*($G$8-$E$8)*($G$8-$F$8))))</f>
        <v>0.976276187499238</v>
      </c>
      <c r="E382" s="51" t="n">
        <f aca="false">1+IF($G$9=$E$9,$F$9,IF(S382&lt;($F$9-$E$9)/($G$9-$E$9),$E$9+SQRT(S382*($G$9-$E$9)*($F$9-$E$9)),$G$9-SQRT((1-S382)*($G$9-$E$9)*($G$9-$F$9))))</f>
        <v>0.997146128682739</v>
      </c>
      <c r="F382" s="51" t="n">
        <f aca="false">1+IF($G$10=$E$10,$F$10,IF(T382&lt;($F$10-$E$10)/($G$10-$E$10),$E$10+SQRT(T382*($G$10-$E$10)*($F$10-$E$10)),$G$10-SQRT((1-T382)*($G$10-$E$10)*($G$10-$F$10))))</f>
        <v>1.00356859075895</v>
      </c>
      <c r="G382" s="52" t="n">
        <f aca="false">IF($G$11=$E$11,$F$11,IF(U382&lt;($F$11-$E$11)/($G$11-$E$11),$E$11+SQRT(U382*($G$11-$E$11)*($F$11-$E$11)),$G$11-SQRT((1-U382)*($G$11-$E$11)*($G$11-$F$11))))</f>
        <v>0.112257454375778</v>
      </c>
      <c r="H382" s="53" t="n">
        <f aca="false">(('Business Case'!B11*$C382*'Business Case'!B12*$B382)-'Business Case'!B11*$C382*'Business Case'!B13*$D382-'Business Case'!B14*$E382)-MAX(0,(('Business Case'!B11*$C382*'Business Case'!B12*$B382)-'Business Case'!B11*$C382*'Business Case'!B13*$D382-'Business Case'!B14*$E382))*'Business Case'!$B$7-'Business Case'!$B$8*('Business Case'!B11*$C382*'Business Case'!B12*$B382)-'Business Case'!B15*$F382</f>
        <v>-2007137181.5179</v>
      </c>
      <c r="I382" s="53" t="n">
        <f aca="false">(('Business Case'!C11*$C382*'Business Case'!C12*$B382)-'Business Case'!C11*$C382*'Business Case'!C13*$D382-'Business Case'!C14*$E382)-MAX(0,(('Business Case'!C11*$C382*'Business Case'!C12*$B382)-'Business Case'!C11*$C382*'Business Case'!C13*$D382-'Business Case'!C14*$E382))*'Business Case'!$B$7-'Business Case'!$B$8*(('Business Case'!C11*$C382*'Business Case'!C12*$B382)-('Business Case'!B11*$C382*'Business Case'!B12*$B382))-'Business Case'!C15*$F382</f>
        <v>12004346.6470458</v>
      </c>
      <c r="J382" s="53" t="n">
        <f aca="false">(('Business Case'!D11*$C382*'Business Case'!D12*$B382)-'Business Case'!D11*$C382*'Business Case'!D13*$D382-'Business Case'!D14*$E382)-MAX(0,(('Business Case'!D11*$C382*'Business Case'!D12*$B382)-'Business Case'!D11*$C382*'Business Case'!D13*$D382-'Business Case'!D14*$E382))*'Business Case'!$B$7-'Business Case'!$B$8*(('Business Case'!D11*$C382*'Business Case'!D12*$B382)-('Business Case'!C11*$C382*'Business Case'!C12*$B382))-'Business Case'!D15*$F382</f>
        <v>313383537.824731</v>
      </c>
      <c r="K382" s="53" t="n">
        <f aca="false">(('Business Case'!E11*$C382*'Business Case'!E12*$B382)-'Business Case'!E11*$C382*'Business Case'!E13*$D382-'Business Case'!E14*$E382)-MAX(0,(('Business Case'!E11*$C382*'Business Case'!E12*$B382)-'Business Case'!E11*$C382*'Business Case'!E13*$D382-'Business Case'!E14*$E382))*'Business Case'!$B$7-'Business Case'!$B$8*(('Business Case'!E11*$C382*'Business Case'!E12*$B382)-('Business Case'!D11*$C382*'Business Case'!D12*$B382))-'Business Case'!E15*$F382</f>
        <v>664941158.540365</v>
      </c>
      <c r="L382" s="53" t="n">
        <f aca="false">(('Business Case'!F11*$C382*'Business Case'!F12*$B382)-'Business Case'!F11*$C382*'Business Case'!F13*$D382-'Business Case'!F14*$E382)-MAX(0,(('Business Case'!F11*$C382*'Business Case'!F12*$B382)-'Business Case'!F11*$C382*'Business Case'!F13*$D382-'Business Case'!F14*$E382))*'Business Case'!$B$7-'Business Case'!$B$8*(('Business Case'!F11*$C382*'Business Case'!F12*$B382)-('Business Case'!E11*$C382*'Business Case'!E12*$B382))-'Business Case'!F15*$F382</f>
        <v>796883426.236966</v>
      </c>
      <c r="M382" s="53" t="n">
        <f aca="false">(('Business Case'!G11*$C382*'Business Case'!G12*$B382)-'Business Case'!G11*$C382*'Business Case'!G13*$D382-'Business Case'!G14*$E382)-MAX(0,(('Business Case'!G11*$C382*'Business Case'!G12*$B382)-'Business Case'!G11*$C382*'Business Case'!G13*$D382-'Business Case'!G14*$E382))*'Business Case'!$B$7-'Business Case'!$B$8*(('Business Case'!G11*$C382*'Business Case'!G12*$B382)-('Business Case'!F11*$C382*'Business Case'!F12*$B382))-'Business Case'!G15*$F382+'Business Case'!$B$8*('Business Case'!G11*$C382*'Business Case'!G12*$B382)</f>
        <v>970037381.409184</v>
      </c>
      <c r="N382" s="53" t="n">
        <f aca="false">IF(COUNT('Business Case'!B11:G11)=0,"",H382+NPV(G382,I382:M382))</f>
        <v>-169247041.380364</v>
      </c>
      <c r="P382" s="54" t="n">
        <f aca="true">RAND()</f>
        <v>0.944252550581239</v>
      </c>
      <c r="Q382" s="54" t="n">
        <f aca="true">RAND()</f>
        <v>0.115492741425084</v>
      </c>
      <c r="R382" s="54" t="n">
        <f aca="true">RAND()</f>
        <v>0.10622123530694</v>
      </c>
      <c r="S382" s="54" t="n">
        <f aca="true">RAND()</f>
        <v>0.296367659969254</v>
      </c>
      <c r="T382" s="54" t="n">
        <f aca="true">RAND()</f>
        <v>0.228294029271502</v>
      </c>
      <c r="U382" s="54" t="n">
        <f aca="true">RAND()</f>
        <v>0.900088312094746</v>
      </c>
    </row>
    <row r="383" customFormat="false" ht="15" hidden="false" customHeight="false" outlineLevel="0" collapsed="false">
      <c r="A383" s="50" t="n">
        <v>303</v>
      </c>
      <c r="B383" s="51" t="n">
        <f aca="false">1+IF($G$6=$E$6,$F$6,IF(P383&lt;($F$6-$E$6)/($G$6-$E$6),$E$6+SQRT(P383*($G$6-$E$6)*($F$6-$E$6)),$G$6-SQRT((1-P383)*($G$6-$E$6)*($G$6-$F$6))))</f>
        <v>0.943296679151488</v>
      </c>
      <c r="C383" s="51" t="n">
        <f aca="false">1+IF($G$7=$E$7,$F$7,IF(Q383&lt;($F$7-$E$7)/($G$7-$E$7),$E$7+SQRT(Q383*($G$7-$E$7)*($F$7-$E$7)),$G$7-SQRT((1-Q383)*($G$7-$E$7)*($G$7-$F$7))))</f>
        <v>1.01985458147398</v>
      </c>
      <c r="D383" s="51" t="n">
        <f aca="false">1+IF($G$8=$E$8,$F$8,IF(R383&lt;($F$8-$E$8)/($G$8-$E$8),$E$8+SQRT(R383*($G$8-$E$8)*($F$8-$E$8)),$G$8-SQRT((1-R383)*($G$8-$E$8)*($G$8-$F$8))))</f>
        <v>1.00974737683735</v>
      </c>
      <c r="E383" s="51" t="n">
        <f aca="false">1+IF($G$9=$E$9,$F$9,IF(S383&lt;($F$9-$E$9)/($G$9-$E$9),$E$9+SQRT(S383*($G$9-$E$9)*($F$9-$E$9)),$G$9-SQRT((1-S383)*($G$9-$E$9)*($G$9-$F$9))))</f>
        <v>1.00458887410075</v>
      </c>
      <c r="F383" s="51" t="n">
        <f aca="false">1+IF($G$10=$E$10,$F$10,IF(T383&lt;($F$10-$E$10)/($G$10-$E$10),$E$10+SQRT(T383*($G$10-$E$10)*($F$10-$E$10)),$G$10-SQRT((1-T383)*($G$10-$E$10)*($G$10-$F$10))))</f>
        <v>1.04198525423534</v>
      </c>
      <c r="G383" s="52" t="n">
        <f aca="false">IF($G$11=$E$11,$F$11,IF(U383&lt;($F$11-$E$11)/($G$11-$E$11),$E$11+SQRT(U383*($G$11-$E$11)*($F$11-$E$11)),$G$11-SQRT((1-U383)*($G$11-$E$11)*($G$11-$F$11))))</f>
        <v>0.112771120530296</v>
      </c>
      <c r="H383" s="53" t="n">
        <f aca="false">(('Business Case'!B11*$C383*'Business Case'!B12*$B383)-'Business Case'!B11*$C383*'Business Case'!B13*$D383-'Business Case'!B14*$E383)-MAX(0,(('Business Case'!B11*$C383*'Business Case'!B12*$B383)-'Business Case'!B11*$C383*'Business Case'!B13*$D383-'Business Case'!B14*$E383))*'Business Case'!$B$7-'Business Case'!$B$8*('Business Case'!B11*$C383*'Business Case'!B12*$B383)-'Business Case'!B15*$F383</f>
        <v>-2083970508.47069</v>
      </c>
      <c r="I383" s="53" t="n">
        <f aca="false">(('Business Case'!C11*$C383*'Business Case'!C12*$B383)-'Business Case'!C11*$C383*'Business Case'!C13*$D383-'Business Case'!C14*$E383)-MAX(0,(('Business Case'!C11*$C383*'Business Case'!C12*$B383)-'Business Case'!C11*$C383*'Business Case'!C13*$D383-'Business Case'!C14*$E383))*'Business Case'!$B$7-'Business Case'!$B$8*(('Business Case'!C11*$C383*'Business Case'!C12*$B383)-('Business Case'!B11*$C383*'Business Case'!B12*$B383))-'Business Case'!C15*$F383</f>
        <v>-36127267.419721</v>
      </c>
      <c r="J383" s="53" t="n">
        <f aca="false">(('Business Case'!D11*$C383*'Business Case'!D12*$B383)-'Business Case'!D11*$C383*'Business Case'!D13*$D383-'Business Case'!D14*$E383)-MAX(0,(('Business Case'!D11*$C383*'Business Case'!D12*$B383)-'Business Case'!D11*$C383*'Business Case'!D13*$D383-'Business Case'!D14*$E383))*'Business Case'!$B$7-'Business Case'!$B$8*(('Business Case'!D11*$C383*'Business Case'!D12*$B383)-('Business Case'!C11*$C383*'Business Case'!C12*$B383))-'Business Case'!D15*$F383</f>
        <v>224667927.286767</v>
      </c>
      <c r="K383" s="53" t="n">
        <f aca="false">(('Business Case'!E11*$C383*'Business Case'!E12*$B383)-'Business Case'!E11*$C383*'Business Case'!E13*$D383-'Business Case'!E14*$E383)-MAX(0,(('Business Case'!E11*$C383*'Business Case'!E12*$B383)-'Business Case'!E11*$C383*'Business Case'!E13*$D383-'Business Case'!E14*$E383))*'Business Case'!$B$7-'Business Case'!$B$8*(('Business Case'!E11*$C383*'Business Case'!E12*$B383)-('Business Case'!D11*$C383*'Business Case'!D12*$B383))-'Business Case'!E15*$F383</f>
        <v>537562384.705023</v>
      </c>
      <c r="L383" s="53" t="n">
        <f aca="false">(('Business Case'!F11*$C383*'Business Case'!F12*$B383)-'Business Case'!F11*$C383*'Business Case'!F13*$D383-'Business Case'!F14*$E383)-MAX(0,(('Business Case'!F11*$C383*'Business Case'!F12*$B383)-'Business Case'!F11*$C383*'Business Case'!F13*$D383-'Business Case'!F14*$E383))*'Business Case'!$B$7-'Business Case'!$B$8*(('Business Case'!F11*$C383*'Business Case'!F12*$B383)-('Business Case'!E11*$C383*'Business Case'!E12*$B383))-'Business Case'!F15*$F383</f>
        <v>657741715.477551</v>
      </c>
      <c r="M383" s="53" t="n">
        <f aca="false">(('Business Case'!G11*$C383*'Business Case'!G12*$B383)-'Business Case'!G11*$C383*'Business Case'!G13*$D383-'Business Case'!G14*$E383)-MAX(0,(('Business Case'!G11*$C383*'Business Case'!G12*$B383)-'Business Case'!G11*$C383*'Business Case'!G13*$D383-'Business Case'!G14*$E383))*'Business Case'!$B$7-'Business Case'!$B$8*(('Business Case'!G11*$C383*'Business Case'!G12*$B383)-('Business Case'!F11*$C383*'Business Case'!F12*$B383))-'Business Case'!G15*$F383+'Business Case'!$B$8*('Business Case'!G11*$C383*'Business Case'!G12*$B383)</f>
        <v>840603511.097893</v>
      </c>
      <c r="N383" s="53" t="n">
        <f aca="false">IF(COUNT('Business Case'!B11:G11)=0,"",H383+NPV(G383,I383:M383))</f>
        <v>-623214627.402523</v>
      </c>
      <c r="P383" s="54" t="n">
        <f aca="true">RAND()</f>
        <v>0.0565349228632667</v>
      </c>
      <c r="Q383" s="54" t="n">
        <f aca="true">RAND()</f>
        <v>0.677374667365448</v>
      </c>
      <c r="R383" s="54" t="n">
        <f aca="true">RAND()</f>
        <v>0.525439321035284</v>
      </c>
      <c r="S383" s="54" t="n">
        <f aca="true">RAND()</f>
        <v>0.393114470309219</v>
      </c>
      <c r="T383" s="54" t="n">
        <f aca="true">RAND()</f>
        <v>0.500626802418615</v>
      </c>
      <c r="U383" s="54" t="n">
        <f aca="true">RAND()</f>
        <v>0.912905502687481</v>
      </c>
    </row>
    <row r="384" customFormat="false" ht="15" hidden="false" customHeight="false" outlineLevel="0" collapsed="false">
      <c r="A384" s="50" t="n">
        <v>304</v>
      </c>
      <c r="B384" s="51" t="n">
        <f aca="false">1+IF($G$6=$E$6,$F$6,IF(P384&lt;($F$6-$E$6)/($G$6-$E$6),$E$6+SQRT(P384*($G$6-$E$6)*($F$6-$E$6)),$G$6-SQRT((1-P384)*($G$6-$E$6)*($G$6-$F$6))))</f>
        <v>1.01733490757989</v>
      </c>
      <c r="C384" s="51" t="n">
        <f aca="false">1+IF($G$7=$E$7,$F$7,IF(Q384&lt;($F$7-$E$7)/($G$7-$E$7),$E$7+SQRT(Q384*($G$7-$E$7)*($F$7-$E$7)),$G$7-SQRT((1-Q384)*($G$7-$E$7)*($G$7-$F$7))))</f>
        <v>0.844771105946937</v>
      </c>
      <c r="D384" s="51" t="n">
        <f aca="false">1+IF($G$8=$E$8,$F$8,IF(R384&lt;($F$8-$E$8)/($G$8-$E$8),$E$8+SQRT(R384*($G$8-$E$8)*($F$8-$E$8)),$G$8-SQRT((1-R384)*($G$8-$E$8)*($G$8-$F$8))))</f>
        <v>0.99634090400828</v>
      </c>
      <c r="E384" s="51" t="n">
        <f aca="false">1+IF($G$9=$E$9,$F$9,IF(S384&lt;($F$9-$E$9)/($G$9-$E$9),$E$9+SQRT(S384*($G$9-$E$9)*($F$9-$E$9)),$G$9-SQRT((1-S384)*($G$9-$E$9)*($G$9-$F$9))))</f>
        <v>1.02600265851583</v>
      </c>
      <c r="F384" s="51" t="n">
        <f aca="false">1+IF($G$10=$E$10,$F$10,IF(T384&lt;($F$10-$E$10)/($G$10-$E$10),$E$10+SQRT(T384*($G$10-$E$10)*($F$10-$E$10)),$G$10-SQRT((1-T384)*($G$10-$E$10)*($G$10-$F$10))))</f>
        <v>0.991509187103424</v>
      </c>
      <c r="G384" s="52" t="n">
        <f aca="false">IF($G$11=$E$11,$F$11,IF(U384&lt;($F$11-$E$11)/($G$11-$E$11),$E$11+SQRT(U384*($G$11-$E$11)*($F$11-$E$11)),$G$11-SQRT((1-U384)*($G$11-$E$11)*($G$11-$F$11))))</f>
        <v>0.0938954241930121</v>
      </c>
      <c r="H384" s="53" t="n">
        <f aca="false">(('Business Case'!B11*$C384*'Business Case'!B12*$B384)-'Business Case'!B11*$C384*'Business Case'!B13*$D384-'Business Case'!B14*$E384)-MAX(0,(('Business Case'!B11*$C384*'Business Case'!B12*$B384)-'Business Case'!B11*$C384*'Business Case'!B13*$D384-'Business Case'!B14*$E384))*'Business Case'!$B$7-'Business Case'!$B$8*('Business Case'!B11*$C384*'Business Case'!B12*$B384)-'Business Case'!B15*$F384</f>
        <v>-1983018374.20685</v>
      </c>
      <c r="I384" s="53" t="n">
        <f aca="false">(('Business Case'!C11*$C384*'Business Case'!C12*$B384)-'Business Case'!C11*$C384*'Business Case'!C13*$D384-'Business Case'!C14*$E384)-MAX(0,(('Business Case'!C11*$C384*'Business Case'!C12*$B384)-'Business Case'!C11*$C384*'Business Case'!C13*$D384-'Business Case'!C14*$E384))*'Business Case'!$B$7-'Business Case'!$B$8*(('Business Case'!C11*$C384*'Business Case'!C12*$B384)-('Business Case'!B11*$C384*'Business Case'!B12*$B384))-'Business Case'!C15*$F384</f>
        <v>-16550533.2766307</v>
      </c>
      <c r="J384" s="53" t="n">
        <f aca="false">(('Business Case'!D11*$C384*'Business Case'!D12*$B384)-'Business Case'!D11*$C384*'Business Case'!D13*$D384-'Business Case'!D14*$E384)-MAX(0,(('Business Case'!D11*$C384*'Business Case'!D12*$B384)-'Business Case'!D11*$C384*'Business Case'!D13*$D384-'Business Case'!D14*$E384))*'Business Case'!$B$7-'Business Case'!$B$8*(('Business Case'!D11*$C384*'Business Case'!D12*$B384)-('Business Case'!C11*$C384*'Business Case'!C12*$B384))-'Business Case'!D15*$F384</f>
        <v>256499510.796157</v>
      </c>
      <c r="K384" s="53" t="n">
        <f aca="false">(('Business Case'!E11*$C384*'Business Case'!E12*$B384)-'Business Case'!E11*$C384*'Business Case'!E13*$D384-'Business Case'!E14*$E384)-MAX(0,(('Business Case'!E11*$C384*'Business Case'!E12*$B384)-'Business Case'!E11*$C384*'Business Case'!E13*$D384-'Business Case'!E14*$E384))*'Business Case'!$B$7-'Business Case'!$B$8*(('Business Case'!E11*$C384*'Business Case'!E12*$B384)-('Business Case'!D11*$C384*'Business Case'!D12*$B384))-'Business Case'!E15*$F384</f>
        <v>579125014.224115</v>
      </c>
      <c r="L384" s="53" t="n">
        <f aca="false">(('Business Case'!F11*$C384*'Business Case'!F12*$B384)-'Business Case'!F11*$C384*'Business Case'!F13*$D384-'Business Case'!F14*$E384)-MAX(0,(('Business Case'!F11*$C384*'Business Case'!F12*$B384)-'Business Case'!F11*$C384*'Business Case'!F13*$D384-'Business Case'!F14*$E384))*'Business Case'!$B$7-'Business Case'!$B$8*(('Business Case'!F11*$C384*'Business Case'!F12*$B384)-('Business Case'!E11*$C384*'Business Case'!E12*$B384))-'Business Case'!F15*$F384</f>
        <v>699843082.647128</v>
      </c>
      <c r="M384" s="53" t="n">
        <f aca="false">(('Business Case'!G11*$C384*'Business Case'!G12*$B384)-'Business Case'!G11*$C384*'Business Case'!G13*$D384-'Business Case'!G14*$E384)-MAX(0,(('Business Case'!G11*$C384*'Business Case'!G12*$B384)-'Business Case'!G11*$C384*'Business Case'!G13*$D384-'Business Case'!G14*$E384))*'Business Case'!$B$7-'Business Case'!$B$8*(('Business Case'!G11*$C384*'Business Case'!G12*$B384)-('Business Case'!F11*$C384*'Business Case'!F12*$B384))-'Business Case'!G15*$F384+'Business Case'!$B$8*('Business Case'!G11*$C384*'Business Case'!G12*$B384)</f>
        <v>863200711.506919</v>
      </c>
      <c r="N384" s="53" t="n">
        <f aca="false">IF(COUNT('Business Case'!B11:G11)=0,"",H384+NPV(G384,I384:M384))</f>
        <v>-301497282.591763</v>
      </c>
      <c r="P384" s="54" t="n">
        <f aca="true">RAND()</f>
        <v>0.892977830330825</v>
      </c>
      <c r="Q384" s="54" t="n">
        <f aca="true">RAND()</f>
        <v>0.028635027538741</v>
      </c>
      <c r="R384" s="54" t="n">
        <f aca="true">RAND()</f>
        <v>0.330381443739175</v>
      </c>
      <c r="S384" s="54" t="n">
        <f aca="true">RAND()</f>
        <v>0.634959563551669</v>
      </c>
      <c r="T384" s="54" t="n">
        <f aca="true">RAND()</f>
        <v>0.137841009118966</v>
      </c>
      <c r="U384" s="54" t="n">
        <f aca="true">RAND()</f>
        <v>0.0505810988116802</v>
      </c>
    </row>
    <row r="385" customFormat="false" ht="15" hidden="false" customHeight="false" outlineLevel="0" collapsed="false">
      <c r="A385" s="50" t="n">
        <v>305</v>
      </c>
      <c r="B385" s="51" t="n">
        <f aca="false">1+IF($G$6=$E$6,$F$6,IF(P385&lt;($F$6-$E$6)/($G$6-$E$6),$E$6+SQRT(P385*($G$6-$E$6)*($F$6-$E$6)),$G$6-SQRT((1-P385)*($G$6-$E$6)*($G$6-$F$6))))</f>
        <v>0.975095721092686</v>
      </c>
      <c r="C385" s="51" t="n">
        <f aca="false">1+IF($G$7=$E$7,$F$7,IF(Q385&lt;($F$7-$E$7)/($G$7-$E$7),$E$7+SQRT(Q385*($G$7-$E$7)*($F$7-$E$7)),$G$7-SQRT((1-Q385)*($G$7-$E$7)*($G$7-$F$7))))</f>
        <v>1.04562392194731</v>
      </c>
      <c r="D385" s="51" t="n">
        <f aca="false">1+IF($G$8=$E$8,$F$8,IF(R385&lt;($F$8-$E$8)/($G$8-$E$8),$E$8+SQRT(R385*($G$8-$E$8)*($F$8-$E$8)),$G$8-SQRT((1-R385)*($G$8-$E$8)*($G$8-$F$8))))</f>
        <v>1.01820759730988</v>
      </c>
      <c r="E385" s="51" t="n">
        <f aca="false">1+IF($G$9=$E$9,$F$9,IF(S385&lt;($F$9-$E$9)/($G$9-$E$9),$E$9+SQRT(S385*($G$9-$E$9)*($F$9-$E$9)),$G$9-SQRT((1-S385)*($G$9-$E$9)*($G$9-$F$9))))</f>
        <v>0.9846555167639</v>
      </c>
      <c r="F385" s="51" t="n">
        <f aca="false">1+IF($G$10=$E$10,$F$10,IF(T385&lt;($F$10-$E$10)/($G$10-$E$10),$E$10+SQRT(T385*($G$10-$E$10)*($F$10-$E$10)),$G$10-SQRT((1-T385)*($G$10-$E$10)*($G$10-$F$10))))</f>
        <v>1.01960841332404</v>
      </c>
      <c r="G385" s="52" t="n">
        <f aca="false">IF($G$11=$E$11,$F$11,IF(U385&lt;($F$11-$E$11)/($G$11-$E$11),$E$11+SQRT(U385*($G$11-$E$11)*($F$11-$E$11)),$G$11-SQRT((1-U385)*($G$11-$E$11)*($G$11-$F$11))))</f>
        <v>0.0932350441245902</v>
      </c>
      <c r="H385" s="53" t="n">
        <f aca="false">(('Business Case'!B11*$C385*'Business Case'!B12*$B385)-'Business Case'!B11*$C385*'Business Case'!B13*$D385-'Business Case'!B14*$E385)-MAX(0,(('Business Case'!B11*$C385*'Business Case'!B12*$B385)-'Business Case'!B11*$C385*'Business Case'!B13*$D385-'Business Case'!B14*$E385))*'Business Case'!$B$7-'Business Case'!$B$8*('Business Case'!B11*$C385*'Business Case'!B12*$B385)-'Business Case'!B15*$F385</f>
        <v>-2039216826.64808</v>
      </c>
      <c r="I385" s="53" t="n">
        <f aca="false">(('Business Case'!C11*$C385*'Business Case'!C12*$B385)-'Business Case'!C11*$C385*'Business Case'!C13*$D385-'Business Case'!C14*$E385)-MAX(0,(('Business Case'!C11*$C385*'Business Case'!C12*$B385)-'Business Case'!C11*$C385*'Business Case'!C13*$D385-'Business Case'!C14*$E385))*'Business Case'!$B$7-'Business Case'!$B$8*(('Business Case'!C11*$C385*'Business Case'!C12*$B385)-('Business Case'!B11*$C385*'Business Case'!B12*$B385))-'Business Case'!C15*$F385</f>
        <v>-4743719.64082553</v>
      </c>
      <c r="J385" s="53" t="n">
        <f aca="false">(('Business Case'!D11*$C385*'Business Case'!D12*$B385)-'Business Case'!D11*$C385*'Business Case'!D13*$D385-'Business Case'!D14*$E385)-MAX(0,(('Business Case'!D11*$C385*'Business Case'!D12*$B385)-'Business Case'!D11*$C385*'Business Case'!D13*$D385-'Business Case'!D14*$E385))*'Business Case'!$B$7-'Business Case'!$B$8*(('Business Case'!D11*$C385*'Business Case'!D12*$B385)-('Business Case'!C11*$C385*'Business Case'!C12*$B385))-'Business Case'!D15*$F385</f>
        <v>285346620.621108</v>
      </c>
      <c r="K385" s="53" t="n">
        <f aca="false">(('Business Case'!E11*$C385*'Business Case'!E12*$B385)-'Business Case'!E11*$C385*'Business Case'!E13*$D385-'Business Case'!E14*$E385)-MAX(0,(('Business Case'!E11*$C385*'Business Case'!E12*$B385)-'Business Case'!E11*$C385*'Business Case'!E13*$D385-'Business Case'!E14*$E385))*'Business Case'!$B$7-'Business Case'!$B$8*(('Business Case'!E11*$C385*'Business Case'!E12*$B385)-('Business Case'!D11*$C385*'Business Case'!D12*$B385))-'Business Case'!E15*$F385</f>
        <v>626417381.549245</v>
      </c>
      <c r="L385" s="53" t="n">
        <f aca="false">(('Business Case'!F11*$C385*'Business Case'!F12*$B385)-'Business Case'!F11*$C385*'Business Case'!F13*$D385-'Business Case'!F14*$E385)-MAX(0,(('Business Case'!F11*$C385*'Business Case'!F12*$B385)-'Business Case'!F11*$C385*'Business Case'!F13*$D385-'Business Case'!F14*$E385))*'Business Case'!$B$7-'Business Case'!$B$8*(('Business Case'!F11*$C385*'Business Case'!F12*$B385)-('Business Case'!E11*$C385*'Business Case'!E12*$B385))-'Business Case'!F15*$F385</f>
        <v>758350964.360909</v>
      </c>
      <c r="M385" s="53" t="n">
        <f aca="false">(('Business Case'!G11*$C385*'Business Case'!G12*$B385)-'Business Case'!G11*$C385*'Business Case'!G13*$D385-'Business Case'!G14*$E385)-MAX(0,(('Business Case'!G11*$C385*'Business Case'!G12*$B385)-'Business Case'!G11*$C385*'Business Case'!G13*$D385-'Business Case'!G14*$E385))*'Business Case'!$B$7-'Business Case'!$B$8*(('Business Case'!G11*$C385*'Business Case'!G12*$B385)-('Business Case'!F11*$C385*'Business Case'!F12*$B385))-'Business Case'!G15*$F385+'Business Case'!$B$8*('Business Case'!G11*$C385*'Business Case'!G12*$B385)</f>
        <v>952153379.344848</v>
      </c>
      <c r="N385" s="53" t="n">
        <f aca="false">IF(COUNT('Business Case'!B11:G11)=0,"",H385+NPV(G385,I385:M385))</f>
        <v>-184740628.685911</v>
      </c>
      <c r="P385" s="54" t="n">
        <f aca="true">RAND()</f>
        <v>0.316201925283654</v>
      </c>
      <c r="Q385" s="54" t="n">
        <f aca="true">RAND()</f>
        <v>0.792488272958848</v>
      </c>
      <c r="R385" s="54" t="n">
        <f aca="true">RAND()</f>
        <v>0.632855670171333</v>
      </c>
      <c r="S385" s="54" t="n">
        <f aca="true">RAND()</f>
        <v>0.160133978956389</v>
      </c>
      <c r="T385" s="54" t="n">
        <f aca="true">RAND()</f>
        <v>0.349177509130609</v>
      </c>
      <c r="U385" s="54" t="n">
        <f aca="true">RAND()</f>
        <v>0.034885034960151</v>
      </c>
    </row>
    <row r="386" customFormat="false" ht="15" hidden="false" customHeight="false" outlineLevel="0" collapsed="false">
      <c r="A386" s="50" t="n">
        <v>306</v>
      </c>
      <c r="B386" s="51" t="n">
        <f aca="false">1+IF($G$6=$E$6,$F$6,IF(P386&lt;($F$6-$E$6)/($G$6-$E$6),$E$6+SQRT(P386*($G$6-$E$6)*($F$6-$E$6)),$G$6-SQRT((1-P386)*($G$6-$E$6)*($G$6-$F$6))))</f>
        <v>1.0186747033682</v>
      </c>
      <c r="C386" s="51" t="n">
        <f aca="false">1+IF($G$7=$E$7,$F$7,IF(Q386&lt;($F$7-$E$7)/($G$7-$E$7),$E$7+SQRT(Q386*($G$7-$E$7)*($F$7-$E$7)),$G$7-SQRT((1-Q386)*($G$7-$E$7)*($G$7-$F$7))))</f>
        <v>1.10061469210149</v>
      </c>
      <c r="D386" s="51" t="n">
        <f aca="false">1+IF($G$8=$E$8,$F$8,IF(R386&lt;($F$8-$E$8)/($G$8-$E$8),$E$8+SQRT(R386*($G$8-$E$8)*($F$8-$E$8)),$G$8-SQRT((1-R386)*($G$8-$E$8)*($G$8-$F$8))))</f>
        <v>0.981175286757271</v>
      </c>
      <c r="E386" s="51" t="n">
        <f aca="false">1+IF($G$9=$E$9,$F$9,IF(S386&lt;($F$9-$E$9)/($G$9-$E$9),$E$9+SQRT(S386*($G$9-$E$9)*($F$9-$E$9)),$G$9-SQRT((1-S386)*($G$9-$E$9)*($G$9-$F$9))))</f>
        <v>0.992717222306033</v>
      </c>
      <c r="F386" s="51" t="n">
        <f aca="false">1+IF($G$10=$E$10,$F$10,IF(T386&lt;($F$10-$E$10)/($G$10-$E$10),$E$10+SQRT(T386*($G$10-$E$10)*($F$10-$E$10)),$G$10-SQRT((1-T386)*($G$10-$E$10)*($G$10-$F$10))))</f>
        <v>1.01051068087128</v>
      </c>
      <c r="G386" s="52" t="n">
        <f aca="false">IF($G$11=$E$11,$F$11,IF(U386&lt;($F$11-$E$11)/($G$11-$E$11),$E$11+SQRT(U386*($G$11-$E$11)*($F$11-$E$11)),$G$11-SQRT((1-U386)*($G$11-$E$11)*($G$11-$F$11))))</f>
        <v>0.0998037975523071</v>
      </c>
      <c r="H386" s="53" t="n">
        <f aca="false">(('Business Case'!B11*$C386*'Business Case'!B12*$B386)-'Business Case'!B11*$C386*'Business Case'!B13*$D386-'Business Case'!B14*$E386)-MAX(0,(('Business Case'!B11*$C386*'Business Case'!B12*$B386)-'Business Case'!B11*$C386*'Business Case'!B13*$D386-'Business Case'!B14*$E386))*'Business Case'!$B$7-'Business Case'!$B$8*('Business Case'!B11*$C386*'Business Case'!B12*$B386)-'Business Case'!B15*$F386</f>
        <v>-2021021361.74256</v>
      </c>
      <c r="I386" s="53" t="n">
        <f aca="false">(('Business Case'!C11*$C386*'Business Case'!C12*$B386)-'Business Case'!C11*$C386*'Business Case'!C13*$D386-'Business Case'!C14*$E386)-MAX(0,(('Business Case'!C11*$C386*'Business Case'!C12*$B386)-'Business Case'!C11*$C386*'Business Case'!C13*$D386-'Business Case'!C14*$E386))*'Business Case'!$B$7-'Business Case'!$B$8*(('Business Case'!C11*$C386*'Business Case'!C12*$B386)-('Business Case'!B11*$C386*'Business Case'!B12*$B386))-'Business Case'!C15*$F386</f>
        <v>65160446.9466912</v>
      </c>
      <c r="J386" s="53" t="n">
        <f aca="false">(('Business Case'!D11*$C386*'Business Case'!D12*$B386)-'Business Case'!D11*$C386*'Business Case'!D13*$D386-'Business Case'!D14*$E386)-MAX(0,(('Business Case'!D11*$C386*'Business Case'!D12*$B386)-'Business Case'!D11*$C386*'Business Case'!D13*$D386-'Business Case'!D14*$E386))*'Business Case'!$B$7-'Business Case'!$B$8*(('Business Case'!D11*$C386*'Business Case'!D12*$B386)-('Business Case'!C11*$C386*'Business Case'!C12*$B386))-'Business Case'!D15*$F386</f>
        <v>430657717.997185</v>
      </c>
      <c r="K386" s="53" t="n">
        <f aca="false">(('Business Case'!E11*$C386*'Business Case'!E12*$B386)-'Business Case'!E11*$C386*'Business Case'!E13*$D386-'Business Case'!E14*$E386)-MAX(0,(('Business Case'!E11*$C386*'Business Case'!E12*$B386)-'Business Case'!E11*$C386*'Business Case'!E13*$D386-'Business Case'!E14*$E386))*'Business Case'!$B$7-'Business Case'!$B$8*(('Business Case'!E11*$C386*'Business Case'!E12*$B386)-('Business Case'!D11*$C386*'Business Case'!D12*$B386))-'Business Case'!E15*$F386</f>
        <v>846680523.091243</v>
      </c>
      <c r="L386" s="53" t="n">
        <f aca="false">(('Business Case'!F11*$C386*'Business Case'!F12*$B386)-'Business Case'!F11*$C386*'Business Case'!F13*$D386-'Business Case'!F14*$E386)-MAX(0,(('Business Case'!F11*$C386*'Business Case'!F12*$B386)-'Business Case'!F11*$C386*'Business Case'!F13*$D386-'Business Case'!F14*$E386))*'Business Case'!$B$7-'Business Case'!$B$8*(('Business Case'!F11*$C386*'Business Case'!F12*$B386)-('Business Case'!E11*$C386*'Business Case'!E12*$B386))-'Business Case'!F15*$F386</f>
        <v>1007260524.77791</v>
      </c>
      <c r="M386" s="53" t="n">
        <f aca="false">(('Business Case'!G11*$C386*'Business Case'!G12*$B386)-'Business Case'!G11*$C386*'Business Case'!G13*$D386-'Business Case'!G14*$E386)-MAX(0,(('Business Case'!G11*$C386*'Business Case'!G12*$B386)-'Business Case'!G11*$C386*'Business Case'!G13*$D386-'Business Case'!G14*$E386))*'Business Case'!$B$7-'Business Case'!$B$8*(('Business Case'!G11*$C386*'Business Case'!G12*$B386)-('Business Case'!F11*$C386*'Business Case'!F12*$B386))-'Business Case'!G15*$F386+'Business Case'!$B$8*('Business Case'!G11*$C386*'Business Case'!G12*$B386)</f>
        <v>1220372203.79535</v>
      </c>
      <c r="N386" s="53" t="n">
        <f aca="false">IF(COUNT('Business Case'!B11:G11)=0,"",H386+NPV(G386,I386:M386))</f>
        <v>477627391.004285</v>
      </c>
      <c r="P386" s="54" t="n">
        <f aca="true">RAND()</f>
        <v>0.905256609076192</v>
      </c>
      <c r="Q386" s="54" t="n">
        <f aca="true">RAND()</f>
        <v>0.953544597405136</v>
      </c>
      <c r="R386" s="54" t="n">
        <f aca="true">RAND()</f>
        <v>0.149522846830469</v>
      </c>
      <c r="S386" s="54" t="n">
        <f aca="true">RAND()</f>
        <v>0.243301477539074</v>
      </c>
      <c r="T386" s="54" t="n">
        <f aca="true">RAND()</f>
        <v>0.281875958722682</v>
      </c>
      <c r="U386" s="54" t="n">
        <f aca="true">RAND()</f>
        <v>0.320381488155407</v>
      </c>
    </row>
    <row r="387" customFormat="false" ht="15" hidden="false" customHeight="false" outlineLevel="0" collapsed="false">
      <c r="A387" s="50" t="n">
        <v>307</v>
      </c>
      <c r="B387" s="51" t="n">
        <f aca="false">1+IF($G$6=$E$6,$F$6,IF(P387&lt;($F$6-$E$6)/($G$6-$E$6),$E$6+SQRT(P387*($G$6-$E$6)*($F$6-$E$6)),$G$6-SQRT((1-P387)*($G$6-$E$6)*($G$6-$F$6))))</f>
        <v>0.969260682456064</v>
      </c>
      <c r="C387" s="51" t="n">
        <f aca="false">1+IF($G$7=$E$7,$F$7,IF(Q387&lt;($F$7-$E$7)/($G$7-$E$7),$E$7+SQRT(Q387*($G$7-$E$7)*($F$7-$E$7)),$G$7-SQRT((1-Q387)*($G$7-$E$7)*($G$7-$F$7))))</f>
        <v>0.951172089198248</v>
      </c>
      <c r="D387" s="51" t="n">
        <f aca="false">1+IF($G$8=$E$8,$F$8,IF(R387&lt;($F$8-$E$8)/($G$8-$E$8),$E$8+SQRT(R387*($G$8-$E$8)*($F$8-$E$8)),$G$8-SQRT((1-R387)*($G$8-$E$8)*($G$8-$F$8))))</f>
        <v>0.976982354970665</v>
      </c>
      <c r="E387" s="51" t="n">
        <f aca="false">1+IF($G$9=$E$9,$F$9,IF(S387&lt;($F$9-$E$9)/($G$9-$E$9),$E$9+SQRT(S387*($G$9-$E$9)*($F$9-$E$9)),$G$9-SQRT((1-S387)*($G$9-$E$9)*($G$9-$F$9))))</f>
        <v>1.03259585912996</v>
      </c>
      <c r="F387" s="51" t="n">
        <f aca="false">1+IF($G$10=$E$10,$F$10,IF(T387&lt;($F$10-$E$10)/($G$10-$E$10),$E$10+SQRT(T387*($G$10-$E$10)*($F$10-$E$10)),$G$10-SQRT((1-T387)*($G$10-$E$10)*($G$10-$F$10))))</f>
        <v>1.04792581631615</v>
      </c>
      <c r="G387" s="52" t="n">
        <f aca="false">IF($G$11=$E$11,$F$11,IF(U387&lt;($F$11-$E$11)/($G$11-$E$11),$E$11+SQRT(U387*($G$11-$E$11)*($F$11-$E$11)),$G$11-SQRT((1-U387)*($G$11-$E$11)*($G$11-$F$11))))</f>
        <v>0.101798582410779</v>
      </c>
      <c r="H387" s="53" t="n">
        <f aca="false">(('Business Case'!B11*$C387*'Business Case'!B12*$B387)-'Business Case'!B11*$C387*'Business Case'!B13*$D387-'Business Case'!B14*$E387)-MAX(0,(('Business Case'!B11*$C387*'Business Case'!B12*$B387)-'Business Case'!B11*$C387*'Business Case'!B13*$D387-'Business Case'!B14*$E387))*'Business Case'!$B$7-'Business Case'!$B$8*('Business Case'!B11*$C387*'Business Case'!B12*$B387)-'Business Case'!B15*$F387</f>
        <v>-2095851632.63229</v>
      </c>
      <c r="I387" s="53" t="n">
        <f aca="false">(('Business Case'!C11*$C387*'Business Case'!C12*$B387)-'Business Case'!C11*$C387*'Business Case'!C13*$D387-'Business Case'!C14*$E387)-MAX(0,(('Business Case'!C11*$C387*'Business Case'!C12*$B387)-'Business Case'!C11*$C387*'Business Case'!C13*$D387-'Business Case'!C14*$E387))*'Business Case'!$B$7-'Business Case'!$B$8*(('Business Case'!C11*$C387*'Business Case'!C12*$B387)-('Business Case'!B11*$C387*'Business Case'!B12*$B387))-'Business Case'!C15*$F387</f>
        <v>-20006841.6542843</v>
      </c>
      <c r="J387" s="53" t="n">
        <f aca="false">(('Business Case'!D11*$C387*'Business Case'!D12*$B387)-'Business Case'!D11*$C387*'Business Case'!D13*$D387-'Business Case'!D14*$E387)-MAX(0,(('Business Case'!D11*$C387*'Business Case'!D12*$B387)-'Business Case'!D11*$C387*'Business Case'!D13*$D387-'Business Case'!D14*$E387))*'Business Case'!$B$7-'Business Case'!$B$8*(('Business Case'!D11*$C387*'Business Case'!D12*$B387)-('Business Case'!C11*$C387*'Business Case'!C12*$B387))-'Business Case'!D15*$F387</f>
        <v>259407072.930089</v>
      </c>
      <c r="K387" s="53" t="n">
        <f aca="false">(('Business Case'!E11*$C387*'Business Case'!E12*$B387)-'Business Case'!E11*$C387*'Business Case'!E13*$D387-'Business Case'!E14*$E387)-MAX(0,(('Business Case'!E11*$C387*'Business Case'!E12*$B387)-'Business Case'!E11*$C387*'Business Case'!E13*$D387-'Business Case'!E14*$E387))*'Business Case'!$B$7-'Business Case'!$B$8*(('Business Case'!E11*$C387*'Business Case'!E12*$B387)-('Business Case'!D11*$C387*'Business Case'!D12*$B387))-'Business Case'!E15*$F387</f>
        <v>591217278.330269</v>
      </c>
      <c r="L387" s="53" t="n">
        <f aca="false">(('Business Case'!F11*$C387*'Business Case'!F12*$B387)-'Business Case'!F11*$C387*'Business Case'!F13*$D387-'Business Case'!F14*$E387)-MAX(0,(('Business Case'!F11*$C387*'Business Case'!F12*$B387)-'Business Case'!F11*$C387*'Business Case'!F13*$D387-'Business Case'!F14*$E387))*'Business Case'!$B$7-'Business Case'!$B$8*(('Business Case'!F11*$C387*'Business Case'!F12*$B387)-('Business Case'!E11*$C387*'Business Case'!E12*$B387))-'Business Case'!F15*$F387</f>
        <v>716217278.817568</v>
      </c>
      <c r="M387" s="53" t="n">
        <f aca="false">(('Business Case'!G11*$C387*'Business Case'!G12*$B387)-'Business Case'!G11*$C387*'Business Case'!G13*$D387-'Business Case'!G14*$E387)-MAX(0,(('Business Case'!G11*$C387*'Business Case'!G12*$B387)-'Business Case'!G11*$C387*'Business Case'!G13*$D387-'Business Case'!G14*$E387))*'Business Case'!$B$7-'Business Case'!$B$8*(('Business Case'!G11*$C387*'Business Case'!G12*$B387)-('Business Case'!F11*$C387*'Business Case'!F12*$B387))-'Business Case'!G15*$F387+'Business Case'!$B$8*('Business Case'!G11*$C387*'Business Case'!G12*$B387)</f>
        <v>891458438.093029</v>
      </c>
      <c r="N387" s="53" t="n">
        <f aca="false">IF(COUNT('Business Case'!B11:G11)=0,"",H387+NPV(G387,I387:M387))</f>
        <v>-423282745.966557</v>
      </c>
      <c r="P387" s="54" t="n">
        <f aca="true">RAND()</f>
        <v>0.252772378753873</v>
      </c>
      <c r="Q387" s="54" t="n">
        <f aca="true">RAND()</f>
        <v>0.326471436465186</v>
      </c>
      <c r="R387" s="54" t="n">
        <f aca="true">RAND()</f>
        <v>0.112007304578921</v>
      </c>
      <c r="S387" s="54" t="n">
        <f aca="true">RAND()</f>
        <v>0.697112119571463</v>
      </c>
      <c r="T387" s="54" t="n">
        <f aca="true">RAND()</f>
        <v>0.537468853137791</v>
      </c>
      <c r="U387" s="54" t="n">
        <f aca="true">RAND()</f>
        <v>0.447847329571315</v>
      </c>
    </row>
    <row r="388" customFormat="false" ht="15" hidden="false" customHeight="false" outlineLevel="0" collapsed="false">
      <c r="A388" s="50" t="n">
        <v>308</v>
      </c>
      <c r="B388" s="51" t="n">
        <f aca="false">1+IF($G$6=$E$6,$F$6,IF(P388&lt;($F$6-$E$6)/($G$6-$E$6),$E$6+SQRT(P388*($G$6-$E$6)*($F$6-$E$6)),$G$6-SQRT((1-P388)*($G$6-$E$6)*($G$6-$F$6))))</f>
        <v>1.02040015463407</v>
      </c>
      <c r="C388" s="51" t="n">
        <f aca="false">1+IF($G$7=$E$7,$F$7,IF(Q388&lt;($F$7-$E$7)/($G$7-$E$7),$E$7+SQRT(Q388*($G$7-$E$7)*($F$7-$E$7)),$G$7-SQRT((1-Q388)*($G$7-$E$7)*($G$7-$F$7))))</f>
        <v>0.935188190593976</v>
      </c>
      <c r="D388" s="51" t="n">
        <f aca="false">1+IF($G$8=$E$8,$F$8,IF(R388&lt;($F$8-$E$8)/($G$8-$E$8),$E$8+SQRT(R388*($G$8-$E$8)*($F$8-$E$8)),$G$8-SQRT((1-R388)*($G$8-$E$8)*($G$8-$F$8))))</f>
        <v>0.970735265724488</v>
      </c>
      <c r="E388" s="51" t="n">
        <f aca="false">1+IF($G$9=$E$9,$F$9,IF(S388&lt;($F$9-$E$9)/($G$9-$E$9),$E$9+SQRT(S388*($G$9-$E$9)*($F$9-$E$9)),$G$9-SQRT((1-S388)*($G$9-$E$9)*($G$9-$F$9))))</f>
        <v>1.03298904329731</v>
      </c>
      <c r="F388" s="51" t="n">
        <f aca="false">1+IF($G$10=$E$10,$F$10,IF(T388&lt;($F$10-$E$10)/($G$10-$E$10),$E$10+SQRT(T388*($G$10-$E$10)*($F$10-$E$10)),$G$10-SQRT((1-T388)*($G$10-$E$10)*($G$10-$F$10))))</f>
        <v>1.0367098488794</v>
      </c>
      <c r="G388" s="52" t="n">
        <f aca="false">IF($G$11=$E$11,$F$11,IF(U388&lt;($F$11-$E$11)/($G$11-$E$11),$E$11+SQRT(U388*($G$11-$E$11)*($F$11-$E$11)),$G$11-SQRT((1-U388)*($G$11-$E$11)*($G$11-$F$11))))</f>
        <v>0.117531632040091</v>
      </c>
      <c r="H388" s="53" t="n">
        <f aca="false">(('Business Case'!B11*$C388*'Business Case'!B12*$B388)-'Business Case'!B11*$C388*'Business Case'!B13*$D388-'Business Case'!B14*$E388)-MAX(0,(('Business Case'!B11*$C388*'Business Case'!B12*$B388)-'Business Case'!B11*$C388*'Business Case'!B13*$D388-'Business Case'!B14*$E388))*'Business Case'!$B$7-'Business Case'!$B$8*('Business Case'!B11*$C388*'Business Case'!B12*$B388)-'Business Case'!B15*$F388</f>
        <v>-2073419697.7588</v>
      </c>
      <c r="I388" s="53" t="n">
        <f aca="false">(('Business Case'!C11*$C388*'Business Case'!C12*$B388)-'Business Case'!C11*$C388*'Business Case'!C13*$D388-'Business Case'!C14*$E388)-MAX(0,(('Business Case'!C11*$C388*'Business Case'!C12*$B388)-'Business Case'!C11*$C388*'Business Case'!C13*$D388-'Business Case'!C14*$E388))*'Business Case'!$B$7-'Business Case'!$B$8*(('Business Case'!C11*$C388*'Business Case'!C12*$B388)-('Business Case'!B11*$C388*'Business Case'!B12*$B388))-'Business Case'!C15*$F388</f>
        <v>16850223.9739837</v>
      </c>
      <c r="J388" s="53" t="n">
        <f aca="false">(('Business Case'!D11*$C388*'Business Case'!D12*$B388)-'Business Case'!D11*$C388*'Business Case'!D13*$D388-'Business Case'!D14*$E388)-MAX(0,(('Business Case'!D11*$C388*'Business Case'!D12*$B388)-'Business Case'!D11*$C388*'Business Case'!D13*$D388-'Business Case'!D14*$E388))*'Business Case'!$B$7-'Business Case'!$B$8*(('Business Case'!D11*$C388*'Business Case'!D12*$B388)-('Business Case'!C11*$C388*'Business Case'!C12*$B388))-'Business Case'!D15*$F388</f>
        <v>333731633.268188</v>
      </c>
      <c r="K388" s="53" t="n">
        <f aca="false">(('Business Case'!E11*$C388*'Business Case'!E12*$B388)-'Business Case'!E11*$C388*'Business Case'!E13*$D388-'Business Case'!E14*$E388)-MAX(0,(('Business Case'!E11*$C388*'Business Case'!E12*$B388)-'Business Case'!E11*$C388*'Business Case'!E13*$D388-'Business Case'!E14*$E388))*'Business Case'!$B$7-'Business Case'!$B$8*(('Business Case'!E11*$C388*'Business Case'!E12*$B388)-('Business Case'!D11*$C388*'Business Case'!D12*$B388))-'Business Case'!E15*$F388</f>
        <v>702448535.006362</v>
      </c>
      <c r="L388" s="53" t="n">
        <f aca="false">(('Business Case'!F11*$C388*'Business Case'!F12*$B388)-'Business Case'!F11*$C388*'Business Case'!F13*$D388-'Business Case'!F14*$E388)-MAX(0,(('Business Case'!F11*$C388*'Business Case'!F12*$B388)-'Business Case'!F11*$C388*'Business Case'!F13*$D388-'Business Case'!F14*$E388))*'Business Case'!$B$7-'Business Case'!$B$8*(('Business Case'!F11*$C388*'Business Case'!F12*$B388)-('Business Case'!E11*$C388*'Business Case'!E12*$B388))-'Business Case'!F15*$F388</f>
        <v>841055110.421366</v>
      </c>
      <c r="M388" s="53" t="n">
        <f aca="false">(('Business Case'!G11*$C388*'Business Case'!G12*$B388)-'Business Case'!G11*$C388*'Business Case'!G13*$D388-'Business Case'!G14*$E388)-MAX(0,(('Business Case'!G11*$C388*'Business Case'!G12*$B388)-'Business Case'!G11*$C388*'Business Case'!G13*$D388-'Business Case'!G14*$E388))*'Business Case'!$B$7-'Business Case'!$B$8*(('Business Case'!G11*$C388*'Business Case'!G12*$B388)-('Business Case'!F11*$C388*'Business Case'!F12*$B388))-'Business Case'!G15*$F388+'Business Case'!$B$8*('Business Case'!G11*$C388*'Business Case'!G12*$B388)</f>
        <v>1022442024.83118</v>
      </c>
      <c r="N388" s="53" t="n">
        <f aca="false">IF(COUNT('Business Case'!B11:G11)=0,"",H388+NPV(G388,I388:M388))</f>
        <v>-161966408.568151</v>
      </c>
      <c r="P388" s="54" t="n">
        <f aca="true">RAND()</f>
        <v>0.919967929506585</v>
      </c>
      <c r="Q388" s="54" t="n">
        <f aca="true">RAND()</f>
        <v>0.261083526801046</v>
      </c>
      <c r="R388" s="54" t="n">
        <f aca="true">RAND()</f>
        <v>0.066146345333094</v>
      </c>
      <c r="S388" s="54" t="n">
        <f aca="true">RAND()</f>
        <v>0.700635445452638</v>
      </c>
      <c r="T388" s="54" t="n">
        <f aca="true">RAND()</f>
        <v>0.466726530940246</v>
      </c>
      <c r="U388" s="54" t="n">
        <f aca="true">RAND()</f>
        <v>0.989845266024154</v>
      </c>
    </row>
    <row r="389" customFormat="false" ht="15" hidden="false" customHeight="false" outlineLevel="0" collapsed="false">
      <c r="A389" s="50" t="n">
        <v>309</v>
      </c>
      <c r="B389" s="51" t="n">
        <f aca="false">1+IF($G$6=$E$6,$F$6,IF(P389&lt;($F$6-$E$6)/($G$6-$E$6),$E$6+SQRT(P389*($G$6-$E$6)*($F$6-$E$6)),$G$6-SQRT((1-P389)*($G$6-$E$6)*($G$6-$F$6))))</f>
        <v>0.993344166720853</v>
      </c>
      <c r="C389" s="51" t="n">
        <f aca="false">1+IF($G$7=$E$7,$F$7,IF(Q389&lt;($F$7-$E$7)/($G$7-$E$7),$E$7+SQRT(Q389*($G$7-$E$7)*($F$7-$E$7)),$G$7-SQRT((1-Q389)*($G$7-$E$7)*($G$7-$F$7))))</f>
        <v>0.901143472281087</v>
      </c>
      <c r="D389" s="51" t="n">
        <f aca="false">1+IF($G$8=$E$8,$F$8,IF(R389&lt;($F$8-$E$8)/($G$8-$E$8),$E$8+SQRT(R389*($G$8-$E$8)*($F$8-$E$8)),$G$8-SQRT((1-R389)*($G$8-$E$8)*($G$8-$F$8))))</f>
        <v>1.01270686422907</v>
      </c>
      <c r="E389" s="51" t="n">
        <f aca="false">1+IF($G$9=$E$9,$F$9,IF(S389&lt;($F$9-$E$9)/($G$9-$E$9),$E$9+SQRT(S389*($G$9-$E$9)*($F$9-$E$9)),$G$9-SQRT((1-S389)*($G$9-$E$9)*($G$9-$F$9))))</f>
        <v>0.9571966858674</v>
      </c>
      <c r="F389" s="51" t="n">
        <f aca="false">1+IF($G$10=$E$10,$F$10,IF(T389&lt;($F$10-$E$10)/($G$10-$E$10),$E$10+SQRT(T389*($G$10-$E$10)*($F$10-$E$10)),$G$10-SQRT((1-T389)*($G$10-$E$10)*($G$10-$F$10))))</f>
        <v>1.12447664056719</v>
      </c>
      <c r="G389" s="52" t="n">
        <f aca="false">IF($G$11=$E$11,$F$11,IF(U389&lt;($F$11-$E$11)/($G$11-$E$11),$E$11+SQRT(U389*($G$11-$E$11)*($F$11-$E$11)),$G$11-SQRT((1-U389)*($G$11-$E$11)*($G$11-$F$11))))</f>
        <v>0.111227473464978</v>
      </c>
      <c r="H389" s="53" t="n">
        <f aca="false">(('Business Case'!B11*$C389*'Business Case'!B12*$B389)-'Business Case'!B11*$C389*'Business Case'!B13*$D389-'Business Case'!B14*$E389)-MAX(0,(('Business Case'!B11*$C389*'Business Case'!B12*$B389)-'Business Case'!B11*$C389*'Business Case'!B13*$D389-'Business Case'!B14*$E389))*'Business Case'!$B$7-'Business Case'!$B$8*('Business Case'!B11*$C389*'Business Case'!B12*$B389)-'Business Case'!B15*$F389</f>
        <v>-2248953281.13438</v>
      </c>
      <c r="I389" s="53" t="n">
        <f aca="false">(('Business Case'!C11*$C389*'Business Case'!C12*$B389)-'Business Case'!C11*$C389*'Business Case'!C13*$D389-'Business Case'!C14*$E389)-MAX(0,(('Business Case'!C11*$C389*'Business Case'!C12*$B389)-'Business Case'!C11*$C389*'Business Case'!C13*$D389-'Business Case'!C14*$E389))*'Business Case'!$B$7-'Business Case'!$B$8*(('Business Case'!C11*$C389*'Business Case'!C12*$B389)-('Business Case'!B11*$C389*'Business Case'!B12*$B389))-'Business Case'!C15*$F389</f>
        <v>-28951887.5749087</v>
      </c>
      <c r="J389" s="53" t="n">
        <f aca="false">(('Business Case'!D11*$C389*'Business Case'!D12*$B389)-'Business Case'!D11*$C389*'Business Case'!D13*$D389-'Business Case'!D14*$E389)-MAX(0,(('Business Case'!D11*$C389*'Business Case'!D12*$B389)-'Business Case'!D11*$C389*'Business Case'!D13*$D389-'Business Case'!D14*$E389))*'Business Case'!$B$7-'Business Case'!$B$8*(('Business Case'!D11*$C389*'Business Case'!D12*$B389)-('Business Case'!C11*$C389*'Business Case'!C12*$B389))-'Business Case'!D15*$F389</f>
        <v>237061606.140982</v>
      </c>
      <c r="K389" s="53" t="n">
        <f aca="false">(('Business Case'!E11*$C389*'Business Case'!E12*$B389)-'Business Case'!E11*$C389*'Business Case'!E13*$D389-'Business Case'!E14*$E389)-MAX(0,(('Business Case'!E11*$C389*'Business Case'!E12*$B389)-'Business Case'!E11*$C389*'Business Case'!E13*$D389-'Business Case'!E14*$E389))*'Business Case'!$B$7-'Business Case'!$B$8*(('Business Case'!E11*$C389*'Business Case'!E12*$B389)-('Business Case'!D11*$C389*'Business Case'!D12*$B389))-'Business Case'!E15*$F389</f>
        <v>559298931.885233</v>
      </c>
      <c r="L389" s="53" t="n">
        <f aca="false">(('Business Case'!F11*$C389*'Business Case'!F12*$B389)-'Business Case'!F11*$C389*'Business Case'!F13*$D389-'Business Case'!F14*$E389)-MAX(0,(('Business Case'!F11*$C389*'Business Case'!F12*$B389)-'Business Case'!F11*$C389*'Business Case'!F13*$D389-'Business Case'!F14*$E389))*'Business Case'!$B$7-'Business Case'!$B$8*(('Business Case'!F11*$C389*'Business Case'!F12*$B389)-('Business Case'!E11*$C389*'Business Case'!E12*$B389))-'Business Case'!F15*$F389</f>
        <v>678906328.793021</v>
      </c>
      <c r="M389" s="53" t="n">
        <f aca="false">(('Business Case'!G11*$C389*'Business Case'!G12*$B389)-'Business Case'!G11*$C389*'Business Case'!G13*$D389-'Business Case'!G14*$E389)-MAX(0,(('Business Case'!G11*$C389*'Business Case'!G12*$B389)-'Business Case'!G11*$C389*'Business Case'!G13*$D389-'Business Case'!G14*$E389))*'Business Case'!$B$7-'Business Case'!$B$8*(('Business Case'!G11*$C389*'Business Case'!G12*$B389)-('Business Case'!F11*$C389*'Business Case'!F12*$B389))-'Business Case'!G15*$F389+'Business Case'!$B$8*('Business Case'!G11*$C389*'Business Case'!G12*$B389)</f>
        <v>849055606.640055</v>
      </c>
      <c r="N389" s="53" t="n">
        <f aca="false">IF(COUNT('Business Case'!B11:G11)=0,"",H389+NPV(G389,I389:M389))</f>
        <v>-729086415.404208</v>
      </c>
      <c r="P389" s="54" t="n">
        <f aca="true">RAND()</f>
        <v>0.560350707497533</v>
      </c>
      <c r="Q389" s="54" t="n">
        <f aca="true">RAND()</f>
        <v>0.146142885501072</v>
      </c>
      <c r="R389" s="54" t="n">
        <f aca="true">RAND()</f>
        <v>0.564580180588018</v>
      </c>
      <c r="S389" s="54" t="n">
        <f aca="true">RAND()</f>
        <v>0.00690563832987082</v>
      </c>
      <c r="T389" s="54" t="n">
        <f aca="true">RAND()</f>
        <v>0.885924443599645</v>
      </c>
      <c r="U389" s="54" t="n">
        <f aca="true">RAND()</f>
        <v>0.871737963653889</v>
      </c>
    </row>
    <row r="390" customFormat="false" ht="15" hidden="false" customHeight="false" outlineLevel="0" collapsed="false">
      <c r="A390" s="50" t="n">
        <v>310</v>
      </c>
      <c r="B390" s="51" t="n">
        <f aca="false">1+IF($G$6=$E$6,$F$6,IF(P390&lt;($F$6-$E$6)/($G$6-$E$6),$E$6+SQRT(P390*($G$6-$E$6)*($F$6-$E$6)),$G$6-SQRT((1-P390)*($G$6-$E$6)*($G$6-$F$6))))</f>
        <v>0.971570809396076</v>
      </c>
      <c r="C390" s="51" t="n">
        <f aca="false">1+IF($G$7=$E$7,$F$7,IF(Q390&lt;($F$7-$E$7)/($G$7-$E$7),$E$7+SQRT(Q390*($G$7-$E$7)*($F$7-$E$7)),$G$7-SQRT((1-Q390)*($G$7-$E$7)*($G$7-$F$7))))</f>
        <v>0.825778771099165</v>
      </c>
      <c r="D390" s="51" t="n">
        <f aca="false">1+IF($G$8=$E$8,$F$8,IF(R390&lt;($F$8-$E$8)/($G$8-$E$8),$E$8+SQRT(R390*($G$8-$E$8)*($F$8-$E$8)),$G$8-SQRT((1-R390)*($G$8-$E$8)*($G$8-$F$8))))</f>
        <v>1.00233011162765</v>
      </c>
      <c r="E390" s="51" t="n">
        <f aca="false">1+IF($G$9=$E$9,$F$9,IF(S390&lt;($F$9-$E$9)/($G$9-$E$9),$E$9+SQRT(S390*($G$9-$E$9)*($F$9-$E$9)),$G$9-SQRT((1-S390)*($G$9-$E$9)*($G$9-$F$9))))</f>
        <v>1.02425282079536</v>
      </c>
      <c r="F390" s="51" t="n">
        <f aca="false">1+IF($G$10=$E$10,$F$10,IF(T390&lt;($F$10-$E$10)/($G$10-$E$10),$E$10+SQRT(T390*($G$10-$E$10)*($F$10-$E$10)),$G$10-SQRT((1-T390)*($G$10-$E$10)*($G$10-$F$10))))</f>
        <v>0.999942038134098</v>
      </c>
      <c r="G390" s="52" t="n">
        <f aca="false">IF($G$11=$E$11,$F$11,IF(U390&lt;($F$11-$E$11)/($G$11-$E$11),$E$11+SQRT(U390*($G$11-$E$11)*($F$11-$E$11)),$G$11-SQRT((1-U390)*($G$11-$E$11)*($G$11-$F$11))))</f>
        <v>0.0946883560638518</v>
      </c>
      <c r="H390" s="53" t="n">
        <f aca="false">(('Business Case'!B11*$C390*'Business Case'!B12*$B390)-'Business Case'!B11*$C390*'Business Case'!B13*$D390-'Business Case'!B14*$E390)-MAX(0,(('Business Case'!B11*$C390*'Business Case'!B12*$B390)-'Business Case'!B11*$C390*'Business Case'!B13*$D390-'Business Case'!B14*$E390))*'Business Case'!$B$7-'Business Case'!$B$8*('Business Case'!B11*$C390*'Business Case'!B12*$B390)-'Business Case'!B15*$F390</f>
        <v>-1999884076.2682</v>
      </c>
      <c r="I390" s="53" t="n">
        <f aca="false">(('Business Case'!C11*$C390*'Business Case'!C12*$B390)-'Business Case'!C11*$C390*'Business Case'!C13*$D390-'Business Case'!C14*$E390)-MAX(0,(('Business Case'!C11*$C390*'Business Case'!C12*$B390)-'Business Case'!C11*$C390*'Business Case'!C13*$D390-'Business Case'!C14*$E390))*'Business Case'!$B$7-'Business Case'!$B$8*(('Business Case'!C11*$C390*'Business Case'!C12*$B390)-('Business Case'!B11*$C390*'Business Case'!B12*$B390))-'Business Case'!C15*$F390</f>
        <v>-53808448.4489763</v>
      </c>
      <c r="J390" s="53" t="n">
        <f aca="false">(('Business Case'!D11*$C390*'Business Case'!D12*$B390)-'Business Case'!D11*$C390*'Business Case'!D13*$D390-'Business Case'!D14*$E390)-MAX(0,(('Business Case'!D11*$C390*'Business Case'!D12*$B390)-'Business Case'!D11*$C390*'Business Case'!D13*$D390-'Business Case'!D14*$E390))*'Business Case'!$B$7-'Business Case'!$B$8*(('Business Case'!D11*$C390*'Business Case'!D12*$B390)-('Business Case'!C11*$C390*'Business Case'!C12*$B390))-'Business Case'!D15*$F390</f>
        <v>179617422.173698</v>
      </c>
      <c r="K390" s="53" t="n">
        <f aca="false">(('Business Case'!E11*$C390*'Business Case'!E12*$B390)-'Business Case'!E11*$C390*'Business Case'!E13*$D390-'Business Case'!E14*$E390)-MAX(0,(('Business Case'!E11*$C390*'Business Case'!E12*$B390)-'Business Case'!E11*$C390*'Business Case'!E13*$D390-'Business Case'!E14*$E390))*'Business Case'!$B$7-'Business Case'!$B$8*(('Business Case'!E11*$C390*'Business Case'!E12*$B390)-('Business Case'!D11*$C390*'Business Case'!D12*$B390))-'Business Case'!E15*$F390</f>
        <v>463040394.703078</v>
      </c>
      <c r="L390" s="53" t="n">
        <f aca="false">(('Business Case'!F11*$C390*'Business Case'!F12*$B390)-'Business Case'!F11*$C390*'Business Case'!F13*$D390-'Business Case'!F14*$E390)-MAX(0,(('Business Case'!F11*$C390*'Business Case'!F12*$B390)-'Business Case'!F11*$C390*'Business Case'!F13*$D390-'Business Case'!F14*$E390))*'Business Case'!$B$7-'Business Case'!$B$8*(('Business Case'!F11*$C390*'Business Case'!F12*$B390)-('Business Case'!E11*$C390*'Business Case'!E12*$B390))-'Business Case'!F15*$F390</f>
        <v>568576594.338062</v>
      </c>
      <c r="M390" s="53" t="n">
        <f aca="false">(('Business Case'!G11*$C390*'Business Case'!G12*$B390)-'Business Case'!G11*$C390*'Business Case'!G13*$D390-'Business Case'!G14*$E390)-MAX(0,(('Business Case'!G11*$C390*'Business Case'!G12*$B390)-'Business Case'!G11*$C390*'Business Case'!G13*$D390-'Business Case'!G14*$E390))*'Business Case'!$B$7-'Business Case'!$B$8*(('Business Case'!G11*$C390*'Business Case'!G12*$B390)-('Business Case'!F11*$C390*'Business Case'!F12*$B390))-'Business Case'!G15*$F390+'Business Case'!$B$8*('Business Case'!G11*$C390*'Business Case'!G12*$B390)</f>
        <v>721078262.855577</v>
      </c>
      <c r="N390" s="53" t="n">
        <f aca="false">IF(COUNT('Business Case'!B11:G11)=0,"",H390+NPV(G390,I390:M390))</f>
        <v>-691533149.453651</v>
      </c>
      <c r="P390" s="54" t="n">
        <f aca="true">RAND()</f>
        <v>0.27703628976733</v>
      </c>
      <c r="Q390" s="54" t="n">
        <f aca="true">RAND()</f>
        <v>0.00949350056261654</v>
      </c>
      <c r="R390" s="54" t="n">
        <f aca="true">RAND()</f>
        <v>0.419941196175576</v>
      </c>
      <c r="S390" s="54" t="n">
        <f aca="true">RAND()</f>
        <v>0.617490989502684</v>
      </c>
      <c r="T390" s="54" t="n">
        <f aca="true">RAND()</f>
        <v>0.199536573839018</v>
      </c>
      <c r="U390" s="54" t="n">
        <f aca="true">RAND()</f>
        <v>0.0732689419381857</v>
      </c>
    </row>
    <row r="391" customFormat="false" ht="15" hidden="false" customHeight="false" outlineLevel="0" collapsed="false">
      <c r="A391" s="50" t="n">
        <v>311</v>
      </c>
      <c r="B391" s="51" t="n">
        <f aca="false">1+IF($G$6=$E$6,$F$6,IF(P391&lt;($F$6-$E$6)/($G$6-$E$6),$E$6+SQRT(P391*($G$6-$E$6)*($F$6-$E$6)),$G$6-SQRT((1-P391)*($G$6-$E$6)*($G$6-$F$6))))</f>
        <v>1.00273106656882</v>
      </c>
      <c r="C391" s="51" t="n">
        <f aca="false">1+IF($G$7=$E$7,$F$7,IF(Q391&lt;($F$7-$E$7)/($G$7-$E$7),$E$7+SQRT(Q391*($G$7-$E$7)*($F$7-$E$7)),$G$7-SQRT((1-Q391)*($G$7-$E$7)*($G$7-$F$7))))</f>
        <v>0.98762191374772</v>
      </c>
      <c r="D391" s="51" t="n">
        <f aca="false">1+IF($G$8=$E$8,$F$8,IF(R391&lt;($F$8-$E$8)/($G$8-$E$8),$E$8+SQRT(R391*($G$8-$E$8)*($F$8-$E$8)),$G$8-SQRT((1-R391)*($G$8-$E$8)*($G$8-$F$8))))</f>
        <v>1.05226728002951</v>
      </c>
      <c r="E391" s="51" t="n">
        <f aca="false">1+IF($G$9=$E$9,$F$9,IF(S391&lt;($F$9-$E$9)/($G$9-$E$9),$E$9+SQRT(S391*($G$9-$E$9)*($F$9-$E$9)),$G$9-SQRT((1-S391)*($G$9-$E$9)*($G$9-$F$9))))</f>
        <v>1.04325626484105</v>
      </c>
      <c r="F391" s="51" t="n">
        <f aca="false">1+IF($G$10=$E$10,$F$10,IF(T391&lt;($F$10-$E$10)/($G$10-$E$10),$E$10+SQRT(T391*($G$10-$E$10)*($F$10-$E$10)),$G$10-SQRT((1-T391)*($G$10-$E$10)*($G$10-$F$10))))</f>
        <v>1.05499727024143</v>
      </c>
      <c r="G391" s="52" t="n">
        <f aca="false">IF($G$11=$E$11,$F$11,IF(U391&lt;($F$11-$E$11)/($G$11-$E$11),$E$11+SQRT(U391*($G$11-$E$11)*($F$11-$E$11)),$G$11-SQRT((1-U391)*($G$11-$E$11)*($G$11-$F$11))))</f>
        <v>0.0978819692976637</v>
      </c>
      <c r="H391" s="53" t="n">
        <f aca="false">(('Business Case'!B11*$C391*'Business Case'!B12*$B391)-'Business Case'!B11*$C391*'Business Case'!B13*$D391-'Business Case'!B14*$E391)-MAX(0,(('Business Case'!B11*$C391*'Business Case'!B12*$B391)-'Business Case'!B11*$C391*'Business Case'!B13*$D391-'Business Case'!B14*$E391))*'Business Case'!$B$7-'Business Case'!$B$8*('Business Case'!B11*$C391*'Business Case'!B12*$B391)-'Business Case'!B15*$F391</f>
        <v>-2109994540.48286</v>
      </c>
      <c r="I391" s="53" t="n">
        <f aca="false">(('Business Case'!C11*$C391*'Business Case'!C12*$B391)-'Business Case'!C11*$C391*'Business Case'!C13*$D391-'Business Case'!C14*$E391)-MAX(0,(('Business Case'!C11*$C391*'Business Case'!C12*$B391)-'Business Case'!C11*$C391*'Business Case'!C13*$D391-'Business Case'!C14*$E391))*'Business Case'!$B$7-'Business Case'!$B$8*(('Business Case'!C11*$C391*'Business Case'!C12*$B391)-('Business Case'!B11*$C391*'Business Case'!B12*$B391))-'Business Case'!C15*$F391</f>
        <v>-26055086.4167031</v>
      </c>
      <c r="J391" s="53" t="n">
        <f aca="false">(('Business Case'!D11*$C391*'Business Case'!D12*$B391)-'Business Case'!D11*$C391*'Business Case'!D13*$D391-'Business Case'!D14*$E391)-MAX(0,(('Business Case'!D11*$C391*'Business Case'!D12*$B391)-'Business Case'!D11*$C391*'Business Case'!D13*$D391-'Business Case'!D14*$E391))*'Business Case'!$B$7-'Business Case'!$B$8*(('Business Case'!D11*$C391*'Business Case'!D12*$B391)-('Business Case'!C11*$C391*'Business Case'!C12*$B391))-'Business Case'!D15*$F391</f>
        <v>253078741.079971</v>
      </c>
      <c r="K391" s="53" t="n">
        <f aca="false">(('Business Case'!E11*$C391*'Business Case'!E12*$B391)-'Business Case'!E11*$C391*'Business Case'!E13*$D391-'Business Case'!E14*$E391)-MAX(0,(('Business Case'!E11*$C391*'Business Case'!E12*$B391)-'Business Case'!E11*$C391*'Business Case'!E13*$D391-'Business Case'!E14*$E391))*'Business Case'!$B$7-'Business Case'!$B$8*(('Business Case'!E11*$C391*'Business Case'!E12*$B391)-('Business Case'!D11*$C391*'Business Case'!D12*$B391))-'Business Case'!E15*$F391</f>
        <v>584962432.088717</v>
      </c>
      <c r="L391" s="53" t="n">
        <f aca="false">(('Business Case'!F11*$C391*'Business Case'!F12*$B391)-'Business Case'!F11*$C391*'Business Case'!F13*$D391-'Business Case'!F14*$E391)-MAX(0,(('Business Case'!F11*$C391*'Business Case'!F12*$B391)-'Business Case'!F11*$C391*'Business Case'!F13*$D391-'Business Case'!F14*$E391))*'Business Case'!$B$7-'Business Case'!$B$8*(('Business Case'!F11*$C391*'Business Case'!F12*$B391)-('Business Case'!E11*$C391*'Business Case'!E12*$B391))-'Business Case'!F15*$F391</f>
        <v>712232471.940167</v>
      </c>
      <c r="M391" s="53" t="n">
        <f aca="false">(('Business Case'!G11*$C391*'Business Case'!G12*$B391)-'Business Case'!G11*$C391*'Business Case'!G13*$D391-'Business Case'!G14*$E391)-MAX(0,(('Business Case'!G11*$C391*'Business Case'!G12*$B391)-'Business Case'!G11*$C391*'Business Case'!G13*$D391-'Business Case'!G14*$E391))*'Business Case'!$B$7-'Business Case'!$B$8*(('Business Case'!G11*$C391*'Business Case'!G12*$B391)-('Business Case'!F11*$C391*'Business Case'!F12*$B391))-'Business Case'!G15*$F391+'Business Case'!$B$8*('Business Case'!G11*$C391*'Business Case'!G12*$B391)</f>
        <v>900472340.712571</v>
      </c>
      <c r="N391" s="53" t="n">
        <f aca="false">IF(COUNT('Business Case'!B11:G11)=0,"",H391+NPV(G391,I391:M391))</f>
        <v>-426957676.719568</v>
      </c>
      <c r="P391" s="54" t="n">
        <f aca="true">RAND()</f>
        <v>0.710630541854693</v>
      </c>
      <c r="Q391" s="54" t="n">
        <f aca="true">RAND()</f>
        <v>0.502885464547956</v>
      </c>
      <c r="R391" s="54" t="n">
        <f aca="true">RAND()</f>
        <v>0.926047715676756</v>
      </c>
      <c r="S391" s="54" t="n">
        <f aca="true">RAND()</f>
        <v>0.785343234680722</v>
      </c>
      <c r="T391" s="54" t="n">
        <f aca="true">RAND()</f>
        <v>0.579484167251254</v>
      </c>
      <c r="U391" s="54" t="n">
        <f aca="true">RAND()</f>
        <v>0.207084800031044</v>
      </c>
    </row>
    <row r="392" customFormat="false" ht="15" hidden="false" customHeight="false" outlineLevel="0" collapsed="false">
      <c r="A392" s="50" t="n">
        <v>312</v>
      </c>
      <c r="B392" s="51" t="n">
        <f aca="false">1+IF($G$6=$E$6,$F$6,IF(P392&lt;($F$6-$E$6)/($G$6-$E$6),$E$6+SQRT(P392*($G$6-$E$6)*($F$6-$E$6)),$G$6-SQRT((1-P392)*($G$6-$E$6)*($G$6-$F$6))))</f>
        <v>1.00879146355105</v>
      </c>
      <c r="C392" s="51" t="n">
        <f aca="false">1+IF($G$7=$E$7,$F$7,IF(Q392&lt;($F$7-$E$7)/($G$7-$E$7),$E$7+SQRT(Q392*($G$7-$E$7)*($F$7-$E$7)),$G$7-SQRT((1-Q392)*($G$7-$E$7)*($G$7-$F$7))))</f>
        <v>0.83151249778363</v>
      </c>
      <c r="D392" s="51" t="n">
        <f aca="false">1+IF($G$8=$E$8,$F$8,IF(R392&lt;($F$8-$E$8)/($G$8-$E$8),$E$8+SQRT(R392*($G$8-$E$8)*($F$8-$E$8)),$G$8-SQRT((1-R392)*($G$8-$E$8)*($G$8-$F$8))))</f>
        <v>0.999120203346465</v>
      </c>
      <c r="E392" s="51" t="n">
        <f aca="false">1+IF($G$9=$E$9,$F$9,IF(S392&lt;($F$9-$E$9)/($G$9-$E$9),$E$9+SQRT(S392*($G$9-$E$9)*($F$9-$E$9)),$G$9-SQRT((1-S392)*($G$9-$E$9)*($G$9-$F$9))))</f>
        <v>1.01907961715345</v>
      </c>
      <c r="F392" s="51" t="n">
        <f aca="false">1+IF($G$10=$E$10,$F$10,IF(T392&lt;($F$10-$E$10)/($G$10-$E$10),$E$10+SQRT(T392*($G$10-$E$10)*($F$10-$E$10)),$G$10-SQRT((1-T392)*($G$10-$E$10)*($G$10-$F$10))))</f>
        <v>1.04154384710077</v>
      </c>
      <c r="G392" s="52" t="n">
        <f aca="false">IF($G$11=$E$11,$F$11,IF(U392&lt;($F$11-$E$11)/($G$11-$E$11),$E$11+SQRT(U392*($G$11-$E$11)*($F$11-$E$11)),$G$11-SQRT((1-U392)*($G$11-$E$11)*($G$11-$F$11))))</f>
        <v>0.0968711278621809</v>
      </c>
      <c r="H392" s="53" t="n">
        <f aca="false">(('Business Case'!B11*$C392*'Business Case'!B12*$B392)-'Business Case'!B11*$C392*'Business Case'!B13*$D392-'Business Case'!B14*$E392)-MAX(0,(('Business Case'!B11*$C392*'Business Case'!B12*$B392)-'Business Case'!B11*$C392*'Business Case'!B13*$D392-'Business Case'!B14*$E392))*'Business Case'!$B$7-'Business Case'!$B$8*('Business Case'!B11*$C392*'Business Case'!B12*$B392)-'Business Case'!B15*$F392</f>
        <v>-2083087694.20153</v>
      </c>
      <c r="I392" s="53" t="n">
        <f aca="false">(('Business Case'!C11*$C392*'Business Case'!C12*$B392)-'Business Case'!C11*$C392*'Business Case'!C13*$D392-'Business Case'!C14*$E392)-MAX(0,(('Business Case'!C11*$C392*'Business Case'!C12*$B392)-'Business Case'!C11*$C392*'Business Case'!C13*$D392-'Business Case'!C14*$E392))*'Business Case'!$B$7-'Business Case'!$B$8*(('Business Case'!C11*$C392*'Business Case'!C12*$B392)-('Business Case'!B11*$C392*'Business Case'!B12*$B392))-'Business Case'!C15*$F392</f>
        <v>-30789257.8282997</v>
      </c>
      <c r="J392" s="53" t="n">
        <f aca="false">(('Business Case'!D11*$C392*'Business Case'!D12*$B392)-'Business Case'!D11*$C392*'Business Case'!D13*$D392-'Business Case'!D14*$E392)-MAX(0,(('Business Case'!D11*$C392*'Business Case'!D12*$B392)-'Business Case'!D11*$C392*'Business Case'!D13*$D392-'Business Case'!D14*$E392))*'Business Case'!$B$7-'Business Case'!$B$8*(('Business Case'!D11*$C392*'Business Case'!D12*$B392)-('Business Case'!C11*$C392*'Business Case'!C12*$B392))-'Business Case'!D15*$F392</f>
        <v>230973559.878369</v>
      </c>
      <c r="K392" s="53" t="n">
        <f aca="false">(('Business Case'!E11*$C392*'Business Case'!E12*$B392)-'Business Case'!E11*$C392*'Business Case'!E13*$D392-'Business Case'!E14*$E392)-MAX(0,(('Business Case'!E11*$C392*'Business Case'!E12*$B392)-'Business Case'!E11*$C392*'Business Case'!E13*$D392-'Business Case'!E14*$E392))*'Business Case'!$B$7-'Business Case'!$B$8*(('Business Case'!E11*$C392*'Business Case'!E12*$B392)-('Business Case'!D11*$C392*'Business Case'!D12*$B392))-'Business Case'!E15*$F392</f>
        <v>544813569.940076</v>
      </c>
      <c r="L392" s="53" t="n">
        <f aca="false">(('Business Case'!F11*$C392*'Business Case'!F12*$B392)-'Business Case'!F11*$C392*'Business Case'!F13*$D392-'Business Case'!F14*$E392)-MAX(0,(('Business Case'!F11*$C392*'Business Case'!F12*$B392)-'Business Case'!F11*$C392*'Business Case'!F13*$D392-'Business Case'!F14*$E392))*'Business Case'!$B$7-'Business Case'!$B$8*(('Business Case'!F11*$C392*'Business Case'!F12*$B392)-('Business Case'!E11*$C392*'Business Case'!E12*$B392))-'Business Case'!F15*$F392</f>
        <v>661057555.352746</v>
      </c>
      <c r="M392" s="53" t="n">
        <f aca="false">(('Business Case'!G11*$C392*'Business Case'!G12*$B392)-'Business Case'!G11*$C392*'Business Case'!G13*$D392-'Business Case'!G14*$E392)-MAX(0,(('Business Case'!G11*$C392*'Business Case'!G12*$B392)-'Business Case'!G11*$C392*'Business Case'!G13*$D392-'Business Case'!G14*$E392))*'Business Case'!$B$7-'Business Case'!$B$8*(('Business Case'!G11*$C392*'Business Case'!G12*$B392)-('Business Case'!F11*$C392*'Business Case'!F12*$B392))-'Business Case'!G15*$F392+'Business Case'!$B$8*('Business Case'!G11*$C392*'Business Case'!G12*$B392)</f>
        <v>820500975.993539</v>
      </c>
      <c r="N392" s="53" t="n">
        <f aca="false">IF(COUNT('Business Case'!B11:G11)=0,"",H392+NPV(G392,I392:M392))</f>
        <v>-532880973.090348</v>
      </c>
      <c r="P392" s="54" t="n">
        <f aca="true">RAND()</f>
        <v>0.797089010982151</v>
      </c>
      <c r="Q392" s="54" t="n">
        <f aca="true">RAND()</f>
        <v>0.0141862502366185</v>
      </c>
      <c r="R392" s="54" t="n">
        <f aca="true">RAND()</f>
        <v>0.371199134892013</v>
      </c>
      <c r="S392" s="54" t="n">
        <f aca="true">RAND()</f>
        <v>0.563459442664521</v>
      </c>
      <c r="T392" s="54" t="n">
        <f aca="true">RAND()</f>
        <v>0.497832952167489</v>
      </c>
      <c r="U392" s="54" t="n">
        <f aca="true">RAND()</f>
        <v>0.157374660328129</v>
      </c>
    </row>
    <row r="393" customFormat="false" ht="15" hidden="false" customHeight="false" outlineLevel="0" collapsed="false">
      <c r="A393" s="50" t="n">
        <v>313</v>
      </c>
      <c r="B393" s="51" t="n">
        <f aca="false">1+IF($G$6=$E$6,$F$6,IF(P393&lt;($F$6-$E$6)/($G$6-$E$6),$E$6+SQRT(P393*($G$6-$E$6)*($F$6-$E$6)),$G$6-SQRT((1-P393)*($G$6-$E$6)*($G$6-$F$6))))</f>
        <v>1.00828894369778</v>
      </c>
      <c r="C393" s="51" t="n">
        <f aca="false">1+IF($G$7=$E$7,$F$7,IF(Q393&lt;($F$7-$E$7)/($G$7-$E$7),$E$7+SQRT(Q393*($G$7-$E$7)*($F$7-$E$7)),$G$7-SQRT((1-Q393)*($G$7-$E$7)*($G$7-$F$7))))</f>
        <v>1.02209190556598</v>
      </c>
      <c r="D393" s="51" t="n">
        <f aca="false">1+IF($G$8=$E$8,$F$8,IF(R393&lt;($F$8-$E$8)/($G$8-$E$8),$E$8+SQRT(R393*($G$8-$E$8)*($F$8-$E$8)),$G$8-SQRT((1-R393)*($G$8-$E$8)*($G$8-$F$8))))</f>
        <v>1.05035022304108</v>
      </c>
      <c r="E393" s="51" t="n">
        <f aca="false">1+IF($G$9=$E$9,$F$9,IF(S393&lt;($F$9-$E$9)/($G$9-$E$9),$E$9+SQRT(S393*($G$9-$E$9)*($F$9-$E$9)),$G$9-SQRT((1-S393)*($G$9-$E$9)*($G$9-$F$9))))</f>
        <v>1.08768688575031</v>
      </c>
      <c r="F393" s="51" t="n">
        <f aca="false">1+IF($G$10=$E$10,$F$10,IF(T393&lt;($F$10-$E$10)/($G$10-$E$10),$E$10+SQRT(T393*($G$10-$E$10)*($F$10-$E$10)),$G$10-SQRT((1-T393)*($G$10-$E$10)*($G$10-$F$10))))</f>
        <v>0.995126973759966</v>
      </c>
      <c r="G393" s="52" t="n">
        <f aca="false">IF($G$11=$E$11,$F$11,IF(U393&lt;($F$11-$E$11)/($G$11-$E$11),$E$11+SQRT(U393*($G$11-$E$11)*($F$11-$E$11)),$G$11-SQRT((1-U393)*($G$11-$E$11)*($G$11-$F$11))))</f>
        <v>0.101326507621454</v>
      </c>
      <c r="H393" s="53" t="n">
        <f aca="false">(('Business Case'!B11*$C393*'Business Case'!B12*$B393)-'Business Case'!B11*$C393*'Business Case'!B13*$D393-'Business Case'!B14*$E393)-MAX(0,(('Business Case'!B11*$C393*'Business Case'!B12*$B393)-'Business Case'!B11*$C393*'Business Case'!B13*$D393-'Business Case'!B14*$E393))*'Business Case'!$B$7-'Business Case'!$B$8*('Business Case'!B11*$C393*'Business Case'!B12*$B393)-'Business Case'!B15*$F393</f>
        <v>-1990253947.51993</v>
      </c>
      <c r="I393" s="53" t="n">
        <f aca="false">(('Business Case'!C11*$C393*'Business Case'!C12*$B393)-'Business Case'!C11*$C393*'Business Case'!C13*$D393-'Business Case'!C14*$E393)-MAX(0,(('Business Case'!C11*$C393*'Business Case'!C12*$B393)-'Business Case'!C11*$C393*'Business Case'!C13*$D393-'Business Case'!C14*$E393))*'Business Case'!$B$7-'Business Case'!$B$8*(('Business Case'!C11*$C393*'Business Case'!C12*$B393)-('Business Case'!B11*$C393*'Business Case'!B12*$B393))-'Business Case'!C15*$F393</f>
        <v>-13074118.031976</v>
      </c>
      <c r="J393" s="53" t="n">
        <f aca="false">(('Business Case'!D11*$C393*'Business Case'!D12*$B393)-'Business Case'!D11*$C393*'Business Case'!D13*$D393-'Business Case'!D14*$E393)-MAX(0,(('Business Case'!D11*$C393*'Business Case'!D12*$B393)-'Business Case'!D11*$C393*'Business Case'!D13*$D393-'Business Case'!D14*$E393))*'Business Case'!$B$7-'Business Case'!$B$8*(('Business Case'!D11*$C393*'Business Case'!D12*$B393)-('Business Case'!C11*$C393*'Business Case'!C12*$B393))-'Business Case'!D15*$F393</f>
        <v>281457972.557796</v>
      </c>
      <c r="K393" s="53" t="n">
        <f aca="false">(('Business Case'!E11*$C393*'Business Case'!E12*$B393)-'Business Case'!E11*$C393*'Business Case'!E13*$D393-'Business Case'!E14*$E393)-MAX(0,(('Business Case'!E11*$C393*'Business Case'!E12*$B393)-'Business Case'!E11*$C393*'Business Case'!E13*$D393-'Business Case'!E14*$E393))*'Business Case'!$B$7-'Business Case'!$B$8*(('Business Case'!E11*$C393*'Business Case'!E12*$B393)-('Business Case'!D11*$C393*'Business Case'!D12*$B393))-'Business Case'!E15*$F393</f>
        <v>625746411.835567</v>
      </c>
      <c r="L393" s="53" t="n">
        <f aca="false">(('Business Case'!F11*$C393*'Business Case'!F12*$B393)-'Business Case'!F11*$C393*'Business Case'!F13*$D393-'Business Case'!F14*$E393)-MAX(0,(('Business Case'!F11*$C393*'Business Case'!F12*$B393)-'Business Case'!F11*$C393*'Business Case'!F13*$D393-'Business Case'!F14*$E393))*'Business Case'!$B$7-'Business Case'!$B$8*(('Business Case'!F11*$C393*'Business Case'!F12*$B393)-('Business Case'!E11*$C393*'Business Case'!E12*$B393))-'Business Case'!F15*$F393</f>
        <v>759540066.093529</v>
      </c>
      <c r="M393" s="53" t="n">
        <f aca="false">(('Business Case'!G11*$C393*'Business Case'!G12*$B393)-'Business Case'!G11*$C393*'Business Case'!G13*$D393-'Business Case'!G14*$E393)-MAX(0,(('Business Case'!G11*$C393*'Business Case'!G12*$B393)-'Business Case'!G11*$C393*'Business Case'!G13*$D393-'Business Case'!G14*$E393))*'Business Case'!$B$7-'Business Case'!$B$8*(('Business Case'!G11*$C393*'Business Case'!G12*$B393)-('Business Case'!F11*$C393*'Business Case'!F12*$B393))-'Business Case'!G15*$F393+'Business Case'!$B$8*('Business Case'!G11*$C393*'Business Case'!G12*$B393)</f>
        <v>955429665.097739</v>
      </c>
      <c r="N393" s="53" t="n">
        <f aca="false">IF(COUNT('Business Case'!B11:G11)=0,"",H393+NPV(G393,I393:M393))</f>
        <v>-195675750.659673</v>
      </c>
      <c r="P393" s="54" t="n">
        <f aca="true">RAND()</f>
        <v>0.790501855874512</v>
      </c>
      <c r="Q393" s="54" t="n">
        <f aca="true">RAND()</f>
        <v>0.688371797681121</v>
      </c>
      <c r="R393" s="54" t="n">
        <f aca="true">RAND()</f>
        <v>0.915470262142905</v>
      </c>
      <c r="S393" s="54" t="n">
        <f aca="true">RAND()</f>
        <v>0.98989248116494</v>
      </c>
      <c r="T393" s="54" t="n">
        <f aca="true">RAND()</f>
        <v>0.162915500858613</v>
      </c>
      <c r="U393" s="54" t="n">
        <f aca="true">RAND()</f>
        <v>0.418834470647285</v>
      </c>
    </row>
    <row r="394" customFormat="false" ht="15" hidden="false" customHeight="false" outlineLevel="0" collapsed="false">
      <c r="A394" s="50" t="n">
        <v>314</v>
      </c>
      <c r="B394" s="51" t="n">
        <f aca="false">1+IF($G$6=$E$6,$F$6,IF(P394&lt;($F$6-$E$6)/($G$6-$E$6),$E$6+SQRT(P394*($G$6-$E$6)*($F$6-$E$6)),$G$6-SQRT((1-P394)*($G$6-$E$6)*($G$6-$F$6))))</f>
        <v>1.01853809793259</v>
      </c>
      <c r="C394" s="51" t="n">
        <f aca="false">1+IF($G$7=$E$7,$F$7,IF(Q394&lt;($F$7-$E$7)/($G$7-$E$7),$E$7+SQRT(Q394*($G$7-$E$7)*($F$7-$E$7)),$G$7-SQRT((1-Q394)*($G$7-$E$7)*($G$7-$F$7))))</f>
        <v>0.954559533564714</v>
      </c>
      <c r="D394" s="51" t="n">
        <f aca="false">1+IF($G$8=$E$8,$F$8,IF(R394&lt;($F$8-$E$8)/($G$8-$E$8),$E$8+SQRT(R394*($G$8-$E$8)*($F$8-$E$8)),$G$8-SQRT((1-R394)*($G$8-$E$8)*($G$8-$F$8))))</f>
        <v>0.955826643576693</v>
      </c>
      <c r="E394" s="51" t="n">
        <f aca="false">1+IF($G$9=$E$9,$F$9,IF(S394&lt;($F$9-$E$9)/($G$9-$E$9),$E$9+SQRT(S394*($G$9-$E$9)*($F$9-$E$9)),$G$9-SQRT((1-S394)*($G$9-$E$9)*($G$9-$F$9))))</f>
        <v>1.03119351974782</v>
      </c>
      <c r="F394" s="51" t="n">
        <f aca="false">1+IF($G$10=$E$10,$F$10,IF(T394&lt;($F$10-$E$10)/($G$10-$E$10),$E$10+SQRT(T394*($G$10-$E$10)*($F$10-$E$10)),$G$10-SQRT((1-T394)*($G$10-$E$10)*($G$10-$F$10))))</f>
        <v>1.02505417948521</v>
      </c>
      <c r="G394" s="52" t="n">
        <f aca="false">IF($G$11=$E$11,$F$11,IF(U394&lt;($F$11-$E$11)/($G$11-$E$11),$E$11+SQRT(U394*($G$11-$E$11)*($F$11-$E$11)),$G$11-SQRT((1-U394)*($G$11-$E$11)*($G$11-$F$11))))</f>
        <v>0.115302971602882</v>
      </c>
      <c r="H394" s="53" t="n">
        <f aca="false">(('Business Case'!B11*$C394*'Business Case'!B12*$B394)-'Business Case'!B11*$C394*'Business Case'!B13*$D394-'Business Case'!B14*$E394)-MAX(0,(('Business Case'!B11*$C394*'Business Case'!B12*$B394)-'Business Case'!B11*$C394*'Business Case'!B13*$D394-'Business Case'!B14*$E394))*'Business Case'!$B$7-'Business Case'!$B$8*('Business Case'!B11*$C394*'Business Case'!B12*$B394)-'Business Case'!B15*$F394</f>
        <v>-2050108358.97042</v>
      </c>
      <c r="I394" s="53" t="n">
        <f aca="false">(('Business Case'!C11*$C394*'Business Case'!C12*$B394)-'Business Case'!C11*$C394*'Business Case'!C13*$D394-'Business Case'!C14*$E394)-MAX(0,(('Business Case'!C11*$C394*'Business Case'!C12*$B394)-'Business Case'!C11*$C394*'Business Case'!C13*$D394-'Business Case'!C14*$E394))*'Business Case'!$B$7-'Business Case'!$B$8*(('Business Case'!C11*$C394*'Business Case'!C12*$B394)-('Business Case'!B11*$C394*'Business Case'!B12*$B394))-'Business Case'!C15*$F394</f>
        <v>29731757.5240379</v>
      </c>
      <c r="J394" s="53" t="n">
        <f aca="false">(('Business Case'!D11*$C394*'Business Case'!D12*$B394)-'Business Case'!D11*$C394*'Business Case'!D13*$D394-'Business Case'!D14*$E394)-MAX(0,(('Business Case'!D11*$C394*'Business Case'!D12*$B394)-'Business Case'!D11*$C394*'Business Case'!D13*$D394-'Business Case'!D14*$E394))*'Business Case'!$B$7-'Business Case'!$B$8*(('Business Case'!D11*$C394*'Business Case'!D12*$B394)-('Business Case'!C11*$C394*'Business Case'!C12*$B394))-'Business Case'!D15*$F394</f>
        <v>359006363.751849</v>
      </c>
      <c r="K394" s="53" t="n">
        <f aca="false">(('Business Case'!E11*$C394*'Business Case'!E12*$B394)-'Business Case'!E11*$C394*'Business Case'!E13*$D394-'Business Case'!E14*$E394)-MAX(0,(('Business Case'!E11*$C394*'Business Case'!E12*$B394)-'Business Case'!E11*$C394*'Business Case'!E13*$D394-'Business Case'!E14*$E394))*'Business Case'!$B$7-'Business Case'!$B$8*(('Business Case'!E11*$C394*'Business Case'!E12*$B394)-('Business Case'!D11*$C394*'Business Case'!D12*$B394))-'Business Case'!E15*$F394</f>
        <v>739533678.953921</v>
      </c>
      <c r="L394" s="53" t="n">
        <f aca="false">(('Business Case'!F11*$C394*'Business Case'!F12*$B394)-'Business Case'!F11*$C394*'Business Case'!F13*$D394-'Business Case'!F14*$E394)-MAX(0,(('Business Case'!F11*$C394*'Business Case'!F12*$B394)-'Business Case'!F11*$C394*'Business Case'!F13*$D394-'Business Case'!F14*$E394))*'Business Case'!$B$7-'Business Case'!$B$8*(('Business Case'!F11*$C394*'Business Case'!F12*$B394)-('Business Case'!E11*$C394*'Business Case'!E12*$B394))-'Business Case'!F15*$F394</f>
        <v>882893022.527934</v>
      </c>
      <c r="M394" s="53" t="n">
        <f aca="false">(('Business Case'!G11*$C394*'Business Case'!G12*$B394)-'Business Case'!G11*$C394*'Business Case'!G13*$D394-'Business Case'!G14*$E394)-MAX(0,(('Business Case'!G11*$C394*'Business Case'!G12*$B394)-'Business Case'!G11*$C394*'Business Case'!G13*$D394-'Business Case'!G14*$E394))*'Business Case'!$B$7-'Business Case'!$B$8*(('Business Case'!G11*$C394*'Business Case'!G12*$B394)-('Business Case'!F11*$C394*'Business Case'!F12*$B394))-'Business Case'!G15*$F394+'Business Case'!$B$8*('Business Case'!G11*$C394*'Business Case'!G12*$B394)</f>
        <v>1067699300.76735</v>
      </c>
      <c r="N394" s="53" t="n">
        <f aca="false">IF(COUNT('Business Case'!B11:G11)=0,"",H394+NPV(G394,I394:M394))</f>
        <v>-12460072.7250235</v>
      </c>
      <c r="P394" s="54" t="n">
        <f aca="true">RAND()</f>
        <v>0.904038908260198</v>
      </c>
      <c r="Q394" s="54" t="n">
        <f aca="true">RAND()</f>
        <v>0.341266420224886</v>
      </c>
      <c r="R394" s="54" t="n">
        <f aca="true">RAND()</f>
        <v>0.0052230423645879</v>
      </c>
      <c r="S394" s="54" t="n">
        <f aca="true">RAND()</f>
        <v>0.684377885020392</v>
      </c>
      <c r="T394" s="54" t="n">
        <f aca="true">RAND()</f>
        <v>0.387879197688128</v>
      </c>
      <c r="U394" s="54" t="n">
        <f aca="true">RAND()</f>
        <v>0.963229873727775</v>
      </c>
    </row>
    <row r="395" customFormat="false" ht="15" hidden="false" customHeight="false" outlineLevel="0" collapsed="false">
      <c r="A395" s="50" t="n">
        <v>315</v>
      </c>
      <c r="B395" s="51" t="n">
        <f aca="false">1+IF($G$6=$E$6,$F$6,IF(P395&lt;($F$6-$E$6)/($G$6-$E$6),$E$6+SQRT(P395*($G$6-$E$6)*($F$6-$E$6)),$G$6-SQRT((1-P395)*($G$6-$E$6)*($G$6-$F$6))))</f>
        <v>1.00513641147589</v>
      </c>
      <c r="C395" s="51" t="n">
        <f aca="false">1+IF($G$7=$E$7,$F$7,IF(Q395&lt;($F$7-$E$7)/($G$7-$E$7),$E$7+SQRT(Q395*($G$7-$E$7)*($F$7-$E$7)),$G$7-SQRT((1-Q395)*($G$7-$E$7)*($G$7-$F$7))))</f>
        <v>1.06899070371015</v>
      </c>
      <c r="D395" s="51" t="n">
        <f aca="false">1+IF($G$8=$E$8,$F$8,IF(R395&lt;($F$8-$E$8)/($G$8-$E$8),$E$8+SQRT(R395*($G$8-$E$8)*($F$8-$E$8)),$G$8-SQRT((1-R395)*($G$8-$E$8)*($G$8-$F$8))))</f>
        <v>0.99370262743844</v>
      </c>
      <c r="E395" s="51" t="n">
        <f aca="false">1+IF($G$9=$E$9,$F$9,IF(S395&lt;($F$9-$E$9)/($G$9-$E$9),$E$9+SQRT(S395*($G$9-$E$9)*($F$9-$E$9)),$G$9-SQRT((1-S395)*($G$9-$E$9)*($G$9-$F$9))))</f>
        <v>0.993843001385312</v>
      </c>
      <c r="F395" s="51" t="n">
        <f aca="false">1+IF($G$10=$E$10,$F$10,IF(T395&lt;($F$10-$E$10)/($G$10-$E$10),$E$10+SQRT(T395*($G$10-$E$10)*($F$10-$E$10)),$G$10-SQRT((1-T395)*($G$10-$E$10)*($G$10-$F$10))))</f>
        <v>1.11358664120594</v>
      </c>
      <c r="G395" s="52" t="n">
        <f aca="false">IF($G$11=$E$11,$F$11,IF(U395&lt;($F$11-$E$11)/($G$11-$E$11),$E$11+SQRT(U395*($G$11-$E$11)*($F$11-$E$11)),$G$11-SQRT((1-U395)*($G$11-$E$11)*($G$11-$F$11))))</f>
        <v>0.111588859304454</v>
      </c>
      <c r="H395" s="53" t="n">
        <f aca="false">(('Business Case'!B11*$C395*'Business Case'!B12*$B395)-'Business Case'!B11*$C395*'Business Case'!B13*$D395-'Business Case'!B14*$E395)-MAX(0,(('Business Case'!B11*$C395*'Business Case'!B12*$B395)-'Business Case'!B11*$C395*'Business Case'!B13*$D395-'Business Case'!B14*$E395))*'Business Case'!$B$7-'Business Case'!$B$8*('Business Case'!B11*$C395*'Business Case'!B12*$B395)-'Business Case'!B15*$F395</f>
        <v>-2227173282.41189</v>
      </c>
      <c r="I395" s="53" t="n">
        <f aca="false">(('Business Case'!C11*$C395*'Business Case'!C12*$B395)-'Business Case'!C11*$C395*'Business Case'!C13*$D395-'Business Case'!C14*$E395)-MAX(0,(('Business Case'!C11*$C395*'Business Case'!C12*$B395)-'Business Case'!C11*$C395*'Business Case'!C13*$D395-'Business Case'!C14*$E395))*'Business Case'!$B$7-'Business Case'!$B$8*(('Business Case'!C11*$C395*'Business Case'!C12*$B395)-('Business Case'!B11*$C395*'Business Case'!B12*$B395))-'Business Case'!C15*$F395</f>
        <v>27901874.5798945</v>
      </c>
      <c r="J395" s="53" t="n">
        <f aca="false">(('Business Case'!D11*$C395*'Business Case'!D12*$B395)-'Business Case'!D11*$C395*'Business Case'!D13*$D395-'Business Case'!D14*$E395)-MAX(0,(('Business Case'!D11*$C395*'Business Case'!D12*$B395)-'Business Case'!D11*$C395*'Business Case'!D13*$D395-'Business Case'!D14*$E395))*'Business Case'!$B$7-'Business Case'!$B$8*(('Business Case'!D11*$C395*'Business Case'!D12*$B395)-('Business Case'!C11*$C395*'Business Case'!C12*$B395))-'Business Case'!D15*$F395</f>
        <v>364188007.991674</v>
      </c>
      <c r="K395" s="53" t="n">
        <f aca="false">(('Business Case'!E11*$C395*'Business Case'!E12*$B395)-'Business Case'!E11*$C395*'Business Case'!E13*$D395-'Business Case'!E14*$E395)-MAX(0,(('Business Case'!E11*$C395*'Business Case'!E12*$B395)-'Business Case'!E11*$C395*'Business Case'!E13*$D395-'Business Case'!E14*$E395))*'Business Case'!$B$7-'Business Case'!$B$8*(('Business Case'!E11*$C395*'Business Case'!E12*$B395)-('Business Case'!D11*$C395*'Business Case'!D12*$B395))-'Business Case'!E15*$F395</f>
        <v>756153473.463751</v>
      </c>
      <c r="L395" s="53" t="n">
        <f aca="false">(('Business Case'!F11*$C395*'Business Case'!F12*$B395)-'Business Case'!F11*$C395*'Business Case'!F13*$D395-'Business Case'!F14*$E395)-MAX(0,(('Business Case'!F11*$C395*'Business Case'!F12*$B395)-'Business Case'!F11*$C395*'Business Case'!F13*$D395-'Business Case'!F14*$E395))*'Business Case'!$B$7-'Business Case'!$B$8*(('Business Case'!F11*$C395*'Business Case'!F12*$B395)-('Business Case'!E11*$C395*'Business Case'!E12*$B395))-'Business Case'!F15*$F395</f>
        <v>905382931.210544</v>
      </c>
      <c r="M395" s="53" t="n">
        <f aca="false">(('Business Case'!G11*$C395*'Business Case'!G12*$B395)-'Business Case'!G11*$C395*'Business Case'!G13*$D395-'Business Case'!G14*$E395)-MAX(0,(('Business Case'!G11*$C395*'Business Case'!G12*$B395)-'Business Case'!G11*$C395*'Business Case'!G13*$D395-'Business Case'!G14*$E395))*'Business Case'!$B$7-'Business Case'!$B$8*(('Business Case'!G11*$C395*'Business Case'!G12*$B395)-('Business Case'!F11*$C395*'Business Case'!F12*$B395))-'Business Case'!G15*$F395+'Business Case'!$B$8*('Business Case'!G11*$C395*'Business Case'!G12*$B395)</f>
        <v>1109620370.89631</v>
      </c>
      <c r="N395" s="53" t="n">
        <f aca="false">IF(COUNT('Business Case'!B11:G11)=0,"",H395+NPV(G395,I395:M395))</f>
        <v>-109994075.621602</v>
      </c>
      <c r="P395" s="54" t="n">
        <f aca="true">RAND()</f>
        <v>0.746777124004482</v>
      </c>
      <c r="Q395" s="54" t="n">
        <f aca="true">RAND()</f>
        <v>0.874999884088068</v>
      </c>
      <c r="R395" s="54" t="n">
        <f aca="true">RAND()</f>
        <v>0.293833791542015</v>
      </c>
      <c r="S395" s="54" t="n">
        <f aca="true">RAND()</f>
        <v>0.25629450272966</v>
      </c>
      <c r="T395" s="54" t="n">
        <f aca="true">RAND()</f>
        <v>0.850654628438593</v>
      </c>
      <c r="U395" s="54" t="n">
        <f aca="true">RAND()</f>
        <v>0.882087853666205</v>
      </c>
    </row>
    <row r="396" customFormat="false" ht="15" hidden="false" customHeight="false" outlineLevel="0" collapsed="false">
      <c r="A396" s="50" t="n">
        <v>316</v>
      </c>
      <c r="B396" s="51" t="n">
        <f aca="false">1+IF($G$6=$E$6,$F$6,IF(P396&lt;($F$6-$E$6)/($G$6-$E$6),$E$6+SQRT(P396*($G$6-$E$6)*($F$6-$E$6)),$G$6-SQRT((1-P396)*($G$6-$E$6)*($G$6-$F$6))))</f>
        <v>0.994276043123516</v>
      </c>
      <c r="C396" s="51" t="n">
        <f aca="false">1+IF($G$7=$E$7,$F$7,IF(Q396&lt;($F$7-$E$7)/($G$7-$E$7),$E$7+SQRT(Q396*($G$7-$E$7)*($F$7-$E$7)),$G$7-SQRT((1-Q396)*($G$7-$E$7)*($G$7-$F$7))))</f>
        <v>0.81709116660559</v>
      </c>
      <c r="D396" s="51" t="n">
        <f aca="false">1+IF($G$8=$E$8,$F$8,IF(R396&lt;($F$8-$E$8)/($G$8-$E$8),$E$8+SQRT(R396*($G$8-$E$8)*($F$8-$E$8)),$G$8-SQRT((1-R396)*($G$8-$E$8)*($G$8-$F$8))))</f>
        <v>1.02557181034028</v>
      </c>
      <c r="E396" s="51" t="n">
        <f aca="false">1+IF($G$9=$E$9,$F$9,IF(S396&lt;($F$9-$E$9)/($G$9-$E$9),$E$9+SQRT(S396*($G$9-$E$9)*($F$9-$E$9)),$G$9-SQRT((1-S396)*($G$9-$E$9)*($G$9-$F$9))))</f>
        <v>1.02102455339346</v>
      </c>
      <c r="F396" s="51" t="n">
        <f aca="false">1+IF($G$10=$E$10,$F$10,IF(T396&lt;($F$10-$E$10)/($G$10-$E$10),$E$10+SQRT(T396*($G$10-$E$10)*($F$10-$E$10)),$G$10-SQRT((1-T396)*($G$10-$E$10)*($G$10-$F$10))))</f>
        <v>0.982586342624383</v>
      </c>
      <c r="G396" s="52" t="n">
        <f aca="false">IF($G$11=$E$11,$F$11,IF(U396&lt;($F$11-$E$11)/($G$11-$E$11),$E$11+SQRT(U396*($G$11-$E$11)*($F$11-$E$11)),$G$11-SQRT((1-U396)*($G$11-$E$11)*($G$11-$F$11))))</f>
        <v>0.112307656879231</v>
      </c>
      <c r="H396" s="53" t="n">
        <f aca="false">(('Business Case'!B11*$C396*'Business Case'!B12*$B396)-'Business Case'!B11*$C396*'Business Case'!B13*$D396-'Business Case'!B14*$E396)-MAX(0,(('Business Case'!B11*$C396*'Business Case'!B12*$B396)-'Business Case'!B11*$C396*'Business Case'!B13*$D396-'Business Case'!B14*$E396))*'Business Case'!$B$7-'Business Case'!$B$8*('Business Case'!B11*$C396*'Business Case'!B12*$B396)-'Business Case'!B15*$F396</f>
        <v>-1965172685.24877</v>
      </c>
      <c r="I396" s="53" t="n">
        <f aca="false">(('Business Case'!C11*$C396*'Business Case'!C12*$B396)-'Business Case'!C11*$C396*'Business Case'!C13*$D396-'Business Case'!C14*$E396)-MAX(0,(('Business Case'!C11*$C396*'Business Case'!C12*$B396)-'Business Case'!C11*$C396*'Business Case'!C13*$D396-'Business Case'!C14*$E396))*'Business Case'!$B$7-'Business Case'!$B$8*(('Business Case'!C11*$C396*'Business Case'!C12*$B396)-('Business Case'!B11*$C396*'Business Case'!B12*$B396))-'Business Case'!C15*$F396</f>
        <v>-49119798.3645822</v>
      </c>
      <c r="J396" s="53" t="n">
        <f aca="false">(('Business Case'!D11*$C396*'Business Case'!D12*$B396)-'Business Case'!D11*$C396*'Business Case'!D13*$D396-'Business Case'!D14*$E396)-MAX(0,(('Business Case'!D11*$C396*'Business Case'!D12*$B396)-'Business Case'!D11*$C396*'Business Case'!D13*$D396-'Business Case'!D14*$E396))*'Business Case'!$B$7-'Business Case'!$B$8*(('Business Case'!D11*$C396*'Business Case'!D12*$B396)-('Business Case'!C11*$C396*'Business Case'!C12*$B396))-'Business Case'!D15*$F396</f>
        <v>187324279.7025</v>
      </c>
      <c r="K396" s="53" t="n">
        <f aca="false">(('Business Case'!E11*$C396*'Business Case'!E12*$B396)-'Business Case'!E11*$C396*'Business Case'!E13*$D396-'Business Case'!E14*$E396)-MAX(0,(('Business Case'!E11*$C396*'Business Case'!E12*$B396)-'Business Case'!E11*$C396*'Business Case'!E13*$D396-'Business Case'!E14*$E396))*'Business Case'!$B$7-'Business Case'!$B$8*(('Business Case'!E11*$C396*'Business Case'!E12*$B396)-('Business Case'!D11*$C396*'Business Case'!D12*$B396))-'Business Case'!E15*$F396</f>
        <v>472897674.900801</v>
      </c>
      <c r="L396" s="53" t="n">
        <f aca="false">(('Business Case'!F11*$C396*'Business Case'!F12*$B396)-'Business Case'!F11*$C396*'Business Case'!F13*$D396-'Business Case'!F14*$E396)-MAX(0,(('Business Case'!F11*$C396*'Business Case'!F12*$B396)-'Business Case'!F11*$C396*'Business Case'!F13*$D396-'Business Case'!F14*$E396))*'Business Case'!$B$7-'Business Case'!$B$8*(('Business Case'!F11*$C396*'Business Case'!F12*$B396)-('Business Case'!E11*$C396*'Business Case'!E12*$B396))-'Business Case'!F15*$F396</f>
        <v>579789401.374279</v>
      </c>
      <c r="M396" s="53" t="n">
        <f aca="false">(('Business Case'!G11*$C396*'Business Case'!G12*$B396)-'Business Case'!G11*$C396*'Business Case'!G13*$D396-'Business Case'!G14*$E396)-MAX(0,(('Business Case'!G11*$C396*'Business Case'!G12*$B396)-'Business Case'!G11*$C396*'Business Case'!G13*$D396-'Business Case'!G14*$E396))*'Business Case'!$B$7-'Business Case'!$B$8*(('Business Case'!G11*$C396*'Business Case'!G12*$B396)-('Business Case'!F11*$C396*'Business Case'!F12*$B396))-'Business Case'!G15*$F396+'Business Case'!$B$8*('Business Case'!G11*$C396*'Business Case'!G12*$B396)</f>
        <v>734213087.188758</v>
      </c>
      <c r="N396" s="53" t="n">
        <f aca="false">IF(COUNT('Business Case'!B11:G11)=0,"",H396+NPV(G396,I396:M396))</f>
        <v>-704311270.705511</v>
      </c>
      <c r="P396" s="54" t="n">
        <f aca="true">RAND()</f>
        <v>0.574680268967336</v>
      </c>
      <c r="Q396" s="54" t="n">
        <f aca="true">RAND()</f>
        <v>0.00417297108485771</v>
      </c>
      <c r="R396" s="54" t="n">
        <f aca="true">RAND()</f>
        <v>0.715151170227435</v>
      </c>
      <c r="S396" s="54" t="n">
        <f aca="true">RAND()</f>
        <v>0.584191922219802</v>
      </c>
      <c r="T396" s="54" t="n">
        <f aca="true">RAND()</f>
        <v>0.0849495780506945</v>
      </c>
      <c r="U396" s="54" t="n">
        <f aca="true">RAND()</f>
        <v>0.901379762187261</v>
      </c>
    </row>
    <row r="397" customFormat="false" ht="15" hidden="false" customHeight="false" outlineLevel="0" collapsed="false">
      <c r="A397" s="50" t="n">
        <v>317</v>
      </c>
      <c r="B397" s="51" t="n">
        <f aca="false">1+IF($G$6=$E$6,$F$6,IF(P397&lt;($F$6-$E$6)/($G$6-$E$6),$E$6+SQRT(P397*($G$6-$E$6)*($F$6-$E$6)),$G$6-SQRT((1-P397)*($G$6-$E$6)*($G$6-$F$6))))</f>
        <v>0.976190451217603</v>
      </c>
      <c r="C397" s="51" t="n">
        <f aca="false">1+IF($G$7=$E$7,$F$7,IF(Q397&lt;($F$7-$E$7)/($G$7-$E$7),$E$7+SQRT(Q397*($G$7-$E$7)*($F$7-$E$7)),$G$7-SQRT((1-Q397)*($G$7-$E$7)*($G$7-$F$7))))</f>
        <v>1.05713801653374</v>
      </c>
      <c r="D397" s="51" t="n">
        <f aca="false">1+IF($G$8=$E$8,$F$8,IF(R397&lt;($F$8-$E$8)/($G$8-$E$8),$E$8+SQRT(R397*($G$8-$E$8)*($F$8-$E$8)),$G$8-SQRT((1-R397)*($G$8-$E$8)*($G$8-$F$8))))</f>
        <v>1.03090363335901</v>
      </c>
      <c r="E397" s="51" t="n">
        <f aca="false">1+IF($G$9=$E$9,$F$9,IF(S397&lt;($F$9-$E$9)/($G$9-$E$9),$E$9+SQRT(S397*($G$9-$E$9)*($F$9-$E$9)),$G$9-SQRT((1-S397)*($G$9-$E$9)*($G$9-$F$9))))</f>
        <v>1.07167169063898</v>
      </c>
      <c r="F397" s="51" t="n">
        <f aca="false">1+IF($G$10=$E$10,$F$10,IF(T397&lt;($F$10-$E$10)/($G$10-$E$10),$E$10+SQRT(T397*($G$10-$E$10)*($F$10-$E$10)),$G$10-SQRT((1-T397)*($G$10-$E$10)*($G$10-$F$10))))</f>
        <v>1.01711386337928</v>
      </c>
      <c r="G397" s="52" t="n">
        <f aca="false">IF($G$11=$E$11,$F$11,IF(U397&lt;($F$11-$E$11)/($G$11-$E$11),$E$11+SQRT(U397*($G$11-$E$11)*($F$11-$E$11)),$G$11-SQRT((1-U397)*($G$11-$E$11)*($G$11-$F$11))))</f>
        <v>0.105705039150759</v>
      </c>
      <c r="H397" s="53" t="n">
        <f aca="false">(('Business Case'!B11*$C397*'Business Case'!B12*$B397)-'Business Case'!B11*$C397*'Business Case'!B13*$D397-'Business Case'!B14*$E397)-MAX(0,(('Business Case'!B11*$C397*'Business Case'!B12*$B397)-'Business Case'!B11*$C397*'Business Case'!B13*$D397-'Business Case'!B14*$E397))*'Business Case'!$B$7-'Business Case'!$B$8*('Business Case'!B11*$C397*'Business Case'!B12*$B397)-'Business Case'!B15*$F397</f>
        <v>-2034227726.75857</v>
      </c>
      <c r="I397" s="53" t="n">
        <f aca="false">(('Business Case'!C11*$C397*'Business Case'!C12*$B397)-'Business Case'!C11*$C397*'Business Case'!C13*$D397-'Business Case'!C14*$E397)-MAX(0,(('Business Case'!C11*$C397*'Business Case'!C12*$B397)-'Business Case'!C11*$C397*'Business Case'!C13*$D397-'Business Case'!C14*$E397))*'Business Case'!$B$7-'Business Case'!$B$8*(('Business Case'!C11*$C397*'Business Case'!C12*$B397)-('Business Case'!B11*$C397*'Business Case'!B12*$B397))-'Business Case'!C15*$F397</f>
        <v>-20238415.0834846</v>
      </c>
      <c r="J397" s="53" t="n">
        <f aca="false">(('Business Case'!D11*$C397*'Business Case'!D12*$B397)-'Business Case'!D11*$C397*'Business Case'!D13*$D397-'Business Case'!D14*$E397)-MAX(0,(('Business Case'!D11*$C397*'Business Case'!D12*$B397)-'Business Case'!D11*$C397*'Business Case'!D13*$D397-'Business Case'!D14*$E397))*'Business Case'!$B$7-'Business Case'!$B$8*(('Business Case'!D11*$C397*'Business Case'!D12*$B397)-('Business Case'!C11*$C397*'Business Case'!C12*$B397))-'Business Case'!D15*$F397</f>
        <v>267123493.636531</v>
      </c>
      <c r="K397" s="53" t="n">
        <f aca="false">(('Business Case'!E11*$C397*'Business Case'!E12*$B397)-'Business Case'!E11*$C397*'Business Case'!E13*$D397-'Business Case'!E14*$E397)-MAX(0,(('Business Case'!E11*$C397*'Business Case'!E12*$B397)-'Business Case'!E11*$C397*'Business Case'!E13*$D397-'Business Case'!E14*$E397))*'Business Case'!$B$7-'Business Case'!$B$8*(('Business Case'!E11*$C397*'Business Case'!E12*$B397)-('Business Case'!D11*$C397*'Business Case'!D12*$B397))-'Business Case'!E15*$F397</f>
        <v>605341095.52551</v>
      </c>
      <c r="L397" s="53" t="n">
        <f aca="false">(('Business Case'!F11*$C397*'Business Case'!F12*$B397)-'Business Case'!F11*$C397*'Business Case'!F13*$D397-'Business Case'!F14*$E397)-MAX(0,(('Business Case'!F11*$C397*'Business Case'!F12*$B397)-'Business Case'!F11*$C397*'Business Case'!F13*$D397-'Business Case'!F14*$E397))*'Business Case'!$B$7-'Business Case'!$B$8*(('Business Case'!F11*$C397*'Business Case'!F12*$B397)-('Business Case'!E11*$C397*'Business Case'!E12*$B397))-'Business Case'!F15*$F397</f>
        <v>736793213.803321</v>
      </c>
      <c r="M397" s="53" t="n">
        <f aca="false">(('Business Case'!G11*$C397*'Business Case'!G12*$B397)-'Business Case'!G11*$C397*'Business Case'!G13*$D397-'Business Case'!G14*$E397)-MAX(0,(('Business Case'!G11*$C397*'Business Case'!G12*$B397)-'Business Case'!G11*$C397*'Business Case'!G13*$D397-'Business Case'!G14*$E397))*'Business Case'!$B$7-'Business Case'!$B$8*(('Business Case'!G11*$C397*'Business Case'!G12*$B397)-('Business Case'!F11*$C397*'Business Case'!F12*$B397))-'Business Case'!G15*$F397+'Business Case'!$B$8*('Business Case'!G11*$C397*'Business Case'!G12*$B397)</f>
        <v>932949698.344587</v>
      </c>
      <c r="N397" s="53" t="n">
        <f aca="false">IF(COUNT('Business Case'!B11:G11)=0,"",H397+NPV(G397,I397:M397))</f>
        <v>-328811396.551832</v>
      </c>
      <c r="P397" s="54" t="n">
        <f aca="true">RAND()</f>
        <v>0.328892375837272</v>
      </c>
      <c r="Q397" s="54" t="n">
        <f aca="true">RAND()</f>
        <v>0.835745752889754</v>
      </c>
      <c r="R397" s="54" t="n">
        <f aca="true">RAND()</f>
        <v>0.768225652178185</v>
      </c>
      <c r="S397" s="54" t="n">
        <f aca="true">RAND()</f>
        <v>0.946500459249745</v>
      </c>
      <c r="T397" s="54" t="n">
        <f aca="true">RAND()</f>
        <v>0.331053220638971</v>
      </c>
      <c r="U397" s="54" t="n">
        <f aca="true">RAND()</f>
        <v>0.659423490531094</v>
      </c>
    </row>
    <row r="398" customFormat="false" ht="15" hidden="false" customHeight="false" outlineLevel="0" collapsed="false">
      <c r="A398" s="50" t="n">
        <v>318</v>
      </c>
      <c r="B398" s="51" t="n">
        <f aca="false">1+IF($G$6=$E$6,$F$6,IF(P398&lt;($F$6-$E$6)/($G$6-$E$6),$E$6+SQRT(P398*($G$6-$E$6)*($F$6-$E$6)),$G$6-SQRT((1-P398)*($G$6-$E$6)*($G$6-$F$6))))</f>
        <v>0.982690403022547</v>
      </c>
      <c r="C398" s="51" t="n">
        <f aca="false">1+IF($G$7=$E$7,$F$7,IF(Q398&lt;($F$7-$E$7)/($G$7-$E$7),$E$7+SQRT(Q398*($G$7-$E$7)*($F$7-$E$7)),$G$7-SQRT((1-Q398)*($G$7-$E$7)*($G$7-$F$7))))</f>
        <v>0.901493862768971</v>
      </c>
      <c r="D398" s="51" t="n">
        <f aca="false">1+IF($G$8=$E$8,$F$8,IF(R398&lt;($F$8-$E$8)/($G$8-$E$8),$E$8+SQRT(R398*($G$8-$E$8)*($F$8-$E$8)),$G$8-SQRT((1-R398)*($G$8-$E$8)*($G$8-$F$8))))</f>
        <v>1.02392594915441</v>
      </c>
      <c r="E398" s="51" t="n">
        <f aca="false">1+IF($G$9=$E$9,$F$9,IF(S398&lt;($F$9-$E$9)/($G$9-$E$9),$E$9+SQRT(S398*($G$9-$E$9)*($F$9-$E$9)),$G$9-SQRT((1-S398)*($G$9-$E$9)*($G$9-$F$9))))</f>
        <v>1.07241651054075</v>
      </c>
      <c r="F398" s="51" t="n">
        <f aca="false">1+IF($G$10=$E$10,$F$10,IF(T398&lt;($F$10-$E$10)/($G$10-$E$10),$E$10+SQRT(T398*($G$10-$E$10)*($F$10-$E$10)),$G$10-SQRT((1-T398)*($G$10-$E$10)*($G$10-$F$10))))</f>
        <v>1.19366584991183</v>
      </c>
      <c r="G398" s="52" t="n">
        <f aca="false">IF($G$11=$E$11,$F$11,IF(U398&lt;($F$11-$E$11)/($G$11-$E$11),$E$11+SQRT(U398*($G$11-$E$11)*($F$11-$E$11)),$G$11-SQRT((1-U398)*($G$11-$E$11)*($G$11-$F$11))))</f>
        <v>0.110038687997682</v>
      </c>
      <c r="H398" s="53" t="n">
        <f aca="false">(('Business Case'!B11*$C398*'Business Case'!B12*$B398)-'Business Case'!B11*$C398*'Business Case'!B13*$D398-'Business Case'!B14*$E398)-MAX(0,(('Business Case'!B11*$C398*'Business Case'!B12*$B398)-'Business Case'!B11*$C398*'Business Case'!B13*$D398-'Business Case'!B14*$E398))*'Business Case'!$B$7-'Business Case'!$B$8*('Business Case'!B11*$C398*'Business Case'!B12*$B398)-'Business Case'!B15*$F398</f>
        <v>-2387331699.82366</v>
      </c>
      <c r="I398" s="53" t="n">
        <f aca="false">(('Business Case'!C11*$C398*'Business Case'!C12*$B398)-'Business Case'!C11*$C398*'Business Case'!C13*$D398-'Business Case'!C14*$E398)-MAX(0,(('Business Case'!C11*$C398*'Business Case'!C12*$B398)-'Business Case'!C11*$C398*'Business Case'!C13*$D398-'Business Case'!C14*$E398))*'Business Case'!$B$7-'Business Case'!$B$8*(('Business Case'!C11*$C398*'Business Case'!C12*$B398)-('Business Case'!B11*$C398*'Business Case'!B12*$B398))-'Business Case'!C15*$F398</f>
        <v>-64715931.7358893</v>
      </c>
      <c r="J398" s="53" t="n">
        <f aca="false">(('Business Case'!D11*$C398*'Business Case'!D12*$B398)-'Business Case'!D11*$C398*'Business Case'!D13*$D398-'Business Case'!D14*$E398)-MAX(0,(('Business Case'!D11*$C398*'Business Case'!D12*$B398)-'Business Case'!D11*$C398*'Business Case'!D13*$D398-'Business Case'!D14*$E398))*'Business Case'!$B$7-'Business Case'!$B$8*(('Business Case'!D11*$C398*'Business Case'!D12*$B398)-('Business Case'!C11*$C398*'Business Case'!C12*$B398))-'Business Case'!D15*$F398</f>
        <v>188356854.120519</v>
      </c>
      <c r="K398" s="53" t="n">
        <f aca="false">(('Business Case'!E11*$C398*'Business Case'!E12*$B398)-'Business Case'!E11*$C398*'Business Case'!E13*$D398-'Business Case'!E14*$E398)-MAX(0,(('Business Case'!E11*$C398*'Business Case'!E12*$B398)-'Business Case'!E11*$C398*'Business Case'!E13*$D398-'Business Case'!E14*$E398))*'Business Case'!$B$7-'Business Case'!$B$8*(('Business Case'!E11*$C398*'Business Case'!E12*$B398)-('Business Case'!D11*$C398*'Business Case'!D12*$B398))-'Business Case'!E15*$F398</f>
        <v>501112932.472519</v>
      </c>
      <c r="L398" s="53" t="n">
        <f aca="false">(('Business Case'!F11*$C398*'Business Case'!F12*$B398)-'Business Case'!F11*$C398*'Business Case'!F13*$D398-'Business Case'!F14*$E398)-MAX(0,(('Business Case'!F11*$C398*'Business Case'!F12*$B398)-'Business Case'!F11*$C398*'Business Case'!F13*$D398-'Business Case'!F14*$E398))*'Business Case'!$B$7-'Business Case'!$B$8*(('Business Case'!F11*$C398*'Business Case'!F12*$B398)-('Business Case'!E11*$C398*'Business Case'!E12*$B398))-'Business Case'!F15*$F398</f>
        <v>616086864.292803</v>
      </c>
      <c r="M398" s="53" t="n">
        <f aca="false">(('Business Case'!G11*$C398*'Business Case'!G12*$B398)-'Business Case'!G11*$C398*'Business Case'!G13*$D398-'Business Case'!G14*$E398)-MAX(0,(('Business Case'!G11*$C398*'Business Case'!G12*$B398)-'Business Case'!G11*$C398*'Business Case'!G13*$D398-'Business Case'!G14*$E398))*'Business Case'!$B$7-'Business Case'!$B$8*(('Business Case'!G11*$C398*'Business Case'!G12*$B398)-('Business Case'!F11*$C398*'Business Case'!F12*$B398))-'Business Case'!G15*$F398+'Business Case'!$B$8*('Business Case'!G11*$C398*'Business Case'!G12*$B398)</f>
        <v>784476715.23428</v>
      </c>
      <c r="N398" s="53" t="n">
        <f aca="false">IF(COUNT('Business Case'!B11:G11)=0,"",H398+NPV(G398,I398:M398))</f>
        <v>-1055150618.58502</v>
      </c>
      <c r="P398" s="54" t="n">
        <f aca="true">RAND()</f>
        <v>0.40938402407597</v>
      </c>
      <c r="Q398" s="54" t="n">
        <f aca="true">RAND()</f>
        <v>0.147157202568097</v>
      </c>
      <c r="R398" s="54" t="n">
        <f aca="true">RAND()</f>
        <v>0.697663540554472</v>
      </c>
      <c r="S398" s="54" t="n">
        <f aca="true">RAND()</f>
        <v>0.949276740616745</v>
      </c>
      <c r="T398" s="54" t="n">
        <f aca="true">RAND()</f>
        <v>0.999197570853211</v>
      </c>
      <c r="U398" s="54" t="n">
        <f aca="true">RAND()</f>
        <v>0.834620438654118</v>
      </c>
    </row>
    <row r="399" customFormat="false" ht="15" hidden="false" customHeight="false" outlineLevel="0" collapsed="false">
      <c r="A399" s="50" t="n">
        <v>319</v>
      </c>
      <c r="B399" s="51" t="n">
        <f aca="false">1+IF($G$6=$E$6,$F$6,IF(P399&lt;($F$6-$E$6)/($G$6-$E$6),$E$6+SQRT(P399*($G$6-$E$6)*($F$6-$E$6)),$G$6-SQRT((1-P399)*($G$6-$E$6)*($G$6-$F$6))))</f>
        <v>1.00817649371004</v>
      </c>
      <c r="C399" s="51" t="n">
        <f aca="false">1+IF($G$7=$E$7,$F$7,IF(Q399&lt;($F$7-$E$7)/($G$7-$E$7),$E$7+SQRT(Q399*($G$7-$E$7)*($F$7-$E$7)),$G$7-SQRT((1-Q399)*($G$7-$E$7)*($G$7-$F$7))))</f>
        <v>1.07465806108392</v>
      </c>
      <c r="D399" s="51" t="n">
        <f aca="false">1+IF($G$8=$E$8,$F$8,IF(R399&lt;($F$8-$E$8)/($G$8-$E$8),$E$8+SQRT(R399*($G$8-$E$8)*($F$8-$E$8)),$G$8-SQRT((1-R399)*($G$8-$E$8)*($G$8-$F$8))))</f>
        <v>1.06601756034374</v>
      </c>
      <c r="E399" s="51" t="n">
        <f aca="false">1+IF($G$9=$E$9,$F$9,IF(S399&lt;($F$9-$E$9)/($G$9-$E$9),$E$9+SQRT(S399*($G$9-$E$9)*($F$9-$E$9)),$G$9-SQRT((1-S399)*($G$9-$E$9)*($G$9-$F$9))))</f>
        <v>1.00072059424105</v>
      </c>
      <c r="F399" s="51" t="n">
        <f aca="false">1+IF($G$10=$E$10,$F$10,IF(T399&lt;($F$10-$E$10)/($G$10-$E$10),$E$10+SQRT(T399*($G$10-$E$10)*($F$10-$E$10)),$G$10-SQRT((1-T399)*($G$10-$E$10)*($G$10-$F$10))))</f>
        <v>1.09875716965466</v>
      </c>
      <c r="G399" s="52" t="n">
        <f aca="false">IF($G$11=$E$11,$F$11,IF(U399&lt;($F$11-$E$11)/($G$11-$E$11),$E$11+SQRT(U399*($G$11-$E$11)*($F$11-$E$11)),$G$11-SQRT((1-U399)*($G$11-$E$11)*($G$11-$F$11))))</f>
        <v>0.108145483199038</v>
      </c>
      <c r="H399" s="53" t="n">
        <f aca="false">(('Business Case'!B11*$C399*'Business Case'!B12*$B399)-'Business Case'!B11*$C399*'Business Case'!B13*$D399-'Business Case'!B14*$E399)-MAX(0,(('Business Case'!B11*$C399*'Business Case'!B12*$B399)-'Business Case'!B11*$C399*'Business Case'!B13*$D399-'Business Case'!B14*$E399))*'Business Case'!$B$7-'Business Case'!$B$8*('Business Case'!B11*$C399*'Business Case'!B12*$B399)-'Business Case'!B15*$F399</f>
        <v>-2197514339.30931</v>
      </c>
      <c r="I399" s="53" t="n">
        <f aca="false">(('Business Case'!C11*$C399*'Business Case'!C12*$B399)-'Business Case'!C11*$C399*'Business Case'!C13*$D399-'Business Case'!C14*$E399)-MAX(0,(('Business Case'!C11*$C399*'Business Case'!C12*$B399)-'Business Case'!C11*$C399*'Business Case'!C13*$D399-'Business Case'!C14*$E399))*'Business Case'!$B$7-'Business Case'!$B$8*(('Business Case'!C11*$C399*'Business Case'!C12*$B399)-('Business Case'!B11*$C399*'Business Case'!B12*$B399))-'Business Case'!C15*$F399</f>
        <v>-7382300.59034687</v>
      </c>
      <c r="J399" s="53" t="n">
        <f aca="false">(('Business Case'!D11*$C399*'Business Case'!D12*$B399)-'Business Case'!D11*$C399*'Business Case'!D13*$D399-'Business Case'!D14*$E399)-MAX(0,(('Business Case'!D11*$C399*'Business Case'!D12*$B399)-'Business Case'!D11*$C399*'Business Case'!D13*$D399-'Business Case'!D14*$E399))*'Business Case'!$B$7-'Business Case'!$B$8*(('Business Case'!D11*$C399*'Business Case'!D12*$B399)-('Business Case'!C11*$C399*'Business Case'!C12*$B399))-'Business Case'!D15*$F399</f>
        <v>293579372.876458</v>
      </c>
      <c r="K399" s="53" t="n">
        <f aca="false">(('Business Case'!E11*$C399*'Business Case'!E12*$B399)-'Business Case'!E11*$C399*'Business Case'!E13*$D399-'Business Case'!E14*$E399)-MAX(0,(('Business Case'!E11*$C399*'Business Case'!E12*$B399)-'Business Case'!E11*$C399*'Business Case'!E13*$D399-'Business Case'!E14*$E399))*'Business Case'!$B$7-'Business Case'!$B$8*(('Business Case'!E11*$C399*'Business Case'!E12*$B399)-('Business Case'!D11*$C399*'Business Case'!D12*$B399))-'Business Case'!E15*$F399</f>
        <v>649478904.825996</v>
      </c>
      <c r="L399" s="53" t="n">
        <f aca="false">(('Business Case'!F11*$C399*'Business Case'!F12*$B399)-'Business Case'!F11*$C399*'Business Case'!F13*$D399-'Business Case'!F14*$E399)-MAX(0,(('Business Case'!F11*$C399*'Business Case'!F12*$B399)-'Business Case'!F11*$C399*'Business Case'!F13*$D399-'Business Case'!F14*$E399))*'Business Case'!$B$7-'Business Case'!$B$8*(('Business Case'!F11*$C399*'Business Case'!F12*$B399)-('Business Case'!E11*$C399*'Business Case'!E12*$B399))-'Business Case'!F15*$F399</f>
        <v>787243321.70867</v>
      </c>
      <c r="M399" s="53" t="n">
        <f aca="false">(('Business Case'!G11*$C399*'Business Case'!G12*$B399)-'Business Case'!G11*$C399*'Business Case'!G13*$D399-'Business Case'!G14*$E399)-MAX(0,(('Business Case'!G11*$C399*'Business Case'!G12*$B399)-'Business Case'!G11*$C399*'Business Case'!G13*$D399-'Business Case'!G14*$E399))*'Business Case'!$B$7-'Business Case'!$B$8*(('Business Case'!G11*$C399*'Business Case'!G12*$B399)-('Business Case'!F11*$C399*'Business Case'!F12*$B399))-'Business Case'!G15*$F399+'Business Case'!$B$8*('Business Case'!G11*$C399*'Business Case'!G12*$B399)</f>
        <v>993184546.540902</v>
      </c>
      <c r="N399" s="53" t="n">
        <f aca="false">IF(COUNT('Business Case'!B11:G11)=0,"",H399+NPV(G399,I399:M399))</f>
        <v>-371403864.081423</v>
      </c>
      <c r="P399" s="54" t="n">
        <f aca="true">RAND()</f>
        <v>0.789013426544357</v>
      </c>
      <c r="Q399" s="54" t="n">
        <f aca="true">RAND()</f>
        <v>0.891877947435537</v>
      </c>
      <c r="R399" s="54" t="n">
        <f aca="true">RAND()</f>
        <v>0.98120109435183</v>
      </c>
      <c r="S399" s="54" t="n">
        <f aca="true">RAND()</f>
        <v>0.342906639476666</v>
      </c>
      <c r="T399" s="54" t="n">
        <f aca="true">RAND()</f>
        <v>0.794997786073278</v>
      </c>
      <c r="U399" s="54" t="n">
        <f aca="true">RAND()</f>
        <v>0.765784052359506</v>
      </c>
    </row>
    <row r="400" customFormat="false" ht="15" hidden="false" customHeight="false" outlineLevel="0" collapsed="false">
      <c r="A400" s="50" t="n">
        <v>320</v>
      </c>
      <c r="B400" s="51" t="n">
        <f aca="false">1+IF($G$6=$E$6,$F$6,IF(P400&lt;($F$6-$E$6)/($G$6-$E$6),$E$6+SQRT(P400*($G$6-$E$6)*($F$6-$E$6)),$G$6-SQRT((1-P400)*($G$6-$E$6)*($G$6-$F$6))))</f>
        <v>0.957173008294131</v>
      </c>
      <c r="C400" s="51" t="n">
        <f aca="false">1+IF($G$7=$E$7,$F$7,IF(Q400&lt;($F$7-$E$7)/($G$7-$E$7),$E$7+SQRT(Q400*($G$7-$E$7)*($F$7-$E$7)),$G$7-SQRT((1-Q400)*($G$7-$E$7)*($G$7-$F$7))))</f>
        <v>1.00865809422249</v>
      </c>
      <c r="D400" s="51" t="n">
        <f aca="false">1+IF($G$8=$E$8,$F$8,IF(R400&lt;($F$8-$E$8)/($G$8-$E$8),$E$8+SQRT(R400*($G$8-$E$8)*($F$8-$E$8)),$G$8-SQRT((1-R400)*($G$8-$E$8)*($G$8-$F$8))))</f>
        <v>1.03630941104395</v>
      </c>
      <c r="E400" s="51" t="n">
        <f aca="false">1+IF($G$9=$E$9,$F$9,IF(S400&lt;($F$9-$E$9)/($G$9-$E$9),$E$9+SQRT(S400*($G$9-$E$9)*($F$9-$E$9)),$G$9-SQRT((1-S400)*($G$9-$E$9)*($G$9-$F$9))))</f>
        <v>1.03850461614789</v>
      </c>
      <c r="F400" s="51" t="n">
        <f aca="false">1+IF($G$10=$E$10,$F$10,IF(T400&lt;($F$10-$E$10)/($G$10-$E$10),$E$10+SQRT(T400*($G$10-$E$10)*($F$10-$E$10)),$G$10-SQRT((1-T400)*($G$10-$E$10)*($G$10-$F$10))))</f>
        <v>1.00673780884637</v>
      </c>
      <c r="G400" s="52" t="n">
        <f aca="false">IF($G$11=$E$11,$F$11,IF(U400&lt;($F$11-$E$11)/($G$11-$E$11),$E$11+SQRT(U400*($G$11-$E$11)*($F$11-$E$11)),$G$11-SQRT((1-U400)*($G$11-$E$11)*($G$11-$F$11))))</f>
        <v>0.0959226773847554</v>
      </c>
      <c r="H400" s="53" t="n">
        <f aca="false">(('Business Case'!B11*$C400*'Business Case'!B12*$B400)-'Business Case'!B11*$C400*'Business Case'!B13*$D400-'Business Case'!B14*$E400)-MAX(0,(('Business Case'!B11*$C400*'Business Case'!B12*$B400)-'Business Case'!B11*$C400*'Business Case'!B13*$D400-'Business Case'!B14*$E400))*'Business Case'!$B$7-'Business Case'!$B$8*('Business Case'!B11*$C400*'Business Case'!B12*$B400)-'Business Case'!B15*$F400</f>
        <v>-2013475617.69275</v>
      </c>
      <c r="I400" s="53" t="n">
        <f aca="false">(('Business Case'!C11*$C400*'Business Case'!C12*$B400)-'Business Case'!C11*$C400*'Business Case'!C13*$D400-'Business Case'!C14*$E400)-MAX(0,(('Business Case'!C11*$C400*'Business Case'!C12*$B400)-'Business Case'!C11*$C400*'Business Case'!C13*$D400-'Business Case'!C14*$E400))*'Business Case'!$B$7-'Business Case'!$B$8*(('Business Case'!C11*$C400*'Business Case'!C12*$B400)-('Business Case'!B11*$C400*'Business Case'!B12*$B400))-'Business Case'!C15*$F400</f>
        <v>-42717796.3207413</v>
      </c>
      <c r="J400" s="53" t="n">
        <f aca="false">(('Business Case'!D11*$C400*'Business Case'!D12*$B400)-'Business Case'!D11*$C400*'Business Case'!D13*$D400-'Business Case'!D14*$E400)-MAX(0,(('Business Case'!D11*$C400*'Business Case'!D12*$B400)-'Business Case'!D11*$C400*'Business Case'!D13*$D400-'Business Case'!D14*$E400))*'Business Case'!$B$7-'Business Case'!$B$8*(('Business Case'!D11*$C400*'Business Case'!D12*$B400)-('Business Case'!C11*$C400*'Business Case'!C12*$B400))-'Business Case'!D15*$F400</f>
        <v>212963006.735136</v>
      </c>
      <c r="K400" s="53" t="n">
        <f aca="false">(('Business Case'!E11*$C400*'Business Case'!E12*$B400)-'Business Case'!E11*$C400*'Business Case'!E13*$D400-'Business Case'!E14*$E400)-MAX(0,(('Business Case'!E11*$C400*'Business Case'!E12*$B400)-'Business Case'!E11*$C400*'Business Case'!E13*$D400-'Business Case'!E14*$E400))*'Business Case'!$B$7-'Business Case'!$B$8*(('Business Case'!E11*$C400*'Business Case'!E12*$B400)-('Business Case'!D11*$C400*'Business Case'!D12*$B400))-'Business Case'!E15*$F400</f>
        <v>518980700.233332</v>
      </c>
      <c r="L400" s="53" t="n">
        <f aca="false">(('Business Case'!F11*$C400*'Business Case'!F12*$B400)-'Business Case'!F11*$C400*'Business Case'!F13*$D400-'Business Case'!F14*$E400)-MAX(0,(('Business Case'!F11*$C400*'Business Case'!F12*$B400)-'Business Case'!F11*$C400*'Business Case'!F13*$D400-'Business Case'!F14*$E400))*'Business Case'!$B$7-'Business Case'!$B$8*(('Business Case'!F11*$C400*'Business Case'!F12*$B400)-('Business Case'!E11*$C400*'Business Case'!E12*$B400))-'Business Case'!F15*$F400</f>
        <v>637573942.635791</v>
      </c>
      <c r="M400" s="53" t="n">
        <f aca="false">(('Business Case'!G11*$C400*'Business Case'!G12*$B400)-'Business Case'!G11*$C400*'Business Case'!G13*$D400-'Business Case'!G14*$E400)-MAX(0,(('Business Case'!G11*$C400*'Business Case'!G12*$B400)-'Business Case'!G11*$C400*'Business Case'!G13*$D400-'Business Case'!G14*$E400))*'Business Case'!$B$7-'Business Case'!$B$8*(('Business Case'!G11*$C400*'Business Case'!G12*$B400)-('Business Case'!F11*$C400*'Business Case'!F12*$B400))-'Business Case'!G15*$F400+'Business Case'!$B$8*('Business Case'!G11*$C400*'Business Case'!G12*$B400)</f>
        <v>821088636.913544</v>
      </c>
      <c r="N400" s="53" t="n">
        <f aca="false">IF(COUNT('Business Case'!B11:G11)=0,"",H400+NPV(G400,I400:M400))</f>
        <v>-519479108.014941</v>
      </c>
      <c r="P400" s="54" t="n">
        <f aca="true">RAND()</f>
        <v>0.143940890170364</v>
      </c>
      <c r="Q400" s="54" t="n">
        <f aca="true">RAND()</f>
        <v>0.619475536593953</v>
      </c>
      <c r="R400" s="54" t="n">
        <f aca="true">RAND()</f>
        <v>0.816455041987799</v>
      </c>
      <c r="S400" s="54" t="n">
        <f aca="true">RAND()</f>
        <v>0.747887850992117</v>
      </c>
      <c r="T400" s="54" t="n">
        <f aca="true">RAND()</f>
        <v>0.252994509409993</v>
      </c>
      <c r="U400" s="54" t="n">
        <f aca="true">RAND()</f>
        <v>0.116927024679641</v>
      </c>
    </row>
    <row r="401" customFormat="false" ht="15" hidden="false" customHeight="false" outlineLevel="0" collapsed="false">
      <c r="A401" s="50" t="n">
        <v>321</v>
      </c>
      <c r="B401" s="51" t="n">
        <f aca="false">1+IF($G$6=$E$6,$F$6,IF(P401&lt;($F$6-$E$6)/($G$6-$E$6),$E$6+SQRT(P401*($G$6-$E$6)*($F$6-$E$6)),$G$6-SQRT((1-P401)*($G$6-$E$6)*($G$6-$F$6))))</f>
        <v>0.979213719247625</v>
      </c>
      <c r="C401" s="51" t="n">
        <f aca="false">1+IF($G$7=$E$7,$F$7,IF(Q401&lt;($F$7-$E$7)/($G$7-$E$7),$E$7+SQRT(Q401*($G$7-$E$7)*($F$7-$E$7)),$G$7-SQRT((1-Q401)*($G$7-$E$7)*($G$7-$F$7))))</f>
        <v>0.8937709673292</v>
      </c>
      <c r="D401" s="51" t="n">
        <f aca="false">1+IF($G$8=$E$8,$F$8,IF(R401&lt;($F$8-$E$8)/($G$8-$E$8),$E$8+SQRT(R401*($G$8-$E$8)*($F$8-$E$8)),$G$8-SQRT((1-R401)*($G$8-$E$8)*($G$8-$F$8))))</f>
        <v>0.96382101821509</v>
      </c>
      <c r="E401" s="51" t="n">
        <f aca="false">1+IF($G$9=$E$9,$F$9,IF(S401&lt;($F$9-$E$9)/($G$9-$E$9),$E$9+SQRT(S401*($G$9-$E$9)*($F$9-$E$9)),$G$9-SQRT((1-S401)*($G$9-$E$9)*($G$9-$F$9))))</f>
        <v>1.0778976961583</v>
      </c>
      <c r="F401" s="51" t="n">
        <f aca="false">1+IF($G$10=$E$10,$F$10,IF(T401&lt;($F$10-$E$10)/($G$10-$E$10),$E$10+SQRT(T401*($G$10-$E$10)*($F$10-$E$10)),$G$10-SQRT((1-T401)*($G$10-$E$10)*($G$10-$F$10))))</f>
        <v>1.06462844159749</v>
      </c>
      <c r="G401" s="52" t="n">
        <f aca="false">IF($G$11=$E$11,$F$11,IF(U401&lt;($F$11-$E$11)/($G$11-$E$11),$E$11+SQRT(U401*($G$11-$E$11)*($F$11-$E$11)),$G$11-SQRT((1-U401)*($G$11-$E$11)*($G$11-$F$11))))</f>
        <v>0.0977967133564404</v>
      </c>
      <c r="H401" s="53" t="n">
        <f aca="false">(('Business Case'!B11*$C401*'Business Case'!B12*$B401)-'Business Case'!B11*$C401*'Business Case'!B13*$D401-'Business Case'!B14*$E401)-MAX(0,(('Business Case'!B11*$C401*'Business Case'!B12*$B401)-'Business Case'!B11*$C401*'Business Case'!B13*$D401-'Business Case'!B14*$E401))*'Business Case'!$B$7-'Business Case'!$B$8*('Business Case'!B11*$C401*'Business Case'!B12*$B401)-'Business Case'!B15*$F401</f>
        <v>-2129256883.19498</v>
      </c>
      <c r="I401" s="53" t="n">
        <f aca="false">(('Business Case'!C11*$C401*'Business Case'!C12*$B401)-'Business Case'!C11*$C401*'Business Case'!C13*$D401-'Business Case'!C14*$E401)-MAX(0,(('Business Case'!C11*$C401*'Business Case'!C12*$B401)-'Business Case'!C11*$C401*'Business Case'!C13*$D401-'Business Case'!C14*$E401))*'Business Case'!$B$7-'Business Case'!$B$8*(('Business Case'!C11*$C401*'Business Case'!C12*$B401)-('Business Case'!B11*$C401*'Business Case'!B12*$B401))-'Business Case'!C15*$F401</f>
        <v>-29249909.5347708</v>
      </c>
      <c r="J401" s="53" t="n">
        <f aca="false">(('Business Case'!D11*$C401*'Business Case'!D12*$B401)-'Business Case'!D11*$C401*'Business Case'!D13*$D401-'Business Case'!D14*$E401)-MAX(0,(('Business Case'!D11*$C401*'Business Case'!D12*$B401)-'Business Case'!D11*$C401*'Business Case'!D13*$D401-'Business Case'!D14*$E401))*'Business Case'!$B$7-'Business Case'!$B$8*(('Business Case'!D11*$C401*'Business Case'!D12*$B401)-('Business Case'!C11*$C401*'Business Case'!C12*$B401))-'Business Case'!D15*$F401</f>
        <v>246610071.876872</v>
      </c>
      <c r="K401" s="53" t="n">
        <f aca="false">(('Business Case'!E11*$C401*'Business Case'!E12*$B401)-'Business Case'!E11*$C401*'Business Case'!E13*$D401-'Business Case'!E14*$E401)-MAX(0,(('Business Case'!E11*$C401*'Business Case'!E12*$B401)-'Business Case'!E11*$C401*'Business Case'!E13*$D401-'Business Case'!E14*$E401))*'Business Case'!$B$7-'Business Case'!$B$8*(('Business Case'!E11*$C401*'Business Case'!E12*$B401)-('Business Case'!D11*$C401*'Business Case'!D12*$B401))-'Business Case'!E15*$F401</f>
        <v>575701475.368389</v>
      </c>
      <c r="L401" s="53" t="n">
        <f aca="false">(('Business Case'!F11*$C401*'Business Case'!F12*$B401)-'Business Case'!F11*$C401*'Business Case'!F13*$D401-'Business Case'!F14*$E401)-MAX(0,(('Business Case'!F11*$C401*'Business Case'!F12*$B401)-'Business Case'!F11*$C401*'Business Case'!F13*$D401-'Business Case'!F14*$E401))*'Business Case'!$B$7-'Business Case'!$B$8*(('Business Case'!F11*$C401*'Business Case'!F12*$B401)-('Business Case'!E11*$C401*'Business Case'!E12*$B401))-'Business Case'!F15*$F401</f>
        <v>697901465.434239</v>
      </c>
      <c r="M401" s="53" t="n">
        <f aca="false">(('Business Case'!G11*$C401*'Business Case'!G12*$B401)-'Business Case'!G11*$C401*'Business Case'!G13*$D401-'Business Case'!G14*$E401)-MAX(0,(('Business Case'!G11*$C401*'Business Case'!G12*$B401)-'Business Case'!G11*$C401*'Business Case'!G13*$D401-'Business Case'!G14*$E401))*'Business Case'!$B$7-'Business Case'!$B$8*(('Business Case'!G11*$C401*'Business Case'!G12*$B401)-('Business Case'!F11*$C401*'Business Case'!F12*$B401))-'Business Case'!G15*$F401+'Business Case'!$B$8*('Business Case'!G11*$C401*'Business Case'!G12*$B401)</f>
        <v>864258111.54174</v>
      </c>
      <c r="N401" s="53" t="n">
        <f aca="false">IF(COUNT('Business Case'!B11:G11)=0,"",H401+NPV(G401,I401:M401))</f>
        <v>-493572108.570226</v>
      </c>
      <c r="P401" s="54" t="n">
        <f aca="true">RAND()</f>
        <v>0.365235890326721</v>
      </c>
      <c r="Q401" s="54" t="n">
        <f aca="true">RAND()</f>
        <v>0.125614204483627</v>
      </c>
      <c r="R401" s="54" t="n">
        <f aca="true">RAND()</f>
        <v>0.0293877760772065</v>
      </c>
      <c r="S401" s="54" t="n">
        <f aca="true">RAND()</f>
        <v>0.967432544325936</v>
      </c>
      <c r="T401" s="54" t="n">
        <f aca="true">RAND()</f>
        <v>0.633490823513513</v>
      </c>
      <c r="U401" s="54" t="n">
        <f aca="true">RAND()</f>
        <v>0.202629130541655</v>
      </c>
    </row>
    <row r="402" customFormat="false" ht="15" hidden="false" customHeight="false" outlineLevel="0" collapsed="false">
      <c r="A402" s="50" t="n">
        <v>322</v>
      </c>
      <c r="B402" s="51" t="n">
        <f aca="false">1+IF($G$6=$E$6,$F$6,IF(P402&lt;($F$6-$E$6)/($G$6-$E$6),$E$6+SQRT(P402*($G$6-$E$6)*($F$6-$E$6)),$G$6-SQRT((1-P402)*($G$6-$E$6)*($G$6-$F$6))))</f>
        <v>0.96781933000617</v>
      </c>
      <c r="C402" s="51" t="n">
        <f aca="false">1+IF($G$7=$E$7,$F$7,IF(Q402&lt;($F$7-$E$7)/($G$7-$E$7),$E$7+SQRT(Q402*($G$7-$E$7)*($F$7-$E$7)),$G$7-SQRT((1-Q402)*($G$7-$E$7)*($G$7-$F$7))))</f>
        <v>1.03010363534962</v>
      </c>
      <c r="D402" s="51" t="n">
        <f aca="false">1+IF($G$8=$E$8,$F$8,IF(R402&lt;($F$8-$E$8)/($G$8-$E$8),$E$8+SQRT(R402*($G$8-$E$8)*($F$8-$E$8)),$G$8-SQRT((1-R402)*($G$8-$E$8)*($G$8-$F$8))))</f>
        <v>1.0023533238715</v>
      </c>
      <c r="E402" s="51" t="n">
        <f aca="false">1+IF($G$9=$E$9,$F$9,IF(S402&lt;($F$9-$E$9)/($G$9-$E$9),$E$9+SQRT(S402*($G$9-$E$9)*($F$9-$E$9)),$G$9-SQRT((1-S402)*($G$9-$E$9)*($G$9-$F$9))))</f>
        <v>1.07116559642901</v>
      </c>
      <c r="F402" s="51" t="n">
        <f aca="false">1+IF($G$10=$E$10,$F$10,IF(T402&lt;($F$10-$E$10)/($G$10-$E$10),$E$10+SQRT(T402*($G$10-$E$10)*($F$10-$E$10)),$G$10-SQRT((1-T402)*($G$10-$E$10)*($G$10-$F$10))))</f>
        <v>0.995095383513169</v>
      </c>
      <c r="G402" s="52" t="n">
        <f aca="false">IF($G$11=$E$11,$F$11,IF(U402&lt;($F$11-$E$11)/($G$11-$E$11),$E$11+SQRT(U402*($G$11-$E$11)*($F$11-$E$11)),$G$11-SQRT((1-U402)*($G$11-$E$11)*($G$11-$F$11))))</f>
        <v>0.107909915876188</v>
      </c>
      <c r="H402" s="53" t="n">
        <f aca="false">(('Business Case'!B11*$C402*'Business Case'!B12*$B402)-'Business Case'!B11*$C402*'Business Case'!B13*$D402-'Business Case'!B14*$E402)-MAX(0,(('Business Case'!B11*$C402*'Business Case'!B12*$B402)-'Business Case'!B11*$C402*'Business Case'!B13*$D402-'Business Case'!B14*$E402))*'Business Case'!$B$7-'Business Case'!$B$8*('Business Case'!B11*$C402*'Business Case'!B12*$B402)-'Business Case'!B15*$F402</f>
        <v>-1990190767.02634</v>
      </c>
      <c r="I402" s="53" t="n">
        <f aca="false">(('Business Case'!C11*$C402*'Business Case'!C12*$B402)-'Business Case'!C11*$C402*'Business Case'!C13*$D402-'Business Case'!C14*$E402)-MAX(0,(('Business Case'!C11*$C402*'Business Case'!C12*$B402)-'Business Case'!C11*$C402*'Business Case'!C13*$D402-'Business Case'!C14*$E402))*'Business Case'!$B$7-'Business Case'!$B$8*(('Business Case'!C11*$C402*'Business Case'!C12*$B402)-('Business Case'!B11*$C402*'Business Case'!B12*$B402))-'Business Case'!C15*$F402</f>
        <v>-15505746.3846702</v>
      </c>
      <c r="J402" s="53" t="n">
        <f aca="false">(('Business Case'!D11*$C402*'Business Case'!D12*$B402)-'Business Case'!D11*$C402*'Business Case'!D13*$D402-'Business Case'!D14*$E402)-MAX(0,(('Business Case'!D11*$C402*'Business Case'!D12*$B402)-'Business Case'!D11*$C402*'Business Case'!D13*$D402-'Business Case'!D14*$E402))*'Business Case'!$B$7-'Business Case'!$B$8*(('Business Case'!D11*$C402*'Business Case'!D12*$B402)-('Business Case'!C11*$C402*'Business Case'!C12*$B402))-'Business Case'!D15*$F402</f>
        <v>272499899.651001</v>
      </c>
      <c r="K402" s="53" t="n">
        <f aca="false">(('Business Case'!E11*$C402*'Business Case'!E12*$B402)-'Business Case'!E11*$C402*'Business Case'!E13*$D402-'Business Case'!E14*$E402)-MAX(0,(('Business Case'!E11*$C402*'Business Case'!E12*$B402)-'Business Case'!E11*$C402*'Business Case'!E13*$D402-'Business Case'!E14*$E402))*'Business Case'!$B$7-'Business Case'!$B$8*(('Business Case'!E11*$C402*'Business Case'!E12*$B402)-('Business Case'!D11*$C402*'Business Case'!D12*$B402))-'Business Case'!E15*$F402</f>
        <v>610260314.862331</v>
      </c>
      <c r="L402" s="53" t="n">
        <f aca="false">(('Business Case'!F11*$C402*'Business Case'!F12*$B402)-'Business Case'!F11*$C402*'Business Case'!F13*$D402-'Business Case'!F14*$E402)-MAX(0,(('Business Case'!F11*$C402*'Business Case'!F12*$B402)-'Business Case'!F11*$C402*'Business Case'!F13*$D402-'Business Case'!F14*$E402))*'Business Case'!$B$7-'Business Case'!$B$8*(('Business Case'!F11*$C402*'Business Case'!F12*$B402)-('Business Case'!E11*$C402*'Business Case'!E12*$B402))-'Business Case'!F15*$F402</f>
        <v>740716934.378768</v>
      </c>
      <c r="M402" s="53" t="n">
        <f aca="false">(('Business Case'!G11*$C402*'Business Case'!G12*$B402)-'Business Case'!G11*$C402*'Business Case'!G13*$D402-'Business Case'!G14*$E402)-MAX(0,(('Business Case'!G11*$C402*'Business Case'!G12*$B402)-'Business Case'!G11*$C402*'Business Case'!G13*$D402-'Business Case'!G14*$E402))*'Business Case'!$B$7-'Business Case'!$B$8*(('Business Case'!G11*$C402*'Business Case'!G12*$B402)-('Business Case'!F11*$C402*'Business Case'!F12*$B402))-'Business Case'!G15*$F402+'Business Case'!$B$8*('Business Case'!G11*$C402*'Business Case'!G12*$B402)</f>
        <v>930217990.653772</v>
      </c>
      <c r="N402" s="53" t="n">
        <f aca="false">IF(COUNT('Business Case'!B11:G11)=0,"",H402+NPV(G402,I402:M402))</f>
        <v>-284545234.570382</v>
      </c>
      <c r="P402" s="54" t="n">
        <f aca="true">RAND()</f>
        <v>0.238196700233232</v>
      </c>
      <c r="Q402" s="54" t="n">
        <f aca="true">RAND()</f>
        <v>0.726187842735671</v>
      </c>
      <c r="R402" s="54" t="n">
        <f aca="true">RAND()</f>
        <v>0.420287854441844</v>
      </c>
      <c r="S402" s="54" t="n">
        <f aca="true">RAND()</f>
        <v>0.944571811380361</v>
      </c>
      <c r="T402" s="54" t="n">
        <f aca="true">RAND()</f>
        <v>0.162687489135986</v>
      </c>
      <c r="U402" s="54" t="n">
        <f aca="true">RAND()</f>
        <v>0.756383109798565</v>
      </c>
    </row>
    <row r="403" customFormat="false" ht="15" hidden="false" customHeight="false" outlineLevel="0" collapsed="false">
      <c r="A403" s="50" t="n">
        <v>323</v>
      </c>
      <c r="B403" s="51" t="n">
        <f aca="false">1+IF($G$6=$E$6,$F$6,IF(P403&lt;($F$6-$E$6)/($G$6-$E$6),$E$6+SQRT(P403*($G$6-$E$6)*($F$6-$E$6)),$G$6-SQRT((1-P403)*($G$6-$E$6)*($G$6-$F$6))))</f>
        <v>0.989470319573537</v>
      </c>
      <c r="C403" s="51" t="n">
        <f aca="false">1+IF($G$7=$E$7,$F$7,IF(Q403&lt;($F$7-$E$7)/($G$7-$E$7),$E$7+SQRT(Q403*($G$7-$E$7)*($F$7-$E$7)),$G$7-SQRT((1-Q403)*($G$7-$E$7)*($G$7-$F$7))))</f>
        <v>1.01506045766609</v>
      </c>
      <c r="D403" s="51" t="n">
        <f aca="false">1+IF($G$8=$E$8,$F$8,IF(R403&lt;($F$8-$E$8)/($G$8-$E$8),$E$8+SQRT(R403*($G$8-$E$8)*($F$8-$E$8)),$G$8-SQRT((1-R403)*($G$8-$E$8)*($G$8-$F$8))))</f>
        <v>0.997768756163217</v>
      </c>
      <c r="E403" s="51" t="n">
        <f aca="false">1+IF($G$9=$E$9,$F$9,IF(S403&lt;($F$9-$E$9)/($G$9-$E$9),$E$9+SQRT(S403*($G$9-$E$9)*($F$9-$E$9)),$G$9-SQRT((1-S403)*($G$9-$E$9)*($G$9-$F$9))))</f>
        <v>1.0359327445388</v>
      </c>
      <c r="F403" s="51" t="n">
        <f aca="false">1+IF($G$10=$E$10,$F$10,IF(T403&lt;($F$10-$E$10)/($G$10-$E$10),$E$10+SQRT(T403*($G$10-$E$10)*($F$10-$E$10)),$G$10-SQRT((1-T403)*($G$10-$E$10)*($G$10-$F$10))))</f>
        <v>1.03943790355485</v>
      </c>
      <c r="G403" s="52" t="n">
        <f aca="false">IF($G$11=$E$11,$F$11,IF(U403&lt;($F$11-$E$11)/($G$11-$E$11),$E$11+SQRT(U403*($G$11-$E$11)*($F$11-$E$11)),$G$11-SQRT((1-U403)*($G$11-$E$11)*($G$11-$F$11))))</f>
        <v>0.0979441628192489</v>
      </c>
      <c r="H403" s="53" t="n">
        <f aca="false">(('Business Case'!B11*$C403*'Business Case'!B12*$B403)-'Business Case'!B11*$C403*'Business Case'!B13*$D403-'Business Case'!B14*$E403)-MAX(0,(('Business Case'!B11*$C403*'Business Case'!B12*$B403)-'Business Case'!B11*$C403*'Business Case'!B13*$D403-'Business Case'!B14*$E403))*'Business Case'!$B$7-'Business Case'!$B$8*('Business Case'!B11*$C403*'Business Case'!B12*$B403)-'Business Case'!B15*$F403</f>
        <v>-2078875807.1097</v>
      </c>
      <c r="I403" s="53" t="n">
        <f aca="false">(('Business Case'!C11*$C403*'Business Case'!C12*$B403)-'Business Case'!C11*$C403*'Business Case'!C13*$D403-'Business Case'!C14*$E403)-MAX(0,(('Business Case'!C11*$C403*'Business Case'!C12*$B403)-'Business Case'!C11*$C403*'Business Case'!C13*$D403-'Business Case'!C14*$E403))*'Business Case'!$B$7-'Business Case'!$B$8*(('Business Case'!C11*$C403*'Business Case'!C12*$B403)-('Business Case'!B11*$C403*'Business Case'!B12*$B403))-'Business Case'!C15*$F403</f>
        <v>862732.805330768</v>
      </c>
      <c r="J403" s="53" t="n">
        <f aca="false">(('Business Case'!D11*$C403*'Business Case'!D12*$B403)-'Business Case'!D11*$C403*'Business Case'!D13*$D403-'Business Case'!D14*$E403)-MAX(0,(('Business Case'!D11*$C403*'Business Case'!D12*$B403)-'Business Case'!D11*$C403*'Business Case'!D13*$D403-'Business Case'!D14*$E403))*'Business Case'!$B$7-'Business Case'!$B$8*(('Business Case'!D11*$C403*'Business Case'!D12*$B403)-('Business Case'!C11*$C403*'Business Case'!C12*$B403))-'Business Case'!D15*$F403</f>
        <v>305045546.850828</v>
      </c>
      <c r="K403" s="53" t="n">
        <f aca="false">(('Business Case'!E11*$C403*'Business Case'!E12*$B403)-'Business Case'!E11*$C403*'Business Case'!E13*$D403-'Business Case'!E14*$E403)-MAX(0,(('Business Case'!E11*$C403*'Business Case'!E12*$B403)-'Business Case'!E11*$C403*'Business Case'!E13*$D403-'Business Case'!E14*$E403))*'Business Case'!$B$7-'Business Case'!$B$8*(('Business Case'!E11*$C403*'Business Case'!E12*$B403)-('Business Case'!D11*$C403*'Business Case'!D12*$B403))-'Business Case'!E15*$F403</f>
        <v>661200256.074067</v>
      </c>
      <c r="L403" s="53" t="n">
        <f aca="false">(('Business Case'!F11*$C403*'Business Case'!F12*$B403)-'Business Case'!F11*$C403*'Business Case'!F13*$D403-'Business Case'!F14*$E403)-MAX(0,(('Business Case'!F11*$C403*'Business Case'!F12*$B403)-'Business Case'!F11*$C403*'Business Case'!F13*$D403-'Business Case'!F14*$E403))*'Business Case'!$B$7-'Business Case'!$B$8*(('Business Case'!F11*$C403*'Business Case'!F12*$B403)-('Business Case'!E11*$C403*'Business Case'!E12*$B403))-'Business Case'!F15*$F403</f>
        <v>797305630.496742</v>
      </c>
      <c r="M403" s="53" t="n">
        <f aca="false">(('Business Case'!G11*$C403*'Business Case'!G12*$B403)-'Business Case'!G11*$C403*'Business Case'!G13*$D403-'Business Case'!G14*$E403)-MAX(0,(('Business Case'!G11*$C403*'Business Case'!G12*$B403)-'Business Case'!G11*$C403*'Business Case'!G13*$D403-'Business Case'!G14*$E403))*'Business Case'!$B$7-'Business Case'!$B$8*(('Business Case'!G11*$C403*'Business Case'!G12*$B403)-('Business Case'!F11*$C403*'Business Case'!F12*$B403))-'Business Case'!G15*$F403+'Business Case'!$B$8*('Business Case'!G11*$C403*'Business Case'!G12*$B403)</f>
        <v>988216697.404708</v>
      </c>
      <c r="N403" s="53" t="n">
        <f aca="false">IF(COUNT('Business Case'!B11:G11)=0,"",H403+NPV(G403,I403:M403))</f>
        <v>-157444288.621866</v>
      </c>
      <c r="P403" s="54" t="n">
        <f aca="true">RAND()</f>
        <v>0.502721385588478</v>
      </c>
      <c r="Q403" s="54" t="n">
        <f aca="true">RAND()</f>
        <v>0.653167998375523</v>
      </c>
      <c r="R403" s="54" t="n">
        <f aca="true">RAND()</f>
        <v>0.351054471597051</v>
      </c>
      <c r="S403" s="54" t="n">
        <f aca="true">RAND()</f>
        <v>0.726359118511281</v>
      </c>
      <c r="T403" s="54" t="n">
        <f aca="true">RAND()</f>
        <v>0.484396263702771</v>
      </c>
      <c r="U403" s="54" t="n">
        <f aca="true">RAND()</f>
        <v>0.21036574299579</v>
      </c>
    </row>
    <row r="404" customFormat="false" ht="15" hidden="false" customHeight="false" outlineLevel="0" collapsed="false">
      <c r="A404" s="50" t="n">
        <v>324</v>
      </c>
      <c r="B404" s="51" t="n">
        <f aca="false">1+IF($G$6=$E$6,$F$6,IF(P404&lt;($F$6-$E$6)/($G$6-$E$6),$E$6+SQRT(P404*($G$6-$E$6)*($F$6-$E$6)),$G$6-SQRT((1-P404)*($G$6-$E$6)*($G$6-$F$6))))</f>
        <v>1.00066505425564</v>
      </c>
      <c r="C404" s="51" t="n">
        <f aca="false">1+IF($G$7=$E$7,$F$7,IF(Q404&lt;($F$7-$E$7)/($G$7-$E$7),$E$7+SQRT(Q404*($G$7-$E$7)*($F$7-$E$7)),$G$7-SQRT((1-Q404)*($G$7-$E$7)*($G$7-$F$7))))</f>
        <v>0.927906503171863</v>
      </c>
      <c r="D404" s="51" t="n">
        <f aca="false">1+IF($G$8=$E$8,$F$8,IF(R404&lt;($F$8-$E$8)/($G$8-$E$8),$E$8+SQRT(R404*($G$8-$E$8)*($F$8-$E$8)),$G$8-SQRT((1-R404)*($G$8-$E$8)*($G$8-$F$8))))</f>
        <v>1.02503072756711</v>
      </c>
      <c r="E404" s="51" t="n">
        <f aca="false">1+IF($G$9=$E$9,$F$9,IF(S404&lt;($F$9-$E$9)/($G$9-$E$9),$E$9+SQRT(S404*($G$9-$E$9)*($F$9-$E$9)),$G$9-SQRT((1-S404)*($G$9-$E$9)*($G$9-$F$9))))</f>
        <v>0.978454803031426</v>
      </c>
      <c r="F404" s="51" t="n">
        <f aca="false">1+IF($G$10=$E$10,$F$10,IF(T404&lt;($F$10-$E$10)/($G$10-$E$10),$E$10+SQRT(T404*($G$10-$E$10)*($F$10-$E$10)),$G$10-SQRT((1-T404)*($G$10-$E$10)*($G$10-$F$10))))</f>
        <v>1.1624712750186</v>
      </c>
      <c r="G404" s="52" t="n">
        <f aca="false">IF($G$11=$E$11,$F$11,IF(U404&lt;($F$11-$E$11)/($G$11-$E$11),$E$11+SQRT(U404*($G$11-$E$11)*($F$11-$E$11)),$G$11-SQRT((1-U404)*($G$11-$E$11)*($G$11-$F$11))))</f>
        <v>0.108623441712264</v>
      </c>
      <c r="H404" s="53" t="n">
        <f aca="false">(('Business Case'!B11*$C404*'Business Case'!B12*$B404)-'Business Case'!B11*$C404*'Business Case'!B13*$D404-'Business Case'!B14*$E404)-MAX(0,(('Business Case'!B11*$C404*'Business Case'!B12*$B404)-'Business Case'!B11*$C404*'Business Case'!B13*$D404-'Business Case'!B14*$E404))*'Business Case'!$B$7-'Business Case'!$B$8*('Business Case'!B11*$C404*'Business Case'!B12*$B404)-'Business Case'!B15*$F404</f>
        <v>-2324942550.03721</v>
      </c>
      <c r="I404" s="53" t="n">
        <f aca="false">(('Business Case'!C11*$C404*'Business Case'!C12*$B404)-'Business Case'!C11*$C404*'Business Case'!C13*$D404-'Business Case'!C14*$E404)-MAX(0,(('Business Case'!C11*$C404*'Business Case'!C12*$B404)-'Business Case'!C11*$C404*'Business Case'!C13*$D404-'Business Case'!C14*$E404))*'Business Case'!$B$7-'Business Case'!$B$8*(('Business Case'!C11*$C404*'Business Case'!C12*$B404)-('Business Case'!B11*$C404*'Business Case'!B12*$B404))-'Business Case'!C15*$F404</f>
        <v>-29894213.6695659</v>
      </c>
      <c r="J404" s="53" t="n">
        <f aca="false">(('Business Case'!D11*$C404*'Business Case'!D12*$B404)-'Business Case'!D11*$C404*'Business Case'!D13*$D404-'Business Case'!D14*$E404)-MAX(0,(('Business Case'!D11*$C404*'Business Case'!D12*$B404)-'Business Case'!D11*$C404*'Business Case'!D13*$D404-'Business Case'!D14*$E404))*'Business Case'!$B$7-'Business Case'!$B$8*(('Business Case'!D11*$C404*'Business Case'!D12*$B404)-('Business Case'!C11*$C404*'Business Case'!C12*$B404))-'Business Case'!D15*$F404</f>
        <v>243729637.165696</v>
      </c>
      <c r="K404" s="53" t="n">
        <f aca="false">(('Business Case'!E11*$C404*'Business Case'!E12*$B404)-'Business Case'!E11*$C404*'Business Case'!E13*$D404-'Business Case'!E14*$E404)-MAX(0,(('Business Case'!E11*$C404*'Business Case'!E12*$B404)-'Business Case'!E11*$C404*'Business Case'!E13*$D404-'Business Case'!E14*$E404))*'Business Case'!$B$7-'Business Case'!$B$8*(('Business Case'!E11*$C404*'Business Case'!E12*$B404)-('Business Case'!D11*$C404*'Business Case'!D12*$B404))-'Business Case'!E15*$F404</f>
        <v>575477051.751888</v>
      </c>
      <c r="L404" s="53" t="n">
        <f aca="false">(('Business Case'!F11*$C404*'Business Case'!F12*$B404)-'Business Case'!F11*$C404*'Business Case'!F13*$D404-'Business Case'!F14*$E404)-MAX(0,(('Business Case'!F11*$C404*'Business Case'!F12*$B404)-'Business Case'!F11*$C404*'Business Case'!F13*$D404-'Business Case'!F14*$E404))*'Business Case'!$B$7-'Business Case'!$B$8*(('Business Case'!F11*$C404*'Business Case'!F12*$B404)-('Business Case'!E11*$C404*'Business Case'!E12*$B404))-'Business Case'!F15*$F404</f>
        <v>698774778.038241</v>
      </c>
      <c r="M404" s="53" t="n">
        <f aca="false">(('Business Case'!G11*$C404*'Business Case'!G12*$B404)-'Business Case'!G11*$C404*'Business Case'!G13*$D404-'Business Case'!G14*$E404)-MAX(0,(('Business Case'!G11*$C404*'Business Case'!G12*$B404)-'Business Case'!G11*$C404*'Business Case'!G13*$D404-'Business Case'!G14*$E404))*'Business Case'!$B$7-'Business Case'!$B$8*(('Business Case'!G11*$C404*'Business Case'!G12*$B404)-('Business Case'!F11*$C404*'Business Case'!F12*$B404))-'Business Case'!G15*$F404+'Business Case'!$B$8*('Business Case'!G11*$C404*'Business Case'!G12*$B404)</f>
        <v>875268546.081868</v>
      </c>
      <c r="N404" s="53" t="n">
        <f aca="false">IF(COUNT('Business Case'!B11:G11)=0,"",H404+NPV(G404,I404:M404))</f>
        <v>-745989279.819144</v>
      </c>
      <c r="P404" s="54" t="n">
        <f aca="true">RAND()</f>
        <v>0.677658759018381</v>
      </c>
      <c r="Q404" s="54" t="n">
        <f aca="true">RAND()</f>
        <v>0.233715336480768</v>
      </c>
      <c r="R404" s="54" t="n">
        <f aca="true">RAND()</f>
        <v>0.709459527711378</v>
      </c>
      <c r="S404" s="54" t="n">
        <f aca="true">RAND()</f>
        <v>0.107956775407634</v>
      </c>
      <c r="T404" s="54" t="n">
        <f aca="true">RAND()</f>
        <v>0.971831896025414</v>
      </c>
      <c r="U404" s="54" t="n">
        <f aca="true">RAND()</f>
        <v>0.784289869209579</v>
      </c>
    </row>
    <row r="405" customFormat="false" ht="15" hidden="false" customHeight="false" outlineLevel="0" collapsed="false">
      <c r="A405" s="50" t="n">
        <v>325</v>
      </c>
      <c r="B405" s="51" t="n">
        <f aca="false">1+IF($G$6=$E$6,$F$6,IF(P405&lt;($F$6-$E$6)/($G$6-$E$6),$E$6+SQRT(P405*($G$6-$E$6)*($F$6-$E$6)),$G$6-SQRT((1-P405)*($G$6-$E$6)*($G$6-$F$6))))</f>
        <v>0.965762118976233</v>
      </c>
      <c r="C405" s="51" t="n">
        <f aca="false">1+IF($G$7=$E$7,$F$7,IF(Q405&lt;($F$7-$E$7)/($G$7-$E$7),$E$7+SQRT(Q405*($G$7-$E$7)*($F$7-$E$7)),$G$7-SQRT((1-Q405)*($G$7-$E$7)*($G$7-$F$7))))</f>
        <v>0.849486952757212</v>
      </c>
      <c r="D405" s="51" t="n">
        <f aca="false">1+IF($G$8=$E$8,$F$8,IF(R405&lt;($F$8-$E$8)/($G$8-$E$8),$E$8+SQRT(R405*($G$8-$E$8)*($F$8-$E$8)),$G$8-SQRT((1-R405)*($G$8-$E$8)*($G$8-$F$8))))</f>
        <v>0.952205168800072</v>
      </c>
      <c r="E405" s="51" t="n">
        <f aca="false">1+IF($G$9=$E$9,$F$9,IF(S405&lt;($F$9-$E$9)/($G$9-$E$9),$E$9+SQRT(S405*($G$9-$E$9)*($F$9-$E$9)),$G$9-SQRT((1-S405)*($G$9-$E$9)*($G$9-$F$9))))</f>
        <v>0.999536835110751</v>
      </c>
      <c r="F405" s="51" t="n">
        <f aca="false">1+IF($G$10=$E$10,$F$10,IF(T405&lt;($F$10-$E$10)/($G$10-$E$10),$E$10+SQRT(T405*($G$10-$E$10)*($F$10-$E$10)),$G$10-SQRT((1-T405)*($G$10-$E$10)*($G$10-$F$10))))</f>
        <v>1.14537478980647</v>
      </c>
      <c r="G405" s="52" t="n">
        <f aca="false">IF($G$11=$E$11,$F$11,IF(U405&lt;($F$11-$E$11)/($G$11-$E$11),$E$11+SQRT(U405*($G$11-$E$11)*($F$11-$E$11)),$G$11-SQRT((1-U405)*($G$11-$E$11)*($G$11-$F$11))))</f>
        <v>0.102284581985702</v>
      </c>
      <c r="H405" s="53" t="n">
        <f aca="false">(('Business Case'!B11*$C405*'Business Case'!B12*$B405)-'Business Case'!B11*$C405*'Business Case'!B13*$D405-'Business Case'!B14*$E405)-MAX(0,(('Business Case'!B11*$C405*'Business Case'!B12*$B405)-'Business Case'!B11*$C405*'Business Case'!B13*$D405-'Business Case'!B14*$E405))*'Business Case'!$B$7-'Business Case'!$B$8*('Business Case'!B11*$C405*'Business Case'!B12*$B405)-'Business Case'!B15*$F405</f>
        <v>-2290749579.61294</v>
      </c>
      <c r="I405" s="53" t="n">
        <f aca="false">(('Business Case'!C11*$C405*'Business Case'!C12*$B405)-'Business Case'!C11*$C405*'Business Case'!C13*$D405-'Business Case'!C14*$E405)-MAX(0,(('Business Case'!C11*$C405*'Business Case'!C12*$B405)-'Business Case'!C11*$C405*'Business Case'!C13*$D405-'Business Case'!C14*$E405))*'Business Case'!$B$7-'Business Case'!$B$8*(('Business Case'!C11*$C405*'Business Case'!C12*$B405)-('Business Case'!B11*$C405*'Business Case'!B12*$B405))-'Business Case'!C15*$F405</f>
        <v>-41317557.6693892</v>
      </c>
      <c r="J405" s="53" t="n">
        <f aca="false">(('Business Case'!D11*$C405*'Business Case'!D12*$B405)-'Business Case'!D11*$C405*'Business Case'!D13*$D405-'Business Case'!D14*$E405)-MAX(0,(('Business Case'!D11*$C405*'Business Case'!D12*$B405)-'Business Case'!D11*$C405*'Business Case'!D13*$D405-'Business Case'!D14*$E405))*'Business Case'!$B$7-'Business Case'!$B$8*(('Business Case'!D11*$C405*'Business Case'!D12*$B405)-('Business Case'!C11*$C405*'Business Case'!C12*$B405))-'Business Case'!D15*$F405</f>
        <v>216566157.83944</v>
      </c>
      <c r="K405" s="53" t="n">
        <f aca="false">(('Business Case'!E11*$C405*'Business Case'!E12*$B405)-'Business Case'!E11*$C405*'Business Case'!E13*$D405-'Business Case'!E14*$E405)-MAX(0,(('Business Case'!E11*$C405*'Business Case'!E12*$B405)-'Business Case'!E11*$C405*'Business Case'!E13*$D405-'Business Case'!E14*$E405))*'Business Case'!$B$7-'Business Case'!$B$8*(('Business Case'!E11*$C405*'Business Case'!E12*$B405)-('Business Case'!D11*$C405*'Business Case'!D12*$B405))-'Business Case'!E15*$F405</f>
        <v>531718612.838593</v>
      </c>
      <c r="L405" s="53" t="n">
        <f aca="false">(('Business Case'!F11*$C405*'Business Case'!F12*$B405)-'Business Case'!F11*$C405*'Business Case'!F13*$D405-'Business Case'!F14*$E405)-MAX(0,(('Business Case'!F11*$C405*'Business Case'!F12*$B405)-'Business Case'!F11*$C405*'Business Case'!F13*$D405-'Business Case'!F14*$E405))*'Business Case'!$B$7-'Business Case'!$B$8*(('Business Case'!F11*$C405*'Business Case'!F12*$B405)-('Business Case'!E11*$C405*'Business Case'!E12*$B405))-'Business Case'!F15*$F405</f>
        <v>646032955.504751</v>
      </c>
      <c r="M405" s="53" t="n">
        <f aca="false">(('Business Case'!G11*$C405*'Business Case'!G12*$B405)-'Business Case'!G11*$C405*'Business Case'!G13*$D405-'Business Case'!G14*$E405)-MAX(0,(('Business Case'!G11*$C405*'Business Case'!G12*$B405)-'Business Case'!G11*$C405*'Business Case'!G13*$D405-'Business Case'!G14*$E405))*'Business Case'!$B$7-'Business Case'!$B$8*(('Business Case'!G11*$C405*'Business Case'!G12*$B405)-('Business Case'!F11*$C405*'Business Case'!F12*$B405))-'Business Case'!G15*$F405+'Business Case'!$B$8*('Business Case'!G11*$C405*'Business Case'!G12*$B405)</f>
        <v>801975028.402433</v>
      </c>
      <c r="N405" s="53" t="n">
        <f aca="false">IF(COUNT('Business Case'!B11:G11)=0,"",H405+NPV(G405,I405:M405))</f>
        <v>-822557877.557856</v>
      </c>
      <c r="P405" s="54" t="n">
        <f aca="true">RAND()</f>
        <v>0.218142868041134</v>
      </c>
      <c r="Q405" s="54" t="n">
        <f aca="true">RAND()</f>
        <v>0.0349851213313507</v>
      </c>
      <c r="R405" s="54" t="n">
        <f aca="true">RAND()</f>
        <v>0.000748118374893808</v>
      </c>
      <c r="S405" s="54" t="n">
        <f aca="true">RAND()</f>
        <v>0.327186404371967</v>
      </c>
      <c r="T405" s="54" t="n">
        <f aca="true">RAND()</f>
        <v>0.940321728226256</v>
      </c>
      <c r="U405" s="54" t="n">
        <f aca="true">RAND()</f>
        <v>0.476939940964491</v>
      </c>
    </row>
    <row r="406" customFormat="false" ht="15" hidden="false" customHeight="false" outlineLevel="0" collapsed="false">
      <c r="A406" s="50" t="n">
        <v>326</v>
      </c>
      <c r="B406" s="51" t="n">
        <f aca="false">1+IF($G$6=$E$6,$F$6,IF(P406&lt;($F$6-$E$6)/($G$6-$E$6),$E$6+SQRT(P406*($G$6-$E$6)*($F$6-$E$6)),$G$6-SQRT((1-P406)*($G$6-$E$6)*($G$6-$F$6))))</f>
        <v>1.01896549834971</v>
      </c>
      <c r="C406" s="51" t="n">
        <f aca="false">1+IF($G$7=$E$7,$F$7,IF(Q406&lt;($F$7-$E$7)/($G$7-$E$7),$E$7+SQRT(Q406*($G$7-$E$7)*($F$7-$E$7)),$G$7-SQRT((1-Q406)*($G$7-$E$7)*($G$7-$F$7))))</f>
        <v>0.977987319887155</v>
      </c>
      <c r="D406" s="51" t="n">
        <f aca="false">1+IF($G$8=$E$8,$F$8,IF(R406&lt;($F$8-$E$8)/($G$8-$E$8),$E$8+SQRT(R406*($G$8-$E$8)*($F$8-$E$8)),$G$8-SQRT((1-R406)*($G$8-$E$8)*($G$8-$F$8))))</f>
        <v>1.00370240058145</v>
      </c>
      <c r="E406" s="51" t="n">
        <f aca="false">1+IF($G$9=$E$9,$F$9,IF(S406&lt;($F$9-$E$9)/($G$9-$E$9),$E$9+SQRT(S406*($G$9-$E$9)*($F$9-$E$9)),$G$9-SQRT((1-S406)*($G$9-$E$9)*($G$9-$F$9))))</f>
        <v>0.994773100274027</v>
      </c>
      <c r="F406" s="51" t="n">
        <f aca="false">1+IF($G$10=$E$10,$F$10,IF(T406&lt;($F$10-$E$10)/($G$10-$E$10),$E$10+SQRT(T406*($G$10-$E$10)*($F$10-$E$10)),$G$10-SQRT((1-T406)*($G$10-$E$10)*($G$10-$F$10))))</f>
        <v>1.03533641870126</v>
      </c>
      <c r="G406" s="52" t="n">
        <f aca="false">IF($G$11=$E$11,$F$11,IF(U406&lt;($F$11-$E$11)/($G$11-$E$11),$E$11+SQRT(U406*($G$11-$E$11)*($F$11-$E$11)),$G$11-SQRT((1-U406)*($G$11-$E$11)*($G$11-$F$11))))</f>
        <v>0.103162284834857</v>
      </c>
      <c r="H406" s="53" t="n">
        <f aca="false">(('Business Case'!B11*$C406*'Business Case'!B12*$B406)-'Business Case'!B11*$C406*'Business Case'!B13*$D406-'Business Case'!B14*$E406)-MAX(0,(('Business Case'!B11*$C406*'Business Case'!B12*$B406)-'Business Case'!B11*$C406*'Business Case'!B13*$D406-'Business Case'!B14*$E406))*'Business Case'!$B$7-'Business Case'!$B$8*('Business Case'!B11*$C406*'Business Case'!B12*$B406)-'Business Case'!B15*$F406</f>
        <v>-2070672837.40252</v>
      </c>
      <c r="I406" s="53" t="n">
        <f aca="false">(('Business Case'!C11*$C406*'Business Case'!C12*$B406)-'Business Case'!C11*$C406*'Business Case'!C13*$D406-'Business Case'!C14*$E406)-MAX(0,(('Business Case'!C11*$C406*'Business Case'!C12*$B406)-'Business Case'!C11*$C406*'Business Case'!C13*$D406-'Business Case'!C14*$E406))*'Business Case'!$B$7-'Business Case'!$B$8*(('Business Case'!C11*$C406*'Business Case'!C12*$B406)-('Business Case'!B11*$C406*'Business Case'!B12*$B406))-'Business Case'!C15*$F406</f>
        <v>17078542.4405065</v>
      </c>
      <c r="J406" s="53" t="n">
        <f aca="false">(('Business Case'!D11*$C406*'Business Case'!D12*$B406)-'Business Case'!D11*$C406*'Business Case'!D13*$D406-'Business Case'!D14*$E406)-MAX(0,(('Business Case'!D11*$C406*'Business Case'!D12*$B406)-'Business Case'!D11*$C406*'Business Case'!D13*$D406-'Business Case'!D14*$E406))*'Business Case'!$B$7-'Business Case'!$B$8*(('Business Case'!D11*$C406*'Business Case'!D12*$B406)-('Business Case'!C11*$C406*'Business Case'!C12*$B406))-'Business Case'!D15*$F406</f>
        <v>330807853.469222</v>
      </c>
      <c r="K406" s="53" t="n">
        <f aca="false">(('Business Case'!E11*$C406*'Business Case'!E12*$B406)-'Business Case'!E11*$C406*'Business Case'!E13*$D406-'Business Case'!E14*$E406)-MAX(0,(('Business Case'!E11*$C406*'Business Case'!E12*$B406)-'Business Case'!E11*$C406*'Business Case'!E13*$D406-'Business Case'!E14*$E406))*'Business Case'!$B$7-'Business Case'!$B$8*(('Business Case'!E11*$C406*'Business Case'!E12*$B406)-('Business Case'!D11*$C406*'Business Case'!D12*$B406))-'Business Case'!E15*$F406</f>
        <v>696303985.433</v>
      </c>
      <c r="L406" s="53" t="n">
        <f aca="false">(('Business Case'!F11*$C406*'Business Case'!F12*$B406)-'Business Case'!F11*$C406*'Business Case'!F13*$D406-'Business Case'!F14*$E406)-MAX(0,(('Business Case'!F11*$C406*'Business Case'!F12*$B406)-'Business Case'!F11*$C406*'Business Case'!F13*$D406-'Business Case'!F14*$E406))*'Business Case'!$B$7-'Business Case'!$B$8*(('Business Case'!F11*$C406*'Business Case'!F12*$B406)-('Business Case'!E11*$C406*'Business Case'!E12*$B406))-'Business Case'!F15*$F406</f>
        <v>835320683.681983</v>
      </c>
      <c r="M406" s="53" t="n">
        <f aca="false">(('Business Case'!G11*$C406*'Business Case'!G12*$B406)-'Business Case'!G11*$C406*'Business Case'!G13*$D406-'Business Case'!G14*$E406)-MAX(0,(('Business Case'!G11*$C406*'Business Case'!G12*$B406)-'Business Case'!G11*$C406*'Business Case'!G13*$D406-'Business Case'!G14*$E406))*'Business Case'!$B$7-'Business Case'!$B$8*(('Business Case'!G11*$C406*'Business Case'!G12*$B406)-('Business Case'!F11*$C406*'Business Case'!F12*$B406))-'Business Case'!G15*$F406+'Business Case'!$B$8*('Business Case'!G11*$C406*'Business Case'!G12*$B406)</f>
        <v>1024742120.49874</v>
      </c>
      <c r="N406" s="53" t="n">
        <f aca="false">IF(COUNT('Business Case'!B11:G11)=0,"",H406+NPV(G406,I406:M406))</f>
        <v>-73466073.3419492</v>
      </c>
      <c r="P406" s="54" t="n">
        <f aca="true">RAND()</f>
        <v>0.907822862567513</v>
      </c>
      <c r="Q406" s="54" t="n">
        <f aca="true">RAND()</f>
        <v>0.452564086294462</v>
      </c>
      <c r="R406" s="54" t="n">
        <f aca="true">RAND()</f>
        <v>0.440257338746719</v>
      </c>
      <c r="S406" s="54" t="n">
        <f aca="true">RAND()</f>
        <v>0.267284067753075</v>
      </c>
      <c r="T406" s="54" t="n">
        <f aca="true">RAND()</f>
        <v>0.457718099877453</v>
      </c>
      <c r="U406" s="54" t="n">
        <f aca="true">RAND()</f>
        <v>0.527485580029188</v>
      </c>
    </row>
    <row r="407" customFormat="false" ht="15" hidden="false" customHeight="false" outlineLevel="0" collapsed="false">
      <c r="A407" s="50" t="n">
        <v>327</v>
      </c>
      <c r="B407" s="51" t="n">
        <f aca="false">1+IF($G$6=$E$6,$F$6,IF(P407&lt;($F$6-$E$6)/($G$6-$E$6),$E$6+SQRT(P407*($G$6-$E$6)*($F$6-$E$6)),$G$6-SQRT((1-P407)*($G$6-$E$6)*($G$6-$F$6))))</f>
        <v>0.989522762992738</v>
      </c>
      <c r="C407" s="51" t="n">
        <f aca="false">1+IF($G$7=$E$7,$F$7,IF(Q407&lt;($F$7-$E$7)/($G$7-$E$7),$E$7+SQRT(Q407*($G$7-$E$7)*($F$7-$E$7)),$G$7-SQRT((1-Q407)*($G$7-$E$7)*($G$7-$F$7))))</f>
        <v>1.00951861829527</v>
      </c>
      <c r="D407" s="51" t="n">
        <f aca="false">1+IF($G$8=$E$8,$F$8,IF(R407&lt;($F$8-$E$8)/($G$8-$E$8),$E$8+SQRT(R407*($G$8-$E$8)*($F$8-$E$8)),$G$8-SQRT((1-R407)*($G$8-$E$8)*($G$8-$F$8))))</f>
        <v>0.99844995742563</v>
      </c>
      <c r="E407" s="51" t="n">
        <f aca="false">1+IF($G$9=$E$9,$F$9,IF(S407&lt;($F$9-$E$9)/($G$9-$E$9),$E$9+SQRT(S407*($G$9-$E$9)*($F$9-$E$9)),$G$9-SQRT((1-S407)*($G$9-$E$9)*($G$9-$F$9))))</f>
        <v>1.0851142533515</v>
      </c>
      <c r="F407" s="51" t="n">
        <f aca="false">1+IF($G$10=$E$10,$F$10,IF(T407&lt;($F$10-$E$10)/($G$10-$E$10),$E$10+SQRT(T407*($G$10-$E$10)*($F$10-$E$10)),$G$10-SQRT((1-T407)*($G$10-$E$10)*($G$10-$F$10))))</f>
        <v>0.979790026215679</v>
      </c>
      <c r="G407" s="52" t="n">
        <f aca="false">IF($G$11=$E$11,$F$11,IF(U407&lt;($F$11-$E$11)/($G$11-$E$11),$E$11+SQRT(U407*($G$11-$E$11)*($F$11-$E$11)),$G$11-SQRT((1-U407)*($G$11-$E$11)*($G$11-$F$11))))</f>
        <v>0.112876123335501</v>
      </c>
      <c r="H407" s="53" t="n">
        <f aca="false">(('Business Case'!B11*$C407*'Business Case'!B12*$B407)-'Business Case'!B11*$C407*'Business Case'!B13*$D407-'Business Case'!B14*$E407)-MAX(0,(('Business Case'!B11*$C407*'Business Case'!B12*$B407)-'Business Case'!B11*$C407*'Business Case'!B13*$D407-'Business Case'!B14*$E407))*'Business Case'!$B$7-'Business Case'!$B$8*('Business Case'!B11*$C407*'Business Case'!B12*$B407)-'Business Case'!B15*$F407</f>
        <v>-1959580052.43136</v>
      </c>
      <c r="I407" s="53" t="n">
        <f aca="false">(('Business Case'!C11*$C407*'Business Case'!C12*$B407)-'Business Case'!C11*$C407*'Business Case'!C13*$D407-'Business Case'!C14*$E407)-MAX(0,(('Business Case'!C11*$C407*'Business Case'!C12*$B407)-'Business Case'!C11*$C407*'Business Case'!C13*$D407-'Business Case'!C14*$E407))*'Business Case'!$B$7-'Business Case'!$B$8*(('Business Case'!C11*$C407*'Business Case'!C12*$B407)-('Business Case'!B11*$C407*'Business Case'!B12*$B407))-'Business Case'!C15*$F407</f>
        <v>-1853967.8221273</v>
      </c>
      <c r="J407" s="53" t="n">
        <f aca="false">(('Business Case'!D11*$C407*'Business Case'!D12*$B407)-'Business Case'!D11*$C407*'Business Case'!D13*$D407-'Business Case'!D14*$E407)-MAX(0,(('Business Case'!D11*$C407*'Business Case'!D12*$B407)-'Business Case'!D11*$C407*'Business Case'!D13*$D407-'Business Case'!D14*$E407))*'Business Case'!$B$7-'Business Case'!$B$8*(('Business Case'!D11*$C407*'Business Case'!D12*$B407)-('Business Case'!C11*$C407*'Business Case'!C12*$B407))-'Business Case'!D15*$F407</f>
        <v>300359449.067845</v>
      </c>
      <c r="K407" s="53" t="n">
        <f aca="false">(('Business Case'!E11*$C407*'Business Case'!E12*$B407)-'Business Case'!E11*$C407*'Business Case'!E13*$D407-'Business Case'!E14*$E407)-MAX(0,(('Business Case'!E11*$C407*'Business Case'!E12*$B407)-'Business Case'!E11*$C407*'Business Case'!E13*$D407-'Business Case'!E14*$E407))*'Business Case'!$B$7-'Business Case'!$B$8*(('Business Case'!E11*$C407*'Business Case'!E12*$B407)-('Business Case'!D11*$C407*'Business Case'!D12*$B407))-'Business Case'!E15*$F407</f>
        <v>651562367.268601</v>
      </c>
      <c r="L407" s="53" t="n">
        <f aca="false">(('Business Case'!F11*$C407*'Business Case'!F12*$B407)-'Business Case'!F11*$C407*'Business Case'!F13*$D407-'Business Case'!F14*$E407)-MAX(0,(('Business Case'!F11*$C407*'Business Case'!F12*$B407)-'Business Case'!F11*$C407*'Business Case'!F13*$D407-'Business Case'!F14*$E407))*'Business Case'!$B$7-'Business Case'!$B$8*(('Business Case'!F11*$C407*'Business Case'!F12*$B407)-('Business Case'!E11*$C407*'Business Case'!E12*$B407))-'Business Case'!F15*$F407</f>
        <v>786823596.407891</v>
      </c>
      <c r="M407" s="53" t="n">
        <f aca="false">(('Business Case'!G11*$C407*'Business Case'!G12*$B407)-'Business Case'!G11*$C407*'Business Case'!G13*$D407-'Business Case'!G14*$E407)-MAX(0,(('Business Case'!G11*$C407*'Business Case'!G12*$B407)-'Business Case'!G11*$C407*'Business Case'!G13*$D407-'Business Case'!G14*$E407))*'Business Case'!$B$7-'Business Case'!$B$8*(('Business Case'!G11*$C407*'Business Case'!G12*$B407)-('Business Case'!F11*$C407*'Business Case'!F12*$B407))-'Business Case'!G15*$F407+'Business Case'!$B$8*('Business Case'!G11*$C407*'Business Case'!G12*$B407)</f>
        <v>976702425.709036</v>
      </c>
      <c r="N407" s="53" t="n">
        <f aca="false">IF(COUNT('Business Case'!B11:G11)=0,"",H407+NPV(G407,I407:M407))</f>
        <v>-160851566.499119</v>
      </c>
      <c r="P407" s="54" t="n">
        <f aca="true">RAND()</f>
        <v>0.503480684806704</v>
      </c>
      <c r="Q407" s="54" t="n">
        <f aca="true">RAND()</f>
        <v>0.62409488370153</v>
      </c>
      <c r="R407" s="54" t="n">
        <f aca="true">RAND()</f>
        <v>0.361138211468522</v>
      </c>
      <c r="S407" s="54" t="n">
        <f aca="true">RAND()</f>
        <v>0.985227636447773</v>
      </c>
      <c r="T407" s="54" t="n">
        <f aca="true">RAND()</f>
        <v>0.0709956529544668</v>
      </c>
      <c r="U407" s="54" t="n">
        <f aca="true">RAND()</f>
        <v>0.915417302115012</v>
      </c>
    </row>
    <row r="408" customFormat="false" ht="15" hidden="false" customHeight="false" outlineLevel="0" collapsed="false">
      <c r="A408" s="50" t="n">
        <v>328</v>
      </c>
      <c r="B408" s="51" t="n">
        <f aca="false">1+IF($G$6=$E$6,$F$6,IF(P408&lt;($F$6-$E$6)/($G$6-$E$6),$E$6+SQRT(P408*($G$6-$E$6)*($F$6-$E$6)),$G$6-SQRT((1-P408)*($G$6-$E$6)*($G$6-$F$6))))</f>
        <v>0.967234538281721</v>
      </c>
      <c r="C408" s="51" t="n">
        <f aca="false">1+IF($G$7=$E$7,$F$7,IF(Q408&lt;($F$7-$E$7)/($G$7-$E$7),$E$7+SQRT(Q408*($G$7-$E$7)*($F$7-$E$7)),$G$7-SQRT((1-Q408)*($G$7-$E$7)*($G$7-$F$7))))</f>
        <v>0.887569289814264</v>
      </c>
      <c r="D408" s="51" t="n">
        <f aca="false">1+IF($G$8=$E$8,$F$8,IF(R408&lt;($F$8-$E$8)/($G$8-$E$8),$E$8+SQRT(R408*($G$8-$E$8)*($F$8-$E$8)),$G$8-SQRT((1-R408)*($G$8-$E$8)*($G$8-$F$8))))</f>
        <v>1.02449003919132</v>
      </c>
      <c r="E408" s="51" t="n">
        <f aca="false">1+IF($G$9=$E$9,$F$9,IF(S408&lt;($F$9-$E$9)/($G$9-$E$9),$E$9+SQRT(S408*($G$9-$E$9)*($F$9-$E$9)),$G$9-SQRT((1-S408)*($G$9-$E$9)*($G$9-$F$9))))</f>
        <v>1.05062935537556</v>
      </c>
      <c r="F408" s="51" t="n">
        <f aca="false">1+IF($G$10=$E$10,$F$10,IF(T408&lt;($F$10-$E$10)/($G$10-$E$10),$E$10+SQRT(T408*($G$10-$E$10)*($F$10-$E$10)),$G$10-SQRT((1-T408)*($G$10-$E$10)*($G$10-$F$10))))</f>
        <v>1.01177358655922</v>
      </c>
      <c r="G408" s="52" t="n">
        <f aca="false">IF($G$11=$E$11,$F$11,IF(U408&lt;($F$11-$E$11)/($G$11-$E$11),$E$11+SQRT(U408*($G$11-$E$11)*($F$11-$E$11)),$G$11-SQRT((1-U408)*($G$11-$E$11)*($G$11-$F$11))))</f>
        <v>0.0972748370013904</v>
      </c>
      <c r="H408" s="53" t="n">
        <f aca="false">(('Business Case'!B11*$C408*'Business Case'!B12*$B408)-'Business Case'!B11*$C408*'Business Case'!B13*$D408-'Business Case'!B14*$E408)-MAX(0,(('Business Case'!B11*$C408*'Business Case'!B12*$B408)-'Business Case'!B11*$C408*'Business Case'!B13*$D408-'Business Case'!B14*$E408))*'Business Case'!$B$7-'Business Case'!$B$8*('Business Case'!B11*$C408*'Business Case'!B12*$B408)-'Business Case'!B15*$F408</f>
        <v>-2023547173.11845</v>
      </c>
      <c r="I408" s="53" t="n">
        <f aca="false">(('Business Case'!C11*$C408*'Business Case'!C12*$B408)-'Business Case'!C11*$C408*'Business Case'!C13*$D408-'Business Case'!C14*$E408)-MAX(0,(('Business Case'!C11*$C408*'Business Case'!C12*$B408)-'Business Case'!C11*$C408*'Business Case'!C13*$D408-'Business Case'!C14*$E408))*'Business Case'!$B$7-'Business Case'!$B$8*(('Business Case'!C11*$C408*'Business Case'!C12*$B408)-('Business Case'!B11*$C408*'Business Case'!B12*$B408))-'Business Case'!C15*$F408</f>
        <v>-57409513.7923936</v>
      </c>
      <c r="J408" s="53" t="n">
        <f aca="false">(('Business Case'!D11*$C408*'Business Case'!D12*$B408)-'Business Case'!D11*$C408*'Business Case'!D13*$D408-'Business Case'!D14*$E408)-MAX(0,(('Business Case'!D11*$C408*'Business Case'!D12*$B408)-'Business Case'!D11*$C408*'Business Case'!D13*$D408-'Business Case'!D14*$E408))*'Business Case'!$B$7-'Business Case'!$B$8*(('Business Case'!D11*$C408*'Business Case'!D12*$B408)-('Business Case'!C11*$C408*'Business Case'!C12*$B408))-'Business Case'!D15*$F408</f>
        <v>180261826.333763</v>
      </c>
      <c r="K408" s="53" t="n">
        <f aca="false">(('Business Case'!E11*$C408*'Business Case'!E12*$B408)-'Business Case'!E11*$C408*'Business Case'!E13*$D408-'Business Case'!E14*$E408)-MAX(0,(('Business Case'!E11*$C408*'Business Case'!E12*$B408)-'Business Case'!E11*$C408*'Business Case'!E13*$D408-'Business Case'!E14*$E408))*'Business Case'!$B$7-'Business Case'!$B$8*(('Business Case'!E11*$C408*'Business Case'!E12*$B408)-('Business Case'!D11*$C408*'Business Case'!D12*$B408))-'Business Case'!E15*$F408</f>
        <v>468521845.787882</v>
      </c>
      <c r="L408" s="53" t="n">
        <f aca="false">(('Business Case'!F11*$C408*'Business Case'!F12*$B408)-'Business Case'!F11*$C408*'Business Case'!F13*$D408-'Business Case'!F14*$E408)-MAX(0,(('Business Case'!F11*$C408*'Business Case'!F12*$B408)-'Business Case'!F11*$C408*'Business Case'!F13*$D408-'Business Case'!F14*$E408))*'Business Case'!$B$7-'Business Case'!$B$8*(('Business Case'!F11*$C408*'Business Case'!F12*$B408)-('Business Case'!E11*$C408*'Business Case'!E12*$B408))-'Business Case'!F15*$F408</f>
        <v>577414959.782084</v>
      </c>
      <c r="M408" s="53" t="n">
        <f aca="false">(('Business Case'!G11*$C408*'Business Case'!G12*$B408)-'Business Case'!G11*$C408*'Business Case'!G13*$D408-'Business Case'!G14*$E408)-MAX(0,(('Business Case'!G11*$C408*'Business Case'!G12*$B408)-'Business Case'!G11*$C408*'Business Case'!G13*$D408-'Business Case'!G14*$E408))*'Business Case'!$B$7-'Business Case'!$B$8*(('Business Case'!G11*$C408*'Business Case'!G12*$B408)-('Business Case'!F11*$C408*'Business Case'!F12*$B408))-'Business Case'!G15*$F408+'Business Case'!$B$8*('Business Case'!G11*$C408*'Business Case'!G12*$B408)</f>
        <v>740596296.518903</v>
      </c>
      <c r="N408" s="53" t="n">
        <f aca="false">IF(COUNT('Business Case'!B11:G11)=0,"",H408+NPV(G408,I408:M408))</f>
        <v>-707607444.457652</v>
      </c>
      <c r="P408" s="54" t="n">
        <f aca="true">RAND()</f>
        <v>0.232406417363265</v>
      </c>
      <c r="Q408" s="54" t="n">
        <f aca="true">RAND()</f>
        <v>0.109548293122493</v>
      </c>
      <c r="R408" s="54" t="n">
        <f aca="true">RAND()</f>
        <v>0.703715793367187</v>
      </c>
      <c r="S408" s="54" t="n">
        <f aca="true">RAND()</f>
        <v>0.837502629957817</v>
      </c>
      <c r="T408" s="54" t="n">
        <f aca="true">RAND()</f>
        <v>0.291416345664442</v>
      </c>
      <c r="U408" s="54" t="n">
        <f aca="true">RAND()</f>
        <v>0.176410844655997</v>
      </c>
    </row>
    <row r="409" customFormat="false" ht="15" hidden="false" customHeight="false" outlineLevel="0" collapsed="false">
      <c r="A409" s="50" t="n">
        <v>329</v>
      </c>
      <c r="B409" s="51" t="n">
        <f aca="false">1+IF($G$6=$E$6,$F$6,IF(P409&lt;($F$6-$E$6)/($G$6-$E$6),$E$6+SQRT(P409*($G$6-$E$6)*($F$6-$E$6)),$G$6-SQRT((1-P409)*($G$6-$E$6)*($G$6-$F$6))))</f>
        <v>1.02203543746037</v>
      </c>
      <c r="C409" s="51" t="n">
        <f aca="false">1+IF($G$7=$E$7,$F$7,IF(Q409&lt;($F$7-$E$7)/($G$7-$E$7),$E$7+SQRT(Q409*($G$7-$E$7)*($F$7-$E$7)),$G$7-SQRT((1-Q409)*($G$7-$E$7)*($G$7-$F$7))))</f>
        <v>1.0364722526578</v>
      </c>
      <c r="D409" s="51" t="n">
        <f aca="false">1+IF($G$8=$E$8,$F$8,IF(R409&lt;($F$8-$E$8)/($G$8-$E$8),$E$8+SQRT(R409*($G$8-$E$8)*($F$8-$E$8)),$G$8-SQRT((1-R409)*($G$8-$E$8)*($G$8-$F$8))))</f>
        <v>1.01985635250755</v>
      </c>
      <c r="E409" s="51" t="n">
        <f aca="false">1+IF($G$9=$E$9,$F$9,IF(S409&lt;($F$9-$E$9)/($G$9-$E$9),$E$9+SQRT(S409*($G$9-$E$9)*($F$9-$E$9)),$G$9-SQRT((1-S409)*($G$9-$E$9)*($G$9-$F$9))))</f>
        <v>0.994490092155038</v>
      </c>
      <c r="F409" s="51" t="n">
        <f aca="false">1+IF($G$10=$E$10,$F$10,IF(T409&lt;($F$10-$E$10)/($G$10-$E$10),$E$10+SQRT(T409*($G$10-$E$10)*($F$10-$E$10)),$G$10-SQRT((1-T409)*($G$10-$E$10)*($G$10-$F$10))))</f>
        <v>0.990169710101383</v>
      </c>
      <c r="G409" s="52" t="n">
        <f aca="false">IF($G$11=$E$11,$F$11,IF(U409&lt;($F$11-$E$11)/($G$11-$E$11),$E$11+SQRT(U409*($G$11-$E$11)*($F$11-$E$11)),$G$11-SQRT((1-U409)*($G$11-$E$11)*($G$11-$F$11))))</f>
        <v>0.0964649019538016</v>
      </c>
      <c r="H409" s="53" t="n">
        <f aca="false">(('Business Case'!B11*$C409*'Business Case'!B12*$B409)-'Business Case'!B11*$C409*'Business Case'!B13*$D409-'Business Case'!B14*$E409)-MAX(0,(('Business Case'!B11*$C409*'Business Case'!B12*$B409)-'Business Case'!B11*$C409*'Business Case'!B13*$D409-'Business Case'!B14*$E409))*'Business Case'!$B$7-'Business Case'!$B$8*('Business Case'!B11*$C409*'Business Case'!B12*$B409)-'Business Case'!B15*$F409</f>
        <v>-1980339420.20277</v>
      </c>
      <c r="I409" s="53" t="n">
        <f aca="false">(('Business Case'!C11*$C409*'Business Case'!C12*$B409)-'Business Case'!C11*$C409*'Business Case'!C13*$D409-'Business Case'!C14*$E409)-MAX(0,(('Business Case'!C11*$C409*'Business Case'!C12*$B409)-'Business Case'!C11*$C409*'Business Case'!C13*$D409-'Business Case'!C14*$E409))*'Business Case'!$B$7-'Business Case'!$B$8*(('Business Case'!C11*$C409*'Business Case'!C12*$B409)-('Business Case'!B11*$C409*'Business Case'!B12*$B409))-'Business Case'!C15*$F409</f>
        <v>31177645.5275791</v>
      </c>
      <c r="J409" s="53" t="n">
        <f aca="false">(('Business Case'!D11*$C409*'Business Case'!D12*$B409)-'Business Case'!D11*$C409*'Business Case'!D13*$D409-'Business Case'!D14*$E409)-MAX(0,(('Business Case'!D11*$C409*'Business Case'!D12*$B409)-'Business Case'!D11*$C409*'Business Case'!D13*$D409-'Business Case'!D14*$E409))*'Business Case'!$B$7-'Business Case'!$B$8*(('Business Case'!D11*$C409*'Business Case'!D12*$B409)-('Business Case'!C11*$C409*'Business Case'!C12*$B409))-'Business Case'!D15*$F409</f>
        <v>357703454.702551</v>
      </c>
      <c r="K409" s="53" t="n">
        <f aca="false">(('Business Case'!E11*$C409*'Business Case'!E12*$B409)-'Business Case'!E11*$C409*'Business Case'!E13*$D409-'Business Case'!E14*$E409)-MAX(0,(('Business Case'!E11*$C409*'Business Case'!E12*$B409)-'Business Case'!E11*$C409*'Business Case'!E13*$D409-'Business Case'!E14*$E409))*'Business Case'!$B$7-'Business Case'!$B$8*(('Business Case'!E11*$C409*'Business Case'!E12*$B409)-('Business Case'!D11*$C409*'Business Case'!D12*$B409))-'Business Case'!E15*$F409</f>
        <v>733737749.382593</v>
      </c>
      <c r="L409" s="53" t="n">
        <f aca="false">(('Business Case'!F11*$C409*'Business Case'!F12*$B409)-'Business Case'!F11*$C409*'Business Case'!F13*$D409-'Business Case'!F14*$E409)-MAX(0,(('Business Case'!F11*$C409*'Business Case'!F12*$B409)-'Business Case'!F11*$C409*'Business Case'!F13*$D409-'Business Case'!F14*$E409))*'Business Case'!$B$7-'Business Case'!$B$8*(('Business Case'!F11*$C409*'Business Case'!F12*$B409)-('Business Case'!E11*$C409*'Business Case'!E12*$B409))-'Business Case'!F15*$F409</f>
        <v>879189486.796123</v>
      </c>
      <c r="M409" s="53" t="n">
        <f aca="false">(('Business Case'!G11*$C409*'Business Case'!G12*$B409)-'Business Case'!G11*$C409*'Business Case'!G13*$D409-'Business Case'!G14*$E409)-MAX(0,(('Business Case'!G11*$C409*'Business Case'!G12*$B409)-'Business Case'!G11*$C409*'Business Case'!G13*$D409-'Business Case'!G14*$E409))*'Business Case'!$B$7-'Business Case'!$B$8*(('Business Case'!G11*$C409*'Business Case'!G12*$B409)-('Business Case'!F11*$C409*'Business Case'!F12*$B409))-'Business Case'!G15*$F409+'Business Case'!$B$8*('Business Case'!G11*$C409*'Business Case'!G12*$B409)</f>
        <v>1080543392.41642</v>
      </c>
      <c r="N409" s="53" t="n">
        <f aca="false">IF(COUNT('Business Case'!B11:G11)=0,"",H409+NPV(G409,I409:M409))</f>
        <v>192342650.597948</v>
      </c>
      <c r="P409" s="54" t="n">
        <f aca="true">RAND()</f>
        <v>0.932765519324962</v>
      </c>
      <c r="Q409" s="54" t="n">
        <f aca="true">RAND()</f>
        <v>0.754503820636294</v>
      </c>
      <c r="R409" s="54" t="n">
        <f aca="true">RAND()</f>
        <v>0.652186698683044</v>
      </c>
      <c r="S409" s="54" t="n">
        <f aca="true">RAND()</f>
        <v>0.263915773328505</v>
      </c>
      <c r="T409" s="54" t="n">
        <f aca="true">RAND()</f>
        <v>0.129088448770333</v>
      </c>
      <c r="U409" s="54" t="n">
        <f aca="true">RAND()</f>
        <v>0.139316524240891</v>
      </c>
    </row>
    <row r="410" customFormat="false" ht="15" hidden="false" customHeight="false" outlineLevel="0" collapsed="false">
      <c r="A410" s="50" t="n">
        <v>330</v>
      </c>
      <c r="B410" s="51" t="n">
        <f aca="false">1+IF($G$6=$E$6,$F$6,IF(P410&lt;($F$6-$E$6)/($G$6-$E$6),$E$6+SQRT(P410*($G$6-$E$6)*($F$6-$E$6)),$G$6-SQRT((1-P410)*($G$6-$E$6)*($G$6-$F$6))))</f>
        <v>0.977531199163298</v>
      </c>
      <c r="C410" s="51" t="n">
        <f aca="false">1+IF($G$7=$E$7,$F$7,IF(Q410&lt;($F$7-$E$7)/($G$7-$E$7),$E$7+SQRT(Q410*($G$7-$E$7)*($F$7-$E$7)),$G$7-SQRT((1-Q410)*($G$7-$E$7)*($G$7-$F$7))))</f>
        <v>0.975609903619676</v>
      </c>
      <c r="D410" s="51" t="n">
        <f aca="false">1+IF($G$8=$E$8,$F$8,IF(R410&lt;($F$8-$E$8)/($G$8-$E$8),$E$8+SQRT(R410*($G$8-$E$8)*($F$8-$E$8)),$G$8-SQRT((1-R410)*($G$8-$E$8)*($G$8-$F$8))))</f>
        <v>0.996687604825458</v>
      </c>
      <c r="E410" s="51" t="n">
        <f aca="false">1+IF($G$9=$E$9,$F$9,IF(S410&lt;($F$9-$E$9)/($G$9-$E$9),$E$9+SQRT(S410*($G$9-$E$9)*($F$9-$E$9)),$G$9-SQRT((1-S410)*($G$9-$E$9)*($G$9-$F$9))))</f>
        <v>1.02565805213025</v>
      </c>
      <c r="F410" s="51" t="n">
        <f aca="false">1+IF($G$10=$E$10,$F$10,IF(T410&lt;($F$10-$E$10)/($G$10-$E$10),$E$10+SQRT(T410*($G$10-$E$10)*($F$10-$E$10)),$G$10-SQRT((1-T410)*($G$10-$E$10)*($G$10-$F$10))))</f>
        <v>1.11029004292579</v>
      </c>
      <c r="G410" s="52" t="n">
        <f aca="false">IF($G$11=$E$11,$F$11,IF(U410&lt;($F$11-$E$11)/($G$11-$E$11),$E$11+SQRT(U410*($G$11-$E$11)*($F$11-$E$11)),$G$11-SQRT((1-U410)*($G$11-$E$11)*($G$11-$F$11))))</f>
        <v>0.105925100638354</v>
      </c>
      <c r="H410" s="53" t="n">
        <f aca="false">(('Business Case'!B11*$C410*'Business Case'!B12*$B410)-'Business Case'!B11*$C410*'Business Case'!B13*$D410-'Business Case'!B14*$E410)-MAX(0,(('Business Case'!B11*$C410*'Business Case'!B12*$B410)-'Business Case'!B11*$C410*'Business Case'!B13*$D410-'Business Case'!B14*$E410))*'Business Case'!$B$7-'Business Case'!$B$8*('Business Case'!B11*$C410*'Business Case'!B12*$B410)-'Business Case'!B15*$F410</f>
        <v>-2220580085.85157</v>
      </c>
      <c r="I410" s="53" t="n">
        <f aca="false">(('Business Case'!C11*$C410*'Business Case'!C12*$B410)-'Business Case'!C11*$C410*'Business Case'!C13*$D410-'Business Case'!C14*$E410)-MAX(0,(('Business Case'!C11*$C410*'Business Case'!C12*$B410)-'Business Case'!C11*$C410*'Business Case'!C13*$D410-'Business Case'!C14*$E410))*'Business Case'!$B$7-'Business Case'!$B$8*(('Business Case'!C11*$C410*'Business Case'!C12*$B410)-('Business Case'!B11*$C410*'Business Case'!B12*$B410))-'Business Case'!C15*$F410</f>
        <v>-22956667.5106681</v>
      </c>
      <c r="J410" s="53" t="n">
        <f aca="false">(('Business Case'!D11*$C410*'Business Case'!D12*$B410)-'Business Case'!D11*$C410*'Business Case'!D13*$D410-'Business Case'!D14*$E410)-MAX(0,(('Business Case'!D11*$C410*'Business Case'!D12*$B410)-'Business Case'!D11*$C410*'Business Case'!D13*$D410-'Business Case'!D14*$E410))*'Business Case'!$B$7-'Business Case'!$B$8*(('Business Case'!D11*$C410*'Business Case'!D12*$B410)-('Business Case'!C11*$C410*'Business Case'!C12*$B410))-'Business Case'!D15*$F410</f>
        <v>260403488.213172</v>
      </c>
      <c r="K410" s="53" t="n">
        <f aca="false">(('Business Case'!E11*$C410*'Business Case'!E12*$B410)-'Business Case'!E11*$C410*'Business Case'!E13*$D410-'Business Case'!E14*$E410)-MAX(0,(('Business Case'!E11*$C410*'Business Case'!E12*$B410)-'Business Case'!E11*$C410*'Business Case'!E13*$D410-'Business Case'!E14*$E410))*'Business Case'!$B$7-'Business Case'!$B$8*(('Business Case'!E11*$C410*'Business Case'!E12*$B410)-('Business Case'!D11*$C410*'Business Case'!D12*$B410))-'Business Case'!E15*$F410</f>
        <v>599278146.083301</v>
      </c>
      <c r="L410" s="53" t="n">
        <f aca="false">(('Business Case'!F11*$C410*'Business Case'!F12*$B410)-'Business Case'!F11*$C410*'Business Case'!F13*$D410-'Business Case'!F14*$E410)-MAX(0,(('Business Case'!F11*$C410*'Business Case'!F12*$B410)-'Business Case'!F11*$C410*'Business Case'!F13*$D410-'Business Case'!F14*$E410))*'Business Case'!$B$7-'Business Case'!$B$8*(('Business Case'!F11*$C410*'Business Case'!F12*$B410)-('Business Case'!E11*$C410*'Business Case'!E12*$B410))-'Business Case'!F15*$F410</f>
        <v>726691027.277254</v>
      </c>
      <c r="M410" s="53" t="n">
        <f aca="false">(('Business Case'!G11*$C410*'Business Case'!G12*$B410)-'Business Case'!G11*$C410*'Business Case'!G13*$D410-'Business Case'!G14*$E410)-MAX(0,(('Business Case'!G11*$C410*'Business Case'!G12*$B410)-'Business Case'!G11*$C410*'Business Case'!G13*$D410-'Business Case'!G14*$E410))*'Business Case'!$B$7-'Business Case'!$B$8*(('Business Case'!G11*$C410*'Business Case'!G12*$B410)-('Business Case'!F11*$C410*'Business Case'!F12*$B410))-'Business Case'!G15*$F410+'Business Case'!$B$8*('Business Case'!G11*$C410*'Business Case'!G12*$B410)</f>
        <v>907968255.016951</v>
      </c>
      <c r="N410" s="53" t="n">
        <f aca="false">IF(COUNT('Business Case'!B11:G11)=0,"",H410+NPV(G410,I410:M410))</f>
        <v>-550756247.436595</v>
      </c>
      <c r="P410" s="54" t="n">
        <f aca="true">RAND()</f>
        <v>0.344774883038238</v>
      </c>
      <c r="Q410" s="54" t="n">
        <f aca="true">RAND()</f>
        <v>0.440554832133029</v>
      </c>
      <c r="R410" s="54" t="n">
        <f aca="true">RAND()</f>
        <v>0.335343452975102</v>
      </c>
      <c r="S410" s="54" t="n">
        <f aca="true">RAND()</f>
        <v>0.631551652462054</v>
      </c>
      <c r="T410" s="54" t="n">
        <f aca="true">RAND()</f>
        <v>0.839042472034855</v>
      </c>
      <c r="U410" s="54" t="n">
        <f aca="true">RAND()</f>
        <v>0.669828679932539</v>
      </c>
    </row>
    <row r="411" customFormat="false" ht="15" hidden="false" customHeight="false" outlineLevel="0" collapsed="false">
      <c r="A411" s="50" t="n">
        <v>331</v>
      </c>
      <c r="B411" s="51" t="n">
        <f aca="false">1+IF($G$6=$E$6,$F$6,IF(P411&lt;($F$6-$E$6)/($G$6-$E$6),$E$6+SQRT(P411*($G$6-$E$6)*($F$6-$E$6)),$G$6-SQRT((1-P411)*($G$6-$E$6)*($G$6-$F$6))))</f>
        <v>0.958172529812459</v>
      </c>
      <c r="C411" s="51" t="n">
        <f aca="false">1+IF($G$7=$E$7,$F$7,IF(Q411&lt;($F$7-$E$7)/($G$7-$E$7),$E$7+SQRT(Q411*($G$7-$E$7)*($F$7-$E$7)),$G$7-SQRT((1-Q411)*($G$7-$E$7)*($G$7-$F$7))))</f>
        <v>0.966914850465439</v>
      </c>
      <c r="D411" s="51" t="n">
        <f aca="false">1+IF($G$8=$E$8,$F$8,IF(R411&lt;($F$8-$E$8)/($G$8-$E$8),$E$8+SQRT(R411*($G$8-$E$8)*($F$8-$E$8)),$G$8-SQRT((1-R411)*($G$8-$E$8)*($G$8-$F$8))))</f>
        <v>1.02298607707413</v>
      </c>
      <c r="E411" s="51" t="n">
        <f aca="false">1+IF($G$9=$E$9,$F$9,IF(S411&lt;($F$9-$E$9)/($G$9-$E$9),$E$9+SQRT(S411*($G$9-$E$9)*($F$9-$E$9)),$G$9-SQRT((1-S411)*($G$9-$E$9)*($G$9-$F$9))))</f>
        <v>1.0892968586998</v>
      </c>
      <c r="F411" s="51" t="n">
        <f aca="false">1+IF($G$10=$E$10,$F$10,IF(T411&lt;($F$10-$E$10)/($G$10-$E$10),$E$10+SQRT(T411*($G$10-$E$10)*($F$10-$E$10)),$G$10-SQRT((1-T411)*($G$10-$E$10)*($G$10-$F$10))))</f>
        <v>1.11486519145496</v>
      </c>
      <c r="G411" s="52" t="n">
        <f aca="false">IF($G$11=$E$11,$F$11,IF(U411&lt;($F$11-$E$11)/($G$11-$E$11),$E$11+SQRT(U411*($G$11-$E$11)*($F$11-$E$11)),$G$11-SQRT((1-U411)*($G$11-$E$11)*($G$11-$F$11))))</f>
        <v>0.115603583877954</v>
      </c>
      <c r="H411" s="53" t="n">
        <f aca="false">(('Business Case'!B11*$C411*'Business Case'!B12*$B411)-'Business Case'!B11*$C411*'Business Case'!B13*$D411-'Business Case'!B14*$E411)-MAX(0,(('Business Case'!B11*$C411*'Business Case'!B12*$B411)-'Business Case'!B11*$C411*'Business Case'!B13*$D411-'Business Case'!B14*$E411))*'Business Case'!$B$7-'Business Case'!$B$8*('Business Case'!B11*$C411*'Business Case'!B12*$B411)-'Business Case'!B15*$F411</f>
        <v>-2229730382.90993</v>
      </c>
      <c r="I411" s="53" t="n">
        <f aca="false">(('Business Case'!C11*$C411*'Business Case'!C12*$B411)-'Business Case'!C11*$C411*'Business Case'!C13*$D411-'Business Case'!C14*$E411)-MAX(0,(('Business Case'!C11*$C411*'Business Case'!C12*$B411)-'Business Case'!C11*$C411*'Business Case'!C13*$D411-'Business Case'!C14*$E411))*'Business Case'!$B$7-'Business Case'!$B$8*(('Business Case'!C11*$C411*'Business Case'!C12*$B411)-('Business Case'!B11*$C411*'Business Case'!B12*$B411))-'Business Case'!C15*$F411</f>
        <v>-61926912.406389</v>
      </c>
      <c r="J411" s="53" t="n">
        <f aca="false">(('Business Case'!D11*$C411*'Business Case'!D12*$B411)-'Business Case'!D11*$C411*'Business Case'!D13*$D411-'Business Case'!D14*$E411)-MAX(0,(('Business Case'!D11*$C411*'Business Case'!D12*$B411)-'Business Case'!D11*$C411*'Business Case'!D13*$D411-'Business Case'!D14*$E411))*'Business Case'!$B$7-'Business Case'!$B$8*(('Business Case'!D11*$C411*'Business Case'!D12*$B411)-('Business Case'!C11*$C411*'Business Case'!C12*$B411))-'Business Case'!D15*$F411</f>
        <v>190558977.156041</v>
      </c>
      <c r="K411" s="53" t="n">
        <f aca="false">(('Business Case'!E11*$C411*'Business Case'!E12*$B411)-'Business Case'!E11*$C411*'Business Case'!E13*$D411-'Business Case'!E14*$E411)-MAX(0,(('Business Case'!E11*$C411*'Business Case'!E12*$B411)-'Business Case'!E11*$C411*'Business Case'!E13*$D411-'Business Case'!E14*$E411))*'Business Case'!$B$7-'Business Case'!$B$8*(('Business Case'!E11*$C411*'Business Case'!E12*$B411)-('Business Case'!D11*$C411*'Business Case'!D12*$B411))-'Business Case'!E15*$F411</f>
        <v>498788126.291218</v>
      </c>
      <c r="L411" s="53" t="n">
        <f aca="false">(('Business Case'!F11*$C411*'Business Case'!F12*$B411)-'Business Case'!F11*$C411*'Business Case'!F13*$D411-'Business Case'!F14*$E411)-MAX(0,(('Business Case'!F11*$C411*'Business Case'!F12*$B411)-'Business Case'!F11*$C411*'Business Case'!F13*$D411-'Business Case'!F14*$E411))*'Business Case'!$B$7-'Business Case'!$B$8*(('Business Case'!F11*$C411*'Business Case'!F12*$B411)-('Business Case'!E11*$C411*'Business Case'!E12*$B411))-'Business Case'!F15*$F411</f>
        <v>614968935.822835</v>
      </c>
      <c r="M411" s="53" t="n">
        <f aca="false">(('Business Case'!G11*$C411*'Business Case'!G12*$B411)-'Business Case'!G11*$C411*'Business Case'!G13*$D411-'Business Case'!G14*$E411)-MAX(0,(('Business Case'!G11*$C411*'Business Case'!G12*$B411)-'Business Case'!G11*$C411*'Business Case'!G13*$D411-'Business Case'!G14*$E411))*'Business Case'!$B$7-'Business Case'!$B$8*(('Business Case'!G11*$C411*'Business Case'!G12*$B411)-('Business Case'!F11*$C411*'Business Case'!F12*$B411))-'Business Case'!G15*$F411+'Business Case'!$B$8*('Business Case'!G11*$C411*'Business Case'!G12*$B411)</f>
        <v>791072590.71561</v>
      </c>
      <c r="N411" s="53" t="n">
        <f aca="false">IF(COUNT('Business Case'!B11:G11)=0,"",H411+NPV(G411,I411:M411))</f>
        <v>-918074962.137574</v>
      </c>
      <c r="P411" s="54" t="n">
        <f aca="true">RAND()</f>
        <v>0.151785628362819</v>
      </c>
      <c r="Q411" s="54" t="n">
        <f aca="true">RAND()</f>
        <v>0.398008104369999</v>
      </c>
      <c r="R411" s="54" t="n">
        <f aca="true">RAND()</f>
        <v>0.687443518519524</v>
      </c>
      <c r="S411" s="54" t="n">
        <f aca="true">RAND()</f>
        <v>0.992362851087191</v>
      </c>
      <c r="T411" s="54" t="n">
        <f aca="true">RAND()</f>
        <v>0.855041287480002</v>
      </c>
      <c r="U411" s="54" t="n">
        <f aca="true">RAND()</f>
        <v>0.967785875469683</v>
      </c>
    </row>
    <row r="412" customFormat="false" ht="15" hidden="false" customHeight="false" outlineLevel="0" collapsed="false">
      <c r="A412" s="50" t="n">
        <v>332</v>
      </c>
      <c r="B412" s="51" t="n">
        <f aca="false">1+IF($G$6=$E$6,$F$6,IF(P412&lt;($F$6-$E$6)/($G$6-$E$6),$E$6+SQRT(P412*($G$6-$E$6)*($F$6-$E$6)),$G$6-SQRT((1-P412)*($G$6-$E$6)*($G$6-$F$6))))</f>
        <v>0.985838313920781</v>
      </c>
      <c r="C412" s="51" t="n">
        <f aca="false">1+IF($G$7=$E$7,$F$7,IF(Q412&lt;($F$7-$E$7)/($G$7-$E$7),$E$7+SQRT(Q412*($G$7-$E$7)*($F$7-$E$7)),$G$7-SQRT((1-Q412)*($G$7-$E$7)*($G$7-$F$7))))</f>
        <v>0.99810444684158</v>
      </c>
      <c r="D412" s="51" t="n">
        <f aca="false">1+IF($G$8=$E$8,$F$8,IF(R412&lt;($F$8-$E$8)/($G$8-$E$8),$E$8+SQRT(R412*($G$8-$E$8)*($F$8-$E$8)),$G$8-SQRT((1-R412)*($G$8-$E$8)*($G$8-$F$8))))</f>
        <v>1.01206103455322</v>
      </c>
      <c r="E412" s="51" t="n">
        <f aca="false">1+IF($G$9=$E$9,$F$9,IF(S412&lt;($F$9-$E$9)/($G$9-$E$9),$E$9+SQRT(S412*($G$9-$E$9)*($F$9-$E$9)),$G$9-SQRT((1-S412)*($G$9-$E$9)*($G$9-$F$9))))</f>
        <v>1.05233558313329</v>
      </c>
      <c r="F412" s="51" t="n">
        <f aca="false">1+IF($G$10=$E$10,$F$10,IF(T412&lt;($F$10-$E$10)/($G$10-$E$10),$E$10+SQRT(T412*($G$10-$E$10)*($F$10-$E$10)),$G$10-SQRT((1-T412)*($G$10-$E$10)*($G$10-$F$10))))</f>
        <v>1.16412396593399</v>
      </c>
      <c r="G412" s="52" t="n">
        <f aca="false">IF($G$11=$E$11,$F$11,IF(U412&lt;($F$11-$E$11)/($G$11-$E$11),$E$11+SQRT(U412*($G$11-$E$11)*($F$11-$E$11)),$G$11-SQRT((1-U412)*($G$11-$E$11)*($G$11-$F$11))))</f>
        <v>0.104120172335142</v>
      </c>
      <c r="H412" s="53" t="n">
        <f aca="false">(('Business Case'!B11*$C412*'Business Case'!B12*$B412)-'Business Case'!B11*$C412*'Business Case'!B13*$D412-'Business Case'!B14*$E412)-MAX(0,(('Business Case'!B11*$C412*'Business Case'!B12*$B412)-'Business Case'!B11*$C412*'Business Case'!B13*$D412-'Business Case'!B14*$E412))*'Business Case'!$B$7-'Business Case'!$B$8*('Business Case'!B11*$C412*'Business Case'!B12*$B412)-'Business Case'!B15*$F412</f>
        <v>-2328247931.86799</v>
      </c>
      <c r="I412" s="53" t="n">
        <f aca="false">(('Business Case'!C11*$C412*'Business Case'!C12*$B412)-'Business Case'!C11*$C412*'Business Case'!C13*$D412-'Business Case'!C14*$E412)-MAX(0,(('Business Case'!C11*$C412*'Business Case'!C12*$B412)-'Business Case'!C11*$C412*'Business Case'!C13*$D412-'Business Case'!C14*$E412))*'Business Case'!$B$7-'Business Case'!$B$8*(('Business Case'!C11*$C412*'Business Case'!C12*$B412)-('Business Case'!B11*$C412*'Business Case'!B12*$B412))-'Business Case'!C15*$F412</f>
        <v>-28233758.0889482</v>
      </c>
      <c r="J412" s="53" t="n">
        <f aca="false">(('Business Case'!D11*$C412*'Business Case'!D12*$B412)-'Business Case'!D11*$C412*'Business Case'!D13*$D412-'Business Case'!D14*$E412)-MAX(0,(('Business Case'!D11*$C412*'Business Case'!D12*$B412)-'Business Case'!D11*$C412*'Business Case'!D13*$D412-'Business Case'!D14*$E412))*'Business Case'!$B$7-'Business Case'!$B$8*(('Business Case'!D11*$C412*'Business Case'!D12*$B412)-('Business Case'!C11*$C412*'Business Case'!C12*$B412))-'Business Case'!D15*$F412</f>
        <v>260595984.659797</v>
      </c>
      <c r="K412" s="53" t="n">
        <f aca="false">(('Business Case'!E11*$C412*'Business Case'!E12*$B412)-'Business Case'!E11*$C412*'Business Case'!E13*$D412-'Business Case'!E14*$E412)-MAX(0,(('Business Case'!E11*$C412*'Business Case'!E12*$B412)-'Business Case'!E11*$C412*'Business Case'!E13*$D412-'Business Case'!E14*$E412))*'Business Case'!$B$7-'Business Case'!$B$8*(('Business Case'!E11*$C412*'Business Case'!E12*$B412)-('Business Case'!D11*$C412*'Business Case'!D12*$B412))-'Business Case'!E15*$F412</f>
        <v>607631925.705242</v>
      </c>
      <c r="L412" s="53" t="n">
        <f aca="false">(('Business Case'!F11*$C412*'Business Case'!F12*$B412)-'Business Case'!F11*$C412*'Business Case'!F13*$D412-'Business Case'!F14*$E412)-MAX(0,(('Business Case'!F11*$C412*'Business Case'!F12*$B412)-'Business Case'!F11*$C412*'Business Case'!F13*$D412-'Business Case'!F14*$E412))*'Business Case'!$B$7-'Business Case'!$B$8*(('Business Case'!F11*$C412*'Business Case'!F12*$B412)-('Business Case'!E11*$C412*'Business Case'!E12*$B412))-'Business Case'!F15*$F412</f>
        <v>737914496.169984</v>
      </c>
      <c r="M412" s="53" t="n">
        <f aca="false">(('Business Case'!G11*$C412*'Business Case'!G12*$B412)-'Business Case'!G11*$C412*'Business Case'!G13*$D412-'Business Case'!G14*$E412)-MAX(0,(('Business Case'!G11*$C412*'Business Case'!G12*$B412)-'Business Case'!G11*$C412*'Business Case'!G13*$D412-'Business Case'!G14*$E412))*'Business Case'!$B$7-'Business Case'!$B$8*(('Business Case'!G11*$C412*'Business Case'!G12*$B412)-('Business Case'!F11*$C412*'Business Case'!F12*$B412))-'Business Case'!G15*$F412+'Business Case'!$B$8*('Business Case'!G11*$C412*'Business Case'!G12*$B412)</f>
        <v>924947438.686699</v>
      </c>
      <c r="N412" s="53" t="n">
        <f aca="false">IF(COUNT('Business Case'!B11:G11)=0,"",H412+NPV(G412,I412:M412))</f>
        <v>-628415808.254755</v>
      </c>
      <c r="P412" s="54" t="n">
        <f aca="true">RAND()</f>
        <v>0.451529539576183</v>
      </c>
      <c r="Q412" s="54" t="n">
        <f aca="true">RAND()</f>
        <v>0.560648169405837</v>
      </c>
      <c r="R412" s="54" t="n">
        <f aca="true">RAND()</f>
        <v>0.556182401348187</v>
      </c>
      <c r="S412" s="54" t="n">
        <f aca="true">RAND()</f>
        <v>0.848540224317079</v>
      </c>
      <c r="T412" s="54" t="n">
        <f aca="true">RAND()</f>
        <v>0.974258203593894</v>
      </c>
      <c r="U412" s="54" t="n">
        <f aca="true">RAND()</f>
        <v>0.579718455557374</v>
      </c>
    </row>
    <row r="413" customFormat="false" ht="15" hidden="false" customHeight="false" outlineLevel="0" collapsed="false">
      <c r="A413" s="50" t="n">
        <v>333</v>
      </c>
      <c r="B413" s="51" t="n">
        <f aca="false">1+IF($G$6=$E$6,$F$6,IF(P413&lt;($F$6-$E$6)/($G$6-$E$6),$E$6+SQRT(P413*($G$6-$E$6)*($F$6-$E$6)),$G$6-SQRT((1-P413)*($G$6-$E$6)*($G$6-$F$6))))</f>
        <v>1.00144348417779</v>
      </c>
      <c r="C413" s="51" t="n">
        <f aca="false">1+IF($G$7=$E$7,$F$7,IF(Q413&lt;($F$7-$E$7)/($G$7-$E$7),$E$7+SQRT(Q413*($G$7-$E$7)*($F$7-$E$7)),$G$7-SQRT((1-Q413)*($G$7-$E$7)*($G$7-$F$7))))</f>
        <v>0.935297697704766</v>
      </c>
      <c r="D413" s="51" t="n">
        <f aca="false">1+IF($G$8=$E$8,$F$8,IF(R413&lt;($F$8-$E$8)/($G$8-$E$8),$E$8+SQRT(R413*($G$8-$E$8)*($F$8-$E$8)),$G$8-SQRT((1-R413)*($G$8-$E$8)*($G$8-$F$8))))</f>
        <v>1.01538517327214</v>
      </c>
      <c r="E413" s="51" t="n">
        <f aca="false">1+IF($G$9=$E$9,$F$9,IF(S413&lt;($F$9-$E$9)/($G$9-$E$9),$E$9+SQRT(S413*($G$9-$E$9)*($F$9-$E$9)),$G$9-SQRT((1-S413)*($G$9-$E$9)*($G$9-$F$9))))</f>
        <v>1.0416324625597</v>
      </c>
      <c r="F413" s="51" t="n">
        <f aca="false">1+IF($G$10=$E$10,$F$10,IF(T413&lt;($F$10-$E$10)/($G$10-$E$10),$E$10+SQRT(T413*($G$10-$E$10)*($F$10-$E$10)),$G$10-SQRT((1-T413)*($G$10-$E$10)*($G$10-$F$10))))</f>
        <v>1.05380566218397</v>
      </c>
      <c r="G413" s="52" t="n">
        <f aca="false">IF($G$11=$E$11,$F$11,IF(U413&lt;($F$11-$E$11)/($G$11-$E$11),$E$11+SQRT(U413*($G$11-$E$11)*($F$11-$E$11)),$G$11-SQRT((1-U413)*($G$11-$E$11)*($G$11-$F$11))))</f>
        <v>0.111194053290171</v>
      </c>
      <c r="H413" s="53" t="n">
        <f aca="false">(('Business Case'!B11*$C413*'Business Case'!B12*$B413)-'Business Case'!B11*$C413*'Business Case'!B13*$D413-'Business Case'!B14*$E413)-MAX(0,(('Business Case'!B11*$C413*'Business Case'!B12*$B413)-'Business Case'!B11*$C413*'Business Case'!B13*$D413-'Business Case'!B14*$E413))*'Business Case'!$B$7-'Business Case'!$B$8*('Business Case'!B11*$C413*'Business Case'!B12*$B413)-'Business Case'!B15*$F413</f>
        <v>-2107611324.36795</v>
      </c>
      <c r="I413" s="53" t="n">
        <f aca="false">(('Business Case'!C11*$C413*'Business Case'!C12*$B413)-'Business Case'!C11*$C413*'Business Case'!C13*$D413-'Business Case'!C14*$E413)-MAX(0,(('Business Case'!C11*$C413*'Business Case'!C12*$B413)-'Business Case'!C11*$C413*'Business Case'!C13*$D413-'Business Case'!C14*$E413))*'Business Case'!$B$7-'Business Case'!$B$8*(('Business Case'!C11*$C413*'Business Case'!C12*$B413)-('Business Case'!B11*$C413*'Business Case'!B12*$B413))-'Business Case'!C15*$F413</f>
        <v>-21038530.3187276</v>
      </c>
      <c r="J413" s="53" t="n">
        <f aca="false">(('Business Case'!D11*$C413*'Business Case'!D12*$B413)-'Business Case'!D11*$C413*'Business Case'!D13*$D413-'Business Case'!D14*$E413)-MAX(0,(('Business Case'!D11*$C413*'Business Case'!D12*$B413)-'Business Case'!D11*$C413*'Business Case'!D13*$D413-'Business Case'!D14*$E413))*'Business Case'!$B$7-'Business Case'!$B$8*(('Business Case'!D11*$C413*'Business Case'!D12*$B413)-('Business Case'!C11*$C413*'Business Case'!C12*$B413))-'Business Case'!D15*$F413</f>
        <v>259979462.938222</v>
      </c>
      <c r="K413" s="53" t="n">
        <f aca="false">(('Business Case'!E11*$C413*'Business Case'!E12*$B413)-'Business Case'!E11*$C413*'Business Case'!E13*$D413-'Business Case'!E14*$E413)-MAX(0,(('Business Case'!E11*$C413*'Business Case'!E12*$B413)-'Business Case'!E11*$C413*'Business Case'!E13*$D413-'Business Case'!E14*$E413))*'Business Case'!$B$7-'Business Case'!$B$8*(('Business Case'!E11*$C413*'Business Case'!E12*$B413)-('Business Case'!D11*$C413*'Business Case'!D12*$B413))-'Business Case'!E15*$F413</f>
        <v>593687739.304372</v>
      </c>
      <c r="L413" s="53" t="n">
        <f aca="false">(('Business Case'!F11*$C413*'Business Case'!F12*$B413)-'Business Case'!F11*$C413*'Business Case'!F13*$D413-'Business Case'!F14*$E413)-MAX(0,(('Business Case'!F11*$C413*'Business Case'!F12*$B413)-'Business Case'!F11*$C413*'Business Case'!F13*$D413-'Business Case'!F14*$E413))*'Business Case'!$B$7-'Business Case'!$B$8*(('Business Case'!F11*$C413*'Business Case'!F12*$B413)-('Business Case'!E11*$C413*'Business Case'!E12*$B413))-'Business Case'!F15*$F413</f>
        <v>719730951.177548</v>
      </c>
      <c r="M413" s="53" t="n">
        <f aca="false">(('Business Case'!G11*$C413*'Business Case'!G12*$B413)-'Business Case'!G11*$C413*'Business Case'!G13*$D413-'Business Case'!G14*$E413)-MAX(0,(('Business Case'!G11*$C413*'Business Case'!G12*$B413)-'Business Case'!G11*$C413*'Business Case'!G13*$D413-'Business Case'!G14*$E413))*'Business Case'!$B$7-'Business Case'!$B$8*(('Business Case'!G11*$C413*'Business Case'!G12*$B413)-('Business Case'!F11*$C413*'Business Case'!F12*$B413))-'Business Case'!G15*$F413+'Business Case'!$B$8*('Business Case'!G11*$C413*'Business Case'!G12*$B413)</f>
        <v>897768962.175615</v>
      </c>
      <c r="N413" s="53" t="n">
        <f aca="false">IF(COUNT('Business Case'!B11:G11)=0,"",H413+NPV(G413,I413:M413))</f>
        <v>-481290925.950891</v>
      </c>
      <c r="P413" s="54" t="n">
        <f aca="true">RAND()</f>
        <v>0.690290643260735</v>
      </c>
      <c r="Q413" s="54" t="n">
        <f aca="true">RAND()</f>
        <v>0.261506671488719</v>
      </c>
      <c r="R413" s="54" t="n">
        <f aca="true">RAND()</f>
        <v>0.598550400666183</v>
      </c>
      <c r="S413" s="54" t="n">
        <f aca="true">RAND()</f>
        <v>0.772882038210343</v>
      </c>
      <c r="T413" s="54" t="n">
        <f aca="true">RAND()</f>
        <v>0.572544311810677</v>
      </c>
      <c r="U413" s="54" t="n">
        <f aca="true">RAND()</f>
        <v>0.870758837572763</v>
      </c>
    </row>
    <row r="414" customFormat="false" ht="15" hidden="false" customHeight="false" outlineLevel="0" collapsed="false">
      <c r="A414" s="50" t="n">
        <v>334</v>
      </c>
      <c r="B414" s="51" t="n">
        <f aca="false">1+IF($G$6=$E$6,$F$6,IF(P414&lt;($F$6-$E$6)/($G$6-$E$6),$E$6+SQRT(P414*($G$6-$E$6)*($F$6-$E$6)),$G$6-SQRT((1-P414)*($G$6-$E$6)*($G$6-$F$6))))</f>
        <v>0.994182155621102</v>
      </c>
      <c r="C414" s="51" t="n">
        <f aca="false">1+IF($G$7=$E$7,$F$7,IF(Q414&lt;($F$7-$E$7)/($G$7-$E$7),$E$7+SQRT(Q414*($G$7-$E$7)*($F$7-$E$7)),$G$7-SQRT((1-Q414)*($G$7-$E$7)*($G$7-$F$7))))</f>
        <v>1.05120307199157</v>
      </c>
      <c r="D414" s="51" t="n">
        <f aca="false">1+IF($G$8=$E$8,$F$8,IF(R414&lt;($F$8-$E$8)/($G$8-$E$8),$E$8+SQRT(R414*($G$8-$E$8)*($F$8-$E$8)),$G$8-SQRT((1-R414)*($G$8-$E$8)*($G$8-$F$8))))</f>
        <v>0.980465742617403</v>
      </c>
      <c r="E414" s="51" t="n">
        <f aca="false">1+IF($G$9=$E$9,$F$9,IF(S414&lt;($F$9-$E$9)/($G$9-$E$9),$E$9+SQRT(S414*($G$9-$E$9)*($F$9-$E$9)),$G$9-SQRT((1-S414)*($G$9-$E$9)*($G$9-$F$9))))</f>
        <v>0.98983347094382</v>
      </c>
      <c r="F414" s="51" t="n">
        <f aca="false">1+IF($G$10=$E$10,$F$10,IF(T414&lt;($F$10-$E$10)/($G$10-$E$10),$E$10+SQRT(T414*($G$10-$E$10)*($F$10-$E$10)),$G$10-SQRT((1-T414)*($G$10-$E$10)*($G$10-$F$10))))</f>
        <v>1.08937527992644</v>
      </c>
      <c r="G414" s="52" t="n">
        <f aca="false">IF($G$11=$E$11,$F$11,IF(U414&lt;($F$11-$E$11)/($G$11-$E$11),$E$11+SQRT(U414*($G$11-$E$11)*($F$11-$E$11)),$G$11-SQRT((1-U414)*($G$11-$E$11)*($G$11-$F$11))))</f>
        <v>0.0948206560318685</v>
      </c>
      <c r="H414" s="53" t="n">
        <f aca="false">(('Business Case'!B11*$C414*'Business Case'!B12*$B414)-'Business Case'!B11*$C414*'Business Case'!B13*$D414-'Business Case'!B14*$E414)-MAX(0,(('Business Case'!B11*$C414*'Business Case'!B12*$B414)-'Business Case'!B11*$C414*'Business Case'!B13*$D414-'Business Case'!B14*$E414))*'Business Case'!$B$7-'Business Case'!$B$8*('Business Case'!B11*$C414*'Business Case'!B12*$B414)-'Business Case'!B15*$F414</f>
        <v>-2178750559.85289</v>
      </c>
      <c r="I414" s="53" t="n">
        <f aca="false">(('Business Case'!C11*$C414*'Business Case'!C12*$B414)-'Business Case'!C11*$C414*'Business Case'!C13*$D414-'Business Case'!C14*$E414)-MAX(0,(('Business Case'!C11*$C414*'Business Case'!C12*$B414)-'Business Case'!C11*$C414*'Business Case'!C13*$D414-'Business Case'!C14*$E414))*'Business Case'!$B$7-'Business Case'!$B$8*(('Business Case'!C11*$C414*'Business Case'!C12*$B414)-('Business Case'!B11*$C414*'Business Case'!B12*$B414))-'Business Case'!C15*$F414</f>
        <v>24512729.4656693</v>
      </c>
      <c r="J414" s="53" t="n">
        <f aca="false">(('Business Case'!D11*$C414*'Business Case'!D12*$B414)-'Business Case'!D11*$C414*'Business Case'!D13*$D414-'Business Case'!D14*$E414)-MAX(0,(('Business Case'!D11*$C414*'Business Case'!D12*$B414)-'Business Case'!D11*$C414*'Business Case'!D13*$D414-'Business Case'!D14*$E414))*'Business Case'!$B$7-'Business Case'!$B$8*(('Business Case'!D11*$C414*'Business Case'!D12*$B414)-('Business Case'!C11*$C414*'Business Case'!C12*$B414))-'Business Case'!D15*$F414</f>
        <v>352894633.996038</v>
      </c>
      <c r="K414" s="53" t="n">
        <f aca="false">(('Business Case'!E11*$C414*'Business Case'!E12*$B414)-'Business Case'!E11*$C414*'Business Case'!E13*$D414-'Business Case'!E14*$E414)-MAX(0,(('Business Case'!E11*$C414*'Business Case'!E12*$B414)-'Business Case'!E11*$C414*'Business Case'!E13*$D414-'Business Case'!E14*$E414))*'Business Case'!$B$7-'Business Case'!$B$8*(('Business Case'!E11*$C414*'Business Case'!E12*$B414)-('Business Case'!D11*$C414*'Business Case'!D12*$B414))-'Business Case'!E15*$F414</f>
        <v>735745302.52273</v>
      </c>
      <c r="L414" s="53" t="n">
        <f aca="false">(('Business Case'!F11*$C414*'Business Case'!F12*$B414)-'Business Case'!F11*$C414*'Business Case'!F13*$D414-'Business Case'!F14*$E414)-MAX(0,(('Business Case'!F11*$C414*'Business Case'!F12*$B414)-'Business Case'!F11*$C414*'Business Case'!F13*$D414-'Business Case'!F14*$E414))*'Business Case'!$B$7-'Business Case'!$B$8*(('Business Case'!F11*$C414*'Business Case'!F12*$B414)-('Business Case'!E11*$C414*'Business Case'!E12*$B414))-'Business Case'!F15*$F414</f>
        <v>881324155.702082</v>
      </c>
      <c r="M414" s="53" t="n">
        <f aca="false">(('Business Case'!G11*$C414*'Business Case'!G12*$B414)-'Business Case'!G11*$C414*'Business Case'!G13*$D414-'Business Case'!G14*$E414)-MAX(0,(('Business Case'!G11*$C414*'Business Case'!G12*$B414)-'Business Case'!G11*$C414*'Business Case'!G13*$D414-'Business Case'!G14*$E414))*'Business Case'!$B$7-'Business Case'!$B$8*(('Business Case'!G11*$C414*'Business Case'!G12*$B414)-('Business Case'!F11*$C414*'Business Case'!F12*$B414))-'Business Case'!G15*$F414+'Business Case'!$B$8*('Business Case'!G11*$C414*'Business Case'!G12*$B414)</f>
        <v>1079974356.54951</v>
      </c>
      <c r="N414" s="53" t="n">
        <f aca="false">IF(COUNT('Business Case'!B11:G11)=0,"",H414+NPV(G414,I414:M414))</f>
        <v>-1267852.31483555</v>
      </c>
      <c r="P414" s="54" t="n">
        <f aca="true">RAND()</f>
        <v>0.57322835547848</v>
      </c>
      <c r="Q414" s="54" t="n">
        <f aca="true">RAND()</f>
        <v>0.814079371735193</v>
      </c>
      <c r="R414" s="54" t="n">
        <f aca="true">RAND()</f>
        <v>0.142794072804595</v>
      </c>
      <c r="S414" s="54" t="n">
        <f aca="true">RAND()</f>
        <v>0.211560720990952</v>
      </c>
      <c r="T414" s="54" t="n">
        <f aca="true">RAND()</f>
        <v>0.755243426172951</v>
      </c>
      <c r="U414" s="54" t="n">
        <f aca="true">RAND()</f>
        <v>0.0774624152586339</v>
      </c>
    </row>
    <row r="415" customFormat="false" ht="15" hidden="false" customHeight="false" outlineLevel="0" collapsed="false">
      <c r="A415" s="50" t="n">
        <v>335</v>
      </c>
      <c r="B415" s="51" t="n">
        <f aca="false">1+IF($G$6=$E$6,$F$6,IF(P415&lt;($F$6-$E$6)/($G$6-$E$6),$E$6+SQRT(P415*($G$6-$E$6)*($F$6-$E$6)),$G$6-SQRT((1-P415)*($G$6-$E$6)*($G$6-$F$6))))</f>
        <v>1.00381428174234</v>
      </c>
      <c r="C415" s="51" t="n">
        <f aca="false">1+IF($G$7=$E$7,$F$7,IF(Q415&lt;($F$7-$E$7)/($G$7-$E$7),$E$7+SQRT(Q415*($G$7-$E$7)*($F$7-$E$7)),$G$7-SQRT((1-Q415)*($G$7-$E$7)*($G$7-$F$7))))</f>
        <v>0.956428010089782</v>
      </c>
      <c r="D415" s="51" t="n">
        <f aca="false">1+IF($G$8=$E$8,$F$8,IF(R415&lt;($F$8-$E$8)/($G$8-$E$8),$E$8+SQRT(R415*($G$8-$E$8)*($F$8-$E$8)),$G$8-SQRT((1-R415)*($G$8-$E$8)*($G$8-$F$8))))</f>
        <v>0.969725180365465</v>
      </c>
      <c r="E415" s="51" t="n">
        <f aca="false">1+IF($G$9=$E$9,$F$9,IF(S415&lt;($F$9-$E$9)/($G$9-$E$9),$E$9+SQRT(S415*($G$9-$E$9)*($F$9-$E$9)),$G$9-SQRT((1-S415)*($G$9-$E$9)*($G$9-$F$9))))</f>
        <v>1.04552251750547</v>
      </c>
      <c r="F415" s="51" t="n">
        <f aca="false">1+IF($G$10=$E$10,$F$10,IF(T415&lt;($F$10-$E$10)/($G$10-$E$10),$E$10+SQRT(T415*($G$10-$E$10)*($F$10-$E$10)),$G$10-SQRT((1-T415)*($G$10-$E$10)*($G$10-$F$10))))</f>
        <v>1.04346190214474</v>
      </c>
      <c r="G415" s="52" t="n">
        <f aca="false">IF($G$11=$E$11,$F$11,IF(U415&lt;($F$11-$E$11)/($G$11-$E$11),$E$11+SQRT(U415*($G$11-$E$11)*($F$11-$E$11)),$G$11-SQRT((1-U415)*($G$11-$E$11)*($G$11-$F$11))))</f>
        <v>0.110992290941686</v>
      </c>
      <c r="H415" s="53" t="n">
        <f aca="false">(('Business Case'!B11*$C415*'Business Case'!B12*$B415)-'Business Case'!B11*$C415*'Business Case'!B13*$D415-'Business Case'!B14*$E415)-MAX(0,(('Business Case'!B11*$C415*'Business Case'!B12*$B415)-'Business Case'!B11*$C415*'Business Case'!B13*$D415-'Business Case'!B14*$E415))*'Business Case'!$B$7-'Business Case'!$B$8*('Business Case'!B11*$C415*'Business Case'!B12*$B415)-'Business Case'!B15*$F415</f>
        <v>-2086923804.28948</v>
      </c>
      <c r="I415" s="53" t="n">
        <f aca="false">(('Business Case'!C11*$C415*'Business Case'!C12*$B415)-'Business Case'!C11*$C415*'Business Case'!C13*$D415-'Business Case'!C14*$E415)-MAX(0,(('Business Case'!C11*$C415*'Business Case'!C12*$B415)-'Business Case'!C11*$C415*'Business Case'!C13*$D415-'Business Case'!C14*$E415))*'Business Case'!$B$7-'Business Case'!$B$8*(('Business Case'!C11*$C415*'Business Case'!C12*$B415)-('Business Case'!B11*$C415*'Business Case'!B12*$B415))-'Business Case'!C15*$F415</f>
        <v>8789978.6676117</v>
      </c>
      <c r="J415" s="53" t="n">
        <f aca="false">(('Business Case'!D11*$C415*'Business Case'!D12*$B415)-'Business Case'!D11*$C415*'Business Case'!D13*$D415-'Business Case'!D14*$E415)-MAX(0,(('Business Case'!D11*$C415*'Business Case'!D12*$B415)-'Business Case'!D11*$C415*'Business Case'!D13*$D415-'Business Case'!D14*$E415))*'Business Case'!$B$7-'Business Case'!$B$8*(('Business Case'!D11*$C415*'Business Case'!D12*$B415)-('Business Case'!C11*$C415*'Business Case'!C12*$B415))-'Business Case'!D15*$F415</f>
        <v>320369794.354916</v>
      </c>
      <c r="K415" s="53" t="n">
        <f aca="false">(('Business Case'!E11*$C415*'Business Case'!E12*$B415)-'Business Case'!E11*$C415*'Business Case'!E13*$D415-'Business Case'!E14*$E415)-MAX(0,(('Business Case'!E11*$C415*'Business Case'!E12*$B415)-'Business Case'!E11*$C415*'Business Case'!E13*$D415-'Business Case'!E14*$E415))*'Business Case'!$B$7-'Business Case'!$B$8*(('Business Case'!E11*$C415*'Business Case'!E12*$B415)-('Business Case'!D11*$C415*'Business Case'!D12*$B415))-'Business Case'!E15*$F415</f>
        <v>684122705.149458</v>
      </c>
      <c r="L415" s="53" t="n">
        <f aca="false">(('Business Case'!F11*$C415*'Business Case'!F12*$B415)-'Business Case'!F11*$C415*'Business Case'!F13*$D415-'Business Case'!F14*$E415)-MAX(0,(('Business Case'!F11*$C415*'Business Case'!F12*$B415)-'Business Case'!F11*$C415*'Business Case'!F13*$D415-'Business Case'!F14*$E415))*'Business Case'!$B$7-'Business Case'!$B$8*(('Business Case'!F11*$C415*'Business Case'!F12*$B415)-('Business Case'!E11*$C415*'Business Case'!E12*$B415))-'Business Case'!F15*$F415</f>
        <v>821162873.589187</v>
      </c>
      <c r="M415" s="53" t="n">
        <f aca="false">(('Business Case'!G11*$C415*'Business Case'!G12*$B415)-'Business Case'!G11*$C415*'Business Case'!G13*$D415-'Business Case'!G14*$E415)-MAX(0,(('Business Case'!G11*$C415*'Business Case'!G12*$B415)-'Business Case'!G11*$C415*'Business Case'!G13*$D415-'Business Case'!G14*$E415))*'Business Case'!$B$7-'Business Case'!$B$8*(('Business Case'!G11*$C415*'Business Case'!G12*$B415)-('Business Case'!F11*$C415*'Business Case'!F12*$B415))-'Business Case'!G15*$F415+'Business Case'!$B$8*('Business Case'!G11*$C415*'Business Case'!G12*$B415)</f>
        <v>1003654137.91431</v>
      </c>
      <c r="N415" s="53" t="n">
        <f aca="false">IF(COUNT('Business Case'!B11:G11)=0,"",H415+NPV(G415,I415:M415))</f>
        <v>-188611251.708368</v>
      </c>
      <c r="P415" s="54" t="n">
        <f aca="true">RAND()</f>
        <v>0.727207040453546</v>
      </c>
      <c r="Q415" s="54" t="n">
        <f aca="true">RAND()</f>
        <v>0.34956746200927</v>
      </c>
      <c r="R415" s="54" t="n">
        <f aca="true">RAND()</f>
        <v>0.0598588831461753</v>
      </c>
      <c r="S415" s="54" t="n">
        <f aca="true">RAND()</f>
        <v>0.802146926737197</v>
      </c>
      <c r="T415" s="54" t="n">
        <f aca="true">RAND()</f>
        <v>0.50991647839713</v>
      </c>
      <c r="U415" s="54" t="n">
        <f aca="true">RAND()</f>
        <v>0.86476862920128</v>
      </c>
    </row>
    <row r="416" customFormat="false" ht="15" hidden="false" customHeight="false" outlineLevel="0" collapsed="false">
      <c r="A416" s="50" t="n">
        <v>336</v>
      </c>
      <c r="B416" s="51" t="n">
        <f aca="false">1+IF($G$6=$E$6,$F$6,IF(P416&lt;($F$6-$E$6)/($G$6-$E$6),$E$6+SQRT(P416*($G$6-$E$6)*($F$6-$E$6)),$G$6-SQRT((1-P416)*($G$6-$E$6)*($G$6-$F$6))))</f>
        <v>1.01395957305253</v>
      </c>
      <c r="C416" s="51" t="n">
        <f aca="false">1+IF($G$7=$E$7,$F$7,IF(Q416&lt;($F$7-$E$7)/($G$7-$E$7),$E$7+SQRT(Q416*($G$7-$E$7)*($F$7-$E$7)),$G$7-SQRT((1-Q416)*($G$7-$E$7)*($G$7-$F$7))))</f>
        <v>0.965078571628156</v>
      </c>
      <c r="D416" s="51" t="n">
        <f aca="false">1+IF($G$8=$E$8,$F$8,IF(R416&lt;($F$8-$E$8)/($G$8-$E$8),$E$8+SQRT(R416*($G$8-$E$8)*($F$8-$E$8)),$G$8-SQRT((1-R416)*($G$8-$E$8)*($G$8-$F$8))))</f>
        <v>0.981756155179524</v>
      </c>
      <c r="E416" s="51" t="n">
        <f aca="false">1+IF($G$9=$E$9,$F$9,IF(S416&lt;($F$9-$E$9)/($G$9-$E$9),$E$9+SQRT(S416*($G$9-$E$9)*($F$9-$E$9)),$G$9-SQRT((1-S416)*($G$9-$E$9)*($G$9-$F$9))))</f>
        <v>0.971096688276946</v>
      </c>
      <c r="F416" s="51" t="n">
        <f aca="false">1+IF($G$10=$E$10,$F$10,IF(T416&lt;($F$10-$E$10)/($G$10-$E$10),$E$10+SQRT(T416*($G$10-$E$10)*($F$10-$E$10)),$G$10-SQRT((1-T416)*($G$10-$E$10)*($G$10-$F$10))))</f>
        <v>1.04802824768296</v>
      </c>
      <c r="G416" s="52" t="n">
        <f aca="false">IF($G$11=$E$11,$F$11,IF(U416&lt;($F$11-$E$11)/($G$11-$E$11),$E$11+SQRT(U416*($G$11-$E$11)*($F$11-$E$11)),$G$11-SQRT((1-U416)*($G$11-$E$11)*($G$11-$F$11))))</f>
        <v>0.100312567046698</v>
      </c>
      <c r="H416" s="53" t="n">
        <f aca="false">(('Business Case'!B11*$C416*'Business Case'!B12*$B416)-'Business Case'!B11*$C416*'Business Case'!B13*$D416-'Business Case'!B14*$E416)-MAX(0,(('Business Case'!B11*$C416*'Business Case'!B12*$B416)-'Business Case'!B11*$C416*'Business Case'!B13*$D416-'Business Case'!B14*$E416))*'Business Case'!$B$7-'Business Case'!$B$8*('Business Case'!B11*$C416*'Business Case'!B12*$B416)-'Business Case'!B15*$F416</f>
        <v>-2096056495.36592</v>
      </c>
      <c r="I416" s="53" t="n">
        <f aca="false">(('Business Case'!C11*$C416*'Business Case'!C12*$B416)-'Business Case'!C11*$C416*'Business Case'!C13*$D416-'Business Case'!C14*$E416)-MAX(0,(('Business Case'!C11*$C416*'Business Case'!C12*$B416)-'Business Case'!C11*$C416*'Business Case'!C13*$D416-'Business Case'!C14*$E416))*'Business Case'!$B$7-'Business Case'!$B$8*(('Business Case'!C11*$C416*'Business Case'!C12*$B416)-('Business Case'!B11*$C416*'Business Case'!B12*$B416))-'Business Case'!C15*$F416</f>
        <v>22852825.2555466</v>
      </c>
      <c r="J416" s="53" t="n">
        <f aca="false">(('Business Case'!D11*$C416*'Business Case'!D12*$B416)-'Business Case'!D11*$C416*'Business Case'!D13*$D416-'Business Case'!D14*$E416)-MAX(0,(('Business Case'!D11*$C416*'Business Case'!D12*$B416)-'Business Case'!D11*$C416*'Business Case'!D13*$D416-'Business Case'!D14*$E416))*'Business Case'!$B$7-'Business Case'!$B$8*(('Business Case'!D11*$C416*'Business Case'!D12*$B416)-('Business Case'!C11*$C416*'Business Case'!C12*$B416))-'Business Case'!D15*$F416</f>
        <v>339326490.382751</v>
      </c>
      <c r="K416" s="53" t="n">
        <f aca="false">(('Business Case'!E11*$C416*'Business Case'!E12*$B416)-'Business Case'!E11*$C416*'Business Case'!E13*$D416-'Business Case'!E14*$E416)-MAX(0,(('Business Case'!E11*$C416*'Business Case'!E12*$B416)-'Business Case'!E11*$C416*'Business Case'!E13*$D416-'Business Case'!E14*$E416))*'Business Case'!$B$7-'Business Case'!$B$8*(('Business Case'!E11*$C416*'Business Case'!E12*$B416)-('Business Case'!D11*$C416*'Business Case'!D12*$B416))-'Business Case'!E15*$F416</f>
        <v>708201567.894103</v>
      </c>
      <c r="L416" s="53" t="n">
        <f aca="false">(('Business Case'!F11*$C416*'Business Case'!F12*$B416)-'Business Case'!F11*$C416*'Business Case'!F13*$D416-'Business Case'!F14*$E416)-MAX(0,(('Business Case'!F11*$C416*'Business Case'!F12*$B416)-'Business Case'!F11*$C416*'Business Case'!F13*$D416-'Business Case'!F14*$E416))*'Business Case'!$B$7-'Business Case'!$B$8*(('Business Case'!F11*$C416*'Business Case'!F12*$B416)-('Business Case'!E11*$C416*'Business Case'!E12*$B416))-'Business Case'!F15*$F416</f>
        <v>847511500.290091</v>
      </c>
      <c r="M416" s="53" t="n">
        <f aca="false">(('Business Case'!G11*$C416*'Business Case'!G12*$B416)-'Business Case'!G11*$C416*'Business Case'!G13*$D416-'Business Case'!G14*$E416)-MAX(0,(('Business Case'!G11*$C416*'Business Case'!G12*$B416)-'Business Case'!G11*$C416*'Business Case'!G13*$D416-'Business Case'!G14*$E416))*'Business Case'!$B$7-'Business Case'!$B$8*(('Business Case'!G11*$C416*'Business Case'!G12*$B416)-('Business Case'!F11*$C416*'Business Case'!F12*$B416))-'Business Case'!G15*$F416+'Business Case'!$B$8*('Business Case'!G11*$C416*'Business Case'!G12*$B416)</f>
        <v>1033514409.06815</v>
      </c>
      <c r="N416" s="53" t="n">
        <f aca="false">IF(COUNT('Business Case'!B11:G11)=0,"",H416+NPV(G416,I416:M416))</f>
        <v>-44357836.3345289</v>
      </c>
      <c r="P416" s="54" t="n">
        <f aca="true">RAND()</f>
        <v>0.858728367582018</v>
      </c>
      <c r="Q416" s="54" t="n">
        <f aca="true">RAND()</f>
        <v>0.389299068725601</v>
      </c>
      <c r="R416" s="54" t="n">
        <f aca="true">RAND()</f>
        <v>0.155146675659386</v>
      </c>
      <c r="S416" s="54" t="n">
        <f aca="true">RAND()</f>
        <v>0.0593427008339529</v>
      </c>
      <c r="T416" s="54" t="n">
        <f aca="true">RAND()</f>
        <v>0.53809172995375</v>
      </c>
      <c r="U416" s="54" t="n">
        <f aca="true">RAND()</f>
        <v>0.354008306182067</v>
      </c>
    </row>
    <row r="417" customFormat="false" ht="15" hidden="false" customHeight="false" outlineLevel="0" collapsed="false">
      <c r="A417" s="50" t="n">
        <v>337</v>
      </c>
      <c r="B417" s="51" t="n">
        <f aca="false">1+IF($G$6=$E$6,$F$6,IF(P417&lt;($F$6-$E$6)/($G$6-$E$6),$E$6+SQRT(P417*($G$6-$E$6)*($F$6-$E$6)),$G$6-SQRT((1-P417)*($G$6-$E$6)*($G$6-$F$6))))</f>
        <v>1.02565404945089</v>
      </c>
      <c r="C417" s="51" t="n">
        <f aca="false">1+IF($G$7=$E$7,$F$7,IF(Q417&lt;($F$7-$E$7)/($G$7-$E$7),$E$7+SQRT(Q417*($G$7-$E$7)*($F$7-$E$7)),$G$7-SQRT((1-Q417)*($G$7-$E$7)*($G$7-$F$7))))</f>
        <v>0.974294337282929</v>
      </c>
      <c r="D417" s="51" t="n">
        <f aca="false">1+IF($G$8=$E$8,$F$8,IF(R417&lt;($F$8-$E$8)/($G$8-$E$8),$E$8+SQRT(R417*($G$8-$E$8)*($F$8-$E$8)),$G$8-SQRT((1-R417)*($G$8-$E$8)*($G$8-$F$8))))</f>
        <v>1.04892277549713</v>
      </c>
      <c r="E417" s="51" t="n">
        <f aca="false">1+IF($G$9=$E$9,$F$9,IF(S417&lt;($F$9-$E$9)/($G$9-$E$9),$E$9+SQRT(S417*($G$9-$E$9)*($F$9-$E$9)),$G$9-SQRT((1-S417)*($G$9-$E$9)*($G$9-$F$9))))</f>
        <v>1.04707422514167</v>
      </c>
      <c r="F417" s="51" t="n">
        <f aca="false">1+IF($G$10=$E$10,$F$10,IF(T417&lt;($F$10-$E$10)/($G$10-$E$10),$E$10+SQRT(T417*($G$10-$E$10)*($F$10-$E$10)),$G$10-SQRT((1-T417)*($G$10-$E$10)*($G$10-$F$10))))</f>
        <v>1.08259848377945</v>
      </c>
      <c r="G417" s="52" t="n">
        <f aca="false">IF($G$11=$E$11,$F$11,IF(U417&lt;($F$11-$E$11)/($G$11-$E$11),$E$11+SQRT(U417*($G$11-$E$11)*($F$11-$E$11)),$G$11-SQRT((1-U417)*($G$11-$E$11)*($G$11-$F$11))))</f>
        <v>0.110434367217566</v>
      </c>
      <c r="H417" s="53" t="n">
        <f aca="false">(('Business Case'!B11*$C417*'Business Case'!B12*$B417)-'Business Case'!B11*$C417*'Business Case'!B13*$D417-'Business Case'!B14*$E417)-MAX(0,(('Business Case'!B11*$C417*'Business Case'!B12*$B417)-'Business Case'!B11*$C417*'Business Case'!B13*$D417-'Business Case'!B14*$E417))*'Business Case'!$B$7-'Business Case'!$B$8*('Business Case'!B11*$C417*'Business Case'!B12*$B417)-'Business Case'!B15*$F417</f>
        <v>-2165196967.5589</v>
      </c>
      <c r="I417" s="53" t="n">
        <f aca="false">(('Business Case'!C11*$C417*'Business Case'!C12*$B417)-'Business Case'!C11*$C417*'Business Case'!C13*$D417-'Business Case'!C14*$E417)-MAX(0,(('Business Case'!C11*$C417*'Business Case'!C12*$B417)-'Business Case'!C11*$C417*'Business Case'!C13*$D417-'Business Case'!C14*$E417))*'Business Case'!$B$7-'Business Case'!$B$8*(('Business Case'!C11*$C417*'Business Case'!C12*$B417)-('Business Case'!B11*$C417*'Business Case'!B12*$B417))-'Business Case'!C15*$F417</f>
        <v>-13628874.7069496</v>
      </c>
      <c r="J417" s="53" t="n">
        <f aca="false">(('Business Case'!D11*$C417*'Business Case'!D12*$B417)-'Business Case'!D11*$C417*'Business Case'!D13*$D417-'Business Case'!D14*$E417)-MAX(0,(('Business Case'!D11*$C417*'Business Case'!D12*$B417)-'Business Case'!D11*$C417*'Business Case'!D13*$D417-'Business Case'!D14*$E417))*'Business Case'!$B$7-'Business Case'!$B$8*(('Business Case'!D11*$C417*'Business Case'!D12*$B417)-('Business Case'!C11*$C417*'Business Case'!C12*$B417))-'Business Case'!D15*$F417</f>
        <v>281699192.034357</v>
      </c>
      <c r="K417" s="53" t="n">
        <f aca="false">(('Business Case'!E11*$C417*'Business Case'!E12*$B417)-'Business Case'!E11*$C417*'Business Case'!E13*$D417-'Business Case'!E14*$E417)-MAX(0,(('Business Case'!E11*$C417*'Business Case'!E12*$B417)-'Business Case'!E11*$C417*'Business Case'!E13*$D417-'Business Case'!E14*$E417))*'Business Case'!$B$7-'Business Case'!$B$8*(('Business Case'!E11*$C417*'Business Case'!E12*$B417)-('Business Case'!D11*$C417*'Business Case'!D12*$B417))-'Business Case'!E15*$F417</f>
        <v>631157182.964637</v>
      </c>
      <c r="L417" s="53" t="n">
        <f aca="false">(('Business Case'!F11*$C417*'Business Case'!F12*$B417)-'Business Case'!F11*$C417*'Business Case'!F13*$D417-'Business Case'!F14*$E417)-MAX(0,(('Business Case'!F11*$C417*'Business Case'!F12*$B417)-'Business Case'!F11*$C417*'Business Case'!F13*$D417-'Business Case'!F14*$E417))*'Business Case'!$B$7-'Business Case'!$B$8*(('Business Case'!F11*$C417*'Business Case'!F12*$B417)-('Business Case'!E11*$C417*'Business Case'!E12*$B417))-'Business Case'!F15*$F417</f>
        <v>764135297.38185</v>
      </c>
      <c r="M417" s="53" t="n">
        <f aca="false">(('Business Case'!G11*$C417*'Business Case'!G12*$B417)-'Business Case'!G11*$C417*'Business Case'!G13*$D417-'Business Case'!G14*$E417)-MAX(0,(('Business Case'!G11*$C417*'Business Case'!G12*$B417)-'Business Case'!G11*$C417*'Business Case'!G13*$D417-'Business Case'!G14*$E417))*'Business Case'!$B$7-'Business Case'!$B$8*(('Business Case'!G11*$C417*'Business Case'!G12*$B417)-('Business Case'!F11*$C417*'Business Case'!F12*$B417))-'Business Case'!G15*$F417+'Business Case'!$B$8*('Business Case'!G11*$C417*'Business Case'!G12*$B417)</f>
        <v>954080137.65079</v>
      </c>
      <c r="N417" s="53" t="n">
        <f aca="false">IF(COUNT('Business Case'!B11:G11)=0,"",H417+NPV(G417,I417:M417))</f>
        <v>-420394496.491821</v>
      </c>
      <c r="P417" s="54" t="n">
        <f aca="true">RAND()</f>
        <v>0.957123688092211</v>
      </c>
      <c r="Q417" s="54" t="n">
        <f aca="true">RAND()</f>
        <v>0.433978800127079</v>
      </c>
      <c r="R417" s="54" t="n">
        <f aca="true">RAND()</f>
        <v>0.907135203576774</v>
      </c>
      <c r="S417" s="54" t="n">
        <f aca="true">RAND()</f>
        <v>0.813257490376374</v>
      </c>
      <c r="T417" s="54" t="n">
        <f aca="true">RAND()</f>
        <v>0.724337679782326</v>
      </c>
      <c r="U417" s="54" t="n">
        <f aca="true">RAND()</f>
        <v>0.847497782452713</v>
      </c>
    </row>
    <row r="418" customFormat="false" ht="15" hidden="false" customHeight="false" outlineLevel="0" collapsed="false">
      <c r="A418" s="50" t="n">
        <v>338</v>
      </c>
      <c r="B418" s="51" t="n">
        <f aca="false">1+IF($G$6=$E$6,$F$6,IF(P418&lt;($F$6-$E$6)/($G$6-$E$6),$E$6+SQRT(P418*($G$6-$E$6)*($F$6-$E$6)),$G$6-SQRT((1-P418)*($G$6-$E$6)*($G$6-$F$6))))</f>
        <v>0.966899461488302</v>
      </c>
      <c r="C418" s="51" t="n">
        <f aca="false">1+IF($G$7=$E$7,$F$7,IF(Q418&lt;($F$7-$E$7)/($G$7-$E$7),$E$7+SQRT(Q418*($G$7-$E$7)*($F$7-$E$7)),$G$7-SQRT((1-Q418)*($G$7-$E$7)*($G$7-$F$7))))</f>
        <v>1.00391819852055</v>
      </c>
      <c r="D418" s="51" t="n">
        <f aca="false">1+IF($G$8=$E$8,$F$8,IF(R418&lt;($F$8-$E$8)/($G$8-$E$8),$E$8+SQRT(R418*($G$8-$E$8)*($F$8-$E$8)),$G$8-SQRT((1-R418)*($G$8-$E$8)*($G$8-$F$8))))</f>
        <v>1.0142787651915</v>
      </c>
      <c r="E418" s="51" t="n">
        <f aca="false">1+IF($G$9=$E$9,$F$9,IF(S418&lt;($F$9-$E$9)/($G$9-$E$9),$E$9+SQRT(S418*($G$9-$E$9)*($F$9-$E$9)),$G$9-SQRT((1-S418)*($G$9-$E$9)*($G$9-$F$9))))</f>
        <v>1.06478818730353</v>
      </c>
      <c r="F418" s="51" t="n">
        <f aca="false">1+IF($G$10=$E$10,$F$10,IF(T418&lt;($F$10-$E$10)/($G$10-$E$10),$E$10+SQRT(T418*($G$10-$E$10)*($F$10-$E$10)),$G$10-SQRT((1-T418)*($G$10-$E$10)*($G$10-$F$10))))</f>
        <v>0.982850603220533</v>
      </c>
      <c r="G418" s="52" t="n">
        <f aca="false">IF($G$11=$E$11,$F$11,IF(U418&lt;($F$11-$E$11)/($G$11-$E$11),$E$11+SQRT(U418*($G$11-$E$11)*($F$11-$E$11)),$G$11-SQRT((1-U418)*($G$11-$E$11)*($G$11-$F$11))))</f>
        <v>0.112840631940752</v>
      </c>
      <c r="H418" s="53" t="n">
        <f aca="false">(('Business Case'!B11*$C418*'Business Case'!B12*$B418)-'Business Case'!B11*$C418*'Business Case'!B13*$D418-'Business Case'!B14*$E418)-MAX(0,(('Business Case'!B11*$C418*'Business Case'!B12*$B418)-'Business Case'!B11*$C418*'Business Case'!B13*$D418-'Business Case'!B14*$E418))*'Business Case'!$B$7-'Business Case'!$B$8*('Business Case'!B11*$C418*'Business Case'!B12*$B418)-'Business Case'!B15*$F418</f>
        <v>-1965701206.44107</v>
      </c>
      <c r="I418" s="53" t="n">
        <f aca="false">(('Business Case'!C11*$C418*'Business Case'!C12*$B418)-'Business Case'!C11*$C418*'Business Case'!C13*$D418-'Business Case'!C14*$E418)-MAX(0,(('Business Case'!C11*$C418*'Business Case'!C12*$B418)-'Business Case'!C11*$C418*'Business Case'!C13*$D418-'Business Case'!C14*$E418))*'Business Case'!$B$7-'Business Case'!$B$8*(('Business Case'!C11*$C418*'Business Case'!C12*$B418)-('Business Case'!B11*$C418*'Business Case'!B12*$B418))-'Business Case'!C15*$F418</f>
        <v>-26219101.4592432</v>
      </c>
      <c r="J418" s="53" t="n">
        <f aca="false">(('Business Case'!D11*$C418*'Business Case'!D12*$B418)-'Business Case'!D11*$C418*'Business Case'!D13*$D418-'Business Case'!D14*$E418)-MAX(0,(('Business Case'!D11*$C418*'Business Case'!D12*$B418)-'Business Case'!D11*$C418*'Business Case'!D13*$D418-'Business Case'!D14*$E418))*'Business Case'!$B$7-'Business Case'!$B$8*(('Business Case'!D11*$C418*'Business Case'!D12*$B418)-('Business Case'!C11*$C418*'Business Case'!C12*$B418))-'Business Case'!D15*$F418</f>
        <v>247580201.771091</v>
      </c>
      <c r="K418" s="53" t="n">
        <f aca="false">(('Business Case'!E11*$C418*'Business Case'!E12*$B418)-'Business Case'!E11*$C418*'Business Case'!E13*$D418-'Business Case'!E14*$E418)-MAX(0,(('Business Case'!E11*$C418*'Business Case'!E12*$B418)-'Business Case'!E11*$C418*'Business Case'!E13*$D418-'Business Case'!E14*$E418))*'Business Case'!$B$7-'Business Case'!$B$8*(('Business Case'!E11*$C418*'Business Case'!E12*$B418)-('Business Case'!D11*$C418*'Business Case'!D12*$B418))-'Business Case'!E15*$F418</f>
        <v>570522035.162452</v>
      </c>
      <c r="L418" s="53" t="n">
        <f aca="false">(('Business Case'!F11*$C418*'Business Case'!F12*$B418)-'Business Case'!F11*$C418*'Business Case'!F13*$D418-'Business Case'!F14*$E418)-MAX(0,(('Business Case'!F11*$C418*'Business Case'!F12*$B418)-'Business Case'!F11*$C418*'Business Case'!F13*$D418-'Business Case'!F14*$E418))*'Business Case'!$B$7-'Business Case'!$B$8*(('Business Case'!F11*$C418*'Business Case'!F12*$B418)-('Business Case'!E11*$C418*'Business Case'!E12*$B418))-'Business Case'!F15*$F418</f>
        <v>695335445.661205</v>
      </c>
      <c r="M418" s="53" t="n">
        <f aca="false">(('Business Case'!G11*$C418*'Business Case'!G12*$B418)-'Business Case'!G11*$C418*'Business Case'!G13*$D418-'Business Case'!G14*$E418)-MAX(0,(('Business Case'!G11*$C418*'Business Case'!G12*$B418)-'Business Case'!G11*$C418*'Business Case'!G13*$D418-'Business Case'!G14*$E418))*'Business Case'!$B$7-'Business Case'!$B$8*(('Business Case'!G11*$C418*'Business Case'!G12*$B418)-('Business Case'!F11*$C418*'Business Case'!F12*$B418))-'Business Case'!G15*$F418+'Business Case'!$B$8*('Business Case'!G11*$C418*'Business Case'!G12*$B418)</f>
        <v>879843814.148734</v>
      </c>
      <c r="N418" s="53" t="n">
        <f aca="false">IF(COUNT('Business Case'!B11:G11)=0,"",H418+NPV(G418,I418:M418))</f>
        <v>-406475784.984919</v>
      </c>
      <c r="P418" s="54" t="n">
        <f aca="true">RAND()</f>
        <v>0.229120779988823</v>
      </c>
      <c r="Q418" s="54" t="n">
        <f aca="true">RAND()</f>
        <v>0.593525852886074</v>
      </c>
      <c r="R418" s="54" t="n">
        <f aca="true">RAND()</f>
        <v>0.584684547619804</v>
      </c>
      <c r="S418" s="54" t="n">
        <f aca="true">RAND()</f>
        <v>0.917341883108562</v>
      </c>
      <c r="T418" s="54" t="n">
        <f aca="true">RAND()</f>
        <v>0.0863329705562299</v>
      </c>
      <c r="U418" s="54" t="n">
        <f aca="true">RAND()</f>
        <v>0.91457241498704</v>
      </c>
    </row>
    <row r="419" customFormat="false" ht="15" hidden="false" customHeight="false" outlineLevel="0" collapsed="false">
      <c r="A419" s="50" t="n">
        <v>339</v>
      </c>
      <c r="B419" s="51" t="n">
        <f aca="false">1+IF($G$6=$E$6,$F$6,IF(P419&lt;($F$6-$E$6)/($G$6-$E$6),$E$6+SQRT(P419*($G$6-$E$6)*($F$6-$E$6)),$G$6-SQRT((1-P419)*($G$6-$E$6)*($G$6-$F$6))))</f>
        <v>1.01706424668383</v>
      </c>
      <c r="C419" s="51" t="n">
        <f aca="false">1+IF($G$7=$E$7,$F$7,IF(Q419&lt;($F$7-$E$7)/($G$7-$E$7),$E$7+SQRT(Q419*($G$7-$E$7)*($F$7-$E$7)),$G$7-SQRT((1-Q419)*($G$7-$E$7)*($G$7-$F$7))))</f>
        <v>0.850264682590998</v>
      </c>
      <c r="D419" s="51" t="n">
        <f aca="false">1+IF($G$8=$E$8,$F$8,IF(R419&lt;($F$8-$E$8)/($G$8-$E$8),$E$8+SQRT(R419*($G$8-$E$8)*($F$8-$E$8)),$G$8-SQRT((1-R419)*($G$8-$E$8)*($G$8-$F$8))))</f>
        <v>1.0404375112933</v>
      </c>
      <c r="E419" s="51" t="n">
        <f aca="false">1+IF($G$9=$E$9,$F$9,IF(S419&lt;($F$9-$E$9)/($G$9-$E$9),$E$9+SQRT(S419*($G$9-$E$9)*($F$9-$E$9)),$G$9-SQRT((1-S419)*($G$9-$E$9)*($G$9-$F$9))))</f>
        <v>1.03073767837796</v>
      </c>
      <c r="F419" s="51" t="n">
        <f aca="false">1+IF($G$10=$E$10,$F$10,IF(T419&lt;($F$10-$E$10)/($G$10-$E$10),$E$10+SQRT(T419*($G$10-$E$10)*($F$10-$E$10)),$G$10-SQRT((1-T419)*($G$10-$E$10)*($G$10-$F$10))))</f>
        <v>1.08299882566688</v>
      </c>
      <c r="G419" s="52" t="n">
        <f aca="false">IF($G$11=$E$11,$F$11,IF(U419&lt;($F$11-$E$11)/($G$11-$E$11),$E$11+SQRT(U419*($G$11-$E$11)*($F$11-$E$11)),$G$11-SQRT((1-U419)*($G$11-$E$11)*($G$11-$F$11))))</f>
        <v>0.112272962401693</v>
      </c>
      <c r="H419" s="53" t="n">
        <f aca="false">(('Business Case'!B11*$C419*'Business Case'!B12*$B419)-'Business Case'!B11*$C419*'Business Case'!B13*$D419-'Business Case'!B14*$E419)-MAX(0,(('Business Case'!B11*$C419*'Business Case'!B12*$B419)-'Business Case'!B11*$C419*'Business Case'!B13*$D419-'Business Case'!B14*$E419))*'Business Case'!$B$7-'Business Case'!$B$8*('Business Case'!B11*$C419*'Business Case'!B12*$B419)-'Business Case'!B15*$F419</f>
        <v>-2165997651.33376</v>
      </c>
      <c r="I419" s="53" t="n">
        <f aca="false">(('Business Case'!C11*$C419*'Business Case'!C12*$B419)-'Business Case'!C11*$C419*'Business Case'!C13*$D419-'Business Case'!C14*$E419)-MAX(0,(('Business Case'!C11*$C419*'Business Case'!C12*$B419)-'Business Case'!C11*$C419*'Business Case'!C13*$D419-'Business Case'!C14*$E419))*'Business Case'!$B$7-'Business Case'!$B$8*(('Business Case'!C11*$C419*'Business Case'!C12*$B419)-('Business Case'!B11*$C419*'Business Case'!B12*$B419))-'Business Case'!C15*$F419</f>
        <v>-44257272.1061375</v>
      </c>
      <c r="J419" s="53" t="n">
        <f aca="false">(('Business Case'!D11*$C419*'Business Case'!D12*$B419)-'Business Case'!D11*$C419*'Business Case'!D13*$D419-'Business Case'!D14*$E419)-MAX(0,(('Business Case'!D11*$C419*'Business Case'!D12*$B419)-'Business Case'!D11*$C419*'Business Case'!D13*$D419-'Business Case'!D14*$E419))*'Business Case'!$B$7-'Business Case'!$B$8*(('Business Case'!D11*$C419*'Business Case'!D12*$B419)-('Business Case'!C11*$C419*'Business Case'!C12*$B419))-'Business Case'!D15*$F419</f>
        <v>211186110.472164</v>
      </c>
      <c r="K419" s="53" t="n">
        <f aca="false">(('Business Case'!E11*$C419*'Business Case'!E12*$B419)-'Business Case'!E11*$C419*'Business Case'!E13*$D419-'Business Case'!E14*$E419)-MAX(0,(('Business Case'!E11*$C419*'Business Case'!E12*$B419)-'Business Case'!E11*$C419*'Business Case'!E13*$D419-'Business Case'!E14*$E419))*'Business Case'!$B$7-'Business Case'!$B$8*(('Business Case'!E11*$C419*'Business Case'!E12*$B419)-('Business Case'!D11*$C419*'Business Case'!D12*$B419))-'Business Case'!E15*$F419</f>
        <v>520779434.333811</v>
      </c>
      <c r="L419" s="53" t="n">
        <f aca="false">(('Business Case'!F11*$C419*'Business Case'!F12*$B419)-'Business Case'!F11*$C419*'Business Case'!F13*$D419-'Business Case'!F14*$E419)-MAX(0,(('Business Case'!F11*$C419*'Business Case'!F12*$B419)-'Business Case'!F11*$C419*'Business Case'!F13*$D419-'Business Case'!F14*$E419))*'Business Case'!$B$7-'Business Case'!$B$8*(('Business Case'!F11*$C419*'Business Case'!F12*$B419)-('Business Case'!E11*$C419*'Business Case'!E12*$B419))-'Business Case'!F15*$F419</f>
        <v>635813811.361515</v>
      </c>
      <c r="M419" s="53" t="n">
        <f aca="false">(('Business Case'!G11*$C419*'Business Case'!G12*$B419)-'Business Case'!G11*$C419*'Business Case'!G13*$D419-'Business Case'!G14*$E419)-MAX(0,(('Business Case'!G11*$C419*'Business Case'!G12*$B419)-'Business Case'!G11*$C419*'Business Case'!G13*$D419-'Business Case'!G14*$E419))*'Business Case'!$B$7-'Business Case'!$B$8*(('Business Case'!G11*$C419*'Business Case'!G12*$B419)-('Business Case'!F11*$C419*'Business Case'!F12*$B419))-'Business Case'!G15*$F419+'Business Case'!$B$8*('Business Case'!G11*$C419*'Business Case'!G12*$B419)</f>
        <v>800190016.953669</v>
      </c>
      <c r="N419" s="53" t="n">
        <f aca="false">IF(COUNT('Business Case'!B11:G11)=0,"",H419+NPV(G419,I419:M419))</f>
        <v>-771165596.830334</v>
      </c>
      <c r="P419" s="54" t="n">
        <f aca="true">RAND()</f>
        <v>0.890406504129137</v>
      </c>
      <c r="Q419" s="54" t="n">
        <f aca="true">RAND()</f>
        <v>0.0360934045139117</v>
      </c>
      <c r="R419" s="54" t="n">
        <f aca="true">RAND()</f>
        <v>0.849500912243488</v>
      </c>
      <c r="S419" s="54" t="n">
        <f aca="true">RAND()</f>
        <v>0.680182053568324</v>
      </c>
      <c r="T419" s="54" t="n">
        <f aca="true">RAND()</f>
        <v>0.726214504093425</v>
      </c>
      <c r="U419" s="54" t="n">
        <f aca="true">RAND()</f>
        <v>0.900488149923906</v>
      </c>
    </row>
    <row r="420" customFormat="false" ht="15" hidden="false" customHeight="false" outlineLevel="0" collapsed="false">
      <c r="A420" s="50" t="n">
        <v>340</v>
      </c>
      <c r="B420" s="51" t="n">
        <f aca="false">1+IF($G$6=$E$6,$F$6,IF(P420&lt;($F$6-$E$6)/($G$6-$E$6),$E$6+SQRT(P420*($G$6-$E$6)*($F$6-$E$6)),$G$6-SQRT((1-P420)*($G$6-$E$6)*($G$6-$F$6))))</f>
        <v>0.977818836791278</v>
      </c>
      <c r="C420" s="51" t="n">
        <f aca="false">1+IF($G$7=$E$7,$F$7,IF(Q420&lt;($F$7-$E$7)/($G$7-$E$7),$E$7+SQRT(Q420*($G$7-$E$7)*($F$7-$E$7)),$G$7-SQRT((1-Q420)*($G$7-$E$7)*($G$7-$F$7))))</f>
        <v>0.980103996300699</v>
      </c>
      <c r="D420" s="51" t="n">
        <f aca="false">1+IF($G$8=$E$8,$F$8,IF(R420&lt;($F$8-$E$8)/($G$8-$E$8),$E$8+SQRT(R420*($G$8-$E$8)*($F$8-$E$8)),$G$8-SQRT((1-R420)*($G$8-$E$8)*($G$8-$F$8))))</f>
        <v>0.98317359075251</v>
      </c>
      <c r="E420" s="51" t="n">
        <f aca="false">1+IF($G$9=$E$9,$F$9,IF(S420&lt;($F$9-$E$9)/($G$9-$E$9),$E$9+SQRT(S420*($G$9-$E$9)*($F$9-$E$9)),$G$9-SQRT((1-S420)*($G$9-$E$9)*($G$9-$F$9))))</f>
        <v>1.04914946795792</v>
      </c>
      <c r="F420" s="51" t="n">
        <f aca="false">1+IF($G$10=$E$10,$F$10,IF(T420&lt;($F$10-$E$10)/($G$10-$E$10),$E$10+SQRT(T420*($G$10-$E$10)*($F$10-$E$10)),$G$10-SQRT((1-T420)*($G$10-$E$10)*($G$10-$F$10))))</f>
        <v>1.0189793923218</v>
      </c>
      <c r="G420" s="52" t="n">
        <f aca="false">IF($G$11=$E$11,$F$11,IF(U420&lt;($F$11-$E$11)/($G$11-$E$11),$E$11+SQRT(U420*($G$11-$E$11)*($F$11-$E$11)),$G$11-SQRT((1-U420)*($G$11-$E$11)*($G$11-$F$11))))</f>
        <v>0.0997514329700589</v>
      </c>
      <c r="H420" s="53" t="n">
        <f aca="false">(('Business Case'!B11*$C420*'Business Case'!B12*$B420)-'Business Case'!B11*$C420*'Business Case'!B13*$D420-'Business Case'!B14*$E420)-MAX(0,(('Business Case'!B11*$C420*'Business Case'!B12*$B420)-'Business Case'!B11*$C420*'Business Case'!B13*$D420-'Business Case'!B14*$E420))*'Business Case'!$B$7-'Business Case'!$B$8*('Business Case'!B11*$C420*'Business Case'!B12*$B420)-'Business Case'!B15*$F420</f>
        <v>-2037958784.64359</v>
      </c>
      <c r="I420" s="53" t="n">
        <f aca="false">(('Business Case'!C11*$C420*'Business Case'!C12*$B420)-'Business Case'!C11*$C420*'Business Case'!C13*$D420-'Business Case'!C14*$E420)-MAX(0,(('Business Case'!C11*$C420*'Business Case'!C12*$B420)-'Business Case'!C11*$C420*'Business Case'!C13*$D420-'Business Case'!C14*$E420))*'Business Case'!$B$7-'Business Case'!$B$8*(('Business Case'!C11*$C420*'Business Case'!C12*$B420)-('Business Case'!B11*$C420*'Business Case'!B12*$B420))-'Business Case'!C15*$F420</f>
        <v>-9091792.42395127</v>
      </c>
      <c r="J420" s="53" t="n">
        <f aca="false">(('Business Case'!D11*$C420*'Business Case'!D12*$B420)-'Business Case'!D11*$C420*'Business Case'!D13*$D420-'Business Case'!D14*$E420)-MAX(0,(('Business Case'!D11*$C420*'Business Case'!D12*$B420)-'Business Case'!D11*$C420*'Business Case'!D13*$D420-'Business Case'!D14*$E420))*'Business Case'!$B$7-'Business Case'!$B$8*(('Business Case'!D11*$C420*'Business Case'!D12*$B420)-('Business Case'!C11*$C420*'Business Case'!C12*$B420))-'Business Case'!D15*$F420</f>
        <v>282585006.243014</v>
      </c>
      <c r="K420" s="53" t="n">
        <f aca="false">(('Business Case'!E11*$C420*'Business Case'!E12*$B420)-'Business Case'!E11*$C420*'Business Case'!E13*$D420-'Business Case'!E14*$E420)-MAX(0,(('Business Case'!E11*$C420*'Business Case'!E12*$B420)-'Business Case'!E11*$C420*'Business Case'!E13*$D420-'Business Case'!E14*$E420))*'Business Case'!$B$7-'Business Case'!$B$8*(('Business Case'!E11*$C420*'Business Case'!E12*$B420)-('Business Case'!D11*$C420*'Business Case'!D12*$B420))-'Business Case'!E15*$F420</f>
        <v>625210774.526069</v>
      </c>
      <c r="L420" s="53" t="n">
        <f aca="false">(('Business Case'!F11*$C420*'Business Case'!F12*$B420)-'Business Case'!F11*$C420*'Business Case'!F13*$D420-'Business Case'!F14*$E420)-MAX(0,(('Business Case'!F11*$C420*'Business Case'!F12*$B420)-'Business Case'!F11*$C420*'Business Case'!F13*$D420-'Business Case'!F14*$E420))*'Business Case'!$B$7-'Business Case'!$B$8*(('Business Case'!F11*$C420*'Business Case'!F12*$B420)-('Business Case'!E11*$C420*'Business Case'!E12*$B420))-'Business Case'!F15*$F420</f>
        <v>755557439.091804</v>
      </c>
      <c r="M420" s="53" t="n">
        <f aca="false">(('Business Case'!G11*$C420*'Business Case'!G12*$B420)-'Business Case'!G11*$C420*'Business Case'!G13*$D420-'Business Case'!G14*$E420)-MAX(0,(('Business Case'!G11*$C420*'Business Case'!G12*$B420)-'Business Case'!G11*$C420*'Business Case'!G13*$D420-'Business Case'!G14*$E420))*'Business Case'!$B$7-'Business Case'!$B$8*(('Business Case'!G11*$C420*'Business Case'!G12*$B420)-('Business Case'!F11*$C420*'Business Case'!F12*$B420))-'Business Case'!G15*$F420+'Business Case'!$B$8*('Business Case'!G11*$C420*'Business Case'!G12*$B420)</f>
        <v>937723296.647246</v>
      </c>
      <c r="N420" s="53" t="n">
        <f aca="false">IF(COUNT('Business Case'!B11:G11)=0,"",H420+NPV(G420,I420:M420))</f>
        <v>-243097013.684515</v>
      </c>
      <c r="P420" s="54" t="n">
        <f aca="true">RAND()</f>
        <v>0.34823102998921</v>
      </c>
      <c r="Q420" s="54" t="n">
        <f aca="true">RAND()</f>
        <v>0.46339213547832</v>
      </c>
      <c r="R420" s="54" t="n">
        <f aca="true">RAND()</f>
        <v>0.169305711294615</v>
      </c>
      <c r="S420" s="54" t="n">
        <f aca="true">RAND()</f>
        <v>0.827614892735833</v>
      </c>
      <c r="T420" s="54" t="n">
        <f aca="true">RAND()</f>
        <v>0.344630791916272</v>
      </c>
      <c r="U420" s="54" t="n">
        <f aca="true">RAND()</f>
        <v>0.316968149898506</v>
      </c>
    </row>
    <row r="421" customFormat="false" ht="15" hidden="false" customHeight="false" outlineLevel="0" collapsed="false">
      <c r="A421" s="50" t="n">
        <v>341</v>
      </c>
      <c r="B421" s="51" t="n">
        <f aca="false">1+IF($G$6=$E$6,$F$6,IF(P421&lt;($F$6-$E$6)/($G$6-$E$6),$E$6+SQRT(P421*($G$6-$E$6)*($F$6-$E$6)),$G$6-SQRT((1-P421)*($G$6-$E$6)*($G$6-$F$6))))</f>
        <v>1.02758064194333</v>
      </c>
      <c r="C421" s="51" t="n">
        <f aca="false">1+IF($G$7=$E$7,$F$7,IF(Q421&lt;($F$7-$E$7)/($G$7-$E$7),$E$7+SQRT(Q421*($G$7-$E$7)*($F$7-$E$7)),$G$7-SQRT((1-Q421)*($G$7-$E$7)*($G$7-$F$7))))</f>
        <v>1.03359743658213</v>
      </c>
      <c r="D421" s="51" t="n">
        <f aca="false">1+IF($G$8=$E$8,$F$8,IF(R421&lt;($F$8-$E$8)/($G$8-$E$8),$E$8+SQRT(R421*($G$8-$E$8)*($F$8-$E$8)),$G$8-SQRT((1-R421)*($G$8-$E$8)*($G$8-$F$8))))</f>
        <v>0.972936860471125</v>
      </c>
      <c r="E421" s="51" t="n">
        <f aca="false">1+IF($G$9=$E$9,$F$9,IF(S421&lt;($F$9-$E$9)/($G$9-$E$9),$E$9+SQRT(S421*($G$9-$E$9)*($F$9-$E$9)),$G$9-SQRT((1-S421)*($G$9-$E$9)*($G$9-$F$9))))</f>
        <v>1.01724277458854</v>
      </c>
      <c r="F421" s="51" t="n">
        <f aca="false">1+IF($G$10=$E$10,$F$10,IF(T421&lt;($F$10-$E$10)/($G$10-$E$10),$E$10+SQRT(T421*($G$10-$E$10)*($F$10-$E$10)),$G$10-SQRT((1-T421)*($G$10-$E$10)*($G$10-$F$10))))</f>
        <v>1.11042020364679</v>
      </c>
      <c r="G421" s="52" t="n">
        <f aca="false">IF($G$11=$E$11,$F$11,IF(U421&lt;($F$11-$E$11)/($G$11-$E$11),$E$11+SQRT(U421*($G$11-$E$11)*($F$11-$E$11)),$G$11-SQRT((1-U421)*($G$11-$E$11)*($G$11-$F$11))))</f>
        <v>0.102141560830913</v>
      </c>
      <c r="H421" s="53" t="n">
        <f aca="false">(('Business Case'!B11*$C421*'Business Case'!B12*$B421)-'Business Case'!B11*$C421*'Business Case'!B13*$D421-'Business Case'!B14*$E421)-MAX(0,(('Business Case'!B11*$C421*'Business Case'!B12*$B421)-'Business Case'!B11*$C421*'Business Case'!B13*$D421-'Business Case'!B14*$E421))*'Business Case'!$B$7-'Business Case'!$B$8*('Business Case'!B11*$C421*'Business Case'!B12*$B421)-'Business Case'!B15*$F421</f>
        <v>-2220840407.29358</v>
      </c>
      <c r="I421" s="53" t="n">
        <f aca="false">(('Business Case'!C11*$C421*'Business Case'!C12*$B421)-'Business Case'!C11*$C421*'Business Case'!C13*$D421-'Business Case'!C14*$E421)-MAX(0,(('Business Case'!C11*$C421*'Business Case'!C12*$B421)-'Business Case'!C11*$C421*'Business Case'!C13*$D421-'Business Case'!C14*$E421))*'Business Case'!$B$7-'Business Case'!$B$8*(('Business Case'!C11*$C421*'Business Case'!C12*$B421)-('Business Case'!B11*$C421*'Business Case'!B12*$B421))-'Business Case'!C15*$F421</f>
        <v>44387210.6192091</v>
      </c>
      <c r="J421" s="53" t="n">
        <f aca="false">(('Business Case'!D11*$C421*'Business Case'!D12*$B421)-'Business Case'!D11*$C421*'Business Case'!D13*$D421-'Business Case'!D14*$E421)-MAX(0,(('Business Case'!D11*$C421*'Business Case'!D12*$B421)-'Business Case'!D11*$C421*'Business Case'!D13*$D421-'Business Case'!D14*$E421))*'Business Case'!$B$7-'Business Case'!$B$8*(('Business Case'!D11*$C421*'Business Case'!D12*$B421)-('Business Case'!C11*$C421*'Business Case'!C12*$B421))-'Business Case'!D15*$F421</f>
        <v>399527872.699295</v>
      </c>
      <c r="K421" s="53" t="n">
        <f aca="false">(('Business Case'!E11*$C421*'Business Case'!E12*$B421)-'Business Case'!E11*$C421*'Business Case'!E13*$D421-'Business Case'!E14*$E421)-MAX(0,(('Business Case'!E11*$C421*'Business Case'!E12*$B421)-'Business Case'!E11*$C421*'Business Case'!E13*$D421-'Business Case'!E14*$E421))*'Business Case'!$B$7-'Business Case'!$B$8*(('Business Case'!E11*$C421*'Business Case'!E12*$B421)-('Business Case'!D11*$C421*'Business Case'!D12*$B421))-'Business Case'!E15*$F421</f>
        <v>810189544.961721</v>
      </c>
      <c r="L421" s="53" t="n">
        <f aca="false">(('Business Case'!F11*$C421*'Business Case'!F12*$B421)-'Business Case'!F11*$C421*'Business Case'!F13*$D421-'Business Case'!F14*$E421)-MAX(0,(('Business Case'!F11*$C421*'Business Case'!F12*$B421)-'Business Case'!F11*$C421*'Business Case'!F13*$D421-'Business Case'!F14*$E421))*'Business Case'!$B$7-'Business Case'!$B$8*(('Business Case'!F11*$C421*'Business Case'!F12*$B421)-('Business Case'!E11*$C421*'Business Case'!E12*$B421))-'Business Case'!F15*$F421</f>
        <v>965276104.688221</v>
      </c>
      <c r="M421" s="53" t="n">
        <f aca="false">(('Business Case'!G11*$C421*'Business Case'!G12*$B421)-'Business Case'!G11*$C421*'Business Case'!G13*$D421-'Business Case'!G14*$E421)-MAX(0,(('Business Case'!G11*$C421*'Business Case'!G12*$B421)-'Business Case'!G11*$C421*'Business Case'!G13*$D421-'Business Case'!G14*$E421))*'Business Case'!$B$7-'Business Case'!$B$8*(('Business Case'!G11*$C421*'Business Case'!G12*$B421)-('Business Case'!F11*$C421*'Business Case'!F12*$B421))-'Business Case'!G15*$F421+'Business Case'!$B$8*('Business Case'!G11*$C421*'Business Case'!G12*$B421)</f>
        <v>1167160969.37048</v>
      </c>
      <c r="N421" s="53" t="n">
        <f aca="false">IF(COUNT('Business Case'!B11:G11)=0,"",H421+NPV(G421,I421:M421))</f>
        <v>125394259.585838</v>
      </c>
      <c r="P421" s="54" t="n">
        <f aca="true">RAND()</f>
        <v>0.967866571970857</v>
      </c>
      <c r="Q421" s="54" t="n">
        <f aca="true">RAND()</f>
        <v>0.741913204376165</v>
      </c>
      <c r="R421" s="54" t="n">
        <f aca="true">RAND()</f>
        <v>0.0809383951187459</v>
      </c>
      <c r="S421" s="54" t="n">
        <f aca="true">RAND()</f>
        <v>0.543416109479827</v>
      </c>
      <c r="T421" s="54" t="n">
        <f aca="true">RAND()</f>
        <v>0.839509201706352</v>
      </c>
      <c r="U421" s="54" t="n">
        <f aca="true">RAND()</f>
        <v>0.468460250740024</v>
      </c>
    </row>
    <row r="422" customFormat="false" ht="15" hidden="false" customHeight="false" outlineLevel="0" collapsed="false">
      <c r="A422" s="50" t="n">
        <v>342</v>
      </c>
      <c r="B422" s="51" t="n">
        <f aca="false">1+IF($G$6=$E$6,$F$6,IF(P422&lt;($F$6-$E$6)/($G$6-$E$6),$E$6+SQRT(P422*($G$6-$E$6)*($F$6-$E$6)),$G$6-SQRT((1-P422)*($G$6-$E$6)*($G$6-$F$6))))</f>
        <v>1.00934820757093</v>
      </c>
      <c r="C422" s="51" t="n">
        <f aca="false">1+IF($G$7=$E$7,$F$7,IF(Q422&lt;($F$7-$E$7)/($G$7-$E$7),$E$7+SQRT(Q422*($G$7-$E$7)*($F$7-$E$7)),$G$7-SQRT((1-Q422)*($G$7-$E$7)*($G$7-$F$7))))</f>
        <v>1.00310652194845</v>
      </c>
      <c r="D422" s="51" t="n">
        <f aca="false">1+IF($G$8=$E$8,$F$8,IF(R422&lt;($F$8-$E$8)/($G$8-$E$8),$E$8+SQRT(R422*($G$8-$E$8)*($F$8-$E$8)),$G$8-SQRT((1-R422)*($G$8-$E$8)*($G$8-$F$8))))</f>
        <v>0.965636286846964</v>
      </c>
      <c r="E422" s="51" t="n">
        <f aca="false">1+IF($G$9=$E$9,$F$9,IF(S422&lt;($F$9-$E$9)/($G$9-$E$9),$E$9+SQRT(S422*($G$9-$E$9)*($F$9-$E$9)),$G$9-SQRT((1-S422)*($G$9-$E$9)*($G$9-$F$9))))</f>
        <v>0.952268113103685</v>
      </c>
      <c r="F422" s="51" t="n">
        <f aca="false">1+IF($G$10=$E$10,$F$10,IF(T422&lt;($F$10-$E$10)/($G$10-$E$10),$E$10+SQRT(T422*($G$10-$E$10)*($F$10-$E$10)),$G$10-SQRT((1-T422)*($G$10-$E$10)*($G$10-$F$10))))</f>
        <v>0.981778213295598</v>
      </c>
      <c r="G422" s="52" t="n">
        <f aca="false">IF($G$11=$E$11,$F$11,IF(U422&lt;($F$11-$E$11)/($G$11-$E$11),$E$11+SQRT(U422*($G$11-$E$11)*($F$11-$E$11)),$G$11-SQRT((1-U422)*($G$11-$E$11)*($G$11-$F$11))))</f>
        <v>0.0983500754824482</v>
      </c>
      <c r="H422" s="53" t="n">
        <f aca="false">(('Business Case'!B11*$C422*'Business Case'!B12*$B422)-'Business Case'!B11*$C422*'Business Case'!B13*$D422-'Business Case'!B14*$E422)-MAX(0,(('Business Case'!B11*$C422*'Business Case'!B12*$B422)-'Business Case'!B11*$C422*'Business Case'!B13*$D422-'Business Case'!B14*$E422))*'Business Case'!$B$7-'Business Case'!$B$8*('Business Case'!B11*$C422*'Business Case'!B12*$B422)-'Business Case'!B15*$F422</f>
        <v>-1963556426.5912</v>
      </c>
      <c r="I422" s="53" t="n">
        <f aca="false">(('Business Case'!C11*$C422*'Business Case'!C12*$B422)-'Business Case'!C11*$C422*'Business Case'!C13*$D422-'Business Case'!C14*$E422)-MAX(0,(('Business Case'!C11*$C422*'Business Case'!C12*$B422)-'Business Case'!C11*$C422*'Business Case'!C13*$D422-'Business Case'!C14*$E422))*'Business Case'!$B$7-'Business Case'!$B$8*(('Business Case'!C11*$C422*'Business Case'!C12*$B422)-('Business Case'!B11*$C422*'Business Case'!B12*$B422))-'Business Case'!C15*$F422</f>
        <v>47355430.3745305</v>
      </c>
      <c r="J422" s="53" t="n">
        <f aca="false">(('Business Case'!D11*$C422*'Business Case'!D12*$B422)-'Business Case'!D11*$C422*'Business Case'!D13*$D422-'Business Case'!D14*$E422)-MAX(0,(('Business Case'!D11*$C422*'Business Case'!D12*$B422)-'Business Case'!D11*$C422*'Business Case'!D13*$D422-'Business Case'!D14*$E422))*'Business Case'!$B$7-'Business Case'!$B$8*(('Business Case'!D11*$C422*'Business Case'!D12*$B422)-('Business Case'!C11*$C422*'Business Case'!C12*$B422))-'Business Case'!D15*$F422</f>
        <v>380788366.395207</v>
      </c>
      <c r="K422" s="53" t="n">
        <f aca="false">(('Business Case'!E11*$C422*'Business Case'!E12*$B422)-'Business Case'!E11*$C422*'Business Case'!E13*$D422-'Business Case'!E14*$E422)-MAX(0,(('Business Case'!E11*$C422*'Business Case'!E12*$B422)-'Business Case'!E11*$C422*'Business Case'!E13*$D422-'Business Case'!E14*$E422))*'Business Case'!$B$7-'Business Case'!$B$8*(('Business Case'!E11*$C422*'Business Case'!E12*$B422)-('Business Case'!D11*$C422*'Business Case'!D12*$B422))-'Business Case'!E15*$F422</f>
        <v>763310213.080664</v>
      </c>
      <c r="L422" s="53" t="n">
        <f aca="false">(('Business Case'!F11*$C422*'Business Case'!F12*$B422)-'Business Case'!F11*$C422*'Business Case'!F13*$D422-'Business Case'!F14*$E422)-MAX(0,(('Business Case'!F11*$C422*'Business Case'!F12*$B422)-'Business Case'!F11*$C422*'Business Case'!F13*$D422-'Business Case'!F14*$E422))*'Business Case'!$B$7-'Business Case'!$B$8*(('Business Case'!F11*$C422*'Business Case'!F12*$B422)-('Business Case'!E11*$C422*'Business Case'!E12*$B422))-'Business Case'!F15*$F422</f>
        <v>909445964.176385</v>
      </c>
      <c r="M422" s="53" t="n">
        <f aca="false">(('Business Case'!G11*$C422*'Business Case'!G12*$B422)-'Business Case'!G11*$C422*'Business Case'!G13*$D422-'Business Case'!G14*$E422)-MAX(0,(('Business Case'!G11*$C422*'Business Case'!G12*$B422)-'Business Case'!G11*$C422*'Business Case'!G13*$D422-'Business Case'!G14*$E422))*'Business Case'!$B$7-'Business Case'!$B$8*(('Business Case'!G11*$C422*'Business Case'!G12*$B422)-('Business Case'!F11*$C422*'Business Case'!F12*$B422))-'Business Case'!G15*$F422+'Business Case'!$B$8*('Business Case'!G11*$C422*'Business Case'!G12*$B422)</f>
        <v>1101898879.16494</v>
      </c>
      <c r="N422" s="53" t="n">
        <f aca="false">IF(COUNT('Business Case'!B11:G11)=0,"",H422+NPV(G422,I422:M422))</f>
        <v>285532092.996532</v>
      </c>
      <c r="P422" s="54" t="n">
        <f aca="true">RAND()</f>
        <v>0.804264087684464</v>
      </c>
      <c r="Q422" s="54" t="n">
        <f aca="true">RAND()</f>
        <v>0.588996306779394</v>
      </c>
      <c r="R422" s="54" t="n">
        <f aca="true">RAND()</f>
        <v>0.0376143794400827</v>
      </c>
      <c r="S422" s="54" t="n">
        <f aca="true">RAND()</f>
        <v>0.000685911606814154</v>
      </c>
      <c r="T422" s="54" t="n">
        <f aca="true">RAND()</f>
        <v>0.0807883872208423</v>
      </c>
      <c r="U422" s="54" t="n">
        <f aca="true">RAND()</f>
        <v>0.232412535208608</v>
      </c>
    </row>
    <row r="423" customFormat="false" ht="15" hidden="false" customHeight="false" outlineLevel="0" collapsed="false">
      <c r="A423" s="50" t="n">
        <v>343</v>
      </c>
      <c r="B423" s="51" t="n">
        <f aca="false">1+IF($G$6=$E$6,$F$6,IF(P423&lt;($F$6-$E$6)/($G$6-$E$6),$E$6+SQRT(P423*($G$6-$E$6)*($F$6-$E$6)),$G$6-SQRT((1-P423)*($G$6-$E$6)*($G$6-$F$6))))</f>
        <v>0.989293528506729</v>
      </c>
      <c r="C423" s="51" t="n">
        <f aca="false">1+IF($G$7=$E$7,$F$7,IF(Q423&lt;($F$7-$E$7)/($G$7-$E$7),$E$7+SQRT(Q423*($G$7-$E$7)*($F$7-$E$7)),$G$7-SQRT((1-Q423)*($G$7-$E$7)*($G$7-$F$7))))</f>
        <v>1.11615311217298</v>
      </c>
      <c r="D423" s="51" t="n">
        <f aca="false">1+IF($G$8=$E$8,$F$8,IF(R423&lt;($F$8-$E$8)/($G$8-$E$8),$E$8+SQRT(R423*($G$8-$E$8)*($F$8-$E$8)),$G$8-SQRT((1-R423)*($G$8-$E$8)*($G$8-$F$8))))</f>
        <v>1.01999745778925</v>
      </c>
      <c r="E423" s="51" t="n">
        <f aca="false">1+IF($G$9=$E$9,$F$9,IF(S423&lt;($F$9-$E$9)/($G$9-$E$9),$E$9+SQRT(S423*($G$9-$E$9)*($F$9-$E$9)),$G$9-SQRT((1-S423)*($G$9-$E$9)*($G$9-$F$9))))</f>
        <v>1.00601597995385</v>
      </c>
      <c r="F423" s="51" t="n">
        <f aca="false">1+IF($G$10=$E$10,$F$10,IF(T423&lt;($F$10-$E$10)/($G$10-$E$10),$E$10+SQRT(T423*($G$10-$E$10)*($F$10-$E$10)),$G$10-SQRT((1-T423)*($G$10-$E$10)*($G$10-$F$10))))</f>
        <v>1.05463888316165</v>
      </c>
      <c r="G423" s="52" t="n">
        <f aca="false">IF($G$11=$E$11,$F$11,IF(U423&lt;($F$11-$E$11)/($G$11-$E$11),$E$11+SQRT(U423*($G$11-$E$11)*($F$11-$E$11)),$G$11-SQRT((1-U423)*($G$11-$E$11)*($G$11-$F$11))))</f>
        <v>0.102160133403296</v>
      </c>
      <c r="H423" s="53" t="n">
        <f aca="false">(('Business Case'!B11*$C423*'Business Case'!B12*$B423)-'Business Case'!B11*$C423*'Business Case'!B13*$D423-'Business Case'!B14*$E423)-MAX(0,(('Business Case'!B11*$C423*'Business Case'!B12*$B423)-'Business Case'!B11*$C423*'Business Case'!B13*$D423-'Business Case'!B14*$E423))*'Business Case'!$B$7-'Business Case'!$B$8*('Business Case'!B11*$C423*'Business Case'!B12*$B423)-'Business Case'!B15*$F423</f>
        <v>-2109277766.3233</v>
      </c>
      <c r="I423" s="53" t="n">
        <f aca="false">(('Business Case'!C11*$C423*'Business Case'!C12*$B423)-'Business Case'!C11*$C423*'Business Case'!C13*$D423-'Business Case'!C14*$E423)-MAX(0,(('Business Case'!C11*$C423*'Business Case'!C12*$B423)-'Business Case'!C11*$C423*'Business Case'!C13*$D423-'Business Case'!C14*$E423))*'Business Case'!$B$7-'Business Case'!$B$8*(('Business Case'!C11*$C423*'Business Case'!C12*$B423)-('Business Case'!B11*$C423*'Business Case'!B12*$B423))-'Business Case'!C15*$F423</f>
        <v>15853283.6894255</v>
      </c>
      <c r="J423" s="53" t="n">
        <f aca="false">(('Business Case'!D11*$C423*'Business Case'!D12*$B423)-'Business Case'!D11*$C423*'Business Case'!D13*$D423-'Business Case'!D14*$E423)-MAX(0,(('Business Case'!D11*$C423*'Business Case'!D12*$B423)-'Business Case'!D11*$C423*'Business Case'!D13*$D423-'Business Case'!D14*$E423))*'Business Case'!$B$7-'Business Case'!$B$8*(('Business Case'!D11*$C423*'Business Case'!D12*$B423)-('Business Case'!C11*$C423*'Business Case'!C12*$B423))-'Business Case'!D15*$F423</f>
        <v>337467814.192501</v>
      </c>
      <c r="K423" s="53" t="n">
        <f aca="false">(('Business Case'!E11*$C423*'Business Case'!E12*$B423)-'Business Case'!E11*$C423*'Business Case'!E13*$D423-'Business Case'!E14*$E423)-MAX(0,(('Business Case'!E11*$C423*'Business Case'!E12*$B423)-'Business Case'!E11*$C423*'Business Case'!E13*$D423-'Business Case'!E14*$E423))*'Business Case'!$B$7-'Business Case'!$B$8*(('Business Case'!E11*$C423*'Business Case'!E12*$B423)-('Business Case'!D11*$C423*'Business Case'!D12*$B423))-'Business Case'!E15*$F423</f>
        <v>711814288.85366</v>
      </c>
      <c r="L423" s="53" t="n">
        <f aca="false">(('Business Case'!F11*$C423*'Business Case'!F12*$B423)-'Business Case'!F11*$C423*'Business Case'!F13*$D423-'Business Case'!F14*$E423)-MAX(0,(('Business Case'!F11*$C423*'Business Case'!F12*$B423)-'Business Case'!F11*$C423*'Business Case'!F13*$D423-'Business Case'!F14*$E423))*'Business Case'!$B$7-'Business Case'!$B$8*(('Business Case'!F11*$C423*'Business Case'!F12*$B423)-('Business Case'!E11*$C423*'Business Case'!E12*$B423))-'Business Case'!F15*$F423</f>
        <v>857180389.786716</v>
      </c>
      <c r="M423" s="53" t="n">
        <f aca="false">(('Business Case'!G11*$C423*'Business Case'!G12*$B423)-'Business Case'!G11*$C423*'Business Case'!G13*$D423-'Business Case'!G14*$E423)-MAX(0,(('Business Case'!G11*$C423*'Business Case'!G12*$B423)-'Business Case'!G11*$C423*'Business Case'!G13*$D423-'Business Case'!G14*$E423))*'Business Case'!$B$7-'Business Case'!$B$8*(('Business Case'!G11*$C423*'Business Case'!G12*$B423)-('Business Case'!F11*$C423*'Business Case'!F12*$B423))-'Business Case'!G15*$F423+'Business Case'!$B$8*('Business Case'!G11*$C423*'Business Case'!G12*$B423)</f>
        <v>1067067305.66289</v>
      </c>
      <c r="N423" s="53" t="n">
        <f aca="false">IF(COUNT('Business Case'!B11:G11)=0,"",H423+NPV(G423,I423:M423))</f>
        <v>-48441978.4730487</v>
      </c>
      <c r="P423" s="54" t="n">
        <f aca="true">RAND()</f>
        <v>0.500165947178417</v>
      </c>
      <c r="Q423" s="54" t="n">
        <f aca="true">RAND()</f>
        <v>0.978178822560476</v>
      </c>
      <c r="R423" s="54" t="n">
        <f aca="true">RAND()</f>
        <v>0.653816820023744</v>
      </c>
      <c r="S423" s="54" t="n">
        <f aca="true">RAND()</f>
        <v>0.411133598397624</v>
      </c>
      <c r="T423" s="54" t="n">
        <f aca="true">RAND()</f>
        <v>0.577402914230148</v>
      </c>
      <c r="U423" s="54" t="n">
        <f aca="true">RAND()</f>
        <v>0.469565266353025</v>
      </c>
    </row>
    <row r="424" customFormat="false" ht="15" hidden="false" customHeight="false" outlineLevel="0" collapsed="false">
      <c r="A424" s="50" t="n">
        <v>344</v>
      </c>
      <c r="B424" s="51" t="n">
        <f aca="false">1+IF($G$6=$E$6,$F$6,IF(P424&lt;($F$6-$E$6)/($G$6-$E$6),$E$6+SQRT(P424*($G$6-$E$6)*($F$6-$E$6)),$G$6-SQRT((1-P424)*($G$6-$E$6)*($G$6-$F$6))))</f>
        <v>0.997385776948252</v>
      </c>
      <c r="C424" s="51" t="n">
        <f aca="false">1+IF($G$7=$E$7,$F$7,IF(Q424&lt;($F$7-$E$7)/($G$7-$E$7),$E$7+SQRT(Q424*($G$7-$E$7)*($F$7-$E$7)),$G$7-SQRT((1-Q424)*($G$7-$E$7)*($G$7-$F$7))))</f>
        <v>0.989629417827006</v>
      </c>
      <c r="D424" s="51" t="n">
        <f aca="false">1+IF($G$8=$E$8,$F$8,IF(R424&lt;($F$8-$E$8)/($G$8-$E$8),$E$8+SQRT(R424*($G$8-$E$8)*($F$8-$E$8)),$G$8-SQRT((1-R424)*($G$8-$E$8)*($G$8-$F$8))))</f>
        <v>0.975348385438498</v>
      </c>
      <c r="E424" s="51" t="n">
        <f aca="false">1+IF($G$9=$E$9,$F$9,IF(S424&lt;($F$9-$E$9)/($G$9-$E$9),$E$9+SQRT(S424*($G$9-$E$9)*($F$9-$E$9)),$G$9-SQRT((1-S424)*($G$9-$E$9)*($G$9-$F$9))))</f>
        <v>1.07914908366855</v>
      </c>
      <c r="F424" s="51" t="n">
        <f aca="false">1+IF($G$10=$E$10,$F$10,IF(T424&lt;($F$10-$E$10)/($G$10-$E$10),$E$10+SQRT(T424*($G$10-$E$10)*($F$10-$E$10)),$G$10-SQRT((1-T424)*($G$10-$E$10)*($G$10-$F$10))))</f>
        <v>1.08426391620768</v>
      </c>
      <c r="G424" s="52" t="n">
        <f aca="false">IF($G$11=$E$11,$F$11,IF(U424&lt;($F$11-$E$11)/($G$11-$E$11),$E$11+SQRT(U424*($G$11-$E$11)*($F$11-$E$11)),$G$11-SQRT((1-U424)*($G$11-$E$11)*($G$11-$F$11))))</f>
        <v>0.0980040506090861</v>
      </c>
      <c r="H424" s="53" t="n">
        <f aca="false">(('Business Case'!B11*$C424*'Business Case'!B12*$B424)-'Business Case'!B11*$C424*'Business Case'!B13*$D424-'Business Case'!B14*$E424)-MAX(0,(('Business Case'!B11*$C424*'Business Case'!B12*$B424)-'Business Case'!B11*$C424*'Business Case'!B13*$D424-'Business Case'!B14*$E424))*'Business Case'!$B$7-'Business Case'!$B$8*('Business Case'!B11*$C424*'Business Case'!B12*$B424)-'Business Case'!B15*$F424</f>
        <v>-2168527832.41537</v>
      </c>
      <c r="I424" s="53" t="n">
        <f aca="false">(('Business Case'!C11*$C424*'Business Case'!C12*$B424)-'Business Case'!C11*$C424*'Business Case'!C13*$D424-'Business Case'!C14*$E424)-MAX(0,(('Business Case'!C11*$C424*'Business Case'!C12*$B424)-'Business Case'!C11*$C424*'Business Case'!C13*$D424-'Business Case'!C14*$E424))*'Business Case'!$B$7-'Business Case'!$B$8*(('Business Case'!C11*$C424*'Business Case'!C12*$B424)-('Business Case'!B11*$C424*'Business Case'!B12*$B424))-'Business Case'!C15*$F424</f>
        <v>1286740.8256809</v>
      </c>
      <c r="J424" s="53" t="n">
        <f aca="false">(('Business Case'!D11*$C424*'Business Case'!D12*$B424)-'Business Case'!D11*$C424*'Business Case'!D13*$D424-'Business Case'!D14*$E424)-MAX(0,(('Business Case'!D11*$C424*'Business Case'!D12*$B424)-'Business Case'!D11*$C424*'Business Case'!D13*$D424-'Business Case'!D14*$E424))*'Business Case'!$B$7-'Business Case'!$B$8*(('Business Case'!D11*$C424*'Business Case'!D12*$B424)-('Business Case'!C11*$C424*'Business Case'!C12*$B424))-'Business Case'!D15*$F424</f>
        <v>315623146.101963</v>
      </c>
      <c r="K424" s="53" t="n">
        <f aca="false">(('Business Case'!E11*$C424*'Business Case'!E12*$B424)-'Business Case'!E11*$C424*'Business Case'!E13*$D424-'Business Case'!E14*$E424)-MAX(0,(('Business Case'!E11*$C424*'Business Case'!E12*$B424)-'Business Case'!E11*$C424*'Business Case'!E13*$D424-'Business Case'!E14*$E424))*'Business Case'!$B$7-'Business Case'!$B$8*(('Business Case'!E11*$C424*'Business Case'!E12*$B424)-('Business Case'!D11*$C424*'Business Case'!D12*$B424))-'Business Case'!E15*$F424</f>
        <v>684172747.18863</v>
      </c>
      <c r="L424" s="53" t="n">
        <f aca="false">(('Business Case'!F11*$C424*'Business Case'!F12*$B424)-'Business Case'!F11*$C424*'Business Case'!F13*$D424-'Business Case'!F14*$E424)-MAX(0,(('Business Case'!F11*$C424*'Business Case'!F12*$B424)-'Business Case'!F11*$C424*'Business Case'!F13*$D424-'Business Case'!F14*$E424))*'Business Case'!$B$7-'Business Case'!$B$8*(('Business Case'!F11*$C424*'Business Case'!F12*$B424)-('Business Case'!E11*$C424*'Business Case'!E12*$B424))-'Business Case'!F15*$F424</f>
        <v>823063731.035501</v>
      </c>
      <c r="M424" s="53" t="n">
        <f aca="false">(('Business Case'!G11*$C424*'Business Case'!G12*$B424)-'Business Case'!G11*$C424*'Business Case'!G13*$D424-'Business Case'!G14*$E424)-MAX(0,(('Business Case'!G11*$C424*'Business Case'!G12*$B424)-'Business Case'!G11*$C424*'Business Case'!G13*$D424-'Business Case'!G14*$E424))*'Business Case'!$B$7-'Business Case'!$B$8*(('Business Case'!G11*$C424*'Business Case'!G12*$B424)-('Business Case'!F11*$C424*'Business Case'!F12*$B424))-'Business Case'!G15*$F424+'Business Case'!$B$8*('Business Case'!G11*$C424*'Business Case'!G12*$B424)</f>
        <v>1010680732.52011</v>
      </c>
      <c r="N424" s="53" t="n">
        <f aca="false">IF(COUNT('Business Case'!B11:G11)=0,"",H424+NPV(G424,I424:M424))</f>
        <v>-189183584.476913</v>
      </c>
      <c r="P424" s="54" t="n">
        <f aca="true">RAND()</f>
        <v>0.62380817436298</v>
      </c>
      <c r="Q424" s="54" t="n">
        <f aca="true">RAND()</f>
        <v>0.513704515791561</v>
      </c>
      <c r="R424" s="54" t="n">
        <f aca="true">RAND()</f>
        <v>0.0988524068213305</v>
      </c>
      <c r="S424" s="54" t="n">
        <f aca="true">RAND()</f>
        <v>0.971015952542581</v>
      </c>
      <c r="T424" s="54" t="n">
        <f aca="true">RAND()</f>
        <v>0.732103178168357</v>
      </c>
      <c r="U424" s="54" t="n">
        <f aca="true">RAND()</f>
        <v>0.213549420509374</v>
      </c>
    </row>
    <row r="425" customFormat="false" ht="15" hidden="false" customHeight="false" outlineLevel="0" collapsed="false">
      <c r="A425" s="50" t="n">
        <v>345</v>
      </c>
      <c r="B425" s="51" t="n">
        <f aca="false">1+IF($G$6=$E$6,$F$6,IF(P425&lt;($F$6-$E$6)/($G$6-$E$6),$E$6+SQRT(P425*($G$6-$E$6)*($F$6-$E$6)),$G$6-SQRT((1-P425)*($G$6-$E$6)*($G$6-$F$6))))</f>
        <v>1.01316967686633</v>
      </c>
      <c r="C425" s="51" t="n">
        <f aca="false">1+IF($G$7=$E$7,$F$7,IF(Q425&lt;($F$7-$E$7)/($G$7-$E$7),$E$7+SQRT(Q425*($G$7-$E$7)*($F$7-$E$7)),$G$7-SQRT((1-Q425)*($G$7-$E$7)*($G$7-$F$7))))</f>
        <v>1.03121896676907</v>
      </c>
      <c r="D425" s="51" t="n">
        <f aca="false">1+IF($G$8=$E$8,$F$8,IF(R425&lt;($F$8-$E$8)/($G$8-$E$8),$E$8+SQRT(R425*($G$8-$E$8)*($F$8-$E$8)),$G$8-SQRT((1-R425)*($G$8-$E$8)*($G$8-$F$8))))</f>
        <v>0.976442514784729</v>
      </c>
      <c r="E425" s="51" t="n">
        <f aca="false">1+IF($G$9=$E$9,$F$9,IF(S425&lt;($F$9-$E$9)/($G$9-$E$9),$E$9+SQRT(S425*($G$9-$E$9)*($F$9-$E$9)),$G$9-SQRT((1-S425)*($G$9-$E$9)*($G$9-$F$9))))</f>
        <v>0.968916219747495</v>
      </c>
      <c r="F425" s="51" t="n">
        <f aca="false">1+IF($G$10=$E$10,$F$10,IF(T425&lt;($F$10-$E$10)/($G$10-$E$10),$E$10+SQRT(T425*($G$10-$E$10)*($F$10-$E$10)),$G$10-SQRT((1-T425)*($G$10-$E$10)*($G$10-$F$10))))</f>
        <v>1.02840008540897</v>
      </c>
      <c r="G425" s="52" t="n">
        <f aca="false">IF($G$11=$E$11,$F$11,IF(U425&lt;($F$11-$E$11)/($G$11-$E$11),$E$11+SQRT(U425*($G$11-$E$11)*($F$11-$E$11)),$G$11-SQRT((1-U425)*($G$11-$E$11)*($G$11-$F$11))))</f>
        <v>0.0936705704903541</v>
      </c>
      <c r="H425" s="53" t="n">
        <f aca="false">(('Business Case'!B11*$C425*'Business Case'!B12*$B425)-'Business Case'!B11*$C425*'Business Case'!B13*$D425-'Business Case'!B14*$E425)-MAX(0,(('Business Case'!B11*$C425*'Business Case'!B12*$B425)-'Business Case'!B11*$C425*'Business Case'!B13*$D425-'Business Case'!B14*$E425))*'Business Case'!$B$7-'Business Case'!$B$8*('Business Case'!B11*$C425*'Business Case'!B12*$B425)-'Business Case'!B15*$F425</f>
        <v>-2056800170.81793</v>
      </c>
      <c r="I425" s="53" t="n">
        <f aca="false">(('Business Case'!C11*$C425*'Business Case'!C12*$B425)-'Business Case'!C11*$C425*'Business Case'!C13*$D425-'Business Case'!C14*$E425)-MAX(0,(('Business Case'!C11*$C425*'Business Case'!C12*$B425)-'Business Case'!C11*$C425*'Business Case'!C13*$D425-'Business Case'!C14*$E425))*'Business Case'!$B$7-'Business Case'!$B$8*(('Business Case'!C11*$C425*'Business Case'!C12*$B425)-('Business Case'!B11*$C425*'Business Case'!B12*$B425))-'Business Case'!C15*$F425</f>
        <v>45518356.4373127</v>
      </c>
      <c r="J425" s="53" t="n">
        <f aca="false">(('Business Case'!D11*$C425*'Business Case'!D12*$B425)-'Business Case'!D11*$C425*'Business Case'!D13*$D425-'Business Case'!D14*$E425)-MAX(0,(('Business Case'!D11*$C425*'Business Case'!D12*$B425)-'Business Case'!D11*$C425*'Business Case'!D13*$D425-'Business Case'!D14*$E425))*'Business Case'!$B$7-'Business Case'!$B$8*(('Business Case'!D11*$C425*'Business Case'!D12*$B425)-('Business Case'!C11*$C425*'Business Case'!C12*$B425))-'Business Case'!D15*$F425</f>
        <v>385819028.839313</v>
      </c>
      <c r="K425" s="53" t="n">
        <f aca="false">(('Business Case'!E11*$C425*'Business Case'!E12*$B425)-'Business Case'!E11*$C425*'Business Case'!E13*$D425-'Business Case'!E14*$E425)-MAX(0,(('Business Case'!E11*$C425*'Business Case'!E12*$B425)-'Business Case'!E11*$C425*'Business Case'!E13*$D425-'Business Case'!E14*$E425))*'Business Case'!$B$7-'Business Case'!$B$8*(('Business Case'!E11*$C425*'Business Case'!E12*$B425)-('Business Case'!D11*$C425*'Business Case'!D12*$B425))-'Business Case'!E15*$F425</f>
        <v>777539705.511763</v>
      </c>
      <c r="L425" s="53" t="n">
        <f aca="false">(('Business Case'!F11*$C425*'Business Case'!F12*$B425)-'Business Case'!F11*$C425*'Business Case'!F13*$D425-'Business Case'!F14*$E425)-MAX(0,(('Business Case'!F11*$C425*'Business Case'!F12*$B425)-'Business Case'!F11*$C425*'Business Case'!F13*$D425-'Business Case'!F14*$E425))*'Business Case'!$B$7-'Business Case'!$B$8*(('Business Case'!F11*$C425*'Business Case'!F12*$B425)-('Business Case'!E11*$C425*'Business Case'!E12*$B425))-'Business Case'!F15*$F425</f>
        <v>927081543.629561</v>
      </c>
      <c r="M425" s="53" t="n">
        <f aca="false">(('Business Case'!G11*$C425*'Business Case'!G12*$B425)-'Business Case'!G11*$C425*'Business Case'!G13*$D425-'Business Case'!G14*$E425)-MAX(0,(('Business Case'!G11*$C425*'Business Case'!G12*$B425)-'Business Case'!G11*$C425*'Business Case'!G13*$D425-'Business Case'!G14*$E425))*'Business Case'!$B$7-'Business Case'!$B$8*(('Business Case'!G11*$C425*'Business Case'!G12*$B425)-('Business Case'!F11*$C425*'Business Case'!F12*$B425))-'Business Case'!G15*$F425+'Business Case'!$B$8*('Business Case'!G11*$C425*'Business Case'!G12*$B425)</f>
        <v>1125677087.20712</v>
      </c>
      <c r="N425" s="53" t="n">
        <f aca="false">IF(COUNT('Business Case'!B11:G11)=0,"",H425+NPV(G425,I425:M425))</f>
        <v>269171160.749705</v>
      </c>
      <c r="P425" s="54" t="n">
        <f aca="true">RAND()</f>
        <v>0.850027866779743</v>
      </c>
      <c r="Q425" s="54" t="n">
        <f aca="true">RAND()</f>
        <v>0.731258402754136</v>
      </c>
      <c r="R425" s="54" t="n">
        <f aca="true">RAND()</f>
        <v>0.107570244329322</v>
      </c>
      <c r="S425" s="54" t="n">
        <f aca="true">RAND()</f>
        <v>0.0477097826047366</v>
      </c>
      <c r="T425" s="54" t="n">
        <f aca="true">RAND()</f>
        <v>0.411069386246999</v>
      </c>
      <c r="U425" s="54" t="n">
        <f aca="true">RAND()</f>
        <v>0.044910292415529</v>
      </c>
    </row>
    <row r="426" customFormat="false" ht="15" hidden="false" customHeight="false" outlineLevel="0" collapsed="false">
      <c r="A426" s="50" t="n">
        <v>346</v>
      </c>
      <c r="B426" s="51" t="n">
        <f aca="false">1+IF($G$6=$E$6,$F$6,IF(P426&lt;($F$6-$E$6)/($G$6-$E$6),$E$6+SQRT(P426*($G$6-$E$6)*($F$6-$E$6)),$G$6-SQRT((1-P426)*($G$6-$E$6)*($G$6-$F$6))))</f>
        <v>1.02513556525826</v>
      </c>
      <c r="C426" s="51" t="n">
        <f aca="false">1+IF($G$7=$E$7,$F$7,IF(Q426&lt;($F$7-$E$7)/($G$7-$E$7),$E$7+SQRT(Q426*($G$7-$E$7)*($F$7-$E$7)),$G$7-SQRT((1-Q426)*($G$7-$E$7)*($G$7-$F$7))))</f>
        <v>0.922058982861971</v>
      </c>
      <c r="D426" s="51" t="n">
        <f aca="false">1+IF($G$8=$E$8,$F$8,IF(R426&lt;($F$8-$E$8)/($G$8-$E$8),$E$8+SQRT(R426*($G$8-$E$8)*($F$8-$E$8)),$G$8-SQRT((1-R426)*($G$8-$E$8)*($G$8-$F$8))))</f>
        <v>0.990031605617419</v>
      </c>
      <c r="E426" s="51" t="n">
        <f aca="false">1+IF($G$9=$E$9,$F$9,IF(S426&lt;($F$9-$E$9)/($G$9-$E$9),$E$9+SQRT(S426*($G$9-$E$9)*($F$9-$E$9)),$G$9-SQRT((1-S426)*($G$9-$E$9)*($G$9-$F$9))))</f>
        <v>0.992139647427441</v>
      </c>
      <c r="F426" s="51" t="n">
        <f aca="false">1+IF($G$10=$E$10,$F$10,IF(T426&lt;($F$10-$E$10)/($G$10-$E$10),$E$10+SQRT(T426*($G$10-$E$10)*($F$10-$E$10)),$G$10-SQRT((1-T426)*($G$10-$E$10)*($G$10-$F$10))))</f>
        <v>0.999484842373239</v>
      </c>
      <c r="G426" s="52" t="n">
        <f aca="false">IF($G$11=$E$11,$F$11,IF(U426&lt;($F$11-$E$11)/($G$11-$E$11),$E$11+SQRT(U426*($G$11-$E$11)*($F$11-$E$11)),$G$11-SQRT((1-U426)*($G$11-$E$11)*($G$11-$F$11))))</f>
        <v>0.109112966635159</v>
      </c>
      <c r="H426" s="53" t="n">
        <f aca="false">(('Business Case'!B11*$C426*'Business Case'!B12*$B426)-'Business Case'!B11*$C426*'Business Case'!B13*$D426-'Business Case'!B14*$E426)-MAX(0,(('Business Case'!B11*$C426*'Business Case'!B12*$B426)-'Business Case'!B11*$C426*'Business Case'!B13*$D426-'Business Case'!B14*$E426))*'Business Case'!$B$7-'Business Case'!$B$8*('Business Case'!B11*$C426*'Business Case'!B12*$B426)-'Business Case'!B15*$F426</f>
        <v>-1998969684.74648</v>
      </c>
      <c r="I426" s="53" t="n">
        <f aca="false">(('Business Case'!C11*$C426*'Business Case'!C12*$B426)-'Business Case'!C11*$C426*'Business Case'!C13*$D426-'Business Case'!C14*$E426)-MAX(0,(('Business Case'!C11*$C426*'Business Case'!C12*$B426)-'Business Case'!C11*$C426*'Business Case'!C13*$D426-'Business Case'!C14*$E426))*'Business Case'!$B$7-'Business Case'!$B$8*(('Business Case'!C11*$C426*'Business Case'!C12*$B426)-('Business Case'!B11*$C426*'Business Case'!B12*$B426))-'Business Case'!C15*$F426</f>
        <v>16868999.0759344</v>
      </c>
      <c r="J426" s="53" t="n">
        <f aca="false">(('Business Case'!D11*$C426*'Business Case'!D12*$B426)-'Business Case'!D11*$C426*'Business Case'!D13*$D426-'Business Case'!D14*$E426)-MAX(0,(('Business Case'!D11*$C426*'Business Case'!D12*$B426)-'Business Case'!D11*$C426*'Business Case'!D13*$D426-'Business Case'!D14*$E426))*'Business Case'!$B$7-'Business Case'!$B$8*(('Business Case'!D11*$C426*'Business Case'!D12*$B426)-('Business Case'!C11*$C426*'Business Case'!C12*$B426))-'Business Case'!D15*$F426</f>
        <v>323769746.323398</v>
      </c>
      <c r="K426" s="53" t="n">
        <f aca="false">(('Business Case'!E11*$C426*'Business Case'!E12*$B426)-'Business Case'!E11*$C426*'Business Case'!E13*$D426-'Business Case'!E14*$E426)-MAX(0,(('Business Case'!E11*$C426*'Business Case'!E12*$B426)-'Business Case'!E11*$C426*'Business Case'!E13*$D426-'Business Case'!E14*$E426))*'Business Case'!$B$7-'Business Case'!$B$8*(('Business Case'!E11*$C426*'Business Case'!E12*$B426)-('Business Case'!D11*$C426*'Business Case'!D12*$B426))-'Business Case'!E15*$F426</f>
        <v>680644735.689523</v>
      </c>
      <c r="L426" s="53" t="n">
        <f aca="false">(('Business Case'!F11*$C426*'Business Case'!F12*$B426)-'Business Case'!F11*$C426*'Business Case'!F13*$D426-'Business Case'!F14*$E426)-MAX(0,(('Business Case'!F11*$C426*'Business Case'!F12*$B426)-'Business Case'!F11*$C426*'Business Case'!F13*$D426-'Business Case'!F14*$E426))*'Business Case'!$B$7-'Business Case'!$B$8*(('Business Case'!F11*$C426*'Business Case'!F12*$B426)-('Business Case'!E11*$C426*'Business Case'!E12*$B426))-'Business Case'!F15*$F426</f>
        <v>815612322.152026</v>
      </c>
      <c r="M426" s="53" t="n">
        <f aca="false">(('Business Case'!G11*$C426*'Business Case'!G12*$B426)-'Business Case'!G11*$C426*'Business Case'!G13*$D426-'Business Case'!G14*$E426)-MAX(0,(('Business Case'!G11*$C426*'Business Case'!G12*$B426)-'Business Case'!G11*$C426*'Business Case'!G13*$D426-'Business Case'!G14*$E426))*'Business Case'!$B$7-'Business Case'!$B$8*(('Business Case'!G11*$C426*'Business Case'!G12*$B426)-('Business Case'!F11*$C426*'Business Case'!F12*$B426))-'Business Case'!G15*$F426+'Business Case'!$B$8*('Business Case'!G11*$C426*'Business Case'!G12*$B426)</f>
        <v>995282677.74211</v>
      </c>
      <c r="N426" s="53" t="n">
        <f aca="false">IF(COUNT('Business Case'!B11:G11)=0,"",H426+NPV(G426,I426:M426))</f>
        <v>-89676886.2821293</v>
      </c>
      <c r="P426" s="54" t="n">
        <f aca="true">RAND()</f>
        <v>0.9539684541268</v>
      </c>
      <c r="Q426" s="54" t="n">
        <f aca="true">RAND()</f>
        <v>0.212834218532842</v>
      </c>
      <c r="R426" s="54" t="n">
        <f aca="true">RAND()</f>
        <v>0.24654299204747</v>
      </c>
      <c r="S426" s="54" t="n">
        <f aca="true">RAND()</f>
        <v>0.236766651374532</v>
      </c>
      <c r="T426" s="54" t="n">
        <f aca="true">RAND()</f>
        <v>0.195899969976343</v>
      </c>
      <c r="U426" s="54" t="n">
        <f aca="true">RAND()</f>
        <v>0.80245417418808</v>
      </c>
    </row>
    <row r="427" customFormat="false" ht="15" hidden="false" customHeight="false" outlineLevel="0" collapsed="false">
      <c r="A427" s="50" t="n">
        <v>347</v>
      </c>
      <c r="B427" s="51" t="n">
        <f aca="false">1+IF($G$6=$E$6,$F$6,IF(P427&lt;($F$6-$E$6)/($G$6-$E$6),$E$6+SQRT(P427*($G$6-$E$6)*($F$6-$E$6)),$G$6-SQRT((1-P427)*($G$6-$E$6)*($G$6-$F$6))))</f>
        <v>1.00591851118895</v>
      </c>
      <c r="C427" s="51" t="n">
        <f aca="false">1+IF($G$7=$E$7,$F$7,IF(Q427&lt;($F$7-$E$7)/($G$7-$E$7),$E$7+SQRT(Q427*($G$7-$E$7)*($F$7-$E$7)),$G$7-SQRT((1-Q427)*($G$7-$E$7)*($G$7-$F$7))))</f>
        <v>1.01528800392485</v>
      </c>
      <c r="D427" s="51" t="n">
        <f aca="false">1+IF($G$8=$E$8,$F$8,IF(R427&lt;($F$8-$E$8)/($G$8-$E$8),$E$8+SQRT(R427*($G$8-$E$8)*($F$8-$E$8)),$G$8-SQRT((1-R427)*($G$8-$E$8)*($G$8-$F$8))))</f>
        <v>0.980787999883262</v>
      </c>
      <c r="E427" s="51" t="n">
        <f aca="false">1+IF($G$9=$E$9,$F$9,IF(S427&lt;($F$9-$E$9)/($G$9-$E$9),$E$9+SQRT(S427*($G$9-$E$9)*($F$9-$E$9)),$G$9-SQRT((1-S427)*($G$9-$E$9)*($G$9-$F$9))))</f>
        <v>1.07609331988446</v>
      </c>
      <c r="F427" s="51" t="n">
        <f aca="false">1+IF($G$10=$E$10,$F$10,IF(T427&lt;($F$10-$E$10)/($G$10-$E$10),$E$10+SQRT(T427*($G$10-$E$10)*($F$10-$E$10)),$G$10-SQRT((1-T427)*($G$10-$E$10)*($G$10-$F$10))))</f>
        <v>1.10078294408006</v>
      </c>
      <c r="G427" s="52" t="n">
        <f aca="false">IF($G$11=$E$11,$F$11,IF(U427&lt;($F$11-$E$11)/($G$11-$E$11),$E$11+SQRT(U427*($G$11-$E$11)*($F$11-$E$11)),$G$11-SQRT((1-U427)*($G$11-$E$11)*($G$11-$F$11))))</f>
        <v>0.0961025773881328</v>
      </c>
      <c r="H427" s="53" t="n">
        <f aca="false">(('Business Case'!B11*$C427*'Business Case'!B12*$B427)-'Business Case'!B11*$C427*'Business Case'!B13*$D427-'Business Case'!B14*$E427)-MAX(0,(('Business Case'!B11*$C427*'Business Case'!B12*$B427)-'Business Case'!B11*$C427*'Business Case'!B13*$D427-'Business Case'!B14*$E427))*'Business Case'!$B$7-'Business Case'!$B$8*('Business Case'!B11*$C427*'Business Case'!B12*$B427)-'Business Case'!B15*$F427</f>
        <v>-2201565888.16012</v>
      </c>
      <c r="I427" s="53" t="n">
        <f aca="false">(('Business Case'!C11*$C427*'Business Case'!C12*$B427)-'Business Case'!C11*$C427*'Business Case'!C13*$D427-'Business Case'!C14*$E427)-MAX(0,(('Business Case'!C11*$C427*'Business Case'!C12*$B427)-'Business Case'!C11*$C427*'Business Case'!C13*$D427-'Business Case'!C14*$E427))*'Business Case'!$B$7-'Business Case'!$B$8*(('Business Case'!C11*$C427*'Business Case'!C12*$B427)-('Business Case'!B11*$C427*'Business Case'!B12*$B427))-'Business Case'!C15*$F427</f>
        <v>10712103.1222802</v>
      </c>
      <c r="J427" s="53" t="n">
        <f aca="false">(('Business Case'!D11*$C427*'Business Case'!D12*$B427)-'Business Case'!D11*$C427*'Business Case'!D13*$D427-'Business Case'!D14*$E427)-MAX(0,(('Business Case'!D11*$C427*'Business Case'!D12*$B427)-'Business Case'!D11*$C427*'Business Case'!D13*$D427-'Business Case'!D14*$E427))*'Business Case'!$B$7-'Business Case'!$B$8*(('Business Case'!D11*$C427*'Business Case'!D12*$B427)-('Business Case'!C11*$C427*'Business Case'!C12*$B427))-'Business Case'!D15*$F427</f>
        <v>337467007.082039</v>
      </c>
      <c r="K427" s="53" t="n">
        <f aca="false">(('Business Case'!E11*$C427*'Business Case'!E12*$B427)-'Business Case'!E11*$C427*'Business Case'!E13*$D427-'Business Case'!E14*$E427)-MAX(0,(('Business Case'!E11*$C427*'Business Case'!E12*$B427)-'Business Case'!E11*$C427*'Business Case'!E13*$D427-'Business Case'!E14*$E427))*'Business Case'!$B$7-'Business Case'!$B$8*(('Business Case'!E11*$C427*'Business Case'!E12*$B427)-('Business Case'!D11*$C427*'Business Case'!D12*$B427))-'Business Case'!E15*$F427</f>
        <v>719261058.245801</v>
      </c>
      <c r="L427" s="53" t="n">
        <f aca="false">(('Business Case'!F11*$C427*'Business Case'!F12*$B427)-'Business Case'!F11*$C427*'Business Case'!F13*$D427-'Business Case'!F14*$E427)-MAX(0,(('Business Case'!F11*$C427*'Business Case'!F12*$B427)-'Business Case'!F11*$C427*'Business Case'!F13*$D427-'Business Case'!F14*$E427))*'Business Case'!$B$7-'Business Case'!$B$8*(('Business Case'!F11*$C427*'Business Case'!F12*$B427)-('Business Case'!E11*$C427*'Business Case'!E12*$B427))-'Business Case'!F15*$F427</f>
        <v>863475383.793656</v>
      </c>
      <c r="M427" s="53" t="n">
        <f aca="false">(('Business Case'!G11*$C427*'Business Case'!G12*$B427)-'Business Case'!G11*$C427*'Business Case'!G13*$D427-'Business Case'!G14*$E427)-MAX(0,(('Business Case'!G11*$C427*'Business Case'!G12*$B427)-'Business Case'!G11*$C427*'Business Case'!G13*$D427-'Business Case'!G14*$E427))*'Business Case'!$B$7-'Business Case'!$B$8*(('Business Case'!G11*$C427*'Business Case'!G12*$B427)-('Business Case'!F11*$C427*'Business Case'!F12*$B427))-'Business Case'!G15*$F427+'Business Case'!$B$8*('Business Case'!G11*$C427*'Business Case'!G12*$B427)</f>
        <v>1057603517.0473</v>
      </c>
      <c r="N427" s="53" t="n">
        <f aca="false">IF(COUNT('Business Case'!B11:G11)=0,"",H427+NPV(G427,I427:M427))</f>
        <v>-98086164.8805246</v>
      </c>
      <c r="P427" s="54" t="n">
        <f aca="true">RAND()</f>
        <v>0.758010858421338</v>
      </c>
      <c r="Q427" s="54" t="n">
        <f aca="true">RAND()</f>
        <v>0.654336725970469</v>
      </c>
      <c r="R427" s="54" t="n">
        <f aca="true">RAND()</f>
        <v>0.14583091335565</v>
      </c>
      <c r="S427" s="54" t="n">
        <f aca="true">RAND()</f>
        <v>0.961898043056872</v>
      </c>
      <c r="T427" s="54" t="n">
        <f aca="true">RAND()</f>
        <v>0.803119516291592</v>
      </c>
      <c r="U427" s="54" t="n">
        <f aca="true">RAND()</f>
        <v>0.1241381692605</v>
      </c>
    </row>
    <row r="428" customFormat="false" ht="15" hidden="false" customHeight="false" outlineLevel="0" collapsed="false">
      <c r="A428" s="50" t="n">
        <v>348</v>
      </c>
      <c r="B428" s="51" t="n">
        <f aca="false">1+IF($G$6=$E$6,$F$6,IF(P428&lt;($F$6-$E$6)/($G$6-$E$6),$E$6+SQRT(P428*($G$6-$E$6)*($F$6-$E$6)),$G$6-SQRT((1-P428)*($G$6-$E$6)*($G$6-$F$6))))</f>
        <v>0.980119570151812</v>
      </c>
      <c r="C428" s="51" t="n">
        <f aca="false">1+IF($G$7=$E$7,$F$7,IF(Q428&lt;($F$7-$E$7)/($G$7-$E$7),$E$7+SQRT(Q428*($G$7-$E$7)*($F$7-$E$7)),$G$7-SQRT((1-Q428)*($G$7-$E$7)*($G$7-$F$7))))</f>
        <v>1.06701413086821</v>
      </c>
      <c r="D428" s="51" t="n">
        <f aca="false">1+IF($G$8=$E$8,$F$8,IF(R428&lt;($F$8-$E$8)/($G$8-$E$8),$E$8+SQRT(R428*($G$8-$E$8)*($F$8-$E$8)),$G$8-SQRT((1-R428)*($G$8-$E$8)*($G$8-$F$8))))</f>
        <v>0.983152910361139</v>
      </c>
      <c r="E428" s="51" t="n">
        <f aca="false">1+IF($G$9=$E$9,$F$9,IF(S428&lt;($F$9-$E$9)/($G$9-$E$9),$E$9+SQRT(S428*($G$9-$E$9)*($F$9-$E$9)),$G$9-SQRT((1-S428)*($G$9-$E$9)*($G$9-$F$9))))</f>
        <v>1.00657654968568</v>
      </c>
      <c r="F428" s="51" t="n">
        <f aca="false">1+IF($G$10=$E$10,$F$10,IF(T428&lt;($F$10-$E$10)/($G$10-$E$10),$E$10+SQRT(T428*($G$10-$E$10)*($F$10-$E$10)),$G$10-SQRT((1-T428)*($G$10-$E$10)*($G$10-$F$10))))</f>
        <v>1.02146663867572</v>
      </c>
      <c r="G428" s="52" t="n">
        <f aca="false">IF($G$11=$E$11,$F$11,IF(U428&lt;($F$11-$E$11)/($G$11-$E$11),$E$11+SQRT(U428*($G$11-$E$11)*($F$11-$E$11)),$G$11-SQRT((1-U428)*($G$11-$E$11)*($G$11-$F$11))))</f>
        <v>0.100124168203957</v>
      </c>
      <c r="H428" s="53" t="n">
        <f aca="false">(('Business Case'!B11*$C428*'Business Case'!B12*$B428)-'Business Case'!B11*$C428*'Business Case'!B13*$D428-'Business Case'!B14*$E428)-MAX(0,(('Business Case'!B11*$C428*'Business Case'!B12*$B428)-'Business Case'!B11*$C428*'Business Case'!B13*$D428-'Business Case'!B14*$E428))*'Business Case'!$B$7-'Business Case'!$B$8*('Business Case'!B11*$C428*'Business Case'!B12*$B428)-'Business Case'!B15*$F428</f>
        <v>-2042933277.35144</v>
      </c>
      <c r="I428" s="53" t="n">
        <f aca="false">(('Business Case'!C11*$C428*'Business Case'!C12*$B428)-'Business Case'!C11*$C428*'Business Case'!C13*$D428-'Business Case'!C14*$E428)-MAX(0,(('Business Case'!C11*$C428*'Business Case'!C12*$B428)-'Business Case'!C11*$C428*'Business Case'!C13*$D428-'Business Case'!C14*$E428))*'Business Case'!$B$7-'Business Case'!$B$8*(('Business Case'!C11*$C428*'Business Case'!C12*$B428)-('Business Case'!B11*$C428*'Business Case'!B12*$B428))-'Business Case'!C15*$F428</f>
        <v>20066916.8866674</v>
      </c>
      <c r="J428" s="53" t="n">
        <f aca="false">(('Business Case'!D11*$C428*'Business Case'!D12*$B428)-'Business Case'!D11*$C428*'Business Case'!D13*$D428-'Business Case'!D14*$E428)-MAX(0,(('Business Case'!D11*$C428*'Business Case'!D12*$B428)-'Business Case'!D11*$C428*'Business Case'!D13*$D428-'Business Case'!D14*$E428))*'Business Case'!$B$7-'Business Case'!$B$8*(('Business Case'!D11*$C428*'Business Case'!D12*$B428)-('Business Case'!C11*$C428*'Business Case'!C12*$B428))-'Business Case'!D15*$F428</f>
        <v>339630029.204411</v>
      </c>
      <c r="K428" s="53" t="n">
        <f aca="false">(('Business Case'!E11*$C428*'Business Case'!E12*$B428)-'Business Case'!E11*$C428*'Business Case'!E13*$D428-'Business Case'!E14*$E428)-MAX(0,(('Business Case'!E11*$C428*'Business Case'!E12*$B428)-'Business Case'!E11*$C428*'Business Case'!E13*$D428-'Business Case'!E14*$E428))*'Business Case'!$B$7-'Business Case'!$B$8*(('Business Case'!E11*$C428*'Business Case'!E12*$B428)-('Business Case'!D11*$C428*'Business Case'!D12*$B428))-'Business Case'!E15*$F428</f>
        <v>710266473.45594</v>
      </c>
      <c r="L428" s="53" t="n">
        <f aca="false">(('Business Case'!F11*$C428*'Business Case'!F12*$B428)-'Business Case'!F11*$C428*'Business Case'!F13*$D428-'Business Case'!F14*$E428)-MAX(0,(('Business Case'!F11*$C428*'Business Case'!F12*$B428)-'Business Case'!F11*$C428*'Business Case'!F13*$D428-'Business Case'!F14*$E428))*'Business Case'!$B$7-'Business Case'!$B$8*(('Business Case'!F11*$C428*'Business Case'!F12*$B428)-('Business Case'!E11*$C428*'Business Case'!E12*$B428))-'Business Case'!F15*$F428</f>
        <v>852930408.360655</v>
      </c>
      <c r="M428" s="53" t="n">
        <f aca="false">(('Business Case'!G11*$C428*'Business Case'!G12*$B428)-'Business Case'!G11*$C428*'Business Case'!G13*$D428-'Business Case'!G14*$E428)-MAX(0,(('Business Case'!G11*$C428*'Business Case'!G12*$B428)-'Business Case'!G11*$C428*'Business Case'!G13*$D428-'Business Case'!G14*$E428))*'Business Case'!$B$7-'Business Case'!$B$8*(('Business Case'!G11*$C428*'Business Case'!G12*$B428)-('Business Case'!F11*$C428*'Business Case'!F12*$B428))-'Business Case'!G15*$F428+'Business Case'!$B$8*('Business Case'!G11*$C428*'Business Case'!G12*$B428)</f>
        <v>1051716344.42072</v>
      </c>
      <c r="N428" s="53" t="n">
        <f aca="false">IF(COUNT('Business Case'!B11:G11)=0,"",H428+NPV(G428,I428:M428))</f>
        <v>24347614.4450533</v>
      </c>
      <c r="P428" s="54" t="n">
        <f aca="true">RAND()</f>
        <v>0.376496116170695</v>
      </c>
      <c r="Q428" s="54" t="n">
        <f aca="true">RAND()</f>
        <v>0.868825629036966</v>
      </c>
      <c r="R428" s="54" t="n">
        <f aca="true">RAND()</f>
        <v>0.169094686986727</v>
      </c>
      <c r="S428" s="54" t="n">
        <f aca="true">RAND()</f>
        <v>0.418137262091137</v>
      </c>
      <c r="T428" s="54" t="n">
        <f aca="true">RAND()</f>
        <v>0.362516777885069</v>
      </c>
      <c r="U428" s="54" t="n">
        <f aca="true">RAND()</f>
        <v>0.34158551735898</v>
      </c>
    </row>
    <row r="429" customFormat="false" ht="15" hidden="false" customHeight="false" outlineLevel="0" collapsed="false">
      <c r="A429" s="50" t="n">
        <v>349</v>
      </c>
      <c r="B429" s="51" t="n">
        <f aca="false">1+IF($G$6=$E$6,$F$6,IF(P429&lt;($F$6-$E$6)/($G$6-$E$6),$E$6+SQRT(P429*($G$6-$E$6)*($F$6-$E$6)),$G$6-SQRT((1-P429)*($G$6-$E$6)*($G$6-$F$6))))</f>
        <v>1.00061858783399</v>
      </c>
      <c r="C429" s="51" t="n">
        <f aca="false">1+IF($G$7=$E$7,$F$7,IF(Q429&lt;($F$7-$E$7)/($G$7-$E$7),$E$7+SQRT(Q429*($G$7-$E$7)*($F$7-$E$7)),$G$7-SQRT((1-Q429)*($G$7-$E$7)*($G$7-$F$7))))</f>
        <v>1.00332550225117</v>
      </c>
      <c r="D429" s="51" t="n">
        <f aca="false">1+IF($G$8=$E$8,$F$8,IF(R429&lt;($F$8-$E$8)/($G$8-$E$8),$E$8+SQRT(R429*($G$8-$E$8)*($F$8-$E$8)),$G$8-SQRT((1-R429)*($G$8-$E$8)*($G$8-$F$8))))</f>
        <v>1.01609239613745</v>
      </c>
      <c r="E429" s="51" t="n">
        <f aca="false">1+IF($G$9=$E$9,$F$9,IF(S429&lt;($F$9-$E$9)/($G$9-$E$9),$E$9+SQRT(S429*($G$9-$E$9)*($F$9-$E$9)),$G$9-SQRT((1-S429)*($G$9-$E$9)*($G$9-$F$9))))</f>
        <v>0.962315600189015</v>
      </c>
      <c r="F429" s="51" t="n">
        <f aca="false">1+IF($G$10=$E$10,$F$10,IF(T429&lt;($F$10-$E$10)/($G$10-$E$10),$E$10+SQRT(T429*($G$10-$E$10)*($F$10-$E$10)),$G$10-SQRT((1-T429)*($G$10-$E$10)*($G$10-$F$10))))</f>
        <v>1.04011438960313</v>
      </c>
      <c r="G429" s="52" t="n">
        <f aca="false">IF($G$11=$E$11,$F$11,IF(U429&lt;($F$11-$E$11)/($G$11-$E$11),$E$11+SQRT(U429*($G$11-$E$11)*($F$11-$E$11)),$G$11-SQRT((1-U429)*($G$11-$E$11)*($G$11-$F$11))))</f>
        <v>0.115359790794924</v>
      </c>
      <c r="H429" s="53" t="n">
        <f aca="false">(('Business Case'!B11*$C429*'Business Case'!B12*$B429)-'Business Case'!B11*$C429*'Business Case'!B13*$D429-'Business Case'!B14*$E429)-MAX(0,(('Business Case'!B11*$C429*'Business Case'!B12*$B429)-'Business Case'!B11*$C429*'Business Case'!B13*$D429-'Business Case'!B14*$E429))*'Business Case'!$B$7-'Business Case'!$B$8*('Business Case'!B11*$C429*'Business Case'!B12*$B429)-'Business Case'!B15*$F429</f>
        <v>-2080228779.20625</v>
      </c>
      <c r="I429" s="53" t="n">
        <f aca="false">(('Business Case'!C11*$C429*'Business Case'!C12*$B429)-'Business Case'!C11*$C429*'Business Case'!C13*$D429-'Business Case'!C14*$E429)-MAX(0,(('Business Case'!C11*$C429*'Business Case'!C12*$B429)-'Business Case'!C11*$C429*'Business Case'!C13*$D429-'Business Case'!C14*$E429))*'Business Case'!$B$7-'Business Case'!$B$8*(('Business Case'!C11*$C429*'Business Case'!C12*$B429)-('Business Case'!B11*$C429*'Business Case'!B12*$B429))-'Business Case'!C15*$F429</f>
        <v>7519087.00639968</v>
      </c>
      <c r="J429" s="53" t="n">
        <f aca="false">(('Business Case'!D11*$C429*'Business Case'!D12*$B429)-'Business Case'!D11*$C429*'Business Case'!D13*$D429-'Business Case'!D14*$E429)-MAX(0,(('Business Case'!D11*$C429*'Business Case'!D12*$B429)-'Business Case'!D11*$C429*'Business Case'!D13*$D429-'Business Case'!D14*$E429))*'Business Case'!$B$7-'Business Case'!$B$8*(('Business Case'!D11*$C429*'Business Case'!D12*$B429)-('Business Case'!C11*$C429*'Business Case'!C12*$B429))-'Business Case'!D15*$F429</f>
        <v>307935459.590858</v>
      </c>
      <c r="K429" s="53" t="n">
        <f aca="false">(('Business Case'!E11*$C429*'Business Case'!E12*$B429)-'Business Case'!E11*$C429*'Business Case'!E13*$D429-'Business Case'!E14*$E429)-MAX(0,(('Business Case'!E11*$C429*'Business Case'!E12*$B429)-'Business Case'!E11*$C429*'Business Case'!E13*$D429-'Business Case'!E14*$E429))*'Business Case'!$B$7-'Business Case'!$B$8*(('Business Case'!E11*$C429*'Business Case'!E12*$B429)-('Business Case'!D11*$C429*'Business Case'!D12*$B429))-'Business Case'!E15*$F429</f>
        <v>660357551.655474</v>
      </c>
      <c r="L429" s="53" t="n">
        <f aca="false">(('Business Case'!F11*$C429*'Business Case'!F12*$B429)-'Business Case'!F11*$C429*'Business Case'!F13*$D429-'Business Case'!F14*$E429)-MAX(0,(('Business Case'!F11*$C429*'Business Case'!F12*$B429)-'Business Case'!F11*$C429*'Business Case'!F13*$D429-'Business Case'!F14*$E429))*'Business Case'!$B$7-'Business Case'!$B$8*(('Business Case'!F11*$C429*'Business Case'!F12*$B429)-('Business Case'!E11*$C429*'Business Case'!E12*$B429))-'Business Case'!F15*$F429</f>
        <v>795192721.364206</v>
      </c>
      <c r="M429" s="53" t="n">
        <f aca="false">(('Business Case'!G11*$C429*'Business Case'!G12*$B429)-'Business Case'!G11*$C429*'Business Case'!G13*$D429-'Business Case'!G14*$E429)-MAX(0,(('Business Case'!G11*$C429*'Business Case'!G12*$B429)-'Business Case'!G11*$C429*'Business Case'!G13*$D429-'Business Case'!G14*$E429))*'Business Case'!$B$7-'Business Case'!$B$8*(('Business Case'!G11*$C429*'Business Case'!G12*$B429)-('Business Case'!F11*$C429*'Business Case'!F12*$B429))-'Business Case'!G15*$F429+'Business Case'!$B$8*('Business Case'!G11*$C429*'Business Case'!G12*$B429)</f>
        <v>986022805.024057</v>
      </c>
      <c r="N429" s="53" t="n">
        <f aca="false">IF(COUNT('Business Case'!B11:G11)=0,"",H429+NPV(G429,I429:M429))</f>
        <v>-264982956.417974</v>
      </c>
      <c r="P429" s="54" t="n">
        <f aca="true">RAND()</f>
        <v>0.676896744960612</v>
      </c>
      <c r="Q429" s="54" t="n">
        <f aca="true">RAND()</f>
        <v>0.590220794478645</v>
      </c>
      <c r="R429" s="54" t="n">
        <f aca="true">RAND()</f>
        <v>0.607290208514168</v>
      </c>
      <c r="S429" s="54" t="n">
        <f aca="true">RAND()</f>
        <v>0.0202232010687554</v>
      </c>
      <c r="T429" s="54" t="n">
        <f aca="true">RAND()</f>
        <v>0.488731831760379</v>
      </c>
      <c r="U429" s="54" t="n">
        <f aca="true">RAND()</f>
        <v>0.96411409755522</v>
      </c>
    </row>
    <row r="430" customFormat="false" ht="15" hidden="false" customHeight="false" outlineLevel="0" collapsed="false">
      <c r="A430" s="50" t="n">
        <v>350</v>
      </c>
      <c r="B430" s="51" t="n">
        <f aca="false">1+IF($G$6=$E$6,$F$6,IF(P430&lt;($F$6-$E$6)/($G$6-$E$6),$E$6+SQRT(P430*($G$6-$E$6)*($F$6-$E$6)),$G$6-SQRT((1-P430)*($G$6-$E$6)*($G$6-$F$6))))</f>
        <v>1.00443311585291</v>
      </c>
      <c r="C430" s="51" t="n">
        <f aca="false">1+IF($G$7=$E$7,$F$7,IF(Q430&lt;($F$7-$E$7)/($G$7-$E$7),$E$7+SQRT(Q430*($G$7-$E$7)*($F$7-$E$7)),$G$7-SQRT((1-Q430)*($G$7-$E$7)*($G$7-$F$7))))</f>
        <v>1.07227118380655</v>
      </c>
      <c r="D430" s="51" t="n">
        <f aca="false">1+IF($G$8=$E$8,$F$8,IF(R430&lt;($F$8-$E$8)/($G$8-$E$8),$E$8+SQRT(R430*($G$8-$E$8)*($F$8-$E$8)),$G$8-SQRT((1-R430)*($G$8-$E$8)*($G$8-$F$8))))</f>
        <v>1.01923035423405</v>
      </c>
      <c r="E430" s="51" t="n">
        <f aca="false">1+IF($G$9=$E$9,$F$9,IF(S430&lt;($F$9-$E$9)/($G$9-$E$9),$E$9+SQRT(S430*($G$9-$E$9)*($F$9-$E$9)),$G$9-SQRT((1-S430)*($G$9-$E$9)*($G$9-$F$9))))</f>
        <v>0.999748011402196</v>
      </c>
      <c r="F430" s="51" t="n">
        <f aca="false">1+IF($G$10=$E$10,$F$10,IF(T430&lt;($F$10-$E$10)/($G$10-$E$10),$E$10+SQRT(T430*($G$10-$E$10)*($F$10-$E$10)),$G$10-SQRT((1-T430)*($G$10-$E$10)*($G$10-$F$10))))</f>
        <v>1.11115291059733</v>
      </c>
      <c r="G430" s="52" t="n">
        <f aca="false">IF($G$11=$E$11,$F$11,IF(U430&lt;($F$11-$E$11)/($G$11-$E$11),$E$11+SQRT(U430*($G$11-$E$11)*($F$11-$E$11)),$G$11-SQRT((1-U430)*($G$11-$E$11)*($G$11-$F$11))))</f>
        <v>0.0927617582185598</v>
      </c>
      <c r="H430" s="53" t="n">
        <f aca="false">(('Business Case'!B11*$C430*'Business Case'!B12*$B430)-'Business Case'!B11*$C430*'Business Case'!B13*$D430-'Business Case'!B14*$E430)-MAX(0,(('Business Case'!B11*$C430*'Business Case'!B12*$B430)-'Business Case'!B11*$C430*'Business Case'!B13*$D430-'Business Case'!B14*$E430))*'Business Case'!$B$7-'Business Case'!$B$8*('Business Case'!B11*$C430*'Business Case'!B12*$B430)-'Business Case'!B15*$F430</f>
        <v>-2222305821.19465</v>
      </c>
      <c r="I430" s="53" t="n">
        <f aca="false">(('Business Case'!C11*$C430*'Business Case'!C12*$B430)-'Business Case'!C11*$C430*'Business Case'!C13*$D430-'Business Case'!C14*$E430)-MAX(0,(('Business Case'!C11*$C430*'Business Case'!C12*$B430)-'Business Case'!C11*$C430*'Business Case'!C13*$D430-'Business Case'!C14*$E430))*'Business Case'!$B$7-'Business Case'!$B$8*(('Business Case'!C11*$C430*'Business Case'!C12*$B430)-('Business Case'!B11*$C430*'Business Case'!B12*$B430))-'Business Case'!C15*$F430</f>
        <v>13575411.7458309</v>
      </c>
      <c r="J430" s="53" t="n">
        <f aca="false">(('Business Case'!D11*$C430*'Business Case'!D12*$B430)-'Business Case'!D11*$C430*'Business Case'!D13*$D430-'Business Case'!D14*$E430)-MAX(0,(('Business Case'!D11*$C430*'Business Case'!D12*$B430)-'Business Case'!D11*$C430*'Business Case'!D13*$D430-'Business Case'!D14*$E430))*'Business Case'!$B$7-'Business Case'!$B$8*(('Business Case'!D11*$C430*'Business Case'!D12*$B430)-('Business Case'!C11*$C430*'Business Case'!C12*$B430))-'Business Case'!D15*$F430</f>
        <v>336263241.504882</v>
      </c>
      <c r="K430" s="53" t="n">
        <f aca="false">(('Business Case'!E11*$C430*'Business Case'!E12*$B430)-'Business Case'!E11*$C430*'Business Case'!E13*$D430-'Business Case'!E14*$E430)-MAX(0,(('Business Case'!E11*$C430*'Business Case'!E12*$B430)-'Business Case'!E11*$C430*'Business Case'!E13*$D430-'Business Case'!E14*$E430))*'Business Case'!$B$7-'Business Case'!$B$8*(('Business Case'!E11*$C430*'Business Case'!E12*$B430)-('Business Case'!D11*$C430*'Business Case'!D12*$B430))-'Business Case'!E15*$F430</f>
        <v>714508716.793799</v>
      </c>
      <c r="L430" s="53" t="n">
        <f aca="false">(('Business Case'!F11*$C430*'Business Case'!F12*$B430)-'Business Case'!F11*$C430*'Business Case'!F13*$D430-'Business Case'!F14*$E430)-MAX(0,(('Business Case'!F11*$C430*'Business Case'!F12*$B430)-'Business Case'!F11*$C430*'Business Case'!F13*$D430-'Business Case'!F14*$E430))*'Business Case'!$B$7-'Business Case'!$B$8*(('Business Case'!F11*$C430*'Business Case'!F12*$B430)-('Business Case'!E11*$C430*'Business Case'!E12*$B430))-'Business Case'!F15*$F430</f>
        <v>859293299.868212</v>
      </c>
      <c r="M430" s="53" t="n">
        <f aca="false">(('Business Case'!G11*$C430*'Business Case'!G12*$B430)-'Business Case'!G11*$C430*'Business Case'!G13*$D430-'Business Case'!G14*$E430)-MAX(0,(('Business Case'!G11*$C430*'Business Case'!G12*$B430)-'Business Case'!G11*$C430*'Business Case'!G13*$D430-'Business Case'!G14*$E430))*'Business Case'!$B$7-'Business Case'!$B$8*(('Business Case'!G11*$C430*'Business Case'!G12*$B430)-('Business Case'!F11*$C430*'Business Case'!F12*$B430))-'Business Case'!G15*$F430+'Business Case'!$B$8*('Business Case'!G11*$C430*'Business Case'!G12*$B430)</f>
        <v>1064014152.21923</v>
      </c>
      <c r="N430" s="53" t="n">
        <f aca="false">IF(COUNT('Business Case'!B11:G11)=0,"",H430+NPV(G430,I430:M430))</f>
        <v>-95270410.6126697</v>
      </c>
      <c r="P430" s="54" t="n">
        <f aca="true">RAND()</f>
        <v>0.736457656680731</v>
      </c>
      <c r="Q430" s="54" t="n">
        <f aca="true">RAND()</f>
        <v>0.884918688250767</v>
      </c>
      <c r="R430" s="54" t="n">
        <f aca="true">RAND()</f>
        <v>0.644908668603923</v>
      </c>
      <c r="S430" s="54" t="n">
        <f aca="true">RAND()</f>
        <v>0.329981951796404</v>
      </c>
      <c r="T430" s="54" t="n">
        <f aca="true">RAND()</f>
        <v>0.842123894093464</v>
      </c>
      <c r="U430" s="54" t="n">
        <f aca="true">RAND()</f>
        <v>0.0254243615259421</v>
      </c>
    </row>
    <row r="431" customFormat="false" ht="15" hidden="false" customHeight="false" outlineLevel="0" collapsed="false">
      <c r="A431" s="50" t="n">
        <v>351</v>
      </c>
      <c r="B431" s="51" t="n">
        <f aca="false">1+IF($G$6=$E$6,$F$6,IF(P431&lt;($F$6-$E$6)/($G$6-$E$6),$E$6+SQRT(P431*($G$6-$E$6)*($F$6-$E$6)),$G$6-SQRT((1-P431)*($G$6-$E$6)*($G$6-$F$6))))</f>
        <v>0.97758081123535</v>
      </c>
      <c r="C431" s="51" t="n">
        <f aca="false">1+IF($G$7=$E$7,$F$7,IF(Q431&lt;($F$7-$E$7)/($G$7-$E$7),$E$7+SQRT(Q431*($G$7-$E$7)*($F$7-$E$7)),$G$7-SQRT((1-Q431)*($G$7-$E$7)*($G$7-$F$7))))</f>
        <v>0.908294862434983</v>
      </c>
      <c r="D431" s="51" t="n">
        <f aca="false">1+IF($G$8=$E$8,$F$8,IF(R431&lt;($F$8-$E$8)/($G$8-$E$8),$E$8+SQRT(R431*($G$8-$E$8)*($F$8-$E$8)),$G$8-SQRT((1-R431)*($G$8-$E$8)*($G$8-$F$8))))</f>
        <v>1.01166396748413</v>
      </c>
      <c r="E431" s="51" t="n">
        <f aca="false">1+IF($G$9=$E$9,$F$9,IF(S431&lt;($F$9-$E$9)/($G$9-$E$9),$E$9+SQRT(S431*($G$9-$E$9)*($F$9-$E$9)),$G$9-SQRT((1-S431)*($G$9-$E$9)*($G$9-$F$9))))</f>
        <v>1.02593625923345</v>
      </c>
      <c r="F431" s="51" t="n">
        <f aca="false">1+IF($G$10=$E$10,$F$10,IF(T431&lt;($F$10-$E$10)/($G$10-$E$10),$E$10+SQRT(T431*($G$10-$E$10)*($F$10-$E$10)),$G$10-SQRT((1-T431)*($G$10-$E$10)*($G$10-$F$10))))</f>
        <v>1.02952273935066</v>
      </c>
      <c r="G431" s="52" t="n">
        <f aca="false">IF($G$11=$E$11,$F$11,IF(U431&lt;($F$11-$E$11)/($G$11-$E$11),$E$11+SQRT(U431*($G$11-$E$11)*($F$11-$E$11)),$G$11-SQRT((1-U431)*($G$11-$E$11)*($G$11-$F$11))))</f>
        <v>0.101930192912424</v>
      </c>
      <c r="H431" s="53" t="n">
        <f aca="false">(('Business Case'!B11*$C431*'Business Case'!B12*$B431)-'Business Case'!B11*$C431*'Business Case'!B13*$D431-'Business Case'!B14*$E431)-MAX(0,(('Business Case'!B11*$C431*'Business Case'!B12*$B431)-'Business Case'!B11*$C431*'Business Case'!B13*$D431-'Business Case'!B14*$E431))*'Business Case'!$B$7-'Business Case'!$B$8*('Business Case'!B11*$C431*'Business Case'!B12*$B431)-'Business Case'!B15*$F431</f>
        <v>-2059045478.70132</v>
      </c>
      <c r="I431" s="53" t="n">
        <f aca="false">(('Business Case'!C11*$C431*'Business Case'!C12*$B431)-'Business Case'!C11*$C431*'Business Case'!C13*$D431-'Business Case'!C14*$E431)-MAX(0,(('Business Case'!C11*$C431*'Business Case'!C12*$B431)-'Business Case'!C11*$C431*'Business Case'!C13*$D431-'Business Case'!C14*$E431))*'Business Case'!$B$7-'Business Case'!$B$8*(('Business Case'!C11*$C431*'Business Case'!C12*$B431)-('Business Case'!B11*$C431*'Business Case'!B12*$B431))-'Business Case'!C15*$F431</f>
        <v>-37988601.994965</v>
      </c>
      <c r="J431" s="53" t="n">
        <f aca="false">(('Business Case'!D11*$C431*'Business Case'!D12*$B431)-'Business Case'!D11*$C431*'Business Case'!D13*$D431-'Business Case'!D14*$E431)-MAX(0,(('Business Case'!D11*$C431*'Business Case'!D12*$B431)-'Business Case'!D11*$C431*'Business Case'!D13*$D431-'Business Case'!D14*$E431))*'Business Case'!$B$7-'Business Case'!$B$8*(('Business Case'!D11*$C431*'Business Case'!D12*$B431)-('Business Case'!C11*$C431*'Business Case'!C12*$B431))-'Business Case'!D15*$F431</f>
        <v>218893581.627504</v>
      </c>
      <c r="K431" s="53" t="n">
        <f aca="false">(('Business Case'!E11*$C431*'Business Case'!E12*$B431)-'Business Case'!E11*$C431*'Business Case'!E13*$D431-'Business Case'!E14*$E431)-MAX(0,(('Business Case'!E11*$C431*'Business Case'!E12*$B431)-'Business Case'!E11*$C431*'Business Case'!E13*$D431-'Business Case'!E14*$E431))*'Business Case'!$B$7-'Business Case'!$B$8*(('Business Case'!E11*$C431*'Business Case'!E12*$B431)-('Business Case'!D11*$C431*'Business Case'!D12*$B431))-'Business Case'!E15*$F431</f>
        <v>527251902.217506</v>
      </c>
      <c r="L431" s="53" t="n">
        <f aca="false">(('Business Case'!F11*$C431*'Business Case'!F12*$B431)-'Business Case'!F11*$C431*'Business Case'!F13*$D431-'Business Case'!F14*$E431)-MAX(0,(('Business Case'!F11*$C431*'Business Case'!F12*$B431)-'Business Case'!F11*$C431*'Business Case'!F13*$D431-'Business Case'!F14*$E431))*'Business Case'!$B$7-'Business Case'!$B$8*(('Business Case'!F11*$C431*'Business Case'!F12*$B431)-('Business Case'!E11*$C431*'Business Case'!E12*$B431))-'Business Case'!F15*$F431</f>
        <v>643566213.83791</v>
      </c>
      <c r="M431" s="53" t="n">
        <f aca="false">(('Business Case'!G11*$C431*'Business Case'!G12*$B431)-'Business Case'!G11*$C431*'Business Case'!G13*$D431-'Business Case'!G14*$E431)-MAX(0,(('Business Case'!G11*$C431*'Business Case'!G12*$B431)-'Business Case'!G11*$C431*'Business Case'!G13*$D431-'Business Case'!G14*$E431))*'Business Case'!$B$7-'Business Case'!$B$8*(('Business Case'!G11*$C431*'Business Case'!G12*$B431)-('Business Case'!F11*$C431*'Business Case'!F12*$B431))-'Business Case'!G15*$F431+'Business Case'!$B$8*('Business Case'!G11*$C431*'Business Case'!G12*$B431)</f>
        <v>812344257.775604</v>
      </c>
      <c r="N431" s="53" t="n">
        <f aca="false">IF(COUNT('Business Case'!B11:G11)=0,"",H431+NPV(G431,I431:M431))</f>
        <v>-582703075.564636</v>
      </c>
      <c r="P431" s="54" t="n">
        <f aca="true">RAND()</f>
        <v>0.34536977317927</v>
      </c>
      <c r="Q431" s="54" t="n">
        <f aca="true">RAND()</f>
        <v>0.167539674711599</v>
      </c>
      <c r="R431" s="54" t="n">
        <f aca="true">RAND()</f>
        <v>0.550979486537452</v>
      </c>
      <c r="S431" s="54" t="n">
        <f aca="true">RAND()</f>
        <v>0.634304153577712</v>
      </c>
      <c r="T431" s="54" t="n">
        <f aca="true">RAND()</f>
        <v>0.418750072029931</v>
      </c>
      <c r="U431" s="54" t="n">
        <f aca="true">RAND()</f>
        <v>0.455803453029674</v>
      </c>
    </row>
    <row r="432" customFormat="false" ht="15" hidden="false" customHeight="false" outlineLevel="0" collapsed="false">
      <c r="A432" s="50" t="n">
        <v>352</v>
      </c>
      <c r="B432" s="51" t="n">
        <f aca="false">1+IF($G$6=$E$6,$F$6,IF(P432&lt;($F$6-$E$6)/($G$6-$E$6),$E$6+SQRT(P432*($G$6-$E$6)*($F$6-$E$6)),$G$6-SQRT((1-P432)*($G$6-$E$6)*($G$6-$F$6))))</f>
        <v>0.999365047645655</v>
      </c>
      <c r="C432" s="51" t="n">
        <f aca="false">1+IF($G$7=$E$7,$F$7,IF(Q432&lt;($F$7-$E$7)/($G$7-$E$7),$E$7+SQRT(Q432*($G$7-$E$7)*($F$7-$E$7)),$G$7-SQRT((1-Q432)*($G$7-$E$7)*($G$7-$F$7))))</f>
        <v>0.867767272721998</v>
      </c>
      <c r="D432" s="51" t="n">
        <f aca="false">1+IF($G$8=$E$8,$F$8,IF(R432&lt;($F$8-$E$8)/($G$8-$E$8),$E$8+SQRT(R432*($G$8-$E$8)*($F$8-$E$8)),$G$8-SQRT((1-R432)*($G$8-$E$8)*($G$8-$F$8))))</f>
        <v>1.02298385661329</v>
      </c>
      <c r="E432" s="51" t="n">
        <f aca="false">1+IF($G$9=$E$9,$F$9,IF(S432&lt;($F$9-$E$9)/($G$9-$E$9),$E$9+SQRT(S432*($G$9-$E$9)*($F$9-$E$9)),$G$9-SQRT((1-S432)*($G$9-$E$9)*($G$9-$F$9))))</f>
        <v>0.957747144902255</v>
      </c>
      <c r="F432" s="51" t="n">
        <f aca="false">1+IF($G$10=$E$10,$F$10,IF(T432&lt;($F$10-$E$10)/($G$10-$E$10),$E$10+SQRT(T432*($G$10-$E$10)*($F$10-$E$10)),$G$10-SQRT((1-T432)*($G$10-$E$10)*($G$10-$F$10))))</f>
        <v>0.984780829415398</v>
      </c>
      <c r="G432" s="52" t="n">
        <f aca="false">IF($G$11=$E$11,$F$11,IF(U432&lt;($F$11-$E$11)/($G$11-$E$11),$E$11+SQRT(U432*($G$11-$E$11)*($F$11-$E$11)),$G$11-SQRT((1-U432)*($G$11-$E$11)*($G$11-$F$11))))</f>
        <v>0.099627297094611</v>
      </c>
      <c r="H432" s="53" t="n">
        <f aca="false">(('Business Case'!B11*$C432*'Business Case'!B12*$B432)-'Business Case'!B11*$C432*'Business Case'!B13*$D432-'Business Case'!B14*$E432)-MAX(0,(('Business Case'!B11*$C432*'Business Case'!B12*$B432)-'Business Case'!B11*$C432*'Business Case'!B13*$D432-'Business Case'!B14*$E432))*'Business Case'!$B$7-'Business Case'!$B$8*('Business Case'!B11*$C432*'Business Case'!B12*$B432)-'Business Case'!B15*$F432</f>
        <v>-1969561658.8308</v>
      </c>
      <c r="I432" s="53" t="n">
        <f aca="false">(('Business Case'!C11*$C432*'Business Case'!C12*$B432)-'Business Case'!C11*$C432*'Business Case'!C13*$D432-'Business Case'!C14*$E432)-MAX(0,(('Business Case'!C11*$C432*'Business Case'!C12*$B432)-'Business Case'!C11*$C432*'Business Case'!C13*$D432-'Business Case'!C14*$E432))*'Business Case'!$B$7-'Business Case'!$B$8*(('Business Case'!C11*$C432*'Business Case'!C12*$B432)-('Business Case'!B11*$C432*'Business Case'!B12*$B432))-'Business Case'!C15*$F432</f>
        <v>-23751126.21952</v>
      </c>
      <c r="J432" s="53" t="n">
        <f aca="false">(('Business Case'!D11*$C432*'Business Case'!D12*$B432)-'Business Case'!D11*$C432*'Business Case'!D13*$D432-'Business Case'!D14*$E432)-MAX(0,(('Business Case'!D11*$C432*'Business Case'!D12*$B432)-'Business Case'!D11*$C432*'Business Case'!D13*$D432-'Business Case'!D14*$E432))*'Business Case'!$B$7-'Business Case'!$B$8*(('Business Case'!D11*$C432*'Business Case'!D12*$B432)-('Business Case'!C11*$C432*'Business Case'!C12*$B432))-'Business Case'!D15*$F432</f>
        <v>232123966.558661</v>
      </c>
      <c r="K432" s="53" t="n">
        <f aca="false">(('Business Case'!E11*$C432*'Business Case'!E12*$B432)-'Business Case'!E11*$C432*'Business Case'!E13*$D432-'Business Case'!E14*$E432)-MAX(0,(('Business Case'!E11*$C432*'Business Case'!E12*$B432)-'Business Case'!E11*$C432*'Business Case'!E13*$D432-'Business Case'!E14*$E432))*'Business Case'!$B$7-'Business Case'!$B$8*(('Business Case'!E11*$C432*'Business Case'!E12*$B432)-('Business Case'!D11*$C432*'Business Case'!D12*$B432))-'Business Case'!E15*$F432</f>
        <v>537238100.807612</v>
      </c>
      <c r="L432" s="53" t="n">
        <f aca="false">(('Business Case'!F11*$C432*'Business Case'!F12*$B432)-'Business Case'!F11*$C432*'Business Case'!F13*$D432-'Business Case'!F14*$E432)-MAX(0,(('Business Case'!F11*$C432*'Business Case'!F12*$B432)-'Business Case'!F11*$C432*'Business Case'!F13*$D432-'Business Case'!F14*$E432))*'Business Case'!$B$7-'Business Case'!$B$8*(('Business Case'!F11*$C432*'Business Case'!F12*$B432)-('Business Case'!E11*$C432*'Business Case'!E12*$B432))-'Business Case'!F15*$F432</f>
        <v>652500793.101046</v>
      </c>
      <c r="M432" s="53" t="n">
        <f aca="false">(('Business Case'!G11*$C432*'Business Case'!G12*$B432)-'Business Case'!G11*$C432*'Business Case'!G13*$D432-'Business Case'!G14*$E432)-MAX(0,(('Business Case'!G11*$C432*'Business Case'!G12*$B432)-'Business Case'!G11*$C432*'Business Case'!G13*$D432-'Business Case'!G14*$E432))*'Business Case'!$B$7-'Business Case'!$B$8*(('Business Case'!G11*$C432*'Business Case'!G12*$B432)-('Business Case'!F11*$C432*'Business Case'!F12*$B432))-'Business Case'!G15*$F432+'Business Case'!$B$8*('Business Case'!G11*$C432*'Business Case'!G12*$B432)</f>
        <v>817341263.954934</v>
      </c>
      <c r="N432" s="53" t="n">
        <f aca="false">IF(COUNT('Business Case'!B11:G11)=0,"",H432+NPV(G432,I432:M432))</f>
        <v>-440510765.571857</v>
      </c>
      <c r="P432" s="54" t="n">
        <f aca="true">RAND()</f>
        <v>0.656126123728866</v>
      </c>
      <c r="Q432" s="54" t="n">
        <f aca="true">RAND()</f>
        <v>0.0656057607453946</v>
      </c>
      <c r="R432" s="54" t="n">
        <f aca="true">RAND()</f>
        <v>0.687419172433303</v>
      </c>
      <c r="S432" s="54" t="n">
        <f aca="true">RAND()</f>
        <v>0.00800243388487059</v>
      </c>
      <c r="T432" s="54" t="n">
        <f aca="true">RAND()</f>
        <v>0.0967764875858433</v>
      </c>
      <c r="U432" s="54" t="n">
        <f aca="true">RAND()</f>
        <v>0.308949497826355</v>
      </c>
    </row>
    <row r="433" customFormat="false" ht="15" hidden="false" customHeight="false" outlineLevel="0" collapsed="false">
      <c r="A433" s="50" t="n">
        <v>353</v>
      </c>
      <c r="B433" s="51" t="n">
        <f aca="false">1+IF($G$6=$E$6,$F$6,IF(P433&lt;($F$6-$E$6)/($G$6-$E$6),$E$6+SQRT(P433*($G$6-$E$6)*($F$6-$E$6)),$G$6-SQRT((1-P433)*($G$6-$E$6)*($G$6-$F$6))))</f>
        <v>0.978564284959087</v>
      </c>
      <c r="C433" s="51" t="n">
        <f aca="false">1+IF($G$7=$E$7,$F$7,IF(Q433&lt;($F$7-$E$7)/($G$7-$E$7),$E$7+SQRT(Q433*($G$7-$E$7)*($F$7-$E$7)),$G$7-SQRT((1-Q433)*($G$7-$E$7)*($G$7-$F$7))))</f>
        <v>0.851046706424929</v>
      </c>
      <c r="D433" s="51" t="n">
        <f aca="false">1+IF($G$8=$E$8,$F$8,IF(R433&lt;($F$8-$E$8)/($G$8-$E$8),$E$8+SQRT(R433*($G$8-$E$8)*($F$8-$E$8)),$G$8-SQRT((1-R433)*($G$8-$E$8)*($G$8-$F$8))))</f>
        <v>1.04426219873403</v>
      </c>
      <c r="E433" s="51" t="n">
        <f aca="false">1+IF($G$9=$E$9,$F$9,IF(S433&lt;($F$9-$E$9)/($G$9-$E$9),$E$9+SQRT(S433*($G$9-$E$9)*($F$9-$E$9)),$G$9-SQRT((1-S433)*($G$9-$E$9)*($G$9-$F$9))))</f>
        <v>0.967983253592527</v>
      </c>
      <c r="F433" s="51" t="n">
        <f aca="false">1+IF($G$10=$E$10,$F$10,IF(T433&lt;($F$10-$E$10)/($G$10-$E$10),$E$10+SQRT(T433*($G$10-$E$10)*($F$10-$E$10)),$G$10-SQRT((1-T433)*($G$10-$E$10)*($G$10-$F$10))))</f>
        <v>1.01223848170507</v>
      </c>
      <c r="G433" s="52" t="n">
        <f aca="false">IF($G$11=$E$11,$F$11,IF(U433&lt;($F$11-$E$11)/($G$11-$E$11),$E$11+SQRT(U433*($G$11-$E$11)*($F$11-$E$11)),$G$11-SQRT((1-U433)*($G$11-$E$11)*($G$11-$F$11))))</f>
        <v>0.102036293691701</v>
      </c>
      <c r="H433" s="53" t="n">
        <f aca="false">(('Business Case'!B11*$C433*'Business Case'!B12*$B433)-'Business Case'!B11*$C433*'Business Case'!B13*$D433-'Business Case'!B14*$E433)-MAX(0,(('Business Case'!B11*$C433*'Business Case'!B12*$B433)-'Business Case'!B11*$C433*'Business Case'!B13*$D433-'Business Case'!B14*$E433))*'Business Case'!$B$7-'Business Case'!$B$8*('Business Case'!B11*$C433*'Business Case'!B12*$B433)-'Business Case'!B15*$F433</f>
        <v>-2024476963.41015</v>
      </c>
      <c r="I433" s="53" t="n">
        <f aca="false">(('Business Case'!C11*$C433*'Business Case'!C12*$B433)-'Business Case'!C11*$C433*'Business Case'!C13*$D433-'Business Case'!C14*$E433)-MAX(0,(('Business Case'!C11*$C433*'Business Case'!C12*$B433)-'Business Case'!C11*$C433*'Business Case'!C13*$D433-'Business Case'!C14*$E433))*'Business Case'!$B$7-'Business Case'!$B$8*(('Business Case'!C11*$C433*'Business Case'!C12*$B433)-('Business Case'!B11*$C433*'Business Case'!B12*$B433))-'Business Case'!C15*$F433</f>
        <v>-54868702.0441001</v>
      </c>
      <c r="J433" s="53" t="n">
        <f aca="false">(('Business Case'!D11*$C433*'Business Case'!D12*$B433)-'Business Case'!D11*$C433*'Business Case'!D13*$D433-'Business Case'!D14*$E433)-MAX(0,(('Business Case'!D11*$C433*'Business Case'!D12*$B433)-'Business Case'!D11*$C433*'Business Case'!D13*$D433-'Business Case'!D14*$E433))*'Business Case'!$B$7-'Business Case'!$B$8*(('Business Case'!D11*$C433*'Business Case'!D12*$B433)-('Business Case'!C11*$C433*'Business Case'!C12*$B433))-'Business Case'!D15*$F433</f>
        <v>172306217.52774</v>
      </c>
      <c r="K433" s="53" t="n">
        <f aca="false">(('Business Case'!E11*$C433*'Business Case'!E12*$B433)-'Business Case'!E11*$C433*'Business Case'!E13*$D433-'Business Case'!E14*$E433)-MAX(0,(('Business Case'!E11*$C433*'Business Case'!E12*$B433)-'Business Case'!E11*$C433*'Business Case'!E13*$D433-'Business Case'!E14*$E433))*'Business Case'!$B$7-'Business Case'!$B$8*(('Business Case'!E11*$C433*'Business Case'!E12*$B433)-('Business Case'!D11*$C433*'Business Case'!D12*$B433))-'Business Case'!E15*$F433</f>
        <v>450093061.184834</v>
      </c>
      <c r="L433" s="53" t="n">
        <f aca="false">(('Business Case'!F11*$C433*'Business Case'!F12*$B433)-'Business Case'!F11*$C433*'Business Case'!F13*$D433-'Business Case'!F14*$E433)-MAX(0,(('Business Case'!F11*$C433*'Business Case'!F12*$B433)-'Business Case'!F11*$C433*'Business Case'!F13*$D433-'Business Case'!F14*$E433))*'Business Case'!$B$7-'Business Case'!$B$8*(('Business Case'!F11*$C433*'Business Case'!F12*$B433)-('Business Case'!E11*$C433*'Business Case'!E12*$B433))-'Business Case'!F15*$F433</f>
        <v>554599737.565165</v>
      </c>
      <c r="M433" s="53" t="n">
        <f aca="false">(('Business Case'!G11*$C433*'Business Case'!G12*$B433)-'Business Case'!G11*$C433*'Business Case'!G13*$D433-'Business Case'!G14*$E433)-MAX(0,(('Business Case'!G11*$C433*'Business Case'!G12*$B433)-'Business Case'!G11*$C433*'Business Case'!G13*$D433-'Business Case'!G14*$E433))*'Business Case'!$B$7-'Business Case'!$B$8*(('Business Case'!G11*$C433*'Business Case'!G12*$B433)-('Business Case'!F11*$C433*'Business Case'!F12*$B433))-'Business Case'!G15*$F433+'Business Case'!$B$8*('Business Case'!G11*$C433*'Business Case'!G12*$B433)</f>
        <v>712899105.108608</v>
      </c>
      <c r="N433" s="53" t="n">
        <f aca="false">IF(COUNT('Business Case'!B11:G11)=0,"",H433+NPV(G433,I433:M433))</f>
        <v>-781511965.436342</v>
      </c>
      <c r="P433" s="54" t="n">
        <f aca="true">RAND()</f>
        <v>0.357268278413458</v>
      </c>
      <c r="Q433" s="54" t="n">
        <f aca="true">RAND()</f>
        <v>0.037225231954755</v>
      </c>
      <c r="R433" s="54" t="n">
        <f aca="true">RAND()</f>
        <v>0.877193226987855</v>
      </c>
      <c r="S433" s="54" t="n">
        <f aca="true">RAND()</f>
        <v>0.0431196546364193</v>
      </c>
      <c r="T433" s="54" t="n">
        <f aca="true">RAND()</f>
        <v>0.294912244951677</v>
      </c>
      <c r="U433" s="54" t="n">
        <f aca="true">RAND()</f>
        <v>0.462175426115319</v>
      </c>
    </row>
    <row r="434" customFormat="false" ht="15" hidden="false" customHeight="false" outlineLevel="0" collapsed="false">
      <c r="A434" s="50" t="n">
        <v>354</v>
      </c>
      <c r="B434" s="51" t="n">
        <f aca="false">1+IF($G$6=$E$6,$F$6,IF(P434&lt;($F$6-$E$6)/($G$6-$E$6),$E$6+SQRT(P434*($G$6-$E$6)*($F$6-$E$6)),$G$6-SQRT((1-P434)*($G$6-$E$6)*($G$6-$F$6))))</f>
        <v>0.967399172834458</v>
      </c>
      <c r="C434" s="51" t="n">
        <f aca="false">1+IF($G$7=$E$7,$F$7,IF(Q434&lt;($F$7-$E$7)/($G$7-$E$7),$E$7+SQRT(Q434*($G$7-$E$7)*($F$7-$E$7)),$G$7-SQRT((1-Q434)*($G$7-$E$7)*($G$7-$F$7))))</f>
        <v>0.87076094403954</v>
      </c>
      <c r="D434" s="51" t="n">
        <f aca="false">1+IF($G$8=$E$8,$F$8,IF(R434&lt;($F$8-$E$8)/($G$8-$E$8),$E$8+SQRT(R434*($G$8-$E$8)*($F$8-$E$8)),$G$8-SQRT((1-R434)*($G$8-$E$8)*($G$8-$F$8))))</f>
        <v>0.980124213747989</v>
      </c>
      <c r="E434" s="51" t="n">
        <f aca="false">1+IF($G$9=$E$9,$F$9,IF(S434&lt;($F$9-$E$9)/($G$9-$E$9),$E$9+SQRT(S434*($G$9-$E$9)*($F$9-$E$9)),$G$9-SQRT((1-S434)*($G$9-$E$9)*($G$9-$F$9))))</f>
        <v>1.06355655597495</v>
      </c>
      <c r="F434" s="51" t="n">
        <f aca="false">1+IF($G$10=$E$10,$F$10,IF(T434&lt;($F$10-$E$10)/($G$10-$E$10),$E$10+SQRT(T434*($G$10-$E$10)*($F$10-$E$10)),$G$10-SQRT((1-T434)*($G$10-$E$10)*($G$10-$F$10))))</f>
        <v>0.992860769815653</v>
      </c>
      <c r="G434" s="52" t="n">
        <f aca="false">IF($G$11=$E$11,$F$11,IF(U434&lt;($F$11-$E$11)/($G$11-$E$11),$E$11+SQRT(U434*($G$11-$E$11)*($F$11-$E$11)),$G$11-SQRT((1-U434)*($G$11-$E$11)*($G$11-$F$11))))</f>
        <v>0.107241589481821</v>
      </c>
      <c r="H434" s="53" t="n">
        <f aca="false">(('Business Case'!B11*$C434*'Business Case'!B12*$B434)-'Business Case'!B11*$C434*'Business Case'!B13*$D434-'Business Case'!B14*$E434)-MAX(0,(('Business Case'!B11*$C434*'Business Case'!B12*$B434)-'Business Case'!B11*$C434*'Business Case'!B13*$D434-'Business Case'!B14*$E434))*'Business Case'!$B$7-'Business Case'!$B$8*('Business Case'!B11*$C434*'Business Case'!B12*$B434)-'Business Case'!B15*$F434</f>
        <v>-1985721539.63131</v>
      </c>
      <c r="I434" s="53" t="n">
        <f aca="false">(('Business Case'!C11*$C434*'Business Case'!C12*$B434)-'Business Case'!C11*$C434*'Business Case'!C13*$D434-'Business Case'!C14*$E434)-MAX(0,(('Business Case'!C11*$C434*'Business Case'!C12*$B434)-'Business Case'!C11*$C434*'Business Case'!C13*$D434-'Business Case'!C14*$E434))*'Business Case'!$B$7-'Business Case'!$B$8*(('Business Case'!C11*$C434*'Business Case'!C12*$B434)-('Business Case'!B11*$C434*'Business Case'!B12*$B434))-'Business Case'!C15*$F434</f>
        <v>-41128090.905575</v>
      </c>
      <c r="J434" s="53" t="n">
        <f aca="false">(('Business Case'!D11*$C434*'Business Case'!D12*$B434)-'Business Case'!D11*$C434*'Business Case'!D13*$D434-'Business Case'!D14*$E434)-MAX(0,(('Business Case'!D11*$C434*'Business Case'!D12*$B434)-'Business Case'!D11*$C434*'Business Case'!D13*$D434-'Business Case'!D14*$E434))*'Business Case'!$B$7-'Business Case'!$B$8*(('Business Case'!D11*$C434*'Business Case'!D12*$B434)-('Business Case'!C11*$C434*'Business Case'!C12*$B434))-'Business Case'!D15*$F434</f>
        <v>211936275.367354</v>
      </c>
      <c r="K434" s="53" t="n">
        <f aca="false">(('Business Case'!E11*$C434*'Business Case'!E12*$B434)-'Business Case'!E11*$C434*'Business Case'!E13*$D434-'Business Case'!E14*$E434)-MAX(0,(('Business Case'!E11*$C434*'Business Case'!E12*$B434)-'Business Case'!E11*$C434*'Business Case'!E13*$D434-'Business Case'!E14*$E434))*'Business Case'!$B$7-'Business Case'!$B$8*(('Business Case'!E11*$C434*'Business Case'!E12*$B434)-('Business Case'!D11*$C434*'Business Case'!D12*$B434))-'Business Case'!E15*$F434</f>
        <v>514643680.131066</v>
      </c>
      <c r="L434" s="53" t="n">
        <f aca="false">(('Business Case'!F11*$C434*'Business Case'!F12*$B434)-'Business Case'!F11*$C434*'Business Case'!F13*$D434-'Business Case'!F14*$E434)-MAX(0,(('Business Case'!F11*$C434*'Business Case'!F12*$B434)-'Business Case'!F11*$C434*'Business Case'!F13*$D434-'Business Case'!F14*$E434))*'Business Case'!$B$7-'Business Case'!$B$8*(('Business Case'!F11*$C434*'Business Case'!F12*$B434)-('Business Case'!E11*$C434*'Business Case'!E12*$B434))-'Business Case'!F15*$F434</f>
        <v>628110894.180243</v>
      </c>
      <c r="M434" s="53" t="n">
        <f aca="false">(('Business Case'!G11*$C434*'Business Case'!G12*$B434)-'Business Case'!G11*$C434*'Business Case'!G13*$D434-'Business Case'!G14*$E434)-MAX(0,(('Business Case'!G11*$C434*'Business Case'!G12*$B434)-'Business Case'!G11*$C434*'Business Case'!G13*$D434-'Business Case'!G14*$E434))*'Business Case'!$B$7-'Business Case'!$B$8*(('Business Case'!G11*$C434*'Business Case'!G12*$B434)-('Business Case'!F11*$C434*'Business Case'!F12*$B434))-'Business Case'!G15*$F434+'Business Case'!$B$8*('Business Case'!G11*$C434*'Business Case'!G12*$B434)</f>
        <v>788229233.283679</v>
      </c>
      <c r="N434" s="53" t="n">
        <f aca="false">IF(COUNT('Business Case'!B11:G11)=0,"",H434+NPV(G434,I434:M434))</f>
        <v>-579347287.197367</v>
      </c>
      <c r="P434" s="54" t="n">
        <f aca="true">RAND()</f>
        <v>0.234029331811545</v>
      </c>
      <c r="Q434" s="54" t="n">
        <f aca="true">RAND()</f>
        <v>0.0715301600195267</v>
      </c>
      <c r="R434" s="54" t="n">
        <f aca="true">RAND()</f>
        <v>0.139610500605313</v>
      </c>
      <c r="S434" s="54" t="n">
        <f aca="true">RAND()</f>
        <v>0.911458359172865</v>
      </c>
      <c r="T434" s="54" t="n">
        <f aca="true">RAND()</f>
        <v>0.146963647135231</v>
      </c>
      <c r="U434" s="54" t="n">
        <f aca="true">RAND()</f>
        <v>0.728704935082711</v>
      </c>
    </row>
    <row r="435" customFormat="false" ht="15" hidden="false" customHeight="false" outlineLevel="0" collapsed="false">
      <c r="A435" s="50" t="n">
        <v>355</v>
      </c>
      <c r="B435" s="51" t="n">
        <f aca="false">1+IF($G$6=$E$6,$F$6,IF(P435&lt;($F$6-$E$6)/($G$6-$E$6),$E$6+SQRT(P435*($G$6-$E$6)*($F$6-$E$6)),$G$6-SQRT((1-P435)*($G$6-$E$6)*($G$6-$F$6))))</f>
        <v>0.958327062253826</v>
      </c>
      <c r="C435" s="51" t="n">
        <f aca="false">1+IF($G$7=$E$7,$F$7,IF(Q435&lt;($F$7-$E$7)/($G$7-$E$7),$E$7+SQRT(Q435*($G$7-$E$7)*($F$7-$E$7)),$G$7-SQRT((1-Q435)*($G$7-$E$7)*($G$7-$F$7))))</f>
        <v>0.98760015806146</v>
      </c>
      <c r="D435" s="51" t="n">
        <f aca="false">1+IF($G$8=$E$8,$F$8,IF(R435&lt;($F$8-$E$8)/($G$8-$E$8),$E$8+SQRT(R435*($G$8-$E$8)*($F$8-$E$8)),$G$8-SQRT((1-R435)*($G$8-$E$8)*($G$8-$F$8))))</f>
        <v>1.05062752964577</v>
      </c>
      <c r="E435" s="51" t="n">
        <f aca="false">1+IF($G$9=$E$9,$F$9,IF(S435&lt;($F$9-$E$9)/($G$9-$E$9),$E$9+SQRT(S435*($G$9-$E$9)*($F$9-$E$9)),$G$9-SQRT((1-S435)*($G$9-$E$9)*($G$9-$F$9))))</f>
        <v>1.05730730356314</v>
      </c>
      <c r="F435" s="51" t="n">
        <f aca="false">1+IF($G$10=$E$10,$F$10,IF(T435&lt;($F$10-$E$10)/($G$10-$E$10),$E$10+SQRT(T435*($G$10-$E$10)*($F$10-$E$10)),$G$10-SQRT((1-T435)*($G$10-$E$10)*($G$10-$F$10))))</f>
        <v>0.991495234922935</v>
      </c>
      <c r="G435" s="52" t="n">
        <f aca="false">IF($G$11=$E$11,$F$11,IF(U435&lt;($F$11-$E$11)/($G$11-$E$11),$E$11+SQRT(U435*($G$11-$E$11)*($F$11-$E$11)),$G$11-SQRT((1-U435)*($G$11-$E$11)*($G$11-$F$11))))</f>
        <v>0.102956484288138</v>
      </c>
      <c r="H435" s="53" t="n">
        <f aca="false">(('Business Case'!B11*$C435*'Business Case'!B12*$B435)-'Business Case'!B11*$C435*'Business Case'!B13*$D435-'Business Case'!B14*$E435)-MAX(0,(('Business Case'!B11*$C435*'Business Case'!B12*$B435)-'Business Case'!B11*$C435*'Business Case'!B13*$D435-'Business Case'!B14*$E435))*'Business Case'!$B$7-'Business Case'!$B$8*('Business Case'!B11*$C435*'Business Case'!B12*$B435)-'Business Case'!B15*$F435</f>
        <v>-1982990469.84587</v>
      </c>
      <c r="I435" s="53" t="n">
        <f aca="false">(('Business Case'!C11*$C435*'Business Case'!C12*$B435)-'Business Case'!C11*$C435*'Business Case'!C13*$D435-'Business Case'!C14*$E435)-MAX(0,(('Business Case'!C11*$C435*'Business Case'!C12*$B435)-'Business Case'!C11*$C435*'Business Case'!C13*$D435-'Business Case'!C14*$E435))*'Business Case'!$B$7-'Business Case'!$B$8*(('Business Case'!C11*$C435*'Business Case'!C12*$B435)-('Business Case'!B11*$C435*'Business Case'!B12*$B435))-'Business Case'!C15*$F435</f>
        <v>-54524679.3045763</v>
      </c>
      <c r="J435" s="53" t="n">
        <f aca="false">(('Business Case'!D11*$C435*'Business Case'!D12*$B435)-'Business Case'!D11*$C435*'Business Case'!D13*$D435-'Business Case'!D14*$E435)-MAX(0,(('Business Case'!D11*$C435*'Business Case'!D12*$B435)-'Business Case'!D11*$C435*'Business Case'!D13*$D435-'Business Case'!D14*$E435))*'Business Case'!$B$7-'Business Case'!$B$8*(('Business Case'!D11*$C435*'Business Case'!D12*$B435)-('Business Case'!C11*$C435*'Business Case'!C12*$B435))-'Business Case'!D15*$F435</f>
        <v>189512918.240649</v>
      </c>
      <c r="K435" s="53" t="n">
        <f aca="false">(('Business Case'!E11*$C435*'Business Case'!E12*$B435)-'Business Case'!E11*$C435*'Business Case'!E13*$D435-'Business Case'!E14*$E435)-MAX(0,(('Business Case'!E11*$C435*'Business Case'!E12*$B435)-'Business Case'!E11*$C435*'Business Case'!E13*$D435-'Business Case'!E14*$E435))*'Business Case'!$B$7-'Business Case'!$B$8*(('Business Case'!E11*$C435*'Business Case'!E12*$B435)-('Business Case'!D11*$C435*'Business Case'!D12*$B435))-'Business Case'!E15*$F435</f>
        <v>483125277.532022</v>
      </c>
      <c r="L435" s="53" t="n">
        <f aca="false">(('Business Case'!F11*$C435*'Business Case'!F12*$B435)-'Business Case'!F11*$C435*'Business Case'!F13*$D435-'Business Case'!F14*$E435)-MAX(0,(('Business Case'!F11*$C435*'Business Case'!F12*$B435)-'Business Case'!F11*$C435*'Business Case'!F13*$D435-'Business Case'!F14*$E435))*'Business Case'!$B$7-'Business Case'!$B$8*(('Business Case'!F11*$C435*'Business Case'!F12*$B435)-('Business Case'!E11*$C435*'Business Case'!E12*$B435))-'Business Case'!F15*$F435</f>
        <v>597180246.574318</v>
      </c>
      <c r="M435" s="53" t="n">
        <f aca="false">(('Business Case'!G11*$C435*'Business Case'!G12*$B435)-'Business Case'!G11*$C435*'Business Case'!G13*$D435-'Business Case'!G14*$E435)-MAX(0,(('Business Case'!G11*$C435*'Business Case'!G12*$B435)-'Business Case'!G11*$C435*'Business Case'!G13*$D435-'Business Case'!G14*$E435))*'Business Case'!$B$7-'Business Case'!$B$8*(('Business Case'!G11*$C435*'Business Case'!G12*$B435)-('Business Case'!F11*$C435*'Business Case'!F12*$B435))-'Business Case'!G15*$F435+'Business Case'!$B$8*('Business Case'!G11*$C435*'Business Case'!G12*$B435)</f>
        <v>777080314.140696</v>
      </c>
      <c r="N435" s="53" t="n">
        <f aca="false">IF(COUNT('Business Case'!B11:G11)=0,"",H435+NPV(G435,I435:M435))</f>
        <v>-636973814.190459</v>
      </c>
      <c r="P435" s="54" t="n">
        <f aca="true">RAND()</f>
        <v>0.153017052188403</v>
      </c>
      <c r="Q435" s="54" t="n">
        <f aca="true">RAND()</f>
        <v>0.50276884720978</v>
      </c>
      <c r="R435" s="54" t="n">
        <f aca="true">RAND()</f>
        <v>0.917044037047098</v>
      </c>
      <c r="S435" s="54" t="n">
        <f aca="true">RAND()</f>
        <v>0.87848891139666</v>
      </c>
      <c r="T435" s="54" t="n">
        <f aca="true">RAND()</f>
        <v>0.137748361704762</v>
      </c>
      <c r="U435" s="54" t="n">
        <f aca="true">RAND()</f>
        <v>0.515864286965865</v>
      </c>
    </row>
    <row r="436" customFormat="false" ht="15" hidden="false" customHeight="false" outlineLevel="0" collapsed="false">
      <c r="A436" s="50" t="n">
        <v>356</v>
      </c>
      <c r="B436" s="51" t="n">
        <f aca="false">1+IF($G$6=$E$6,$F$6,IF(P436&lt;($F$6-$E$6)/($G$6-$E$6),$E$6+SQRT(P436*($G$6-$E$6)*($F$6-$E$6)),$G$6-SQRT((1-P436)*($G$6-$E$6)*($G$6-$F$6))))</f>
        <v>0.948589399266584</v>
      </c>
      <c r="C436" s="51" t="n">
        <f aca="false">1+IF($G$7=$E$7,$F$7,IF(Q436&lt;($F$7-$E$7)/($G$7-$E$7),$E$7+SQRT(Q436*($G$7-$E$7)*($F$7-$E$7)),$G$7-SQRT((1-Q436)*($G$7-$E$7)*($G$7-$F$7))))</f>
        <v>1.1391115254765</v>
      </c>
      <c r="D436" s="51" t="n">
        <f aca="false">1+IF($G$8=$E$8,$F$8,IF(R436&lt;($F$8-$E$8)/($G$8-$E$8),$E$8+SQRT(R436*($G$8-$E$8)*($F$8-$E$8)),$G$8-SQRT((1-R436)*($G$8-$E$8)*($G$8-$F$8))))</f>
        <v>1.06240078693929</v>
      </c>
      <c r="E436" s="51" t="n">
        <f aca="false">1+IF($G$9=$E$9,$F$9,IF(S436&lt;($F$9-$E$9)/($G$9-$E$9),$E$9+SQRT(S436*($G$9-$E$9)*($F$9-$E$9)),$G$9-SQRT((1-S436)*($G$9-$E$9)*($G$9-$F$9))))</f>
        <v>0.963291021771821</v>
      </c>
      <c r="F436" s="51" t="n">
        <f aca="false">1+IF($G$10=$E$10,$F$10,IF(T436&lt;($F$10-$E$10)/($G$10-$E$10),$E$10+SQRT(T436*($G$10-$E$10)*($F$10-$E$10)),$G$10-SQRT((1-T436)*($G$10-$E$10)*($G$10-$F$10))))</f>
        <v>1.02340501454615</v>
      </c>
      <c r="G436" s="52" t="n">
        <f aca="false">IF($G$11=$E$11,$F$11,IF(U436&lt;($F$11-$E$11)/($G$11-$E$11),$E$11+SQRT(U436*($G$11-$E$11)*($F$11-$E$11)),$G$11-SQRT((1-U436)*($G$11-$E$11)*($G$11-$F$11))))</f>
        <v>0.110577333015038</v>
      </c>
      <c r="H436" s="53" t="n">
        <f aca="false">(('Business Case'!B11*$C436*'Business Case'!B12*$B436)-'Business Case'!B11*$C436*'Business Case'!B13*$D436-'Business Case'!B14*$E436)-MAX(0,(('Business Case'!B11*$C436*'Business Case'!B12*$B436)-'Business Case'!B11*$C436*'Business Case'!B13*$D436-'Business Case'!B14*$E436))*'Business Case'!$B$7-'Business Case'!$B$8*('Business Case'!B11*$C436*'Business Case'!B12*$B436)-'Business Case'!B15*$F436</f>
        <v>-2046810029.0923</v>
      </c>
      <c r="I436" s="53" t="n">
        <f aca="false">(('Business Case'!C11*$C436*'Business Case'!C12*$B436)-'Business Case'!C11*$C436*'Business Case'!C13*$D436-'Business Case'!C14*$E436)-MAX(0,(('Business Case'!C11*$C436*'Business Case'!C12*$B436)-'Business Case'!C11*$C436*'Business Case'!C13*$D436-'Business Case'!C14*$E436))*'Business Case'!$B$7-'Business Case'!$B$8*(('Business Case'!C11*$C436*'Business Case'!C12*$B436)-('Business Case'!B11*$C436*'Business Case'!B12*$B436))-'Business Case'!C15*$F436</f>
        <v>-29810614.9915617</v>
      </c>
      <c r="J436" s="53" t="n">
        <f aca="false">(('Business Case'!D11*$C436*'Business Case'!D12*$B436)-'Business Case'!D11*$C436*'Business Case'!D13*$D436-'Business Case'!D14*$E436)-MAX(0,(('Business Case'!D11*$C436*'Business Case'!D12*$B436)-'Business Case'!D11*$C436*'Business Case'!D13*$D436-'Business Case'!D14*$E436))*'Business Case'!$B$7-'Business Case'!$B$8*(('Business Case'!D11*$C436*'Business Case'!D12*$B436)-('Business Case'!C11*$C436*'Business Case'!C12*$B436))-'Business Case'!D15*$F436</f>
        <v>235714921.026389</v>
      </c>
      <c r="K436" s="53" t="n">
        <f aca="false">(('Business Case'!E11*$C436*'Business Case'!E12*$B436)-'Business Case'!E11*$C436*'Business Case'!E13*$D436-'Business Case'!E14*$E436)-MAX(0,(('Business Case'!E11*$C436*'Business Case'!E12*$B436)-'Business Case'!E11*$C436*'Business Case'!E13*$D436-'Business Case'!E14*$E436))*'Business Case'!$B$7-'Business Case'!$B$8*(('Business Case'!E11*$C436*'Business Case'!E12*$B436)-('Business Case'!D11*$C436*'Business Case'!D12*$B436))-'Business Case'!E15*$F436</f>
        <v>552410707.771648</v>
      </c>
      <c r="L436" s="53" t="n">
        <f aca="false">(('Business Case'!F11*$C436*'Business Case'!F12*$B436)-'Business Case'!F11*$C436*'Business Case'!F13*$D436-'Business Case'!F14*$E436)-MAX(0,(('Business Case'!F11*$C436*'Business Case'!F12*$B436)-'Business Case'!F11*$C436*'Business Case'!F13*$D436-'Business Case'!F14*$E436))*'Business Case'!$B$7-'Business Case'!$B$8*(('Business Case'!F11*$C436*'Business Case'!F12*$B436)-('Business Case'!E11*$C436*'Business Case'!E12*$B436))-'Business Case'!F15*$F436</f>
        <v>678262997.283595</v>
      </c>
      <c r="M436" s="53" t="n">
        <f aca="false">(('Business Case'!G11*$C436*'Business Case'!G12*$B436)-'Business Case'!G11*$C436*'Business Case'!G13*$D436-'Business Case'!G14*$E436)-MAX(0,(('Business Case'!G11*$C436*'Business Case'!G12*$B436)-'Business Case'!G11*$C436*'Business Case'!G13*$D436-'Business Case'!G14*$E436))*'Business Case'!$B$7-'Business Case'!$B$8*(('Business Case'!G11*$C436*'Business Case'!G12*$B436)-('Business Case'!F11*$C436*'Business Case'!F12*$B436))-'Business Case'!G15*$F436+'Business Case'!$B$8*('Business Case'!G11*$C436*'Business Case'!G12*$B436)</f>
        <v>883653773.566392</v>
      </c>
      <c r="N436" s="53" t="n">
        <f aca="false">IF(COUNT('Business Case'!B11:G11)=0,"",H436+NPV(G436,I436:M436))</f>
        <v>-510343096.908342</v>
      </c>
      <c r="P436" s="54" t="n">
        <f aca="true">RAND()</f>
        <v>0.0851410156691821</v>
      </c>
      <c r="Q436" s="54" t="n">
        <f aca="true">RAND()</f>
        <v>0.997741735667641</v>
      </c>
      <c r="R436" s="54" t="n">
        <f aca="true">RAND()</f>
        <v>0.970218048042683</v>
      </c>
      <c r="S436" s="54" t="n">
        <f aca="true">RAND()</f>
        <v>0.0235535012985352</v>
      </c>
      <c r="T436" s="54" t="n">
        <f aca="true">RAND()</f>
        <v>0.376284222251075</v>
      </c>
      <c r="U436" s="54" t="n">
        <f aca="true">RAND()</f>
        <v>0.852022244817501</v>
      </c>
    </row>
    <row r="437" customFormat="false" ht="15" hidden="false" customHeight="false" outlineLevel="0" collapsed="false">
      <c r="A437" s="50" t="n">
        <v>357</v>
      </c>
      <c r="B437" s="51" t="n">
        <f aca="false">1+IF($G$6=$E$6,$F$6,IF(P437&lt;($F$6-$E$6)/($G$6-$E$6),$E$6+SQRT(P437*($G$6-$E$6)*($F$6-$E$6)),$G$6-SQRT((1-P437)*($G$6-$E$6)*($G$6-$F$6))))</f>
        <v>0.97882320786914</v>
      </c>
      <c r="C437" s="51" t="n">
        <f aca="false">1+IF($G$7=$E$7,$F$7,IF(Q437&lt;($F$7-$E$7)/($G$7-$E$7),$E$7+SQRT(Q437*($G$7-$E$7)*($F$7-$E$7)),$G$7-SQRT((1-Q437)*($G$7-$E$7)*($G$7-$F$7))))</f>
        <v>0.901944207050505</v>
      </c>
      <c r="D437" s="51" t="n">
        <f aca="false">1+IF($G$8=$E$8,$F$8,IF(R437&lt;($F$8-$E$8)/($G$8-$E$8),$E$8+SQRT(R437*($G$8-$E$8)*($F$8-$E$8)),$G$8-SQRT((1-R437)*($G$8-$E$8)*($G$8-$F$8))))</f>
        <v>1.00666207160274</v>
      </c>
      <c r="E437" s="51" t="n">
        <f aca="false">1+IF($G$9=$E$9,$F$9,IF(S437&lt;($F$9-$E$9)/($G$9-$E$9),$E$9+SQRT(S437*($G$9-$E$9)*($F$9-$E$9)),$G$9-SQRT((1-S437)*($G$9-$E$9)*($G$9-$F$9))))</f>
        <v>0.989470606223011</v>
      </c>
      <c r="F437" s="51" t="n">
        <f aca="false">1+IF($G$10=$E$10,$F$10,IF(T437&lt;($F$10-$E$10)/($G$10-$E$10),$E$10+SQRT(T437*($G$10-$E$10)*($F$10-$E$10)),$G$10-SQRT((1-T437)*($G$10-$E$10)*($G$10-$F$10))))</f>
        <v>0.988156380548255</v>
      </c>
      <c r="G437" s="52" t="n">
        <f aca="false">IF($G$11=$E$11,$F$11,IF(U437&lt;($F$11-$E$11)/($G$11-$E$11),$E$11+SQRT(U437*($G$11-$E$11)*($F$11-$E$11)),$G$11-SQRT((1-U437)*($G$11-$E$11)*($G$11-$F$11))))</f>
        <v>0.100824159062318</v>
      </c>
      <c r="H437" s="53" t="n">
        <f aca="false">(('Business Case'!B11*$C437*'Business Case'!B12*$B437)-'Business Case'!B11*$C437*'Business Case'!B13*$D437-'Business Case'!B14*$E437)-MAX(0,(('Business Case'!B11*$C437*'Business Case'!B12*$B437)-'Business Case'!B11*$C437*'Business Case'!B13*$D437-'Business Case'!B14*$E437))*'Business Case'!$B$7-'Business Case'!$B$8*('Business Case'!B11*$C437*'Business Case'!B12*$B437)-'Business Case'!B15*$F437</f>
        <v>-1976312761.09651</v>
      </c>
      <c r="I437" s="53" t="n">
        <f aca="false">(('Business Case'!C11*$C437*'Business Case'!C12*$B437)-'Business Case'!C11*$C437*'Business Case'!C13*$D437-'Business Case'!C14*$E437)-MAX(0,(('Business Case'!C11*$C437*'Business Case'!C12*$B437)-'Business Case'!C11*$C437*'Business Case'!C13*$D437-'Business Case'!C14*$E437))*'Business Case'!$B$7-'Business Case'!$B$8*(('Business Case'!C11*$C437*'Business Case'!C12*$B437)-('Business Case'!B11*$C437*'Business Case'!B12*$B437))-'Business Case'!C15*$F437</f>
        <v>-26971562.2617407</v>
      </c>
      <c r="J437" s="53" t="n">
        <f aca="false">(('Business Case'!D11*$C437*'Business Case'!D12*$B437)-'Business Case'!D11*$C437*'Business Case'!D13*$D437-'Business Case'!D14*$E437)-MAX(0,(('Business Case'!D11*$C437*'Business Case'!D12*$B437)-'Business Case'!D11*$C437*'Business Case'!D13*$D437-'Business Case'!D14*$E437))*'Business Case'!$B$7-'Business Case'!$B$8*(('Business Case'!D11*$C437*'Business Case'!D12*$B437)-('Business Case'!C11*$C437*'Business Case'!C12*$B437))-'Business Case'!D15*$F437</f>
        <v>231341862.656062</v>
      </c>
      <c r="K437" s="53" t="n">
        <f aca="false">(('Business Case'!E11*$C437*'Business Case'!E12*$B437)-'Business Case'!E11*$C437*'Business Case'!E13*$D437-'Business Case'!E14*$E437)-MAX(0,(('Business Case'!E11*$C437*'Business Case'!E12*$B437)-'Business Case'!E11*$C437*'Business Case'!E13*$D437-'Business Case'!E14*$E437))*'Business Case'!$B$7-'Business Case'!$B$8*(('Business Case'!E11*$C437*'Business Case'!E12*$B437)-('Business Case'!D11*$C437*'Business Case'!D12*$B437))-'Business Case'!E15*$F437</f>
        <v>539063106.601278</v>
      </c>
      <c r="L437" s="53" t="n">
        <f aca="false">(('Business Case'!F11*$C437*'Business Case'!F12*$B437)-'Business Case'!F11*$C437*'Business Case'!F13*$D437-'Business Case'!F14*$E437)-MAX(0,(('Business Case'!F11*$C437*'Business Case'!F12*$B437)-'Business Case'!F11*$C437*'Business Case'!F13*$D437-'Business Case'!F14*$E437))*'Business Case'!$B$7-'Business Case'!$B$8*(('Business Case'!F11*$C437*'Business Case'!F12*$B437)-('Business Case'!E11*$C437*'Business Case'!E12*$B437))-'Business Case'!F15*$F437</f>
        <v>655678667.520417</v>
      </c>
      <c r="M437" s="53" t="n">
        <f aca="false">(('Business Case'!G11*$C437*'Business Case'!G12*$B437)-'Business Case'!G11*$C437*'Business Case'!G13*$D437-'Business Case'!G14*$E437)-MAX(0,(('Business Case'!G11*$C437*'Business Case'!G12*$B437)-'Business Case'!G11*$C437*'Business Case'!G13*$D437-'Business Case'!G14*$E437))*'Business Case'!$B$7-'Business Case'!$B$8*(('Business Case'!G11*$C437*'Business Case'!G12*$B437)-('Business Case'!F11*$C437*'Business Case'!F12*$B437))-'Business Case'!G15*$F437+'Business Case'!$B$8*('Business Case'!G11*$C437*'Business Case'!G12*$B437)</f>
        <v>823489640.226373</v>
      </c>
      <c r="N437" s="53" t="n">
        <f aca="false">IF(COUNT('Business Case'!B11:G11)=0,"",H437+NPV(G437,I437:M437))</f>
        <v>-449902648.401549</v>
      </c>
      <c r="P437" s="54" t="n">
        <f aca="true">RAND()</f>
        <v>0.360434352501665</v>
      </c>
      <c r="Q437" s="54" t="n">
        <f aca="true">RAND()</f>
        <v>0.148466019302231</v>
      </c>
      <c r="R437" s="54" t="n">
        <f aca="true">RAND()</f>
        <v>0.482841178692122</v>
      </c>
      <c r="S437" s="54" t="n">
        <f aca="true">RAND()</f>
        <v>0.207723834081603</v>
      </c>
      <c r="T437" s="54" t="n">
        <f aca="true">RAND()</f>
        <v>0.11647275012346</v>
      </c>
      <c r="U437" s="54" t="n">
        <f aca="true">RAND()</f>
        <v>0.387145207221202</v>
      </c>
    </row>
    <row r="438" customFormat="false" ht="15" hidden="false" customHeight="false" outlineLevel="0" collapsed="false">
      <c r="A438" s="50" t="n">
        <v>358</v>
      </c>
      <c r="B438" s="51" t="n">
        <f aca="false">1+IF($G$6=$E$6,$F$6,IF(P438&lt;($F$6-$E$6)/($G$6-$E$6),$E$6+SQRT(P438*($G$6-$E$6)*($F$6-$E$6)),$G$6-SQRT((1-P438)*($G$6-$E$6)*($G$6-$F$6))))</f>
        <v>1.0131809536364</v>
      </c>
      <c r="C438" s="51" t="n">
        <f aca="false">1+IF($G$7=$E$7,$F$7,IF(Q438&lt;($F$7-$E$7)/($G$7-$E$7),$E$7+SQRT(Q438*($G$7-$E$7)*($F$7-$E$7)),$G$7-SQRT((1-Q438)*($G$7-$E$7)*($G$7-$F$7))))</f>
        <v>0.963354913658992</v>
      </c>
      <c r="D438" s="51" t="n">
        <f aca="false">1+IF($G$8=$E$8,$F$8,IF(R438&lt;($F$8-$E$8)/($G$8-$E$8),$E$8+SQRT(R438*($G$8-$E$8)*($F$8-$E$8)),$G$8-SQRT((1-R438)*($G$8-$E$8)*($G$8-$F$8))))</f>
        <v>0.998988005337437</v>
      </c>
      <c r="E438" s="51" t="n">
        <f aca="false">1+IF($G$9=$E$9,$F$9,IF(S438&lt;($F$9-$E$9)/($G$9-$E$9),$E$9+SQRT(S438*($G$9-$E$9)*($F$9-$E$9)),$G$9-SQRT((1-S438)*($G$9-$E$9)*($G$9-$F$9))))</f>
        <v>0.989771117406712</v>
      </c>
      <c r="F438" s="51" t="n">
        <f aca="false">1+IF($G$10=$E$10,$F$10,IF(T438&lt;($F$10-$E$10)/($G$10-$E$10),$E$10+SQRT(T438*($G$10-$E$10)*($F$10-$E$10)),$G$10-SQRT((1-T438)*($G$10-$E$10)*($G$10-$F$10))))</f>
        <v>1.0258752836326</v>
      </c>
      <c r="G438" s="52" t="n">
        <f aca="false">IF($G$11=$E$11,$F$11,IF(U438&lt;($F$11-$E$11)/($G$11-$E$11),$E$11+SQRT(U438*($G$11-$E$11)*($F$11-$E$11)),$G$11-SQRT((1-U438)*($G$11-$E$11)*($G$11-$F$11))))</f>
        <v>0.0959824750400913</v>
      </c>
      <c r="H438" s="53" t="n">
        <f aca="false">(('Business Case'!B11*$C438*'Business Case'!B12*$B438)-'Business Case'!B11*$C438*'Business Case'!B13*$D438-'Business Case'!B14*$E438)-MAX(0,(('Business Case'!B11*$C438*'Business Case'!B12*$B438)-'Business Case'!B11*$C438*'Business Case'!B13*$D438-'Business Case'!B14*$E438))*'Business Case'!$B$7-'Business Case'!$B$8*('Business Case'!B11*$C438*'Business Case'!B12*$B438)-'Business Case'!B15*$F438</f>
        <v>-2051750567.2652</v>
      </c>
      <c r="I438" s="53" t="n">
        <f aca="false">(('Business Case'!C11*$C438*'Business Case'!C12*$B438)-'Business Case'!C11*$C438*'Business Case'!C13*$D438-'Business Case'!C14*$E438)-MAX(0,(('Business Case'!C11*$C438*'Business Case'!C12*$B438)-'Business Case'!C11*$C438*'Business Case'!C13*$D438-'Business Case'!C14*$E438))*'Business Case'!$B$7-'Business Case'!$B$8*(('Business Case'!C11*$C438*'Business Case'!C12*$B438)-('Business Case'!B11*$C438*'Business Case'!B12*$B438))-'Business Case'!C15*$F438</f>
        <v>12864427.5807673</v>
      </c>
      <c r="J438" s="53" t="n">
        <f aca="false">(('Business Case'!D11*$C438*'Business Case'!D12*$B438)-'Business Case'!D11*$C438*'Business Case'!D13*$D438-'Business Case'!D14*$E438)-MAX(0,(('Business Case'!D11*$C438*'Business Case'!D12*$B438)-'Business Case'!D11*$C438*'Business Case'!D13*$D438-'Business Case'!D14*$E438))*'Business Case'!$B$7-'Business Case'!$B$8*(('Business Case'!D11*$C438*'Business Case'!D12*$B438)-('Business Case'!C11*$C438*'Business Case'!C12*$B438))-'Business Case'!D15*$F438</f>
        <v>319660416.169801</v>
      </c>
      <c r="K438" s="53" t="n">
        <f aca="false">(('Business Case'!E11*$C438*'Business Case'!E12*$B438)-'Business Case'!E11*$C438*'Business Case'!E13*$D438-'Business Case'!E14*$E438)-MAX(0,(('Business Case'!E11*$C438*'Business Case'!E12*$B438)-'Business Case'!E11*$C438*'Business Case'!E13*$D438-'Business Case'!E14*$E438))*'Business Case'!$B$7-'Business Case'!$B$8*(('Business Case'!E11*$C438*'Business Case'!E12*$B438)-('Business Case'!D11*$C438*'Business Case'!D12*$B438))-'Business Case'!E15*$F438</f>
        <v>677750168.940464</v>
      </c>
      <c r="L438" s="53" t="n">
        <f aca="false">(('Business Case'!F11*$C438*'Business Case'!F12*$B438)-'Business Case'!F11*$C438*'Business Case'!F13*$D438-'Business Case'!F14*$E438)-MAX(0,(('Business Case'!F11*$C438*'Business Case'!F12*$B438)-'Business Case'!F11*$C438*'Business Case'!F13*$D438-'Business Case'!F14*$E438))*'Business Case'!$B$7-'Business Case'!$B$8*(('Business Case'!F11*$C438*'Business Case'!F12*$B438)-('Business Case'!E11*$C438*'Business Case'!E12*$B438))-'Business Case'!F15*$F438</f>
        <v>813747884.969989</v>
      </c>
      <c r="M438" s="53" t="n">
        <f aca="false">(('Business Case'!G11*$C438*'Business Case'!G12*$B438)-'Business Case'!G11*$C438*'Business Case'!G13*$D438-'Business Case'!G14*$E438)-MAX(0,(('Business Case'!G11*$C438*'Business Case'!G12*$B438)-'Business Case'!G11*$C438*'Business Case'!G13*$D438-'Business Case'!G14*$E438))*'Business Case'!$B$7-'Business Case'!$B$8*(('Business Case'!G11*$C438*'Business Case'!G12*$B438)-('Business Case'!F11*$C438*'Business Case'!F12*$B438))-'Business Case'!G15*$F438+'Business Case'!$B$8*('Business Case'!G11*$C438*'Business Case'!G12*$B438)</f>
        <v>999276010.719151</v>
      </c>
      <c r="N438" s="53" t="n">
        <f aca="false">IF(COUNT('Business Case'!B11:G11)=0,"",H438+NPV(G438,I438:M438))</f>
        <v>-63143247.3564308</v>
      </c>
      <c r="P438" s="54" t="n">
        <f aca="true">RAND()</f>
        <v>0.850153906697341</v>
      </c>
      <c r="Q438" s="54" t="n">
        <f aca="true">RAND()</f>
        <v>0.381211825950524</v>
      </c>
      <c r="R438" s="54" t="n">
        <f aca="true">RAND()</f>
        <v>0.369203794913961</v>
      </c>
      <c r="S438" s="54" t="n">
        <f aca="true">RAND()</f>
        <v>0.210898903970458</v>
      </c>
      <c r="T438" s="54" t="n">
        <f aca="true">RAND()</f>
        <v>0.39361166299946</v>
      </c>
      <c r="U438" s="54" t="n">
        <f aca="true">RAND()</f>
        <v>0.119300025351051</v>
      </c>
    </row>
    <row r="439" customFormat="false" ht="15" hidden="false" customHeight="false" outlineLevel="0" collapsed="false">
      <c r="A439" s="50" t="n">
        <v>359</v>
      </c>
      <c r="B439" s="51" t="n">
        <f aca="false">1+IF($G$6=$E$6,$F$6,IF(P439&lt;($F$6-$E$6)/($G$6-$E$6),$E$6+SQRT(P439*($G$6-$E$6)*($F$6-$E$6)),$G$6-SQRT((1-P439)*($G$6-$E$6)*($G$6-$F$6))))</f>
        <v>1.00852984199368</v>
      </c>
      <c r="C439" s="51" t="n">
        <f aca="false">1+IF($G$7=$E$7,$F$7,IF(Q439&lt;($F$7-$E$7)/($G$7-$E$7),$E$7+SQRT(Q439*($G$7-$E$7)*($F$7-$E$7)),$G$7-SQRT((1-Q439)*($G$7-$E$7)*($G$7-$F$7))))</f>
        <v>1.06450581572937</v>
      </c>
      <c r="D439" s="51" t="n">
        <f aca="false">1+IF($G$8=$E$8,$F$8,IF(R439&lt;($F$8-$E$8)/($G$8-$E$8),$E$8+SQRT(R439*($G$8-$E$8)*($F$8-$E$8)),$G$8-SQRT((1-R439)*($G$8-$E$8)*($G$8-$F$8))))</f>
        <v>1.00608299902249</v>
      </c>
      <c r="E439" s="51" t="n">
        <f aca="false">1+IF($G$9=$E$9,$F$9,IF(S439&lt;($F$9-$E$9)/($G$9-$E$9),$E$9+SQRT(S439*($G$9-$E$9)*($F$9-$E$9)),$G$9-SQRT((1-S439)*($G$9-$E$9)*($G$9-$F$9))))</f>
        <v>1.0283708696602</v>
      </c>
      <c r="F439" s="51" t="n">
        <f aca="false">1+IF($G$10=$E$10,$F$10,IF(T439&lt;($F$10-$E$10)/($G$10-$E$10),$E$10+SQRT(T439*($G$10-$E$10)*($F$10-$E$10)),$G$10-SQRT((1-T439)*($G$10-$E$10)*($G$10-$F$10))))</f>
        <v>1.04368842410412</v>
      </c>
      <c r="G439" s="52" t="n">
        <f aca="false">IF($G$11=$E$11,$F$11,IF(U439&lt;($F$11-$E$11)/($G$11-$E$11),$E$11+SQRT(U439*($G$11-$E$11)*($F$11-$E$11)),$G$11-SQRT((1-U439)*($G$11-$E$11)*($G$11-$F$11))))</f>
        <v>0.0985745430690799</v>
      </c>
      <c r="H439" s="53" t="n">
        <f aca="false">(('Business Case'!B11*$C439*'Business Case'!B12*$B439)-'Business Case'!B11*$C439*'Business Case'!B13*$D439-'Business Case'!B14*$E439)-MAX(0,(('Business Case'!B11*$C439*'Business Case'!B12*$B439)-'Business Case'!B11*$C439*'Business Case'!B13*$D439-'Business Case'!B14*$E439))*'Business Case'!$B$7-'Business Case'!$B$8*('Business Case'!B11*$C439*'Business Case'!B12*$B439)-'Business Case'!B15*$F439</f>
        <v>-2087376848.20824</v>
      </c>
      <c r="I439" s="53" t="n">
        <f aca="false">(('Business Case'!C11*$C439*'Business Case'!C12*$B439)-'Business Case'!C11*$C439*'Business Case'!C13*$D439-'Business Case'!C14*$E439)-MAX(0,(('Business Case'!C11*$C439*'Business Case'!C12*$B439)-'Business Case'!C11*$C439*'Business Case'!C13*$D439-'Business Case'!C14*$E439))*'Business Case'!$B$7-'Business Case'!$B$8*(('Business Case'!C11*$C439*'Business Case'!C12*$B439)-('Business Case'!B11*$C439*'Business Case'!B12*$B439))-'Business Case'!C15*$F439</f>
        <v>24829565.7196487</v>
      </c>
      <c r="J439" s="53" t="n">
        <f aca="false">(('Business Case'!D11*$C439*'Business Case'!D12*$B439)-'Business Case'!D11*$C439*'Business Case'!D13*$D439-'Business Case'!D14*$E439)-MAX(0,(('Business Case'!D11*$C439*'Business Case'!D12*$B439)-'Business Case'!D11*$C439*'Business Case'!D13*$D439-'Business Case'!D14*$E439))*'Business Case'!$B$7-'Business Case'!$B$8*(('Business Case'!D11*$C439*'Business Case'!D12*$B439)-('Business Case'!C11*$C439*'Business Case'!C12*$B439))-'Business Case'!D15*$F439</f>
        <v>355917003.64547</v>
      </c>
      <c r="K439" s="53" t="n">
        <f aca="false">(('Business Case'!E11*$C439*'Business Case'!E12*$B439)-'Business Case'!E11*$C439*'Business Case'!E13*$D439-'Business Case'!E14*$E439)-MAX(0,(('Business Case'!E11*$C439*'Business Case'!E12*$B439)-'Business Case'!E11*$C439*'Business Case'!E13*$D439-'Business Case'!E14*$E439))*'Business Case'!$B$7-'Business Case'!$B$8*(('Business Case'!E11*$C439*'Business Case'!E12*$B439)-('Business Case'!D11*$C439*'Business Case'!D12*$B439))-'Business Case'!E15*$F439</f>
        <v>739188862.776497</v>
      </c>
      <c r="L439" s="53" t="n">
        <f aca="false">(('Business Case'!F11*$C439*'Business Case'!F12*$B439)-'Business Case'!F11*$C439*'Business Case'!F13*$D439-'Business Case'!F14*$E439)-MAX(0,(('Business Case'!F11*$C439*'Business Case'!F12*$B439)-'Business Case'!F11*$C439*'Business Case'!F13*$D439-'Business Case'!F14*$E439))*'Business Case'!$B$7-'Business Case'!$B$8*(('Business Case'!F11*$C439*'Business Case'!F12*$B439)-('Business Case'!E11*$C439*'Business Case'!E12*$B439))-'Business Case'!F15*$F439</f>
        <v>886654470.171824</v>
      </c>
      <c r="M439" s="53" t="n">
        <f aca="false">(('Business Case'!G11*$C439*'Business Case'!G12*$B439)-'Business Case'!G11*$C439*'Business Case'!G13*$D439-'Business Case'!G14*$E439)-MAX(0,(('Business Case'!G11*$C439*'Business Case'!G12*$B439)-'Business Case'!G11*$C439*'Business Case'!G13*$D439-'Business Case'!G14*$E439))*'Business Case'!$B$7-'Business Case'!$B$8*(('Business Case'!G11*$C439*'Business Case'!G12*$B439)-('Business Case'!F11*$C439*'Business Case'!F12*$B439))-'Business Case'!G15*$F439+'Business Case'!$B$8*('Business Case'!G11*$C439*'Business Case'!G12*$B439)</f>
        <v>1090721674.64878</v>
      </c>
      <c r="N439" s="53" t="n">
        <f aca="false">IF(COUNT('Business Case'!B11:G11)=0,"",H439+NPV(G439,I439:M439))</f>
        <v>78066910.0047057</v>
      </c>
      <c r="P439" s="54" t="n">
        <f aca="true">RAND()</f>
        <v>0.793672740636943</v>
      </c>
      <c r="Q439" s="54" t="n">
        <f aca="true">RAND()</f>
        <v>0.860776084874265</v>
      </c>
      <c r="R439" s="54" t="n">
        <f aca="true">RAND()</f>
        <v>0.474642016008698</v>
      </c>
      <c r="S439" s="54" t="n">
        <f aca="true">RAND()</f>
        <v>0.657951179117611</v>
      </c>
      <c r="T439" s="54" t="n">
        <f aca="true">RAND()</f>
        <v>0.511333824818923</v>
      </c>
      <c r="U439" s="54" t="n">
        <f aca="true">RAND()</f>
        <v>0.245075962811689</v>
      </c>
    </row>
    <row r="440" customFormat="false" ht="15" hidden="false" customHeight="false" outlineLevel="0" collapsed="false">
      <c r="A440" s="50" t="n">
        <v>360</v>
      </c>
      <c r="B440" s="51" t="n">
        <f aca="false">1+IF($G$6=$E$6,$F$6,IF(P440&lt;($F$6-$E$6)/($G$6-$E$6),$E$6+SQRT(P440*($G$6-$E$6)*($F$6-$E$6)),$G$6-SQRT((1-P440)*($G$6-$E$6)*($G$6-$F$6))))</f>
        <v>1.00243170625135</v>
      </c>
      <c r="C440" s="51" t="n">
        <f aca="false">1+IF($G$7=$E$7,$F$7,IF(Q440&lt;($F$7-$E$7)/($G$7-$E$7),$E$7+SQRT(Q440*($G$7-$E$7)*($F$7-$E$7)),$G$7-SQRT((1-Q440)*($G$7-$E$7)*($G$7-$F$7))))</f>
        <v>1.04813256969389</v>
      </c>
      <c r="D440" s="51" t="n">
        <f aca="false">1+IF($G$8=$E$8,$F$8,IF(R440&lt;($F$8-$E$8)/($G$8-$E$8),$E$8+SQRT(R440*($G$8-$E$8)*($F$8-$E$8)),$G$8-SQRT((1-R440)*($G$8-$E$8)*($G$8-$F$8))))</f>
        <v>1.00047613205717</v>
      </c>
      <c r="E440" s="51" t="n">
        <f aca="false">1+IF($G$9=$E$9,$F$9,IF(S440&lt;($F$9-$E$9)/($G$9-$E$9),$E$9+SQRT(S440*($G$9-$E$9)*($F$9-$E$9)),$G$9-SQRT((1-S440)*($G$9-$E$9)*($G$9-$F$9))))</f>
        <v>1.02241472736823</v>
      </c>
      <c r="F440" s="51" t="n">
        <f aca="false">1+IF($G$10=$E$10,$F$10,IF(T440&lt;($F$10-$E$10)/($G$10-$E$10),$E$10+SQRT(T440*($G$10-$E$10)*($F$10-$E$10)),$G$10-SQRT((1-T440)*($G$10-$E$10)*($G$10-$F$10))))</f>
        <v>1.01898561969405</v>
      </c>
      <c r="G440" s="52" t="n">
        <f aca="false">IF($G$11=$E$11,$F$11,IF(U440&lt;($F$11-$E$11)/($G$11-$E$11),$E$11+SQRT(U440*($G$11-$E$11)*($F$11-$E$11)),$G$11-SQRT((1-U440)*($G$11-$E$11)*($G$11-$F$11))))</f>
        <v>0.102000475517219</v>
      </c>
      <c r="H440" s="53" t="n">
        <f aca="false">(('Business Case'!B11*$C440*'Business Case'!B12*$B440)-'Business Case'!B11*$C440*'Business Case'!B13*$D440-'Business Case'!B14*$E440)-MAX(0,(('Business Case'!B11*$C440*'Business Case'!B12*$B440)-'Business Case'!B11*$C440*'Business Case'!B13*$D440-'Business Case'!B14*$E440))*'Business Case'!$B$7-'Business Case'!$B$8*('Business Case'!B11*$C440*'Business Case'!B12*$B440)-'Business Case'!B15*$F440</f>
        <v>-2037971239.3881</v>
      </c>
      <c r="I440" s="53" t="n">
        <f aca="false">(('Business Case'!C11*$C440*'Business Case'!C12*$B440)-'Business Case'!C11*$C440*'Business Case'!C13*$D440-'Business Case'!C14*$E440)-MAX(0,(('Business Case'!C11*$C440*'Business Case'!C12*$B440)-'Business Case'!C11*$C440*'Business Case'!C13*$D440-'Business Case'!C14*$E440))*'Business Case'!$B$7-'Business Case'!$B$8*(('Business Case'!C11*$C440*'Business Case'!C12*$B440)-('Business Case'!B11*$C440*'Business Case'!B12*$B440))-'Business Case'!C15*$F440</f>
        <v>22014895.9644564</v>
      </c>
      <c r="J440" s="53" t="n">
        <f aca="false">(('Business Case'!D11*$C440*'Business Case'!D12*$B440)-'Business Case'!D11*$C440*'Business Case'!D13*$D440-'Business Case'!D14*$E440)-MAX(0,(('Business Case'!D11*$C440*'Business Case'!D12*$B440)-'Business Case'!D11*$C440*'Business Case'!D13*$D440-'Business Case'!D14*$E440))*'Business Case'!$B$7-'Business Case'!$B$8*(('Business Case'!D11*$C440*'Business Case'!D12*$B440)-('Business Case'!C11*$C440*'Business Case'!C12*$B440))-'Business Case'!D15*$F440</f>
        <v>345783047.77007</v>
      </c>
      <c r="K440" s="53" t="n">
        <f aca="false">(('Business Case'!E11*$C440*'Business Case'!E12*$B440)-'Business Case'!E11*$C440*'Business Case'!E13*$D440-'Business Case'!E14*$E440)-MAX(0,(('Business Case'!E11*$C440*'Business Case'!E12*$B440)-'Business Case'!E11*$C440*'Business Case'!E13*$D440-'Business Case'!E14*$E440))*'Business Case'!$B$7-'Business Case'!$B$8*(('Business Case'!E11*$C440*'Business Case'!E12*$B440)-('Business Case'!D11*$C440*'Business Case'!D12*$B440))-'Business Case'!E15*$F440</f>
        <v>720500480.560387</v>
      </c>
      <c r="L440" s="53" t="n">
        <f aca="false">(('Business Case'!F11*$C440*'Business Case'!F12*$B440)-'Business Case'!F11*$C440*'Business Case'!F13*$D440-'Business Case'!F14*$E440)-MAX(0,(('Business Case'!F11*$C440*'Business Case'!F12*$B440)-'Business Case'!F11*$C440*'Business Case'!F13*$D440-'Business Case'!F14*$E440))*'Business Case'!$B$7-'Business Case'!$B$8*(('Business Case'!F11*$C440*'Business Case'!F12*$B440)-('Business Case'!E11*$C440*'Business Case'!E12*$B440))-'Business Case'!F15*$F440</f>
        <v>864734744.255585</v>
      </c>
      <c r="M440" s="53" t="n">
        <f aca="false">(('Business Case'!G11*$C440*'Business Case'!G12*$B440)-'Business Case'!G11*$C440*'Business Case'!G13*$D440-'Business Case'!G14*$E440)-MAX(0,(('Business Case'!G11*$C440*'Business Case'!G12*$B440)-'Business Case'!G11*$C440*'Business Case'!G13*$D440-'Business Case'!G14*$E440))*'Business Case'!$B$7-'Business Case'!$B$8*(('Business Case'!G11*$C440*'Business Case'!G12*$B440)-('Business Case'!F11*$C440*'Business Case'!F12*$B440))-'Business Case'!G15*$F440+'Business Case'!$B$8*('Business Case'!G11*$C440*'Business Case'!G12*$B440)</f>
        <v>1064448249.60222</v>
      </c>
      <c r="N440" s="53" t="n">
        <f aca="false">IF(COUNT('Business Case'!B11:G11)=0,"",H440+NPV(G440,I440:M440))</f>
        <v>46430267.2932241</v>
      </c>
      <c r="P440" s="54" t="n">
        <f aca="true">RAND()</f>
        <v>0.705963188503223</v>
      </c>
      <c r="Q440" s="54" t="n">
        <f aca="true">RAND()</f>
        <v>0.802343364625312</v>
      </c>
      <c r="R440" s="54" t="n">
        <f aca="true">RAND()</f>
        <v>0.391918694943409</v>
      </c>
      <c r="S440" s="54" t="n">
        <f aca="true">RAND()</f>
        <v>0.598701698043573</v>
      </c>
      <c r="T440" s="54" t="n">
        <f aca="true">RAND()</f>
        <v>0.344675882449065</v>
      </c>
      <c r="U440" s="54" t="n">
        <f aca="true">RAND()</f>
        <v>0.460028530656254</v>
      </c>
    </row>
    <row r="441" customFormat="false" ht="15" hidden="false" customHeight="false" outlineLevel="0" collapsed="false">
      <c r="A441" s="50" t="n">
        <v>361</v>
      </c>
      <c r="B441" s="51" t="n">
        <f aca="false">1+IF($G$6=$E$6,$F$6,IF(P441&lt;($F$6-$E$6)/($G$6-$E$6),$E$6+SQRT(P441*($G$6-$E$6)*($F$6-$E$6)),$G$6-SQRT((1-P441)*($G$6-$E$6)*($G$6-$F$6))))</f>
        <v>0.988542607058767</v>
      </c>
      <c r="C441" s="51" t="n">
        <f aca="false">1+IF($G$7=$E$7,$F$7,IF(Q441&lt;($F$7-$E$7)/($G$7-$E$7),$E$7+SQRT(Q441*($G$7-$E$7)*($F$7-$E$7)),$G$7-SQRT((1-Q441)*($G$7-$E$7)*($G$7-$F$7))))</f>
        <v>1.07434881867419</v>
      </c>
      <c r="D441" s="51" t="n">
        <f aca="false">1+IF($G$8=$E$8,$F$8,IF(R441&lt;($F$8-$E$8)/($G$8-$E$8),$E$8+SQRT(R441*($G$8-$E$8)*($F$8-$E$8)),$G$8-SQRT((1-R441)*($G$8-$E$8)*($G$8-$F$8))))</f>
        <v>1.01895586335778</v>
      </c>
      <c r="E441" s="51" t="n">
        <f aca="false">1+IF($G$9=$E$9,$F$9,IF(S441&lt;($F$9-$E$9)/($G$9-$E$9),$E$9+SQRT(S441*($G$9-$E$9)*($F$9-$E$9)),$G$9-SQRT((1-S441)*($G$9-$E$9)*($G$9-$F$9))))</f>
        <v>1.00207195580221</v>
      </c>
      <c r="F441" s="51" t="n">
        <f aca="false">1+IF($G$10=$E$10,$F$10,IF(T441&lt;($F$10-$E$10)/($G$10-$E$10),$E$10+SQRT(T441*($G$10-$E$10)*($F$10-$E$10)),$G$10-SQRT((1-T441)*($G$10-$E$10)*($G$10-$F$10))))</f>
        <v>1.02177956498913</v>
      </c>
      <c r="G441" s="52" t="n">
        <f aca="false">IF($G$11=$E$11,$F$11,IF(U441&lt;($F$11-$E$11)/($G$11-$E$11),$E$11+SQRT(U441*($G$11-$E$11)*($F$11-$E$11)),$G$11-SQRT((1-U441)*($G$11-$E$11)*($G$11-$F$11))))</f>
        <v>0.0988043314161669</v>
      </c>
      <c r="H441" s="53" t="n">
        <f aca="false">(('Business Case'!B11*$C441*'Business Case'!B12*$B441)-'Business Case'!B11*$C441*'Business Case'!B13*$D441-'Business Case'!B14*$E441)-MAX(0,(('Business Case'!B11*$C441*'Business Case'!B12*$B441)-'Business Case'!B11*$C441*'Business Case'!B13*$D441-'Business Case'!B14*$E441))*'Business Case'!$B$7-'Business Case'!$B$8*('Business Case'!B11*$C441*'Business Case'!B12*$B441)-'Business Case'!B15*$F441</f>
        <v>-2043559129.97826</v>
      </c>
      <c r="I441" s="53" t="n">
        <f aca="false">(('Business Case'!C11*$C441*'Business Case'!C12*$B441)-'Business Case'!C11*$C441*'Business Case'!C13*$D441-'Business Case'!C14*$E441)-MAX(0,(('Business Case'!C11*$C441*'Business Case'!C12*$B441)-'Business Case'!C11*$C441*'Business Case'!C13*$D441-'Business Case'!C14*$E441))*'Business Case'!$B$7-'Business Case'!$B$8*(('Business Case'!C11*$C441*'Business Case'!C12*$B441)-('Business Case'!B11*$C441*'Business Case'!B12*$B441))-'Business Case'!C15*$F441</f>
        <v>9752158.78733222</v>
      </c>
      <c r="J441" s="53" t="n">
        <f aca="false">(('Business Case'!D11*$C441*'Business Case'!D12*$B441)-'Business Case'!D11*$C441*'Business Case'!D13*$D441-'Business Case'!D14*$E441)-MAX(0,(('Business Case'!D11*$C441*'Business Case'!D12*$B441)-'Business Case'!D11*$C441*'Business Case'!D13*$D441-'Business Case'!D14*$E441))*'Business Case'!$B$7-'Business Case'!$B$8*(('Business Case'!D11*$C441*'Business Case'!D12*$B441)-('Business Case'!C11*$C441*'Business Case'!C12*$B441))-'Business Case'!D15*$F441</f>
        <v>319233038.124855</v>
      </c>
      <c r="K441" s="53" t="n">
        <f aca="false">(('Business Case'!E11*$C441*'Business Case'!E12*$B441)-'Business Case'!E11*$C441*'Business Case'!E13*$D441-'Business Case'!E14*$E441)-MAX(0,(('Business Case'!E11*$C441*'Business Case'!E12*$B441)-'Business Case'!E11*$C441*'Business Case'!E13*$D441-'Business Case'!E14*$E441))*'Business Case'!$B$7-'Business Case'!$B$8*(('Business Case'!E11*$C441*'Business Case'!E12*$B441)-('Business Case'!D11*$C441*'Business Case'!D12*$B441))-'Business Case'!E15*$F441</f>
        <v>679802895.711834</v>
      </c>
      <c r="L441" s="53" t="n">
        <f aca="false">(('Business Case'!F11*$C441*'Business Case'!F12*$B441)-'Business Case'!F11*$C441*'Business Case'!F13*$D441-'Business Case'!F14*$E441)-MAX(0,(('Business Case'!F11*$C441*'Business Case'!F12*$B441)-'Business Case'!F11*$C441*'Business Case'!F13*$D441-'Business Case'!F14*$E441))*'Business Case'!$B$7-'Business Case'!$B$8*(('Business Case'!F11*$C441*'Business Case'!F12*$B441)-('Business Case'!E11*$C441*'Business Case'!E12*$B441))-'Business Case'!F15*$F441</f>
        <v>819667276.781811</v>
      </c>
      <c r="M441" s="53" t="n">
        <f aca="false">(('Business Case'!G11*$C441*'Business Case'!G12*$B441)-'Business Case'!G11*$C441*'Business Case'!G13*$D441-'Business Case'!G14*$E441)-MAX(0,(('Business Case'!G11*$C441*'Business Case'!G12*$B441)-'Business Case'!G11*$C441*'Business Case'!G13*$D441-'Business Case'!G14*$E441))*'Business Case'!$B$7-'Business Case'!$B$8*(('Business Case'!G11*$C441*'Business Case'!G12*$B441)-('Business Case'!F11*$C441*'Business Case'!F12*$B441))-'Business Case'!G15*$F441+'Business Case'!$B$8*('Business Case'!G11*$C441*'Business Case'!G12*$B441)</f>
        <v>1021539760.54789</v>
      </c>
      <c r="N441" s="53" t="n">
        <f aca="false">IF(COUNT('Business Case'!B11:G11)=0,"",H441+NPV(G441,I441:M441))</f>
        <v>-57826396.2580888</v>
      </c>
      <c r="P441" s="54" t="n">
        <f aca="true">RAND()</f>
        <v>0.489384269001304</v>
      </c>
      <c r="Q441" s="54" t="n">
        <f aca="true">RAND()</f>
        <v>0.890988547885894</v>
      </c>
      <c r="R441" s="54" t="n">
        <f aca="true">RAND()</f>
        <v>0.641693594385155</v>
      </c>
      <c r="S441" s="54" t="n">
        <f aca="true">RAND()</f>
        <v>0.360673210639674</v>
      </c>
      <c r="T441" s="54" t="n">
        <f aca="true">RAND()</f>
        <v>0.364749530890736</v>
      </c>
      <c r="U441" s="54" t="n">
        <f aca="true">RAND()</f>
        <v>0.258387505619014</v>
      </c>
    </row>
    <row r="442" customFormat="false" ht="15" hidden="false" customHeight="false" outlineLevel="0" collapsed="false">
      <c r="A442" s="50" t="n">
        <v>362</v>
      </c>
      <c r="B442" s="51" t="n">
        <f aca="false">1+IF($G$6=$E$6,$F$6,IF(P442&lt;($F$6-$E$6)/($G$6-$E$6),$E$6+SQRT(P442*($G$6-$E$6)*($F$6-$E$6)),$G$6-SQRT((1-P442)*($G$6-$E$6)*($G$6-$F$6))))</f>
        <v>1.0008110339002</v>
      </c>
      <c r="C442" s="51" t="n">
        <f aca="false">1+IF($G$7=$E$7,$F$7,IF(Q442&lt;($F$7-$E$7)/($G$7-$E$7),$E$7+SQRT(Q442*($G$7-$E$7)*($F$7-$E$7)),$G$7-SQRT((1-Q442)*($G$7-$E$7)*($G$7-$F$7))))</f>
        <v>0.986159794777611</v>
      </c>
      <c r="D442" s="51" t="n">
        <f aca="false">1+IF($G$8=$E$8,$F$8,IF(R442&lt;($F$8-$E$8)/($G$8-$E$8),$E$8+SQRT(R442*($G$8-$E$8)*($F$8-$E$8)),$G$8-SQRT((1-R442)*($G$8-$E$8)*($G$8-$F$8))))</f>
        <v>0.971478566055054</v>
      </c>
      <c r="E442" s="51" t="n">
        <f aca="false">1+IF($G$9=$E$9,$F$9,IF(S442&lt;($F$9-$E$9)/($G$9-$E$9),$E$9+SQRT(S442*($G$9-$E$9)*($F$9-$E$9)),$G$9-SQRT((1-S442)*($G$9-$E$9)*($G$9-$F$9))))</f>
        <v>1.01724812224325</v>
      </c>
      <c r="F442" s="51" t="n">
        <f aca="false">1+IF($G$10=$E$10,$F$10,IF(T442&lt;($F$10-$E$10)/($G$10-$E$10),$E$10+SQRT(T442*($G$10-$E$10)*($F$10-$E$10)),$G$10-SQRT((1-T442)*($G$10-$E$10)*($G$10-$F$10))))</f>
        <v>1.00627742934922</v>
      </c>
      <c r="G442" s="52" t="n">
        <f aca="false">IF($G$11=$E$11,$F$11,IF(U442&lt;($F$11-$E$11)/($G$11-$E$11),$E$11+SQRT(U442*($G$11-$E$11)*($F$11-$E$11)),$G$11-SQRT((1-U442)*($G$11-$E$11)*($G$11-$F$11))))</f>
        <v>0.108545755291611</v>
      </c>
      <c r="H442" s="53" t="n">
        <f aca="false">(('Business Case'!B11*$C442*'Business Case'!B12*$B442)-'Business Case'!B11*$C442*'Business Case'!B13*$D442-'Business Case'!B14*$E442)-MAX(0,(('Business Case'!B11*$C442*'Business Case'!B12*$B442)-'Business Case'!B11*$C442*'Business Case'!B13*$D442-'Business Case'!B14*$E442))*'Business Case'!$B$7-'Business Case'!$B$8*('Business Case'!B11*$C442*'Business Case'!B12*$B442)-'Business Case'!B15*$F442</f>
        <v>-2012554858.69844</v>
      </c>
      <c r="I442" s="53" t="n">
        <f aca="false">(('Business Case'!C11*$C442*'Business Case'!C12*$B442)-'Business Case'!C11*$C442*'Business Case'!C13*$D442-'Business Case'!C14*$E442)-MAX(0,(('Business Case'!C11*$C442*'Business Case'!C12*$B442)-'Business Case'!C11*$C442*'Business Case'!C13*$D442-'Business Case'!C14*$E442))*'Business Case'!$B$7-'Business Case'!$B$8*(('Business Case'!C11*$C442*'Business Case'!C12*$B442)-('Business Case'!B11*$C442*'Business Case'!B12*$B442))-'Business Case'!C15*$F442</f>
        <v>21510258.5688868</v>
      </c>
      <c r="J442" s="53" t="n">
        <f aca="false">(('Business Case'!D11*$C442*'Business Case'!D12*$B442)-'Business Case'!D11*$C442*'Business Case'!D13*$D442-'Business Case'!D14*$E442)-MAX(0,(('Business Case'!D11*$C442*'Business Case'!D12*$B442)-'Business Case'!D11*$C442*'Business Case'!D13*$D442-'Business Case'!D14*$E442))*'Business Case'!$B$7-'Business Case'!$B$8*(('Business Case'!D11*$C442*'Business Case'!D12*$B442)-('Business Case'!C11*$C442*'Business Case'!C12*$B442))-'Business Case'!D15*$F442</f>
        <v>339464928.916792</v>
      </c>
      <c r="K442" s="53" t="n">
        <f aca="false">(('Business Case'!E11*$C442*'Business Case'!E12*$B442)-'Business Case'!E11*$C442*'Business Case'!E13*$D442-'Business Case'!E14*$E442)-MAX(0,(('Business Case'!E11*$C442*'Business Case'!E12*$B442)-'Business Case'!E11*$C442*'Business Case'!E13*$D442-'Business Case'!E14*$E442))*'Business Case'!$B$7-'Business Case'!$B$8*(('Business Case'!E11*$C442*'Business Case'!E12*$B442)-('Business Case'!D11*$C442*'Business Case'!D12*$B442))-'Business Case'!E15*$F442</f>
        <v>707733470.732158</v>
      </c>
      <c r="L442" s="53" t="n">
        <f aca="false">(('Business Case'!F11*$C442*'Business Case'!F12*$B442)-'Business Case'!F11*$C442*'Business Case'!F13*$D442-'Business Case'!F14*$E442)-MAX(0,(('Business Case'!F11*$C442*'Business Case'!F12*$B442)-'Business Case'!F11*$C442*'Business Case'!F13*$D442-'Business Case'!F14*$E442))*'Business Case'!$B$7-'Business Case'!$B$8*(('Business Case'!F11*$C442*'Business Case'!F12*$B442)-('Business Case'!E11*$C442*'Business Case'!E12*$B442))-'Business Case'!F15*$F442</f>
        <v>847827684.75553</v>
      </c>
      <c r="M442" s="53" t="n">
        <f aca="false">(('Business Case'!G11*$C442*'Business Case'!G12*$B442)-'Business Case'!G11*$C442*'Business Case'!G13*$D442-'Business Case'!G14*$E442)-MAX(0,(('Business Case'!G11*$C442*'Business Case'!G12*$B442)-'Business Case'!G11*$C442*'Business Case'!G13*$D442-'Business Case'!G14*$E442))*'Business Case'!$B$7-'Business Case'!$B$8*(('Business Case'!G11*$C442*'Business Case'!G12*$B442)-('Business Case'!F11*$C442*'Business Case'!F12*$B442))-'Business Case'!G15*$F442+'Business Case'!$B$8*('Business Case'!G11*$C442*'Business Case'!G12*$B442)</f>
        <v>1035428966.24625</v>
      </c>
      <c r="N442" s="53" t="n">
        <f aca="false">IF(COUNT('Business Case'!B11:G11)=0,"",H442+NPV(G442,I442:M442))</f>
        <v>-17437701.7061822</v>
      </c>
      <c r="P442" s="54" t="n">
        <f aca="true">RAND()</f>
        <v>0.680046861672679</v>
      </c>
      <c r="Q442" s="54" t="n">
        <f aca="true">RAND()</f>
        <v>0.495078131309177</v>
      </c>
      <c r="R442" s="54" t="n">
        <f aca="true">RAND()</f>
        <v>0.0709736615048199</v>
      </c>
      <c r="S442" s="54" t="n">
        <f aca="true">RAND()</f>
        <v>0.543475115182148</v>
      </c>
      <c r="T442" s="54" t="n">
        <f aca="true">RAND()</f>
        <v>0.249431312409075</v>
      </c>
      <c r="U442" s="54" t="n">
        <f aca="true">RAND()</f>
        <v>0.781333796933911</v>
      </c>
    </row>
    <row r="443" customFormat="false" ht="15" hidden="false" customHeight="false" outlineLevel="0" collapsed="false">
      <c r="A443" s="50" t="n">
        <v>363</v>
      </c>
      <c r="B443" s="51" t="n">
        <f aca="false">1+IF($G$6=$E$6,$F$6,IF(P443&lt;($F$6-$E$6)/($G$6-$E$6),$E$6+SQRT(P443*($G$6-$E$6)*($F$6-$E$6)),$G$6-SQRT((1-P443)*($G$6-$E$6)*($G$6-$F$6))))</f>
        <v>1.00193643099941</v>
      </c>
      <c r="C443" s="51" t="n">
        <f aca="false">1+IF($G$7=$E$7,$F$7,IF(Q443&lt;($F$7-$E$7)/($G$7-$E$7),$E$7+SQRT(Q443*($G$7-$E$7)*($F$7-$E$7)),$G$7-SQRT((1-Q443)*($G$7-$E$7)*($G$7-$F$7))))</f>
        <v>0.985343022379958</v>
      </c>
      <c r="D443" s="51" t="n">
        <f aca="false">1+IF($G$8=$E$8,$F$8,IF(R443&lt;($F$8-$E$8)/($G$8-$E$8),$E$8+SQRT(R443*($G$8-$E$8)*($F$8-$E$8)),$G$8-SQRT((1-R443)*($G$8-$E$8)*($G$8-$F$8))))</f>
        <v>1.02753910234133</v>
      </c>
      <c r="E443" s="51" t="n">
        <f aca="false">1+IF($G$9=$E$9,$F$9,IF(S443&lt;($F$9-$E$9)/($G$9-$E$9),$E$9+SQRT(S443*($G$9-$E$9)*($F$9-$E$9)),$G$9-SQRT((1-S443)*($G$9-$E$9)*($G$9-$F$9))))</f>
        <v>1.0814712746056</v>
      </c>
      <c r="F443" s="51" t="n">
        <f aca="false">1+IF($G$10=$E$10,$F$10,IF(T443&lt;($F$10-$E$10)/($G$10-$E$10),$E$10+SQRT(T443*($G$10-$E$10)*($F$10-$E$10)),$G$10-SQRT((1-T443)*($G$10-$E$10)*($G$10-$F$10))))</f>
        <v>1.03346832195749</v>
      </c>
      <c r="G443" s="52" t="n">
        <f aca="false">IF($G$11=$E$11,$F$11,IF(U443&lt;($F$11-$E$11)/($G$11-$E$11),$E$11+SQRT(U443*($G$11-$E$11)*($F$11-$E$11)),$G$11-SQRT((1-U443)*($G$11-$E$11)*($G$11-$F$11))))</f>
        <v>0.0966566625231958</v>
      </c>
      <c r="H443" s="53" t="n">
        <f aca="false">(('Business Case'!B11*$C443*'Business Case'!B12*$B443)-'Business Case'!B11*$C443*'Business Case'!B13*$D443-'Business Case'!B14*$E443)-MAX(0,(('Business Case'!B11*$C443*'Business Case'!B12*$B443)-'Business Case'!B11*$C443*'Business Case'!B13*$D443-'Business Case'!B14*$E443))*'Business Case'!$B$7-'Business Case'!$B$8*('Business Case'!B11*$C443*'Business Case'!B12*$B443)-'Business Case'!B15*$F443</f>
        <v>-2066936643.91499</v>
      </c>
      <c r="I443" s="53" t="n">
        <f aca="false">(('Business Case'!C11*$C443*'Business Case'!C12*$B443)-'Business Case'!C11*$C443*'Business Case'!C13*$D443-'Business Case'!C14*$E443)-MAX(0,(('Business Case'!C11*$C443*'Business Case'!C12*$B443)-'Business Case'!C11*$C443*'Business Case'!C13*$D443-'Business Case'!C14*$E443))*'Business Case'!$B$7-'Business Case'!$B$8*(('Business Case'!C11*$C443*'Business Case'!C12*$B443)-('Business Case'!B11*$C443*'Business Case'!B12*$B443))-'Business Case'!C15*$F443</f>
        <v>-17989419.5164831</v>
      </c>
      <c r="J443" s="53" t="n">
        <f aca="false">(('Business Case'!D11*$C443*'Business Case'!D12*$B443)-'Business Case'!D11*$C443*'Business Case'!D13*$D443-'Business Case'!D14*$E443)-MAX(0,(('Business Case'!D11*$C443*'Business Case'!D12*$B443)-'Business Case'!D11*$C443*'Business Case'!D13*$D443-'Business Case'!D14*$E443))*'Business Case'!$B$7-'Business Case'!$B$8*(('Business Case'!D11*$C443*'Business Case'!D12*$B443)-('Business Case'!C11*$C443*'Business Case'!C12*$B443))-'Business Case'!D15*$F443</f>
        <v>272332303.940299</v>
      </c>
      <c r="K443" s="53" t="n">
        <f aca="false">(('Business Case'!E11*$C443*'Business Case'!E12*$B443)-'Business Case'!E11*$C443*'Business Case'!E13*$D443-'Business Case'!E14*$E443)-MAX(0,(('Business Case'!E11*$C443*'Business Case'!E12*$B443)-'Business Case'!E11*$C443*'Business Case'!E13*$D443-'Business Case'!E14*$E443))*'Business Case'!$B$7-'Business Case'!$B$8*(('Business Case'!E11*$C443*'Business Case'!E12*$B443)-('Business Case'!D11*$C443*'Business Case'!D12*$B443))-'Business Case'!E15*$F443</f>
        <v>614327443.494957</v>
      </c>
      <c r="L443" s="53" t="n">
        <f aca="false">(('Business Case'!F11*$C443*'Business Case'!F12*$B443)-'Business Case'!F11*$C443*'Business Case'!F13*$D443-'Business Case'!F14*$E443)-MAX(0,(('Business Case'!F11*$C443*'Business Case'!F12*$B443)-'Business Case'!F11*$C443*'Business Case'!F13*$D443-'Business Case'!F14*$E443))*'Business Case'!$B$7-'Business Case'!$B$8*(('Business Case'!F11*$C443*'Business Case'!F12*$B443)-('Business Case'!E11*$C443*'Business Case'!E12*$B443))-'Business Case'!F15*$F443</f>
        <v>745220748.332951</v>
      </c>
      <c r="M443" s="53" t="n">
        <f aca="false">(('Business Case'!G11*$C443*'Business Case'!G12*$B443)-'Business Case'!G11*$C443*'Business Case'!G13*$D443-'Business Case'!G14*$E443)-MAX(0,(('Business Case'!G11*$C443*'Business Case'!G12*$B443)-'Business Case'!G11*$C443*'Business Case'!G13*$D443-'Business Case'!G14*$E443))*'Business Case'!$B$7-'Business Case'!$B$8*(('Business Case'!G11*$C443*'Business Case'!G12*$B443)-('Business Case'!F11*$C443*'Business Case'!F12*$B443))-'Business Case'!G15*$F443+'Business Case'!$B$8*('Business Case'!G11*$C443*'Business Case'!G12*$B443)</f>
        <v>932877431.937817</v>
      </c>
      <c r="N443" s="53" t="n">
        <f aca="false">IF(COUNT('Business Case'!B11:G11)=0,"",H443+NPV(G443,I443:M443))</f>
        <v>-287752195.481577</v>
      </c>
      <c r="P443" s="54" t="n">
        <f aca="true">RAND()</f>
        <v>0.698159315611922</v>
      </c>
      <c r="Q443" s="54" t="n">
        <f aca="true">RAND()</f>
        <v>0.490743370641964</v>
      </c>
      <c r="R443" s="54" t="n">
        <f aca="true">RAND()</f>
        <v>0.735370597773685</v>
      </c>
      <c r="S443" s="54" t="n">
        <f aca="true">RAND()</f>
        <v>0.977112422350596</v>
      </c>
      <c r="T443" s="54" t="n">
        <f aca="true">RAND()</f>
        <v>0.445344004166938</v>
      </c>
      <c r="U443" s="54" t="n">
        <f aca="true">RAND()</f>
        <v>0.147703853159065</v>
      </c>
    </row>
    <row r="444" customFormat="false" ht="15" hidden="false" customHeight="false" outlineLevel="0" collapsed="false">
      <c r="A444" s="50" t="n">
        <v>364</v>
      </c>
      <c r="B444" s="51" t="n">
        <f aca="false">1+IF($G$6=$E$6,$F$6,IF(P444&lt;($F$6-$E$6)/($G$6-$E$6),$E$6+SQRT(P444*($G$6-$E$6)*($F$6-$E$6)),$G$6-SQRT((1-P444)*($G$6-$E$6)*($G$6-$F$6))))</f>
        <v>1.00935148082315</v>
      </c>
      <c r="C444" s="51" t="n">
        <f aca="false">1+IF($G$7=$E$7,$F$7,IF(Q444&lt;($F$7-$E$7)/($G$7-$E$7),$E$7+SQRT(Q444*($G$7-$E$7)*($F$7-$E$7)),$G$7-SQRT((1-Q444)*($G$7-$E$7)*($G$7-$F$7))))</f>
        <v>0.833958023771789</v>
      </c>
      <c r="D444" s="51" t="n">
        <f aca="false">1+IF($G$8=$E$8,$F$8,IF(R444&lt;($F$8-$E$8)/($G$8-$E$8),$E$8+SQRT(R444*($G$8-$E$8)*($F$8-$E$8)),$G$8-SQRT((1-R444)*($G$8-$E$8)*($G$8-$F$8))))</f>
        <v>0.994516623986793</v>
      </c>
      <c r="E444" s="51" t="n">
        <f aca="false">1+IF($G$9=$E$9,$F$9,IF(S444&lt;($F$9-$E$9)/($G$9-$E$9),$E$9+SQRT(S444*($G$9-$E$9)*($F$9-$E$9)),$G$9-SQRT((1-S444)*($G$9-$E$9)*($G$9-$F$9))))</f>
        <v>0.991585740173282</v>
      </c>
      <c r="F444" s="51" t="n">
        <f aca="false">1+IF($G$10=$E$10,$F$10,IF(T444&lt;($F$10-$E$10)/($G$10-$E$10),$E$10+SQRT(T444*($G$10-$E$10)*($F$10-$E$10)),$G$10-SQRT((1-T444)*($G$10-$E$10)*($G$10-$F$10))))</f>
        <v>1.00467266735318</v>
      </c>
      <c r="G444" s="52" t="n">
        <f aca="false">IF($G$11=$E$11,$F$11,IF(U444&lt;($F$11-$E$11)/($G$11-$E$11),$E$11+SQRT(U444*($G$11-$E$11)*($F$11-$E$11)),$G$11-SQRT((1-U444)*($G$11-$E$11)*($G$11-$F$11))))</f>
        <v>0.0965501823856584</v>
      </c>
      <c r="H444" s="53" t="n">
        <f aca="false">(('Business Case'!B11*$C444*'Business Case'!B12*$B444)-'Business Case'!B11*$C444*'Business Case'!B13*$D444-'Business Case'!B14*$E444)-MAX(0,(('Business Case'!B11*$C444*'Business Case'!B12*$B444)-'Business Case'!B11*$C444*'Business Case'!B13*$D444-'Business Case'!B14*$E444))*'Business Case'!$B$7-'Business Case'!$B$8*('Business Case'!B11*$C444*'Business Case'!B12*$B444)-'Business Case'!B15*$F444</f>
        <v>-2009345334.70637</v>
      </c>
      <c r="I444" s="53" t="n">
        <f aca="false">(('Business Case'!C11*$C444*'Business Case'!C12*$B444)-'Business Case'!C11*$C444*'Business Case'!C13*$D444-'Business Case'!C14*$E444)-MAX(0,(('Business Case'!C11*$C444*'Business Case'!C12*$B444)-'Business Case'!C11*$C444*'Business Case'!C13*$D444-'Business Case'!C14*$E444))*'Business Case'!$B$7-'Business Case'!$B$8*(('Business Case'!C11*$C444*'Business Case'!C12*$B444)-('Business Case'!B11*$C444*'Business Case'!B12*$B444))-'Business Case'!C15*$F444</f>
        <v>-20226861.4981566</v>
      </c>
      <c r="J444" s="53" t="n">
        <f aca="false">(('Business Case'!D11*$C444*'Business Case'!D12*$B444)-'Business Case'!D11*$C444*'Business Case'!D13*$D444-'Business Case'!D14*$E444)-MAX(0,(('Business Case'!D11*$C444*'Business Case'!D12*$B444)-'Business Case'!D11*$C444*'Business Case'!D13*$D444-'Business Case'!D14*$E444))*'Business Case'!$B$7-'Business Case'!$B$8*(('Business Case'!D11*$C444*'Business Case'!D12*$B444)-('Business Case'!C11*$C444*'Business Case'!C12*$B444))-'Business Case'!D15*$F444</f>
        <v>244653706.753445</v>
      </c>
      <c r="K444" s="53" t="n">
        <f aca="false">(('Business Case'!E11*$C444*'Business Case'!E12*$B444)-'Business Case'!E11*$C444*'Business Case'!E13*$D444-'Business Case'!E14*$E444)-MAX(0,(('Business Case'!E11*$C444*'Business Case'!E12*$B444)-'Business Case'!E11*$C444*'Business Case'!E13*$D444-'Business Case'!E14*$E444))*'Business Case'!$B$7-'Business Case'!$B$8*(('Business Case'!E11*$C444*'Business Case'!E12*$B444)-('Business Case'!D11*$C444*'Business Case'!D12*$B444))-'Business Case'!E15*$F444</f>
        <v>559767908.372705</v>
      </c>
      <c r="L444" s="53" t="n">
        <f aca="false">(('Business Case'!F11*$C444*'Business Case'!F12*$B444)-'Business Case'!F11*$C444*'Business Case'!F13*$D444-'Business Case'!F14*$E444)-MAX(0,(('Business Case'!F11*$C444*'Business Case'!F12*$B444)-'Business Case'!F11*$C444*'Business Case'!F13*$D444-'Business Case'!F14*$E444))*'Business Case'!$B$7-'Business Case'!$B$8*(('Business Case'!F11*$C444*'Business Case'!F12*$B444)-('Business Case'!E11*$C444*'Business Case'!E12*$B444))-'Business Case'!F15*$F444</f>
        <v>677152544.964438</v>
      </c>
      <c r="M444" s="53" t="n">
        <f aca="false">(('Business Case'!G11*$C444*'Business Case'!G12*$B444)-'Business Case'!G11*$C444*'Business Case'!G13*$D444-'Business Case'!G14*$E444)-MAX(0,(('Business Case'!G11*$C444*'Business Case'!G12*$B444)-'Business Case'!G11*$C444*'Business Case'!G13*$D444-'Business Case'!G14*$E444))*'Business Case'!$B$7-'Business Case'!$B$8*(('Business Case'!G11*$C444*'Business Case'!G12*$B444)-('Business Case'!F11*$C444*'Business Case'!F12*$B444))-'Business Case'!G15*$F444+'Business Case'!$B$8*('Business Case'!G11*$C444*'Business Case'!G12*$B444)</f>
        <v>837153671.091034</v>
      </c>
      <c r="N444" s="53" t="n">
        <f aca="false">IF(COUNT('Business Case'!B11:G11)=0,"",H444+NPV(G444,I444:M444))</f>
        <v>-403393109.442619</v>
      </c>
      <c r="P444" s="54" t="n">
        <f aca="true">RAND()</f>
        <v>0.804305890055457</v>
      </c>
      <c r="Q444" s="54" t="n">
        <f aca="true">RAND()</f>
        <v>0.0164735339783624</v>
      </c>
      <c r="R444" s="54" t="n">
        <f aca="true">RAND()</f>
        <v>0.304881509412534</v>
      </c>
      <c r="S444" s="54" t="n">
        <f aca="true">RAND()</f>
        <v>0.230583171434634</v>
      </c>
      <c r="T444" s="54" t="n">
        <f aca="true">RAND()</f>
        <v>0.2369446624216</v>
      </c>
      <c r="U444" s="54" t="n">
        <f aca="true">RAND()</f>
        <v>0.143016297617963</v>
      </c>
    </row>
    <row r="445" customFormat="false" ht="15" hidden="false" customHeight="false" outlineLevel="0" collapsed="false">
      <c r="A445" s="50" t="n">
        <v>365</v>
      </c>
      <c r="B445" s="51" t="n">
        <f aca="false">1+IF($G$6=$E$6,$F$6,IF(P445&lt;($F$6-$E$6)/($G$6-$E$6),$E$6+SQRT(P445*($G$6-$E$6)*($F$6-$E$6)),$G$6-SQRT((1-P445)*($G$6-$E$6)*($G$6-$F$6))))</f>
        <v>0.934035653356297</v>
      </c>
      <c r="C445" s="51" t="n">
        <f aca="false">1+IF($G$7=$E$7,$F$7,IF(Q445&lt;($F$7-$E$7)/($G$7-$E$7),$E$7+SQRT(Q445*($G$7-$E$7)*($F$7-$E$7)),$G$7-SQRT((1-Q445)*($G$7-$E$7)*($G$7-$F$7))))</f>
        <v>1.04013656139882</v>
      </c>
      <c r="D445" s="51" t="n">
        <f aca="false">1+IF($G$8=$E$8,$F$8,IF(R445&lt;($F$8-$E$8)/($G$8-$E$8),$E$8+SQRT(R445*($G$8-$E$8)*($F$8-$E$8)),$G$8-SQRT((1-R445)*($G$8-$E$8)*($G$8-$F$8))))</f>
        <v>0.965833260985891</v>
      </c>
      <c r="E445" s="51" t="n">
        <f aca="false">1+IF($G$9=$E$9,$F$9,IF(S445&lt;($F$9-$E$9)/($G$9-$E$9),$E$9+SQRT(S445*($G$9-$E$9)*($F$9-$E$9)),$G$9-SQRT((1-S445)*($G$9-$E$9)*($G$9-$F$9))))</f>
        <v>0.975991249262088</v>
      </c>
      <c r="F445" s="51" t="n">
        <f aca="false">1+IF($G$10=$E$10,$F$10,IF(T445&lt;($F$10-$E$10)/($G$10-$E$10),$E$10+SQRT(T445*($G$10-$E$10)*($F$10-$E$10)),$G$10-SQRT((1-T445)*($G$10-$E$10)*($G$10-$F$10))))</f>
        <v>1.11478059667386</v>
      </c>
      <c r="G445" s="52" t="n">
        <f aca="false">IF($G$11=$E$11,$F$11,IF(U445&lt;($F$11-$E$11)/($G$11-$E$11),$E$11+SQRT(U445*($G$11-$E$11)*($F$11-$E$11)),$G$11-SQRT((1-U445)*($G$11-$E$11)*($G$11-$F$11))))</f>
        <v>0.102641963051064</v>
      </c>
      <c r="H445" s="53" t="n">
        <f aca="false">(('Business Case'!B11*$C445*'Business Case'!B12*$B445)-'Business Case'!B11*$C445*'Business Case'!B13*$D445-'Business Case'!B14*$E445)-MAX(0,(('Business Case'!B11*$C445*'Business Case'!B12*$B445)-'Business Case'!B11*$C445*'Business Case'!B13*$D445-'Business Case'!B14*$E445))*'Business Case'!$B$7-'Business Case'!$B$8*('Business Case'!B11*$C445*'Business Case'!B12*$B445)-'Business Case'!B15*$F445</f>
        <v>-2229561193.34772</v>
      </c>
      <c r="I445" s="53" t="n">
        <f aca="false">(('Business Case'!C11*$C445*'Business Case'!C12*$B445)-'Business Case'!C11*$C445*'Business Case'!C13*$D445-'Business Case'!C14*$E445)-MAX(0,(('Business Case'!C11*$C445*'Business Case'!C12*$B445)-'Business Case'!C11*$C445*'Business Case'!C13*$D445-'Business Case'!C14*$E445))*'Business Case'!$B$7-'Business Case'!$B$8*(('Business Case'!C11*$C445*'Business Case'!C12*$B445)-('Business Case'!B11*$C445*'Business Case'!B12*$B445))-'Business Case'!C15*$F445</f>
        <v>-19153285.7601047</v>
      </c>
      <c r="J445" s="53" t="n">
        <f aca="false">(('Business Case'!D11*$C445*'Business Case'!D12*$B445)-'Business Case'!D11*$C445*'Business Case'!D13*$D445-'Business Case'!D14*$E445)-MAX(0,(('Business Case'!D11*$C445*'Business Case'!D12*$B445)-'Business Case'!D11*$C445*'Business Case'!D13*$D445-'Business Case'!D14*$E445))*'Business Case'!$B$7-'Business Case'!$B$8*(('Business Case'!D11*$C445*'Business Case'!D12*$B445)-('Business Case'!C11*$C445*'Business Case'!C12*$B445))-'Business Case'!D15*$F445</f>
        <v>262321280.751721</v>
      </c>
      <c r="K445" s="53" t="n">
        <f aca="false">(('Business Case'!E11*$C445*'Business Case'!E12*$B445)-'Business Case'!E11*$C445*'Business Case'!E13*$D445-'Business Case'!E14*$E445)-MAX(0,(('Business Case'!E11*$C445*'Business Case'!E12*$B445)-'Business Case'!E11*$C445*'Business Case'!E13*$D445-'Business Case'!E14*$E445))*'Business Case'!$B$7-'Business Case'!$B$8*(('Business Case'!E11*$C445*'Business Case'!E12*$B445)-('Business Case'!D11*$C445*'Business Case'!D12*$B445))-'Business Case'!E15*$F445</f>
        <v>599534877.097238</v>
      </c>
      <c r="L445" s="53" t="n">
        <f aca="false">(('Business Case'!F11*$C445*'Business Case'!F12*$B445)-'Business Case'!F11*$C445*'Business Case'!F13*$D445-'Business Case'!F14*$E445)-MAX(0,(('Business Case'!F11*$C445*'Business Case'!F12*$B445)-'Business Case'!F11*$C445*'Business Case'!F13*$D445-'Business Case'!F14*$E445))*'Business Case'!$B$7-'Business Case'!$B$8*(('Business Case'!F11*$C445*'Business Case'!F12*$B445)-('Business Case'!E11*$C445*'Business Case'!E12*$B445))-'Business Case'!F15*$F445</f>
        <v>726935623.907497</v>
      </c>
      <c r="M445" s="53" t="n">
        <f aca="false">(('Business Case'!G11*$C445*'Business Case'!G12*$B445)-'Business Case'!G11*$C445*'Business Case'!G13*$D445-'Business Case'!G14*$E445)-MAX(0,(('Business Case'!G11*$C445*'Business Case'!G12*$B445)-'Business Case'!G11*$C445*'Business Case'!G13*$D445-'Business Case'!G14*$E445))*'Business Case'!$B$7-'Business Case'!$B$8*(('Business Case'!G11*$C445*'Business Case'!G12*$B445)-('Business Case'!F11*$C445*'Business Case'!F12*$B445))-'Business Case'!G15*$F445+'Business Case'!$B$8*('Business Case'!G11*$C445*'Business Case'!G12*$B445)</f>
        <v>911603026.092238</v>
      </c>
      <c r="N445" s="53" t="n">
        <f aca="false">IF(COUNT('Business Case'!B11:G11)=0,"",H445+NPV(G445,I445:M445))</f>
        <v>-532915059.123347</v>
      </c>
      <c r="P445" s="54" t="n">
        <f aca="true">RAND()</f>
        <v>0.020520788035222</v>
      </c>
      <c r="Q445" s="54" t="n">
        <f aca="true">RAND()</f>
        <v>0.77009571159476</v>
      </c>
      <c r="R445" s="54" t="n">
        <f aca="true">RAND()</f>
        <v>0.0385680236072846</v>
      </c>
      <c r="S445" s="54" t="n">
        <f aca="true">RAND()</f>
        <v>0.0900726717605345</v>
      </c>
      <c r="T445" s="54" t="n">
        <f aca="true">RAND()</f>
        <v>0.854753065934738</v>
      </c>
      <c r="U445" s="54" t="n">
        <f aca="true">RAND()</f>
        <v>0.497830922132303</v>
      </c>
    </row>
    <row r="446" customFormat="false" ht="15" hidden="false" customHeight="false" outlineLevel="0" collapsed="false">
      <c r="A446" s="50" t="n">
        <v>366</v>
      </c>
      <c r="B446" s="51" t="n">
        <f aca="false">1+IF($G$6=$E$6,$F$6,IF(P446&lt;($F$6-$E$6)/($G$6-$E$6),$E$6+SQRT(P446*($G$6-$E$6)*($F$6-$E$6)),$G$6-SQRT((1-P446)*($G$6-$E$6)*($G$6-$F$6))))</f>
        <v>0.993543693673776</v>
      </c>
      <c r="C446" s="51" t="n">
        <f aca="false">1+IF($G$7=$E$7,$F$7,IF(Q446&lt;($F$7-$E$7)/($G$7-$E$7),$E$7+SQRT(Q446*($G$7-$E$7)*($F$7-$E$7)),$G$7-SQRT((1-Q446)*($G$7-$E$7)*($G$7-$F$7))))</f>
        <v>0.985240083893062</v>
      </c>
      <c r="D446" s="51" t="n">
        <f aca="false">1+IF($G$8=$E$8,$F$8,IF(R446&lt;($F$8-$E$8)/($G$8-$E$8),$E$8+SQRT(R446*($G$8-$E$8)*($F$8-$E$8)),$G$8-SQRT((1-R446)*($G$8-$E$8)*($G$8-$F$8))))</f>
        <v>0.996480546142945</v>
      </c>
      <c r="E446" s="51" t="n">
        <f aca="false">1+IF($G$9=$E$9,$F$9,IF(S446&lt;($F$9-$E$9)/($G$9-$E$9),$E$9+SQRT(S446*($G$9-$E$9)*($F$9-$E$9)),$G$9-SQRT((1-S446)*($G$9-$E$9)*($G$9-$F$9))))</f>
        <v>1.01045060422533</v>
      </c>
      <c r="F446" s="51" t="n">
        <f aca="false">1+IF($G$10=$E$10,$F$10,IF(T446&lt;($F$10-$E$10)/($G$10-$E$10),$E$10+SQRT(T446*($G$10-$E$10)*($F$10-$E$10)),$G$10-SQRT((1-T446)*($G$10-$E$10)*($G$10-$F$10))))</f>
        <v>1.02598014850953</v>
      </c>
      <c r="G446" s="52" t="n">
        <f aca="false">IF($G$11=$E$11,$F$11,IF(U446&lt;($F$11-$E$11)/($G$11-$E$11),$E$11+SQRT(U446*($G$11-$E$11)*($F$11-$E$11)),$G$11-SQRT((1-U446)*($G$11-$E$11)*($G$11-$F$11))))</f>
        <v>0.112329668814591</v>
      </c>
      <c r="H446" s="53" t="n">
        <f aca="false">(('Business Case'!B11*$C446*'Business Case'!B12*$B446)-'Business Case'!B11*$C446*'Business Case'!B13*$D446-'Business Case'!B14*$E446)-MAX(0,(('Business Case'!B11*$C446*'Business Case'!B12*$B446)-'Business Case'!B11*$C446*'Business Case'!B13*$D446-'Business Case'!B14*$E446))*'Business Case'!$B$7-'Business Case'!$B$8*('Business Case'!B11*$C446*'Business Case'!B12*$B446)-'Business Case'!B15*$F446</f>
        <v>-2051960297.01906</v>
      </c>
      <c r="I446" s="53" t="n">
        <f aca="false">(('Business Case'!C11*$C446*'Business Case'!C12*$B446)-'Business Case'!C11*$C446*'Business Case'!C13*$D446-'Business Case'!C14*$E446)-MAX(0,(('Business Case'!C11*$C446*'Business Case'!C12*$B446)-'Business Case'!C11*$C446*'Business Case'!C13*$D446-'Business Case'!C14*$E446))*'Business Case'!$B$7-'Business Case'!$B$8*(('Business Case'!C11*$C446*'Business Case'!C12*$B446)-('Business Case'!B11*$C446*'Business Case'!B12*$B446))-'Business Case'!C15*$F446</f>
        <v>2154239.9224312</v>
      </c>
      <c r="J446" s="53" t="n">
        <f aca="false">(('Business Case'!D11*$C446*'Business Case'!D12*$B446)-'Business Case'!D11*$C446*'Business Case'!D13*$D446-'Business Case'!D14*$E446)-MAX(0,(('Business Case'!D11*$C446*'Business Case'!D12*$B446)-'Business Case'!D11*$C446*'Business Case'!D13*$D446-'Business Case'!D14*$E446))*'Business Case'!$B$7-'Business Case'!$B$8*(('Business Case'!D11*$C446*'Business Case'!D12*$B446)-('Business Case'!C11*$C446*'Business Case'!C12*$B446))-'Business Case'!D15*$F446</f>
        <v>301337661.714661</v>
      </c>
      <c r="K446" s="53" t="n">
        <f aca="false">(('Business Case'!E11*$C446*'Business Case'!E12*$B446)-'Business Case'!E11*$C446*'Business Case'!E13*$D446-'Business Case'!E14*$E446)-MAX(0,(('Business Case'!E11*$C446*'Business Case'!E12*$B446)-'Business Case'!E11*$C446*'Business Case'!E13*$D446-'Business Case'!E14*$E446))*'Business Case'!$B$7-'Business Case'!$B$8*(('Business Case'!E11*$C446*'Business Case'!E12*$B446)-('Business Case'!D11*$C446*'Business Case'!D12*$B446))-'Business Case'!E15*$F446</f>
        <v>651820090.932368</v>
      </c>
      <c r="L446" s="53" t="n">
        <f aca="false">(('Business Case'!F11*$C446*'Business Case'!F12*$B446)-'Business Case'!F11*$C446*'Business Case'!F13*$D446-'Business Case'!F14*$E446)-MAX(0,(('Business Case'!F11*$C446*'Business Case'!F12*$B446)-'Business Case'!F11*$C446*'Business Case'!F13*$D446-'Business Case'!F14*$E446))*'Business Case'!$B$7-'Business Case'!$B$8*(('Business Case'!F11*$C446*'Business Case'!F12*$B446)-('Business Case'!E11*$C446*'Business Case'!E12*$B446))-'Business Case'!F15*$F446</f>
        <v>785377958.928448</v>
      </c>
      <c r="M446" s="53" t="n">
        <f aca="false">(('Business Case'!G11*$C446*'Business Case'!G12*$B446)-'Business Case'!G11*$C446*'Business Case'!G13*$D446-'Business Case'!G14*$E446)-MAX(0,(('Business Case'!G11*$C446*'Business Case'!G12*$B446)-'Business Case'!G11*$C446*'Business Case'!G13*$D446-'Business Case'!G14*$E446))*'Business Case'!$B$7-'Business Case'!$B$8*(('Business Case'!G11*$C446*'Business Case'!G12*$B446)-('Business Case'!F11*$C446*'Business Case'!F12*$B446))-'Business Case'!G15*$F446+'Business Case'!$B$8*('Business Case'!G11*$C446*'Business Case'!G12*$B446)</f>
        <v>971443292.954465</v>
      </c>
      <c r="N446" s="53" t="n">
        <f aca="false">IF(COUNT('Business Case'!B11:G11)=0,"",H446+NPV(G446,I446:M446))</f>
        <v>-249333125.656265</v>
      </c>
      <c r="P446" s="54" t="n">
        <f aca="true">RAND()</f>
        <v>0.563403633248146</v>
      </c>
      <c r="Q446" s="54" t="n">
        <f aca="true">RAND()</f>
        <v>0.49019840972441</v>
      </c>
      <c r="R446" s="54" t="n">
        <f aca="true">RAND()</f>
        <v>0.332375564576377</v>
      </c>
      <c r="S446" s="54" t="n">
        <f aca="true">RAND()</f>
        <v>0.465393714426051</v>
      </c>
      <c r="T446" s="54" t="n">
        <f aca="true">RAND()</f>
        <v>0.394341825744677</v>
      </c>
      <c r="U446" s="54" t="n">
        <f aca="true">RAND()</f>
        <v>0.901943365843565</v>
      </c>
    </row>
    <row r="447" customFormat="false" ht="15" hidden="false" customHeight="false" outlineLevel="0" collapsed="false">
      <c r="A447" s="50" t="n">
        <v>367</v>
      </c>
      <c r="B447" s="51" t="n">
        <f aca="false">1+IF($G$6=$E$6,$F$6,IF(P447&lt;($F$6-$E$6)/($G$6-$E$6),$E$6+SQRT(P447*($G$6-$E$6)*($F$6-$E$6)),$G$6-SQRT((1-P447)*($G$6-$E$6)*($G$6-$F$6))))</f>
        <v>0.962754718323974</v>
      </c>
      <c r="C447" s="51" t="n">
        <f aca="false">1+IF($G$7=$E$7,$F$7,IF(Q447&lt;($F$7-$E$7)/($G$7-$E$7),$E$7+SQRT(Q447*($G$7-$E$7)*($F$7-$E$7)),$G$7-SQRT((1-Q447)*($G$7-$E$7)*($G$7-$F$7))))</f>
        <v>1.04330861074147</v>
      </c>
      <c r="D447" s="51" t="n">
        <f aca="false">1+IF($G$8=$E$8,$F$8,IF(R447&lt;($F$8-$E$8)/($G$8-$E$8),$E$8+SQRT(R447*($G$8-$E$8)*($F$8-$E$8)),$G$8-SQRT((1-R447)*($G$8-$E$8)*($G$8-$F$8))))</f>
        <v>0.992784060567394</v>
      </c>
      <c r="E447" s="51" t="n">
        <f aca="false">1+IF($G$9=$E$9,$F$9,IF(S447&lt;($F$9-$E$9)/($G$9-$E$9),$E$9+SQRT(S447*($G$9-$E$9)*($F$9-$E$9)),$G$9-SQRT((1-S447)*($G$9-$E$9)*($G$9-$F$9))))</f>
        <v>0.978868843720021</v>
      </c>
      <c r="F447" s="51" t="n">
        <f aca="false">1+IF($G$10=$E$10,$F$10,IF(T447&lt;($F$10-$E$10)/($G$10-$E$10),$E$10+SQRT(T447*($G$10-$E$10)*($F$10-$E$10)),$G$10-SQRT((1-T447)*($G$10-$E$10)*($G$10-$F$10))))</f>
        <v>1.096904018956</v>
      </c>
      <c r="G447" s="52" t="n">
        <f aca="false">IF($G$11=$E$11,$F$11,IF(U447&lt;($F$11-$E$11)/($G$11-$E$11),$E$11+SQRT(U447*($G$11-$E$11)*($F$11-$E$11)),$G$11-SQRT((1-U447)*($G$11-$E$11)*($G$11-$F$11))))</f>
        <v>0.11349383404021</v>
      </c>
      <c r="H447" s="53" t="n">
        <f aca="false">(('Business Case'!B11*$C447*'Business Case'!B12*$B447)-'Business Case'!B11*$C447*'Business Case'!B13*$D447-'Business Case'!B14*$E447)-MAX(0,(('Business Case'!B11*$C447*'Business Case'!B12*$B447)-'Business Case'!B11*$C447*'Business Case'!B13*$D447-'Business Case'!B14*$E447))*'Business Case'!$B$7-'Business Case'!$B$8*('Business Case'!B11*$C447*'Business Case'!B12*$B447)-'Business Case'!B15*$F447</f>
        <v>-2193808037.91199</v>
      </c>
      <c r="I447" s="53" t="n">
        <f aca="false">(('Business Case'!C11*$C447*'Business Case'!C12*$B447)-'Business Case'!C11*$C447*'Business Case'!C13*$D447-'Business Case'!C14*$E447)-MAX(0,(('Business Case'!C11*$C447*'Business Case'!C12*$B447)-'Business Case'!C11*$C447*'Business Case'!C13*$D447-'Business Case'!C14*$E447))*'Business Case'!$B$7-'Business Case'!$B$8*(('Business Case'!C11*$C447*'Business Case'!C12*$B447)-('Business Case'!B11*$C447*'Business Case'!B12*$B447))-'Business Case'!C15*$F447</f>
        <v>-8475727.36476973</v>
      </c>
      <c r="J447" s="53" t="n">
        <f aca="false">(('Business Case'!D11*$C447*'Business Case'!D12*$B447)-'Business Case'!D11*$C447*'Business Case'!D13*$D447-'Business Case'!D14*$E447)-MAX(0,(('Business Case'!D11*$C447*'Business Case'!D12*$B447)-'Business Case'!D11*$C447*'Business Case'!D13*$D447-'Business Case'!D14*$E447))*'Business Case'!$B$7-'Business Case'!$B$8*(('Business Case'!D11*$C447*'Business Case'!D12*$B447)-('Business Case'!C11*$C447*'Business Case'!C12*$B447))-'Business Case'!D15*$F447</f>
        <v>284004799.655309</v>
      </c>
      <c r="K447" s="53" t="n">
        <f aca="false">(('Business Case'!E11*$C447*'Business Case'!E12*$B447)-'Business Case'!E11*$C447*'Business Case'!E13*$D447-'Business Case'!E14*$E447)-MAX(0,(('Business Case'!E11*$C447*'Business Case'!E12*$B447)-'Business Case'!E11*$C447*'Business Case'!E13*$D447-'Business Case'!E14*$E447))*'Business Case'!$B$7-'Business Case'!$B$8*(('Business Case'!E11*$C447*'Business Case'!E12*$B447)-('Business Case'!D11*$C447*'Business Case'!D12*$B447))-'Business Case'!E15*$F447</f>
        <v>631330527.623187</v>
      </c>
      <c r="L447" s="53" t="n">
        <f aca="false">(('Business Case'!F11*$C447*'Business Case'!F12*$B447)-'Business Case'!F11*$C447*'Business Case'!F13*$D447-'Business Case'!F14*$E447)-MAX(0,(('Business Case'!F11*$C447*'Business Case'!F12*$B447)-'Business Case'!F11*$C447*'Business Case'!F13*$D447-'Business Case'!F14*$E447))*'Business Case'!$B$7-'Business Case'!$B$8*(('Business Case'!F11*$C447*'Business Case'!F12*$B447)-('Business Case'!E11*$C447*'Business Case'!E12*$B447))-'Business Case'!F15*$F447</f>
        <v>763537838.571389</v>
      </c>
      <c r="M447" s="53" t="n">
        <f aca="false">(('Business Case'!G11*$C447*'Business Case'!G12*$B447)-'Business Case'!G11*$C447*'Business Case'!G13*$D447-'Business Case'!G14*$E447)-MAX(0,(('Business Case'!G11*$C447*'Business Case'!G12*$B447)-'Business Case'!G11*$C447*'Business Case'!G13*$D447-'Business Case'!G14*$E447))*'Business Case'!$B$7-'Business Case'!$B$8*(('Business Case'!G11*$C447*'Business Case'!G12*$B447)-('Business Case'!F11*$C447*'Business Case'!F12*$B447))-'Business Case'!G15*$F447+'Business Case'!$B$8*('Business Case'!G11*$C447*'Business Case'!G12*$B447)</f>
        <v>954463749.249683</v>
      </c>
      <c r="N447" s="53" t="n">
        <f aca="false">IF(COUNT('Business Case'!B11:G11)=0,"",H447+NPV(G447,I447:M447))</f>
        <v>-460787819.680498</v>
      </c>
      <c r="P447" s="54" t="n">
        <f aca="true">RAND()</f>
        <v>0.190413118641912</v>
      </c>
      <c r="Q447" s="54" t="n">
        <f aca="true">RAND()</f>
        <v>0.78317995158255</v>
      </c>
      <c r="R447" s="54" t="n">
        <f aca="true">RAND()</f>
        <v>0.281611667482222</v>
      </c>
      <c r="S447" s="54" t="n">
        <f aca="true">RAND()</f>
        <v>0.111121351697468</v>
      </c>
      <c r="T447" s="54" t="n">
        <f aca="true">RAND()</f>
        <v>0.787424373851484</v>
      </c>
      <c r="U447" s="54" t="n">
        <f aca="true">RAND()</f>
        <v>0.929449674172775</v>
      </c>
    </row>
    <row r="448" customFormat="false" ht="15" hidden="false" customHeight="false" outlineLevel="0" collapsed="false">
      <c r="A448" s="50" t="n">
        <v>368</v>
      </c>
      <c r="B448" s="51" t="n">
        <f aca="false">1+IF($G$6=$E$6,$F$6,IF(P448&lt;($F$6-$E$6)/($G$6-$E$6),$E$6+SQRT(P448*($G$6-$E$6)*($F$6-$E$6)),$G$6-SQRT((1-P448)*($G$6-$E$6)*($G$6-$F$6))))</f>
        <v>1.00646686321415</v>
      </c>
      <c r="C448" s="51" t="n">
        <f aca="false">1+IF($G$7=$E$7,$F$7,IF(Q448&lt;($F$7-$E$7)/($G$7-$E$7),$E$7+SQRT(Q448*($G$7-$E$7)*($F$7-$E$7)),$G$7-SQRT((1-Q448)*($G$7-$E$7)*($G$7-$F$7))))</f>
        <v>1.02410749153881</v>
      </c>
      <c r="D448" s="51" t="n">
        <f aca="false">1+IF($G$8=$E$8,$F$8,IF(R448&lt;($F$8-$E$8)/($G$8-$E$8),$E$8+SQRT(R448*($G$8-$E$8)*($F$8-$E$8)),$G$8-SQRT((1-R448)*($G$8-$E$8)*($G$8-$F$8))))</f>
        <v>1.0178097090436</v>
      </c>
      <c r="E448" s="51" t="n">
        <f aca="false">1+IF($G$9=$E$9,$F$9,IF(S448&lt;($F$9-$E$9)/($G$9-$E$9),$E$9+SQRT(S448*($G$9-$E$9)*($F$9-$E$9)),$G$9-SQRT((1-S448)*($G$9-$E$9)*($G$9-$F$9))))</f>
        <v>0.995620882779322</v>
      </c>
      <c r="F448" s="51" t="n">
        <f aca="false">1+IF($G$10=$E$10,$F$10,IF(T448&lt;($F$10-$E$10)/($G$10-$E$10),$E$10+SQRT(T448*($G$10-$E$10)*($F$10-$E$10)),$G$10-SQRT((1-T448)*($G$10-$E$10)*($G$10-$F$10))))</f>
        <v>1.00186767082456</v>
      </c>
      <c r="G448" s="52" t="n">
        <f aca="false">IF($G$11=$E$11,$F$11,IF(U448&lt;($F$11-$E$11)/($G$11-$E$11),$E$11+SQRT(U448*($G$11-$E$11)*($F$11-$E$11)),$G$11-SQRT((1-U448)*($G$11-$E$11)*($G$11-$F$11))))</f>
        <v>0.101276727393077</v>
      </c>
      <c r="H448" s="53" t="n">
        <f aca="false">(('Business Case'!B11*$C448*'Business Case'!B12*$B448)-'Business Case'!B11*$C448*'Business Case'!B13*$D448-'Business Case'!B14*$E448)-MAX(0,(('Business Case'!B11*$C448*'Business Case'!B12*$B448)-'Business Case'!B11*$C448*'Business Case'!B13*$D448-'Business Case'!B14*$E448))*'Business Case'!$B$7-'Business Case'!$B$8*('Business Case'!B11*$C448*'Business Case'!B12*$B448)-'Business Case'!B15*$F448</f>
        <v>-2003735341.64911</v>
      </c>
      <c r="I448" s="53" t="n">
        <f aca="false">(('Business Case'!C11*$C448*'Business Case'!C12*$B448)-'Business Case'!C11*$C448*'Business Case'!C13*$D448-'Business Case'!C14*$E448)-MAX(0,(('Business Case'!C11*$C448*'Business Case'!C12*$B448)-'Business Case'!C11*$C448*'Business Case'!C13*$D448-'Business Case'!C14*$E448))*'Business Case'!$B$7-'Business Case'!$B$8*(('Business Case'!C11*$C448*'Business Case'!C12*$B448)-('Business Case'!B11*$C448*'Business Case'!B12*$B448))-'Business Case'!C15*$F448</f>
        <v>15447133.2377183</v>
      </c>
      <c r="J448" s="53" t="n">
        <f aca="false">(('Business Case'!D11*$C448*'Business Case'!D12*$B448)-'Business Case'!D11*$C448*'Business Case'!D13*$D448-'Business Case'!D14*$E448)-MAX(0,(('Business Case'!D11*$C448*'Business Case'!D12*$B448)-'Business Case'!D11*$C448*'Business Case'!D13*$D448-'Business Case'!D14*$E448))*'Business Case'!$B$7-'Business Case'!$B$8*(('Business Case'!D11*$C448*'Business Case'!D12*$B448)-('Business Case'!C11*$C448*'Business Case'!C12*$B448))-'Business Case'!D15*$F448</f>
        <v>326091379.487741</v>
      </c>
      <c r="K448" s="53" t="n">
        <f aca="false">(('Business Case'!E11*$C448*'Business Case'!E12*$B448)-'Business Case'!E11*$C448*'Business Case'!E13*$D448-'Business Case'!E14*$E448)-MAX(0,(('Business Case'!E11*$C448*'Business Case'!E12*$B448)-'Business Case'!E11*$C448*'Business Case'!E13*$D448-'Business Case'!E14*$E448))*'Business Case'!$B$7-'Business Case'!$B$8*(('Business Case'!E11*$C448*'Business Case'!E12*$B448)-('Business Case'!D11*$C448*'Business Case'!D12*$B448))-'Business Case'!E15*$F448</f>
        <v>686829009.278991</v>
      </c>
      <c r="L448" s="53" t="n">
        <f aca="false">(('Business Case'!F11*$C448*'Business Case'!F12*$B448)-'Business Case'!F11*$C448*'Business Case'!F13*$D448-'Business Case'!F14*$E448)-MAX(0,(('Business Case'!F11*$C448*'Business Case'!F12*$B448)-'Business Case'!F11*$C448*'Business Case'!F13*$D448-'Business Case'!F14*$E448))*'Business Case'!$B$7-'Business Case'!$B$8*(('Business Case'!F11*$C448*'Business Case'!F12*$B448)-('Business Case'!E11*$C448*'Business Case'!E12*$B448))-'Business Case'!F15*$F448</f>
        <v>825999128.961417</v>
      </c>
      <c r="M448" s="53" t="n">
        <f aca="false">(('Business Case'!G11*$C448*'Business Case'!G12*$B448)-'Business Case'!G11*$C448*'Business Case'!G13*$D448-'Business Case'!G14*$E448)-MAX(0,(('Business Case'!G11*$C448*'Business Case'!G12*$B448)-'Business Case'!G11*$C448*'Business Case'!G13*$D448-'Business Case'!G14*$E448))*'Business Case'!$B$7-'Business Case'!$B$8*(('Business Case'!G11*$C448*'Business Case'!G12*$B448)-('Business Case'!F11*$C448*'Business Case'!F12*$B448))-'Business Case'!G15*$F448+'Business Case'!$B$8*('Business Case'!G11*$C448*'Business Case'!G12*$B448)</f>
        <v>1021920335.75639</v>
      </c>
      <c r="N448" s="53" t="n">
        <f aca="false">IF(COUNT('Business Case'!B11:G11)=0,"",H448+NPV(G448,I448:M448))</f>
        <v>-14184696.780412</v>
      </c>
      <c r="P448" s="54" t="n">
        <f aca="true">RAND()</f>
        <v>0.765735153604495</v>
      </c>
      <c r="Q448" s="54" t="n">
        <f aca="true">RAND()</f>
        <v>0.698115739301869</v>
      </c>
      <c r="R448" s="54" t="n">
        <f aca="true">RAND()</f>
        <v>0.628112279880554</v>
      </c>
      <c r="S448" s="54" t="n">
        <f aca="true">RAND()</f>
        <v>0.277501992741952</v>
      </c>
      <c r="T448" s="54" t="n">
        <f aca="true">RAND()</f>
        <v>0.21487160271028</v>
      </c>
      <c r="U448" s="54" t="n">
        <f aca="true">RAND()</f>
        <v>0.415731771478083</v>
      </c>
    </row>
    <row r="449" customFormat="false" ht="15" hidden="false" customHeight="false" outlineLevel="0" collapsed="false">
      <c r="A449" s="50" t="n">
        <v>369</v>
      </c>
      <c r="B449" s="51" t="n">
        <f aca="false">1+IF($G$6=$E$6,$F$6,IF(P449&lt;($F$6-$E$6)/($G$6-$E$6),$E$6+SQRT(P449*($G$6-$E$6)*($F$6-$E$6)),$G$6-SQRT((1-P449)*($G$6-$E$6)*($G$6-$F$6))))</f>
        <v>0.933818282135773</v>
      </c>
      <c r="C449" s="51" t="n">
        <f aca="false">1+IF($G$7=$E$7,$F$7,IF(Q449&lt;($F$7-$E$7)/($G$7-$E$7),$E$7+SQRT(Q449*($G$7-$E$7)*($F$7-$E$7)),$G$7-SQRT((1-Q449)*($G$7-$E$7)*($G$7-$F$7))))</f>
        <v>1.05712793530928</v>
      </c>
      <c r="D449" s="51" t="n">
        <f aca="false">1+IF($G$8=$E$8,$F$8,IF(R449&lt;($F$8-$E$8)/($G$8-$E$8),$E$8+SQRT(R449*($G$8-$E$8)*($F$8-$E$8)),$G$8-SQRT((1-R449)*($G$8-$E$8)*($G$8-$F$8))))</f>
        <v>1.00363661792158</v>
      </c>
      <c r="E449" s="51" t="n">
        <f aca="false">1+IF($G$9=$E$9,$F$9,IF(S449&lt;($F$9-$E$9)/($G$9-$E$9),$E$9+SQRT(S449*($G$9-$E$9)*($F$9-$E$9)),$G$9-SQRT((1-S449)*($G$9-$E$9)*($G$9-$F$9))))</f>
        <v>1.00886998818252</v>
      </c>
      <c r="F449" s="51" t="n">
        <f aca="false">1+IF($G$10=$E$10,$F$10,IF(T449&lt;($F$10-$E$10)/($G$10-$E$10),$E$10+SQRT(T449*($G$10-$E$10)*($F$10-$E$10)),$G$10-SQRT((1-T449)*($G$10-$E$10)*($G$10-$F$10))))</f>
        <v>1.15898460568038</v>
      </c>
      <c r="G449" s="52" t="n">
        <f aca="false">IF($G$11=$E$11,$F$11,IF(U449&lt;($F$11-$E$11)/($G$11-$E$11),$E$11+SQRT(U449*($G$11-$E$11)*($F$11-$E$11)),$G$11-SQRT((1-U449)*($G$11-$E$11)*($G$11-$F$11))))</f>
        <v>0.107031266370895</v>
      </c>
      <c r="H449" s="53" t="n">
        <f aca="false">(('Business Case'!B11*$C449*'Business Case'!B12*$B449)-'Business Case'!B11*$C449*'Business Case'!B13*$D449-'Business Case'!B14*$E449)-MAX(0,(('Business Case'!B11*$C449*'Business Case'!B12*$B449)-'Business Case'!B11*$C449*'Business Case'!B13*$D449-'Business Case'!B14*$E449))*'Business Case'!$B$7-'Business Case'!$B$8*('Business Case'!B11*$C449*'Business Case'!B12*$B449)-'Business Case'!B15*$F449</f>
        <v>-2317969211.36076</v>
      </c>
      <c r="I449" s="53" t="n">
        <f aca="false">(('Business Case'!C11*$C449*'Business Case'!C12*$B449)-'Business Case'!C11*$C449*'Business Case'!C13*$D449-'Business Case'!C14*$E449)-MAX(0,(('Business Case'!C11*$C449*'Business Case'!C12*$B449)-'Business Case'!C11*$C449*'Business Case'!C13*$D449-'Business Case'!C14*$E449))*'Business Case'!$B$7-'Business Case'!$B$8*(('Business Case'!C11*$C449*'Business Case'!C12*$B449)-('Business Case'!B11*$C449*'Business Case'!B12*$B449))-'Business Case'!C15*$F449</f>
        <v>-45107837.1681251</v>
      </c>
      <c r="J449" s="53" t="n">
        <f aca="false">(('Business Case'!D11*$C449*'Business Case'!D12*$B449)-'Business Case'!D11*$C449*'Business Case'!D13*$D449-'Business Case'!D14*$E449)-MAX(0,(('Business Case'!D11*$C449*'Business Case'!D12*$B449)-'Business Case'!D11*$C449*'Business Case'!D13*$D449-'Business Case'!D14*$E449))*'Business Case'!$B$7-'Business Case'!$B$8*(('Business Case'!D11*$C449*'Business Case'!D12*$B449)-('Business Case'!C11*$C449*'Business Case'!C12*$B449))-'Business Case'!D15*$F449</f>
        <v>220318752.501043</v>
      </c>
      <c r="K449" s="53" t="n">
        <f aca="false">(('Business Case'!E11*$C449*'Business Case'!E12*$B449)-'Business Case'!E11*$C449*'Business Case'!E13*$D449-'Business Case'!E14*$E449)-MAX(0,(('Business Case'!E11*$C449*'Business Case'!E12*$B449)-'Business Case'!E11*$C449*'Business Case'!E13*$D449-'Business Case'!E14*$E449))*'Business Case'!$B$7-'Business Case'!$B$8*(('Business Case'!E11*$C449*'Business Case'!E12*$B449)-('Business Case'!D11*$C449*'Business Case'!D12*$B449))-'Business Case'!E15*$F449</f>
        <v>543694572.454231</v>
      </c>
      <c r="L449" s="53" t="n">
        <f aca="false">(('Business Case'!F11*$C449*'Business Case'!F12*$B449)-'Business Case'!F11*$C449*'Business Case'!F13*$D449-'Business Case'!F14*$E449)-MAX(0,(('Business Case'!F11*$C449*'Business Case'!F12*$B449)-'Business Case'!F11*$C449*'Business Case'!F13*$D449-'Business Case'!F14*$E449))*'Business Case'!$B$7-'Business Case'!$B$8*(('Business Case'!F11*$C449*'Business Case'!F12*$B449)-('Business Case'!E11*$C449*'Business Case'!E12*$B449))-'Business Case'!F15*$F449</f>
        <v>666286538.310421</v>
      </c>
      <c r="M449" s="53" t="n">
        <f aca="false">(('Business Case'!G11*$C449*'Business Case'!G12*$B449)-'Business Case'!G11*$C449*'Business Case'!G13*$D449-'Business Case'!G14*$E449)-MAX(0,(('Business Case'!G11*$C449*'Business Case'!G12*$B449)-'Business Case'!G11*$C449*'Business Case'!G13*$D449-'Business Case'!G14*$E449))*'Business Case'!$B$7-'Business Case'!$B$8*(('Business Case'!G11*$C449*'Business Case'!G12*$B449)-('Business Case'!F11*$C449*'Business Case'!F12*$B449))-'Business Case'!G15*$F449+'Business Case'!$B$8*('Business Case'!G11*$C449*'Business Case'!G12*$B449)</f>
        <v>853926936.125991</v>
      </c>
      <c r="N449" s="53" t="n">
        <f aca="false">IF(COUNT('Business Case'!B11:G11)=0,"",H449+NPV(G449,I449:M449))</f>
        <v>-820962047.87804</v>
      </c>
      <c r="P449" s="54" t="n">
        <f aca="true">RAND()</f>
        <v>0.0198900959566469</v>
      </c>
      <c r="Q449" s="54" t="n">
        <f aca="true">RAND()</f>
        <v>0.835710087620612</v>
      </c>
      <c r="R449" s="54" t="n">
        <f aca="true">RAND()</f>
        <v>0.439291718994753</v>
      </c>
      <c r="S449" s="54" t="n">
        <f aca="true">RAND()</f>
        <v>0.446354729743068</v>
      </c>
      <c r="T449" s="54" t="n">
        <f aca="true">RAND()</f>
        <v>0.966354748576124</v>
      </c>
      <c r="U449" s="54" t="n">
        <f aca="true">RAND()</f>
        <v>0.719686580095555</v>
      </c>
    </row>
    <row r="450" customFormat="false" ht="15" hidden="false" customHeight="false" outlineLevel="0" collapsed="false">
      <c r="A450" s="50" t="n">
        <v>370</v>
      </c>
      <c r="B450" s="51" t="n">
        <f aca="false">1+IF($G$6=$E$6,$F$6,IF(P450&lt;($F$6-$E$6)/($G$6-$E$6),$E$6+SQRT(P450*($G$6-$E$6)*($F$6-$E$6)),$G$6-SQRT((1-P450)*($G$6-$E$6)*($G$6-$F$6))))</f>
        <v>1.01486965363144</v>
      </c>
      <c r="C450" s="51" t="n">
        <f aca="false">1+IF($G$7=$E$7,$F$7,IF(Q450&lt;($F$7-$E$7)/($G$7-$E$7),$E$7+SQRT(Q450*($G$7-$E$7)*($F$7-$E$7)),$G$7-SQRT((1-Q450)*($G$7-$E$7)*($G$7-$F$7))))</f>
        <v>1.01328453101734</v>
      </c>
      <c r="D450" s="51" t="n">
        <f aca="false">1+IF($G$8=$E$8,$F$8,IF(R450&lt;($F$8-$E$8)/($G$8-$E$8),$E$8+SQRT(R450*($G$8-$E$8)*($F$8-$E$8)),$G$8-SQRT((1-R450)*($G$8-$E$8)*($G$8-$F$8))))</f>
        <v>0.978207002651702</v>
      </c>
      <c r="E450" s="51" t="n">
        <f aca="false">1+IF($G$9=$E$9,$F$9,IF(S450&lt;($F$9-$E$9)/($G$9-$E$9),$E$9+SQRT(S450*($G$9-$E$9)*($F$9-$E$9)),$G$9-SQRT((1-S450)*($G$9-$E$9)*($G$9-$F$9))))</f>
        <v>0.996014510989118</v>
      </c>
      <c r="F450" s="51" t="n">
        <f aca="false">1+IF($G$10=$E$10,$F$10,IF(T450&lt;($F$10-$E$10)/($G$10-$E$10),$E$10+SQRT(T450*($G$10-$E$10)*($F$10-$E$10)),$G$10-SQRT((1-T450)*($G$10-$E$10)*($G$10-$F$10))))</f>
        <v>1.05096340267272</v>
      </c>
      <c r="G450" s="52" t="n">
        <f aca="false">IF($G$11=$E$11,$F$11,IF(U450&lt;($F$11-$E$11)/($G$11-$E$11),$E$11+SQRT(U450*($G$11-$E$11)*($F$11-$E$11)),$G$11-SQRT((1-U450)*($G$11-$E$11)*($G$11-$F$11))))</f>
        <v>0.106737352856313</v>
      </c>
      <c r="H450" s="53" t="n">
        <f aca="false">(('Business Case'!B11*$C450*'Business Case'!B12*$B450)-'Business Case'!B11*$C450*'Business Case'!B13*$D450-'Business Case'!B14*$E450)-MAX(0,(('Business Case'!B11*$C450*'Business Case'!B12*$B450)-'Business Case'!B11*$C450*'Business Case'!B13*$D450-'Business Case'!B14*$E450))*'Business Case'!$B$7-'Business Case'!$B$8*('Business Case'!B11*$C450*'Business Case'!B12*$B450)-'Business Case'!B15*$F450</f>
        <v>-2101926805.34544</v>
      </c>
      <c r="I450" s="53" t="n">
        <f aca="false">(('Business Case'!C11*$C450*'Business Case'!C12*$B450)-'Business Case'!C11*$C450*'Business Case'!C13*$D450-'Business Case'!C14*$E450)-MAX(0,(('Business Case'!C11*$C450*'Business Case'!C12*$B450)-'Business Case'!C11*$C450*'Business Case'!C13*$D450-'Business Case'!C14*$E450))*'Business Case'!$B$7-'Business Case'!$B$8*(('Business Case'!C11*$C450*'Business Case'!C12*$B450)-('Business Case'!B11*$C450*'Business Case'!B12*$B450))-'Business Case'!C15*$F450</f>
        <v>34838603.8094734</v>
      </c>
      <c r="J450" s="53" t="n">
        <f aca="false">(('Business Case'!D11*$C450*'Business Case'!D12*$B450)-'Business Case'!D11*$C450*'Business Case'!D13*$D450-'Business Case'!D14*$E450)-MAX(0,(('Business Case'!D11*$C450*'Business Case'!D12*$B450)-'Business Case'!D11*$C450*'Business Case'!D13*$D450-'Business Case'!D14*$E450))*'Business Case'!$B$7-'Business Case'!$B$8*(('Business Case'!D11*$C450*'Business Case'!D12*$B450)-('Business Case'!C11*$C450*'Business Case'!C12*$B450))-'Business Case'!D15*$F450</f>
        <v>369716564.566738</v>
      </c>
      <c r="K450" s="53" t="n">
        <f aca="false">(('Business Case'!E11*$C450*'Business Case'!E12*$B450)-'Business Case'!E11*$C450*'Business Case'!E13*$D450-'Business Case'!E14*$E450)-MAX(0,(('Business Case'!E11*$C450*'Business Case'!E12*$B450)-'Business Case'!E11*$C450*'Business Case'!E13*$D450-'Business Case'!E14*$E450))*'Business Case'!$B$7-'Business Case'!$B$8*(('Business Case'!E11*$C450*'Business Case'!E12*$B450)-('Business Case'!D11*$C450*'Business Case'!D12*$B450))-'Business Case'!E15*$F450</f>
        <v>757142695.457639</v>
      </c>
      <c r="L450" s="53" t="n">
        <f aca="false">(('Business Case'!F11*$C450*'Business Case'!F12*$B450)-'Business Case'!F11*$C450*'Business Case'!F13*$D450-'Business Case'!F14*$E450)-MAX(0,(('Business Case'!F11*$C450*'Business Case'!F12*$B450)-'Business Case'!F11*$C450*'Business Case'!F13*$D450-'Business Case'!F14*$E450))*'Business Case'!$B$7-'Business Case'!$B$8*(('Business Case'!F11*$C450*'Business Case'!F12*$B450)-('Business Case'!E11*$C450*'Business Case'!E12*$B450))-'Business Case'!F15*$F450</f>
        <v>904308517.855305</v>
      </c>
      <c r="M450" s="53" t="n">
        <f aca="false">(('Business Case'!G11*$C450*'Business Case'!G12*$B450)-'Business Case'!G11*$C450*'Business Case'!G13*$D450-'Business Case'!G14*$E450)-MAX(0,(('Business Case'!G11*$C450*'Business Case'!G12*$B450)-'Business Case'!G11*$C450*'Business Case'!G13*$D450-'Business Case'!G14*$E450))*'Business Case'!$B$7-'Business Case'!$B$8*(('Business Case'!G11*$C450*'Business Case'!G12*$B450)-('Business Case'!F11*$C450*'Business Case'!F12*$B450))-'Business Case'!G15*$F450+'Business Case'!$B$8*('Business Case'!G11*$C450*'Business Case'!G12*$B450)</f>
        <v>1099777612.98748</v>
      </c>
      <c r="N450" s="53" t="n">
        <f aca="false">IF(COUNT('Business Case'!B11:G11)=0,"",H450+NPV(G450,I450:M450))</f>
        <v>55013917.9085946</v>
      </c>
      <c r="P450" s="54" t="n">
        <f aca="true">RAND()</f>
        <v>0.868430352374185</v>
      </c>
      <c r="Q450" s="54" t="n">
        <f aca="true">RAND()</f>
        <v>0.643978676968596</v>
      </c>
      <c r="R450" s="54" t="n">
        <f aca="true">RAND()</f>
        <v>0.122405384398941</v>
      </c>
      <c r="S450" s="54" t="n">
        <f aca="true">RAND()</f>
        <v>0.282311362875691</v>
      </c>
      <c r="T450" s="54" t="n">
        <f aca="true">RAND()</f>
        <v>0.55576185314212</v>
      </c>
      <c r="U450" s="54" t="n">
        <f aca="true">RAND()</f>
        <v>0.706836984570064</v>
      </c>
    </row>
    <row r="451" customFormat="false" ht="15" hidden="false" customHeight="false" outlineLevel="0" collapsed="false">
      <c r="A451" s="50" t="n">
        <v>371</v>
      </c>
      <c r="B451" s="51" t="n">
        <f aca="false">1+IF($G$6=$E$6,$F$6,IF(P451&lt;($F$6-$E$6)/($G$6-$E$6),$E$6+SQRT(P451*($G$6-$E$6)*($F$6-$E$6)),$G$6-SQRT((1-P451)*($G$6-$E$6)*($G$6-$F$6))))</f>
        <v>0.981926437574934</v>
      </c>
      <c r="C451" s="51" t="n">
        <f aca="false">1+IF($G$7=$E$7,$F$7,IF(Q451&lt;($F$7-$E$7)/($G$7-$E$7),$E$7+SQRT(Q451*($G$7-$E$7)*($F$7-$E$7)),$G$7-SQRT((1-Q451)*($G$7-$E$7)*($G$7-$F$7))))</f>
        <v>1.07214149798091</v>
      </c>
      <c r="D451" s="51" t="n">
        <f aca="false">1+IF($G$8=$E$8,$F$8,IF(R451&lt;($F$8-$E$8)/($G$8-$E$8),$E$8+SQRT(R451*($G$8-$E$8)*($F$8-$E$8)),$G$8-SQRT((1-R451)*($G$8-$E$8)*($G$8-$F$8))))</f>
        <v>1.0082908353976</v>
      </c>
      <c r="E451" s="51" t="n">
        <f aca="false">1+IF($G$9=$E$9,$F$9,IF(S451&lt;($F$9-$E$9)/($G$9-$E$9),$E$9+SQRT(S451*($G$9-$E$9)*($F$9-$E$9)),$G$9-SQRT((1-S451)*($G$9-$E$9)*($G$9-$F$9))))</f>
        <v>1.03848946487392</v>
      </c>
      <c r="F451" s="51" t="n">
        <f aca="false">1+IF($G$10=$E$10,$F$10,IF(T451&lt;($F$10-$E$10)/($G$10-$E$10),$E$10+SQRT(T451*($G$10-$E$10)*($F$10-$E$10)),$G$10-SQRT((1-T451)*($G$10-$E$10)*($G$10-$F$10))))</f>
        <v>0.95835578970525</v>
      </c>
      <c r="G451" s="52" t="n">
        <f aca="false">IF($G$11=$E$11,$F$11,IF(U451&lt;($F$11-$E$11)/($G$11-$E$11),$E$11+SQRT(U451*($G$11-$E$11)*($F$11-$E$11)),$G$11-SQRT((1-U451)*($G$11-$E$11)*($G$11-$F$11))))</f>
        <v>0.108553329158442</v>
      </c>
      <c r="H451" s="53" t="n">
        <f aca="false">(('Business Case'!B11*$C451*'Business Case'!B12*$B451)-'Business Case'!B11*$C451*'Business Case'!B13*$D451-'Business Case'!B14*$E451)-MAX(0,(('Business Case'!B11*$C451*'Business Case'!B12*$B451)-'Business Case'!B11*$C451*'Business Case'!B13*$D451-'Business Case'!B14*$E451))*'Business Case'!$B$7-'Business Case'!$B$8*('Business Case'!B11*$C451*'Business Case'!B12*$B451)-'Business Case'!B15*$F451</f>
        <v>-1916711579.4105</v>
      </c>
      <c r="I451" s="53" t="n">
        <f aca="false">(('Business Case'!C11*$C451*'Business Case'!C12*$B451)-'Business Case'!C11*$C451*'Business Case'!C13*$D451-'Business Case'!C14*$E451)-MAX(0,(('Business Case'!C11*$C451*'Business Case'!C12*$B451)-'Business Case'!C11*$C451*'Business Case'!C13*$D451-'Business Case'!C14*$E451))*'Business Case'!$B$7-'Business Case'!$B$8*(('Business Case'!C11*$C451*'Business Case'!C12*$B451)-('Business Case'!B11*$C451*'Business Case'!B12*$B451))-'Business Case'!C15*$F451</f>
        <v>10804404.7905144</v>
      </c>
      <c r="J451" s="53" t="n">
        <f aca="false">(('Business Case'!D11*$C451*'Business Case'!D12*$B451)-'Business Case'!D11*$C451*'Business Case'!D13*$D451-'Business Case'!D14*$E451)-MAX(0,(('Business Case'!D11*$C451*'Business Case'!D12*$B451)-'Business Case'!D11*$C451*'Business Case'!D13*$D451-'Business Case'!D14*$E451))*'Business Case'!$B$7-'Business Case'!$B$8*(('Business Case'!D11*$C451*'Business Case'!D12*$B451)-('Business Case'!C11*$C451*'Business Case'!C12*$B451))-'Business Case'!D15*$F451</f>
        <v>319692880.451364</v>
      </c>
      <c r="K451" s="53" t="n">
        <f aca="false">(('Business Case'!E11*$C451*'Business Case'!E12*$B451)-'Business Case'!E11*$C451*'Business Case'!E13*$D451-'Business Case'!E14*$E451)-MAX(0,(('Business Case'!E11*$C451*'Business Case'!E12*$B451)-'Business Case'!E11*$C451*'Business Case'!E13*$D451-'Business Case'!E14*$E451))*'Business Case'!$B$7-'Business Case'!$B$8*(('Business Case'!E11*$C451*'Business Case'!E12*$B451)-('Business Case'!D11*$C451*'Business Case'!D12*$B451))-'Business Case'!E15*$F451</f>
        <v>676499145.597477</v>
      </c>
      <c r="L451" s="53" t="n">
        <f aca="false">(('Business Case'!F11*$C451*'Business Case'!F12*$B451)-'Business Case'!F11*$C451*'Business Case'!F13*$D451-'Business Case'!F14*$E451)-MAX(0,(('Business Case'!F11*$C451*'Business Case'!F12*$B451)-'Business Case'!F11*$C451*'Business Case'!F13*$D451-'Business Case'!F14*$E451))*'Business Case'!$B$7-'Business Case'!$B$8*(('Business Case'!F11*$C451*'Business Case'!F12*$B451)-('Business Case'!E11*$C451*'Business Case'!E12*$B451))-'Business Case'!F15*$F451</f>
        <v>815845497.48092</v>
      </c>
      <c r="M451" s="53" t="n">
        <f aca="false">(('Business Case'!G11*$C451*'Business Case'!G12*$B451)-'Business Case'!G11*$C451*'Business Case'!G13*$D451-'Business Case'!G14*$E451)-MAX(0,(('Business Case'!G11*$C451*'Business Case'!G12*$B451)-'Business Case'!G11*$C451*'Business Case'!G13*$D451-'Business Case'!G14*$E451))*'Business Case'!$B$7-'Business Case'!$B$8*(('Business Case'!G11*$C451*'Business Case'!G12*$B451)-('Business Case'!F11*$C451*'Business Case'!F12*$B451))-'Business Case'!G15*$F451+'Business Case'!$B$8*('Business Case'!G11*$C451*'Business Case'!G12*$B451)</f>
        <v>1015954894.1283</v>
      </c>
      <c r="N451" s="53" t="n">
        <f aca="false">IF(COUNT('Business Case'!B11:G11)=0,"",H451+NPV(G451,I451:M451))</f>
        <v>-3130464.99957061</v>
      </c>
      <c r="P451" s="54" t="n">
        <f aca="true">RAND()</f>
        <v>0.399467049033556</v>
      </c>
      <c r="Q451" s="54" t="n">
        <f aca="true">RAND()</f>
        <v>0.884534355492259</v>
      </c>
      <c r="R451" s="54" t="n">
        <f aca="true">RAND()</f>
        <v>0.505557280002523</v>
      </c>
      <c r="S451" s="54" t="n">
        <f aca="true">RAND()</f>
        <v>0.747763604566865</v>
      </c>
      <c r="T451" s="54" t="n">
        <f aca="true">RAND()</f>
        <v>0.00558553772786821</v>
      </c>
      <c r="U451" s="54" t="n">
        <f aca="true">RAND()</f>
        <v>0.781622877741691</v>
      </c>
    </row>
    <row r="452" customFormat="false" ht="15" hidden="false" customHeight="false" outlineLevel="0" collapsed="false">
      <c r="A452" s="50" t="n">
        <v>372</v>
      </c>
      <c r="B452" s="51" t="n">
        <f aca="false">1+IF($G$6=$E$6,$F$6,IF(P452&lt;($F$6-$E$6)/($G$6-$E$6),$E$6+SQRT(P452*($G$6-$E$6)*($F$6-$E$6)),$G$6-SQRT((1-P452)*($G$6-$E$6)*($G$6-$F$6))))</f>
        <v>0.966929406048918</v>
      </c>
      <c r="C452" s="51" t="n">
        <f aca="false">1+IF($G$7=$E$7,$F$7,IF(Q452&lt;($F$7-$E$7)/($G$7-$E$7),$E$7+SQRT(Q452*($G$7-$E$7)*($F$7-$E$7)),$G$7-SQRT((1-Q452)*($G$7-$E$7)*($G$7-$F$7))))</f>
        <v>0.901128642862936</v>
      </c>
      <c r="D452" s="51" t="n">
        <f aca="false">1+IF($G$8=$E$8,$F$8,IF(R452&lt;($F$8-$E$8)/($G$8-$E$8),$E$8+SQRT(R452*($G$8-$E$8)*($F$8-$E$8)),$G$8-SQRT((1-R452)*($G$8-$E$8)*($G$8-$F$8))))</f>
        <v>1.00127905008357</v>
      </c>
      <c r="E452" s="51" t="n">
        <f aca="false">1+IF($G$9=$E$9,$F$9,IF(S452&lt;($F$9-$E$9)/($G$9-$E$9),$E$9+SQRT(S452*($G$9-$E$9)*($F$9-$E$9)),$G$9-SQRT((1-S452)*($G$9-$E$9)*($G$9-$F$9))))</f>
        <v>1.03470593998159</v>
      </c>
      <c r="F452" s="51" t="n">
        <f aca="false">1+IF($G$10=$E$10,$F$10,IF(T452&lt;($F$10-$E$10)/($G$10-$E$10),$E$10+SQRT(T452*($G$10-$E$10)*($F$10-$E$10)),$G$10-SQRT((1-T452)*($G$10-$E$10)*($G$10-$F$10))))</f>
        <v>1.08710153689321</v>
      </c>
      <c r="G452" s="52" t="n">
        <f aca="false">IF($G$11=$E$11,$F$11,IF(U452&lt;($F$11-$E$11)/($G$11-$E$11),$E$11+SQRT(U452*($G$11-$E$11)*($F$11-$E$11)),$G$11-SQRT((1-U452)*($G$11-$E$11)*($G$11-$F$11))))</f>
        <v>0.103695464089239</v>
      </c>
      <c r="H452" s="53" t="n">
        <f aca="false">(('Business Case'!B11*$C452*'Business Case'!B12*$B452)-'Business Case'!B11*$C452*'Business Case'!B13*$D452-'Business Case'!B14*$E452)-MAX(0,(('Business Case'!B11*$C452*'Business Case'!B12*$B452)-'Business Case'!B11*$C452*'Business Case'!B13*$D452-'Business Case'!B14*$E452))*'Business Case'!$B$7-'Business Case'!$B$8*('Business Case'!B11*$C452*'Business Case'!B12*$B452)-'Business Case'!B15*$F452</f>
        <v>-2174203073.78642</v>
      </c>
      <c r="I452" s="53" t="n">
        <f aca="false">(('Business Case'!C11*$C452*'Business Case'!C12*$B452)-'Business Case'!C11*$C452*'Business Case'!C13*$D452-'Business Case'!C14*$E452)-MAX(0,(('Business Case'!C11*$C452*'Business Case'!C12*$B452)-'Business Case'!C11*$C452*'Business Case'!C13*$D452-'Business Case'!C14*$E452))*'Business Case'!$B$7-'Business Case'!$B$8*(('Business Case'!C11*$C452*'Business Case'!C12*$B452)-('Business Case'!B11*$C452*'Business Case'!B12*$B452))-'Business Case'!C15*$F452</f>
        <v>-49230588.4722867</v>
      </c>
      <c r="J452" s="53" t="n">
        <f aca="false">(('Business Case'!D11*$C452*'Business Case'!D12*$B452)-'Business Case'!D11*$C452*'Business Case'!D13*$D452-'Business Case'!D14*$E452)-MAX(0,(('Business Case'!D11*$C452*'Business Case'!D12*$B452)-'Business Case'!D11*$C452*'Business Case'!D13*$D452-'Business Case'!D14*$E452))*'Business Case'!$B$7-'Business Case'!$B$8*(('Business Case'!D11*$C452*'Business Case'!D12*$B452)-('Business Case'!C11*$C452*'Business Case'!C12*$B452))-'Business Case'!D15*$F452</f>
        <v>202553793.702474</v>
      </c>
      <c r="K452" s="53" t="n">
        <f aca="false">(('Business Case'!E11*$C452*'Business Case'!E12*$B452)-'Business Case'!E11*$C452*'Business Case'!E13*$D452-'Business Case'!E14*$E452)-MAX(0,(('Business Case'!E11*$C452*'Business Case'!E12*$B452)-'Business Case'!E11*$C452*'Business Case'!E13*$D452-'Business Case'!E14*$E452))*'Business Case'!$B$7-'Business Case'!$B$8*(('Business Case'!E11*$C452*'Business Case'!E12*$B452)-('Business Case'!D11*$C452*'Business Case'!D12*$B452))-'Business Case'!E15*$F452</f>
        <v>508693252.721894</v>
      </c>
      <c r="L452" s="53" t="n">
        <f aca="false">(('Business Case'!F11*$C452*'Business Case'!F12*$B452)-'Business Case'!F11*$C452*'Business Case'!F13*$D452-'Business Case'!F14*$E452)-MAX(0,(('Business Case'!F11*$C452*'Business Case'!F12*$B452)-'Business Case'!F11*$C452*'Business Case'!F13*$D452-'Business Case'!F14*$E452))*'Business Case'!$B$7-'Business Case'!$B$8*(('Business Case'!F11*$C452*'Business Case'!F12*$B452)-('Business Case'!E11*$C452*'Business Case'!E12*$B452))-'Business Case'!F15*$F452</f>
        <v>622734468.308377</v>
      </c>
      <c r="M452" s="53" t="n">
        <f aca="false">(('Business Case'!G11*$C452*'Business Case'!G12*$B452)-'Business Case'!G11*$C452*'Business Case'!G13*$D452-'Business Case'!G14*$E452)-MAX(0,(('Business Case'!G11*$C452*'Business Case'!G12*$B452)-'Business Case'!G11*$C452*'Business Case'!G13*$D452-'Business Case'!G14*$E452))*'Business Case'!$B$7-'Business Case'!$B$8*(('Business Case'!G11*$C452*'Business Case'!G12*$B452)-('Business Case'!F11*$C452*'Business Case'!F12*$B452))-'Business Case'!G15*$F452+'Business Case'!$B$8*('Business Case'!G11*$C452*'Business Case'!G12*$B452)</f>
        <v>788356453.380304</v>
      </c>
      <c r="N452" s="53" t="n">
        <f aca="false">IF(COUNT('Business Case'!B11:G11)=0,"",H452+NPV(G452,I452:M452))</f>
        <v>-773129946.352299</v>
      </c>
      <c r="P452" s="54" t="n">
        <f aca="true">RAND()</f>
        <v>0.22941345334419</v>
      </c>
      <c r="Q452" s="54" t="n">
        <f aca="true">RAND()</f>
        <v>0.14610003438999</v>
      </c>
      <c r="R452" s="54" t="n">
        <f aca="true">RAND()</f>
        <v>0.404135773486023</v>
      </c>
      <c r="S452" s="54" t="n">
        <f aca="true">RAND()</f>
        <v>0.715779048420831</v>
      </c>
      <c r="T452" s="54" t="n">
        <f aca="true">RAND()</f>
        <v>0.745078740562487</v>
      </c>
      <c r="U452" s="54" t="n">
        <f aca="true">RAND()</f>
        <v>0.556936847891148</v>
      </c>
    </row>
    <row r="453" customFormat="false" ht="15" hidden="false" customHeight="false" outlineLevel="0" collapsed="false">
      <c r="A453" s="50" t="n">
        <v>373</v>
      </c>
      <c r="B453" s="51" t="n">
        <f aca="false">1+IF($G$6=$E$6,$F$6,IF(P453&lt;($F$6-$E$6)/($G$6-$E$6),$E$6+SQRT(P453*($G$6-$E$6)*($F$6-$E$6)),$G$6-SQRT((1-P453)*($G$6-$E$6)*($G$6-$F$6))))</f>
        <v>1.00542827708905</v>
      </c>
      <c r="C453" s="51" t="n">
        <f aca="false">1+IF($G$7=$E$7,$F$7,IF(Q453&lt;($F$7-$E$7)/($G$7-$E$7),$E$7+SQRT(Q453*($G$7-$E$7)*($F$7-$E$7)),$G$7-SQRT((1-Q453)*($G$7-$E$7)*($G$7-$F$7))))</f>
        <v>1.03750324503219</v>
      </c>
      <c r="D453" s="51" t="n">
        <f aca="false">1+IF($G$8=$E$8,$F$8,IF(R453&lt;($F$8-$E$8)/($G$8-$E$8),$E$8+SQRT(R453*($G$8-$E$8)*($F$8-$E$8)),$G$8-SQRT((1-R453)*($G$8-$E$8)*($G$8-$F$8))))</f>
        <v>0.998357177130411</v>
      </c>
      <c r="E453" s="51" t="n">
        <f aca="false">1+IF($G$9=$E$9,$F$9,IF(S453&lt;($F$9-$E$9)/($G$9-$E$9),$E$9+SQRT(S453*($G$9-$E$9)*($F$9-$E$9)),$G$9-SQRT((1-S453)*($G$9-$E$9)*($G$9-$F$9))))</f>
        <v>1.00447341454526</v>
      </c>
      <c r="F453" s="51" t="n">
        <f aca="false">1+IF($G$10=$E$10,$F$10,IF(T453&lt;($F$10-$E$10)/($G$10-$E$10),$E$10+SQRT(T453*($G$10-$E$10)*($F$10-$E$10)),$G$10-SQRT((1-T453)*($G$10-$E$10)*($G$10-$F$10))))</f>
        <v>1.01128336797895</v>
      </c>
      <c r="G453" s="52" t="n">
        <f aca="false">IF($G$11=$E$11,$F$11,IF(U453&lt;($F$11-$E$11)/($G$11-$E$11),$E$11+SQRT(U453*($G$11-$E$11)*($F$11-$E$11)),$G$11-SQRT((1-U453)*($G$11-$E$11)*($G$11-$F$11))))</f>
        <v>0.0995876808065733</v>
      </c>
      <c r="H453" s="53" t="n">
        <f aca="false">(('Business Case'!B11*$C453*'Business Case'!B12*$B453)-'Business Case'!B11*$C453*'Business Case'!B13*$D453-'Business Case'!B14*$E453)-MAX(0,(('Business Case'!B11*$C453*'Business Case'!B12*$B453)-'Business Case'!B11*$C453*'Business Case'!B13*$D453-'Business Case'!B14*$E453))*'Business Case'!$B$7-'Business Case'!$B$8*('Business Case'!B11*$C453*'Business Case'!B12*$B453)-'Business Case'!B15*$F453</f>
        <v>-2022566735.95789</v>
      </c>
      <c r="I453" s="53" t="n">
        <f aca="false">(('Business Case'!C11*$C453*'Business Case'!C12*$B453)-'Business Case'!C11*$C453*'Business Case'!C13*$D453-'Business Case'!C14*$E453)-MAX(0,(('Business Case'!C11*$C453*'Business Case'!C12*$B453)-'Business Case'!C11*$C453*'Business Case'!C13*$D453-'Business Case'!C14*$E453))*'Business Case'!$B$7-'Business Case'!$B$8*(('Business Case'!C11*$C453*'Business Case'!C12*$B453)-('Business Case'!B11*$C453*'Business Case'!B12*$B453))-'Business Case'!C15*$F453</f>
        <v>26116045.4806173</v>
      </c>
      <c r="J453" s="53" t="n">
        <f aca="false">(('Business Case'!D11*$C453*'Business Case'!D12*$B453)-'Business Case'!D11*$C453*'Business Case'!D13*$D453-'Business Case'!D14*$E453)-MAX(0,(('Business Case'!D11*$C453*'Business Case'!D12*$B453)-'Business Case'!D11*$C453*'Business Case'!D13*$D453-'Business Case'!D14*$E453))*'Business Case'!$B$7-'Business Case'!$B$8*(('Business Case'!D11*$C453*'Business Case'!D12*$B453)-('Business Case'!C11*$C453*'Business Case'!C12*$B453))-'Business Case'!D15*$F453</f>
        <v>350272670.89805</v>
      </c>
      <c r="K453" s="53" t="n">
        <f aca="false">(('Business Case'!E11*$C453*'Business Case'!E12*$B453)-'Business Case'!E11*$C453*'Business Case'!E13*$D453-'Business Case'!E14*$E453)-MAX(0,(('Business Case'!E11*$C453*'Business Case'!E12*$B453)-'Business Case'!E11*$C453*'Business Case'!E13*$D453-'Business Case'!E14*$E453))*'Business Case'!$B$7-'Business Case'!$B$8*(('Business Case'!E11*$C453*'Business Case'!E12*$B453)-('Business Case'!D11*$C453*'Business Case'!D12*$B453))-'Business Case'!E15*$F453</f>
        <v>724993464.714429</v>
      </c>
      <c r="L453" s="53" t="n">
        <f aca="false">(('Business Case'!F11*$C453*'Business Case'!F12*$B453)-'Business Case'!F11*$C453*'Business Case'!F13*$D453-'Business Case'!F14*$E453)-MAX(0,(('Business Case'!F11*$C453*'Business Case'!F12*$B453)-'Business Case'!F11*$C453*'Business Case'!F13*$D453-'Business Case'!F14*$E453))*'Business Case'!$B$7-'Business Case'!$B$8*(('Business Case'!F11*$C453*'Business Case'!F12*$B453)-('Business Case'!E11*$C453*'Business Case'!E12*$B453))-'Business Case'!F15*$F453</f>
        <v>869096422.247296</v>
      </c>
      <c r="M453" s="53" t="n">
        <f aca="false">(('Business Case'!G11*$C453*'Business Case'!G12*$B453)-'Business Case'!G11*$C453*'Business Case'!G13*$D453-'Business Case'!G14*$E453)-MAX(0,(('Business Case'!G11*$C453*'Business Case'!G12*$B453)-'Business Case'!G11*$C453*'Business Case'!G13*$D453-'Business Case'!G14*$E453))*'Business Case'!$B$7-'Business Case'!$B$8*(('Business Case'!G11*$C453*'Business Case'!G12*$B453)-('Business Case'!F11*$C453*'Business Case'!F12*$B453))-'Business Case'!G15*$F453+'Business Case'!$B$8*('Business Case'!G11*$C453*'Business Case'!G12*$B453)</f>
        <v>1067375542.07944</v>
      </c>
      <c r="N453" s="53" t="n">
        <f aca="false">IF(COUNT('Business Case'!B11:G11)=0,"",H453+NPV(G453,I453:M453))</f>
        <v>94689164.1981924</v>
      </c>
      <c r="P453" s="54" t="n">
        <f aca="true">RAND()</f>
        <v>0.750999161451735</v>
      </c>
      <c r="Q453" s="54" t="n">
        <f aca="true">RAND()</f>
        <v>0.758942478508812</v>
      </c>
      <c r="R453" s="54" t="n">
        <f aca="true">RAND()</f>
        <v>0.359756396926454</v>
      </c>
      <c r="S453" s="54" t="n">
        <f aca="true">RAND()</f>
        <v>0.391644764757233</v>
      </c>
      <c r="T453" s="54" t="n">
        <f aca="true">RAND()</f>
        <v>0.287720655972598</v>
      </c>
      <c r="U453" s="54" t="n">
        <f aca="true">RAND()</f>
        <v>0.306412077495778</v>
      </c>
    </row>
    <row r="454" customFormat="false" ht="15" hidden="false" customHeight="false" outlineLevel="0" collapsed="false">
      <c r="A454" s="50" t="n">
        <v>374</v>
      </c>
      <c r="B454" s="51" t="n">
        <f aca="false">1+IF($G$6=$E$6,$F$6,IF(P454&lt;($F$6-$E$6)/($G$6-$E$6),$E$6+SQRT(P454*($G$6-$E$6)*($F$6-$E$6)),$G$6-SQRT((1-P454)*($G$6-$E$6)*($G$6-$F$6))))</f>
        <v>0.96597833833237</v>
      </c>
      <c r="C454" s="51" t="n">
        <f aca="false">1+IF($G$7=$E$7,$F$7,IF(Q454&lt;($F$7-$E$7)/($G$7-$E$7),$E$7+SQRT(Q454*($G$7-$E$7)*($F$7-$E$7)),$G$7-SQRT((1-Q454)*($G$7-$E$7)*($G$7-$F$7))))</f>
        <v>1.0473803695464</v>
      </c>
      <c r="D454" s="51" t="n">
        <f aca="false">1+IF($G$8=$E$8,$F$8,IF(R454&lt;($F$8-$E$8)/($G$8-$E$8),$E$8+SQRT(R454*($G$8-$E$8)*($F$8-$E$8)),$G$8-SQRT((1-R454)*($G$8-$E$8)*($G$8-$F$8))))</f>
        <v>1.04564836570414</v>
      </c>
      <c r="E454" s="51" t="n">
        <f aca="false">1+IF($G$9=$E$9,$F$9,IF(S454&lt;($F$9-$E$9)/($G$9-$E$9),$E$9+SQRT(S454*($G$9-$E$9)*($F$9-$E$9)),$G$9-SQRT((1-S454)*($G$9-$E$9)*($G$9-$F$9))))</f>
        <v>0.992253955604374</v>
      </c>
      <c r="F454" s="51" t="n">
        <f aca="false">1+IF($G$10=$E$10,$F$10,IF(T454&lt;($F$10-$E$10)/($G$10-$E$10),$E$10+SQRT(T454*($G$10-$E$10)*($F$10-$E$10)),$G$10-SQRT((1-T454)*($G$10-$E$10)*($G$10-$F$10))))</f>
        <v>1.01382027888501</v>
      </c>
      <c r="G454" s="52" t="n">
        <f aca="false">IF($G$11=$E$11,$F$11,IF(U454&lt;($F$11-$E$11)/($G$11-$E$11),$E$11+SQRT(U454*($G$11-$E$11)*($F$11-$E$11)),$G$11-SQRT((1-U454)*($G$11-$E$11)*($G$11-$F$11))))</f>
        <v>0.107956126529305</v>
      </c>
      <c r="H454" s="53" t="n">
        <f aca="false">(('Business Case'!B11*$C454*'Business Case'!B12*$B454)-'Business Case'!B11*$C454*'Business Case'!B13*$D454-'Business Case'!B14*$E454)-MAX(0,(('Business Case'!B11*$C454*'Business Case'!B12*$B454)-'Business Case'!B11*$C454*'Business Case'!B13*$D454-'Business Case'!B14*$E454))*'Business Case'!$B$7-'Business Case'!$B$8*('Business Case'!B11*$C454*'Business Case'!B12*$B454)-'Business Case'!B15*$F454</f>
        <v>-2027640557.77002</v>
      </c>
      <c r="I454" s="53" t="n">
        <f aca="false">(('Business Case'!C11*$C454*'Business Case'!C12*$B454)-'Business Case'!C11*$C454*'Business Case'!C13*$D454-'Business Case'!C14*$E454)-MAX(0,(('Business Case'!C11*$C454*'Business Case'!C12*$B454)-'Business Case'!C11*$C454*'Business Case'!C13*$D454-'Business Case'!C14*$E454))*'Business Case'!$B$7-'Business Case'!$B$8*(('Business Case'!C11*$C454*'Business Case'!C12*$B454)-('Business Case'!B11*$C454*'Business Case'!B12*$B454))-'Business Case'!C15*$F454</f>
        <v>-26886528.0427028</v>
      </c>
      <c r="J454" s="53" t="n">
        <f aca="false">(('Business Case'!D11*$C454*'Business Case'!D12*$B454)-'Business Case'!D11*$C454*'Business Case'!D13*$D454-'Business Case'!D14*$E454)-MAX(0,(('Business Case'!D11*$C454*'Business Case'!D12*$B454)-'Business Case'!D11*$C454*'Business Case'!D13*$D454-'Business Case'!D14*$E454))*'Business Case'!$B$7-'Business Case'!$B$8*(('Business Case'!D11*$C454*'Business Case'!D12*$B454)-('Business Case'!C11*$C454*'Business Case'!C12*$B454))-'Business Case'!D15*$F454</f>
        <v>241156435.756973</v>
      </c>
      <c r="K454" s="53" t="n">
        <f aca="false">(('Business Case'!E11*$C454*'Business Case'!E12*$B454)-'Business Case'!E11*$C454*'Business Case'!E13*$D454-'Business Case'!E14*$E454)-MAX(0,(('Business Case'!E11*$C454*'Business Case'!E12*$B454)-'Business Case'!E11*$C454*'Business Case'!E13*$D454-'Business Case'!E14*$E454))*'Business Case'!$B$7-'Business Case'!$B$8*(('Business Case'!E11*$C454*'Business Case'!E12*$B454)-('Business Case'!D11*$C454*'Business Case'!D12*$B454))-'Business Case'!E15*$F454</f>
        <v>559890413.500898</v>
      </c>
      <c r="L454" s="53" t="n">
        <f aca="false">(('Business Case'!F11*$C454*'Business Case'!F12*$B454)-'Business Case'!F11*$C454*'Business Case'!F13*$D454-'Business Case'!F14*$E454)-MAX(0,(('Business Case'!F11*$C454*'Business Case'!F12*$B454)-'Business Case'!F11*$C454*'Business Case'!F13*$D454-'Business Case'!F14*$E454))*'Business Case'!$B$7-'Business Case'!$B$8*(('Business Case'!F11*$C454*'Business Case'!F12*$B454)-('Business Case'!E11*$C454*'Business Case'!E12*$B454))-'Business Case'!F15*$F454</f>
        <v>684204035.745413</v>
      </c>
      <c r="M454" s="53" t="n">
        <f aca="false">(('Business Case'!G11*$C454*'Business Case'!G12*$B454)-'Business Case'!G11*$C454*'Business Case'!G13*$D454-'Business Case'!G14*$E454)-MAX(0,(('Business Case'!G11*$C454*'Business Case'!G12*$B454)-'Business Case'!G11*$C454*'Business Case'!G13*$D454-'Business Case'!G14*$E454))*'Business Case'!$B$7-'Business Case'!$B$8*(('Business Case'!G11*$C454*'Business Case'!G12*$B454)-('Business Case'!F11*$C454*'Business Case'!F12*$B454))-'Business Case'!G15*$F454+'Business Case'!$B$8*('Business Case'!G11*$C454*'Business Case'!G12*$B454)</f>
        <v>876516857.790842</v>
      </c>
      <c r="N454" s="53" t="n">
        <f aca="false">IF(COUNT('Business Case'!B11:G11)=0,"",H454+NPV(G454,I454:M454))</f>
        <v>-464772725.314278</v>
      </c>
      <c r="P454" s="54" t="n">
        <f aca="true">RAND()</f>
        <v>0.22020912456311</v>
      </c>
      <c r="Q454" s="54" t="n">
        <f aca="true">RAND()</f>
        <v>0.799413551344119</v>
      </c>
      <c r="R454" s="54" t="n">
        <f aca="true">RAND()</f>
        <v>0.886535117423406</v>
      </c>
      <c r="S454" s="54" t="n">
        <f aca="true">RAND()</f>
        <v>0.238052901895523</v>
      </c>
      <c r="T454" s="54" t="n">
        <f aca="true">RAND()</f>
        <v>0.306742228910887</v>
      </c>
      <c r="U454" s="54" t="n">
        <f aca="true">RAND()</f>
        <v>0.758241853036494</v>
      </c>
    </row>
    <row r="455" customFormat="false" ht="15" hidden="false" customHeight="false" outlineLevel="0" collapsed="false">
      <c r="A455" s="50" t="n">
        <v>375</v>
      </c>
      <c r="B455" s="51" t="n">
        <f aca="false">1+IF($G$6=$E$6,$F$6,IF(P455&lt;($F$6-$E$6)/($G$6-$E$6),$E$6+SQRT(P455*($G$6-$E$6)*($F$6-$E$6)),$G$6-SQRT((1-P455)*($G$6-$E$6)*($G$6-$F$6))))</f>
        <v>0.996450015663068</v>
      </c>
      <c r="C455" s="51" t="n">
        <f aca="false">1+IF($G$7=$E$7,$F$7,IF(Q455&lt;($F$7-$E$7)/($G$7-$E$7),$E$7+SQRT(Q455*($G$7-$E$7)*($F$7-$E$7)),$G$7-SQRT((1-Q455)*($G$7-$E$7)*($G$7-$F$7))))</f>
        <v>0.986794937792571</v>
      </c>
      <c r="D455" s="51" t="n">
        <f aca="false">1+IF($G$8=$E$8,$F$8,IF(R455&lt;($F$8-$E$8)/($G$8-$E$8),$E$8+SQRT(R455*($G$8-$E$8)*($F$8-$E$8)),$G$8-SQRT((1-R455)*($G$8-$E$8)*($G$8-$F$8))))</f>
        <v>1.03732525510173</v>
      </c>
      <c r="E455" s="51" t="n">
        <f aca="false">1+IF($G$9=$E$9,$F$9,IF(S455&lt;($F$9-$E$9)/($G$9-$E$9),$E$9+SQRT(S455*($G$9-$E$9)*($F$9-$E$9)),$G$9-SQRT((1-S455)*($G$9-$E$9)*($G$9-$F$9))))</f>
        <v>1.03268644952429</v>
      </c>
      <c r="F455" s="51" t="n">
        <f aca="false">1+IF($G$10=$E$10,$F$10,IF(T455&lt;($F$10-$E$10)/($G$10-$E$10),$E$10+SQRT(T455*($G$10-$E$10)*($F$10-$E$10)),$G$10-SQRT((1-T455)*($G$10-$E$10)*($G$10-$F$10))))</f>
        <v>0.987820015347489</v>
      </c>
      <c r="G455" s="52" t="n">
        <f aca="false">IF($G$11=$E$11,$F$11,IF(U455&lt;($F$11-$E$11)/($G$11-$E$11),$E$11+SQRT(U455*($G$11-$E$11)*($F$11-$E$11)),$G$11-SQRT((1-U455)*($G$11-$E$11)*($G$11-$F$11))))</f>
        <v>0.0947174886484071</v>
      </c>
      <c r="H455" s="53" t="n">
        <f aca="false">(('Business Case'!B11*$C455*'Business Case'!B12*$B455)-'Business Case'!B11*$C455*'Business Case'!B13*$D455-'Business Case'!B14*$E455)-MAX(0,(('Business Case'!B11*$C455*'Business Case'!B12*$B455)-'Business Case'!B11*$C455*'Business Case'!B13*$D455-'Business Case'!B14*$E455))*'Business Case'!$B$7-'Business Case'!$B$8*('Business Case'!B11*$C455*'Business Case'!B12*$B455)-'Business Case'!B15*$F455</f>
        <v>-1975640030.69498</v>
      </c>
      <c r="I455" s="53" t="n">
        <f aca="false">(('Business Case'!C11*$C455*'Business Case'!C12*$B455)-'Business Case'!C11*$C455*'Business Case'!C13*$D455-'Business Case'!C14*$E455)-MAX(0,(('Business Case'!C11*$C455*'Business Case'!C12*$B455)-'Business Case'!C11*$C455*'Business Case'!C13*$D455-'Business Case'!C14*$E455))*'Business Case'!$B$7-'Business Case'!$B$8*(('Business Case'!C11*$C455*'Business Case'!C12*$B455)-('Business Case'!B11*$C455*'Business Case'!B12*$B455))-'Business Case'!C15*$F455</f>
        <v>-15232349.2382792</v>
      </c>
      <c r="J455" s="53" t="n">
        <f aca="false">(('Business Case'!D11*$C455*'Business Case'!D12*$B455)-'Business Case'!D11*$C455*'Business Case'!D13*$D455-'Business Case'!D14*$E455)-MAX(0,(('Business Case'!D11*$C455*'Business Case'!D12*$B455)-'Business Case'!D11*$C455*'Business Case'!D13*$D455-'Business Case'!D14*$E455))*'Business Case'!$B$7-'Business Case'!$B$8*(('Business Case'!D11*$C455*'Business Case'!D12*$B455)-('Business Case'!C11*$C455*'Business Case'!C12*$B455))-'Business Case'!D15*$F455</f>
        <v>266139164.710971</v>
      </c>
      <c r="K455" s="53" t="n">
        <f aca="false">(('Business Case'!E11*$C455*'Business Case'!E12*$B455)-'Business Case'!E11*$C455*'Business Case'!E13*$D455-'Business Case'!E14*$E455)-MAX(0,(('Business Case'!E11*$C455*'Business Case'!E12*$B455)-'Business Case'!E11*$C455*'Business Case'!E13*$D455-'Business Case'!E14*$E455))*'Business Case'!$B$7-'Business Case'!$B$8*(('Business Case'!E11*$C455*'Business Case'!E12*$B455)-('Business Case'!D11*$C455*'Business Case'!D12*$B455))-'Business Case'!E15*$F455</f>
        <v>596901679.427596</v>
      </c>
      <c r="L455" s="53" t="n">
        <f aca="false">(('Business Case'!F11*$C455*'Business Case'!F12*$B455)-'Business Case'!F11*$C455*'Business Case'!F13*$D455-'Business Case'!F14*$E455)-MAX(0,(('Business Case'!F11*$C455*'Business Case'!F12*$B455)-'Business Case'!F11*$C455*'Business Case'!F13*$D455-'Business Case'!F14*$E455))*'Business Case'!$B$7-'Business Case'!$B$8*(('Business Case'!F11*$C455*'Business Case'!F12*$B455)-('Business Case'!E11*$C455*'Business Case'!E12*$B455))-'Business Case'!F15*$F455</f>
        <v>724674749.764297</v>
      </c>
      <c r="M455" s="53" t="n">
        <f aca="false">(('Business Case'!G11*$C455*'Business Case'!G12*$B455)-'Business Case'!G11*$C455*'Business Case'!G13*$D455-'Business Case'!G14*$E455)-MAX(0,(('Business Case'!G11*$C455*'Business Case'!G12*$B455)-'Business Case'!G11*$C455*'Business Case'!G13*$D455-'Business Case'!G14*$E455))*'Business Case'!$B$7-'Business Case'!$B$8*(('Business Case'!G11*$C455*'Business Case'!G12*$B455)-('Business Case'!F11*$C455*'Business Case'!F12*$B455))-'Business Case'!G15*$F455+'Business Case'!$B$8*('Business Case'!G11*$C455*'Business Case'!G12*$B455)</f>
        <v>911578861.042526</v>
      </c>
      <c r="N455" s="53" t="n">
        <f aca="false">IF(COUNT('Business Case'!B11:G11)=0,"",H455+NPV(G455,I455:M455))</f>
        <v>-228099008.263733</v>
      </c>
      <c r="P455" s="54" t="n">
        <f aca="true">RAND()</f>
        <v>0.608813009883675</v>
      </c>
      <c r="Q455" s="54" t="n">
        <f aca="true">RAND()</f>
        <v>0.498462125499004</v>
      </c>
      <c r="R455" s="54" t="n">
        <f aca="true">RAND()</f>
        <v>0.82489097575648</v>
      </c>
      <c r="S455" s="54" t="n">
        <f aca="true">RAND()</f>
        <v>0.697925728156952</v>
      </c>
      <c r="T455" s="54" t="n">
        <f aca="true">RAND()</f>
        <v>0.114428284870744</v>
      </c>
      <c r="U455" s="54" t="n">
        <f aca="true">RAND()</f>
        <v>0.0741823304928317</v>
      </c>
    </row>
    <row r="456" customFormat="false" ht="15" hidden="false" customHeight="false" outlineLevel="0" collapsed="false">
      <c r="A456" s="50" t="n">
        <v>376</v>
      </c>
      <c r="B456" s="51" t="n">
        <f aca="false">1+IF($G$6=$E$6,$F$6,IF(P456&lt;($F$6-$E$6)/($G$6-$E$6),$E$6+SQRT(P456*($G$6-$E$6)*($F$6-$E$6)),$G$6-SQRT((1-P456)*($G$6-$E$6)*($G$6-$F$6))))</f>
        <v>0.979087333830058</v>
      </c>
      <c r="C456" s="51" t="n">
        <f aca="false">1+IF($G$7=$E$7,$F$7,IF(Q456&lt;($F$7-$E$7)/($G$7-$E$7),$E$7+SQRT(Q456*($G$7-$E$7)*($F$7-$E$7)),$G$7-SQRT((1-Q456)*($G$7-$E$7)*($G$7-$F$7))))</f>
        <v>1.11919671610451</v>
      </c>
      <c r="D456" s="51" t="n">
        <f aca="false">1+IF($G$8=$E$8,$F$8,IF(R456&lt;($F$8-$E$8)/($G$8-$E$8),$E$8+SQRT(R456*($G$8-$E$8)*($F$8-$E$8)),$G$8-SQRT((1-R456)*($G$8-$E$8)*($G$8-$F$8))))</f>
        <v>1.06327494701188</v>
      </c>
      <c r="E456" s="51" t="n">
        <f aca="false">1+IF($G$9=$E$9,$F$9,IF(S456&lt;($F$9-$E$9)/($G$9-$E$9),$E$9+SQRT(S456*($G$9-$E$9)*($F$9-$E$9)),$G$9-SQRT((1-S456)*($G$9-$E$9)*($G$9-$F$9))))</f>
        <v>0.99270998045357</v>
      </c>
      <c r="F456" s="51" t="n">
        <f aca="false">1+IF($G$10=$E$10,$F$10,IF(T456&lt;($F$10-$E$10)/($G$10-$E$10),$E$10+SQRT(T456*($G$10-$E$10)*($F$10-$E$10)),$G$10-SQRT((1-T456)*($G$10-$E$10)*($G$10-$F$10))))</f>
        <v>1.01241205077326</v>
      </c>
      <c r="G456" s="52" t="n">
        <f aca="false">IF($G$11=$E$11,$F$11,IF(U456&lt;($F$11-$E$11)/($G$11-$E$11),$E$11+SQRT(U456*($G$11-$E$11)*($F$11-$E$11)),$G$11-SQRT((1-U456)*($G$11-$E$11)*($G$11-$F$11))))</f>
        <v>0.0986572987557509</v>
      </c>
      <c r="H456" s="53" t="n">
        <f aca="false">(('Business Case'!B11*$C456*'Business Case'!B12*$B456)-'Business Case'!B11*$C456*'Business Case'!B13*$D456-'Business Case'!B14*$E456)-MAX(0,(('Business Case'!B11*$C456*'Business Case'!B12*$B456)-'Business Case'!B11*$C456*'Business Case'!B13*$D456-'Business Case'!B14*$E456))*'Business Case'!$B$7-'Business Case'!$B$8*('Business Case'!B11*$C456*'Business Case'!B12*$B456)-'Business Case'!B15*$F456</f>
        <v>-2024824101.54651</v>
      </c>
      <c r="I456" s="53" t="n">
        <f aca="false">(('Business Case'!C11*$C456*'Business Case'!C12*$B456)-'Business Case'!C11*$C456*'Business Case'!C13*$D456-'Business Case'!C14*$E456)-MAX(0,(('Business Case'!C11*$C456*'Business Case'!C12*$B456)-'Business Case'!C11*$C456*'Business Case'!C13*$D456-'Business Case'!C14*$E456))*'Business Case'!$B$7-'Business Case'!$B$8*(('Business Case'!C11*$C456*'Business Case'!C12*$B456)-('Business Case'!B11*$C456*'Business Case'!B12*$B456))-'Business Case'!C15*$F456</f>
        <v>-10870270.8660838</v>
      </c>
      <c r="J456" s="53" t="n">
        <f aca="false">(('Business Case'!D11*$C456*'Business Case'!D12*$B456)-'Business Case'!D11*$C456*'Business Case'!D13*$D456-'Business Case'!D14*$E456)-MAX(0,(('Business Case'!D11*$C456*'Business Case'!D12*$B456)-'Business Case'!D11*$C456*'Business Case'!D13*$D456-'Business Case'!D14*$E456))*'Business Case'!$B$7-'Business Case'!$B$8*(('Business Case'!D11*$C456*'Business Case'!D12*$B456)-('Business Case'!C11*$C456*'Business Case'!C12*$B456))-'Business Case'!D15*$F456</f>
        <v>277469845.050758</v>
      </c>
      <c r="K456" s="53" t="n">
        <f aca="false">(('Business Case'!E11*$C456*'Business Case'!E12*$B456)-'Business Case'!E11*$C456*'Business Case'!E13*$D456-'Business Case'!E14*$E456)-MAX(0,(('Business Case'!E11*$C456*'Business Case'!E12*$B456)-'Business Case'!E11*$C456*'Business Case'!E13*$D456-'Business Case'!E14*$E456))*'Business Case'!$B$7-'Business Case'!$B$8*(('Business Case'!E11*$C456*'Business Case'!E12*$B456)-('Business Case'!D11*$C456*'Business Case'!D12*$B456))-'Business Case'!E15*$F456</f>
        <v>616430563.506263</v>
      </c>
      <c r="L456" s="53" t="n">
        <f aca="false">(('Business Case'!F11*$C456*'Business Case'!F12*$B456)-'Business Case'!F11*$C456*'Business Case'!F13*$D456-'Business Case'!F14*$E456)-MAX(0,(('Business Case'!F11*$C456*'Business Case'!F12*$B456)-'Business Case'!F11*$C456*'Business Case'!F13*$D456-'Business Case'!F14*$E456))*'Business Case'!$B$7-'Business Case'!$B$8*(('Business Case'!F11*$C456*'Business Case'!F12*$B456)-('Business Case'!E11*$C456*'Business Case'!E12*$B456))-'Business Case'!F15*$F456</f>
        <v>750414483.801945</v>
      </c>
      <c r="M456" s="53" t="n">
        <f aca="false">(('Business Case'!G11*$C456*'Business Case'!G12*$B456)-'Business Case'!G11*$C456*'Business Case'!G13*$D456-'Business Case'!G14*$E456)-MAX(0,(('Business Case'!G11*$C456*'Business Case'!G12*$B456)-'Business Case'!G11*$C456*'Business Case'!G13*$D456-'Business Case'!G14*$E456))*'Business Case'!$B$7-'Business Case'!$B$8*(('Business Case'!G11*$C456*'Business Case'!G12*$B456)-('Business Case'!F11*$C456*'Business Case'!F12*$B456))-'Business Case'!G15*$F456+'Business Case'!$B$8*('Business Case'!G11*$C456*'Business Case'!G12*$B456)</f>
        <v>958702499.580653</v>
      </c>
      <c r="N456" s="53" t="n">
        <f aca="false">IF(COUNT('Business Case'!B11:G11)=0,"",H456+NPV(G456,I456:M456))</f>
        <v>-226031340.340476</v>
      </c>
      <c r="P456" s="54" t="n">
        <f aca="true">RAND()</f>
        <v>0.363678439494245</v>
      </c>
      <c r="Q456" s="54" t="n">
        <f aca="true">RAND()</f>
        <v>0.981926813357222</v>
      </c>
      <c r="R456" s="54" t="n">
        <f aca="true">RAND()</f>
        <v>0.973103134860069</v>
      </c>
      <c r="S456" s="54" t="n">
        <f aca="true">RAND()</f>
        <v>0.243218990712574</v>
      </c>
      <c r="T456" s="54" t="n">
        <f aca="true">RAND()</f>
        <v>0.296215226098095</v>
      </c>
      <c r="U456" s="54" t="n">
        <f aca="true">RAND()</f>
        <v>0.249829405821084</v>
      </c>
    </row>
    <row r="457" customFormat="false" ht="15" hidden="false" customHeight="false" outlineLevel="0" collapsed="false">
      <c r="A457" s="50" t="n">
        <v>377</v>
      </c>
      <c r="B457" s="51" t="n">
        <f aca="false">1+IF($G$6=$E$6,$F$6,IF(P457&lt;($F$6-$E$6)/($G$6-$E$6),$E$6+SQRT(P457*($G$6-$E$6)*($F$6-$E$6)),$G$6-SQRT((1-P457)*($G$6-$E$6)*($G$6-$F$6))))</f>
        <v>0.980912295734352</v>
      </c>
      <c r="C457" s="51" t="n">
        <f aca="false">1+IF($G$7=$E$7,$F$7,IF(Q457&lt;($F$7-$E$7)/($G$7-$E$7),$E$7+SQRT(Q457*($G$7-$E$7)*($F$7-$E$7)),$G$7-SQRT((1-Q457)*($G$7-$E$7)*($G$7-$F$7))))</f>
        <v>0.906414649026499</v>
      </c>
      <c r="D457" s="51" t="n">
        <f aca="false">1+IF($G$8=$E$8,$F$8,IF(R457&lt;($F$8-$E$8)/($G$8-$E$8),$E$8+SQRT(R457*($G$8-$E$8)*($F$8-$E$8)),$G$8-SQRT((1-R457)*($G$8-$E$8)*($G$8-$F$8))))</f>
        <v>0.992194839560694</v>
      </c>
      <c r="E457" s="51" t="n">
        <f aca="false">1+IF($G$9=$E$9,$F$9,IF(S457&lt;($F$9-$E$9)/($G$9-$E$9),$E$9+SQRT(S457*($G$9-$E$9)*($F$9-$E$9)),$G$9-SQRT((1-S457)*($G$9-$E$9)*($G$9-$F$9))))</f>
        <v>1.00048371026917</v>
      </c>
      <c r="F457" s="51" t="n">
        <f aca="false">1+IF($G$10=$E$10,$F$10,IF(T457&lt;($F$10-$E$10)/($G$10-$E$10),$E$10+SQRT(T457*($G$10-$E$10)*($F$10-$E$10)),$G$10-SQRT((1-T457)*($G$10-$E$10)*($G$10-$F$10))))</f>
        <v>1.07469087604642</v>
      </c>
      <c r="G457" s="52" t="n">
        <f aca="false">IF($G$11=$E$11,$F$11,IF(U457&lt;($F$11-$E$11)/($G$11-$E$11),$E$11+SQRT(U457*($G$11-$E$11)*($F$11-$E$11)),$G$11-SQRT((1-U457)*($G$11-$E$11)*($G$11-$F$11))))</f>
        <v>0.0998720055227855</v>
      </c>
      <c r="H457" s="53" t="n">
        <f aca="false">(('Business Case'!B11*$C457*'Business Case'!B12*$B457)-'Business Case'!B11*$C457*'Business Case'!B13*$D457-'Business Case'!B14*$E457)-MAX(0,(('Business Case'!B11*$C457*'Business Case'!B12*$B457)-'Business Case'!B11*$C457*'Business Case'!B13*$D457-'Business Case'!B14*$E457))*'Business Case'!$B$7-'Business Case'!$B$8*('Business Case'!B11*$C457*'Business Case'!B12*$B457)-'Business Case'!B15*$F457</f>
        <v>-2149381752.09284</v>
      </c>
      <c r="I457" s="53" t="n">
        <f aca="false">(('Business Case'!C11*$C457*'Business Case'!C12*$B457)-'Business Case'!C11*$C457*'Business Case'!C13*$D457-'Business Case'!C14*$E457)-MAX(0,(('Business Case'!C11*$C457*'Business Case'!C12*$B457)-'Business Case'!C11*$C457*'Business Case'!C13*$D457-'Business Case'!C14*$E457))*'Business Case'!$B$7-'Business Case'!$B$8*(('Business Case'!C11*$C457*'Business Case'!C12*$B457)-('Business Case'!B11*$C457*'Business Case'!B12*$B457))-'Business Case'!C15*$F457</f>
        <v>-27971816.2503012</v>
      </c>
      <c r="J457" s="53" t="n">
        <f aca="false">(('Business Case'!D11*$C457*'Business Case'!D12*$B457)-'Business Case'!D11*$C457*'Business Case'!D13*$D457-'Business Case'!D14*$E457)-MAX(0,(('Business Case'!D11*$C457*'Business Case'!D12*$B457)-'Business Case'!D11*$C457*'Business Case'!D13*$D457-'Business Case'!D14*$E457))*'Business Case'!$B$7-'Business Case'!$B$8*(('Business Case'!D11*$C457*'Business Case'!D12*$B457)-('Business Case'!C11*$C457*'Business Case'!C12*$B457))-'Business Case'!D15*$F457</f>
        <v>239885870.842153</v>
      </c>
      <c r="K457" s="53" t="n">
        <f aca="false">(('Business Case'!E11*$C457*'Business Case'!E12*$B457)-'Business Case'!E11*$C457*'Business Case'!E13*$D457-'Business Case'!E14*$E457)-MAX(0,(('Business Case'!E11*$C457*'Business Case'!E12*$B457)-'Business Case'!E11*$C457*'Business Case'!E13*$D457-'Business Case'!E14*$E457))*'Business Case'!$B$7-'Business Case'!$B$8*(('Business Case'!E11*$C457*'Business Case'!E12*$B457)-('Business Case'!D11*$C457*'Business Case'!D12*$B457))-'Business Case'!E15*$F457</f>
        <v>561478101.736928</v>
      </c>
      <c r="L457" s="53" t="n">
        <f aca="false">(('Business Case'!F11*$C457*'Business Case'!F12*$B457)-'Business Case'!F11*$C457*'Business Case'!F13*$D457-'Business Case'!F14*$E457)-MAX(0,(('Business Case'!F11*$C457*'Business Case'!F12*$B457)-'Business Case'!F11*$C457*'Business Case'!F13*$D457-'Business Case'!F14*$E457))*'Business Case'!$B$7-'Business Case'!$B$8*(('Business Case'!F11*$C457*'Business Case'!F12*$B457)-('Business Case'!E11*$C457*'Business Case'!E12*$B457))-'Business Case'!F15*$F457</f>
        <v>681491752.192971</v>
      </c>
      <c r="M457" s="53" t="n">
        <f aca="false">(('Business Case'!G11*$C457*'Business Case'!G12*$B457)-'Business Case'!G11*$C457*'Business Case'!G13*$D457-'Business Case'!G14*$E457)-MAX(0,(('Business Case'!G11*$C457*'Business Case'!G12*$B457)-'Business Case'!G11*$C457*'Business Case'!G13*$D457-'Business Case'!G14*$E457))*'Business Case'!$B$7-'Business Case'!$B$8*(('Business Case'!G11*$C457*'Business Case'!G12*$B457)-('Business Case'!F11*$C457*'Business Case'!F12*$B457))-'Business Case'!G15*$F457+'Business Case'!$B$8*('Business Case'!G11*$C457*'Business Case'!G12*$B457)</f>
        <v>850494403.365039</v>
      </c>
      <c r="N457" s="53" t="n">
        <f aca="false">IF(COUNT('Business Case'!B11:G11)=0,"",H457+NPV(G457,I457:M457))</f>
        <v>-560438404.426529</v>
      </c>
      <c r="P457" s="54" t="n">
        <f aca="true">RAND()</f>
        <v>0.386490392878033</v>
      </c>
      <c r="Q457" s="54" t="n">
        <f aca="true">RAND()</f>
        <v>0.161772536106184</v>
      </c>
      <c r="R457" s="54" t="n">
        <f aca="true">RAND()</f>
        <v>0.273908382392727</v>
      </c>
      <c r="S457" s="54" t="n">
        <f aca="true">RAND()</f>
        <v>0.339767205213981</v>
      </c>
      <c r="T457" s="54" t="n">
        <f aca="true">RAND()</f>
        <v>0.685952469079733</v>
      </c>
      <c r="U457" s="54" t="n">
        <f aca="true">RAND()</f>
        <v>0.324854976806358</v>
      </c>
    </row>
    <row r="458" customFormat="false" ht="15" hidden="false" customHeight="false" outlineLevel="0" collapsed="false">
      <c r="A458" s="50" t="n">
        <v>378</v>
      </c>
      <c r="B458" s="51" t="n">
        <f aca="false">1+IF($G$6=$E$6,$F$6,IF(P458&lt;($F$6-$E$6)/($G$6-$E$6),$E$6+SQRT(P458*($G$6-$E$6)*($F$6-$E$6)),$G$6-SQRT((1-P458)*($G$6-$E$6)*($G$6-$F$6))))</f>
        <v>1.02904172814514</v>
      </c>
      <c r="C458" s="51" t="n">
        <f aca="false">1+IF($G$7=$E$7,$F$7,IF(Q458&lt;($F$7-$E$7)/($G$7-$E$7),$E$7+SQRT(Q458*($G$7-$E$7)*($F$7-$E$7)),$G$7-SQRT((1-Q458)*($G$7-$E$7)*($G$7-$F$7))))</f>
        <v>0.985801629654417</v>
      </c>
      <c r="D458" s="51" t="n">
        <f aca="false">1+IF($G$8=$E$8,$F$8,IF(R458&lt;($F$8-$E$8)/($G$8-$E$8),$E$8+SQRT(R458*($G$8-$E$8)*($F$8-$E$8)),$G$8-SQRT((1-R458)*($G$8-$E$8)*($G$8-$F$8))))</f>
        <v>0.999147812664226</v>
      </c>
      <c r="E458" s="51" t="n">
        <f aca="false">1+IF($G$9=$E$9,$F$9,IF(S458&lt;($F$9-$E$9)/($G$9-$E$9),$E$9+SQRT(S458*($G$9-$E$9)*($F$9-$E$9)),$G$9-SQRT((1-S458)*($G$9-$E$9)*($G$9-$F$9))))</f>
        <v>1.07942062114052</v>
      </c>
      <c r="F458" s="51" t="n">
        <f aca="false">1+IF($G$10=$E$10,$F$10,IF(T458&lt;($F$10-$E$10)/($G$10-$E$10),$E$10+SQRT(T458*($G$10-$E$10)*($F$10-$E$10)),$G$10-SQRT((1-T458)*($G$10-$E$10)*($G$10-$F$10))))</f>
        <v>1.07543120663822</v>
      </c>
      <c r="G458" s="52" t="n">
        <f aca="false">IF($G$11=$E$11,$F$11,IF(U458&lt;($F$11-$E$11)/($G$11-$E$11),$E$11+SQRT(U458*($G$11-$E$11)*($F$11-$E$11)),$G$11-SQRT((1-U458)*($G$11-$E$11)*($G$11-$F$11))))</f>
        <v>0.10600058167549</v>
      </c>
      <c r="H458" s="53" t="n">
        <f aca="false">(('Business Case'!B11*$C458*'Business Case'!B12*$B458)-'Business Case'!B11*$C458*'Business Case'!B13*$D458-'Business Case'!B14*$E458)-MAX(0,(('Business Case'!B11*$C458*'Business Case'!B12*$B458)-'Business Case'!B11*$C458*'Business Case'!B13*$D458-'Business Case'!B14*$E458))*'Business Case'!$B$7-'Business Case'!$B$8*('Business Case'!B11*$C458*'Business Case'!B12*$B458)-'Business Case'!B15*$F458</f>
        <v>-2150862413.27645</v>
      </c>
      <c r="I458" s="53" t="n">
        <f aca="false">(('Business Case'!C11*$C458*'Business Case'!C12*$B458)-'Business Case'!C11*$C458*'Business Case'!C13*$D458-'Business Case'!C14*$E458)-MAX(0,(('Business Case'!C11*$C458*'Business Case'!C12*$B458)-'Business Case'!C11*$C458*'Business Case'!C13*$D458-'Business Case'!C14*$E458))*'Business Case'!$B$7-'Business Case'!$B$8*(('Business Case'!C11*$C458*'Business Case'!C12*$B458)-('Business Case'!B11*$C458*'Business Case'!B12*$B458))-'Business Case'!C15*$F458</f>
        <v>13045689.0842727</v>
      </c>
      <c r="J458" s="53" t="n">
        <f aca="false">(('Business Case'!D11*$C458*'Business Case'!D12*$B458)-'Business Case'!D11*$C458*'Business Case'!D13*$D458-'Business Case'!D14*$E458)-MAX(0,(('Business Case'!D11*$C458*'Business Case'!D12*$B458)-'Business Case'!D11*$C458*'Business Case'!D13*$D458-'Business Case'!D14*$E458))*'Business Case'!$B$7-'Business Case'!$B$8*(('Business Case'!D11*$C458*'Business Case'!D12*$B458)-('Business Case'!C11*$C458*'Business Case'!C12*$B458))-'Business Case'!D15*$F458</f>
        <v>339716214.851105</v>
      </c>
      <c r="K458" s="53" t="n">
        <f aca="false">(('Business Case'!E11*$C458*'Business Case'!E12*$B458)-'Business Case'!E11*$C458*'Business Case'!E13*$D458-'Business Case'!E14*$E458)-MAX(0,(('Business Case'!E11*$C458*'Business Case'!E12*$B458)-'Business Case'!E11*$C458*'Business Case'!E13*$D458-'Business Case'!E14*$E458))*'Business Case'!$B$7-'Business Case'!$B$8*(('Business Case'!E11*$C458*'Business Case'!E12*$B458)-('Business Case'!D11*$C458*'Business Case'!D12*$B458))-'Business Case'!E15*$F458</f>
        <v>720158300.949848</v>
      </c>
      <c r="L458" s="53" t="n">
        <f aca="false">(('Business Case'!F11*$C458*'Business Case'!F12*$B458)-'Business Case'!F11*$C458*'Business Case'!F13*$D458-'Business Case'!F14*$E458)-MAX(0,(('Business Case'!F11*$C458*'Business Case'!F12*$B458)-'Business Case'!F11*$C458*'Business Case'!F13*$D458-'Business Case'!F14*$E458))*'Business Case'!$B$7-'Business Case'!$B$8*(('Business Case'!F11*$C458*'Business Case'!F12*$B458)-('Business Case'!E11*$C458*'Business Case'!E12*$B458))-'Business Case'!F15*$F458</f>
        <v>864107212.000495</v>
      </c>
      <c r="M458" s="53" t="n">
        <f aca="false">(('Business Case'!G11*$C458*'Business Case'!G12*$B458)-'Business Case'!G11*$C458*'Business Case'!G13*$D458-'Business Case'!G14*$E458)-MAX(0,(('Business Case'!G11*$C458*'Business Case'!G12*$B458)-'Business Case'!G11*$C458*'Business Case'!G13*$D458-'Business Case'!G14*$E458))*'Business Case'!$B$7-'Business Case'!$B$8*(('Business Case'!G11*$C458*'Business Case'!G12*$B458)-('Business Case'!F11*$C458*'Business Case'!F12*$B458))-'Business Case'!G15*$F458+'Business Case'!$B$8*('Business Case'!G11*$C458*'Business Case'!G12*$B458)</f>
        <v>1056930258.8732</v>
      </c>
      <c r="N458" s="53" t="n">
        <f aca="false">IF(COUNT('Business Case'!B11:G11)=0,"",H458+NPV(G458,I458:M458))</f>
        <v>-112889316.246566</v>
      </c>
      <c r="P458" s="54" t="n">
        <f aca="true">RAND()</f>
        <v>0.974982557907266</v>
      </c>
      <c r="Q458" s="54" t="n">
        <f aca="true">RAND()</f>
        <v>0.493174936889099</v>
      </c>
      <c r="R458" s="54" t="n">
        <f aca="true">RAND()</f>
        <v>0.371616536873517</v>
      </c>
      <c r="S458" s="54" t="n">
        <f aca="true">RAND()</f>
        <v>0.97176594438386</v>
      </c>
      <c r="T458" s="54" t="n">
        <f aca="true">RAND()</f>
        <v>0.689652314407816</v>
      </c>
      <c r="U458" s="54" t="n">
        <f aca="true">RAND()</f>
        <v>0.673360477625611</v>
      </c>
    </row>
    <row r="459" customFormat="false" ht="15" hidden="false" customHeight="false" outlineLevel="0" collapsed="false">
      <c r="A459" s="50" t="n">
        <v>379</v>
      </c>
      <c r="B459" s="51" t="n">
        <f aca="false">1+IF($G$6=$E$6,$F$6,IF(P459&lt;($F$6-$E$6)/($G$6-$E$6),$E$6+SQRT(P459*($G$6-$E$6)*($F$6-$E$6)),$G$6-SQRT((1-P459)*($G$6-$E$6)*($G$6-$F$6))))</f>
        <v>0.978117037118845</v>
      </c>
      <c r="C459" s="51" t="n">
        <f aca="false">1+IF($G$7=$E$7,$F$7,IF(Q459&lt;($F$7-$E$7)/($G$7-$E$7),$E$7+SQRT(Q459*($G$7-$E$7)*($F$7-$E$7)),$G$7-SQRT((1-Q459)*($G$7-$E$7)*($G$7-$F$7))))</f>
        <v>0.930200215209784</v>
      </c>
      <c r="D459" s="51" t="n">
        <f aca="false">1+IF($G$8=$E$8,$F$8,IF(R459&lt;($F$8-$E$8)/($G$8-$E$8),$E$8+SQRT(R459*($G$8-$E$8)*($F$8-$E$8)),$G$8-SQRT((1-R459)*($G$8-$E$8)*($G$8-$F$8))))</f>
        <v>0.998823412371009</v>
      </c>
      <c r="E459" s="51" t="n">
        <f aca="false">1+IF($G$9=$E$9,$F$9,IF(S459&lt;($F$9-$E$9)/($G$9-$E$9),$E$9+SQRT(S459*($G$9-$E$9)*($F$9-$E$9)),$G$9-SQRT((1-S459)*($G$9-$E$9)*($G$9-$F$9))))</f>
        <v>1.05959966387148</v>
      </c>
      <c r="F459" s="51" t="n">
        <f aca="false">1+IF($G$10=$E$10,$F$10,IF(T459&lt;($F$10-$E$10)/($G$10-$E$10),$E$10+SQRT(T459*($G$10-$E$10)*($F$10-$E$10)),$G$10-SQRT((1-T459)*($G$10-$E$10)*($G$10-$F$10))))</f>
        <v>1.09542573558781</v>
      </c>
      <c r="G459" s="52" t="n">
        <f aca="false">IF($G$11=$E$11,$F$11,IF(U459&lt;($F$11-$E$11)/($G$11-$E$11),$E$11+SQRT(U459*($G$11-$E$11)*($F$11-$E$11)),$G$11-SQRT((1-U459)*($G$11-$E$11)*($G$11-$F$11))))</f>
        <v>0.0944152148916579</v>
      </c>
      <c r="H459" s="53" t="n">
        <f aca="false">(('Business Case'!B11*$C459*'Business Case'!B12*$B459)-'Business Case'!B11*$C459*'Business Case'!B13*$D459-'Business Case'!B14*$E459)-MAX(0,(('Business Case'!B11*$C459*'Business Case'!B12*$B459)-'Business Case'!B11*$C459*'Business Case'!B13*$D459-'Business Case'!B14*$E459))*'Business Case'!$B$7-'Business Case'!$B$8*('Business Case'!B11*$C459*'Business Case'!B12*$B459)-'Business Case'!B15*$F459</f>
        <v>-2190851471.17562</v>
      </c>
      <c r="I459" s="53" t="n">
        <f aca="false">(('Business Case'!C11*$C459*'Business Case'!C12*$B459)-'Business Case'!C11*$C459*'Business Case'!C13*$D459-'Business Case'!C14*$E459)-MAX(0,(('Business Case'!C11*$C459*'Business Case'!C12*$B459)-'Business Case'!C11*$C459*'Business Case'!C13*$D459-'Business Case'!C14*$E459))*'Business Case'!$B$7-'Business Case'!$B$8*(('Business Case'!C11*$C459*'Business Case'!C12*$B459)-('Business Case'!B11*$C459*'Business Case'!B12*$B459))-'Business Case'!C15*$F459</f>
        <v>-37783510.5909183</v>
      </c>
      <c r="J459" s="53" t="n">
        <f aca="false">(('Business Case'!D11*$C459*'Business Case'!D12*$B459)-'Business Case'!D11*$C459*'Business Case'!D13*$D459-'Business Case'!D14*$E459)-MAX(0,(('Business Case'!D11*$C459*'Business Case'!D12*$B459)-'Business Case'!D11*$C459*'Business Case'!D13*$D459-'Business Case'!D14*$E459))*'Business Case'!$B$7-'Business Case'!$B$8*(('Business Case'!D11*$C459*'Business Case'!D12*$B459)-('Business Case'!C11*$C459*'Business Case'!C12*$B459))-'Business Case'!D15*$F459</f>
        <v>231816972.709192</v>
      </c>
      <c r="K459" s="53" t="n">
        <f aca="false">(('Business Case'!E11*$C459*'Business Case'!E12*$B459)-'Business Case'!E11*$C459*'Business Case'!E13*$D459-'Business Case'!E14*$E459)-MAX(0,(('Business Case'!E11*$C459*'Business Case'!E12*$B459)-'Business Case'!E11*$C459*'Business Case'!E13*$D459-'Business Case'!E14*$E459))*'Business Case'!$B$7-'Business Case'!$B$8*(('Business Case'!E11*$C459*'Business Case'!E12*$B459)-('Business Case'!D11*$C459*'Business Case'!D12*$B459))-'Business Case'!E15*$F459</f>
        <v>556188742.788693</v>
      </c>
      <c r="L459" s="53" t="n">
        <f aca="false">(('Business Case'!F11*$C459*'Business Case'!F12*$B459)-'Business Case'!F11*$C459*'Business Case'!F13*$D459-'Business Case'!F14*$E459)-MAX(0,(('Business Case'!F11*$C459*'Business Case'!F12*$B459)-'Business Case'!F11*$C459*'Business Case'!F13*$D459-'Business Case'!F14*$E459))*'Business Case'!$B$7-'Business Case'!$B$8*(('Business Case'!F11*$C459*'Business Case'!F12*$B459)-('Business Case'!E11*$C459*'Business Case'!E12*$B459))-'Business Case'!F15*$F459</f>
        <v>677499802.641879</v>
      </c>
      <c r="M459" s="53" t="n">
        <f aca="false">(('Business Case'!G11*$C459*'Business Case'!G12*$B459)-'Business Case'!G11*$C459*'Business Case'!G13*$D459-'Business Case'!G14*$E459)-MAX(0,(('Business Case'!G11*$C459*'Business Case'!G12*$B459)-'Business Case'!G11*$C459*'Business Case'!G13*$D459-'Business Case'!G14*$E459))*'Business Case'!$B$7-'Business Case'!$B$8*(('Business Case'!G11*$C459*'Business Case'!G12*$B459)-('Business Case'!F11*$C459*'Business Case'!F12*$B459))-'Business Case'!G15*$F459+'Business Case'!$B$8*('Business Case'!G11*$C459*'Business Case'!G12*$B459)</f>
        <v>850443079.117531</v>
      </c>
      <c r="N459" s="53" t="n">
        <f aca="false">IF(COUNT('Business Case'!B11:G11)=0,"",H459+NPV(G459,I459:M459))</f>
        <v>-593598795.945817</v>
      </c>
      <c r="P459" s="54" t="n">
        <f aca="true">RAND()</f>
        <v>0.351832292028457</v>
      </c>
      <c r="Q459" s="54" t="n">
        <f aca="true">RAND()</f>
        <v>0.242172800581058</v>
      </c>
      <c r="R459" s="54" t="n">
        <f aca="true">RAND()</f>
        <v>0.366727014699931</v>
      </c>
      <c r="S459" s="54" t="n">
        <f aca="true">RAND()</f>
        <v>0.891187522713494</v>
      </c>
      <c r="T459" s="54" t="n">
        <f aca="true">RAND()</f>
        <v>0.781284464452987</v>
      </c>
      <c r="U459" s="54" t="n">
        <f aca="true">RAND()</f>
        <v>0.06498040846506</v>
      </c>
    </row>
    <row r="460" customFormat="false" ht="15" hidden="false" customHeight="false" outlineLevel="0" collapsed="false">
      <c r="A460" s="50" t="n">
        <v>380</v>
      </c>
      <c r="B460" s="51" t="n">
        <f aca="false">1+IF($G$6=$E$6,$F$6,IF(P460&lt;($F$6-$E$6)/($G$6-$E$6),$E$6+SQRT(P460*($G$6-$E$6)*($F$6-$E$6)),$G$6-SQRT((1-P460)*($G$6-$E$6)*($G$6-$F$6))))</f>
        <v>0.996053321410403</v>
      </c>
      <c r="C460" s="51" t="n">
        <f aca="false">1+IF($G$7=$E$7,$F$7,IF(Q460&lt;($F$7-$E$7)/($G$7-$E$7),$E$7+SQRT(Q460*($G$7-$E$7)*($F$7-$E$7)),$G$7-SQRT((1-Q460)*($G$7-$E$7)*($G$7-$F$7))))</f>
        <v>0.987698373469065</v>
      </c>
      <c r="D460" s="51" t="n">
        <f aca="false">1+IF($G$8=$E$8,$F$8,IF(R460&lt;($F$8-$E$8)/($G$8-$E$8),$E$8+SQRT(R460*($G$8-$E$8)*($F$8-$E$8)),$G$8-SQRT((1-R460)*($G$8-$E$8)*($G$8-$F$8))))</f>
        <v>0.994030533899486</v>
      </c>
      <c r="E460" s="51" t="n">
        <f aca="false">1+IF($G$9=$E$9,$F$9,IF(S460&lt;($F$9-$E$9)/($G$9-$E$9),$E$9+SQRT(S460*($G$9-$E$9)*($F$9-$E$9)),$G$9-SQRT((1-S460)*($G$9-$E$9)*($G$9-$F$9))))</f>
        <v>0.993304806315486</v>
      </c>
      <c r="F460" s="51" t="n">
        <f aca="false">1+IF($G$10=$E$10,$F$10,IF(T460&lt;($F$10-$E$10)/($G$10-$E$10),$E$10+SQRT(T460*($G$10-$E$10)*($F$10-$E$10)),$G$10-SQRT((1-T460)*($G$10-$E$10)*($G$10-$F$10))))</f>
        <v>1.07672988324941</v>
      </c>
      <c r="G460" s="52" t="n">
        <f aca="false">IF($G$11=$E$11,$F$11,IF(U460&lt;($F$11-$E$11)/($G$11-$E$11),$E$11+SQRT(U460*($G$11-$E$11)*($F$11-$E$11)),$G$11-SQRT((1-U460)*($G$11-$E$11)*($G$11-$F$11))))</f>
        <v>0.11594893807205</v>
      </c>
      <c r="H460" s="53" t="n">
        <f aca="false">(('Business Case'!B11*$C460*'Business Case'!B12*$B460)-'Business Case'!B11*$C460*'Business Case'!B13*$D460-'Business Case'!B14*$E460)-MAX(0,(('Business Case'!B11*$C460*'Business Case'!B12*$B460)-'Business Case'!B11*$C460*'Business Case'!B13*$D460-'Business Case'!B14*$E460))*'Business Case'!$B$7-'Business Case'!$B$8*('Business Case'!B11*$C460*'Business Case'!B12*$B460)-'Business Case'!B15*$F460</f>
        <v>-2153459766.49881</v>
      </c>
      <c r="I460" s="53" t="n">
        <f aca="false">(('Business Case'!C11*$C460*'Business Case'!C12*$B460)-'Business Case'!C11*$C460*'Business Case'!C13*$D460-'Business Case'!C14*$E460)-MAX(0,(('Business Case'!C11*$C460*'Business Case'!C12*$B460)-'Business Case'!C11*$C460*'Business Case'!C13*$D460-'Business Case'!C14*$E460))*'Business Case'!$B$7-'Business Case'!$B$8*(('Business Case'!C11*$C460*'Business Case'!C12*$B460)-('Business Case'!B11*$C460*'Business Case'!B12*$B460))-'Business Case'!C15*$F460</f>
        <v>3277843.46428381</v>
      </c>
      <c r="J460" s="53" t="n">
        <f aca="false">(('Business Case'!D11*$C460*'Business Case'!D12*$B460)-'Business Case'!D11*$C460*'Business Case'!D13*$D460-'Business Case'!D14*$E460)-MAX(0,(('Business Case'!D11*$C460*'Business Case'!D12*$B460)-'Business Case'!D11*$C460*'Business Case'!D13*$D460-'Business Case'!D14*$E460))*'Business Case'!$B$7-'Business Case'!$B$8*(('Business Case'!D11*$C460*'Business Case'!D12*$B460)-('Business Case'!C11*$C460*'Business Case'!C12*$B460))-'Business Case'!D15*$F460</f>
        <v>306476823.435466</v>
      </c>
      <c r="K460" s="53" t="n">
        <f aca="false">(('Business Case'!E11*$C460*'Business Case'!E12*$B460)-'Business Case'!E11*$C460*'Business Case'!E13*$D460-'Business Case'!E14*$E460)-MAX(0,(('Business Case'!E11*$C460*'Business Case'!E12*$B460)-'Business Case'!E11*$C460*'Business Case'!E13*$D460-'Business Case'!E14*$E460))*'Business Case'!$B$7-'Business Case'!$B$8*(('Business Case'!E11*$C460*'Business Case'!E12*$B460)-('Business Case'!D11*$C460*'Business Case'!D12*$B460))-'Business Case'!E15*$F460</f>
        <v>663512297.569118</v>
      </c>
      <c r="L460" s="53" t="n">
        <f aca="false">(('Business Case'!F11*$C460*'Business Case'!F12*$B460)-'Business Case'!F11*$C460*'Business Case'!F13*$D460-'Business Case'!F14*$E460)-MAX(0,(('Business Case'!F11*$C460*'Business Case'!F12*$B460)-'Business Case'!F11*$C460*'Business Case'!F13*$D460-'Business Case'!F14*$E460))*'Business Case'!$B$7-'Business Case'!$B$8*(('Business Case'!F11*$C460*'Business Case'!F12*$B460)-('Business Case'!E11*$C460*'Business Case'!E12*$B460))-'Business Case'!F15*$F460</f>
        <v>798578760.708776</v>
      </c>
      <c r="M460" s="53" t="n">
        <f aca="false">(('Business Case'!G11*$C460*'Business Case'!G12*$B460)-'Business Case'!G11*$C460*'Business Case'!G13*$D460-'Business Case'!G14*$E460)-MAX(0,(('Business Case'!G11*$C460*'Business Case'!G12*$B460)-'Business Case'!G11*$C460*'Business Case'!G13*$D460-'Business Case'!G14*$E460))*'Business Case'!$B$7-'Business Case'!$B$8*(('Business Case'!G11*$C460*'Business Case'!G12*$B460)-('Business Case'!F11*$C460*'Business Case'!F12*$B460))-'Business Case'!G15*$F460+'Business Case'!$B$8*('Business Case'!G11*$C460*'Business Case'!G12*$B460)</f>
        <v>985579511.36306</v>
      </c>
      <c r="N460" s="53" t="n">
        <f aca="false">IF(COUNT('Business Case'!B11:G11)=0,"",H460+NPV(G460,I460:M460))</f>
        <v>-342597271.576111</v>
      </c>
      <c r="P460" s="54" t="n">
        <f aca="true">RAND()</f>
        <v>0.602511218495215</v>
      </c>
      <c r="Q460" s="54" t="n">
        <f aca="true">RAND()</f>
        <v>0.503295420041892</v>
      </c>
      <c r="R460" s="54" t="n">
        <f aca="true">RAND()</f>
        <v>0.298259679303655</v>
      </c>
      <c r="S460" s="54" t="n">
        <f aca="true">RAND()</f>
        <v>0.250040833336237</v>
      </c>
      <c r="T460" s="54" t="n">
        <f aca="true">RAND()</f>
        <v>0.696089566325902</v>
      </c>
      <c r="U460" s="54" t="n">
        <f aca="true">RAND()</f>
        <v>0.972648162093192</v>
      </c>
    </row>
    <row r="461" customFormat="false" ht="15" hidden="false" customHeight="false" outlineLevel="0" collapsed="false">
      <c r="A461" s="50" t="n">
        <v>381</v>
      </c>
      <c r="B461" s="51" t="n">
        <f aca="false">1+IF($G$6=$E$6,$F$6,IF(P461&lt;($F$6-$E$6)/($G$6-$E$6),$E$6+SQRT(P461*($G$6-$E$6)*($F$6-$E$6)),$G$6-SQRT((1-P461)*($G$6-$E$6)*($G$6-$F$6))))</f>
        <v>1.03267485704969</v>
      </c>
      <c r="C461" s="51" t="n">
        <f aca="false">1+IF($G$7=$E$7,$F$7,IF(Q461&lt;($F$7-$E$7)/($G$7-$E$7),$E$7+SQRT(Q461*($G$7-$E$7)*($F$7-$E$7)),$G$7-SQRT((1-Q461)*($G$7-$E$7)*($G$7-$F$7))))</f>
        <v>1.00146043899896</v>
      </c>
      <c r="D461" s="51" t="n">
        <f aca="false">1+IF($G$8=$E$8,$F$8,IF(R461&lt;($F$8-$E$8)/($G$8-$E$8),$E$8+SQRT(R461*($G$8-$E$8)*($F$8-$E$8)),$G$8-SQRT((1-R461)*($G$8-$E$8)*($G$8-$F$8))))</f>
        <v>1.01665753390378</v>
      </c>
      <c r="E461" s="51" t="n">
        <f aca="false">1+IF($G$9=$E$9,$F$9,IF(S461&lt;($F$9-$E$9)/($G$9-$E$9),$E$9+SQRT(S461*($G$9-$E$9)*($F$9-$E$9)),$G$9-SQRT((1-S461)*($G$9-$E$9)*($G$9-$F$9))))</f>
        <v>1.01401011503098</v>
      </c>
      <c r="F461" s="51" t="n">
        <f aca="false">1+IF($G$10=$E$10,$F$10,IF(T461&lt;($F$10-$E$10)/($G$10-$E$10),$E$10+SQRT(T461*($G$10-$E$10)*($F$10-$E$10)),$G$10-SQRT((1-T461)*($G$10-$E$10)*($G$10-$F$10))))</f>
        <v>1.04029433661081</v>
      </c>
      <c r="G461" s="52" t="n">
        <f aca="false">IF($G$11=$E$11,$F$11,IF(U461&lt;($F$11-$E$11)/($G$11-$E$11),$E$11+SQRT(U461*($G$11-$E$11)*($F$11-$E$11)),$G$11-SQRT((1-U461)*($G$11-$E$11)*($G$11-$F$11))))</f>
        <v>0.101661491250295</v>
      </c>
      <c r="H461" s="53" t="n">
        <f aca="false">(('Business Case'!B11*$C461*'Business Case'!B12*$B461)-'Business Case'!B11*$C461*'Business Case'!B13*$D461-'Business Case'!B14*$E461)-MAX(0,(('Business Case'!B11*$C461*'Business Case'!B12*$B461)-'Business Case'!B11*$C461*'Business Case'!B13*$D461-'Business Case'!B14*$E461))*'Business Case'!$B$7-'Business Case'!$B$8*('Business Case'!B11*$C461*'Business Case'!B12*$B461)-'Business Case'!B15*$F461</f>
        <v>-2080588673.22162</v>
      </c>
      <c r="I461" s="53" t="n">
        <f aca="false">(('Business Case'!C11*$C461*'Business Case'!C12*$B461)-'Business Case'!C11*$C461*'Business Case'!C13*$D461-'Business Case'!C14*$E461)-MAX(0,(('Business Case'!C11*$C461*'Business Case'!C12*$B461)-'Business Case'!C11*$C461*'Business Case'!C13*$D461-'Business Case'!C14*$E461))*'Business Case'!$B$7-'Business Case'!$B$8*(('Business Case'!C11*$C461*'Business Case'!C12*$B461)-('Business Case'!B11*$C461*'Business Case'!B12*$B461))-'Business Case'!C15*$F461</f>
        <v>24029225.1449146</v>
      </c>
      <c r="J461" s="53" t="n">
        <f aca="false">(('Business Case'!D11*$C461*'Business Case'!D12*$B461)-'Business Case'!D11*$C461*'Business Case'!D13*$D461-'Business Case'!D14*$E461)-MAX(0,(('Business Case'!D11*$C461*'Business Case'!D12*$B461)-'Business Case'!D11*$C461*'Business Case'!D13*$D461-'Business Case'!D14*$E461))*'Business Case'!$B$7-'Business Case'!$B$8*(('Business Case'!D11*$C461*'Business Case'!D12*$B461)-('Business Case'!C11*$C461*'Business Case'!C12*$B461))-'Business Case'!D15*$F461</f>
        <v>349892169.841384</v>
      </c>
      <c r="K461" s="53" t="n">
        <f aca="false">(('Business Case'!E11*$C461*'Business Case'!E12*$B461)-'Business Case'!E11*$C461*'Business Case'!E13*$D461-'Business Case'!E14*$E461)-MAX(0,(('Business Case'!E11*$C461*'Business Case'!E12*$B461)-'Business Case'!E11*$C461*'Business Case'!E13*$D461-'Business Case'!E14*$E461))*'Business Case'!$B$7-'Business Case'!$B$8*(('Business Case'!E11*$C461*'Business Case'!E12*$B461)-('Business Case'!D11*$C461*'Business Case'!D12*$B461))-'Business Case'!E15*$F461</f>
        <v>727769831.368394</v>
      </c>
      <c r="L461" s="53" t="n">
        <f aca="false">(('Business Case'!F11*$C461*'Business Case'!F12*$B461)-'Business Case'!F11*$C461*'Business Case'!F13*$D461-'Business Case'!F14*$E461)-MAX(0,(('Business Case'!F11*$C461*'Business Case'!F12*$B461)-'Business Case'!F11*$C461*'Business Case'!F13*$D461-'Business Case'!F14*$E461))*'Business Case'!$B$7-'Business Case'!$B$8*(('Business Case'!F11*$C461*'Business Case'!F12*$B461)-('Business Case'!E11*$C461*'Business Case'!E12*$B461))-'Business Case'!F15*$F461</f>
        <v>872132177.955929</v>
      </c>
      <c r="M461" s="53" t="n">
        <f aca="false">(('Business Case'!G11*$C461*'Business Case'!G12*$B461)-'Business Case'!G11*$C461*'Business Case'!G13*$D461-'Business Case'!G14*$E461)-MAX(0,(('Business Case'!G11*$C461*'Business Case'!G12*$B461)-'Business Case'!G11*$C461*'Business Case'!G13*$D461-'Business Case'!G14*$E461))*'Business Case'!$B$7-'Business Case'!$B$8*(('Business Case'!G11*$C461*'Business Case'!G12*$B461)-('Business Case'!F11*$C461*'Business Case'!F12*$B461))-'Business Case'!G15*$F461+'Business Case'!$B$8*('Business Case'!G11*$C461*'Business Case'!G12*$B461)</f>
        <v>1068709685.57718</v>
      </c>
      <c r="N461" s="53" t="n">
        <f aca="false">IF(COUNT('Business Case'!B11:G11)=0,"",H461+NPV(G461,I461:M461))</f>
        <v>24521010.5709422</v>
      </c>
      <c r="P461" s="54" t="n">
        <f aca="true">RAND()</f>
        <v>0.988821308491161</v>
      </c>
      <c r="Q461" s="54" t="n">
        <f aca="true">RAND()</f>
        <v>0.579733310811792</v>
      </c>
      <c r="R461" s="54" t="n">
        <f aca="true">RAND()</f>
        <v>0.614204998927766</v>
      </c>
      <c r="S461" s="54" t="n">
        <f aca="true">RAND()</f>
        <v>0.507049312201033</v>
      </c>
      <c r="T461" s="54" t="n">
        <f aca="true">RAND()</f>
        <v>0.489882021628371</v>
      </c>
      <c r="U461" s="54" t="n">
        <f aca="true">RAND()</f>
        <v>0.439498494728347</v>
      </c>
    </row>
    <row r="462" customFormat="false" ht="15" hidden="false" customHeight="false" outlineLevel="0" collapsed="false">
      <c r="A462" s="50" t="n">
        <v>382</v>
      </c>
      <c r="B462" s="51" t="n">
        <f aca="false">1+IF($G$6=$E$6,$F$6,IF(P462&lt;($F$6-$E$6)/($G$6-$E$6),$E$6+SQRT(P462*($G$6-$E$6)*($F$6-$E$6)),$G$6-SQRT((1-P462)*($G$6-$E$6)*($G$6-$F$6))))</f>
        <v>0.990994436477111</v>
      </c>
      <c r="C462" s="51" t="n">
        <f aca="false">1+IF($G$7=$E$7,$F$7,IF(Q462&lt;($F$7-$E$7)/($G$7-$E$7),$E$7+SQRT(Q462*($G$7-$E$7)*($F$7-$E$7)),$G$7-SQRT((1-Q462)*($G$7-$E$7)*($G$7-$F$7))))</f>
        <v>0.881733728143022</v>
      </c>
      <c r="D462" s="51" t="n">
        <f aca="false">1+IF($G$8=$E$8,$F$8,IF(R462&lt;($F$8-$E$8)/($G$8-$E$8),$E$8+SQRT(R462*($G$8-$E$8)*($F$8-$E$8)),$G$8-SQRT((1-R462)*($G$8-$E$8)*($G$8-$F$8))))</f>
        <v>1.0632582461888</v>
      </c>
      <c r="E462" s="51" t="n">
        <f aca="false">1+IF($G$9=$E$9,$F$9,IF(S462&lt;($F$9-$E$9)/($G$9-$E$9),$E$9+SQRT(S462*($G$9-$E$9)*($F$9-$E$9)),$G$9-SQRT((1-S462)*($G$9-$E$9)*($G$9-$F$9))))</f>
        <v>1.04899485229074</v>
      </c>
      <c r="F462" s="51" t="n">
        <f aca="false">1+IF($G$10=$E$10,$F$10,IF(T462&lt;($F$10-$E$10)/($G$10-$E$10),$E$10+SQRT(T462*($G$10-$E$10)*($F$10-$E$10)),$G$10-SQRT((1-T462)*($G$10-$E$10)*($G$10-$F$10))))</f>
        <v>1.0778822221693</v>
      </c>
      <c r="G462" s="52" t="n">
        <f aca="false">IF($G$11=$E$11,$F$11,IF(U462&lt;($F$11-$E$11)/($G$11-$E$11),$E$11+SQRT(U462*($G$11-$E$11)*($F$11-$E$11)),$G$11-SQRT((1-U462)*($G$11-$E$11)*($G$11-$F$11))))</f>
        <v>0.104632688276915</v>
      </c>
      <c r="H462" s="53" t="n">
        <f aca="false">(('Business Case'!B11*$C462*'Business Case'!B12*$B462)-'Business Case'!B11*$C462*'Business Case'!B13*$D462-'Business Case'!B14*$E462)-MAX(0,(('Business Case'!B11*$C462*'Business Case'!B12*$B462)-'Business Case'!B11*$C462*'Business Case'!B13*$D462-'Business Case'!B14*$E462))*'Business Case'!$B$7-'Business Case'!$B$8*('Business Case'!B11*$C462*'Business Case'!B12*$B462)-'Business Case'!B15*$F462</f>
        <v>-2155764444.3386</v>
      </c>
      <c r="I462" s="53" t="n">
        <f aca="false">(('Business Case'!C11*$C462*'Business Case'!C12*$B462)-'Business Case'!C11*$C462*'Business Case'!C13*$D462-'Business Case'!C14*$E462)-MAX(0,(('Business Case'!C11*$C462*'Business Case'!C12*$B462)-'Business Case'!C11*$C462*'Business Case'!C13*$D462-'Business Case'!C14*$E462))*'Business Case'!$B$7-'Business Case'!$B$8*(('Business Case'!C11*$C462*'Business Case'!C12*$B462)-('Business Case'!B11*$C462*'Business Case'!B12*$B462))-'Business Case'!C15*$F462</f>
        <v>-66483626.910673</v>
      </c>
      <c r="J462" s="53" t="n">
        <f aca="false">(('Business Case'!D11*$C462*'Business Case'!D12*$B462)-'Business Case'!D11*$C462*'Business Case'!D13*$D462-'Business Case'!D14*$E462)-MAX(0,(('Business Case'!D11*$C462*'Business Case'!D12*$B462)-'Business Case'!D11*$C462*'Business Case'!D13*$D462-'Business Case'!D14*$E462))*'Business Case'!$B$7-'Business Case'!$B$8*(('Business Case'!D11*$C462*'Business Case'!D12*$B462)-('Business Case'!C11*$C462*'Business Case'!C12*$B462))-'Business Case'!D15*$F462</f>
        <v>169285476.866567</v>
      </c>
      <c r="K462" s="53" t="n">
        <f aca="false">(('Business Case'!E11*$C462*'Business Case'!E12*$B462)-'Business Case'!E11*$C462*'Business Case'!E13*$D462-'Business Case'!E14*$E462)-MAX(0,(('Business Case'!E11*$C462*'Business Case'!E12*$B462)-'Business Case'!E11*$C462*'Business Case'!E13*$D462-'Business Case'!E14*$E462))*'Business Case'!$B$7-'Business Case'!$B$8*(('Business Case'!E11*$C462*'Business Case'!E12*$B462)-('Business Case'!D11*$C462*'Business Case'!D12*$B462))-'Business Case'!E15*$F462</f>
        <v>458948691.752272</v>
      </c>
      <c r="L462" s="53" t="n">
        <f aca="false">(('Business Case'!F11*$C462*'Business Case'!F12*$B462)-'Business Case'!F11*$C462*'Business Case'!F13*$D462-'Business Case'!F14*$E462)-MAX(0,(('Business Case'!F11*$C462*'Business Case'!F12*$B462)-'Business Case'!F11*$C462*'Business Case'!F13*$D462-'Business Case'!F14*$E462))*'Business Case'!$B$7-'Business Case'!$B$8*(('Business Case'!F11*$C462*'Business Case'!F12*$B462)-('Business Case'!E11*$C462*'Business Case'!E12*$B462))-'Business Case'!F15*$F462</f>
        <v>567736686.661511</v>
      </c>
      <c r="M462" s="53" t="n">
        <f aca="false">(('Business Case'!G11*$C462*'Business Case'!G12*$B462)-'Business Case'!G11*$C462*'Business Case'!G13*$D462-'Business Case'!G14*$E462)-MAX(0,(('Business Case'!G11*$C462*'Business Case'!G12*$B462)-'Business Case'!G11*$C462*'Business Case'!G13*$D462-'Business Case'!G14*$E462))*'Business Case'!$B$7-'Business Case'!$B$8*(('Business Case'!G11*$C462*'Business Case'!G12*$B462)-('Business Case'!F11*$C462*'Business Case'!F12*$B462))-'Business Case'!G15*$F462+'Business Case'!$B$8*('Business Case'!G11*$C462*'Business Case'!G12*$B462)</f>
        <v>733827301.737386</v>
      </c>
      <c r="N462" s="53" t="n">
        <f aca="false">IF(COUNT('Business Case'!B11:G11)=0,"",H462+NPV(G462,I462:M462))</f>
        <v>-909239821.56157</v>
      </c>
      <c r="P462" s="54" t="n">
        <f aca="true">RAND()</f>
        <v>0.525021876114845</v>
      </c>
      <c r="Q462" s="54" t="n">
        <f aca="true">RAND()</f>
        <v>0.0954343188022494</v>
      </c>
      <c r="R462" s="54" t="n">
        <f aca="true">RAND()</f>
        <v>0.973049392242815</v>
      </c>
      <c r="S462" s="54" t="n">
        <f aca="true">RAND()</f>
        <v>0.82656499381047</v>
      </c>
      <c r="T462" s="54" t="n">
        <f aca="true">RAND()</f>
        <v>0.701744966753845</v>
      </c>
      <c r="U462" s="54" t="n">
        <f aca="true">RAND()</f>
        <v>0.606409550675905</v>
      </c>
    </row>
    <row r="463" customFormat="false" ht="15" hidden="false" customHeight="false" outlineLevel="0" collapsed="false">
      <c r="A463" s="50" t="n">
        <v>383</v>
      </c>
      <c r="B463" s="51" t="n">
        <f aca="false">1+IF($G$6=$E$6,$F$6,IF(P463&lt;($F$6-$E$6)/($G$6-$E$6),$E$6+SQRT(P463*($G$6-$E$6)*($F$6-$E$6)),$G$6-SQRT((1-P463)*($G$6-$E$6)*($G$6-$F$6))))</f>
        <v>1.00213245033803</v>
      </c>
      <c r="C463" s="51" t="n">
        <f aca="false">1+IF($G$7=$E$7,$F$7,IF(Q463&lt;($F$7-$E$7)/($G$7-$E$7),$E$7+SQRT(Q463*($G$7-$E$7)*($F$7-$E$7)),$G$7-SQRT((1-Q463)*($G$7-$E$7)*($G$7-$F$7))))</f>
        <v>1.04372250950555</v>
      </c>
      <c r="D463" s="51" t="n">
        <f aca="false">1+IF($G$8=$E$8,$F$8,IF(R463&lt;($F$8-$E$8)/($G$8-$E$8),$E$8+SQRT(R463*($G$8-$E$8)*($F$8-$E$8)),$G$8-SQRT((1-R463)*($G$8-$E$8)*($G$8-$F$8))))</f>
        <v>1.0125998656238</v>
      </c>
      <c r="E463" s="51" t="n">
        <f aca="false">1+IF($G$9=$E$9,$F$9,IF(S463&lt;($F$9-$E$9)/($G$9-$E$9),$E$9+SQRT(S463*($G$9-$E$9)*($F$9-$E$9)),$G$9-SQRT((1-S463)*($G$9-$E$9)*($G$9-$F$9))))</f>
        <v>1.01326961429364</v>
      </c>
      <c r="F463" s="51" t="n">
        <f aca="false">1+IF($G$10=$E$10,$F$10,IF(T463&lt;($F$10-$E$10)/($G$10-$E$10),$E$10+SQRT(T463*($G$10-$E$10)*($F$10-$E$10)),$G$10-SQRT((1-T463)*($G$10-$E$10)*($G$10-$F$10))))</f>
        <v>1.01139066149185</v>
      </c>
      <c r="G463" s="52" t="n">
        <f aca="false">IF($G$11=$E$11,$F$11,IF(U463&lt;($F$11-$E$11)/($G$11-$E$11),$E$11+SQRT(U463*($G$11-$E$11)*($F$11-$E$11)),$G$11-SQRT((1-U463)*($G$11-$E$11)*($G$11-$F$11))))</f>
        <v>0.101365590905872</v>
      </c>
      <c r="H463" s="53" t="n">
        <f aca="false">(('Business Case'!B11*$C463*'Business Case'!B12*$B463)-'Business Case'!B11*$C463*'Business Case'!B13*$D463-'Business Case'!B14*$E463)-MAX(0,(('Business Case'!B11*$C463*'Business Case'!B12*$B463)-'Business Case'!B11*$C463*'Business Case'!B13*$D463-'Business Case'!B14*$E463))*'Business Case'!$B$7-'Business Case'!$B$8*('Business Case'!B11*$C463*'Business Case'!B12*$B463)-'Business Case'!B15*$F463</f>
        <v>-2022781322.98369</v>
      </c>
      <c r="I463" s="53" t="n">
        <f aca="false">(('Business Case'!C11*$C463*'Business Case'!C12*$B463)-'Business Case'!C11*$C463*'Business Case'!C13*$D463-'Business Case'!C14*$E463)-MAX(0,(('Business Case'!C11*$C463*'Business Case'!C12*$B463)-'Business Case'!C11*$C463*'Business Case'!C13*$D463-'Business Case'!C14*$E463))*'Business Case'!$B$7-'Business Case'!$B$8*(('Business Case'!C11*$C463*'Business Case'!C12*$B463)-('Business Case'!B11*$C463*'Business Case'!B12*$B463))-'Business Case'!C15*$F463</f>
        <v>16224355.1036475</v>
      </c>
      <c r="J463" s="53" t="n">
        <f aca="false">(('Business Case'!D11*$C463*'Business Case'!D12*$B463)-'Business Case'!D11*$C463*'Business Case'!D13*$D463-'Business Case'!D14*$E463)-MAX(0,(('Business Case'!D11*$C463*'Business Case'!D12*$B463)-'Business Case'!D11*$C463*'Business Case'!D13*$D463-'Business Case'!D14*$E463))*'Business Case'!$B$7-'Business Case'!$B$8*(('Business Case'!D11*$C463*'Business Case'!D12*$B463)-('Business Case'!C11*$C463*'Business Case'!C12*$B463))-'Business Case'!D15*$F463</f>
        <v>331896669.985723</v>
      </c>
      <c r="K463" s="53" t="n">
        <f aca="false">(('Business Case'!E11*$C463*'Business Case'!E12*$B463)-'Business Case'!E11*$C463*'Business Case'!E13*$D463-'Business Case'!E14*$E463)-MAX(0,(('Business Case'!E11*$C463*'Business Case'!E12*$B463)-'Business Case'!E11*$C463*'Business Case'!E13*$D463-'Business Case'!E14*$E463))*'Business Case'!$B$7-'Business Case'!$B$8*(('Business Case'!E11*$C463*'Business Case'!E12*$B463)-('Business Case'!D11*$C463*'Business Case'!D12*$B463))-'Business Case'!E15*$F463</f>
        <v>698138517.942391</v>
      </c>
      <c r="L463" s="53" t="n">
        <f aca="false">(('Business Case'!F11*$C463*'Business Case'!F12*$B463)-'Business Case'!F11*$C463*'Business Case'!F13*$D463-'Business Case'!F14*$E463)-MAX(0,(('Business Case'!F11*$C463*'Business Case'!F12*$B463)-'Business Case'!F11*$C463*'Business Case'!F13*$D463-'Business Case'!F14*$E463))*'Business Case'!$B$7-'Business Case'!$B$8*(('Business Case'!F11*$C463*'Business Case'!F12*$B463)-('Business Case'!E11*$C463*'Business Case'!E12*$B463))-'Business Case'!F15*$F463</f>
        <v>839510592.554208</v>
      </c>
      <c r="M463" s="53" t="n">
        <f aca="false">(('Business Case'!G11*$C463*'Business Case'!G12*$B463)-'Business Case'!G11*$C463*'Business Case'!G13*$D463-'Business Case'!G14*$E463)-MAX(0,(('Business Case'!G11*$C463*'Business Case'!G12*$B463)-'Business Case'!G11*$C463*'Business Case'!G13*$D463-'Business Case'!G14*$E463))*'Business Case'!$B$7-'Business Case'!$B$8*(('Business Case'!G11*$C463*'Business Case'!G12*$B463)-('Business Case'!F11*$C463*'Business Case'!F12*$B463))-'Business Case'!G15*$F463+'Business Case'!$B$8*('Business Case'!G11*$C463*'Business Case'!G12*$B463)</f>
        <v>1038324425.63539</v>
      </c>
      <c r="N463" s="53" t="n">
        <f aca="false">IF(COUNT('Business Case'!B11:G11)=0,"",H463+NPV(G463,I463:M463))</f>
        <v>-572857.327635765</v>
      </c>
      <c r="P463" s="54" t="n">
        <f aca="true">RAND()</f>
        <v>0.701260142207949</v>
      </c>
      <c r="Q463" s="54" t="n">
        <f aca="true">RAND()</f>
        <v>0.784858952651462</v>
      </c>
      <c r="R463" s="54" t="n">
        <f aca="true">RAND()</f>
        <v>0.563194412122149</v>
      </c>
      <c r="S463" s="54" t="n">
        <f aca="true">RAND()</f>
        <v>0.498522679681767</v>
      </c>
      <c r="T463" s="54" t="n">
        <f aca="true">RAND()</f>
        <v>0.288530348550341</v>
      </c>
      <c r="U463" s="54" t="n">
        <f aca="true">RAND()</f>
        <v>0.421264662854437</v>
      </c>
    </row>
    <row r="464" customFormat="false" ht="15" hidden="false" customHeight="false" outlineLevel="0" collapsed="false">
      <c r="A464" s="50" t="n">
        <v>384</v>
      </c>
      <c r="B464" s="51" t="n">
        <f aca="false">1+IF($G$6=$E$6,$F$6,IF(P464&lt;($F$6-$E$6)/($G$6-$E$6),$E$6+SQRT(P464*($G$6-$E$6)*($F$6-$E$6)),$G$6-SQRT((1-P464)*($G$6-$E$6)*($G$6-$F$6))))</f>
        <v>1.03216060489982</v>
      </c>
      <c r="C464" s="51" t="n">
        <f aca="false">1+IF($G$7=$E$7,$F$7,IF(Q464&lt;($F$7-$E$7)/($G$7-$E$7),$E$7+SQRT(Q464*($G$7-$E$7)*($F$7-$E$7)),$G$7-SQRT((1-Q464)*($G$7-$E$7)*($G$7-$F$7))))</f>
        <v>0.98134237330328</v>
      </c>
      <c r="D464" s="51" t="n">
        <f aca="false">1+IF($G$8=$E$8,$F$8,IF(R464&lt;($F$8-$E$8)/($G$8-$E$8),$E$8+SQRT(R464*($G$8-$E$8)*($F$8-$E$8)),$G$8-SQRT((1-R464)*($G$8-$E$8)*($G$8-$F$8))))</f>
        <v>1.01317619959436</v>
      </c>
      <c r="E464" s="51" t="n">
        <f aca="false">1+IF($G$9=$E$9,$F$9,IF(S464&lt;($F$9-$E$9)/($G$9-$E$9),$E$9+SQRT(S464*($G$9-$E$9)*($F$9-$E$9)),$G$9-SQRT((1-S464)*($G$9-$E$9)*($G$9-$F$9))))</f>
        <v>1.00934361786414</v>
      </c>
      <c r="F464" s="51" t="n">
        <f aca="false">1+IF($G$10=$E$10,$F$10,IF(T464&lt;($F$10-$E$10)/($G$10-$E$10),$E$10+SQRT(T464*($G$10-$E$10)*($F$10-$E$10)),$G$10-SQRT((1-T464)*($G$10-$E$10)*($G$10-$F$10))))</f>
        <v>0.992013672145075</v>
      </c>
      <c r="G464" s="52" t="n">
        <f aca="false">IF($G$11=$E$11,$F$11,IF(U464&lt;($F$11-$E$11)/($G$11-$E$11),$E$11+SQRT(U464*($G$11-$E$11)*($F$11-$E$11)),$G$11-SQRT((1-U464)*($G$11-$E$11)*($G$11-$F$11))))</f>
        <v>0.0997207661028275</v>
      </c>
      <c r="H464" s="53" t="n">
        <f aca="false">(('Business Case'!B11*$C464*'Business Case'!B12*$B464)-'Business Case'!B11*$C464*'Business Case'!B13*$D464-'Business Case'!B14*$E464)-MAX(0,(('Business Case'!B11*$C464*'Business Case'!B12*$B464)-'Business Case'!B11*$C464*'Business Case'!B13*$D464-'Business Case'!B14*$E464))*'Business Case'!$B$7-'Business Case'!$B$8*('Business Case'!B11*$C464*'Business Case'!B12*$B464)-'Business Case'!B15*$F464</f>
        <v>-1984027344.29015</v>
      </c>
      <c r="I464" s="53" t="n">
        <f aca="false">(('Business Case'!C11*$C464*'Business Case'!C12*$B464)-'Business Case'!C11*$C464*'Business Case'!C13*$D464-'Business Case'!C14*$E464)-MAX(0,(('Business Case'!C11*$C464*'Business Case'!C12*$B464)-'Business Case'!C11*$C464*'Business Case'!C13*$D464-'Business Case'!C14*$E464))*'Business Case'!$B$7-'Business Case'!$B$8*(('Business Case'!C11*$C464*'Business Case'!C12*$B464)-('Business Case'!B11*$C464*'Business Case'!B12*$B464))-'Business Case'!C15*$F464</f>
        <v>25413417.8199015</v>
      </c>
      <c r="J464" s="53" t="n">
        <f aca="false">(('Business Case'!D11*$C464*'Business Case'!D12*$B464)-'Business Case'!D11*$C464*'Business Case'!D13*$D464-'Business Case'!D14*$E464)-MAX(0,(('Business Case'!D11*$C464*'Business Case'!D12*$B464)-'Business Case'!D11*$C464*'Business Case'!D13*$D464-'Business Case'!D14*$E464))*'Business Case'!$B$7-'Business Case'!$B$8*(('Business Case'!D11*$C464*'Business Case'!D12*$B464)-('Business Case'!C11*$C464*'Business Case'!C12*$B464))-'Business Case'!D15*$F464</f>
        <v>346065753.601981</v>
      </c>
      <c r="K464" s="53" t="n">
        <f aca="false">(('Business Case'!E11*$C464*'Business Case'!E12*$B464)-'Business Case'!E11*$C464*'Business Case'!E13*$D464-'Business Case'!E14*$E464)-MAX(0,(('Business Case'!E11*$C464*'Business Case'!E12*$B464)-'Business Case'!E11*$C464*'Business Case'!E13*$D464-'Business Case'!E14*$E464))*'Business Case'!$B$7-'Business Case'!$B$8*(('Business Case'!E11*$C464*'Business Case'!E12*$B464)-('Business Case'!D11*$C464*'Business Case'!D12*$B464))-'Business Case'!E15*$F464</f>
        <v>716318772.991313</v>
      </c>
      <c r="L464" s="53" t="n">
        <f aca="false">(('Business Case'!F11*$C464*'Business Case'!F12*$B464)-'Business Case'!F11*$C464*'Business Case'!F13*$D464-'Business Case'!F14*$E464)-MAX(0,(('Business Case'!F11*$C464*'Business Case'!F12*$B464)-'Business Case'!F11*$C464*'Business Case'!F13*$D464-'Business Case'!F14*$E464))*'Business Case'!$B$7-'Business Case'!$B$8*(('Business Case'!F11*$C464*'Business Case'!F12*$B464)-('Business Case'!E11*$C464*'Business Case'!E12*$B464))-'Business Case'!F15*$F464</f>
        <v>858208810.443599</v>
      </c>
      <c r="M464" s="53" t="n">
        <f aca="false">(('Business Case'!G11*$C464*'Business Case'!G12*$B464)-'Business Case'!G11*$C464*'Business Case'!G13*$D464-'Business Case'!G14*$E464)-MAX(0,(('Business Case'!G11*$C464*'Business Case'!G12*$B464)-'Business Case'!G11*$C464*'Business Case'!G13*$D464-'Business Case'!G14*$E464))*'Business Case'!$B$7-'Business Case'!$B$8*(('Business Case'!G11*$C464*'Business Case'!G12*$B464)-('Business Case'!F11*$C464*'Business Case'!F12*$B464))-'Business Case'!G15*$F464+'Business Case'!$B$8*('Business Case'!G11*$C464*'Business Case'!G12*$B464)</f>
        <v>1050741400.83069</v>
      </c>
      <c r="N464" s="53" t="n">
        <f aca="false">IF(COUNT('Business Case'!B11:G11)=0,"",H464+NPV(G464,I464:M464))</f>
        <v>103842796.128255</v>
      </c>
      <c r="P464" s="54" t="n">
        <f aca="true">RAND()</f>
        <v>0.987196642596529</v>
      </c>
      <c r="Q464" s="54" t="n">
        <f aca="true">RAND()</f>
        <v>0.469786519360947</v>
      </c>
      <c r="R464" s="54" t="n">
        <f aca="true">RAND()</f>
        <v>0.570632663398792</v>
      </c>
      <c r="S464" s="54" t="n">
        <f aca="true">RAND()</f>
        <v>0.452094691869123</v>
      </c>
      <c r="T464" s="54" t="n">
        <f aca="true">RAND()</f>
        <v>0.141211891769106</v>
      </c>
      <c r="U464" s="54" t="n">
        <f aca="true">RAND()</f>
        <v>0.314977645419598</v>
      </c>
    </row>
    <row r="465" customFormat="false" ht="15" hidden="false" customHeight="false" outlineLevel="0" collapsed="false">
      <c r="A465" s="50" t="n">
        <v>385</v>
      </c>
      <c r="B465" s="51" t="n">
        <f aca="false">1+IF($G$6=$E$6,$F$6,IF(P465&lt;($F$6-$E$6)/($G$6-$E$6),$E$6+SQRT(P465*($G$6-$E$6)*($F$6-$E$6)),$G$6-SQRT((1-P465)*($G$6-$E$6)*($G$6-$F$6))))</f>
        <v>0.943902806716993</v>
      </c>
      <c r="C465" s="51" t="n">
        <f aca="false">1+IF($G$7=$E$7,$F$7,IF(Q465&lt;($F$7-$E$7)/($G$7-$E$7),$E$7+SQRT(Q465*($G$7-$E$7)*($F$7-$E$7)),$G$7-SQRT((1-Q465)*($G$7-$E$7)*($G$7-$F$7))))</f>
        <v>0.943651137896399</v>
      </c>
      <c r="D465" s="51" t="n">
        <f aca="false">1+IF($G$8=$E$8,$F$8,IF(R465&lt;($F$8-$E$8)/($G$8-$E$8),$E$8+SQRT(R465*($G$8-$E$8)*($F$8-$E$8)),$G$8-SQRT((1-R465)*($G$8-$E$8)*($G$8-$F$8))))</f>
        <v>1.02112770127486</v>
      </c>
      <c r="E465" s="51" t="n">
        <f aca="false">1+IF($G$9=$E$9,$F$9,IF(S465&lt;($F$9-$E$9)/($G$9-$E$9),$E$9+SQRT(S465*($G$9-$E$9)*($F$9-$E$9)),$G$9-SQRT((1-S465)*($G$9-$E$9)*($G$9-$F$9))))</f>
        <v>1.08784541588075</v>
      </c>
      <c r="F465" s="51" t="n">
        <f aca="false">1+IF($G$10=$E$10,$F$10,IF(T465&lt;($F$10-$E$10)/($G$10-$E$10),$E$10+SQRT(T465*($G$10-$E$10)*($F$10-$E$10)),$G$10-SQRT((1-T465)*($G$10-$E$10)*($G$10-$F$10))))</f>
        <v>1.16356410186569</v>
      </c>
      <c r="G465" s="52" t="n">
        <f aca="false">IF($G$11=$E$11,$F$11,IF(U465&lt;($F$11-$E$11)/($G$11-$E$11),$E$11+SQRT(U465*($G$11-$E$11)*($F$11-$E$11)),$G$11-SQRT((1-U465)*($G$11-$E$11)*($G$11-$F$11))))</f>
        <v>0.103007160615646</v>
      </c>
      <c r="H465" s="53" t="n">
        <f aca="false">(('Business Case'!B11*$C465*'Business Case'!B12*$B465)-'Business Case'!B11*$C465*'Business Case'!B13*$D465-'Business Case'!B14*$E465)-MAX(0,(('Business Case'!B11*$C465*'Business Case'!B12*$B465)-'Business Case'!B11*$C465*'Business Case'!B13*$D465-'Business Case'!B14*$E465))*'Business Case'!$B$7-'Business Case'!$B$8*('Business Case'!B11*$C465*'Business Case'!B12*$B465)-'Business Case'!B15*$F465</f>
        <v>-2327128203.73138</v>
      </c>
      <c r="I465" s="53" t="n">
        <f aca="false">(('Business Case'!C11*$C465*'Business Case'!C12*$B465)-'Business Case'!C11*$C465*'Business Case'!C13*$D465-'Business Case'!C14*$E465)-MAX(0,(('Business Case'!C11*$C465*'Business Case'!C12*$B465)-'Business Case'!C11*$C465*'Business Case'!C13*$D465-'Business Case'!C14*$E465))*'Business Case'!$B$7-'Business Case'!$B$8*(('Business Case'!C11*$C465*'Business Case'!C12*$B465)-('Business Case'!B11*$C465*'Business Case'!B12*$B465))-'Business Case'!C15*$F465</f>
        <v>-80943141.3228407</v>
      </c>
      <c r="J465" s="53" t="n">
        <f aca="false">(('Business Case'!D11*$C465*'Business Case'!D12*$B465)-'Business Case'!D11*$C465*'Business Case'!D13*$D465-'Business Case'!D14*$E465)-MAX(0,(('Business Case'!D11*$C465*'Business Case'!D12*$B465)-'Business Case'!D11*$C465*'Business Case'!D13*$D465-'Business Case'!D14*$E465))*'Business Case'!$B$7-'Business Case'!$B$8*(('Business Case'!D11*$C465*'Business Case'!D12*$B465)-('Business Case'!C11*$C465*'Business Case'!C12*$B465))-'Business Case'!D15*$F465</f>
        <v>155336409.082259</v>
      </c>
      <c r="K465" s="53" t="n">
        <f aca="false">(('Business Case'!E11*$C465*'Business Case'!E12*$B465)-'Business Case'!E11*$C465*'Business Case'!E13*$D465-'Business Case'!E14*$E465)-MAX(0,(('Business Case'!E11*$C465*'Business Case'!E12*$B465)-'Business Case'!E11*$C465*'Business Case'!E13*$D465-'Business Case'!E14*$E465))*'Business Case'!$B$7-'Business Case'!$B$8*(('Business Case'!E11*$C465*'Business Case'!E12*$B465)-('Business Case'!D11*$C465*'Business Case'!D12*$B465))-'Business Case'!E15*$F465</f>
        <v>449794164.580644</v>
      </c>
      <c r="L465" s="53" t="n">
        <f aca="false">(('Business Case'!F11*$C465*'Business Case'!F12*$B465)-'Business Case'!F11*$C465*'Business Case'!F13*$D465-'Business Case'!F14*$E465)-MAX(0,(('Business Case'!F11*$C465*'Business Case'!F12*$B465)-'Business Case'!F11*$C465*'Business Case'!F13*$D465-'Business Case'!F14*$E465))*'Business Case'!$B$7-'Business Case'!$B$8*(('Business Case'!F11*$C465*'Business Case'!F12*$B465)-('Business Case'!E11*$C465*'Business Case'!E12*$B465))-'Business Case'!F15*$F465</f>
        <v>559337123.651097</v>
      </c>
      <c r="M465" s="53" t="n">
        <f aca="false">(('Business Case'!G11*$C465*'Business Case'!G12*$B465)-'Business Case'!G11*$C465*'Business Case'!G13*$D465-'Business Case'!G14*$E465)-MAX(0,(('Business Case'!G11*$C465*'Business Case'!G12*$B465)-'Business Case'!G11*$C465*'Business Case'!G13*$D465-'Business Case'!G14*$E465))*'Business Case'!$B$7-'Business Case'!$B$8*(('Business Case'!G11*$C465*'Business Case'!G12*$B465)-('Business Case'!F11*$C465*'Business Case'!F12*$B465))-'Business Case'!G15*$F465+'Business Case'!$B$8*('Business Case'!G11*$C465*'Business Case'!G12*$B465)</f>
        <v>728644222.795904</v>
      </c>
      <c r="N465" s="53" t="n">
        <f aca="false">IF(COUNT('Business Case'!B11:G11)=0,"",H465+NPV(G465,I465:M465))</f>
        <v>-1113471073.27259</v>
      </c>
      <c r="P465" s="54" t="n">
        <f aca="true">RAND()</f>
        <v>0.0595150175989501</v>
      </c>
      <c r="Q465" s="54" t="n">
        <f aca="true">RAND()</f>
        <v>0.294794991699002</v>
      </c>
      <c r="R465" s="54" t="n">
        <f aca="true">RAND()</f>
        <v>0.666735811809402</v>
      </c>
      <c r="S465" s="54" t="n">
        <f aca="true">RAND()</f>
        <v>0.990151072325867</v>
      </c>
      <c r="T465" s="54" t="n">
        <f aca="true">RAND()</f>
        <v>0.973448506542926</v>
      </c>
      <c r="U465" s="54" t="n">
        <f aca="true">RAND()</f>
        <v>0.518739016095932</v>
      </c>
    </row>
    <row r="466" customFormat="false" ht="15" hidden="false" customHeight="false" outlineLevel="0" collapsed="false">
      <c r="A466" s="50" t="n">
        <v>386</v>
      </c>
      <c r="B466" s="51" t="n">
        <f aca="false">1+IF($G$6=$E$6,$F$6,IF(P466&lt;($F$6-$E$6)/($G$6-$E$6),$E$6+SQRT(P466*($G$6-$E$6)*($F$6-$E$6)),$G$6-SQRT((1-P466)*($G$6-$E$6)*($G$6-$F$6))))</f>
        <v>1.02190526631097</v>
      </c>
      <c r="C466" s="51" t="n">
        <f aca="false">1+IF($G$7=$E$7,$F$7,IF(Q466&lt;($F$7-$E$7)/($G$7-$E$7),$E$7+SQRT(Q466*($G$7-$E$7)*($F$7-$E$7)),$G$7-SQRT((1-Q466)*($G$7-$E$7)*($G$7-$F$7))))</f>
        <v>1.07618373541595</v>
      </c>
      <c r="D466" s="51" t="n">
        <f aca="false">1+IF($G$8=$E$8,$F$8,IF(R466&lt;($F$8-$E$8)/($G$8-$E$8),$E$8+SQRT(R466*($G$8-$E$8)*($F$8-$E$8)),$G$8-SQRT((1-R466)*($G$8-$E$8)*($G$8-$F$8))))</f>
        <v>0.976894174630962</v>
      </c>
      <c r="E466" s="51" t="n">
        <f aca="false">1+IF($G$9=$E$9,$F$9,IF(S466&lt;($F$9-$E$9)/($G$9-$E$9),$E$9+SQRT(S466*($G$9-$E$9)*($F$9-$E$9)),$G$9-SQRT((1-S466)*($G$9-$E$9)*($G$9-$F$9))))</f>
        <v>0.994551586721762</v>
      </c>
      <c r="F466" s="51" t="n">
        <f aca="false">1+IF($G$10=$E$10,$F$10,IF(T466&lt;($F$10-$E$10)/($G$10-$E$10),$E$10+SQRT(T466*($G$10-$E$10)*($F$10-$E$10)),$G$10-SQRT((1-T466)*($G$10-$E$10)*($G$10-$F$10))))</f>
        <v>1.0016957946387</v>
      </c>
      <c r="G466" s="52" t="n">
        <f aca="false">IF($G$11=$E$11,$F$11,IF(U466&lt;($F$11-$E$11)/($G$11-$E$11),$E$11+SQRT(U466*($G$11-$E$11)*($F$11-$E$11)),$G$11-SQRT((1-U466)*($G$11-$E$11)*($G$11-$F$11))))</f>
        <v>0.105200151182188</v>
      </c>
      <c r="H466" s="53" t="n">
        <f aca="false">(('Business Case'!B11*$C466*'Business Case'!B12*$B466)-'Business Case'!B11*$C466*'Business Case'!B13*$D466-'Business Case'!B14*$E466)-MAX(0,(('Business Case'!B11*$C466*'Business Case'!B12*$B466)-'Business Case'!B11*$C466*'Business Case'!B13*$D466-'Business Case'!B14*$E466))*'Business Case'!$B$7-'Business Case'!$B$8*('Business Case'!B11*$C466*'Business Case'!B12*$B466)-'Business Case'!B15*$F466</f>
        <v>-2003391589.2774</v>
      </c>
      <c r="I466" s="53" t="n">
        <f aca="false">(('Business Case'!C11*$C466*'Business Case'!C12*$B466)-'Business Case'!C11*$C466*'Business Case'!C13*$D466-'Business Case'!C14*$E466)-MAX(0,(('Business Case'!C11*$C466*'Business Case'!C12*$B466)-'Business Case'!C11*$C466*'Business Case'!C13*$D466-'Business Case'!C14*$E466))*'Business Case'!$B$7-'Business Case'!$B$8*(('Business Case'!C11*$C466*'Business Case'!C12*$B466)-('Business Case'!B11*$C466*'Business Case'!B12*$B466))-'Business Case'!C15*$F466</f>
        <v>63984064.7955213</v>
      </c>
      <c r="J466" s="53" t="n">
        <f aca="false">(('Business Case'!D11*$C466*'Business Case'!D12*$B466)-'Business Case'!D11*$C466*'Business Case'!D13*$D466-'Business Case'!D14*$E466)-MAX(0,(('Business Case'!D11*$C466*'Business Case'!D12*$B466)-'Business Case'!D11*$C466*'Business Case'!D13*$D466-'Business Case'!D14*$E466))*'Business Case'!$B$7-'Business Case'!$B$8*(('Business Case'!D11*$C466*'Business Case'!D12*$B466)-('Business Case'!C11*$C466*'Business Case'!C12*$B466))-'Business Case'!D15*$F466</f>
        <v>426574390.424937</v>
      </c>
      <c r="K466" s="53" t="n">
        <f aca="false">(('Business Case'!E11*$C466*'Business Case'!E12*$B466)-'Business Case'!E11*$C466*'Business Case'!E13*$D466-'Business Case'!E14*$E466)-MAX(0,(('Business Case'!E11*$C466*'Business Case'!E12*$B466)-'Business Case'!E11*$C466*'Business Case'!E13*$D466-'Business Case'!E14*$E466))*'Business Case'!$B$7-'Business Case'!$B$8*(('Business Case'!E11*$C466*'Business Case'!E12*$B466)-('Business Case'!D11*$C466*'Business Case'!D12*$B466))-'Business Case'!E15*$F466</f>
        <v>839249505.786288</v>
      </c>
      <c r="L466" s="53" t="n">
        <f aca="false">(('Business Case'!F11*$C466*'Business Case'!F12*$B466)-'Business Case'!F11*$C466*'Business Case'!F13*$D466-'Business Case'!F14*$E466)-MAX(0,(('Business Case'!F11*$C466*'Business Case'!F12*$B466)-'Business Case'!F11*$C466*'Business Case'!F13*$D466-'Business Case'!F14*$E466))*'Business Case'!$B$7-'Business Case'!$B$8*(('Business Case'!F11*$C466*'Business Case'!F12*$B466)-('Business Case'!E11*$C466*'Business Case'!E12*$B466))-'Business Case'!F15*$F466</f>
        <v>998120578.154887</v>
      </c>
      <c r="M466" s="53" t="n">
        <f aca="false">(('Business Case'!G11*$C466*'Business Case'!G12*$B466)-'Business Case'!G11*$C466*'Business Case'!G13*$D466-'Business Case'!G14*$E466)-MAX(0,(('Business Case'!G11*$C466*'Business Case'!G12*$B466)-'Business Case'!G11*$C466*'Business Case'!G13*$D466-'Business Case'!G14*$E466))*'Business Case'!$B$7-'Business Case'!$B$8*(('Business Case'!G11*$C466*'Business Case'!G12*$B466)-('Business Case'!F11*$C466*'Business Case'!F12*$B466))-'Business Case'!G15*$F466+'Business Case'!$B$8*('Business Case'!G11*$C466*'Business Case'!G12*$B466)</f>
        <v>1207162545.86158</v>
      </c>
      <c r="N466" s="53" t="n">
        <f aca="false">IF(COUNT('Business Case'!B11:G11)=0,"",H466+NPV(G466,I466:M466))</f>
        <v>426488857.815758</v>
      </c>
      <c r="P466" s="54" t="n">
        <f aca="true">RAND()</f>
        <v>0.931787627650658</v>
      </c>
      <c r="Q466" s="54" t="n">
        <f aca="true">RAND()</f>
        <v>0.896212553959191</v>
      </c>
      <c r="R466" s="54" t="n">
        <f aca="true">RAND()</f>
        <v>0.11127640447395</v>
      </c>
      <c r="S466" s="54" t="n">
        <f aca="true">RAND()</f>
        <v>0.264645850590221</v>
      </c>
      <c r="T466" s="54" t="n">
        <f aca="true">RAND()</f>
        <v>0.213508842720485</v>
      </c>
      <c r="U466" s="54" t="n">
        <f aca="true">RAND()</f>
        <v>0.634940791616496</v>
      </c>
    </row>
    <row r="467" customFormat="false" ht="15" hidden="false" customHeight="false" outlineLevel="0" collapsed="false">
      <c r="A467" s="50" t="n">
        <v>387</v>
      </c>
      <c r="B467" s="51" t="n">
        <f aca="false">1+IF($G$6=$E$6,$F$6,IF(P467&lt;($F$6-$E$6)/($G$6-$E$6),$E$6+SQRT(P467*($G$6-$E$6)*($F$6-$E$6)),$G$6-SQRT((1-P467)*($G$6-$E$6)*($G$6-$F$6))))</f>
        <v>1.02725808096466</v>
      </c>
      <c r="C467" s="51" t="n">
        <f aca="false">1+IF($G$7=$E$7,$F$7,IF(Q467&lt;($F$7-$E$7)/($G$7-$E$7),$E$7+SQRT(Q467*($G$7-$E$7)*($F$7-$E$7)),$G$7-SQRT((1-Q467)*($G$7-$E$7)*($G$7-$F$7))))</f>
        <v>1.00412712546335</v>
      </c>
      <c r="D467" s="51" t="n">
        <f aca="false">1+IF($G$8=$E$8,$F$8,IF(R467&lt;($F$8-$E$8)/($G$8-$E$8),$E$8+SQRT(R467*($G$8-$E$8)*($F$8-$E$8)),$G$8-SQRT((1-R467)*($G$8-$E$8)*($G$8-$F$8))))</f>
        <v>0.977309910095139</v>
      </c>
      <c r="E467" s="51" t="n">
        <f aca="false">1+IF($G$9=$E$9,$F$9,IF(S467&lt;($F$9-$E$9)/($G$9-$E$9),$E$9+SQRT(S467*($G$9-$E$9)*($F$9-$E$9)),$G$9-SQRT((1-S467)*($G$9-$E$9)*($G$9-$F$9))))</f>
        <v>1.0188578241887</v>
      </c>
      <c r="F467" s="51" t="n">
        <f aca="false">1+IF($G$10=$E$10,$F$10,IF(T467&lt;($F$10-$E$10)/($G$10-$E$10),$E$10+SQRT(T467*($G$10-$E$10)*($F$10-$E$10)),$G$10-SQRT((1-T467)*($G$10-$E$10)*($G$10-$F$10))))</f>
        <v>1.15708975416798</v>
      </c>
      <c r="G467" s="52" t="n">
        <f aca="false">IF($G$11=$E$11,$F$11,IF(U467&lt;($F$11-$E$11)/($G$11-$E$11),$E$11+SQRT(U467*($G$11-$E$11)*($F$11-$E$11)),$G$11-SQRT((1-U467)*($G$11-$E$11)*($G$11-$F$11))))</f>
        <v>0.100564407840416</v>
      </c>
      <c r="H467" s="53" t="n">
        <f aca="false">(('Business Case'!B11*$C467*'Business Case'!B12*$B467)-'Business Case'!B11*$C467*'Business Case'!B13*$D467-'Business Case'!B14*$E467)-MAX(0,(('Business Case'!B11*$C467*'Business Case'!B12*$B467)-'Business Case'!B11*$C467*'Business Case'!B13*$D467-'Business Case'!B14*$E467))*'Business Case'!$B$7-'Business Case'!$B$8*('Business Case'!B11*$C467*'Business Case'!B12*$B467)-'Business Case'!B15*$F467</f>
        <v>-2314179508.33596</v>
      </c>
      <c r="I467" s="53" t="n">
        <f aca="false">(('Business Case'!C11*$C467*'Business Case'!C12*$B467)-'Business Case'!C11*$C467*'Business Case'!C13*$D467-'Business Case'!C14*$E467)-MAX(0,(('Business Case'!C11*$C467*'Business Case'!C12*$B467)-'Business Case'!C11*$C467*'Business Case'!C13*$D467-'Business Case'!C14*$E467))*'Business Case'!$B$7-'Business Case'!$B$8*(('Business Case'!C11*$C467*'Business Case'!C12*$B467)-('Business Case'!B11*$C467*'Business Case'!B12*$B467))-'Business Case'!C15*$F467</f>
        <v>28438179.8064219</v>
      </c>
      <c r="J467" s="53" t="n">
        <f aca="false">(('Business Case'!D11*$C467*'Business Case'!D12*$B467)-'Business Case'!D11*$C467*'Business Case'!D13*$D467-'Business Case'!D14*$E467)-MAX(0,(('Business Case'!D11*$C467*'Business Case'!D12*$B467)-'Business Case'!D11*$C467*'Business Case'!D13*$D467-'Business Case'!D14*$E467))*'Business Case'!$B$7-'Business Case'!$B$8*(('Business Case'!D11*$C467*'Business Case'!D12*$B467)-('Business Case'!C11*$C467*'Business Case'!C12*$B467))-'Business Case'!D15*$F467</f>
        <v>370939758.601941</v>
      </c>
      <c r="K467" s="53" t="n">
        <f aca="false">(('Business Case'!E11*$C467*'Business Case'!E12*$B467)-'Business Case'!E11*$C467*'Business Case'!E13*$D467-'Business Case'!E14*$E467)-MAX(0,(('Business Case'!E11*$C467*'Business Case'!E12*$B467)-'Business Case'!E11*$C467*'Business Case'!E13*$D467-'Business Case'!E14*$E467))*'Business Case'!$B$7-'Business Case'!$B$8*(('Business Case'!E11*$C467*'Business Case'!E12*$B467)-('Business Case'!D11*$C467*'Business Case'!D12*$B467))-'Business Case'!E15*$F467</f>
        <v>771295825.10586</v>
      </c>
      <c r="L467" s="53" t="n">
        <f aca="false">(('Business Case'!F11*$C467*'Business Case'!F12*$B467)-'Business Case'!F11*$C467*'Business Case'!F13*$D467-'Business Case'!F14*$E467)-MAX(0,(('Business Case'!F11*$C467*'Business Case'!F12*$B467)-'Business Case'!F11*$C467*'Business Case'!F13*$D467-'Business Case'!F14*$E467))*'Business Case'!$B$7-'Business Case'!$B$8*(('Business Case'!F11*$C467*'Business Case'!F12*$B467)-('Business Case'!E11*$C467*'Business Case'!E12*$B467))-'Business Case'!F15*$F467</f>
        <v>921111578.686145</v>
      </c>
      <c r="M467" s="53" t="n">
        <f aca="false">(('Business Case'!G11*$C467*'Business Case'!G12*$B467)-'Business Case'!G11*$C467*'Business Case'!G13*$D467-'Business Case'!G14*$E467)-MAX(0,(('Business Case'!G11*$C467*'Business Case'!G12*$B467)-'Business Case'!G11*$C467*'Business Case'!G13*$D467-'Business Case'!G14*$E467))*'Business Case'!$B$7-'Business Case'!$B$8*(('Business Case'!G11*$C467*'Business Case'!G12*$B467)-('Business Case'!F11*$C467*'Business Case'!F12*$B467))-'Business Case'!G15*$F467+'Business Case'!$B$8*('Business Case'!G11*$C467*'Business Case'!G12*$B467)</f>
        <v>1117178662.25259</v>
      </c>
      <c r="N467" s="53" t="n">
        <f aca="false">IF(COUNT('Business Case'!B11:G11)=0,"",H467+NPV(G467,I467:M467))</f>
        <v>-83752366.1392341</v>
      </c>
      <c r="P467" s="54" t="n">
        <f aca="true">RAND()</f>
        <v>0.966175729020168</v>
      </c>
      <c r="Q467" s="54" t="n">
        <f aca="true">RAND()</f>
        <v>0.594687704274574</v>
      </c>
      <c r="R467" s="54" t="n">
        <f aca="true">RAND()</f>
        <v>0.114743259908399</v>
      </c>
      <c r="S467" s="54" t="n">
        <f aca="true">RAND()</f>
        <v>0.561063153640532</v>
      </c>
      <c r="T467" s="54" t="n">
        <f aca="true">RAND()</f>
        <v>0.963174216052713</v>
      </c>
      <c r="U467" s="54" t="n">
        <f aca="true">RAND()</f>
        <v>0.370429595677199</v>
      </c>
    </row>
    <row r="468" customFormat="false" ht="15" hidden="false" customHeight="false" outlineLevel="0" collapsed="false">
      <c r="A468" s="50" t="n">
        <v>388</v>
      </c>
      <c r="B468" s="51" t="n">
        <f aca="false">1+IF($G$6=$E$6,$F$6,IF(P468&lt;($F$6-$E$6)/($G$6-$E$6),$E$6+SQRT(P468*($G$6-$E$6)*($F$6-$E$6)),$G$6-SQRT((1-P468)*($G$6-$E$6)*($G$6-$F$6))))</f>
        <v>0.965248998258892</v>
      </c>
      <c r="C468" s="51" t="n">
        <f aca="false">1+IF($G$7=$E$7,$F$7,IF(Q468&lt;($F$7-$E$7)/($G$7-$E$7),$E$7+SQRT(Q468*($G$7-$E$7)*($F$7-$E$7)),$G$7-SQRT((1-Q468)*($G$7-$E$7)*($G$7-$F$7))))</f>
        <v>0.947469865221749</v>
      </c>
      <c r="D468" s="51" t="n">
        <f aca="false">1+IF($G$8=$E$8,$F$8,IF(R468&lt;($F$8-$E$8)/($G$8-$E$8),$E$8+SQRT(R468*($G$8-$E$8)*($F$8-$E$8)),$G$8-SQRT((1-R468)*($G$8-$E$8)*($G$8-$F$8))))</f>
        <v>0.982948543967349</v>
      </c>
      <c r="E468" s="51" t="n">
        <f aca="false">1+IF($G$9=$E$9,$F$9,IF(S468&lt;($F$9-$E$9)/($G$9-$E$9),$E$9+SQRT(S468*($G$9-$E$9)*($F$9-$E$9)),$G$9-SQRT((1-S468)*($G$9-$E$9)*($G$9-$F$9))))</f>
        <v>1.05961869041798</v>
      </c>
      <c r="F468" s="51" t="n">
        <f aca="false">1+IF($G$10=$E$10,$F$10,IF(T468&lt;($F$10-$E$10)/($G$10-$E$10),$E$10+SQRT(T468*($G$10-$E$10)*($F$10-$E$10)),$G$10-SQRT((1-T468)*($G$10-$E$10)*($G$10-$F$10))))</f>
        <v>1.05528609742585</v>
      </c>
      <c r="G468" s="52" t="n">
        <f aca="false">IF($G$11=$E$11,$F$11,IF(U468&lt;($F$11-$E$11)/($G$11-$E$11),$E$11+SQRT(U468*($G$11-$E$11)*($F$11-$E$11)),$G$11-SQRT((1-U468)*($G$11-$E$11)*($G$11-$F$11))))</f>
        <v>0.09853297135348</v>
      </c>
      <c r="H468" s="53" t="n">
        <f aca="false">(('Business Case'!B11*$C468*'Business Case'!B12*$B468)-'Business Case'!B11*$C468*'Business Case'!B13*$D468-'Business Case'!B14*$E468)-MAX(0,(('Business Case'!B11*$C468*'Business Case'!B12*$B468)-'Business Case'!B11*$C468*'Business Case'!B13*$D468-'Business Case'!B14*$E468))*'Business Case'!$B$7-'Business Case'!$B$8*('Business Case'!B11*$C468*'Business Case'!B12*$B468)-'Business Case'!B15*$F468</f>
        <v>-2110572194.85169</v>
      </c>
      <c r="I468" s="53" t="n">
        <f aca="false">(('Business Case'!C11*$C468*'Business Case'!C12*$B468)-'Business Case'!C11*$C468*'Business Case'!C13*$D468-'Business Case'!C14*$E468)-MAX(0,(('Business Case'!C11*$C468*'Business Case'!C12*$B468)-'Business Case'!C11*$C468*'Business Case'!C13*$D468-'Business Case'!C14*$E468))*'Business Case'!$B$7-'Business Case'!$B$8*(('Business Case'!C11*$C468*'Business Case'!C12*$B468)-('Business Case'!B11*$C468*'Business Case'!B12*$B468))-'Business Case'!C15*$F468</f>
        <v>-31297032.3683888</v>
      </c>
      <c r="J468" s="53" t="n">
        <f aca="false">(('Business Case'!D11*$C468*'Business Case'!D12*$B468)-'Business Case'!D11*$C468*'Business Case'!D13*$D468-'Business Case'!D14*$E468)-MAX(0,(('Business Case'!D11*$C468*'Business Case'!D12*$B468)-'Business Case'!D11*$C468*'Business Case'!D13*$D468-'Business Case'!D14*$E468))*'Business Case'!$B$7-'Business Case'!$B$8*(('Business Case'!D11*$C468*'Business Case'!D12*$B468)-('Business Case'!C11*$C468*'Business Case'!C12*$B468))-'Business Case'!D15*$F468</f>
        <v>241022301.279979</v>
      </c>
      <c r="K468" s="53" t="n">
        <f aca="false">(('Business Case'!E11*$C468*'Business Case'!E12*$B468)-'Business Case'!E11*$C468*'Business Case'!E13*$D468-'Business Case'!E14*$E468)-MAX(0,(('Business Case'!E11*$C468*'Business Case'!E12*$B468)-'Business Case'!E11*$C468*'Business Case'!E13*$D468-'Business Case'!E14*$E468))*'Business Case'!$B$7-'Business Case'!$B$8*(('Business Case'!E11*$C468*'Business Case'!E12*$B468)-('Business Case'!D11*$C468*'Business Case'!D12*$B468))-'Business Case'!E15*$F468</f>
        <v>566105939.799639</v>
      </c>
      <c r="L468" s="53" t="n">
        <f aca="false">(('Business Case'!F11*$C468*'Business Case'!F12*$B468)-'Business Case'!F11*$C468*'Business Case'!F13*$D468-'Business Case'!F14*$E468)-MAX(0,(('Business Case'!F11*$C468*'Business Case'!F12*$B468)-'Business Case'!F11*$C468*'Business Case'!F13*$D468-'Business Case'!F14*$E468))*'Business Case'!$B$7-'Business Case'!$B$8*(('Business Case'!F11*$C468*'Business Case'!F12*$B468)-('Business Case'!E11*$C468*'Business Case'!E12*$B468))-'Business Case'!F15*$F468</f>
        <v>688485703.346918</v>
      </c>
      <c r="M468" s="53" t="n">
        <f aca="false">(('Business Case'!G11*$C468*'Business Case'!G12*$B468)-'Business Case'!G11*$C468*'Business Case'!G13*$D468-'Business Case'!G14*$E468)-MAX(0,(('Business Case'!G11*$C468*'Business Case'!G12*$B468)-'Business Case'!G11*$C468*'Business Case'!G13*$D468-'Business Case'!G14*$E468))*'Business Case'!$B$7-'Business Case'!$B$8*(('Business Case'!G11*$C468*'Business Case'!G12*$B468)-('Business Case'!F11*$C468*'Business Case'!F12*$B468))-'Business Case'!G15*$F468+'Business Case'!$B$8*('Business Case'!G11*$C468*'Business Case'!G12*$B468)</f>
        <v>862322291.168279</v>
      </c>
      <c r="N468" s="53" t="n">
        <f aca="false">IF(COUNT('Business Case'!B11:G11)=0,"",H468+NPV(G468,I468:M468))</f>
        <v>-500526595.011527</v>
      </c>
      <c r="P468" s="54" t="n">
        <f aca="true">RAND()</f>
        <v>0.213278317024294</v>
      </c>
      <c r="Q468" s="54" t="n">
        <f aca="true">RAND()</f>
        <v>0.310676587836011</v>
      </c>
      <c r="R468" s="54" t="n">
        <f aca="true">RAND()</f>
        <v>0.167016392241281</v>
      </c>
      <c r="S468" s="54" t="n">
        <f aca="true">RAND()</f>
        <v>0.891289989096077</v>
      </c>
      <c r="T468" s="54" t="n">
        <f aca="true">RAND()</f>
        <v>0.58115772803517</v>
      </c>
      <c r="U468" s="54" t="n">
        <f aca="true">RAND()</f>
        <v>0.242705333731034</v>
      </c>
    </row>
    <row r="469" customFormat="false" ht="15" hidden="false" customHeight="false" outlineLevel="0" collapsed="false">
      <c r="A469" s="50" t="n">
        <v>389</v>
      </c>
      <c r="B469" s="51" t="n">
        <f aca="false">1+IF($G$6=$E$6,$F$6,IF(P469&lt;($F$6-$E$6)/($G$6-$E$6),$E$6+SQRT(P469*($G$6-$E$6)*($F$6-$E$6)),$G$6-SQRT((1-P469)*($G$6-$E$6)*($G$6-$F$6))))</f>
        <v>0.975487752032253</v>
      </c>
      <c r="C469" s="51" t="n">
        <f aca="false">1+IF($G$7=$E$7,$F$7,IF(Q469&lt;($F$7-$E$7)/($G$7-$E$7),$E$7+SQRT(Q469*($G$7-$E$7)*($F$7-$E$7)),$G$7-SQRT((1-Q469)*($G$7-$E$7)*($G$7-$F$7))))</f>
        <v>1.03398946980135</v>
      </c>
      <c r="D469" s="51" t="n">
        <f aca="false">1+IF($G$8=$E$8,$F$8,IF(R469&lt;($F$8-$E$8)/($G$8-$E$8),$E$8+SQRT(R469*($G$8-$E$8)*($F$8-$E$8)),$G$8-SQRT((1-R469)*($G$8-$E$8)*($G$8-$F$8))))</f>
        <v>1.04717005768314</v>
      </c>
      <c r="E469" s="51" t="n">
        <f aca="false">1+IF($G$9=$E$9,$F$9,IF(S469&lt;($F$9-$E$9)/($G$9-$E$9),$E$9+SQRT(S469*($G$9-$E$9)*($F$9-$E$9)),$G$9-SQRT((1-S469)*($G$9-$E$9)*($G$9-$F$9))))</f>
        <v>1.07764332920676</v>
      </c>
      <c r="F469" s="51" t="n">
        <f aca="false">1+IF($G$10=$E$10,$F$10,IF(T469&lt;($F$10-$E$10)/($G$10-$E$10),$E$10+SQRT(T469*($G$10-$E$10)*($F$10-$E$10)),$G$10-SQRT((1-T469)*($G$10-$E$10)*($G$10-$F$10))))</f>
        <v>0.993855410888311</v>
      </c>
      <c r="G469" s="52" t="n">
        <f aca="false">IF($G$11=$E$11,$F$11,IF(U469&lt;($F$11-$E$11)/($G$11-$E$11),$E$11+SQRT(U469*($G$11-$E$11)*($F$11-$E$11)),$G$11-SQRT((1-U469)*($G$11-$E$11)*($G$11-$F$11))))</f>
        <v>0.107060279013676</v>
      </c>
      <c r="H469" s="53" t="n">
        <f aca="false">(('Business Case'!B11*$C469*'Business Case'!B12*$B469)-'Business Case'!B11*$C469*'Business Case'!B13*$D469-'Business Case'!B14*$E469)-MAX(0,(('Business Case'!B11*$C469*'Business Case'!B12*$B469)-'Business Case'!B11*$C469*'Business Case'!B13*$D469-'Business Case'!B14*$E469))*'Business Case'!$B$7-'Business Case'!$B$8*('Business Case'!B11*$C469*'Business Case'!B12*$B469)-'Business Case'!B15*$F469</f>
        <v>-1987710821.77662</v>
      </c>
      <c r="I469" s="53" t="n">
        <f aca="false">(('Business Case'!C11*$C469*'Business Case'!C12*$B469)-'Business Case'!C11*$C469*'Business Case'!C13*$D469-'Business Case'!C14*$E469)-MAX(0,(('Business Case'!C11*$C469*'Business Case'!C12*$B469)-'Business Case'!C11*$C469*'Business Case'!C13*$D469-'Business Case'!C14*$E469))*'Business Case'!$B$7-'Business Case'!$B$8*(('Business Case'!C11*$C469*'Business Case'!C12*$B469)-('Business Case'!B11*$C469*'Business Case'!B12*$B469))-'Business Case'!C15*$F469</f>
        <v>-33050359.4539024</v>
      </c>
      <c r="J469" s="53" t="n">
        <f aca="false">(('Business Case'!D11*$C469*'Business Case'!D12*$B469)-'Business Case'!D11*$C469*'Business Case'!D13*$D469-'Business Case'!D14*$E469)-MAX(0,(('Business Case'!D11*$C469*'Business Case'!D12*$B469)-'Business Case'!D11*$C469*'Business Case'!D13*$D469-'Business Case'!D14*$E469))*'Business Case'!$B$7-'Business Case'!$B$8*(('Business Case'!D11*$C469*'Business Case'!D12*$B469)-('Business Case'!C11*$C469*'Business Case'!C12*$B469))-'Business Case'!D15*$F469</f>
        <v>238813811.847184</v>
      </c>
      <c r="K469" s="53" t="n">
        <f aca="false">(('Business Case'!E11*$C469*'Business Case'!E12*$B469)-'Business Case'!E11*$C469*'Business Case'!E13*$D469-'Business Case'!E14*$E469)-MAX(0,(('Business Case'!E11*$C469*'Business Case'!E12*$B469)-'Business Case'!E11*$C469*'Business Case'!E13*$D469-'Business Case'!E14*$E469))*'Business Case'!$B$7-'Business Case'!$B$8*(('Business Case'!E11*$C469*'Business Case'!E12*$B469)-('Business Case'!D11*$C469*'Business Case'!D12*$B469))-'Business Case'!E15*$F469</f>
        <v>560370753.692686</v>
      </c>
      <c r="L469" s="53" t="n">
        <f aca="false">(('Business Case'!F11*$C469*'Business Case'!F12*$B469)-'Business Case'!F11*$C469*'Business Case'!F13*$D469-'Business Case'!F14*$E469)-MAX(0,(('Business Case'!F11*$C469*'Business Case'!F12*$B469)-'Business Case'!F11*$C469*'Business Case'!F13*$D469-'Business Case'!F14*$E469))*'Business Case'!$B$7-'Business Case'!$B$8*(('Business Case'!F11*$C469*'Business Case'!F12*$B469)-('Business Case'!E11*$C469*'Business Case'!E12*$B469))-'Business Case'!F15*$F469</f>
        <v>685850882.961686</v>
      </c>
      <c r="M469" s="53" t="n">
        <f aca="false">(('Business Case'!G11*$C469*'Business Case'!G12*$B469)-'Business Case'!G11*$C469*'Business Case'!G13*$D469-'Business Case'!G14*$E469)-MAX(0,(('Business Case'!G11*$C469*'Business Case'!G12*$B469)-'Business Case'!G11*$C469*'Business Case'!G13*$D469-'Business Case'!G14*$E469))*'Business Case'!$B$7-'Business Case'!$B$8*(('Business Case'!G11*$C469*'Business Case'!G12*$B469)-('Business Case'!F11*$C469*'Business Case'!F12*$B469))-'Business Case'!G15*$F469+'Business Case'!$B$8*('Business Case'!G11*$C469*'Business Case'!G12*$B469)</f>
        <v>877573946.55586</v>
      </c>
      <c r="N469" s="53" t="n">
        <f aca="false">IF(COUNT('Business Case'!B11:G11)=0,"",H469+NPV(G469,I469:M469))</f>
        <v>-425338433.543788</v>
      </c>
      <c r="P469" s="54" t="n">
        <f aca="true">RAND()</f>
        <v>0.320717773499244</v>
      </c>
      <c r="Q469" s="54" t="n">
        <f aca="true">RAND()</f>
        <v>0.743648702533848</v>
      </c>
      <c r="R469" s="54" t="n">
        <f aca="true">RAND()</f>
        <v>0.8963648930261</v>
      </c>
      <c r="S469" s="54" t="n">
        <f aca="true">RAND()</f>
        <v>0.966678618069514</v>
      </c>
      <c r="T469" s="54" t="n">
        <f aca="true">RAND()</f>
        <v>0.153863765134604</v>
      </c>
      <c r="U469" s="54" t="n">
        <f aca="true">RAND()</f>
        <v>0.720939367993483</v>
      </c>
    </row>
    <row r="470" customFormat="false" ht="15" hidden="false" customHeight="false" outlineLevel="0" collapsed="false">
      <c r="A470" s="50" t="n">
        <v>390</v>
      </c>
      <c r="B470" s="51" t="n">
        <f aca="false">1+IF($G$6=$E$6,$F$6,IF(P470&lt;($F$6-$E$6)/($G$6-$E$6),$E$6+SQRT(P470*($G$6-$E$6)*($F$6-$E$6)),$G$6-SQRT((1-P470)*($G$6-$E$6)*($G$6-$F$6))))</f>
        <v>0.982092160672716</v>
      </c>
      <c r="C470" s="51" t="n">
        <f aca="false">1+IF($G$7=$E$7,$F$7,IF(Q470&lt;($F$7-$E$7)/($G$7-$E$7),$E$7+SQRT(Q470*($G$7-$E$7)*($F$7-$E$7)),$G$7-SQRT((1-Q470)*($G$7-$E$7)*($G$7-$F$7))))</f>
        <v>0.926311693440317</v>
      </c>
      <c r="D470" s="51" t="n">
        <f aca="false">1+IF($G$8=$E$8,$F$8,IF(R470&lt;($F$8-$E$8)/($G$8-$E$8),$E$8+SQRT(R470*($G$8-$E$8)*($F$8-$E$8)),$G$8-SQRT((1-R470)*($G$8-$E$8)*($G$8-$F$8))))</f>
        <v>0.987564350586483</v>
      </c>
      <c r="E470" s="51" t="n">
        <f aca="false">1+IF($G$9=$E$9,$F$9,IF(S470&lt;($F$9-$E$9)/($G$9-$E$9),$E$9+SQRT(S470*($G$9-$E$9)*($F$9-$E$9)),$G$9-SQRT((1-S470)*($G$9-$E$9)*($G$9-$F$9))))</f>
        <v>1.0736312123024</v>
      </c>
      <c r="F470" s="51" t="n">
        <f aca="false">1+IF($G$10=$E$10,$F$10,IF(T470&lt;($F$10-$E$10)/($G$10-$E$10),$E$10+SQRT(T470*($G$10-$E$10)*($F$10-$E$10)),$G$10-SQRT((1-T470)*($G$10-$E$10)*($G$10-$F$10))))</f>
        <v>1.04898758936875</v>
      </c>
      <c r="G470" s="52" t="n">
        <f aca="false">IF($G$11=$E$11,$F$11,IF(U470&lt;($F$11-$E$11)/($G$11-$E$11),$E$11+SQRT(U470*($G$11-$E$11)*($F$11-$E$11)),$G$11-SQRT((1-U470)*($G$11-$E$11)*($G$11-$F$11))))</f>
        <v>0.110555649293544</v>
      </c>
      <c r="H470" s="53" t="n">
        <f aca="false">(('Business Case'!B11*$C470*'Business Case'!B12*$B470)-'Business Case'!B11*$C470*'Business Case'!B13*$D470-'Business Case'!B14*$E470)-MAX(0,(('Business Case'!B11*$C470*'Business Case'!B12*$B470)-'Business Case'!B11*$C470*'Business Case'!B13*$D470-'Business Case'!B14*$E470))*'Business Case'!$B$7-'Business Case'!$B$8*('Business Case'!B11*$C470*'Business Case'!B12*$B470)-'Business Case'!B15*$F470</f>
        <v>-2097975178.7375</v>
      </c>
      <c r="I470" s="53" t="n">
        <f aca="false">(('Business Case'!C11*$C470*'Business Case'!C12*$B470)-'Business Case'!C11*$C470*'Business Case'!C13*$D470-'Business Case'!C14*$E470)-MAX(0,(('Business Case'!C11*$C470*'Business Case'!C12*$B470)-'Business Case'!C11*$C470*'Business Case'!C13*$D470-'Business Case'!C14*$E470))*'Business Case'!$B$7-'Business Case'!$B$8*(('Business Case'!C11*$C470*'Business Case'!C12*$B470)-('Business Case'!B11*$C470*'Business Case'!B12*$B470))-'Business Case'!C15*$F470</f>
        <v>-27900701.9086838</v>
      </c>
      <c r="J470" s="53" t="n">
        <f aca="false">(('Business Case'!D11*$C470*'Business Case'!D12*$B470)-'Business Case'!D11*$C470*'Business Case'!D13*$D470-'Business Case'!D14*$E470)-MAX(0,(('Business Case'!D11*$C470*'Business Case'!D12*$B470)-'Business Case'!D11*$C470*'Business Case'!D13*$D470-'Business Case'!D14*$E470))*'Business Case'!$B$7-'Business Case'!$B$8*(('Business Case'!D11*$C470*'Business Case'!D12*$B470)-('Business Case'!C11*$C470*'Business Case'!C12*$B470))-'Business Case'!D15*$F470</f>
        <v>248927777.284809</v>
      </c>
      <c r="K470" s="53" t="n">
        <f aca="false">(('Business Case'!E11*$C470*'Business Case'!E12*$B470)-'Business Case'!E11*$C470*'Business Case'!E13*$D470-'Business Case'!E14*$E470)-MAX(0,(('Business Case'!E11*$C470*'Business Case'!E12*$B470)-'Business Case'!E11*$C470*'Business Case'!E13*$D470-'Business Case'!E14*$E470))*'Business Case'!$B$7-'Business Case'!$B$8*(('Business Case'!E11*$C470*'Business Case'!E12*$B470)-('Business Case'!D11*$C470*'Business Case'!D12*$B470))-'Business Case'!E15*$F470</f>
        <v>578205635.946738</v>
      </c>
      <c r="L470" s="53" t="n">
        <f aca="false">(('Business Case'!F11*$C470*'Business Case'!F12*$B470)-'Business Case'!F11*$C470*'Business Case'!F13*$D470-'Business Case'!F14*$E470)-MAX(0,(('Business Case'!F11*$C470*'Business Case'!F12*$B470)-'Business Case'!F11*$C470*'Business Case'!F13*$D470-'Business Case'!F14*$E470))*'Business Case'!$B$7-'Business Case'!$B$8*(('Business Case'!F11*$C470*'Business Case'!F12*$B470)-('Business Case'!E11*$C470*'Business Case'!E12*$B470))-'Business Case'!F15*$F470</f>
        <v>701921838.195169</v>
      </c>
      <c r="M470" s="53" t="n">
        <f aca="false">(('Business Case'!G11*$C470*'Business Case'!G12*$B470)-'Business Case'!G11*$C470*'Business Case'!G13*$D470-'Business Case'!G14*$E470)-MAX(0,(('Business Case'!G11*$C470*'Business Case'!G12*$B470)-'Business Case'!G11*$C470*'Business Case'!G13*$D470-'Business Case'!G14*$E470))*'Business Case'!$B$7-'Business Case'!$B$8*(('Business Case'!G11*$C470*'Business Case'!G12*$B470)-('Business Case'!F11*$C470*'Business Case'!F12*$B470))-'Business Case'!G15*$F470+'Business Case'!$B$8*('Business Case'!G11*$C470*'Business Case'!G12*$B470)</f>
        <v>874842072.040135</v>
      </c>
      <c r="N470" s="53" t="n">
        <f aca="false">IF(COUNT('Business Case'!B11:G11)=0,"",H470+NPV(G470,I470:M470))</f>
        <v>-519788762.900036</v>
      </c>
      <c r="P470" s="54" t="n">
        <f aca="true">RAND()</f>
        <v>0.401607960104833</v>
      </c>
      <c r="Q470" s="54" t="n">
        <f aca="true">RAND()</f>
        <v>0.227923484282293</v>
      </c>
      <c r="R470" s="54" t="n">
        <f aca="true">RAND()</f>
        <v>0.217089297689881</v>
      </c>
      <c r="S470" s="54" t="n">
        <f aca="true">RAND()</f>
        <v>0.953645802357257</v>
      </c>
      <c r="T470" s="54" t="n">
        <f aca="true">RAND()</f>
        <v>0.543905036706782</v>
      </c>
      <c r="U470" s="54" t="n">
        <f aca="true">RAND()</f>
        <v>0.851340399555759</v>
      </c>
    </row>
    <row r="471" customFormat="false" ht="15" hidden="false" customHeight="false" outlineLevel="0" collapsed="false">
      <c r="A471" s="50" t="n">
        <v>391</v>
      </c>
      <c r="B471" s="51" t="n">
        <f aca="false">1+IF($G$6=$E$6,$F$6,IF(P471&lt;($F$6-$E$6)/($G$6-$E$6),$E$6+SQRT(P471*($G$6-$E$6)*($F$6-$E$6)),$G$6-SQRT((1-P471)*($G$6-$E$6)*($G$6-$F$6))))</f>
        <v>0.996317816399333</v>
      </c>
      <c r="C471" s="51" t="n">
        <f aca="false">1+IF($G$7=$E$7,$F$7,IF(Q471&lt;($F$7-$E$7)/($G$7-$E$7),$E$7+SQRT(Q471*($G$7-$E$7)*($F$7-$E$7)),$G$7-SQRT((1-Q471)*($G$7-$E$7)*($G$7-$F$7))))</f>
        <v>0.874211874202537</v>
      </c>
      <c r="D471" s="51" t="n">
        <f aca="false">1+IF($G$8=$E$8,$F$8,IF(R471&lt;($F$8-$E$8)/($G$8-$E$8),$E$8+SQRT(R471*($G$8-$E$8)*($F$8-$E$8)),$G$8-SQRT((1-R471)*($G$8-$E$8)*($G$8-$F$8))))</f>
        <v>0.965839743864745</v>
      </c>
      <c r="E471" s="51" t="n">
        <f aca="false">1+IF($G$9=$E$9,$F$9,IF(S471&lt;($F$9-$E$9)/($G$9-$E$9),$E$9+SQRT(S471*($G$9-$E$9)*($F$9-$E$9)),$G$9-SQRT((1-S471)*($G$9-$E$9)*($G$9-$F$9))))</f>
        <v>1.0113894826271</v>
      </c>
      <c r="F471" s="51" t="n">
        <f aca="false">1+IF($G$10=$E$10,$F$10,IF(T471&lt;($F$10-$E$10)/($G$10-$E$10),$E$10+SQRT(T471*($G$10-$E$10)*($F$10-$E$10)),$G$10-SQRT((1-T471)*($G$10-$E$10)*($G$10-$F$10))))</f>
        <v>0.991134805247873</v>
      </c>
      <c r="G471" s="52" t="n">
        <f aca="false">IF($G$11=$E$11,$F$11,IF(U471&lt;($F$11-$E$11)/($G$11-$E$11),$E$11+SQRT(U471*($G$11-$E$11)*($F$11-$E$11)),$G$11-SQRT((1-U471)*($G$11-$E$11)*($G$11-$F$11))))</f>
        <v>0.104987880112383</v>
      </c>
      <c r="H471" s="53" t="n">
        <f aca="false">(('Business Case'!B11*$C471*'Business Case'!B12*$B471)-'Business Case'!B11*$C471*'Business Case'!B13*$D471-'Business Case'!B14*$E471)-MAX(0,(('Business Case'!B11*$C471*'Business Case'!B12*$B471)-'Business Case'!B11*$C471*'Business Case'!B13*$D471-'Business Case'!B14*$E471))*'Business Case'!$B$7-'Business Case'!$B$8*('Business Case'!B11*$C471*'Business Case'!B12*$B471)-'Business Case'!B15*$F471</f>
        <v>-1982269610.49575</v>
      </c>
      <c r="I471" s="53" t="n">
        <f aca="false">(('Business Case'!C11*$C471*'Business Case'!C12*$B471)-'Business Case'!C11*$C471*'Business Case'!C13*$D471-'Business Case'!C14*$E471)-MAX(0,(('Business Case'!C11*$C471*'Business Case'!C12*$B471)-'Business Case'!C11*$C471*'Business Case'!C13*$D471-'Business Case'!C14*$E471))*'Business Case'!$B$7-'Business Case'!$B$8*(('Business Case'!C11*$C471*'Business Case'!C12*$B471)-('Business Case'!B11*$C471*'Business Case'!B12*$B471))-'Business Case'!C15*$F471</f>
        <v>-6918388.03067218</v>
      </c>
      <c r="J471" s="53" t="n">
        <f aca="false">(('Business Case'!D11*$C471*'Business Case'!D12*$B471)-'Business Case'!D11*$C471*'Business Case'!D13*$D471-'Business Case'!D14*$E471)-MAX(0,(('Business Case'!D11*$C471*'Business Case'!D12*$B471)-'Business Case'!D11*$C471*'Business Case'!D13*$D471-'Business Case'!D14*$E471))*'Business Case'!$B$7-'Business Case'!$B$8*(('Business Case'!D11*$C471*'Business Case'!D12*$B471)-('Business Case'!C11*$C471*'Business Case'!C12*$B471))-'Business Case'!D15*$F471</f>
        <v>274248559.044468</v>
      </c>
      <c r="K471" s="53" t="n">
        <f aca="false">(('Business Case'!E11*$C471*'Business Case'!E12*$B471)-'Business Case'!E11*$C471*'Business Case'!E13*$D471-'Business Case'!E14*$E471)-MAX(0,(('Business Case'!E11*$C471*'Business Case'!E12*$B471)-'Business Case'!E11*$C471*'Business Case'!E13*$D471-'Business Case'!E14*$E471))*'Business Case'!$B$7-'Business Case'!$B$8*(('Business Case'!E11*$C471*'Business Case'!E12*$B471)-('Business Case'!D11*$C471*'Business Case'!D12*$B471))-'Business Case'!E15*$F471</f>
        <v>604972246.382001</v>
      </c>
      <c r="L471" s="53" t="n">
        <f aca="false">(('Business Case'!F11*$C471*'Business Case'!F12*$B471)-'Business Case'!F11*$C471*'Business Case'!F13*$D471-'Business Case'!F14*$E471)-MAX(0,(('Business Case'!F11*$C471*'Business Case'!F12*$B471)-'Business Case'!F11*$C471*'Business Case'!F13*$D471-'Business Case'!F14*$E471))*'Business Case'!$B$7-'Business Case'!$B$8*(('Business Case'!F11*$C471*'Business Case'!F12*$B471)-('Business Case'!E11*$C471*'Business Case'!E12*$B471))-'Business Case'!F15*$F471</f>
        <v>728796075.508015</v>
      </c>
      <c r="M471" s="53" t="n">
        <f aca="false">(('Business Case'!G11*$C471*'Business Case'!G12*$B471)-'Business Case'!G11*$C471*'Business Case'!G13*$D471-'Business Case'!G14*$E471)-MAX(0,(('Business Case'!G11*$C471*'Business Case'!G12*$B471)-'Business Case'!G11*$C471*'Business Case'!G13*$D471-'Business Case'!G14*$E471))*'Business Case'!$B$7-'Business Case'!$B$8*(('Business Case'!G11*$C471*'Business Case'!G12*$B471)-('Business Case'!F11*$C471*'Business Case'!F12*$B471))-'Business Case'!G15*$F471+'Business Case'!$B$8*('Business Case'!G11*$C471*'Business Case'!G12*$B471)</f>
        <v>894354399.396671</v>
      </c>
      <c r="N471" s="53" t="n">
        <f aca="false">IF(COUNT('Business Case'!B11:G11)=0,"",H471+NPV(G471,I471:M471))</f>
        <v>-283770141.726847</v>
      </c>
      <c r="P471" s="54" t="n">
        <f aca="true">RAND()</f>
        <v>0.606709281246071</v>
      </c>
      <c r="Q471" s="54" t="n">
        <f aca="true">RAND()</f>
        <v>0.0786771753236172</v>
      </c>
      <c r="R471" s="54" t="n">
        <f aca="true">RAND()</f>
        <v>0.0385996131847254</v>
      </c>
      <c r="S471" s="54" t="n">
        <f aca="true">RAND()</f>
        <v>0.476545080727083</v>
      </c>
      <c r="T471" s="54" t="n">
        <f aca="true">RAND()</f>
        <v>0.135365776222433</v>
      </c>
      <c r="U471" s="54" t="n">
        <f aca="true">RAND()</f>
        <v>0.624393760799697</v>
      </c>
    </row>
    <row r="472" customFormat="false" ht="15" hidden="false" customHeight="false" outlineLevel="0" collapsed="false">
      <c r="A472" s="50" t="n">
        <v>392</v>
      </c>
      <c r="B472" s="51" t="n">
        <f aca="false">1+IF($G$6=$E$6,$F$6,IF(P472&lt;($F$6-$E$6)/($G$6-$E$6),$E$6+SQRT(P472*($G$6-$E$6)*($F$6-$E$6)),$G$6-SQRT((1-P472)*($G$6-$E$6)*($G$6-$F$6))))</f>
        <v>0.952987438129172</v>
      </c>
      <c r="C472" s="51" t="n">
        <f aca="false">1+IF($G$7=$E$7,$F$7,IF(Q472&lt;($F$7-$E$7)/($G$7-$E$7),$E$7+SQRT(Q472*($G$7-$E$7)*($F$7-$E$7)),$G$7-SQRT((1-Q472)*($G$7-$E$7)*($G$7-$F$7))))</f>
        <v>0.95504356322266</v>
      </c>
      <c r="D472" s="51" t="n">
        <f aca="false">1+IF($G$8=$E$8,$F$8,IF(R472&lt;($F$8-$E$8)/($G$8-$E$8),$E$8+SQRT(R472*($G$8-$E$8)*($F$8-$E$8)),$G$8-SQRT((1-R472)*($G$8-$E$8)*($G$8-$F$8))))</f>
        <v>1.03370103297948</v>
      </c>
      <c r="E472" s="51" t="n">
        <f aca="false">1+IF($G$9=$E$9,$F$9,IF(S472&lt;($F$9-$E$9)/($G$9-$E$9),$E$9+SQRT(S472*($G$9-$E$9)*($F$9-$E$9)),$G$9-SQRT((1-S472)*($G$9-$E$9)*($G$9-$F$9))))</f>
        <v>1.02670689984464</v>
      </c>
      <c r="F472" s="51" t="n">
        <f aca="false">1+IF($G$10=$E$10,$F$10,IF(T472&lt;($F$10-$E$10)/($G$10-$E$10),$E$10+SQRT(T472*($G$10-$E$10)*($F$10-$E$10)),$G$10-SQRT((1-T472)*($G$10-$E$10)*($G$10-$F$10))))</f>
        <v>1.12800282977062</v>
      </c>
      <c r="G472" s="52" t="n">
        <f aca="false">IF($G$11=$E$11,$F$11,IF(U472&lt;($F$11-$E$11)/($G$11-$E$11),$E$11+SQRT(U472*($G$11-$E$11)*($F$11-$E$11)),$G$11-SQRT((1-U472)*($G$11-$E$11)*($G$11-$F$11))))</f>
        <v>0.106973088452797</v>
      </c>
      <c r="H472" s="53" t="n">
        <f aca="false">(('Business Case'!B11*$C472*'Business Case'!B12*$B472)-'Business Case'!B11*$C472*'Business Case'!B13*$D472-'Business Case'!B14*$E472)-MAX(0,(('Business Case'!B11*$C472*'Business Case'!B12*$B472)-'Business Case'!B11*$C472*'Business Case'!B13*$D472-'Business Case'!B14*$E472))*'Business Case'!$B$7-'Business Case'!$B$8*('Business Case'!B11*$C472*'Business Case'!B12*$B472)-'Business Case'!B15*$F472</f>
        <v>-2256005659.54123</v>
      </c>
      <c r="I472" s="53" t="n">
        <f aca="false">(('Business Case'!C11*$C472*'Business Case'!C12*$B472)-'Business Case'!C11*$C472*'Business Case'!C13*$D472-'Business Case'!C14*$E472)-MAX(0,(('Business Case'!C11*$C472*'Business Case'!C12*$B472)-'Business Case'!C11*$C472*'Business Case'!C13*$D472-'Business Case'!C14*$E472))*'Business Case'!$B$7-'Business Case'!$B$8*(('Business Case'!C11*$C472*'Business Case'!C12*$B472)-('Business Case'!B11*$C472*'Business Case'!B12*$B472))-'Business Case'!C15*$F472</f>
        <v>-65888539.6016965</v>
      </c>
      <c r="J472" s="53" t="n">
        <f aca="false">(('Business Case'!D11*$C472*'Business Case'!D12*$B472)-'Business Case'!D11*$C472*'Business Case'!D13*$D472-'Business Case'!D14*$E472)-MAX(0,(('Business Case'!D11*$C472*'Business Case'!D12*$B472)-'Business Case'!D11*$C472*'Business Case'!D13*$D472-'Business Case'!D14*$E472))*'Business Case'!$B$7-'Business Case'!$B$8*(('Business Case'!D11*$C472*'Business Case'!D12*$B472)-('Business Case'!C11*$C472*'Business Case'!C12*$B472))-'Business Case'!D15*$F472</f>
        <v>174202816.776699</v>
      </c>
      <c r="K472" s="53" t="n">
        <f aca="false">(('Business Case'!E11*$C472*'Business Case'!E12*$B472)-'Business Case'!E11*$C472*'Business Case'!E13*$D472-'Business Case'!E14*$E472)-MAX(0,(('Business Case'!E11*$C472*'Business Case'!E12*$B472)-'Business Case'!E11*$C472*'Business Case'!E13*$D472-'Business Case'!E14*$E472))*'Business Case'!$B$7-'Business Case'!$B$8*(('Business Case'!E11*$C472*'Business Case'!E12*$B472)-('Business Case'!D11*$C472*'Business Case'!D12*$B472))-'Business Case'!E15*$F472</f>
        <v>470694314.643624</v>
      </c>
      <c r="L472" s="53" t="n">
        <f aca="false">(('Business Case'!F11*$C472*'Business Case'!F12*$B472)-'Business Case'!F11*$C472*'Business Case'!F13*$D472-'Business Case'!F14*$E472)-MAX(0,(('Business Case'!F11*$C472*'Business Case'!F12*$B472)-'Business Case'!F11*$C472*'Business Case'!F13*$D472-'Business Case'!F14*$E472))*'Business Case'!$B$7-'Business Case'!$B$8*(('Business Case'!F11*$C472*'Business Case'!F12*$B472)-('Business Case'!E11*$C472*'Business Case'!E12*$B472))-'Business Case'!F15*$F472</f>
        <v>582179361.33317</v>
      </c>
      <c r="M472" s="53" t="n">
        <f aca="false">(('Business Case'!G11*$C472*'Business Case'!G12*$B472)-'Business Case'!G11*$C472*'Business Case'!G13*$D472-'Business Case'!G14*$E472)-MAX(0,(('Business Case'!G11*$C472*'Business Case'!G12*$B472)-'Business Case'!G11*$C472*'Business Case'!G13*$D472-'Business Case'!G14*$E472))*'Business Case'!$B$7-'Business Case'!$B$8*(('Business Case'!G11*$C472*'Business Case'!G12*$B472)-('Business Case'!F11*$C472*'Business Case'!F12*$B472))-'Business Case'!G15*$F472+'Business Case'!$B$8*('Business Case'!G11*$C472*'Business Case'!G12*$B472)</f>
        <v>755179631.43195</v>
      </c>
      <c r="N472" s="53" t="n">
        <f aca="false">IF(COUNT('Business Case'!B11:G11)=0,"",H472+NPV(G472,I472:M472))</f>
        <v>-984332568.710776</v>
      </c>
      <c r="P472" s="54" t="n">
        <f aca="true">RAND()</f>
        <v>0.113351153575621</v>
      </c>
      <c r="Q472" s="54" t="n">
        <f aca="true">RAND()</f>
        <v>0.343407235668272</v>
      </c>
      <c r="R472" s="54" t="n">
        <f aca="true">RAND()</f>
        <v>0.793885158926224</v>
      </c>
      <c r="S472" s="54" t="n">
        <f aca="true">RAND()</f>
        <v>0.641874764641109</v>
      </c>
      <c r="T472" s="54" t="n">
        <f aca="true">RAND()</f>
        <v>0.896328149579223</v>
      </c>
      <c r="U472" s="54" t="n">
        <f aca="true">RAND()</f>
        <v>0.717165959235585</v>
      </c>
    </row>
    <row r="473" customFormat="false" ht="15" hidden="false" customHeight="false" outlineLevel="0" collapsed="false">
      <c r="A473" s="50" t="n">
        <v>393</v>
      </c>
      <c r="B473" s="51" t="n">
        <f aca="false">1+IF($G$6=$E$6,$F$6,IF(P473&lt;($F$6-$E$6)/($G$6-$E$6),$E$6+SQRT(P473*($G$6-$E$6)*($F$6-$E$6)),$G$6-SQRT((1-P473)*($G$6-$E$6)*($G$6-$F$6))))</f>
        <v>0.959058870703077</v>
      </c>
      <c r="C473" s="51" t="n">
        <f aca="false">1+IF($G$7=$E$7,$F$7,IF(Q473&lt;($F$7-$E$7)/($G$7-$E$7),$E$7+SQRT(Q473*($G$7-$E$7)*($F$7-$E$7)),$G$7-SQRT((1-Q473)*($G$7-$E$7)*($G$7-$F$7))))</f>
        <v>0.885550139270701</v>
      </c>
      <c r="D473" s="51" t="n">
        <f aca="false">1+IF($G$8=$E$8,$F$8,IF(R473&lt;($F$8-$E$8)/($G$8-$E$8),$E$8+SQRT(R473*($G$8-$E$8)*($F$8-$E$8)),$G$8-SQRT((1-R473)*($G$8-$E$8)*($G$8-$F$8))))</f>
        <v>1.0266271915475</v>
      </c>
      <c r="E473" s="51" t="n">
        <f aca="false">1+IF($G$9=$E$9,$F$9,IF(S473&lt;($F$9-$E$9)/($G$9-$E$9),$E$9+SQRT(S473*($G$9-$E$9)*($F$9-$E$9)),$G$9-SQRT((1-S473)*($G$9-$E$9)*($G$9-$F$9))))</f>
        <v>1.02018406732253</v>
      </c>
      <c r="F473" s="51" t="n">
        <f aca="false">1+IF($G$10=$E$10,$F$10,IF(T473&lt;($F$10-$E$10)/($G$10-$E$10),$E$10+SQRT(T473*($G$10-$E$10)*($F$10-$E$10)),$G$10-SQRT((1-T473)*($G$10-$E$10)*($G$10-$F$10))))</f>
        <v>1.08750207358173</v>
      </c>
      <c r="G473" s="52" t="n">
        <f aca="false">IF($G$11=$E$11,$F$11,IF(U473&lt;($F$11-$E$11)/($G$11-$E$11),$E$11+SQRT(U473*($G$11-$E$11)*($F$11-$E$11)),$G$11-SQRT((1-U473)*($G$11-$E$11)*($G$11-$F$11))))</f>
        <v>0.100205459447515</v>
      </c>
      <c r="H473" s="53" t="n">
        <f aca="false">(('Business Case'!B11*$C473*'Business Case'!B12*$B473)-'Business Case'!B11*$C473*'Business Case'!B13*$D473-'Business Case'!B14*$E473)-MAX(0,(('Business Case'!B11*$C473*'Business Case'!B12*$B473)-'Business Case'!B11*$C473*'Business Case'!B13*$D473-'Business Case'!B14*$E473))*'Business Case'!$B$7-'Business Case'!$B$8*('Business Case'!B11*$C473*'Business Case'!B12*$B473)-'Business Case'!B15*$F473</f>
        <v>-2175004147.16346</v>
      </c>
      <c r="I473" s="53" t="n">
        <f aca="false">(('Business Case'!C11*$C473*'Business Case'!C12*$B473)-'Business Case'!C11*$C473*'Business Case'!C13*$D473-'Business Case'!C14*$E473)-MAX(0,(('Business Case'!C11*$C473*'Business Case'!C12*$B473)-'Business Case'!C11*$C473*'Business Case'!C13*$D473-'Business Case'!C14*$E473))*'Business Case'!$B$7-'Business Case'!$B$8*(('Business Case'!C11*$C473*'Business Case'!C12*$B473)-('Business Case'!B11*$C473*'Business Case'!B12*$B473))-'Business Case'!C15*$F473</f>
        <v>-67616051.85467</v>
      </c>
      <c r="J473" s="53" t="n">
        <f aca="false">(('Business Case'!D11*$C473*'Business Case'!D12*$B473)-'Business Case'!D11*$C473*'Business Case'!D13*$D473-'Business Case'!D14*$E473)-MAX(0,(('Business Case'!D11*$C473*'Business Case'!D12*$B473)-'Business Case'!D11*$C473*'Business Case'!D13*$D473-'Business Case'!D14*$E473))*'Business Case'!$B$7-'Business Case'!$B$8*(('Business Case'!D11*$C473*'Business Case'!D12*$B473)-('Business Case'!C11*$C473*'Business Case'!C12*$B473))-'Business Case'!D15*$F473</f>
        <v>162615716.126488</v>
      </c>
      <c r="K473" s="53" t="n">
        <f aca="false">(('Business Case'!E11*$C473*'Business Case'!E12*$B473)-'Business Case'!E11*$C473*'Business Case'!E13*$D473-'Business Case'!E14*$E473)-MAX(0,(('Business Case'!E11*$C473*'Business Case'!E12*$B473)-'Business Case'!E11*$C473*'Business Case'!E13*$D473-'Business Case'!E14*$E473))*'Business Case'!$B$7-'Business Case'!$B$8*(('Business Case'!E11*$C473*'Business Case'!E12*$B473)-('Business Case'!D11*$C473*'Business Case'!D12*$B473))-'Business Case'!E15*$F473</f>
        <v>447222587.786734</v>
      </c>
      <c r="L473" s="53" t="n">
        <f aca="false">(('Business Case'!F11*$C473*'Business Case'!F12*$B473)-'Business Case'!F11*$C473*'Business Case'!F13*$D473-'Business Case'!F14*$E473)-MAX(0,(('Business Case'!F11*$C473*'Business Case'!F12*$B473)-'Business Case'!F11*$C473*'Business Case'!F13*$D473-'Business Case'!F14*$E473))*'Business Case'!$B$7-'Business Case'!$B$8*(('Business Case'!F11*$C473*'Business Case'!F12*$B473)-('Business Case'!E11*$C473*'Business Case'!E12*$B473))-'Business Case'!F15*$F473</f>
        <v>553318135.850048</v>
      </c>
      <c r="M473" s="53" t="n">
        <f aca="false">(('Business Case'!G11*$C473*'Business Case'!G12*$B473)-'Business Case'!G11*$C473*'Business Case'!G13*$D473-'Business Case'!G14*$E473)-MAX(0,(('Business Case'!G11*$C473*'Business Case'!G12*$B473)-'Business Case'!G11*$C473*'Business Case'!G13*$D473-'Business Case'!G14*$E473))*'Business Case'!$B$7-'Business Case'!$B$8*(('Business Case'!G11*$C473*'Business Case'!G12*$B473)-('Business Case'!F11*$C473*'Business Case'!F12*$B473))-'Business Case'!G15*$F473+'Business Case'!$B$8*('Business Case'!G11*$C473*'Business Case'!G12*$B473)</f>
        <v>714752075.566153</v>
      </c>
      <c r="N473" s="53" t="n">
        <f aca="false">IF(COUNT('Business Case'!B11:G11)=0,"",H473+NPV(G473,I473:M473))</f>
        <v>-945270029.319481</v>
      </c>
      <c r="P473" s="54" t="n">
        <f aca="true">RAND()</f>
        <v>0.158916185479134</v>
      </c>
      <c r="Q473" s="54" t="n">
        <f aca="true">RAND()</f>
        <v>0.104554661846233</v>
      </c>
      <c r="R473" s="54" t="n">
        <f aca="true">RAND()</f>
        <v>0.726090703643487</v>
      </c>
      <c r="S473" s="54" t="n">
        <f aca="true">RAND()</f>
        <v>0.575294459388325</v>
      </c>
      <c r="T473" s="54" t="n">
        <f aca="true">RAND()</f>
        <v>0.746884331031798</v>
      </c>
      <c r="U473" s="54" t="n">
        <f aca="true">RAND()</f>
        <v>0.346960273860031</v>
      </c>
    </row>
    <row r="474" customFormat="false" ht="15" hidden="false" customHeight="false" outlineLevel="0" collapsed="false">
      <c r="A474" s="50" t="n">
        <v>394</v>
      </c>
      <c r="B474" s="51" t="n">
        <f aca="false">1+IF($G$6=$E$6,$F$6,IF(P474&lt;($F$6-$E$6)/($G$6-$E$6),$E$6+SQRT(P474*($G$6-$E$6)*($F$6-$E$6)),$G$6-SQRT((1-P474)*($G$6-$E$6)*($G$6-$F$6))))</f>
        <v>0.968289845941593</v>
      </c>
      <c r="C474" s="51" t="n">
        <f aca="false">1+IF($G$7=$E$7,$F$7,IF(Q474&lt;($F$7-$E$7)/($G$7-$E$7),$E$7+SQRT(Q474*($G$7-$E$7)*($F$7-$E$7)),$G$7-SQRT((1-Q474)*($G$7-$E$7)*($G$7-$F$7))))</f>
        <v>1.01569291402159</v>
      </c>
      <c r="D474" s="51" t="n">
        <f aca="false">1+IF($G$8=$E$8,$F$8,IF(R474&lt;($F$8-$E$8)/($G$8-$E$8),$E$8+SQRT(R474*($G$8-$E$8)*($F$8-$E$8)),$G$8-SQRT((1-R474)*($G$8-$E$8)*($G$8-$F$8))))</f>
        <v>1.0384321464998</v>
      </c>
      <c r="E474" s="51" t="n">
        <f aca="false">1+IF($G$9=$E$9,$F$9,IF(S474&lt;($F$9-$E$9)/($G$9-$E$9),$E$9+SQRT(S474*($G$9-$E$9)*($F$9-$E$9)),$G$9-SQRT((1-S474)*($G$9-$E$9)*($G$9-$F$9))))</f>
        <v>1.01262572873408</v>
      </c>
      <c r="F474" s="51" t="n">
        <f aca="false">1+IF($G$10=$E$10,$F$10,IF(T474&lt;($F$10-$E$10)/($G$10-$E$10),$E$10+SQRT(T474*($G$10-$E$10)*($F$10-$E$10)),$G$10-SQRT((1-T474)*($G$10-$E$10)*($G$10-$F$10))))</f>
        <v>1.00952665487856</v>
      </c>
      <c r="G474" s="52" t="n">
        <f aca="false">IF($G$11=$E$11,$F$11,IF(U474&lt;($F$11-$E$11)/($G$11-$E$11),$E$11+SQRT(U474*($G$11-$E$11)*($F$11-$E$11)),$G$11-SQRT((1-U474)*($G$11-$E$11)*($G$11-$F$11))))</f>
        <v>0.0921976608575433</v>
      </c>
      <c r="H474" s="53" t="n">
        <f aca="false">(('Business Case'!B11*$C474*'Business Case'!B12*$B474)-'Business Case'!B11*$C474*'Business Case'!B13*$D474-'Business Case'!B14*$E474)-MAX(0,(('Business Case'!B11*$C474*'Business Case'!B12*$B474)-'Business Case'!B11*$C474*'Business Case'!B13*$D474-'Business Case'!B14*$E474))*'Business Case'!$B$7-'Business Case'!$B$8*('Business Case'!B11*$C474*'Business Case'!B12*$B474)-'Business Case'!B15*$F474</f>
        <v>-2019053309.75712</v>
      </c>
      <c r="I474" s="53" t="n">
        <f aca="false">(('Business Case'!C11*$C474*'Business Case'!C12*$B474)-'Business Case'!C11*$C474*'Business Case'!C13*$D474-'Business Case'!C14*$E474)-MAX(0,(('Business Case'!C11*$C474*'Business Case'!C12*$B474)-'Business Case'!C11*$C474*'Business Case'!C13*$D474-'Business Case'!C14*$E474))*'Business Case'!$B$7-'Business Case'!$B$8*(('Business Case'!C11*$C474*'Business Case'!C12*$B474)-('Business Case'!B11*$C474*'Business Case'!B12*$B474))-'Business Case'!C15*$F474</f>
        <v>-30323223.0988136</v>
      </c>
      <c r="J474" s="53" t="n">
        <f aca="false">(('Business Case'!D11*$C474*'Business Case'!D12*$B474)-'Business Case'!D11*$C474*'Business Case'!D13*$D474-'Business Case'!D14*$E474)-MAX(0,(('Business Case'!D11*$C474*'Business Case'!D12*$B474)-'Business Case'!D11*$C474*'Business Case'!D13*$D474-'Business Case'!D14*$E474))*'Business Case'!$B$7-'Business Case'!$B$8*(('Business Case'!D11*$C474*'Business Case'!D12*$B474)-('Business Case'!C11*$C474*'Business Case'!C12*$B474))-'Business Case'!D15*$F474</f>
        <v>235285467.327157</v>
      </c>
      <c r="K474" s="53" t="n">
        <f aca="false">(('Business Case'!E11*$C474*'Business Case'!E12*$B474)-'Business Case'!E11*$C474*'Business Case'!E13*$D474-'Business Case'!E14*$E474)-MAX(0,(('Business Case'!E11*$C474*'Business Case'!E12*$B474)-'Business Case'!E11*$C474*'Business Case'!E13*$D474-'Business Case'!E14*$E474))*'Business Case'!$B$7-'Business Case'!$B$8*(('Business Case'!E11*$C474*'Business Case'!E12*$B474)-('Business Case'!D11*$C474*'Business Case'!D12*$B474))-'Business Case'!E15*$F474</f>
        <v>551370490.497057</v>
      </c>
      <c r="L474" s="53" t="n">
        <f aca="false">(('Business Case'!F11*$C474*'Business Case'!F12*$B474)-'Business Case'!F11*$C474*'Business Case'!F13*$D474-'Business Case'!F14*$E474)-MAX(0,(('Business Case'!F11*$C474*'Business Case'!F12*$B474)-'Business Case'!F11*$C474*'Business Case'!F13*$D474-'Business Case'!F14*$E474))*'Business Case'!$B$7-'Business Case'!$B$8*(('Business Case'!F11*$C474*'Business Case'!F12*$B474)-('Business Case'!E11*$C474*'Business Case'!E12*$B474))-'Business Case'!F15*$F474</f>
        <v>673895966.913009</v>
      </c>
      <c r="M474" s="53" t="n">
        <f aca="false">(('Business Case'!G11*$C474*'Business Case'!G12*$B474)-'Business Case'!G11*$C474*'Business Case'!G13*$D474-'Business Case'!G14*$E474)-MAX(0,(('Business Case'!G11*$C474*'Business Case'!G12*$B474)-'Business Case'!G11*$C474*'Business Case'!G13*$D474-'Business Case'!G14*$E474))*'Business Case'!$B$7-'Business Case'!$B$8*(('Business Case'!G11*$C474*'Business Case'!G12*$B474)-('Business Case'!F11*$C474*'Business Case'!F12*$B474))-'Business Case'!G15*$F474+'Business Case'!$B$8*('Business Case'!G11*$C474*'Business Case'!G12*$B474)</f>
        <v>860836821.419796</v>
      </c>
      <c r="N474" s="53" t="n">
        <f aca="false">IF(COUNT('Business Case'!B11:G11)=0,"",H474+NPV(G474,I474:M474))</f>
        <v>-398930907.420074</v>
      </c>
      <c r="P474" s="54" t="n">
        <f aca="true">RAND()</f>
        <v>0.242907210527373</v>
      </c>
      <c r="Q474" s="54" t="n">
        <f aca="true">RAND()</f>
        <v>0.656411555352172</v>
      </c>
      <c r="R474" s="54" t="n">
        <f aca="true">RAND()</f>
        <v>0.83385707263324</v>
      </c>
      <c r="S474" s="54" t="n">
        <f aca="true">RAND()</f>
        <v>0.491049114716665</v>
      </c>
      <c r="T474" s="54" t="n">
        <f aca="true">RAND()</f>
        <v>0.274398095964976</v>
      </c>
      <c r="U474" s="54" t="n">
        <f aca="true">RAND()</f>
        <v>0.0160990441492602</v>
      </c>
    </row>
    <row r="475" customFormat="false" ht="15" hidden="false" customHeight="false" outlineLevel="0" collapsed="false">
      <c r="A475" s="50" t="n">
        <v>395</v>
      </c>
      <c r="B475" s="51" t="n">
        <f aca="false">1+IF($G$6=$E$6,$F$6,IF(P475&lt;($F$6-$E$6)/($G$6-$E$6),$E$6+SQRT(P475*($G$6-$E$6)*($F$6-$E$6)),$G$6-SQRT((1-P475)*($G$6-$E$6)*($G$6-$F$6))))</f>
        <v>0.989162533331422</v>
      </c>
      <c r="C475" s="51" t="n">
        <f aca="false">1+IF($G$7=$E$7,$F$7,IF(Q475&lt;($F$7-$E$7)/($G$7-$E$7),$E$7+SQRT(Q475*($G$7-$E$7)*($F$7-$E$7)),$G$7-SQRT((1-Q475)*($G$7-$E$7)*($G$7-$F$7))))</f>
        <v>1.06048896666785</v>
      </c>
      <c r="D475" s="51" t="n">
        <f aca="false">1+IF($G$8=$E$8,$F$8,IF(R475&lt;($F$8-$E$8)/($G$8-$E$8),$E$8+SQRT(R475*($G$8-$E$8)*($F$8-$E$8)),$G$8-SQRT((1-R475)*($G$8-$E$8)*($G$8-$F$8))))</f>
        <v>1.00716601869552</v>
      </c>
      <c r="E475" s="51" t="n">
        <f aca="false">1+IF($G$9=$E$9,$F$9,IF(S475&lt;($F$9-$E$9)/($G$9-$E$9),$E$9+SQRT(S475*($G$9-$E$9)*($F$9-$E$9)),$G$9-SQRT((1-S475)*($G$9-$E$9)*($G$9-$F$9))))</f>
        <v>1.00882536432971</v>
      </c>
      <c r="F475" s="51" t="n">
        <f aca="false">1+IF($G$10=$E$10,$F$10,IF(T475&lt;($F$10-$E$10)/($G$10-$E$10),$E$10+SQRT(T475*($G$10-$E$10)*($F$10-$E$10)),$G$10-SQRT((1-T475)*($G$10-$E$10)*($G$10-$F$10))))</f>
        <v>0.984512333457317</v>
      </c>
      <c r="G475" s="52" t="n">
        <f aca="false">IF($G$11=$E$11,$F$11,IF(U475&lt;($F$11-$E$11)/($G$11-$E$11),$E$11+SQRT(U475*($G$11-$E$11)*($F$11-$E$11)),$G$11-SQRT((1-U475)*($G$11-$E$11)*($G$11-$F$11))))</f>
        <v>0.104659682755296</v>
      </c>
      <c r="H475" s="53" t="n">
        <f aca="false">(('Business Case'!B11*$C475*'Business Case'!B12*$B475)-'Business Case'!B11*$C475*'Business Case'!B13*$D475-'Business Case'!B14*$E475)-MAX(0,(('Business Case'!B11*$C475*'Business Case'!B12*$B475)-'Business Case'!B11*$C475*'Business Case'!B13*$D475-'Business Case'!B14*$E475))*'Business Case'!$B$7-'Business Case'!$B$8*('Business Case'!B11*$C475*'Business Case'!B12*$B475)-'Business Case'!B15*$F475</f>
        <v>-1969024666.91463</v>
      </c>
      <c r="I475" s="53" t="n">
        <f aca="false">(('Business Case'!C11*$C475*'Business Case'!C12*$B475)-'Business Case'!C11*$C475*'Business Case'!C13*$D475-'Business Case'!C14*$E475)-MAX(0,(('Business Case'!C11*$C475*'Business Case'!C12*$B475)-'Business Case'!C11*$C475*'Business Case'!C13*$D475-'Business Case'!C14*$E475))*'Business Case'!$B$7-'Business Case'!$B$8*(('Business Case'!C11*$C475*'Business Case'!C12*$B475)-('Business Case'!B11*$C475*'Business Case'!B12*$B475))-'Business Case'!C15*$F475</f>
        <v>16141223.1914939</v>
      </c>
      <c r="J475" s="53" t="n">
        <f aca="false">(('Business Case'!D11*$C475*'Business Case'!D12*$B475)-'Business Case'!D11*$C475*'Business Case'!D13*$D475-'Business Case'!D14*$E475)-MAX(0,(('Business Case'!D11*$C475*'Business Case'!D12*$B475)-'Business Case'!D11*$C475*'Business Case'!D13*$D475-'Business Case'!D14*$E475))*'Business Case'!$B$7-'Business Case'!$B$8*(('Business Case'!D11*$C475*'Business Case'!D12*$B475)-('Business Case'!C11*$C475*'Business Case'!C12*$B475))-'Business Case'!D15*$F475</f>
        <v>328568596.731587</v>
      </c>
      <c r="K475" s="53" t="n">
        <f aca="false">(('Business Case'!E11*$C475*'Business Case'!E12*$B475)-'Business Case'!E11*$C475*'Business Case'!E13*$D475-'Business Case'!E14*$E475)-MAX(0,(('Business Case'!E11*$C475*'Business Case'!E12*$B475)-'Business Case'!E11*$C475*'Business Case'!E13*$D475-'Business Case'!E14*$E475))*'Business Case'!$B$7-'Business Case'!$B$8*(('Business Case'!E11*$C475*'Business Case'!E12*$B475)-('Business Case'!D11*$C475*'Business Case'!D12*$B475))-'Business Case'!E15*$F475</f>
        <v>690221586.944547</v>
      </c>
      <c r="L475" s="53" t="n">
        <f aca="false">(('Business Case'!F11*$C475*'Business Case'!F12*$B475)-'Business Case'!F11*$C475*'Business Case'!F13*$D475-'Business Case'!F14*$E475)-MAX(0,(('Business Case'!F11*$C475*'Business Case'!F12*$B475)-'Business Case'!F11*$C475*'Business Case'!F13*$D475-'Business Case'!F14*$E475))*'Business Case'!$B$7-'Business Case'!$B$8*(('Business Case'!F11*$C475*'Business Case'!F12*$B475)-('Business Case'!E11*$C475*'Business Case'!E12*$B475))-'Business Case'!F15*$F475</f>
        <v>830617344.921367</v>
      </c>
      <c r="M475" s="53" t="n">
        <f aca="false">(('Business Case'!G11*$C475*'Business Case'!G12*$B475)-'Business Case'!G11*$C475*'Business Case'!G13*$D475-'Business Case'!G14*$E475)-MAX(0,(('Business Case'!G11*$C475*'Business Case'!G12*$B475)-'Business Case'!G11*$C475*'Business Case'!G13*$D475-'Business Case'!G14*$E475))*'Business Case'!$B$7-'Business Case'!$B$8*(('Business Case'!G11*$C475*'Business Case'!G12*$B475)-('Business Case'!F11*$C475*'Business Case'!F12*$B475))-'Business Case'!G15*$F475+'Business Case'!$B$8*('Business Case'!G11*$C475*'Business Case'!G12*$B475)</f>
        <v>1030010495.63704</v>
      </c>
      <c r="N475" s="53" t="n">
        <f aca="false">IF(COUNT('Business Case'!B11:G11)=0,"",H475+NPV(G475,I475:M475))</f>
        <v>10875318.5510952</v>
      </c>
      <c r="P475" s="54" t="n">
        <f aca="true">RAND()</f>
        <v>0.498276668418755</v>
      </c>
      <c r="Q475" s="54" t="n">
        <f aca="true">RAND()</f>
        <v>0.847386188796381</v>
      </c>
      <c r="R475" s="54" t="n">
        <f aca="true">RAND()</f>
        <v>0.489924150705584</v>
      </c>
      <c r="S475" s="54" t="n">
        <f aca="true">RAND()</f>
        <v>0.445812387359283</v>
      </c>
      <c r="T475" s="54" t="n">
        <f aca="true">RAND()</f>
        <v>0.0952880928535251</v>
      </c>
      <c r="U475" s="54" t="n">
        <f aca="true">RAND()</f>
        <v>0.607791111386376</v>
      </c>
    </row>
    <row r="476" customFormat="false" ht="15" hidden="false" customHeight="false" outlineLevel="0" collapsed="false">
      <c r="A476" s="50" t="n">
        <v>396</v>
      </c>
      <c r="B476" s="51" t="n">
        <f aca="false">1+IF($G$6=$E$6,$F$6,IF(P476&lt;($F$6-$E$6)/($G$6-$E$6),$E$6+SQRT(P476*($G$6-$E$6)*($F$6-$E$6)),$G$6-SQRT((1-P476)*($G$6-$E$6)*($G$6-$F$6))))</f>
        <v>1.02507451476099</v>
      </c>
      <c r="C476" s="51" t="n">
        <f aca="false">1+IF($G$7=$E$7,$F$7,IF(Q476&lt;($F$7-$E$7)/($G$7-$E$7),$E$7+SQRT(Q476*($G$7-$E$7)*($F$7-$E$7)),$G$7-SQRT((1-Q476)*($G$7-$E$7)*($G$7-$F$7))))</f>
        <v>1.03393692465215</v>
      </c>
      <c r="D476" s="51" t="n">
        <f aca="false">1+IF($G$8=$E$8,$F$8,IF(R476&lt;($F$8-$E$8)/($G$8-$E$8),$E$8+SQRT(R476*($G$8-$E$8)*($F$8-$E$8)),$G$8-SQRT((1-R476)*($G$8-$E$8)*($G$8-$F$8))))</f>
        <v>1.00636087299986</v>
      </c>
      <c r="E476" s="51" t="n">
        <f aca="false">1+IF($G$9=$E$9,$F$9,IF(S476&lt;($F$9-$E$9)/($G$9-$E$9),$E$9+SQRT(S476*($G$9-$E$9)*($F$9-$E$9)),$G$9-SQRT((1-S476)*($G$9-$E$9)*($G$9-$F$9))))</f>
        <v>0.984583114970398</v>
      </c>
      <c r="F476" s="51" t="n">
        <f aca="false">1+IF($G$10=$E$10,$F$10,IF(T476&lt;($F$10-$E$10)/($G$10-$E$10),$E$10+SQRT(T476*($G$10-$E$10)*($F$10-$E$10)),$G$10-SQRT((1-T476)*($G$10-$E$10)*($G$10-$F$10))))</f>
        <v>1.15454540599131</v>
      </c>
      <c r="G476" s="52" t="n">
        <f aca="false">IF($G$11=$E$11,$F$11,IF(U476&lt;($F$11-$E$11)/($G$11-$E$11),$E$11+SQRT(U476*($G$11-$E$11)*($F$11-$E$11)),$G$11-SQRT((1-U476)*($G$11-$E$11)*($G$11-$F$11))))</f>
        <v>0.10196924083054</v>
      </c>
      <c r="H476" s="53" t="n">
        <f aca="false">(('Business Case'!B11*$C476*'Business Case'!B12*$B476)-'Business Case'!B11*$C476*'Business Case'!B13*$D476-'Business Case'!B14*$E476)-MAX(0,(('Business Case'!B11*$C476*'Business Case'!B12*$B476)-'Business Case'!B11*$C476*'Business Case'!B13*$D476-'Business Case'!B14*$E476))*'Business Case'!$B$7-'Business Case'!$B$8*('Business Case'!B11*$C476*'Business Case'!B12*$B476)-'Business Case'!B15*$F476</f>
        <v>-2309090811.98263</v>
      </c>
      <c r="I476" s="53" t="n">
        <f aca="false">(('Business Case'!C11*$C476*'Business Case'!C12*$B476)-'Business Case'!C11*$C476*'Business Case'!C13*$D476-'Business Case'!C14*$E476)-MAX(0,(('Business Case'!C11*$C476*'Business Case'!C12*$B476)-'Business Case'!C11*$C476*'Business Case'!C13*$D476-'Business Case'!C14*$E476))*'Business Case'!$B$7-'Business Case'!$B$8*(('Business Case'!C11*$C476*'Business Case'!C12*$B476)-('Business Case'!B11*$C476*'Business Case'!B12*$B476))-'Business Case'!C15*$F476</f>
        <v>25038326.7179456</v>
      </c>
      <c r="J476" s="53" t="n">
        <f aca="false">(('Business Case'!D11*$C476*'Business Case'!D12*$B476)-'Business Case'!D11*$C476*'Business Case'!D13*$D476-'Business Case'!D14*$E476)-MAX(0,(('Business Case'!D11*$C476*'Business Case'!D12*$B476)-'Business Case'!D11*$C476*'Business Case'!D13*$D476-'Business Case'!D14*$E476))*'Business Case'!$B$7-'Business Case'!$B$8*(('Business Case'!D11*$C476*'Business Case'!D12*$B476)-('Business Case'!C11*$C476*'Business Case'!C12*$B476))-'Business Case'!D15*$F476</f>
        <v>360482179.350426</v>
      </c>
      <c r="K476" s="53" t="n">
        <f aca="false">(('Business Case'!E11*$C476*'Business Case'!E12*$B476)-'Business Case'!E11*$C476*'Business Case'!E13*$D476-'Business Case'!E14*$E476)-MAX(0,(('Business Case'!E11*$C476*'Business Case'!E12*$B476)-'Business Case'!E11*$C476*'Business Case'!E13*$D476-'Business Case'!E14*$E476))*'Business Case'!$B$7-'Business Case'!$B$8*(('Business Case'!E11*$C476*'Business Case'!E12*$B476)-('Business Case'!D11*$C476*'Business Case'!D12*$B476))-'Business Case'!E15*$F476</f>
        <v>753653302.282473</v>
      </c>
      <c r="L476" s="53" t="n">
        <f aca="false">(('Business Case'!F11*$C476*'Business Case'!F12*$B476)-'Business Case'!F11*$C476*'Business Case'!F13*$D476-'Business Case'!F14*$E476)-MAX(0,(('Business Case'!F11*$C476*'Business Case'!F12*$B476)-'Business Case'!F11*$C476*'Business Case'!F13*$D476-'Business Case'!F14*$E476))*'Business Case'!$B$7-'Business Case'!$B$8*(('Business Case'!F11*$C476*'Business Case'!F12*$B476)-('Business Case'!E11*$C476*'Business Case'!E12*$B476))-'Business Case'!F15*$F476</f>
        <v>902096764.071043</v>
      </c>
      <c r="M476" s="53" t="n">
        <f aca="false">(('Business Case'!G11*$C476*'Business Case'!G12*$B476)-'Business Case'!G11*$C476*'Business Case'!G13*$D476-'Business Case'!G14*$E476)-MAX(0,(('Business Case'!G11*$C476*'Business Case'!G12*$B476)-'Business Case'!G11*$C476*'Business Case'!G13*$D476-'Business Case'!G14*$E476))*'Business Case'!$B$7-'Business Case'!$B$8*(('Business Case'!G11*$C476*'Business Case'!G12*$B476)-('Business Case'!F11*$C476*'Business Case'!F12*$B476))-'Business Case'!G15*$F476+'Business Case'!$B$8*('Business Case'!G11*$C476*'Business Case'!G12*$B476)</f>
        <v>1103555407.41529</v>
      </c>
      <c r="N476" s="53" t="n">
        <f aca="false">IF(COUNT('Business Case'!B11:G11)=0,"",H476+NPV(G476,I476:M476))</f>
        <v>-135441154.856372</v>
      </c>
      <c r="P476" s="54" t="n">
        <f aca="true">RAND()</f>
        <v>0.953589560495862</v>
      </c>
      <c r="Q476" s="54" t="n">
        <f aca="true">RAND()</f>
        <v>0.743416429348563</v>
      </c>
      <c r="R476" s="54" t="n">
        <f aca="true">RAND()</f>
        <v>0.478584516793908</v>
      </c>
      <c r="S476" s="54" t="n">
        <f aca="true">RAND()</f>
        <v>0.159465578807439</v>
      </c>
      <c r="T476" s="54" t="n">
        <f aca="true">RAND()</f>
        <v>0.958677597670108</v>
      </c>
      <c r="U476" s="54" t="n">
        <f aca="true">RAND()</f>
        <v>0.458152872954895</v>
      </c>
    </row>
    <row r="477" customFormat="false" ht="15" hidden="false" customHeight="false" outlineLevel="0" collapsed="false">
      <c r="A477" s="50" t="n">
        <v>397</v>
      </c>
      <c r="B477" s="51" t="n">
        <f aca="false">1+IF($G$6=$E$6,$F$6,IF(P477&lt;($F$6-$E$6)/($G$6-$E$6),$E$6+SQRT(P477*($G$6-$E$6)*($F$6-$E$6)),$G$6-SQRT((1-P477)*($G$6-$E$6)*($G$6-$F$6))))</f>
        <v>0.990042797459826</v>
      </c>
      <c r="C477" s="51" t="n">
        <f aca="false">1+IF($G$7=$E$7,$F$7,IF(Q477&lt;($F$7-$E$7)/($G$7-$E$7),$E$7+SQRT(Q477*($G$7-$E$7)*($F$7-$E$7)),$G$7-SQRT((1-Q477)*($G$7-$E$7)*($G$7-$F$7))))</f>
        <v>1.01428664932236</v>
      </c>
      <c r="D477" s="51" t="n">
        <f aca="false">1+IF($G$8=$E$8,$F$8,IF(R477&lt;($F$8-$E$8)/($G$8-$E$8),$E$8+SQRT(R477*($G$8-$E$8)*($F$8-$E$8)),$G$8-SQRT((1-R477)*($G$8-$E$8)*($G$8-$F$8))))</f>
        <v>1.01766226217554</v>
      </c>
      <c r="E477" s="51" t="n">
        <f aca="false">1+IF($G$9=$E$9,$F$9,IF(S477&lt;($F$9-$E$9)/($G$9-$E$9),$E$9+SQRT(S477*($G$9-$E$9)*($F$9-$E$9)),$G$9-SQRT((1-S477)*($G$9-$E$9)*($G$9-$F$9))))</f>
        <v>1.06135168263595</v>
      </c>
      <c r="F477" s="51" t="n">
        <f aca="false">1+IF($G$10=$E$10,$F$10,IF(T477&lt;($F$10-$E$10)/($G$10-$E$10),$E$10+SQRT(T477*($G$10-$E$10)*($F$10-$E$10)),$G$10-SQRT((1-T477)*($G$10-$E$10)*($G$10-$F$10))))</f>
        <v>1.00336748243475</v>
      </c>
      <c r="G477" s="52" t="n">
        <f aca="false">IF($G$11=$E$11,$F$11,IF(U477&lt;($F$11-$E$11)/($G$11-$E$11),$E$11+SQRT(U477*($G$11-$E$11)*($F$11-$E$11)),$G$11-SQRT((1-U477)*($G$11-$E$11)*($G$11-$F$11))))</f>
        <v>0.108195199132848</v>
      </c>
      <c r="H477" s="53" t="n">
        <f aca="false">(('Business Case'!B11*$C477*'Business Case'!B12*$B477)-'Business Case'!B11*$C477*'Business Case'!B13*$D477-'Business Case'!B14*$E477)-MAX(0,(('Business Case'!B11*$C477*'Business Case'!B12*$B477)-'Business Case'!B11*$C477*'Business Case'!B13*$D477-'Business Case'!B14*$E477))*'Business Case'!$B$7-'Business Case'!$B$8*('Business Case'!B11*$C477*'Business Case'!B12*$B477)-'Business Case'!B15*$F477</f>
        <v>-2006734964.8695</v>
      </c>
      <c r="I477" s="53" t="n">
        <f aca="false">(('Business Case'!C11*$C477*'Business Case'!C12*$B477)-'Business Case'!C11*$C477*'Business Case'!C13*$D477-'Business Case'!C14*$E477)-MAX(0,(('Business Case'!C11*$C477*'Business Case'!C12*$B477)-'Business Case'!C11*$C477*'Business Case'!C13*$D477-'Business Case'!C14*$E477))*'Business Case'!$B$7-'Business Case'!$B$8*(('Business Case'!C11*$C477*'Business Case'!C12*$B477)-('Business Case'!B11*$C477*'Business Case'!B12*$B477))-'Business Case'!C15*$F477</f>
        <v>-9220871.91038257</v>
      </c>
      <c r="J477" s="53" t="n">
        <f aca="false">(('Business Case'!D11*$C477*'Business Case'!D12*$B477)-'Business Case'!D11*$C477*'Business Case'!D13*$D477-'Business Case'!D14*$E477)-MAX(0,(('Business Case'!D11*$C477*'Business Case'!D12*$B477)-'Business Case'!D11*$C477*'Business Case'!D13*$D477-'Business Case'!D14*$E477))*'Business Case'!$B$7-'Business Case'!$B$8*(('Business Case'!D11*$C477*'Business Case'!D12*$B477)-('Business Case'!C11*$C477*'Business Case'!C12*$B477))-'Business Case'!D15*$F477</f>
        <v>284876277.712372</v>
      </c>
      <c r="K477" s="53" t="n">
        <f aca="false">(('Business Case'!E11*$C477*'Business Case'!E12*$B477)-'Business Case'!E11*$C477*'Business Case'!E13*$D477-'Business Case'!E14*$E477)-MAX(0,(('Business Case'!E11*$C477*'Business Case'!E12*$B477)-'Business Case'!E11*$C477*'Business Case'!E13*$D477-'Business Case'!E14*$E477))*'Business Case'!$B$7-'Business Case'!$B$8*(('Business Case'!E11*$C477*'Business Case'!E12*$B477)-('Business Case'!D11*$C477*'Business Case'!D12*$B477))-'Business Case'!E15*$F477</f>
        <v>629141801.456863</v>
      </c>
      <c r="L477" s="53" t="n">
        <f aca="false">(('Business Case'!F11*$C477*'Business Case'!F12*$B477)-'Business Case'!F11*$C477*'Business Case'!F13*$D477-'Business Case'!F14*$E477)-MAX(0,(('Business Case'!F11*$C477*'Business Case'!F12*$B477)-'Business Case'!F11*$C477*'Business Case'!F13*$D477-'Business Case'!F14*$E477))*'Business Case'!$B$7-'Business Case'!$B$8*(('Business Case'!F11*$C477*'Business Case'!F12*$B477)-('Business Case'!E11*$C477*'Business Case'!E12*$B477))-'Business Case'!F15*$F477</f>
        <v>761878894.010335</v>
      </c>
      <c r="M477" s="53" t="n">
        <f aca="false">(('Business Case'!G11*$C477*'Business Case'!G12*$B477)-'Business Case'!G11*$C477*'Business Case'!G13*$D477-'Business Case'!G14*$E477)-MAX(0,(('Business Case'!G11*$C477*'Business Case'!G12*$B477)-'Business Case'!G11*$C477*'Business Case'!G13*$D477-'Business Case'!G14*$E477))*'Business Case'!$B$7-'Business Case'!$B$8*(('Business Case'!G11*$C477*'Business Case'!G12*$B477)-('Business Case'!F11*$C477*'Business Case'!F12*$B477))-'Business Case'!G15*$F477+'Business Case'!$B$8*('Business Case'!G11*$C477*'Business Case'!G12*$B477)</f>
        <v>952754795.412712</v>
      </c>
      <c r="N477" s="53" t="n">
        <f aca="false">IF(COUNT('Business Case'!B11:G11)=0,"",H477+NPV(G477,I477:M477))</f>
        <v>-245632213.195813</v>
      </c>
      <c r="P477" s="54" t="n">
        <f aca="true">RAND()</f>
        <v>0.511040987083144</v>
      </c>
      <c r="Q477" s="54" t="n">
        <f aca="true">RAND()</f>
        <v>0.649178789482812</v>
      </c>
      <c r="R477" s="54" t="n">
        <f aca="true">RAND()</f>
        <v>0.626346773358551</v>
      </c>
      <c r="S477" s="54" t="n">
        <f aca="true">RAND()</f>
        <v>0.900420504328499</v>
      </c>
      <c r="T477" s="54" t="n">
        <f aca="true">RAND()</f>
        <v>0.22671306071902</v>
      </c>
      <c r="U477" s="54" t="n">
        <f aca="true">RAND()</f>
        <v>0.767744460811478</v>
      </c>
    </row>
    <row r="478" customFormat="false" ht="15" hidden="false" customHeight="false" outlineLevel="0" collapsed="false">
      <c r="A478" s="50" t="n">
        <v>398</v>
      </c>
      <c r="B478" s="51" t="n">
        <f aca="false">1+IF($G$6=$E$6,$F$6,IF(P478&lt;($F$6-$E$6)/($G$6-$E$6),$E$6+SQRT(P478*($G$6-$E$6)*($F$6-$E$6)),$G$6-SQRT((1-P478)*($G$6-$E$6)*($G$6-$F$6))))</f>
        <v>0.967031359173285</v>
      </c>
      <c r="C478" s="51" t="n">
        <f aca="false">1+IF($G$7=$E$7,$F$7,IF(Q478&lt;($F$7-$E$7)/($G$7-$E$7),$E$7+SQRT(Q478*($G$7-$E$7)*($F$7-$E$7)),$G$7-SQRT((1-Q478)*($G$7-$E$7)*($G$7-$F$7))))</f>
        <v>0.906542524415178</v>
      </c>
      <c r="D478" s="51" t="n">
        <f aca="false">1+IF($G$8=$E$8,$F$8,IF(R478&lt;($F$8-$E$8)/($G$8-$E$8),$E$8+SQRT(R478*($G$8-$E$8)*($F$8-$E$8)),$G$8-SQRT((1-R478)*($G$8-$E$8)*($G$8-$F$8))))</f>
        <v>1.01426798638257</v>
      </c>
      <c r="E478" s="51" t="n">
        <f aca="false">1+IF($G$9=$E$9,$F$9,IF(S478&lt;($F$9-$E$9)/($G$9-$E$9),$E$9+SQRT(S478*($G$9-$E$9)*($F$9-$E$9)),$G$9-SQRT((1-S478)*($G$9-$E$9)*($G$9-$F$9))))</f>
        <v>0.981467970947568</v>
      </c>
      <c r="F478" s="51" t="n">
        <f aca="false">1+IF($G$10=$E$10,$F$10,IF(T478&lt;($F$10-$E$10)/($G$10-$E$10),$E$10+SQRT(T478*($G$10-$E$10)*($F$10-$E$10)),$G$10-SQRT((1-T478)*($G$10-$E$10)*($G$10-$F$10))))</f>
        <v>1.03219161894763</v>
      </c>
      <c r="G478" s="52" t="n">
        <f aca="false">IF($G$11=$E$11,$F$11,IF(U478&lt;($F$11-$E$11)/($G$11-$E$11),$E$11+SQRT(U478*($G$11-$E$11)*($F$11-$E$11)),$G$11-SQRT((1-U478)*($G$11-$E$11)*($G$11-$F$11))))</f>
        <v>0.0980436198237688</v>
      </c>
      <c r="H478" s="53" t="n">
        <f aca="false">(('Business Case'!B11*$C478*'Business Case'!B12*$B478)-'Business Case'!B11*$C478*'Business Case'!B13*$D478-'Business Case'!B14*$E478)-MAX(0,(('Business Case'!B11*$C478*'Business Case'!B12*$B478)-'Business Case'!B11*$C478*'Business Case'!B13*$D478-'Business Case'!B14*$E478))*'Business Case'!$B$7-'Business Case'!$B$8*('Business Case'!B11*$C478*'Business Case'!B12*$B478)-'Business Case'!B15*$F478</f>
        <v>-2064383237.89525</v>
      </c>
      <c r="I478" s="53" t="n">
        <f aca="false">(('Business Case'!C11*$C478*'Business Case'!C12*$B478)-'Business Case'!C11*$C478*'Business Case'!C13*$D478-'Business Case'!C14*$E478)-MAX(0,(('Business Case'!C11*$C478*'Business Case'!C12*$B478)-'Business Case'!C11*$C478*'Business Case'!C13*$D478-'Business Case'!C14*$E478))*'Business Case'!$B$7-'Business Case'!$B$8*(('Business Case'!C11*$C478*'Business Case'!C12*$B478)-('Business Case'!B11*$C478*'Business Case'!B12*$B478))-'Business Case'!C15*$F478</f>
        <v>-40884797.3689689</v>
      </c>
      <c r="J478" s="53" t="n">
        <f aca="false">(('Business Case'!D11*$C478*'Business Case'!D12*$B478)-'Business Case'!D11*$C478*'Business Case'!D13*$D478-'Business Case'!D14*$E478)-MAX(0,(('Business Case'!D11*$C478*'Business Case'!D12*$B478)-'Business Case'!D11*$C478*'Business Case'!D13*$D478-'Business Case'!D14*$E478))*'Business Case'!$B$7-'Business Case'!$B$8*(('Business Case'!D11*$C478*'Business Case'!D12*$B478)-('Business Case'!C11*$C478*'Business Case'!C12*$B478))-'Business Case'!D15*$F478</f>
        <v>206460110.39339</v>
      </c>
      <c r="K478" s="53" t="n">
        <f aca="false">(('Business Case'!E11*$C478*'Business Case'!E12*$B478)-'Business Case'!E11*$C478*'Business Case'!E13*$D478-'Business Case'!E14*$E478)-MAX(0,(('Business Case'!E11*$C478*'Business Case'!E12*$B478)-'Business Case'!E11*$C478*'Business Case'!E13*$D478-'Business Case'!E14*$E478))*'Business Case'!$B$7-'Business Case'!$B$8*(('Business Case'!E11*$C478*'Business Case'!E12*$B478)-('Business Case'!D11*$C478*'Business Case'!D12*$B478))-'Business Case'!E15*$F478</f>
        <v>505414599.103131</v>
      </c>
      <c r="L478" s="53" t="n">
        <f aca="false">(('Business Case'!F11*$C478*'Business Case'!F12*$B478)-'Business Case'!F11*$C478*'Business Case'!F13*$D478-'Business Case'!F14*$E478)-MAX(0,(('Business Case'!F11*$C478*'Business Case'!F12*$B478)-'Business Case'!F11*$C478*'Business Case'!F13*$D478-'Business Case'!F14*$E478))*'Business Case'!$B$7-'Business Case'!$B$8*(('Business Case'!F11*$C478*'Business Case'!F12*$B478)-('Business Case'!E11*$C478*'Business Case'!E12*$B478))-'Business Case'!F15*$F478</f>
        <v>618160100.202465</v>
      </c>
      <c r="M478" s="53" t="n">
        <f aca="false">(('Business Case'!G11*$C478*'Business Case'!G12*$B478)-'Business Case'!G11*$C478*'Business Case'!G13*$D478-'Business Case'!G14*$E478)-MAX(0,(('Business Case'!G11*$C478*'Business Case'!G12*$B478)-'Business Case'!G11*$C478*'Business Case'!G13*$D478-'Business Case'!G14*$E478))*'Business Case'!$B$7-'Business Case'!$B$8*(('Business Case'!G11*$C478*'Business Case'!G12*$B478)-('Business Case'!F11*$C478*'Business Case'!F12*$B478))-'Business Case'!G15*$F478+'Business Case'!$B$8*('Business Case'!G11*$C478*'Business Case'!G12*$B478)</f>
        <v>784794692.01781</v>
      </c>
      <c r="N478" s="53" t="n">
        <f aca="false">IF(COUNT('Business Case'!B11:G11)=0,"",H478+NPV(G478,I478:M478))</f>
        <v>-631740907.628515</v>
      </c>
      <c r="P478" s="54" t="n">
        <f aca="true">RAND()</f>
        <v>0.23041132767568</v>
      </c>
      <c r="Q478" s="54" t="n">
        <f aca="true">RAND()</f>
        <v>0.16216156441084</v>
      </c>
      <c r="R478" s="54" t="n">
        <f aca="true">RAND()</f>
        <v>0.584548306326732</v>
      </c>
      <c r="S478" s="54" t="n">
        <f aca="true">RAND()</f>
        <v>0.132031092740931</v>
      </c>
      <c r="T478" s="54" t="n">
        <f aca="true">RAND()</f>
        <v>0.436806944971634</v>
      </c>
      <c r="U478" s="54" t="n">
        <f aca="true">RAND()</f>
        <v>0.215666066231086</v>
      </c>
    </row>
    <row r="479" customFormat="false" ht="15" hidden="false" customHeight="false" outlineLevel="0" collapsed="false">
      <c r="A479" s="50" t="n">
        <v>399</v>
      </c>
      <c r="B479" s="51" t="n">
        <f aca="false">1+IF($G$6=$E$6,$F$6,IF(P479&lt;($F$6-$E$6)/($G$6-$E$6),$E$6+SQRT(P479*($G$6-$E$6)*($F$6-$E$6)),$G$6-SQRT((1-P479)*($G$6-$E$6)*($G$6-$F$6))))</f>
        <v>1.00585741204106</v>
      </c>
      <c r="C479" s="51" t="n">
        <f aca="false">1+IF($G$7=$E$7,$F$7,IF(Q479&lt;($F$7-$E$7)/($G$7-$E$7),$E$7+SQRT(Q479*($G$7-$E$7)*($F$7-$E$7)),$G$7-SQRT((1-Q479)*($G$7-$E$7)*($G$7-$F$7))))</f>
        <v>0.997704819633069</v>
      </c>
      <c r="D479" s="51" t="n">
        <f aca="false">1+IF($G$8=$E$8,$F$8,IF(R479&lt;($F$8-$E$8)/($G$8-$E$8),$E$8+SQRT(R479*($G$8-$E$8)*($F$8-$E$8)),$G$8-SQRT((1-R479)*($G$8-$E$8)*($G$8-$F$8))))</f>
        <v>1.00155116405522</v>
      </c>
      <c r="E479" s="51" t="n">
        <f aca="false">1+IF($G$9=$E$9,$F$9,IF(S479&lt;($F$9-$E$9)/($G$9-$E$9),$E$9+SQRT(S479*($G$9-$E$9)*($F$9-$E$9)),$G$9-SQRT((1-S479)*($G$9-$E$9)*($G$9-$F$9))))</f>
        <v>1.04108846064724</v>
      </c>
      <c r="F479" s="51" t="n">
        <f aca="false">1+IF($G$10=$E$10,$F$10,IF(T479&lt;($F$10-$E$10)/($G$10-$E$10),$E$10+SQRT(T479*($G$10-$E$10)*($F$10-$E$10)),$G$10-SQRT((1-T479)*($G$10-$E$10)*($G$10-$F$10))))</f>
        <v>1.09797188311284</v>
      </c>
      <c r="G479" s="52" t="n">
        <f aca="false">IF($G$11=$E$11,$F$11,IF(U479&lt;($F$11-$E$11)/($G$11-$E$11),$E$11+SQRT(U479*($G$11-$E$11)*($F$11-$E$11)),$G$11-SQRT((1-U479)*($G$11-$E$11)*($G$11-$F$11))))</f>
        <v>0.0983121120147501</v>
      </c>
      <c r="H479" s="53" t="n">
        <f aca="false">(('Business Case'!B11*$C479*'Business Case'!B12*$B479)-'Business Case'!B11*$C479*'Business Case'!B13*$D479-'Business Case'!B14*$E479)-MAX(0,(('Business Case'!B11*$C479*'Business Case'!B12*$B479)-'Business Case'!B11*$C479*'Business Case'!B13*$D479-'Business Case'!B14*$E479))*'Business Case'!$B$7-'Business Case'!$B$8*('Business Case'!B11*$C479*'Business Case'!B12*$B479)-'Business Case'!B15*$F479</f>
        <v>-2195943766.22569</v>
      </c>
      <c r="I479" s="53" t="n">
        <f aca="false">(('Business Case'!C11*$C479*'Business Case'!C12*$B479)-'Business Case'!C11*$C479*'Business Case'!C13*$D479-'Business Case'!C14*$E479)-MAX(0,(('Business Case'!C11*$C479*'Business Case'!C12*$B479)-'Business Case'!C11*$C479*'Business Case'!C13*$D479-'Business Case'!C14*$E479))*'Business Case'!$B$7-'Business Case'!$B$8*(('Business Case'!C11*$C479*'Business Case'!C12*$B479)-('Business Case'!B11*$C479*'Business Case'!B12*$B479))-'Business Case'!C15*$F479</f>
        <v>577475.558324561</v>
      </c>
      <c r="J479" s="53" t="n">
        <f aca="false">(('Business Case'!D11*$C479*'Business Case'!D12*$B479)-'Business Case'!D11*$C479*'Business Case'!D13*$D479-'Business Case'!D14*$E479)-MAX(0,(('Business Case'!D11*$C479*'Business Case'!D12*$B479)-'Business Case'!D11*$C479*'Business Case'!D13*$D479-'Business Case'!D14*$E479))*'Business Case'!$B$7-'Business Case'!$B$8*(('Business Case'!D11*$C479*'Business Case'!D12*$B479)-('Business Case'!C11*$C479*'Business Case'!C12*$B479))-'Business Case'!D15*$F479</f>
        <v>311018887.694478</v>
      </c>
      <c r="K479" s="53" t="n">
        <f aca="false">(('Business Case'!E11*$C479*'Business Case'!E12*$B479)-'Business Case'!E11*$C479*'Business Case'!E13*$D479-'Business Case'!E14*$E479)-MAX(0,(('Business Case'!E11*$C479*'Business Case'!E12*$B479)-'Business Case'!E11*$C479*'Business Case'!E13*$D479-'Business Case'!E14*$E479))*'Business Case'!$B$7-'Business Case'!$B$8*(('Business Case'!E11*$C479*'Business Case'!E12*$B479)-('Business Case'!D11*$C479*'Business Case'!D12*$B479))-'Business Case'!E15*$F479</f>
        <v>676358893.986274</v>
      </c>
      <c r="L479" s="53" t="n">
        <f aca="false">(('Business Case'!F11*$C479*'Business Case'!F12*$B479)-'Business Case'!F11*$C479*'Business Case'!F13*$D479-'Business Case'!F14*$E479)-MAX(0,(('Business Case'!F11*$C479*'Business Case'!F12*$B479)-'Business Case'!F11*$C479*'Business Case'!F13*$D479-'Business Case'!F14*$E479))*'Business Case'!$B$7-'Business Case'!$B$8*(('Business Case'!F11*$C479*'Business Case'!F12*$B479)-('Business Case'!E11*$C479*'Business Case'!E12*$B479))-'Business Case'!F15*$F479</f>
        <v>814522010.806664</v>
      </c>
      <c r="M479" s="53" t="n">
        <f aca="false">(('Business Case'!G11*$C479*'Business Case'!G12*$B479)-'Business Case'!G11*$C479*'Business Case'!G13*$D479-'Business Case'!G14*$E479)-MAX(0,(('Business Case'!G11*$C479*'Business Case'!G12*$B479)-'Business Case'!G11*$C479*'Business Case'!G13*$D479-'Business Case'!G14*$E479))*'Business Case'!$B$7-'Business Case'!$B$8*(('Business Case'!G11*$C479*'Business Case'!G12*$B479)-('Business Case'!F11*$C479*'Business Case'!F12*$B479))-'Business Case'!G15*$F479+'Business Case'!$B$8*('Business Case'!G11*$C479*'Business Case'!G12*$B479)</f>
        <v>1005276564.40253</v>
      </c>
      <c r="N479" s="53" t="n">
        <f aca="false">IF(COUNT('Business Case'!B11:G11)=0,"",H479+NPV(G479,I479:M479))</f>
        <v>-238316048.180021</v>
      </c>
      <c r="P479" s="54" t="n">
        <f aca="true">RAND()</f>
        <v>0.757142434888801</v>
      </c>
      <c r="Q479" s="54" t="n">
        <f aca="true">RAND()</f>
        <v>0.558388510087775</v>
      </c>
      <c r="R479" s="54" t="n">
        <f aca="true">RAND()</f>
        <v>0.408248090279711</v>
      </c>
      <c r="S479" s="54" t="n">
        <f aca="true">RAND()</f>
        <v>0.768628702072521</v>
      </c>
      <c r="T479" s="54" t="n">
        <f aca="true">RAND()</f>
        <v>0.791805267289214</v>
      </c>
      <c r="U479" s="54" t="n">
        <f aca="true">RAND()</f>
        <v>0.230304020485841</v>
      </c>
    </row>
    <row r="480" customFormat="false" ht="15" hidden="false" customHeight="false" outlineLevel="0" collapsed="false">
      <c r="A480" s="50" t="n">
        <v>400</v>
      </c>
      <c r="B480" s="51" t="n">
        <f aca="false">1+IF($G$6=$E$6,$F$6,IF(P480&lt;($F$6-$E$6)/($G$6-$E$6),$E$6+SQRT(P480*($G$6-$E$6)*($F$6-$E$6)),$G$6-SQRT((1-P480)*($G$6-$E$6)*($G$6-$F$6))))</f>
        <v>1.0029580384937</v>
      </c>
      <c r="C480" s="51" t="n">
        <f aca="false">1+IF($G$7=$E$7,$F$7,IF(Q480&lt;($F$7-$E$7)/($G$7-$E$7),$E$7+SQRT(Q480*($G$7-$E$7)*($F$7-$E$7)),$G$7-SQRT((1-Q480)*($G$7-$E$7)*($G$7-$F$7))))</f>
        <v>0.995896611145292</v>
      </c>
      <c r="D480" s="51" t="n">
        <f aca="false">1+IF($G$8=$E$8,$F$8,IF(R480&lt;($F$8-$E$8)/($G$8-$E$8),$E$8+SQRT(R480*($G$8-$E$8)*($F$8-$E$8)),$G$8-SQRT((1-R480)*($G$8-$E$8)*($G$8-$F$8))))</f>
        <v>1.04906445714317</v>
      </c>
      <c r="E480" s="51" t="n">
        <f aca="false">1+IF($G$9=$E$9,$F$9,IF(S480&lt;($F$9-$E$9)/($G$9-$E$9),$E$9+SQRT(S480*($G$9-$E$9)*($F$9-$E$9)),$G$9-SQRT((1-S480)*($G$9-$E$9)*($G$9-$F$9))))</f>
        <v>0.951232110732991</v>
      </c>
      <c r="F480" s="51" t="n">
        <f aca="false">1+IF($G$10=$E$10,$F$10,IF(T480&lt;($F$10-$E$10)/($G$10-$E$10),$E$10+SQRT(T480*($G$10-$E$10)*($F$10-$E$10)),$G$10-SQRT((1-T480)*($G$10-$E$10)*($G$10-$F$10))))</f>
        <v>1.07553566198681</v>
      </c>
      <c r="G480" s="52" t="n">
        <f aca="false">IF($G$11=$E$11,$F$11,IF(U480&lt;($F$11-$E$11)/($G$11-$E$11),$E$11+SQRT(U480*($G$11-$E$11)*($F$11-$E$11)),$G$11-SQRT((1-U480)*($G$11-$E$11)*($G$11-$F$11))))</f>
        <v>0.109716557626072</v>
      </c>
      <c r="H480" s="53" t="n">
        <f aca="false">(('Business Case'!B11*$C480*'Business Case'!B12*$B480)-'Business Case'!B11*$C480*'Business Case'!B13*$D480-'Business Case'!B14*$E480)-MAX(0,(('Business Case'!B11*$C480*'Business Case'!B12*$B480)-'Business Case'!B11*$C480*'Business Case'!B13*$D480-'Business Case'!B14*$E480))*'Business Case'!$B$7-'Business Case'!$B$8*('Business Case'!B11*$C480*'Business Case'!B12*$B480)-'Business Case'!B15*$F480</f>
        <v>-2151071323.97362</v>
      </c>
      <c r="I480" s="53" t="n">
        <f aca="false">(('Business Case'!C11*$C480*'Business Case'!C12*$B480)-'Business Case'!C11*$C480*'Business Case'!C13*$D480-'Business Case'!C14*$E480)-MAX(0,(('Business Case'!C11*$C480*'Business Case'!C12*$B480)-'Business Case'!C11*$C480*'Business Case'!C13*$D480-'Business Case'!C14*$E480))*'Business Case'!$B$7-'Business Case'!$B$8*(('Business Case'!C11*$C480*'Business Case'!C12*$B480)-('Business Case'!B11*$C480*'Business Case'!B12*$B480))-'Business Case'!C15*$F480</f>
        <v>-11308239.3862494</v>
      </c>
      <c r="J480" s="53" t="n">
        <f aca="false">(('Business Case'!D11*$C480*'Business Case'!D12*$B480)-'Business Case'!D11*$C480*'Business Case'!D13*$D480-'Business Case'!D14*$E480)-MAX(0,(('Business Case'!D11*$C480*'Business Case'!D12*$B480)-'Business Case'!D11*$C480*'Business Case'!D13*$D480-'Business Case'!D14*$E480))*'Business Case'!$B$7-'Business Case'!$B$8*(('Business Case'!D11*$C480*'Business Case'!D12*$B480)-('Business Case'!C11*$C480*'Business Case'!C12*$B480))-'Business Case'!D15*$F480</f>
        <v>271982289.376702</v>
      </c>
      <c r="K480" s="53" t="n">
        <f aca="false">(('Business Case'!E11*$C480*'Business Case'!E12*$B480)-'Business Case'!E11*$C480*'Business Case'!E13*$D480-'Business Case'!E14*$E480)-MAX(0,(('Business Case'!E11*$C480*'Business Case'!E12*$B480)-'Business Case'!E11*$C480*'Business Case'!E13*$D480-'Business Case'!E14*$E480))*'Business Case'!$B$7-'Business Case'!$B$8*(('Business Case'!E11*$C480*'Business Case'!E12*$B480)-('Business Case'!D11*$C480*'Business Case'!D12*$B480))-'Business Case'!E15*$F480</f>
        <v>609049601.238995</v>
      </c>
      <c r="L480" s="53" t="n">
        <f aca="false">(('Business Case'!F11*$C480*'Business Case'!F12*$B480)-'Business Case'!F11*$C480*'Business Case'!F13*$D480-'Business Case'!F14*$E480)-MAX(0,(('Business Case'!F11*$C480*'Business Case'!F12*$B480)-'Business Case'!F11*$C480*'Business Case'!F13*$D480-'Business Case'!F14*$E480))*'Business Case'!$B$7-'Business Case'!$B$8*(('Business Case'!F11*$C480*'Business Case'!F12*$B480)-('Business Case'!E11*$C480*'Business Case'!E12*$B480))-'Business Case'!F15*$F480</f>
        <v>737999774.696171</v>
      </c>
      <c r="M480" s="53" t="n">
        <f aca="false">(('Business Case'!G11*$C480*'Business Case'!G12*$B480)-'Business Case'!G11*$C480*'Business Case'!G13*$D480-'Business Case'!G14*$E480)-MAX(0,(('Business Case'!G11*$C480*'Business Case'!G12*$B480)-'Business Case'!G11*$C480*'Business Case'!G13*$D480-'Business Case'!G14*$E480))*'Business Case'!$B$7-'Business Case'!$B$8*(('Business Case'!G11*$C480*'Business Case'!G12*$B480)-('Business Case'!F11*$C480*'Business Case'!F12*$B480))-'Business Case'!G15*$F480+'Business Case'!$B$8*('Business Case'!G11*$C480*'Business Case'!G12*$B480)</f>
        <v>927859759.311897</v>
      </c>
      <c r="N480" s="53" t="n">
        <f aca="false">IF(COUNT('Business Case'!B11:G11)=0,"",H480+NPV(G480,I480:M480))</f>
        <v>-456745311.561291</v>
      </c>
      <c r="P480" s="54" t="n">
        <f aca="true">RAND()</f>
        <v>0.714144393284574</v>
      </c>
      <c r="Q480" s="54" t="n">
        <f aca="true">RAND()</f>
        <v>0.54822117511728</v>
      </c>
      <c r="R480" s="54" t="n">
        <f aca="true">RAND()</f>
        <v>0.907980018091664</v>
      </c>
      <c r="S480" s="54" t="n">
        <f aca="true">RAND()</f>
        <v>0.000202412914446882</v>
      </c>
      <c r="T480" s="54" t="n">
        <f aca="true">RAND()</f>
        <v>0.690172571258764</v>
      </c>
      <c r="U480" s="54" t="n">
        <f aca="true">RAND()</f>
        <v>0.823751354903487</v>
      </c>
    </row>
    <row r="481" customFormat="false" ht="15" hidden="false" customHeight="false" outlineLevel="0" collapsed="false">
      <c r="A481" s="50" t="n">
        <v>401</v>
      </c>
      <c r="B481" s="51" t="n">
        <f aca="false">1+IF($G$6=$E$6,$F$6,IF(P481&lt;($F$6-$E$6)/($G$6-$E$6),$E$6+SQRT(P481*($G$6-$E$6)*($F$6-$E$6)),$G$6-SQRT((1-P481)*($G$6-$E$6)*($G$6-$F$6))))</f>
        <v>0.969613811868473</v>
      </c>
      <c r="C481" s="51" t="n">
        <f aca="false">1+IF($G$7=$E$7,$F$7,IF(Q481&lt;($F$7-$E$7)/($G$7-$E$7),$E$7+SQRT(Q481*($G$7-$E$7)*($F$7-$E$7)),$G$7-SQRT((1-Q481)*($G$7-$E$7)*($G$7-$F$7))))</f>
        <v>0.881982794378331</v>
      </c>
      <c r="D481" s="51" t="n">
        <f aca="false">1+IF($G$8=$E$8,$F$8,IF(R481&lt;($F$8-$E$8)/($G$8-$E$8),$E$8+SQRT(R481*($G$8-$E$8)*($F$8-$E$8)),$G$8-SQRT((1-R481)*($G$8-$E$8)*($G$8-$F$8))))</f>
        <v>1.00347086903717</v>
      </c>
      <c r="E481" s="51" t="n">
        <f aca="false">1+IF($G$9=$E$9,$F$9,IF(S481&lt;($F$9-$E$9)/($G$9-$E$9),$E$9+SQRT(S481*($G$9-$E$9)*($F$9-$E$9)),$G$9-SQRT((1-S481)*($G$9-$E$9)*($G$9-$F$9))))</f>
        <v>0.98983146131509</v>
      </c>
      <c r="F481" s="51" t="n">
        <f aca="false">1+IF($G$10=$E$10,$F$10,IF(T481&lt;($F$10-$E$10)/($G$10-$E$10),$E$10+SQRT(T481*($G$10-$E$10)*($F$10-$E$10)),$G$10-SQRT((1-T481)*($G$10-$E$10)*($G$10-$F$10))))</f>
        <v>1.03090920347194</v>
      </c>
      <c r="G481" s="52" t="n">
        <f aca="false">IF($G$11=$E$11,$F$11,IF(U481&lt;($F$11-$E$11)/($G$11-$E$11),$E$11+SQRT(U481*($G$11-$E$11)*($F$11-$E$11)),$G$11-SQRT((1-U481)*($G$11-$E$11)*($G$11-$F$11))))</f>
        <v>0.103255174106307</v>
      </c>
      <c r="H481" s="53" t="n">
        <f aca="false">(('Business Case'!B11*$C481*'Business Case'!B12*$B481)-'Business Case'!B11*$C481*'Business Case'!B13*$D481-'Business Case'!B14*$E481)-MAX(0,(('Business Case'!B11*$C481*'Business Case'!B12*$B481)-'Business Case'!B11*$C481*'Business Case'!B13*$D481-'Business Case'!B14*$E481))*'Business Case'!$B$7-'Business Case'!$B$8*('Business Case'!B11*$C481*'Business Case'!B12*$B481)-'Business Case'!B15*$F481</f>
        <v>-2061818406.94387</v>
      </c>
      <c r="I481" s="53" t="n">
        <f aca="false">(('Business Case'!C11*$C481*'Business Case'!C12*$B481)-'Business Case'!C11*$C481*'Business Case'!C13*$D481-'Business Case'!C14*$E481)-MAX(0,(('Business Case'!C11*$C481*'Business Case'!C12*$B481)-'Business Case'!C11*$C481*'Business Case'!C13*$D481-'Business Case'!C14*$E481))*'Business Case'!$B$7-'Business Case'!$B$8*(('Business Case'!C11*$C481*'Business Case'!C12*$B481)-('Business Case'!B11*$C481*'Business Case'!B12*$B481))-'Business Case'!C15*$F481</f>
        <v>-40793166.9737144</v>
      </c>
      <c r="J481" s="53" t="n">
        <f aca="false">(('Business Case'!D11*$C481*'Business Case'!D12*$B481)-'Business Case'!D11*$C481*'Business Case'!D13*$D481-'Business Case'!D14*$E481)-MAX(0,(('Business Case'!D11*$C481*'Business Case'!D12*$B481)-'Business Case'!D11*$C481*'Business Case'!D13*$D481-'Business Case'!D14*$E481))*'Business Case'!$B$7-'Business Case'!$B$8*(('Business Case'!D11*$C481*'Business Case'!D12*$B481)-('Business Case'!C11*$C481*'Business Case'!C12*$B481))-'Business Case'!D15*$F481</f>
        <v>206591291.328387</v>
      </c>
      <c r="K481" s="53" t="n">
        <f aca="false">(('Business Case'!E11*$C481*'Business Case'!E12*$B481)-'Business Case'!E11*$C481*'Business Case'!E13*$D481-'Business Case'!E14*$E481)-MAX(0,(('Business Case'!E11*$C481*'Business Case'!E12*$B481)-'Business Case'!E11*$C481*'Business Case'!E13*$D481-'Business Case'!E14*$E481))*'Business Case'!$B$7-'Business Case'!$B$8*(('Business Case'!E11*$C481*'Business Case'!E12*$B481)-('Business Case'!D11*$C481*'Business Case'!D12*$B481))-'Business Case'!E15*$F481</f>
        <v>505521209.804086</v>
      </c>
      <c r="L481" s="53" t="n">
        <f aca="false">(('Business Case'!F11*$C481*'Business Case'!F12*$B481)-'Business Case'!F11*$C481*'Business Case'!F13*$D481-'Business Case'!F14*$E481)-MAX(0,(('Business Case'!F11*$C481*'Business Case'!F12*$B481)-'Business Case'!F11*$C481*'Business Case'!F13*$D481-'Business Case'!F14*$E481))*'Business Case'!$B$7-'Business Case'!$B$8*(('Business Case'!F11*$C481*'Business Case'!F12*$B481)-('Business Case'!E11*$C481*'Business Case'!E12*$B481))-'Business Case'!F15*$F481</f>
        <v>617537809.991198</v>
      </c>
      <c r="M481" s="53" t="n">
        <f aca="false">(('Business Case'!G11*$C481*'Business Case'!G12*$B481)-'Business Case'!G11*$C481*'Business Case'!G13*$D481-'Business Case'!G14*$E481)-MAX(0,(('Business Case'!G11*$C481*'Business Case'!G12*$B481)-'Business Case'!G11*$C481*'Business Case'!G13*$D481-'Business Case'!G14*$E481))*'Business Case'!$B$7-'Business Case'!$B$8*(('Business Case'!G11*$C481*'Business Case'!G12*$B481)-('Business Case'!F11*$C481*'Business Case'!F12*$B481))-'Business Case'!G15*$F481+'Business Case'!$B$8*('Business Case'!G11*$C481*'Business Case'!G12*$B481)</f>
        <v>780090937.466459</v>
      </c>
      <c r="N481" s="53" t="n">
        <f aca="false">IF(COUNT('Business Case'!B11:G11)=0,"",H481+NPV(G481,I481:M481))</f>
        <v>-658507491.063667</v>
      </c>
      <c r="P481" s="54" t="n">
        <f aca="true">RAND()</f>
        <v>0.256409409179189</v>
      </c>
      <c r="Q481" s="54" t="n">
        <f aca="true">RAND()</f>
        <v>0.0960168367725671</v>
      </c>
      <c r="R481" s="54" t="n">
        <f aca="true">RAND()</f>
        <v>0.436855010968597</v>
      </c>
      <c r="S481" s="54" t="n">
        <f aca="true">RAND()</f>
        <v>0.211539374732739</v>
      </c>
      <c r="T481" s="54" t="n">
        <f aca="true">RAND()</f>
        <v>0.428166050590097</v>
      </c>
      <c r="U481" s="54" t="n">
        <f aca="true">RAND()</f>
        <v>0.532684676316499</v>
      </c>
    </row>
    <row r="482" customFormat="false" ht="15" hidden="false" customHeight="false" outlineLevel="0" collapsed="false">
      <c r="A482" s="50" t="n">
        <v>402</v>
      </c>
      <c r="B482" s="51" t="n">
        <f aca="false">1+IF($G$6=$E$6,$F$6,IF(P482&lt;($F$6-$E$6)/($G$6-$E$6),$E$6+SQRT(P482*($G$6-$E$6)*($F$6-$E$6)),$G$6-SQRT((1-P482)*($G$6-$E$6)*($G$6-$F$6))))</f>
        <v>1.02120479770569</v>
      </c>
      <c r="C482" s="51" t="n">
        <f aca="false">1+IF($G$7=$E$7,$F$7,IF(Q482&lt;($F$7-$E$7)/($G$7-$E$7),$E$7+SQRT(Q482*($G$7-$E$7)*($F$7-$E$7)),$G$7-SQRT((1-Q482)*($G$7-$E$7)*($G$7-$F$7))))</f>
        <v>0.993448319546849</v>
      </c>
      <c r="D482" s="51" t="n">
        <f aca="false">1+IF($G$8=$E$8,$F$8,IF(R482&lt;($F$8-$E$8)/($G$8-$E$8),$E$8+SQRT(R482*($G$8-$E$8)*($F$8-$E$8)),$G$8-SQRT((1-R482)*($G$8-$E$8)*($G$8-$F$8))))</f>
        <v>1.0091440303224</v>
      </c>
      <c r="E482" s="51" t="n">
        <f aca="false">1+IF($G$9=$E$9,$F$9,IF(S482&lt;($F$9-$E$9)/($G$9-$E$9),$E$9+SQRT(S482*($G$9-$E$9)*($F$9-$E$9)),$G$9-SQRT((1-S482)*($G$9-$E$9)*($G$9-$F$9))))</f>
        <v>1.05118001298441</v>
      </c>
      <c r="F482" s="51" t="n">
        <f aca="false">1+IF($G$10=$E$10,$F$10,IF(T482&lt;($F$10-$E$10)/($G$10-$E$10),$E$10+SQRT(T482*($G$10-$E$10)*($F$10-$E$10)),$G$10-SQRT((1-T482)*($G$10-$E$10)*($G$10-$F$10))))</f>
        <v>1.03085751344424</v>
      </c>
      <c r="G482" s="52" t="n">
        <f aca="false">IF($G$11=$E$11,$F$11,IF(U482&lt;($F$11-$E$11)/($G$11-$E$11),$E$11+SQRT(U482*($G$11-$E$11)*($F$11-$E$11)),$G$11-SQRT((1-U482)*($G$11-$E$11)*($G$11-$F$11))))</f>
        <v>0.0942955014807744</v>
      </c>
      <c r="H482" s="53" t="n">
        <f aca="false">(('Business Case'!B11*$C482*'Business Case'!B12*$B482)-'Business Case'!B11*$C482*'Business Case'!B13*$D482-'Business Case'!B14*$E482)-MAX(0,(('Business Case'!B11*$C482*'Business Case'!B12*$B482)-'Business Case'!B11*$C482*'Business Case'!B13*$D482-'Business Case'!B14*$E482))*'Business Case'!$B$7-'Business Case'!$B$8*('Business Case'!B11*$C482*'Business Case'!B12*$B482)-'Business Case'!B15*$F482</f>
        <v>-2061715026.88847</v>
      </c>
      <c r="I482" s="53" t="n">
        <f aca="false">(('Business Case'!C11*$C482*'Business Case'!C12*$B482)-'Business Case'!C11*$C482*'Business Case'!C13*$D482-'Business Case'!C14*$E482)-MAX(0,(('Business Case'!C11*$C482*'Business Case'!C12*$B482)-'Business Case'!C11*$C482*'Business Case'!C13*$D482-'Business Case'!C14*$E482))*'Business Case'!$B$7-'Business Case'!$B$8*(('Business Case'!C11*$C482*'Business Case'!C12*$B482)-('Business Case'!B11*$C482*'Business Case'!B12*$B482))-'Business Case'!C15*$F482</f>
        <v>12587794.7298088</v>
      </c>
      <c r="J482" s="53" t="n">
        <f aca="false">(('Business Case'!D11*$C482*'Business Case'!D12*$B482)-'Business Case'!D11*$C482*'Business Case'!D13*$D482-'Business Case'!D14*$E482)-MAX(0,(('Business Case'!D11*$C482*'Business Case'!D12*$B482)-'Business Case'!D11*$C482*'Business Case'!D13*$D482-'Business Case'!D14*$E482))*'Business Case'!$B$7-'Business Case'!$B$8*(('Business Case'!D11*$C482*'Business Case'!D12*$B482)-('Business Case'!C11*$C482*'Business Case'!C12*$B482))-'Business Case'!D15*$F482</f>
        <v>330331554.270076</v>
      </c>
      <c r="K482" s="53" t="n">
        <f aca="false">(('Business Case'!E11*$C482*'Business Case'!E12*$B482)-'Business Case'!E11*$C482*'Business Case'!E13*$D482-'Business Case'!E14*$E482)-MAX(0,(('Business Case'!E11*$C482*'Business Case'!E12*$B482)-'Business Case'!E11*$C482*'Business Case'!E13*$D482-'Business Case'!E14*$E482))*'Business Case'!$B$7-'Business Case'!$B$8*(('Business Case'!E11*$C482*'Business Case'!E12*$B482)-('Business Case'!D11*$C482*'Business Case'!D12*$B482))-'Business Case'!E15*$F482</f>
        <v>699618189.482555</v>
      </c>
      <c r="L482" s="53" t="n">
        <f aca="false">(('Business Case'!F11*$C482*'Business Case'!F12*$B482)-'Business Case'!F11*$C482*'Business Case'!F13*$D482-'Business Case'!F14*$E482)-MAX(0,(('Business Case'!F11*$C482*'Business Case'!F12*$B482)-'Business Case'!F11*$C482*'Business Case'!F13*$D482-'Business Case'!F14*$E482))*'Business Case'!$B$7-'Business Case'!$B$8*(('Business Case'!F11*$C482*'Business Case'!F12*$B482)-('Business Case'!E11*$C482*'Business Case'!E12*$B482))-'Business Case'!F15*$F482</f>
        <v>840594386.409078</v>
      </c>
      <c r="M482" s="53" t="n">
        <f aca="false">(('Business Case'!G11*$C482*'Business Case'!G12*$B482)-'Business Case'!G11*$C482*'Business Case'!G13*$D482-'Business Case'!G14*$E482)-MAX(0,(('Business Case'!G11*$C482*'Business Case'!G12*$B482)-'Business Case'!G11*$C482*'Business Case'!G13*$D482-'Business Case'!G14*$E482))*'Business Case'!$B$7-'Business Case'!$B$8*(('Business Case'!G11*$C482*'Business Case'!G12*$B482)-('Business Case'!F11*$C482*'Business Case'!F12*$B482))-'Business Case'!G15*$F482+'Business Case'!$B$8*('Business Case'!G11*$C482*'Business Case'!G12*$B482)</f>
        <v>1033433243.68113</v>
      </c>
      <c r="N482" s="53" t="n">
        <f aca="false">IF(COUNT('Business Case'!B11:G11)=0,"",H482+NPV(G482,I482:M482))</f>
        <v>4324012.20807695</v>
      </c>
      <c r="P482" s="54" t="n">
        <f aca="true">RAND()</f>
        <v>0.926404243899124</v>
      </c>
      <c r="Q482" s="54" t="n">
        <f aca="true">RAND()</f>
        <v>0.534603604792853</v>
      </c>
      <c r="R482" s="54" t="n">
        <f aca="true">RAND()</f>
        <v>0.517253034716005</v>
      </c>
      <c r="S482" s="54" t="n">
        <f aca="true">RAND()</f>
        <v>0.841107257853191</v>
      </c>
      <c r="T482" s="54" t="n">
        <f aca="true">RAND()</f>
        <v>0.427816384834657</v>
      </c>
      <c r="U482" s="54" t="n">
        <f aca="true">RAND()</f>
        <v>0.0615044432377829</v>
      </c>
    </row>
    <row r="483" customFormat="false" ht="15" hidden="false" customHeight="false" outlineLevel="0" collapsed="false">
      <c r="A483" s="50" t="n">
        <v>403</v>
      </c>
      <c r="B483" s="51" t="n">
        <f aca="false">1+IF($G$6=$E$6,$F$6,IF(P483&lt;($F$6-$E$6)/($G$6-$E$6),$E$6+SQRT(P483*($G$6-$E$6)*($F$6-$E$6)),$G$6-SQRT((1-P483)*($G$6-$E$6)*($G$6-$F$6))))</f>
        <v>0.989294581040191</v>
      </c>
      <c r="C483" s="51" t="n">
        <f aca="false">1+IF($G$7=$E$7,$F$7,IF(Q483&lt;($F$7-$E$7)/($G$7-$E$7),$E$7+SQRT(Q483*($G$7-$E$7)*($F$7-$E$7)),$G$7-SQRT((1-Q483)*($G$7-$E$7)*($G$7-$F$7))))</f>
        <v>0.96782073187532</v>
      </c>
      <c r="D483" s="51" t="n">
        <f aca="false">1+IF($G$8=$E$8,$F$8,IF(R483&lt;($F$8-$E$8)/($G$8-$E$8),$E$8+SQRT(R483*($G$8-$E$8)*($F$8-$E$8)),$G$8-SQRT((1-R483)*($G$8-$E$8)*($G$8-$F$8))))</f>
        <v>1.0329728689575</v>
      </c>
      <c r="E483" s="51" t="n">
        <f aca="false">1+IF($G$9=$E$9,$F$9,IF(S483&lt;($F$9-$E$9)/($G$9-$E$9),$E$9+SQRT(S483*($G$9-$E$9)*($F$9-$E$9)),$G$9-SQRT((1-S483)*($G$9-$E$9)*($G$9-$F$9))))</f>
        <v>1.01189885562563</v>
      </c>
      <c r="F483" s="51" t="n">
        <f aca="false">1+IF($G$10=$E$10,$F$10,IF(T483&lt;($F$10-$E$10)/($G$10-$E$10),$E$10+SQRT(T483*($G$10-$E$10)*($F$10-$E$10)),$G$10-SQRT((1-T483)*($G$10-$E$10)*($G$10-$F$10))))</f>
        <v>1.06255992171235</v>
      </c>
      <c r="G483" s="52" t="n">
        <f aca="false">IF($G$11=$E$11,$F$11,IF(U483&lt;($F$11-$E$11)/($G$11-$E$11),$E$11+SQRT(U483*($G$11-$E$11)*($F$11-$E$11)),$G$11-SQRT((1-U483)*($G$11-$E$11)*($G$11-$F$11))))</f>
        <v>0.116131186143323</v>
      </c>
      <c r="H483" s="53" t="n">
        <f aca="false">(('Business Case'!B11*$C483*'Business Case'!B12*$B483)-'Business Case'!B11*$C483*'Business Case'!B13*$D483-'Business Case'!B14*$E483)-MAX(0,(('Business Case'!B11*$C483*'Business Case'!B12*$B483)-'Business Case'!B11*$C483*'Business Case'!B13*$D483-'Business Case'!B14*$E483))*'Business Case'!$B$7-'Business Case'!$B$8*('Business Case'!B11*$C483*'Business Case'!B12*$B483)-'Business Case'!B15*$F483</f>
        <v>-2125119843.42471</v>
      </c>
      <c r="I483" s="53" t="n">
        <f aca="false">(('Business Case'!C11*$C483*'Business Case'!C12*$B483)-'Business Case'!C11*$C483*'Business Case'!C13*$D483-'Business Case'!C14*$E483)-MAX(0,(('Business Case'!C11*$C483*'Business Case'!C12*$B483)-'Business Case'!C11*$C483*'Business Case'!C13*$D483-'Business Case'!C14*$E483))*'Business Case'!$B$7-'Business Case'!$B$8*(('Business Case'!C11*$C483*'Business Case'!C12*$B483)-('Business Case'!B11*$C483*'Business Case'!B12*$B483))-'Business Case'!C15*$F483</f>
        <v>-27337299.0892701</v>
      </c>
      <c r="J483" s="53" t="n">
        <f aca="false">(('Business Case'!D11*$C483*'Business Case'!D12*$B483)-'Business Case'!D11*$C483*'Business Case'!D13*$D483-'Business Case'!D14*$E483)-MAX(0,(('Business Case'!D11*$C483*'Business Case'!D12*$B483)-'Business Case'!D11*$C483*'Business Case'!D13*$D483-'Business Case'!D14*$E483))*'Business Case'!$B$7-'Business Case'!$B$8*(('Business Case'!D11*$C483*'Business Case'!D12*$B483)-('Business Case'!C11*$C483*'Business Case'!C12*$B483))-'Business Case'!D15*$F483</f>
        <v>245108127.577842</v>
      </c>
      <c r="K483" s="53" t="n">
        <f aca="false">(('Business Case'!E11*$C483*'Business Case'!E12*$B483)-'Business Case'!E11*$C483*'Business Case'!E13*$D483-'Business Case'!E14*$E483)-MAX(0,(('Business Case'!E11*$C483*'Business Case'!E12*$B483)-'Business Case'!E11*$C483*'Business Case'!E13*$D483-'Business Case'!E14*$E483))*'Business Case'!$B$7-'Business Case'!$B$8*(('Business Case'!E11*$C483*'Business Case'!E12*$B483)-('Business Case'!D11*$C483*'Business Case'!D12*$B483))-'Business Case'!E15*$F483</f>
        <v>570681550.330571</v>
      </c>
      <c r="L483" s="53" t="n">
        <f aca="false">(('Business Case'!F11*$C483*'Business Case'!F12*$B483)-'Business Case'!F11*$C483*'Business Case'!F13*$D483-'Business Case'!F14*$E483)-MAX(0,(('Business Case'!F11*$C483*'Business Case'!F12*$B483)-'Business Case'!F11*$C483*'Business Case'!F13*$D483-'Business Case'!F14*$E483))*'Business Case'!$B$7-'Business Case'!$B$8*(('Business Case'!F11*$C483*'Business Case'!F12*$B483)-('Business Case'!E11*$C483*'Business Case'!E12*$B483))-'Business Case'!F15*$F483</f>
        <v>694586503.42973</v>
      </c>
      <c r="M483" s="53" t="n">
        <f aca="false">(('Business Case'!G11*$C483*'Business Case'!G12*$B483)-'Business Case'!G11*$C483*'Business Case'!G13*$D483-'Business Case'!G14*$E483)-MAX(0,(('Business Case'!G11*$C483*'Business Case'!G12*$B483)-'Business Case'!G11*$C483*'Business Case'!G13*$D483-'Business Case'!G14*$E483))*'Business Case'!$B$7-'Business Case'!$B$8*(('Business Case'!G11*$C483*'Business Case'!G12*$B483)-('Business Case'!F11*$C483*'Business Case'!F12*$B483))-'Business Case'!G15*$F483+'Business Case'!$B$8*('Business Case'!G11*$C483*'Business Case'!G12*$B483)</f>
        <v>876580463.252062</v>
      </c>
      <c r="N483" s="53" t="n">
        <f aca="false">IF(COUNT('Business Case'!B11:G11)=0,"",H483+NPV(G483,I483:M483))</f>
        <v>-588768249.182488</v>
      </c>
      <c r="P483" s="54" t="n">
        <f aca="true">RAND()</f>
        <v>0.500181141826631</v>
      </c>
      <c r="Q483" s="54" t="n">
        <f aca="true">RAND()</f>
        <v>0.402339972102399</v>
      </c>
      <c r="R483" s="54" t="n">
        <f aca="true">RAND()</f>
        <v>0.787350860183787</v>
      </c>
      <c r="S483" s="54" t="n">
        <f aca="true">RAND()</f>
        <v>0.482545890661792</v>
      </c>
      <c r="T483" s="54" t="n">
        <f aca="true">RAND()</f>
        <v>0.622204497605719</v>
      </c>
      <c r="U483" s="54" t="n">
        <f aca="true">RAND()</f>
        <v>0.97505379890397</v>
      </c>
    </row>
    <row r="484" customFormat="false" ht="15" hidden="false" customHeight="false" outlineLevel="0" collapsed="false">
      <c r="A484" s="50" t="n">
        <v>404</v>
      </c>
      <c r="B484" s="51" t="n">
        <f aca="false">1+IF($G$6=$E$6,$F$6,IF(P484&lt;($F$6-$E$6)/($G$6-$E$6),$E$6+SQRT(P484*($G$6-$E$6)*($F$6-$E$6)),$G$6-SQRT((1-P484)*($G$6-$E$6)*($G$6-$F$6))))</f>
        <v>1.02108956651985</v>
      </c>
      <c r="C484" s="51" t="n">
        <f aca="false">1+IF($G$7=$E$7,$F$7,IF(Q484&lt;($F$7-$E$7)/($G$7-$E$7),$E$7+SQRT(Q484*($G$7-$E$7)*($F$7-$E$7)),$G$7-SQRT((1-Q484)*($G$7-$E$7)*($G$7-$F$7))))</f>
        <v>1.11796842538455</v>
      </c>
      <c r="D484" s="51" t="n">
        <f aca="false">1+IF($G$8=$E$8,$F$8,IF(R484&lt;($F$8-$E$8)/($G$8-$E$8),$E$8+SQRT(R484*($G$8-$E$8)*($F$8-$E$8)),$G$8-SQRT((1-R484)*($G$8-$E$8)*($G$8-$F$8))))</f>
        <v>0.991041660197173</v>
      </c>
      <c r="E484" s="51" t="n">
        <f aca="false">1+IF($G$9=$E$9,$F$9,IF(S484&lt;($F$9-$E$9)/($G$9-$E$9),$E$9+SQRT(S484*($G$9-$E$9)*($F$9-$E$9)),$G$9-SQRT((1-S484)*($G$9-$E$9)*($G$9-$F$9))))</f>
        <v>0.960675283685507</v>
      </c>
      <c r="F484" s="51" t="n">
        <f aca="false">1+IF($G$10=$E$10,$F$10,IF(T484&lt;($F$10-$E$10)/($G$10-$E$10),$E$10+SQRT(T484*($G$10-$E$10)*($F$10-$E$10)),$G$10-SQRT((1-T484)*($G$10-$E$10)*($G$10-$F$10))))</f>
        <v>1.14073057887492</v>
      </c>
      <c r="G484" s="52" t="n">
        <f aca="false">IF($G$11=$E$11,$F$11,IF(U484&lt;($F$11-$E$11)/($G$11-$E$11),$E$11+SQRT(U484*($G$11-$E$11)*($F$11-$E$11)),$G$11-SQRT((1-U484)*($G$11-$E$11)*($G$11-$F$11))))</f>
        <v>0.0966809966616066</v>
      </c>
      <c r="H484" s="53" t="n">
        <f aca="false">(('Business Case'!B11*$C484*'Business Case'!B12*$B484)-'Business Case'!B11*$C484*'Business Case'!B13*$D484-'Business Case'!B14*$E484)-MAX(0,(('Business Case'!B11*$C484*'Business Case'!B12*$B484)-'Business Case'!B11*$C484*'Business Case'!B13*$D484-'Business Case'!B14*$E484))*'Business Case'!$B$7-'Business Case'!$B$8*('Business Case'!B11*$C484*'Business Case'!B12*$B484)-'Business Case'!B15*$F484</f>
        <v>-2281461157.74983</v>
      </c>
      <c r="I484" s="53" t="n">
        <f aca="false">(('Business Case'!C11*$C484*'Business Case'!C12*$B484)-'Business Case'!C11*$C484*'Business Case'!C13*$D484-'Business Case'!C14*$E484)-MAX(0,(('Business Case'!C11*$C484*'Business Case'!C12*$B484)-'Business Case'!C11*$C484*'Business Case'!C13*$D484-'Business Case'!C14*$E484))*'Business Case'!$B$7-'Business Case'!$B$8*(('Business Case'!C11*$C484*'Business Case'!C12*$B484)-('Business Case'!B11*$C484*'Business Case'!B12*$B484))-'Business Case'!C15*$F484</f>
        <v>57966011.4568154</v>
      </c>
      <c r="J484" s="53" t="n">
        <f aca="false">(('Business Case'!D11*$C484*'Business Case'!D12*$B484)-'Business Case'!D11*$C484*'Business Case'!D13*$D484-'Business Case'!D14*$E484)-MAX(0,(('Business Case'!D11*$C484*'Business Case'!D12*$B484)-'Business Case'!D11*$C484*'Business Case'!D13*$D484-'Business Case'!D14*$E484))*'Business Case'!$B$7-'Business Case'!$B$8*(('Business Case'!D11*$C484*'Business Case'!D12*$B484)-('Business Case'!C11*$C484*'Business Case'!C12*$B484))-'Business Case'!D15*$F484</f>
        <v>425790845.330681</v>
      </c>
      <c r="K484" s="53" t="n">
        <f aca="false">(('Business Case'!E11*$C484*'Business Case'!E12*$B484)-'Business Case'!E11*$C484*'Business Case'!E13*$D484-'Business Case'!E14*$E484)-MAX(0,(('Business Case'!E11*$C484*'Business Case'!E12*$B484)-'Business Case'!E11*$C484*'Business Case'!E13*$D484-'Business Case'!E14*$E484))*'Business Case'!$B$7-'Business Case'!$B$8*(('Business Case'!E11*$C484*'Business Case'!E12*$B484)-('Business Case'!D11*$C484*'Business Case'!D12*$B484))-'Business Case'!E15*$F484</f>
        <v>850652208.148292</v>
      </c>
      <c r="L484" s="53" t="n">
        <f aca="false">(('Business Case'!F11*$C484*'Business Case'!F12*$B484)-'Business Case'!F11*$C484*'Business Case'!F13*$D484-'Business Case'!F14*$E484)-MAX(0,(('Business Case'!F11*$C484*'Business Case'!F12*$B484)-'Business Case'!F11*$C484*'Business Case'!F13*$D484-'Business Case'!F14*$E484))*'Business Case'!$B$7-'Business Case'!$B$8*(('Business Case'!F11*$C484*'Business Case'!F12*$B484)-('Business Case'!E11*$C484*'Business Case'!E12*$B484))-'Business Case'!F15*$F484</f>
        <v>1012712312.23257</v>
      </c>
      <c r="M484" s="53" t="n">
        <f aca="false">(('Business Case'!G11*$C484*'Business Case'!G12*$B484)-'Business Case'!G11*$C484*'Business Case'!G13*$D484-'Business Case'!G14*$E484)-MAX(0,(('Business Case'!G11*$C484*'Business Case'!G12*$B484)-'Business Case'!G11*$C484*'Business Case'!G13*$D484-'Business Case'!G14*$E484))*'Business Case'!$B$7-'Business Case'!$B$8*(('Business Case'!G11*$C484*'Business Case'!G12*$B484)-('Business Case'!F11*$C484*'Business Case'!F12*$B484))-'Business Case'!G15*$F484+'Business Case'!$B$8*('Business Case'!G11*$C484*'Business Case'!G12*$B484)</f>
        <v>1229697355.92732</v>
      </c>
      <c r="N484" s="53" t="n">
        <f aca="false">IF(COUNT('Business Case'!B11:G11)=0,"",H484+NPV(G484,I484:M484))</f>
        <v>245625990.081059</v>
      </c>
      <c r="P484" s="54" t="n">
        <f aca="true">RAND()</f>
        <v>0.92549906366514</v>
      </c>
      <c r="Q484" s="54" t="n">
        <f aca="true">RAND()</f>
        <v>0.980456728145801</v>
      </c>
      <c r="R484" s="54" t="n">
        <f aca="true">RAND()</f>
        <v>0.259141211036956</v>
      </c>
      <c r="S484" s="54" t="n">
        <f aca="true">RAND()</f>
        <v>0.0151948909021398</v>
      </c>
      <c r="T484" s="54" t="n">
        <f aca="true">RAND()</f>
        <v>0.929742714389947</v>
      </c>
      <c r="U484" s="54" t="n">
        <f aca="true">RAND()</f>
        <v>0.148785721307995</v>
      </c>
    </row>
    <row r="485" customFormat="false" ht="15" hidden="false" customHeight="false" outlineLevel="0" collapsed="false">
      <c r="A485" s="50" t="n">
        <v>405</v>
      </c>
      <c r="B485" s="51" t="n">
        <f aca="false">1+IF($G$6=$E$6,$F$6,IF(P485&lt;($F$6-$E$6)/($G$6-$E$6),$E$6+SQRT(P485*($G$6-$E$6)*($F$6-$E$6)),$G$6-SQRT((1-P485)*($G$6-$E$6)*($G$6-$F$6))))</f>
        <v>0.959659175615583</v>
      </c>
      <c r="C485" s="51" t="n">
        <f aca="false">1+IF($G$7=$E$7,$F$7,IF(Q485&lt;($F$7-$E$7)/($G$7-$E$7),$E$7+SQRT(Q485*($G$7-$E$7)*($F$7-$E$7)),$G$7-SQRT((1-Q485)*($G$7-$E$7)*($G$7-$F$7))))</f>
        <v>0.918907386018751</v>
      </c>
      <c r="D485" s="51" t="n">
        <f aca="false">1+IF($G$8=$E$8,$F$8,IF(R485&lt;($F$8-$E$8)/($G$8-$E$8),$E$8+SQRT(R485*($G$8-$E$8)*($F$8-$E$8)),$G$8-SQRT((1-R485)*($G$8-$E$8)*($G$8-$F$8))))</f>
        <v>0.997156657960668</v>
      </c>
      <c r="E485" s="51" t="n">
        <f aca="false">1+IF($G$9=$E$9,$F$9,IF(S485&lt;($F$9-$E$9)/($G$9-$E$9),$E$9+SQRT(S485*($G$9-$E$9)*($F$9-$E$9)),$G$9-SQRT((1-S485)*($G$9-$E$9)*($G$9-$F$9))))</f>
        <v>1.03363265728568</v>
      </c>
      <c r="F485" s="51" t="n">
        <f aca="false">1+IF($G$10=$E$10,$F$10,IF(T485&lt;($F$10-$E$10)/($G$10-$E$10),$E$10+SQRT(T485*($G$10-$E$10)*($F$10-$E$10)),$G$10-SQRT((1-T485)*($G$10-$E$10)*($G$10-$F$10))))</f>
        <v>1.00254561256816</v>
      </c>
      <c r="G485" s="52" t="n">
        <f aca="false">IF($G$11=$E$11,$F$11,IF(U485&lt;($F$11-$E$11)/($G$11-$E$11),$E$11+SQRT(U485*($G$11-$E$11)*($F$11-$E$11)),$G$11-SQRT((1-U485)*($G$11-$E$11)*($G$11-$F$11))))</f>
        <v>0.110746838322237</v>
      </c>
      <c r="H485" s="53" t="n">
        <f aca="false">(('Business Case'!B11*$C485*'Business Case'!B12*$B485)-'Business Case'!B11*$C485*'Business Case'!B13*$D485-'Business Case'!B14*$E485)-MAX(0,(('Business Case'!B11*$C485*'Business Case'!B12*$B485)-'Business Case'!B11*$C485*'Business Case'!B13*$D485-'Business Case'!B14*$E485))*'Business Case'!$B$7-'Business Case'!$B$8*('Business Case'!B11*$C485*'Business Case'!B12*$B485)-'Business Case'!B15*$F485</f>
        <v>-2005091225.13632</v>
      </c>
      <c r="I485" s="53" t="n">
        <f aca="false">(('Business Case'!C11*$C485*'Business Case'!C12*$B485)-'Business Case'!C11*$C485*'Business Case'!C13*$D485-'Business Case'!C14*$E485)-MAX(0,(('Business Case'!C11*$C485*'Business Case'!C12*$B485)-'Business Case'!C11*$C485*'Business Case'!C13*$D485-'Business Case'!C14*$E485))*'Business Case'!$B$7-'Business Case'!$B$8*(('Business Case'!C11*$C485*'Business Case'!C12*$B485)-('Business Case'!B11*$C485*'Business Case'!B12*$B485))-'Business Case'!C15*$F485</f>
        <v>-39732406.8072315</v>
      </c>
      <c r="J485" s="53" t="n">
        <f aca="false">(('Business Case'!D11*$C485*'Business Case'!D12*$B485)-'Business Case'!D11*$C485*'Business Case'!D13*$D485-'Business Case'!D14*$E485)-MAX(0,(('Business Case'!D11*$C485*'Business Case'!D12*$B485)-'Business Case'!D11*$C485*'Business Case'!D13*$D485-'Business Case'!D14*$E485))*'Business Case'!$B$7-'Business Case'!$B$8*(('Business Case'!D11*$C485*'Business Case'!D12*$B485)-('Business Case'!C11*$C485*'Business Case'!C12*$B485))-'Business Case'!D15*$F485</f>
        <v>213486788.47941</v>
      </c>
      <c r="K485" s="53" t="n">
        <f aca="false">(('Business Case'!E11*$C485*'Business Case'!E12*$B485)-'Business Case'!E11*$C485*'Business Case'!E13*$D485-'Business Case'!E14*$E485)-MAX(0,(('Business Case'!E11*$C485*'Business Case'!E12*$B485)-'Business Case'!E11*$C485*'Business Case'!E13*$D485-'Business Case'!E14*$E485))*'Business Case'!$B$7-'Business Case'!$B$8*(('Business Case'!E11*$C485*'Business Case'!E12*$B485)-('Business Case'!D11*$C485*'Business Case'!D12*$B485))-'Business Case'!E15*$F485</f>
        <v>516833264.394459</v>
      </c>
      <c r="L485" s="53" t="n">
        <f aca="false">(('Business Case'!F11*$C485*'Business Case'!F12*$B485)-'Business Case'!F11*$C485*'Business Case'!F13*$D485-'Business Case'!F14*$E485)-MAX(0,(('Business Case'!F11*$C485*'Business Case'!F12*$B485)-'Business Case'!F11*$C485*'Business Case'!F13*$D485-'Business Case'!F14*$E485))*'Business Case'!$B$7-'Business Case'!$B$8*(('Business Case'!F11*$C485*'Business Case'!F12*$B485)-('Business Case'!E11*$C485*'Business Case'!E12*$B485))-'Business Case'!F15*$F485</f>
        <v>631715980.804028</v>
      </c>
      <c r="M485" s="53" t="n">
        <f aca="false">(('Business Case'!G11*$C485*'Business Case'!G12*$B485)-'Business Case'!G11*$C485*'Business Case'!G13*$D485-'Business Case'!G14*$E485)-MAX(0,(('Business Case'!G11*$C485*'Business Case'!G12*$B485)-'Business Case'!G11*$C485*'Business Case'!G13*$D485-'Business Case'!G14*$E485))*'Business Case'!$B$7-'Business Case'!$B$8*(('Business Case'!G11*$C485*'Business Case'!G12*$B485)-('Business Case'!F11*$C485*'Business Case'!F12*$B485))-'Business Case'!G15*$F485+'Business Case'!$B$8*('Business Case'!G11*$C485*'Business Case'!G12*$B485)</f>
        <v>799335729.697817</v>
      </c>
      <c r="N485" s="53" t="n">
        <f aca="false">IF(COUNT('Business Case'!B11:G11)=0,"",H485+NPV(G485,I485:M485))</f>
        <v>-602895058.505632</v>
      </c>
      <c r="P485" s="54" t="n">
        <f aca="true">RAND()</f>
        <v>0.163838563594551</v>
      </c>
      <c r="Q485" s="54" t="n">
        <f aca="true">RAND()</f>
        <v>0.201985234997317</v>
      </c>
      <c r="R485" s="54" t="n">
        <f aca="true">RAND()</f>
        <v>0.342115444618375</v>
      </c>
      <c r="S485" s="54" t="n">
        <f aca="true">RAND()</f>
        <v>0.706358388069309</v>
      </c>
      <c r="T485" s="54" t="n">
        <f aca="true">RAND()</f>
        <v>0.220235297678317</v>
      </c>
      <c r="U485" s="54" t="n">
        <f aca="true">RAND()</f>
        <v>0.857298331608641</v>
      </c>
    </row>
    <row r="486" customFormat="false" ht="15" hidden="false" customHeight="false" outlineLevel="0" collapsed="false">
      <c r="A486" s="50" t="n">
        <v>406</v>
      </c>
      <c r="B486" s="51" t="n">
        <f aca="false">1+IF($G$6=$E$6,$F$6,IF(P486&lt;($F$6-$E$6)/($G$6-$E$6),$E$6+SQRT(P486*($G$6-$E$6)*($F$6-$E$6)),$G$6-SQRT((1-P486)*($G$6-$E$6)*($G$6-$F$6))))</f>
        <v>0.980458927415768</v>
      </c>
      <c r="C486" s="51" t="n">
        <f aca="false">1+IF($G$7=$E$7,$F$7,IF(Q486&lt;($F$7-$E$7)/($G$7-$E$7),$E$7+SQRT(Q486*($G$7-$E$7)*($F$7-$E$7)),$G$7-SQRT((1-Q486)*($G$7-$E$7)*($G$7-$F$7))))</f>
        <v>0.991185897370185</v>
      </c>
      <c r="D486" s="51" t="n">
        <f aca="false">1+IF($G$8=$E$8,$F$8,IF(R486&lt;($F$8-$E$8)/($G$8-$E$8),$E$8+SQRT(R486*($G$8-$E$8)*($F$8-$E$8)),$G$8-SQRT((1-R486)*($G$8-$E$8)*($G$8-$F$8))))</f>
        <v>1.01750546023662</v>
      </c>
      <c r="E486" s="51" t="n">
        <f aca="false">1+IF($G$9=$E$9,$F$9,IF(S486&lt;($F$9-$E$9)/($G$9-$E$9),$E$9+SQRT(S486*($G$9-$E$9)*($F$9-$E$9)),$G$9-SQRT((1-S486)*($G$9-$E$9)*($G$9-$F$9))))</f>
        <v>1.05441031740873</v>
      </c>
      <c r="F486" s="51" t="n">
        <f aca="false">1+IF($G$10=$E$10,$F$10,IF(T486&lt;($F$10-$E$10)/($G$10-$E$10),$E$10+SQRT(T486*($G$10-$E$10)*($F$10-$E$10)),$G$10-SQRT((1-T486)*($G$10-$E$10)*($G$10-$F$10))))</f>
        <v>1.14508433290167</v>
      </c>
      <c r="G486" s="52" t="n">
        <f aca="false">IF($G$11=$E$11,$F$11,IF(U486&lt;($F$11-$E$11)/($G$11-$E$11),$E$11+SQRT(U486*($G$11-$E$11)*($F$11-$E$11)),$G$11-SQRT((1-U486)*($G$11-$E$11)*($G$11-$F$11))))</f>
        <v>0.0932643105446108</v>
      </c>
      <c r="H486" s="53" t="n">
        <f aca="false">(('Business Case'!B11*$C486*'Business Case'!B12*$B486)-'Business Case'!B11*$C486*'Business Case'!B13*$D486-'Business Case'!B14*$E486)-MAX(0,(('Business Case'!B11*$C486*'Business Case'!B12*$B486)-'Business Case'!B11*$C486*'Business Case'!B13*$D486-'Business Case'!B14*$E486))*'Business Case'!$B$7-'Business Case'!$B$8*('Business Case'!B11*$C486*'Business Case'!B12*$B486)-'Business Case'!B15*$F486</f>
        <v>-2290168665.80334</v>
      </c>
      <c r="I486" s="53" t="n">
        <f aca="false">(('Business Case'!C11*$C486*'Business Case'!C12*$B486)-'Business Case'!C11*$C486*'Business Case'!C13*$D486-'Business Case'!C14*$E486)-MAX(0,(('Business Case'!C11*$C486*'Business Case'!C12*$B486)-'Business Case'!C11*$C486*'Business Case'!C13*$D486-'Business Case'!C14*$E486))*'Business Case'!$B$7-'Business Case'!$B$8*(('Business Case'!C11*$C486*'Business Case'!C12*$B486)-('Business Case'!B11*$C486*'Business Case'!B12*$B486))-'Business Case'!C15*$F486</f>
        <v>-35126725.5917933</v>
      </c>
      <c r="J486" s="53" t="n">
        <f aca="false">(('Business Case'!D11*$C486*'Business Case'!D12*$B486)-'Business Case'!D11*$C486*'Business Case'!D13*$D486-'Business Case'!D14*$E486)-MAX(0,(('Business Case'!D11*$C486*'Business Case'!D12*$B486)-'Business Case'!D11*$C486*'Business Case'!D13*$D486-'Business Case'!D14*$E486))*'Business Case'!$B$7-'Business Case'!$B$8*(('Business Case'!D11*$C486*'Business Case'!D12*$B486)-('Business Case'!C11*$C486*'Business Case'!C12*$B486))-'Business Case'!D15*$F486</f>
        <v>244571125.726083</v>
      </c>
      <c r="K486" s="53" t="n">
        <f aca="false">(('Business Case'!E11*$C486*'Business Case'!E12*$B486)-'Business Case'!E11*$C486*'Business Case'!E13*$D486-'Business Case'!E14*$E486)-MAX(0,(('Business Case'!E11*$C486*'Business Case'!E12*$B486)-'Business Case'!E11*$C486*'Business Case'!E13*$D486-'Business Case'!E14*$E486))*'Business Case'!$B$7-'Business Case'!$B$8*(('Business Case'!E11*$C486*'Business Case'!E12*$B486)-('Business Case'!D11*$C486*'Business Case'!D12*$B486))-'Business Case'!E15*$F486</f>
        <v>581523193.689043</v>
      </c>
      <c r="L486" s="53" t="n">
        <f aca="false">(('Business Case'!F11*$C486*'Business Case'!F12*$B486)-'Business Case'!F11*$C486*'Business Case'!F13*$D486-'Business Case'!F14*$E486)-MAX(0,(('Business Case'!F11*$C486*'Business Case'!F12*$B486)-'Business Case'!F11*$C486*'Business Case'!F13*$D486-'Business Case'!F14*$E486))*'Business Case'!$B$7-'Business Case'!$B$8*(('Business Case'!F11*$C486*'Business Case'!F12*$B486)-('Business Case'!E11*$C486*'Business Case'!E12*$B486))-'Business Case'!F15*$F486</f>
        <v>708341808.45099</v>
      </c>
      <c r="M486" s="53" t="n">
        <f aca="false">(('Business Case'!G11*$C486*'Business Case'!G12*$B486)-'Business Case'!G11*$C486*'Business Case'!G13*$D486-'Business Case'!G14*$E486)-MAX(0,(('Business Case'!G11*$C486*'Business Case'!G12*$B486)-'Business Case'!G11*$C486*'Business Case'!G13*$D486-'Business Case'!G14*$E486))*'Business Case'!$B$7-'Business Case'!$B$8*(('Business Case'!G11*$C486*'Business Case'!G12*$B486)-('Business Case'!F11*$C486*'Business Case'!F12*$B486))-'Business Case'!G15*$F486+'Business Case'!$B$8*('Business Case'!G11*$C486*'Business Case'!G12*$B486)</f>
        <v>893064795.558924</v>
      </c>
      <c r="N486" s="53" t="n">
        <f aca="false">IF(COUNT('Business Case'!B11:G11)=0,"",H486+NPV(G486,I486:M486))</f>
        <v>-604985523.017576</v>
      </c>
      <c r="P486" s="54" t="n">
        <f aca="true">RAND()</f>
        <v>0.380758531694286</v>
      </c>
      <c r="Q486" s="54" t="n">
        <f aca="true">RAND()</f>
        <v>0.522172105046327</v>
      </c>
      <c r="R486" s="54" t="n">
        <f aca="true">RAND()</f>
        <v>0.624464663438778</v>
      </c>
      <c r="S486" s="54" t="n">
        <f aca="true">RAND()</f>
        <v>0.861438722748475</v>
      </c>
      <c r="T486" s="54" t="n">
        <f aca="true">RAND()</f>
        <v>0.939685390142904</v>
      </c>
      <c r="U486" s="54" t="n">
        <f aca="true">RAND()</f>
        <v>0.0355190777721914</v>
      </c>
    </row>
    <row r="487" customFormat="false" ht="15" hidden="false" customHeight="false" outlineLevel="0" collapsed="false">
      <c r="A487" s="50" t="n">
        <v>407</v>
      </c>
      <c r="B487" s="51" t="n">
        <f aca="false">1+IF($G$6=$E$6,$F$6,IF(P487&lt;($F$6-$E$6)/($G$6-$E$6),$E$6+SQRT(P487*($G$6-$E$6)*($F$6-$E$6)),$G$6-SQRT((1-P487)*($G$6-$E$6)*($G$6-$F$6))))</f>
        <v>0.976224886370292</v>
      </c>
      <c r="C487" s="51" t="n">
        <f aca="false">1+IF($G$7=$E$7,$F$7,IF(Q487&lt;($F$7-$E$7)/($G$7-$E$7),$E$7+SQRT(Q487*($G$7-$E$7)*($F$7-$E$7)),$G$7-SQRT((1-Q487)*($G$7-$E$7)*($G$7-$F$7))))</f>
        <v>1.05792655145228</v>
      </c>
      <c r="D487" s="51" t="n">
        <f aca="false">1+IF($G$8=$E$8,$F$8,IF(R487&lt;($F$8-$E$8)/($G$8-$E$8),$E$8+SQRT(R487*($G$8-$E$8)*($F$8-$E$8)),$G$8-SQRT((1-R487)*($G$8-$E$8)*($G$8-$F$8))))</f>
        <v>0.972293049799301</v>
      </c>
      <c r="E487" s="51" t="n">
        <f aca="false">1+IF($G$9=$E$9,$F$9,IF(S487&lt;($F$9-$E$9)/($G$9-$E$9),$E$9+SQRT(S487*($G$9-$E$9)*($F$9-$E$9)),$G$9-SQRT((1-S487)*($G$9-$E$9)*($G$9-$F$9))))</f>
        <v>0.965406016823374</v>
      </c>
      <c r="F487" s="51" t="n">
        <f aca="false">1+IF($G$10=$E$10,$F$10,IF(T487&lt;($F$10-$E$10)/($G$10-$E$10),$E$10+SQRT(T487*($G$10-$E$10)*($F$10-$E$10)),$G$10-SQRT((1-T487)*($G$10-$E$10)*($G$10-$F$10))))</f>
        <v>1.02895554152638</v>
      </c>
      <c r="G487" s="52" t="n">
        <f aca="false">IF($G$11=$E$11,$F$11,IF(U487&lt;($F$11-$E$11)/($G$11-$E$11),$E$11+SQRT(U487*($G$11-$E$11)*($F$11-$E$11)),$G$11-SQRT((1-U487)*($G$11-$E$11)*($G$11-$F$11))))</f>
        <v>0.0956679973749729</v>
      </c>
      <c r="H487" s="53" t="n">
        <f aca="false">(('Business Case'!B11*$C487*'Business Case'!B12*$B487)-'Business Case'!B11*$C487*'Business Case'!B13*$D487-'Business Case'!B14*$E487)-MAX(0,(('Business Case'!B11*$C487*'Business Case'!B12*$B487)-'Business Case'!B11*$C487*'Business Case'!B13*$D487-'Business Case'!B14*$E487))*'Business Case'!$B$7-'Business Case'!$B$8*('Business Case'!B11*$C487*'Business Case'!B12*$B487)-'Business Case'!B15*$F487</f>
        <v>-2057911083.05276</v>
      </c>
      <c r="I487" s="53" t="n">
        <f aca="false">(('Business Case'!C11*$C487*'Business Case'!C12*$B487)-'Business Case'!C11*$C487*'Business Case'!C13*$D487-'Business Case'!C14*$E487)-MAX(0,(('Business Case'!C11*$C487*'Business Case'!C12*$B487)-'Business Case'!C11*$C487*'Business Case'!C13*$D487-'Business Case'!C14*$E487))*'Business Case'!$B$7-'Business Case'!$B$8*(('Business Case'!C11*$C487*'Business Case'!C12*$B487)-('Business Case'!B11*$C487*'Business Case'!B12*$B487))-'Business Case'!C15*$F487</f>
        <v>25632743.3376755</v>
      </c>
      <c r="J487" s="53" t="n">
        <f aca="false">(('Business Case'!D11*$C487*'Business Case'!D12*$B487)-'Business Case'!D11*$C487*'Business Case'!D13*$D487-'Business Case'!D14*$E487)-MAX(0,(('Business Case'!D11*$C487*'Business Case'!D12*$B487)-'Business Case'!D11*$C487*'Business Case'!D13*$D487-'Business Case'!D14*$E487))*'Business Case'!$B$7-'Business Case'!$B$8*(('Business Case'!D11*$C487*'Business Case'!D12*$B487)-('Business Case'!C11*$C487*'Business Case'!C12*$B487))-'Business Case'!D15*$F487</f>
        <v>344980792.372816</v>
      </c>
      <c r="K487" s="53" t="n">
        <f aca="false">(('Business Case'!E11*$C487*'Business Case'!E12*$B487)-'Business Case'!E11*$C487*'Business Case'!E13*$D487-'Business Case'!E14*$E487)-MAX(0,(('Business Case'!E11*$C487*'Business Case'!E12*$B487)-'Business Case'!E11*$C487*'Business Case'!E13*$D487-'Business Case'!E14*$E487))*'Business Case'!$B$7-'Business Case'!$B$8*(('Business Case'!E11*$C487*'Business Case'!E12*$B487)-('Business Case'!D11*$C487*'Business Case'!D12*$B487))-'Business Case'!E15*$F487</f>
        <v>715776618.484276</v>
      </c>
      <c r="L487" s="53" t="n">
        <f aca="false">(('Business Case'!F11*$C487*'Business Case'!F12*$B487)-'Business Case'!F11*$C487*'Business Case'!F13*$D487-'Business Case'!F14*$E487)-MAX(0,(('Business Case'!F11*$C487*'Business Case'!F12*$B487)-'Business Case'!F11*$C487*'Business Case'!F13*$D487-'Business Case'!F14*$E487))*'Business Case'!$B$7-'Business Case'!$B$8*(('Business Case'!F11*$C487*'Business Case'!F12*$B487)-('Business Case'!E11*$C487*'Business Case'!E12*$B487))-'Business Case'!F15*$F487</f>
        <v>857918645.464352</v>
      </c>
      <c r="M487" s="53" t="n">
        <f aca="false">(('Business Case'!G11*$C487*'Business Case'!G12*$B487)-'Business Case'!G11*$C487*'Business Case'!G13*$D487-'Business Case'!G14*$E487)-MAX(0,(('Business Case'!G11*$C487*'Business Case'!G12*$B487)-'Business Case'!G11*$C487*'Business Case'!G13*$D487-'Business Case'!G14*$E487))*'Business Case'!$B$7-'Business Case'!$B$8*(('Business Case'!G11*$C487*'Business Case'!G12*$B487)-('Business Case'!F11*$C487*'Business Case'!F12*$B487))-'Business Case'!G15*$F487+'Business Case'!$B$8*('Business Case'!G11*$C487*'Business Case'!G12*$B487)</f>
        <v>1054228370.62368</v>
      </c>
      <c r="N487" s="53" t="n">
        <f aca="false">IF(COUNT('Business Case'!B11:G11)=0,"",H487+NPV(G487,I487:M487))</f>
        <v>59956398.7718456</v>
      </c>
      <c r="P487" s="54" t="n">
        <f aca="true">RAND()</f>
        <v>0.329295609099195</v>
      </c>
      <c r="Q487" s="54" t="n">
        <f aca="true">RAND()</f>
        <v>0.838523429952977</v>
      </c>
      <c r="R487" s="54" t="n">
        <f aca="true">RAND()</f>
        <v>0.0764584722083284</v>
      </c>
      <c r="S487" s="54" t="n">
        <f aca="true">RAND()</f>
        <v>0.0316460472482767</v>
      </c>
      <c r="T487" s="54" t="n">
        <f aca="true">RAND()</f>
        <v>0.41487586450931</v>
      </c>
      <c r="U487" s="54" t="n">
        <f aca="true">RAND()</f>
        <v>0.107087314142332</v>
      </c>
    </row>
    <row r="488" customFormat="false" ht="15" hidden="false" customHeight="false" outlineLevel="0" collapsed="false">
      <c r="A488" s="50" t="n">
        <v>408</v>
      </c>
      <c r="B488" s="51" t="n">
        <f aca="false">1+IF($G$6=$E$6,$F$6,IF(P488&lt;($F$6-$E$6)/($G$6-$E$6),$E$6+SQRT(P488*($G$6-$E$6)*($F$6-$E$6)),$G$6-SQRT((1-P488)*($G$6-$E$6)*($G$6-$F$6))))</f>
        <v>0.97912532836133</v>
      </c>
      <c r="C488" s="51" t="n">
        <f aca="false">1+IF($G$7=$E$7,$F$7,IF(Q488&lt;($F$7-$E$7)/($G$7-$E$7),$E$7+SQRT(Q488*($G$7-$E$7)*($F$7-$E$7)),$G$7-SQRT((1-Q488)*($G$7-$E$7)*($G$7-$F$7))))</f>
        <v>0.977724152231669</v>
      </c>
      <c r="D488" s="51" t="n">
        <f aca="false">1+IF($G$8=$E$8,$F$8,IF(R488&lt;($F$8-$E$8)/($G$8-$E$8),$E$8+SQRT(R488*($G$8-$E$8)*($F$8-$E$8)),$G$8-SQRT((1-R488)*($G$8-$E$8)*($G$8-$F$8))))</f>
        <v>1.03374556030902</v>
      </c>
      <c r="E488" s="51" t="n">
        <f aca="false">1+IF($G$9=$E$9,$F$9,IF(S488&lt;($F$9-$E$9)/($G$9-$E$9),$E$9+SQRT(S488*($G$9-$E$9)*($F$9-$E$9)),$G$9-SQRT((1-S488)*($G$9-$E$9)*($G$9-$F$9))))</f>
        <v>1.07043153066399</v>
      </c>
      <c r="F488" s="51" t="n">
        <f aca="false">1+IF($G$10=$E$10,$F$10,IF(T488&lt;($F$10-$E$10)/($G$10-$E$10),$E$10+SQRT(T488*($G$10-$E$10)*($F$10-$E$10)),$G$10-SQRT((1-T488)*($G$10-$E$10)*($G$10-$F$10))))</f>
        <v>1.03096152415456</v>
      </c>
      <c r="G488" s="52" t="n">
        <f aca="false">IF($G$11=$E$11,$F$11,IF(U488&lt;($F$11-$E$11)/($G$11-$E$11),$E$11+SQRT(U488*($G$11-$E$11)*($F$11-$E$11)),$G$11-SQRT((1-U488)*($G$11-$E$11)*($G$11-$F$11))))</f>
        <v>0.0962691949293865</v>
      </c>
      <c r="H488" s="53" t="n">
        <f aca="false">(('Business Case'!B11*$C488*'Business Case'!B12*$B488)-'Business Case'!B11*$C488*'Business Case'!B13*$D488-'Business Case'!B14*$E488)-MAX(0,(('Business Case'!B11*$C488*'Business Case'!B12*$B488)-'Business Case'!B11*$C488*'Business Case'!B13*$D488-'Business Case'!B14*$E488))*'Business Case'!$B$7-'Business Case'!$B$8*('Business Case'!B11*$C488*'Business Case'!B12*$B488)-'Business Case'!B15*$F488</f>
        <v>-2061923048.30913</v>
      </c>
      <c r="I488" s="53" t="n">
        <f aca="false">(('Business Case'!C11*$C488*'Business Case'!C12*$B488)-'Business Case'!C11*$C488*'Business Case'!C13*$D488-'Business Case'!C14*$E488)-MAX(0,(('Business Case'!C11*$C488*'Business Case'!C12*$B488)-'Business Case'!C11*$C488*'Business Case'!C13*$D488-'Business Case'!C14*$E488))*'Business Case'!$B$7-'Business Case'!$B$8*(('Business Case'!C11*$C488*'Business Case'!C12*$B488)-('Business Case'!B11*$C488*'Business Case'!B12*$B488))-'Business Case'!C15*$F488</f>
        <v>-38235971.0954445</v>
      </c>
      <c r="J488" s="53" t="n">
        <f aca="false">(('Business Case'!D11*$C488*'Business Case'!D12*$B488)-'Business Case'!D11*$C488*'Business Case'!D13*$D488-'Business Case'!D14*$E488)-MAX(0,(('Business Case'!D11*$C488*'Business Case'!D12*$B488)-'Business Case'!D11*$C488*'Business Case'!D13*$D488-'Business Case'!D14*$E488))*'Business Case'!$B$7-'Business Case'!$B$8*(('Business Case'!D11*$C488*'Business Case'!D12*$B488)-('Business Case'!C11*$C488*'Business Case'!C12*$B488))-'Business Case'!D15*$F488</f>
        <v>228466756.611164</v>
      </c>
      <c r="K488" s="53" t="n">
        <f aca="false">(('Business Case'!E11*$C488*'Business Case'!E12*$B488)-'Business Case'!E11*$C488*'Business Case'!E13*$D488-'Business Case'!E14*$E488)-MAX(0,(('Business Case'!E11*$C488*'Business Case'!E12*$B488)-'Business Case'!E11*$C488*'Business Case'!E13*$D488-'Business Case'!E14*$E488))*'Business Case'!$B$7-'Business Case'!$B$8*(('Business Case'!E11*$C488*'Business Case'!E12*$B488)-('Business Case'!D11*$C488*'Business Case'!D12*$B488))-'Business Case'!E15*$F488</f>
        <v>546717560.525501</v>
      </c>
      <c r="L488" s="53" t="n">
        <f aca="false">(('Business Case'!F11*$C488*'Business Case'!F12*$B488)-'Business Case'!F11*$C488*'Business Case'!F13*$D488-'Business Case'!F14*$E488)-MAX(0,(('Business Case'!F11*$C488*'Business Case'!F12*$B488)-'Business Case'!F11*$C488*'Business Case'!F13*$D488-'Business Case'!F14*$E488))*'Business Case'!$B$7-'Business Case'!$B$8*(('Business Case'!F11*$C488*'Business Case'!F12*$B488)-('Business Case'!E11*$C488*'Business Case'!E12*$B488))-'Business Case'!F15*$F488</f>
        <v>668703258.245155</v>
      </c>
      <c r="M488" s="53" t="n">
        <f aca="false">(('Business Case'!G11*$C488*'Business Case'!G12*$B488)-'Business Case'!G11*$C488*'Business Case'!G13*$D488-'Business Case'!G14*$E488)-MAX(0,(('Business Case'!G11*$C488*'Business Case'!G12*$B488)-'Business Case'!G11*$C488*'Business Case'!G13*$D488-'Business Case'!G14*$E488))*'Business Case'!$B$7-'Business Case'!$B$8*(('Business Case'!G11*$C488*'Business Case'!G12*$B488)-('Business Case'!F11*$C488*'Business Case'!F12*$B488))-'Business Case'!G15*$F488+'Business Case'!$B$8*('Business Case'!G11*$C488*'Business Case'!G12*$B488)</f>
        <v>850669594.907803</v>
      </c>
      <c r="N488" s="53" t="n">
        <f aca="false">IF(COUNT('Business Case'!B11:G11)=0,"",H488+NPV(G488,I488:M488))</f>
        <v>-491502969.909063</v>
      </c>
      <c r="P488" s="54" t="n">
        <f aca="true">RAND()</f>
        <v>0.364146297274483</v>
      </c>
      <c r="Q488" s="54" t="n">
        <f aca="true">RAND()</f>
        <v>0.451226775520934</v>
      </c>
      <c r="R488" s="54" t="n">
        <f aca="true">RAND()</f>
        <v>0.794281423930187</v>
      </c>
      <c r="S488" s="54" t="n">
        <f aca="true">RAND()</f>
        <v>0.941713708075037</v>
      </c>
      <c r="T488" s="54" t="n">
        <f aca="true">RAND()</f>
        <v>0.42851987367704</v>
      </c>
      <c r="U488" s="54" t="n">
        <f aca="true">RAND()</f>
        <v>0.131009350208816</v>
      </c>
    </row>
    <row r="489" customFormat="false" ht="15" hidden="false" customHeight="false" outlineLevel="0" collapsed="false">
      <c r="A489" s="50" t="n">
        <v>409</v>
      </c>
      <c r="B489" s="51" t="n">
        <f aca="false">1+IF($G$6=$E$6,$F$6,IF(P489&lt;($F$6-$E$6)/($G$6-$E$6),$E$6+SQRT(P489*($G$6-$E$6)*($F$6-$E$6)),$G$6-SQRT((1-P489)*($G$6-$E$6)*($G$6-$F$6))))</f>
        <v>0.997161477697282</v>
      </c>
      <c r="C489" s="51" t="n">
        <f aca="false">1+IF($G$7=$E$7,$F$7,IF(Q489&lt;($F$7-$E$7)/($G$7-$E$7),$E$7+SQRT(Q489*($G$7-$E$7)*($F$7-$E$7)),$G$7-SQRT((1-Q489)*($G$7-$E$7)*($G$7-$F$7))))</f>
        <v>1.03671551132178</v>
      </c>
      <c r="D489" s="51" t="n">
        <f aca="false">1+IF($G$8=$E$8,$F$8,IF(R489&lt;($F$8-$E$8)/($G$8-$E$8),$E$8+SQRT(R489*($G$8-$E$8)*($F$8-$E$8)),$G$8-SQRT((1-R489)*($G$8-$E$8)*($G$8-$F$8))))</f>
        <v>1.02566104899595</v>
      </c>
      <c r="E489" s="51" t="n">
        <f aca="false">1+IF($G$9=$E$9,$F$9,IF(S489&lt;($F$9-$E$9)/($G$9-$E$9),$E$9+SQRT(S489*($G$9-$E$9)*($F$9-$E$9)),$G$9-SQRT((1-S489)*($G$9-$E$9)*($G$9-$F$9))))</f>
        <v>0.997532542855039</v>
      </c>
      <c r="F489" s="51" t="n">
        <f aca="false">1+IF($G$10=$E$10,$F$10,IF(T489&lt;($F$10-$E$10)/($G$10-$E$10),$E$10+SQRT(T489*($G$10-$E$10)*($F$10-$E$10)),$G$10-SQRT((1-T489)*($G$10-$E$10)*($G$10-$F$10))))</f>
        <v>1.03606663270787</v>
      </c>
      <c r="G489" s="52" t="n">
        <f aca="false">IF($G$11=$E$11,$F$11,IF(U489&lt;($F$11-$E$11)/($G$11-$E$11),$E$11+SQRT(U489*($G$11-$E$11)*($F$11-$E$11)),$G$11-SQRT((1-U489)*($G$11-$E$11)*($G$11-$F$11))))</f>
        <v>0.0910253522595859</v>
      </c>
      <c r="H489" s="53" t="n">
        <f aca="false">(('Business Case'!B11*$C489*'Business Case'!B12*$B489)-'Business Case'!B11*$C489*'Business Case'!B13*$D489-'Business Case'!B14*$E489)-MAX(0,(('Business Case'!B11*$C489*'Business Case'!B12*$B489)-'Business Case'!B11*$C489*'Business Case'!B13*$D489-'Business Case'!B14*$E489))*'Business Case'!$B$7-'Business Case'!$B$8*('Business Case'!B11*$C489*'Business Case'!B12*$B489)-'Business Case'!B15*$F489</f>
        <v>-2072133265.41573</v>
      </c>
      <c r="I489" s="53" t="n">
        <f aca="false">(('Business Case'!C11*$C489*'Business Case'!C12*$B489)-'Business Case'!C11*$C489*'Business Case'!C13*$D489-'Business Case'!C14*$E489)-MAX(0,(('Business Case'!C11*$C489*'Business Case'!C12*$B489)-'Business Case'!C11*$C489*'Business Case'!C13*$D489-'Business Case'!C14*$E489))*'Business Case'!$B$7-'Business Case'!$B$8*(('Business Case'!C11*$C489*'Business Case'!C12*$B489)-('Business Case'!B11*$C489*'Business Case'!B12*$B489))-'Business Case'!C15*$F489</f>
        <v>3353641.38984284</v>
      </c>
      <c r="J489" s="53" t="n">
        <f aca="false">(('Business Case'!D11*$C489*'Business Case'!D12*$B489)-'Business Case'!D11*$C489*'Business Case'!D13*$D489-'Business Case'!D14*$E489)-MAX(0,(('Business Case'!D11*$C489*'Business Case'!D12*$B489)-'Business Case'!D11*$C489*'Business Case'!D13*$D489-'Business Case'!D14*$E489))*'Business Case'!$B$7-'Business Case'!$B$8*(('Business Case'!D11*$C489*'Business Case'!D12*$B489)-('Business Case'!C11*$C489*'Business Case'!C12*$B489))-'Business Case'!D15*$F489</f>
        <v>305753854.104572</v>
      </c>
      <c r="K489" s="53" t="n">
        <f aca="false">(('Business Case'!E11*$C489*'Business Case'!E12*$B489)-'Business Case'!E11*$C489*'Business Case'!E13*$D489-'Business Case'!E14*$E489)-MAX(0,(('Business Case'!E11*$C489*'Business Case'!E12*$B489)-'Business Case'!E11*$C489*'Business Case'!E13*$D489-'Business Case'!E14*$E489))*'Business Case'!$B$7-'Business Case'!$B$8*(('Business Case'!E11*$C489*'Business Case'!E12*$B489)-('Business Case'!D11*$C489*'Business Case'!D12*$B489))-'Business Case'!E15*$F489</f>
        <v>659957398.454694</v>
      </c>
      <c r="L489" s="53" t="n">
        <f aca="false">(('Business Case'!F11*$C489*'Business Case'!F12*$B489)-'Business Case'!F11*$C489*'Business Case'!F13*$D489-'Business Case'!F14*$E489)-MAX(0,(('Business Case'!F11*$C489*'Business Case'!F12*$B489)-'Business Case'!F11*$C489*'Business Case'!F13*$D489-'Business Case'!F14*$E489))*'Business Case'!$B$7-'Business Case'!$B$8*(('Business Case'!F11*$C489*'Business Case'!F12*$B489)-('Business Case'!E11*$C489*'Business Case'!E12*$B489))-'Business Case'!F15*$F489</f>
        <v>796484656.333013</v>
      </c>
      <c r="M489" s="53" t="n">
        <f aca="false">(('Business Case'!G11*$C489*'Business Case'!G12*$B489)-'Business Case'!G11*$C489*'Business Case'!G13*$D489-'Business Case'!G14*$E489)-MAX(0,(('Business Case'!G11*$C489*'Business Case'!G12*$B489)-'Business Case'!G11*$C489*'Business Case'!G13*$D489-'Business Case'!G14*$E489))*'Business Case'!$B$7-'Business Case'!$B$8*(('Business Case'!G11*$C489*'Business Case'!G12*$B489)-('Business Case'!F11*$C489*'Business Case'!F12*$B489))-'Business Case'!G15*$F489+'Business Case'!$B$8*('Business Case'!G11*$C489*'Business Case'!G12*$B489)</f>
        <v>992984184.68676</v>
      </c>
      <c r="N489" s="53" t="n">
        <f aca="false">IF(COUNT('Business Case'!B11:G11)=0,"",H489+NPV(G489,I489:M489))</f>
        <v>-99546933.7778997</v>
      </c>
      <c r="P489" s="54" t="n">
        <f aca="true">RAND()</f>
        <v>0.620197254211268</v>
      </c>
      <c r="Q489" s="54" t="n">
        <f aca="true">RAND()</f>
        <v>0.755554754760252</v>
      </c>
      <c r="R489" s="54" t="n">
        <f aca="true">RAND()</f>
        <v>0.716084461901866</v>
      </c>
      <c r="S489" s="54" t="n">
        <f aca="true">RAND()</f>
        <v>0.301245684035482</v>
      </c>
      <c r="T489" s="54" t="n">
        <f aca="true">RAND()</f>
        <v>0.462517021765241</v>
      </c>
      <c r="U489" s="54" t="n">
        <f aca="true">RAND()</f>
        <v>0.00350449085412654</v>
      </c>
    </row>
    <row r="490" customFormat="false" ht="15" hidden="false" customHeight="false" outlineLevel="0" collapsed="false">
      <c r="A490" s="50" t="n">
        <v>410</v>
      </c>
      <c r="B490" s="51" t="n">
        <f aca="false">1+IF($G$6=$E$6,$F$6,IF(P490&lt;($F$6-$E$6)/($G$6-$E$6),$E$6+SQRT(P490*($G$6-$E$6)*($F$6-$E$6)),$G$6-SQRT((1-P490)*($G$6-$E$6)*($G$6-$F$6))))</f>
        <v>0.970228259899687</v>
      </c>
      <c r="C490" s="51" t="n">
        <f aca="false">1+IF($G$7=$E$7,$F$7,IF(Q490&lt;($F$7-$E$7)/($G$7-$E$7),$E$7+SQRT(Q490*($G$7-$E$7)*($F$7-$E$7)),$G$7-SQRT((1-Q490)*($G$7-$E$7)*($G$7-$F$7))))</f>
        <v>1.07318881803422</v>
      </c>
      <c r="D490" s="51" t="n">
        <f aca="false">1+IF($G$8=$E$8,$F$8,IF(R490&lt;($F$8-$E$8)/($G$8-$E$8),$E$8+SQRT(R490*($G$8-$E$8)*($F$8-$E$8)),$G$8-SQRT((1-R490)*($G$8-$E$8)*($G$8-$F$8))))</f>
        <v>0.969938715333263</v>
      </c>
      <c r="E490" s="51" t="n">
        <f aca="false">1+IF($G$9=$E$9,$F$9,IF(S490&lt;($F$9-$E$9)/($G$9-$E$9),$E$9+SQRT(S490*($G$9-$E$9)*($F$9-$E$9)),$G$9-SQRT((1-S490)*($G$9-$E$9)*($G$9-$F$9))))</f>
        <v>1.03961672725462</v>
      </c>
      <c r="F490" s="51" t="n">
        <f aca="false">1+IF($G$10=$E$10,$F$10,IF(T490&lt;($F$10-$E$10)/($G$10-$E$10),$E$10+SQRT(T490*($G$10-$E$10)*($F$10-$E$10)),$G$10-SQRT((1-T490)*($G$10-$E$10)*($G$10-$F$10))))</f>
        <v>1.00849329022207</v>
      </c>
      <c r="G490" s="52" t="n">
        <f aca="false">IF($G$11=$E$11,$F$11,IF(U490&lt;($F$11-$E$11)/($G$11-$E$11),$E$11+SQRT(U490*($G$11-$E$11)*($F$11-$E$11)),$G$11-SQRT((1-U490)*($G$11-$E$11)*($G$11-$F$11))))</f>
        <v>0.0964705698492716</v>
      </c>
      <c r="H490" s="53" t="n">
        <f aca="false">(('Business Case'!B11*$C490*'Business Case'!B12*$B490)-'Business Case'!B11*$C490*'Business Case'!B13*$D490-'Business Case'!B14*$E490)-MAX(0,(('Business Case'!B11*$C490*'Business Case'!B12*$B490)-'Business Case'!B11*$C490*'Business Case'!B13*$D490-'Business Case'!B14*$E490))*'Business Case'!$B$7-'Business Case'!$B$8*('Business Case'!B11*$C490*'Business Case'!B12*$B490)-'Business Case'!B15*$F490</f>
        <v>-2016986580.44413</v>
      </c>
      <c r="I490" s="53" t="n">
        <f aca="false">(('Business Case'!C11*$C490*'Business Case'!C12*$B490)-'Business Case'!C11*$C490*'Business Case'!C13*$D490-'Business Case'!C14*$E490)-MAX(0,(('Business Case'!C11*$C490*'Business Case'!C12*$B490)-'Business Case'!C11*$C490*'Business Case'!C13*$D490-'Business Case'!C14*$E490))*'Business Case'!$B$7-'Business Case'!$B$8*(('Business Case'!C11*$C490*'Business Case'!C12*$B490)-('Business Case'!B11*$C490*'Business Case'!B12*$B490))-'Business Case'!C15*$F490</f>
        <v>17316831.0875883</v>
      </c>
      <c r="J490" s="53" t="n">
        <f aca="false">(('Business Case'!D11*$C490*'Business Case'!D12*$B490)-'Business Case'!D11*$C490*'Business Case'!D13*$D490-'Business Case'!D14*$E490)-MAX(0,(('Business Case'!D11*$C490*'Business Case'!D12*$B490)-'Business Case'!D11*$C490*'Business Case'!D13*$D490-'Business Case'!D14*$E490))*'Business Case'!$B$7-'Business Case'!$B$8*(('Business Case'!D11*$C490*'Business Case'!D12*$B490)-('Business Case'!C11*$C490*'Business Case'!C12*$B490))-'Business Case'!D15*$F490</f>
        <v>337294273.926062</v>
      </c>
      <c r="K490" s="53" t="n">
        <f aca="false">(('Business Case'!E11*$C490*'Business Case'!E12*$B490)-'Business Case'!E11*$C490*'Business Case'!E13*$D490-'Business Case'!E14*$E490)-MAX(0,(('Business Case'!E11*$C490*'Business Case'!E12*$B490)-'Business Case'!E11*$C490*'Business Case'!E13*$D490-'Business Case'!E14*$E490))*'Business Case'!$B$7-'Business Case'!$B$8*(('Business Case'!E11*$C490*'Business Case'!E12*$B490)-('Business Case'!D11*$C490*'Business Case'!D12*$B490))-'Business Case'!E15*$F490</f>
        <v>707696381.275639</v>
      </c>
      <c r="L490" s="53" t="n">
        <f aca="false">(('Business Case'!F11*$C490*'Business Case'!F12*$B490)-'Business Case'!F11*$C490*'Business Case'!F13*$D490-'Business Case'!F14*$E490)-MAX(0,(('Business Case'!F11*$C490*'Business Case'!F12*$B490)-'Business Case'!F11*$C490*'Business Case'!F13*$D490-'Business Case'!F14*$E490))*'Business Case'!$B$7-'Business Case'!$B$8*(('Business Case'!F11*$C490*'Business Case'!F12*$B490)-('Business Case'!E11*$C490*'Business Case'!E12*$B490))-'Business Case'!F15*$F490</f>
        <v>850340718.297179</v>
      </c>
      <c r="M490" s="53" t="n">
        <f aca="false">(('Business Case'!G11*$C490*'Business Case'!G12*$B490)-'Business Case'!G11*$C490*'Business Case'!G13*$D490-'Business Case'!G14*$E490)-MAX(0,(('Business Case'!G11*$C490*'Business Case'!G12*$B490)-'Business Case'!G11*$C490*'Business Case'!G13*$D490-'Business Case'!G14*$E490))*'Business Case'!$B$7-'Business Case'!$B$8*(('Business Case'!G11*$C490*'Business Case'!G12*$B490)-('Business Case'!F11*$C490*'Business Case'!F12*$B490))-'Business Case'!G15*$F490+'Business Case'!$B$8*('Business Case'!G11*$C490*'Business Case'!G12*$B490)</f>
        <v>1048259260.04511</v>
      </c>
      <c r="N490" s="53" t="n">
        <f aca="false">IF(COUNT('Business Case'!B11:G11)=0,"",H490+NPV(G490,I490:M490))</f>
        <v>65951826.2578261</v>
      </c>
      <c r="P490" s="54" t="n">
        <f aca="true">RAND()</f>
        <v>0.262799801307345</v>
      </c>
      <c r="Q490" s="54" t="n">
        <f aca="true">RAND()</f>
        <v>0.88761985380989</v>
      </c>
      <c r="R490" s="54" t="n">
        <f aca="true">RAND()</f>
        <v>0.0611619029447516</v>
      </c>
      <c r="S490" s="54" t="n">
        <f aca="true">RAND()</f>
        <v>0.756924024837099</v>
      </c>
      <c r="T490" s="54" t="n">
        <f aca="true">RAND()</f>
        <v>0.266503602200602</v>
      </c>
      <c r="U490" s="54" t="n">
        <f aca="true">RAND()</f>
        <v>0.139560913914344</v>
      </c>
    </row>
    <row r="491" customFormat="false" ht="15" hidden="false" customHeight="false" outlineLevel="0" collapsed="false">
      <c r="A491" s="50" t="n">
        <v>411</v>
      </c>
      <c r="B491" s="51" t="n">
        <f aca="false">1+IF($G$6=$E$6,$F$6,IF(P491&lt;($F$6-$E$6)/($G$6-$E$6),$E$6+SQRT(P491*($G$6-$E$6)*($F$6-$E$6)),$G$6-SQRT((1-P491)*($G$6-$E$6)*($G$6-$F$6))))</f>
        <v>0.947460018141155</v>
      </c>
      <c r="C491" s="51" t="n">
        <f aca="false">1+IF($G$7=$E$7,$F$7,IF(Q491&lt;($F$7-$E$7)/($G$7-$E$7),$E$7+SQRT(Q491*($G$7-$E$7)*($F$7-$E$7)),$G$7-SQRT((1-Q491)*($G$7-$E$7)*($G$7-$F$7))))</f>
        <v>1.02487699838012</v>
      </c>
      <c r="D491" s="51" t="n">
        <f aca="false">1+IF($G$8=$E$8,$F$8,IF(R491&lt;($F$8-$E$8)/($G$8-$E$8),$E$8+SQRT(R491*($G$8-$E$8)*($F$8-$E$8)),$G$8-SQRT((1-R491)*($G$8-$E$8)*($G$8-$F$8))))</f>
        <v>1.01362905558531</v>
      </c>
      <c r="E491" s="51" t="n">
        <f aca="false">1+IF($G$9=$E$9,$F$9,IF(S491&lt;($F$9-$E$9)/($G$9-$E$9),$E$9+SQRT(S491*($G$9-$E$9)*($F$9-$E$9)),$G$9-SQRT((1-S491)*($G$9-$E$9)*($G$9-$F$9))))</f>
        <v>1.04941776623789</v>
      </c>
      <c r="F491" s="51" t="n">
        <f aca="false">1+IF($G$10=$E$10,$F$10,IF(T491&lt;($F$10-$E$10)/($G$10-$E$10),$E$10+SQRT(T491*($G$10-$E$10)*($F$10-$E$10)),$G$10-SQRT((1-T491)*($G$10-$E$10)*($G$10-$F$10))))</f>
        <v>1.04238773665008</v>
      </c>
      <c r="G491" s="52" t="n">
        <f aca="false">IF($G$11=$E$11,$F$11,IF(U491&lt;($F$11-$E$11)/($G$11-$E$11),$E$11+SQRT(U491*($G$11-$E$11)*($F$11-$E$11)),$G$11-SQRT((1-U491)*($G$11-$E$11)*($G$11-$F$11))))</f>
        <v>0.11188788304012</v>
      </c>
      <c r="H491" s="53" t="n">
        <f aca="false">(('Business Case'!B11*$C491*'Business Case'!B12*$B491)-'Business Case'!B11*$C491*'Business Case'!B13*$D491-'Business Case'!B14*$E491)-MAX(0,(('Business Case'!B11*$C491*'Business Case'!B12*$B491)-'Business Case'!B11*$C491*'Business Case'!B13*$D491-'Business Case'!B14*$E491))*'Business Case'!$B$7-'Business Case'!$B$8*('Business Case'!B11*$C491*'Business Case'!B12*$B491)-'Business Case'!B15*$F491</f>
        <v>-2084775473.30016</v>
      </c>
      <c r="I491" s="53" t="n">
        <f aca="false">(('Business Case'!C11*$C491*'Business Case'!C12*$B491)-'Business Case'!C11*$C491*'Business Case'!C13*$D491-'Business Case'!C14*$E491)-MAX(0,(('Business Case'!C11*$C491*'Business Case'!C12*$B491)-'Business Case'!C11*$C491*'Business Case'!C13*$D491-'Business Case'!C14*$E491))*'Business Case'!$B$7-'Business Case'!$B$8*(('Business Case'!C11*$C491*'Business Case'!C12*$B491)-('Business Case'!B11*$C491*'Business Case'!B12*$B491))-'Business Case'!C15*$F491</f>
        <v>-40266292.4281852</v>
      </c>
      <c r="J491" s="53" t="n">
        <f aca="false">(('Business Case'!D11*$C491*'Business Case'!D12*$B491)-'Business Case'!D11*$C491*'Business Case'!D13*$D491-'Business Case'!D14*$E491)-MAX(0,(('Business Case'!D11*$C491*'Business Case'!D12*$B491)-'Business Case'!D11*$C491*'Business Case'!D13*$D491-'Business Case'!D14*$E491))*'Business Case'!$B$7-'Business Case'!$B$8*(('Business Case'!D11*$C491*'Business Case'!D12*$B491)-('Business Case'!C11*$C491*'Business Case'!C12*$B491))-'Business Case'!D15*$F491</f>
        <v>223271589.303788</v>
      </c>
      <c r="K491" s="53" t="n">
        <f aca="false">(('Business Case'!E11*$C491*'Business Case'!E12*$B491)-'Business Case'!E11*$C491*'Business Case'!E13*$D491-'Business Case'!E14*$E491)-MAX(0,(('Business Case'!E11*$C491*'Business Case'!E12*$B491)-'Business Case'!E11*$C491*'Business Case'!E13*$D491-'Business Case'!E14*$E491))*'Business Case'!$B$7-'Business Case'!$B$8*(('Business Case'!E11*$C491*'Business Case'!E12*$B491)-('Business Case'!D11*$C491*'Business Case'!D12*$B491))-'Business Case'!E15*$F491</f>
        <v>538928857.868265</v>
      </c>
      <c r="L491" s="53" t="n">
        <f aca="false">(('Business Case'!F11*$C491*'Business Case'!F12*$B491)-'Business Case'!F11*$C491*'Business Case'!F13*$D491-'Business Case'!F14*$E491)-MAX(0,(('Business Case'!F11*$C491*'Business Case'!F12*$B491)-'Business Case'!F11*$C491*'Business Case'!F13*$D491-'Business Case'!F14*$E491))*'Business Case'!$B$7-'Business Case'!$B$8*(('Business Case'!F11*$C491*'Business Case'!F12*$B491)-('Business Case'!E11*$C491*'Business Case'!E12*$B491))-'Business Case'!F15*$F491</f>
        <v>660333614.536338</v>
      </c>
      <c r="M491" s="53" t="n">
        <f aca="false">(('Business Case'!G11*$C491*'Business Case'!G12*$B491)-'Business Case'!G11*$C491*'Business Case'!G13*$D491-'Business Case'!G14*$E491)-MAX(0,(('Business Case'!G11*$C491*'Business Case'!G12*$B491)-'Business Case'!G11*$C491*'Business Case'!G13*$D491-'Business Case'!G14*$E491))*'Business Case'!$B$7-'Business Case'!$B$8*(('Business Case'!G11*$C491*'Business Case'!G12*$B491)-('Business Case'!F11*$C491*'Business Case'!F12*$B491))-'Business Case'!G15*$F491+'Business Case'!$B$8*('Business Case'!G11*$C491*'Business Case'!G12*$B491)</f>
        <v>844906993.035456</v>
      </c>
      <c r="N491" s="53" t="n">
        <f aca="false">IF(COUNT('Business Case'!B11:G11)=0,"",H491+NPV(G491,I491:M491))</f>
        <v>-619131780.400784</v>
      </c>
      <c r="P491" s="54" t="n">
        <f aca="true">RAND()</f>
        <v>0.0785471454492245</v>
      </c>
      <c r="Q491" s="54" t="n">
        <f aca="true">RAND()</f>
        <v>0.701794942202499</v>
      </c>
      <c r="R491" s="54" t="n">
        <f aca="true">RAND()</f>
        <v>0.576432474759872</v>
      </c>
      <c r="S491" s="54" t="n">
        <f aca="true">RAND()</f>
        <v>0.829429175175675</v>
      </c>
      <c r="T491" s="54" t="n">
        <f aca="true">RAND()</f>
        <v>0.503167488834305</v>
      </c>
      <c r="U491" s="54" t="n">
        <f aca="true">RAND()</f>
        <v>0.890322597382058</v>
      </c>
    </row>
    <row r="492" customFormat="false" ht="15" hidden="false" customHeight="false" outlineLevel="0" collapsed="false">
      <c r="A492" s="50" t="n">
        <v>412</v>
      </c>
      <c r="B492" s="51" t="n">
        <f aca="false">1+IF($G$6=$E$6,$F$6,IF(P492&lt;($F$6-$E$6)/($G$6-$E$6),$E$6+SQRT(P492*($G$6-$E$6)*($F$6-$E$6)),$G$6-SQRT((1-P492)*($G$6-$E$6)*($G$6-$F$6))))</f>
        <v>0.949444021549061</v>
      </c>
      <c r="C492" s="51" t="n">
        <f aca="false">1+IF($G$7=$E$7,$F$7,IF(Q492&lt;($F$7-$E$7)/($G$7-$E$7),$E$7+SQRT(Q492*($G$7-$E$7)*($F$7-$E$7)),$G$7-SQRT((1-Q492)*($G$7-$E$7)*($G$7-$F$7))))</f>
        <v>1.02376551891309</v>
      </c>
      <c r="D492" s="51" t="n">
        <f aca="false">1+IF($G$8=$E$8,$F$8,IF(R492&lt;($F$8-$E$8)/($G$8-$E$8),$E$8+SQRT(R492*($G$8-$E$8)*($F$8-$E$8)),$G$8-SQRT((1-R492)*($G$8-$E$8)*($G$8-$F$8))))</f>
        <v>1.04540677625566</v>
      </c>
      <c r="E492" s="51" t="n">
        <f aca="false">1+IF($G$9=$E$9,$F$9,IF(S492&lt;($F$9-$E$9)/($G$9-$E$9),$E$9+SQRT(S492*($G$9-$E$9)*($F$9-$E$9)),$G$9-SQRT((1-S492)*($G$9-$E$9)*($G$9-$F$9))))</f>
        <v>1.04140277609445</v>
      </c>
      <c r="F492" s="51" t="n">
        <f aca="false">1+IF($G$10=$E$10,$F$10,IF(T492&lt;($F$10-$E$10)/($G$10-$E$10),$E$10+SQRT(T492*($G$10-$E$10)*($F$10-$E$10)),$G$10-SQRT((1-T492)*($G$10-$E$10)*($G$10-$F$10))))</f>
        <v>0.990949356668934</v>
      </c>
      <c r="G492" s="52" t="n">
        <f aca="false">IF($G$11=$E$11,$F$11,IF(U492&lt;($F$11-$E$11)/($G$11-$E$11),$E$11+SQRT(U492*($G$11-$E$11)*($F$11-$E$11)),$G$11-SQRT((1-U492)*($G$11-$E$11)*($G$11-$F$11))))</f>
        <v>0.108433023906673</v>
      </c>
      <c r="H492" s="53" t="n">
        <f aca="false">(('Business Case'!B11*$C492*'Business Case'!B12*$B492)-'Business Case'!B11*$C492*'Business Case'!B13*$D492-'Business Case'!B14*$E492)-MAX(0,(('Business Case'!B11*$C492*'Business Case'!B12*$B492)-'Business Case'!B11*$C492*'Business Case'!B13*$D492-'Business Case'!B14*$E492))*'Business Case'!$B$7-'Business Case'!$B$8*('Business Case'!B11*$C492*'Business Case'!B12*$B492)-'Business Case'!B15*$F492</f>
        <v>-1981898713.33787</v>
      </c>
      <c r="I492" s="53" t="n">
        <f aca="false">(('Business Case'!C11*$C492*'Business Case'!C12*$B492)-'Business Case'!C11*$C492*'Business Case'!C13*$D492-'Business Case'!C14*$E492)-MAX(0,(('Business Case'!C11*$C492*'Business Case'!C12*$B492)-'Business Case'!C11*$C492*'Business Case'!C13*$D492-'Business Case'!C14*$E492))*'Business Case'!$B$7-'Business Case'!$B$8*(('Business Case'!C11*$C492*'Business Case'!C12*$B492)-('Business Case'!B11*$C492*'Business Case'!B12*$B492))-'Business Case'!C15*$F492</f>
        <v>-49309831.3363979</v>
      </c>
      <c r="J492" s="53" t="n">
        <f aca="false">(('Business Case'!D11*$C492*'Business Case'!D12*$B492)-'Business Case'!D11*$C492*'Business Case'!D13*$D492-'Business Case'!D14*$E492)-MAX(0,(('Business Case'!D11*$C492*'Business Case'!D12*$B492)-'Business Case'!D11*$C492*'Business Case'!D13*$D492-'Business Case'!D14*$E492))*'Business Case'!$B$7-'Business Case'!$B$8*(('Business Case'!D11*$C492*'Business Case'!D12*$B492)-('Business Case'!C11*$C492*'Business Case'!C12*$B492))-'Business Case'!D15*$F492</f>
        <v>198951645.13931</v>
      </c>
      <c r="K492" s="53" t="n">
        <f aca="false">(('Business Case'!E11*$C492*'Business Case'!E12*$B492)-'Business Case'!E11*$C492*'Business Case'!E13*$D492-'Business Case'!E14*$E492)-MAX(0,(('Business Case'!E11*$C492*'Business Case'!E12*$B492)-'Business Case'!E11*$C492*'Business Case'!E13*$D492-'Business Case'!E14*$E492))*'Business Case'!$B$7-'Business Case'!$B$8*(('Business Case'!E11*$C492*'Business Case'!E12*$B492)-('Business Case'!D11*$C492*'Business Case'!D12*$B492))-'Business Case'!E15*$F492</f>
        <v>496760589.448464</v>
      </c>
      <c r="L492" s="53" t="n">
        <f aca="false">(('Business Case'!F11*$C492*'Business Case'!F12*$B492)-'Business Case'!F11*$C492*'Business Case'!F13*$D492-'Business Case'!F14*$E492)-MAX(0,(('Business Case'!F11*$C492*'Business Case'!F12*$B492)-'Business Case'!F11*$C492*'Business Case'!F13*$D492-'Business Case'!F14*$E492))*'Business Case'!$B$7-'Business Case'!$B$8*(('Business Case'!F11*$C492*'Business Case'!F12*$B492)-('Business Case'!E11*$C492*'Business Case'!E12*$B492))-'Business Case'!F15*$F492</f>
        <v>613107013.196755</v>
      </c>
      <c r="M492" s="53" t="n">
        <f aca="false">(('Business Case'!G11*$C492*'Business Case'!G12*$B492)-'Business Case'!G11*$C492*'Business Case'!G13*$D492-'Business Case'!G14*$E492)-MAX(0,(('Business Case'!G11*$C492*'Business Case'!G12*$B492)-'Business Case'!G11*$C492*'Business Case'!G13*$D492-'Business Case'!G14*$E492))*'Business Case'!$B$7-'Business Case'!$B$8*(('Business Case'!G11*$C492*'Business Case'!G12*$B492)-('Business Case'!F11*$C492*'Business Case'!F12*$B492))-'Business Case'!G15*$F492+'Business Case'!$B$8*('Business Case'!G11*$C492*'Business Case'!G12*$B492)</f>
        <v>797866303.606888</v>
      </c>
      <c r="N492" s="53" t="n">
        <f aca="false">IF(COUNT('Business Case'!B11:G11)=0,"",H492+NPV(G492,I492:M492))</f>
        <v>-616672209.516658</v>
      </c>
      <c r="P492" s="54" t="n">
        <f aca="true">RAND()</f>
        <v>0.0903073338522453</v>
      </c>
      <c r="Q492" s="54" t="n">
        <f aca="true">RAND()</f>
        <v>0.696473443518472</v>
      </c>
      <c r="R492" s="54" t="n">
        <f aca="true">RAND()</f>
        <v>0.884933545285965</v>
      </c>
      <c r="S492" s="54" t="n">
        <f aca="true">RAND()</f>
        <v>0.771091023370848</v>
      </c>
      <c r="T492" s="54" t="n">
        <f aca="true">RAND()</f>
        <v>0.134147984927964</v>
      </c>
      <c r="U492" s="54" t="n">
        <f aca="true">RAND()</f>
        <v>0.777008440094019</v>
      </c>
    </row>
    <row r="493" customFormat="false" ht="15" hidden="false" customHeight="false" outlineLevel="0" collapsed="false">
      <c r="A493" s="50" t="n">
        <v>413</v>
      </c>
      <c r="B493" s="51" t="n">
        <f aca="false">1+IF($G$6=$E$6,$F$6,IF(P493&lt;($F$6-$E$6)/($G$6-$E$6),$E$6+SQRT(P493*($G$6-$E$6)*($F$6-$E$6)),$G$6-SQRT((1-P493)*($G$6-$E$6)*($G$6-$F$6))))</f>
        <v>1.00867740956166</v>
      </c>
      <c r="C493" s="51" t="n">
        <f aca="false">1+IF($G$7=$E$7,$F$7,IF(Q493&lt;($F$7-$E$7)/($G$7-$E$7),$E$7+SQRT(Q493*($G$7-$E$7)*($F$7-$E$7)),$G$7-SQRT((1-Q493)*($G$7-$E$7)*($G$7-$F$7))))</f>
        <v>1.06439846215179</v>
      </c>
      <c r="D493" s="51" t="n">
        <f aca="false">1+IF($G$8=$E$8,$F$8,IF(R493&lt;($F$8-$E$8)/($G$8-$E$8),$E$8+SQRT(R493*($G$8-$E$8)*($F$8-$E$8)),$G$8-SQRT((1-R493)*($G$8-$E$8)*($G$8-$F$8))))</f>
        <v>1.058951191943</v>
      </c>
      <c r="E493" s="51" t="n">
        <f aca="false">1+IF($G$9=$E$9,$F$9,IF(S493&lt;($F$9-$E$9)/($G$9-$E$9),$E$9+SQRT(S493*($G$9-$E$9)*($F$9-$E$9)),$G$9-SQRT((1-S493)*($G$9-$E$9)*($G$9-$F$9))))</f>
        <v>1.01106822444848</v>
      </c>
      <c r="F493" s="51" t="n">
        <f aca="false">1+IF($G$10=$E$10,$F$10,IF(T493&lt;($F$10-$E$10)/($G$10-$E$10),$E$10+SQRT(T493*($G$10-$E$10)*($F$10-$E$10)),$G$10-SQRT((1-T493)*($G$10-$E$10)*($G$10-$F$10))))</f>
        <v>1.01250786309805</v>
      </c>
      <c r="G493" s="52" t="n">
        <f aca="false">IF($G$11=$E$11,$F$11,IF(U493&lt;($F$11-$E$11)/($G$11-$E$11),$E$11+SQRT(U493*($G$11-$E$11)*($F$11-$E$11)),$G$11-SQRT((1-U493)*($G$11-$E$11)*($G$11-$F$11))))</f>
        <v>0.0975319475607284</v>
      </c>
      <c r="H493" s="53" t="n">
        <f aca="false">(('Business Case'!B11*$C493*'Business Case'!B12*$B493)-'Business Case'!B11*$C493*'Business Case'!B13*$D493-'Business Case'!B14*$E493)-MAX(0,(('Business Case'!B11*$C493*'Business Case'!B12*$B493)-'Business Case'!B11*$C493*'Business Case'!B13*$D493-'Business Case'!B14*$E493))*'Business Case'!$B$7-'Business Case'!$B$8*('Business Case'!B11*$C493*'Business Case'!B12*$B493)-'Business Case'!B15*$F493</f>
        <v>-2025015726.1961</v>
      </c>
      <c r="I493" s="53" t="n">
        <f aca="false">(('Business Case'!C11*$C493*'Business Case'!C12*$B493)-'Business Case'!C11*$C493*'Business Case'!C13*$D493-'Business Case'!C14*$E493)-MAX(0,(('Business Case'!C11*$C493*'Business Case'!C12*$B493)-'Business Case'!C11*$C493*'Business Case'!C13*$D493-'Business Case'!C14*$E493))*'Business Case'!$B$7-'Business Case'!$B$8*(('Business Case'!C11*$C493*'Business Case'!C12*$B493)-('Business Case'!B11*$C493*'Business Case'!B12*$B493))-'Business Case'!C15*$F493</f>
        <v>1693607.03924775</v>
      </c>
      <c r="J493" s="53" t="n">
        <f aca="false">(('Business Case'!D11*$C493*'Business Case'!D12*$B493)-'Business Case'!D11*$C493*'Business Case'!D13*$D493-'Business Case'!D14*$E493)-MAX(0,(('Business Case'!D11*$C493*'Business Case'!D12*$B493)-'Business Case'!D11*$C493*'Business Case'!D13*$D493-'Business Case'!D14*$E493))*'Business Case'!$B$7-'Business Case'!$B$8*(('Business Case'!D11*$C493*'Business Case'!D12*$B493)-('Business Case'!C11*$C493*'Business Case'!C12*$B493))-'Business Case'!D15*$F493</f>
        <v>304069123.89983</v>
      </c>
      <c r="K493" s="53" t="n">
        <f aca="false">(('Business Case'!E11*$C493*'Business Case'!E12*$B493)-'Business Case'!E11*$C493*'Business Case'!E13*$D493-'Business Case'!E14*$E493)-MAX(0,(('Business Case'!E11*$C493*'Business Case'!E12*$B493)-'Business Case'!E11*$C493*'Business Case'!E13*$D493-'Business Case'!E14*$E493))*'Business Case'!$B$7-'Business Case'!$B$8*(('Business Case'!E11*$C493*'Business Case'!E12*$B493)-('Business Case'!D11*$C493*'Business Case'!D12*$B493))-'Business Case'!E15*$F493</f>
        <v>657070033.915314</v>
      </c>
      <c r="L493" s="53" t="n">
        <f aca="false">(('Business Case'!F11*$C493*'Business Case'!F12*$B493)-'Business Case'!F11*$C493*'Business Case'!F13*$D493-'Business Case'!F14*$E493)-MAX(0,(('Business Case'!F11*$C493*'Business Case'!F12*$B493)-'Business Case'!F11*$C493*'Business Case'!F13*$D493-'Business Case'!F14*$E493))*'Business Case'!$B$7-'Business Case'!$B$8*(('Business Case'!F11*$C493*'Business Case'!F12*$B493)-('Business Case'!E11*$C493*'Business Case'!E12*$B493))-'Business Case'!F15*$F493</f>
        <v>794966687.532145</v>
      </c>
      <c r="M493" s="53" t="n">
        <f aca="false">(('Business Case'!G11*$C493*'Business Case'!G12*$B493)-'Business Case'!G11*$C493*'Business Case'!G13*$D493-'Business Case'!G14*$E493)-MAX(0,(('Business Case'!G11*$C493*'Business Case'!G12*$B493)-'Business Case'!G11*$C493*'Business Case'!G13*$D493-'Business Case'!G14*$E493))*'Business Case'!$B$7-'Business Case'!$B$8*(('Business Case'!G11*$C493*'Business Case'!G12*$B493)-('Business Case'!F11*$C493*'Business Case'!F12*$B493))-'Business Case'!G15*$F493+'Business Case'!$B$8*('Business Case'!G11*$C493*'Business Case'!G12*$B493)</f>
        <v>999043168.180317</v>
      </c>
      <c r="N493" s="53" t="n">
        <f aca="false">IF(COUNT('Business Case'!B11:G11)=0,"",H493+NPV(G493,I493:M493))</f>
        <v>-98833228.0899181</v>
      </c>
      <c r="P493" s="54" t="n">
        <f aca="true">RAND()</f>
        <v>0.79560319338163</v>
      </c>
      <c r="Q493" s="54" t="n">
        <f aca="true">RAND()</f>
        <v>0.860426223200396</v>
      </c>
      <c r="R493" s="54" t="n">
        <f aca="true">RAND()</f>
        <v>0.957398815324943</v>
      </c>
      <c r="S493" s="54" t="n">
        <f aca="true">RAND()</f>
        <v>0.472742619816883</v>
      </c>
      <c r="T493" s="54" t="n">
        <f aca="true">RAND()</f>
        <v>0.296933971998799</v>
      </c>
      <c r="U493" s="54" t="n">
        <f aca="true">RAND()</f>
        <v>0.189100780191872</v>
      </c>
    </row>
    <row r="494" customFormat="false" ht="15" hidden="false" customHeight="false" outlineLevel="0" collapsed="false">
      <c r="A494" s="50" t="n">
        <v>414</v>
      </c>
      <c r="B494" s="51" t="n">
        <f aca="false">1+IF($G$6=$E$6,$F$6,IF(P494&lt;($F$6-$E$6)/($G$6-$E$6),$E$6+SQRT(P494*($G$6-$E$6)*($F$6-$E$6)),$G$6-SQRT((1-P494)*($G$6-$E$6)*($G$6-$F$6))))</f>
        <v>0.943948998573443</v>
      </c>
      <c r="C494" s="51" t="n">
        <f aca="false">1+IF($G$7=$E$7,$F$7,IF(Q494&lt;($F$7-$E$7)/($G$7-$E$7),$E$7+SQRT(Q494*($G$7-$E$7)*($F$7-$E$7)),$G$7-SQRT((1-Q494)*($G$7-$E$7)*($G$7-$F$7))))</f>
        <v>0.945813259777127</v>
      </c>
      <c r="D494" s="51" t="n">
        <f aca="false">1+IF($G$8=$E$8,$F$8,IF(R494&lt;($F$8-$E$8)/($G$8-$E$8),$E$8+SQRT(R494*($G$8-$E$8)*($F$8-$E$8)),$G$8-SQRT((1-R494)*($G$8-$E$8)*($G$8-$F$8))))</f>
        <v>0.970683141744524</v>
      </c>
      <c r="E494" s="51" t="n">
        <f aca="false">1+IF($G$9=$E$9,$F$9,IF(S494&lt;($F$9-$E$9)/($G$9-$E$9),$E$9+SQRT(S494*($G$9-$E$9)*($F$9-$E$9)),$G$9-SQRT((1-S494)*($G$9-$E$9)*($G$9-$F$9))))</f>
        <v>1.01366182343132</v>
      </c>
      <c r="F494" s="51" t="n">
        <f aca="false">1+IF($G$10=$E$10,$F$10,IF(T494&lt;($F$10-$E$10)/($G$10-$E$10),$E$10+SQRT(T494*($G$10-$E$10)*($F$10-$E$10)),$G$10-SQRT((1-T494)*($G$10-$E$10)*($G$10-$F$10))))</f>
        <v>1.10129309261583</v>
      </c>
      <c r="G494" s="52" t="n">
        <f aca="false">IF($G$11=$E$11,$F$11,IF(U494&lt;($F$11-$E$11)/($G$11-$E$11),$E$11+SQRT(U494*($G$11-$E$11)*($F$11-$E$11)),$G$11-SQRT((1-U494)*($G$11-$E$11)*($G$11-$F$11))))</f>
        <v>0.100141710098464</v>
      </c>
      <c r="H494" s="53" t="n">
        <f aca="false">(('Business Case'!B11*$C494*'Business Case'!B12*$B494)-'Business Case'!B11*$C494*'Business Case'!B13*$D494-'Business Case'!B14*$E494)-MAX(0,(('Business Case'!B11*$C494*'Business Case'!B12*$B494)-'Business Case'!B11*$C494*'Business Case'!B13*$D494-'Business Case'!B14*$E494))*'Business Case'!$B$7-'Business Case'!$B$8*('Business Case'!B11*$C494*'Business Case'!B12*$B494)-'Business Case'!B15*$F494</f>
        <v>-2202586185.23167</v>
      </c>
      <c r="I494" s="53" t="n">
        <f aca="false">(('Business Case'!C11*$C494*'Business Case'!C12*$B494)-'Business Case'!C11*$C494*'Business Case'!C13*$D494-'Business Case'!C14*$E494)-MAX(0,(('Business Case'!C11*$C494*'Business Case'!C12*$B494)-'Business Case'!C11*$C494*'Business Case'!C13*$D494-'Business Case'!C14*$E494))*'Business Case'!$B$7-'Business Case'!$B$8*(('Business Case'!C11*$C494*'Business Case'!C12*$B494)-('Business Case'!B11*$C494*'Business Case'!B12*$B494))-'Business Case'!C15*$F494</f>
        <v>-39273756.6625232</v>
      </c>
      <c r="J494" s="53" t="n">
        <f aca="false">(('Business Case'!D11*$C494*'Business Case'!D12*$B494)-'Business Case'!D11*$C494*'Business Case'!D13*$D494-'Business Case'!D14*$E494)-MAX(0,(('Business Case'!D11*$C494*'Business Case'!D12*$B494)-'Business Case'!D11*$C494*'Business Case'!D13*$D494-'Business Case'!D14*$E494))*'Business Case'!$B$7-'Business Case'!$B$8*(('Business Case'!D11*$C494*'Business Case'!D12*$B494)-('Business Case'!C11*$C494*'Business Case'!C12*$B494))-'Business Case'!D15*$F494</f>
        <v>222007232.240779</v>
      </c>
      <c r="K494" s="53" t="n">
        <f aca="false">(('Business Case'!E11*$C494*'Business Case'!E12*$B494)-'Business Case'!E11*$C494*'Business Case'!E13*$D494-'Business Case'!E14*$E494)-MAX(0,(('Business Case'!E11*$C494*'Business Case'!E12*$B494)-'Business Case'!E11*$C494*'Business Case'!E13*$D494-'Business Case'!E14*$E494))*'Business Case'!$B$7-'Business Case'!$B$8*(('Business Case'!E11*$C494*'Business Case'!E12*$B494)-('Business Case'!D11*$C494*'Business Case'!D12*$B494))-'Business Case'!E15*$F494</f>
        <v>538352875.774874</v>
      </c>
      <c r="L494" s="53" t="n">
        <f aca="false">(('Business Case'!F11*$C494*'Business Case'!F12*$B494)-'Business Case'!F11*$C494*'Business Case'!F13*$D494-'Business Case'!F14*$E494)-MAX(0,(('Business Case'!F11*$C494*'Business Case'!F12*$B494)-'Business Case'!F11*$C494*'Business Case'!F13*$D494-'Business Case'!F14*$E494))*'Business Case'!$B$7-'Business Case'!$B$8*(('Business Case'!F11*$C494*'Business Case'!F12*$B494)-('Business Case'!E11*$C494*'Business Case'!E12*$B494))-'Business Case'!F15*$F494</f>
        <v>656301688.750847</v>
      </c>
      <c r="M494" s="53" t="n">
        <f aca="false">(('Business Case'!G11*$C494*'Business Case'!G12*$B494)-'Business Case'!G11*$C494*'Business Case'!G13*$D494-'Business Case'!G14*$E494)-MAX(0,(('Business Case'!G11*$C494*'Business Case'!G12*$B494)-'Business Case'!G11*$C494*'Business Case'!G13*$D494-'Business Case'!G14*$E494))*'Business Case'!$B$7-'Business Case'!$B$8*(('Business Case'!G11*$C494*'Business Case'!G12*$B494)-('Business Case'!F11*$C494*'Business Case'!F12*$B494))-'Business Case'!G15*$F494+'Business Case'!$B$8*('Business Case'!G11*$C494*'Business Case'!G12*$B494)</f>
        <v>826005013.795979</v>
      </c>
      <c r="N494" s="53" t="n">
        <f aca="false">IF(COUNT('Business Case'!B11:G11)=0,"",H494+NPV(G494,I494:M494))</f>
        <v>-689953161.385989</v>
      </c>
      <c r="P494" s="54" t="n">
        <f aca="true">RAND()</f>
        <v>0.0597452638198713</v>
      </c>
      <c r="Q494" s="54" t="n">
        <f aca="true">RAND()</f>
        <v>0.303735810383312</v>
      </c>
      <c r="R494" s="54" t="n">
        <f aca="true">RAND()</f>
        <v>0.0658142080652438</v>
      </c>
      <c r="S494" s="54" t="n">
        <f aca="true">RAND()</f>
        <v>0.503047951119695</v>
      </c>
      <c r="T494" s="54" t="n">
        <f aca="true">RAND()</f>
        <v>0.805138928693073</v>
      </c>
      <c r="U494" s="54" t="n">
        <f aca="true">RAND()</f>
        <v>0.342747203644252</v>
      </c>
    </row>
    <row r="495" customFormat="false" ht="15" hidden="false" customHeight="false" outlineLevel="0" collapsed="false">
      <c r="A495" s="50" t="n">
        <v>415</v>
      </c>
      <c r="B495" s="51" t="n">
        <f aca="false">1+IF($G$6=$E$6,$F$6,IF(P495&lt;($F$6-$E$6)/($G$6-$E$6),$E$6+SQRT(P495*($G$6-$E$6)*($F$6-$E$6)),$G$6-SQRT((1-P495)*($G$6-$E$6)*($G$6-$F$6))))</f>
        <v>0.958971785459478</v>
      </c>
      <c r="C495" s="51" t="n">
        <f aca="false">1+IF($G$7=$E$7,$F$7,IF(Q495&lt;($F$7-$E$7)/($G$7-$E$7),$E$7+SQRT(Q495*($G$7-$E$7)*($F$7-$E$7)),$G$7-SQRT((1-Q495)*($G$7-$E$7)*($G$7-$F$7))))</f>
        <v>0.889803608978776</v>
      </c>
      <c r="D495" s="51" t="n">
        <f aca="false">1+IF($G$8=$E$8,$F$8,IF(R495&lt;($F$8-$E$8)/($G$8-$E$8),$E$8+SQRT(R495*($G$8-$E$8)*($F$8-$E$8)),$G$8-SQRT((1-R495)*($G$8-$E$8)*($G$8-$F$8))))</f>
        <v>1.0232069648007</v>
      </c>
      <c r="E495" s="51" t="n">
        <f aca="false">1+IF($G$9=$E$9,$F$9,IF(S495&lt;($F$9-$E$9)/($G$9-$E$9),$E$9+SQRT(S495*($G$9-$E$9)*($F$9-$E$9)),$G$9-SQRT((1-S495)*($G$9-$E$9)*($G$9-$F$9))))</f>
        <v>0.990117703965858</v>
      </c>
      <c r="F495" s="51" t="n">
        <f aca="false">1+IF($G$10=$E$10,$F$10,IF(T495&lt;($F$10-$E$10)/($G$10-$E$10),$E$10+SQRT(T495*($G$10-$E$10)*($F$10-$E$10)),$G$10-SQRT((1-T495)*($G$10-$E$10)*($G$10-$F$10))))</f>
        <v>1.01487506102512</v>
      </c>
      <c r="G495" s="52" t="n">
        <f aca="false">IF($G$11=$E$11,$F$11,IF(U495&lt;($F$11-$E$11)/($G$11-$E$11),$E$11+SQRT(U495*($G$11-$E$11)*($F$11-$E$11)),$G$11-SQRT((1-U495)*($G$11-$E$11)*($G$11-$F$11))))</f>
        <v>0.110685356181972</v>
      </c>
      <c r="H495" s="53" t="n">
        <f aca="false">(('Business Case'!B11*$C495*'Business Case'!B12*$B495)-'Business Case'!B11*$C495*'Business Case'!B13*$D495-'Business Case'!B14*$E495)-MAX(0,(('Business Case'!B11*$C495*'Business Case'!B12*$B495)-'Business Case'!B11*$C495*'Business Case'!B13*$D495-'Business Case'!B14*$E495))*'Business Case'!$B$7-'Business Case'!$B$8*('Business Case'!B11*$C495*'Business Case'!B12*$B495)-'Business Case'!B15*$F495</f>
        <v>-2029750122.05024</v>
      </c>
      <c r="I495" s="53" t="n">
        <f aca="false">(('Business Case'!C11*$C495*'Business Case'!C12*$B495)-'Business Case'!C11*$C495*'Business Case'!C13*$D495-'Business Case'!C14*$E495)-MAX(0,(('Business Case'!C11*$C495*'Business Case'!C12*$B495)-'Business Case'!C11*$C495*'Business Case'!C13*$D495-'Business Case'!C14*$E495))*'Business Case'!$B$7-'Business Case'!$B$8*(('Business Case'!C11*$C495*'Business Case'!C12*$B495)-('Business Case'!B11*$C495*'Business Case'!B12*$B495))-'Business Case'!C15*$F495</f>
        <v>-53685048.3982594</v>
      </c>
      <c r="J495" s="53" t="n">
        <f aca="false">(('Business Case'!D11*$C495*'Business Case'!D12*$B495)-'Business Case'!D11*$C495*'Business Case'!D13*$D495-'Business Case'!D14*$E495)-MAX(0,(('Business Case'!D11*$C495*'Business Case'!D12*$B495)-'Business Case'!D11*$C495*'Business Case'!D13*$D495-'Business Case'!D14*$E495))*'Business Case'!$B$7-'Business Case'!$B$8*(('Business Case'!D11*$C495*'Business Case'!D12*$B495)-('Business Case'!C11*$C495*'Business Case'!C12*$B495))-'Business Case'!D15*$F495</f>
        <v>179147040.252795</v>
      </c>
      <c r="K495" s="53" t="n">
        <f aca="false">(('Business Case'!E11*$C495*'Business Case'!E12*$B495)-'Business Case'!E11*$C495*'Business Case'!E13*$D495-'Business Case'!E14*$E495)-MAX(0,(('Business Case'!E11*$C495*'Business Case'!E12*$B495)-'Business Case'!E11*$C495*'Business Case'!E13*$D495-'Business Case'!E14*$E495))*'Business Case'!$B$7-'Business Case'!$B$8*(('Business Case'!E11*$C495*'Business Case'!E12*$B495)-('Business Case'!D11*$C495*'Business Case'!D12*$B495))-'Business Case'!E15*$F495</f>
        <v>462722881.955105</v>
      </c>
      <c r="L495" s="53" t="n">
        <f aca="false">(('Business Case'!F11*$C495*'Business Case'!F12*$B495)-'Business Case'!F11*$C495*'Business Case'!F13*$D495-'Business Case'!F14*$E495)-MAX(0,(('Business Case'!F11*$C495*'Business Case'!F12*$B495)-'Business Case'!F11*$C495*'Business Case'!F13*$D495-'Business Case'!F14*$E495))*'Business Case'!$B$7-'Business Case'!$B$8*(('Business Case'!F11*$C495*'Business Case'!F12*$B495)-('Business Case'!E11*$C495*'Business Case'!E12*$B495))-'Business Case'!F15*$F495</f>
        <v>569823507.134028</v>
      </c>
      <c r="M495" s="53" t="n">
        <f aca="false">(('Business Case'!G11*$C495*'Business Case'!G12*$B495)-'Business Case'!G11*$C495*'Business Case'!G13*$D495-'Business Case'!G14*$E495)-MAX(0,(('Business Case'!G11*$C495*'Business Case'!G12*$B495)-'Business Case'!G11*$C495*'Business Case'!G13*$D495-'Business Case'!G14*$E495))*'Business Case'!$B$7-'Business Case'!$B$8*(('Business Case'!G11*$C495*'Business Case'!G12*$B495)-('Business Case'!F11*$C495*'Business Case'!F12*$B495))-'Business Case'!G15*$F495+'Business Case'!$B$8*('Business Case'!G11*$C495*'Business Case'!G12*$B495)</f>
        <v>732018116.424503</v>
      </c>
      <c r="N495" s="53" t="n">
        <f aca="false">IF(COUNT('Business Case'!B11:G11)=0,"",H495+NPV(G495,I495:M495))</f>
        <v>-787638516.268512</v>
      </c>
      <c r="P495" s="54" t="n">
        <f aca="true">RAND()</f>
        <v>0.158208339781205</v>
      </c>
      <c r="Q495" s="54" t="n">
        <f aca="true">RAND()</f>
        <v>0.115209831223042</v>
      </c>
      <c r="R495" s="54" t="n">
        <f aca="true">RAND()</f>
        <v>0.689860687774153</v>
      </c>
      <c r="S495" s="54" t="n">
        <f aca="true">RAND()</f>
        <v>0.21459068953229</v>
      </c>
      <c r="T495" s="54" t="n">
        <f aca="true">RAND()</f>
        <v>0.314575139390938</v>
      </c>
      <c r="U495" s="54" t="n">
        <f aca="true">RAND()</f>
        <v>0.855395684238799</v>
      </c>
    </row>
    <row r="496" customFormat="false" ht="15" hidden="false" customHeight="false" outlineLevel="0" collapsed="false">
      <c r="A496" s="50" t="n">
        <v>416</v>
      </c>
      <c r="B496" s="51" t="n">
        <f aca="false">1+IF($G$6=$E$6,$F$6,IF(P496&lt;($F$6-$E$6)/($G$6-$E$6),$E$6+SQRT(P496*($G$6-$E$6)*($F$6-$E$6)),$G$6-SQRT((1-P496)*($G$6-$E$6)*($G$6-$F$6))))</f>
        <v>0.972523993386069</v>
      </c>
      <c r="C496" s="51" t="n">
        <f aca="false">1+IF($G$7=$E$7,$F$7,IF(Q496&lt;($F$7-$E$7)/($G$7-$E$7),$E$7+SQRT(Q496*($G$7-$E$7)*($F$7-$E$7)),$G$7-SQRT((1-Q496)*($G$7-$E$7)*($G$7-$F$7))))</f>
        <v>0.9315977507784</v>
      </c>
      <c r="D496" s="51" t="n">
        <f aca="false">1+IF($G$8=$E$8,$F$8,IF(R496&lt;($F$8-$E$8)/($G$8-$E$8),$E$8+SQRT(R496*($G$8-$E$8)*($F$8-$E$8)),$G$8-SQRT((1-R496)*($G$8-$E$8)*($G$8-$F$8))))</f>
        <v>1.03711330946147</v>
      </c>
      <c r="E496" s="51" t="n">
        <f aca="false">1+IF($G$9=$E$9,$F$9,IF(S496&lt;($F$9-$E$9)/($G$9-$E$9),$E$9+SQRT(S496*($G$9-$E$9)*($F$9-$E$9)),$G$9-SQRT((1-S496)*($G$9-$E$9)*($G$9-$F$9))))</f>
        <v>0.988627726911848</v>
      </c>
      <c r="F496" s="51" t="n">
        <f aca="false">1+IF($G$10=$E$10,$F$10,IF(T496&lt;($F$10-$E$10)/($G$10-$E$10),$E$10+SQRT(T496*($G$10-$E$10)*($F$10-$E$10)),$G$10-SQRT((1-T496)*($G$10-$E$10)*($G$10-$F$10))))</f>
        <v>0.989340085107455</v>
      </c>
      <c r="G496" s="52" t="n">
        <f aca="false">IF($G$11=$E$11,$F$11,IF(U496&lt;($F$11-$E$11)/($G$11-$E$11),$E$11+SQRT(U496*($G$11-$E$11)*($F$11-$E$11)),$G$11-SQRT((1-U496)*($G$11-$E$11)*($G$11-$F$11))))</f>
        <v>0.104837146865151</v>
      </c>
      <c r="H496" s="53" t="n">
        <f aca="false">(('Business Case'!B11*$C496*'Business Case'!B12*$B496)-'Business Case'!B11*$C496*'Business Case'!B13*$D496-'Business Case'!B14*$E496)-MAX(0,(('Business Case'!B11*$C496*'Business Case'!B12*$B496)-'Business Case'!B11*$C496*'Business Case'!B13*$D496-'Business Case'!B14*$E496))*'Business Case'!$B$7-'Business Case'!$B$8*('Business Case'!B11*$C496*'Business Case'!B12*$B496)-'Business Case'!B15*$F496</f>
        <v>-1978680170.21491</v>
      </c>
      <c r="I496" s="53" t="n">
        <f aca="false">(('Business Case'!C11*$C496*'Business Case'!C12*$B496)-'Business Case'!C11*$C496*'Business Case'!C13*$D496-'Business Case'!C14*$E496)-MAX(0,(('Business Case'!C11*$C496*'Business Case'!C12*$B496)-'Business Case'!C11*$C496*'Business Case'!C13*$D496-'Business Case'!C14*$E496))*'Business Case'!$B$7-'Business Case'!$B$8*(('Business Case'!C11*$C496*'Business Case'!C12*$B496)-('Business Case'!B11*$C496*'Business Case'!B12*$B496))-'Business Case'!C15*$F496</f>
        <v>-39006774.1140963</v>
      </c>
      <c r="J496" s="53" t="n">
        <f aca="false">(('Business Case'!D11*$C496*'Business Case'!D12*$B496)-'Business Case'!D11*$C496*'Business Case'!D13*$D496-'Business Case'!D14*$E496)-MAX(0,(('Business Case'!D11*$C496*'Business Case'!D12*$B496)-'Business Case'!D11*$C496*'Business Case'!D13*$D496-'Business Case'!D14*$E496))*'Business Case'!$B$7-'Business Case'!$B$8*(('Business Case'!D11*$C496*'Business Case'!D12*$B496)-('Business Case'!C11*$C496*'Business Case'!C12*$B496))-'Business Case'!D15*$F496</f>
        <v>208470423.433505</v>
      </c>
      <c r="K496" s="53" t="n">
        <f aca="false">(('Business Case'!E11*$C496*'Business Case'!E12*$B496)-'Business Case'!E11*$C496*'Business Case'!E13*$D496-'Business Case'!E14*$E496)-MAX(0,(('Business Case'!E11*$C496*'Business Case'!E12*$B496)-'Business Case'!E11*$C496*'Business Case'!E13*$D496-'Business Case'!E14*$E496))*'Business Case'!$B$7-'Business Case'!$B$8*(('Business Case'!E11*$C496*'Business Case'!E12*$B496)-('Business Case'!D11*$C496*'Business Case'!D12*$B496))-'Business Case'!E15*$F496</f>
        <v>505414625.236479</v>
      </c>
      <c r="L496" s="53" t="n">
        <f aca="false">(('Business Case'!F11*$C496*'Business Case'!F12*$B496)-'Business Case'!F11*$C496*'Business Case'!F13*$D496-'Business Case'!F14*$E496)-MAX(0,(('Business Case'!F11*$C496*'Business Case'!F12*$B496)-'Business Case'!F11*$C496*'Business Case'!F13*$D496-'Business Case'!F14*$E496))*'Business Case'!$B$7-'Business Case'!$B$8*(('Business Case'!F11*$C496*'Business Case'!F12*$B496)-('Business Case'!E11*$C496*'Business Case'!E12*$B496))-'Business Case'!F15*$F496</f>
        <v>619218424.67507</v>
      </c>
      <c r="M496" s="53" t="n">
        <f aca="false">(('Business Case'!G11*$C496*'Business Case'!G12*$B496)-'Business Case'!G11*$C496*'Business Case'!G13*$D496-'Business Case'!G14*$E496)-MAX(0,(('Business Case'!G11*$C496*'Business Case'!G12*$B496)-'Business Case'!G11*$C496*'Business Case'!G13*$D496-'Business Case'!G14*$E496))*'Business Case'!$B$7-'Business Case'!$B$8*(('Business Case'!G11*$C496*'Business Case'!G12*$B496)-('Business Case'!F11*$C496*'Business Case'!F12*$B496))-'Business Case'!G15*$F496+'Business Case'!$B$8*('Business Case'!G11*$C496*'Business Case'!G12*$B496)</f>
        <v>791431126.083389</v>
      </c>
      <c r="N496" s="53" t="n">
        <f aca="false">IF(COUNT('Business Case'!B11:G11)=0,"",H496+NPV(G496,I496:M496))</f>
        <v>-572112442.309293</v>
      </c>
      <c r="P496" s="54" t="n">
        <f aca="true">RAND()</f>
        <v>0.287371862627067</v>
      </c>
      <c r="Q496" s="54" t="n">
        <f aca="true">RAND()</f>
        <v>0.247399542999054</v>
      </c>
      <c r="R496" s="54" t="n">
        <f aca="true">RAND()</f>
        <v>0.823147286024242</v>
      </c>
      <c r="S496" s="54" t="n">
        <f aca="true">RAND()</f>
        <v>0.198946838183512</v>
      </c>
      <c r="T496" s="54" t="n">
        <f aca="true">RAND()</f>
        <v>0.123811383700946</v>
      </c>
      <c r="U496" s="54" t="n">
        <f aca="true">RAND()</f>
        <v>0.616813141351665</v>
      </c>
    </row>
    <row r="497" customFormat="false" ht="15" hidden="false" customHeight="false" outlineLevel="0" collapsed="false">
      <c r="A497" s="50" t="n">
        <v>417</v>
      </c>
      <c r="B497" s="51" t="n">
        <f aca="false">1+IF($G$6=$E$6,$F$6,IF(P497&lt;($F$6-$E$6)/($G$6-$E$6),$E$6+SQRT(P497*($G$6-$E$6)*($F$6-$E$6)),$G$6-SQRT((1-P497)*($G$6-$E$6)*($G$6-$F$6))))</f>
        <v>1.01280872766927</v>
      </c>
      <c r="C497" s="51" t="n">
        <f aca="false">1+IF($G$7=$E$7,$F$7,IF(Q497&lt;($F$7-$E$7)/($G$7-$E$7),$E$7+SQRT(Q497*($G$7-$E$7)*($F$7-$E$7)),$G$7-SQRT((1-Q497)*($G$7-$E$7)*($G$7-$F$7))))</f>
        <v>0.962046255296374</v>
      </c>
      <c r="D497" s="51" t="n">
        <f aca="false">1+IF($G$8=$E$8,$F$8,IF(R497&lt;($F$8-$E$8)/($G$8-$E$8),$E$8+SQRT(R497*($G$8-$E$8)*($F$8-$E$8)),$G$8-SQRT((1-R497)*($G$8-$E$8)*($G$8-$F$8))))</f>
        <v>0.986321135252457</v>
      </c>
      <c r="E497" s="51" t="n">
        <f aca="false">1+IF($G$9=$E$9,$F$9,IF(S497&lt;($F$9-$E$9)/($G$9-$E$9),$E$9+SQRT(S497*($G$9-$E$9)*($F$9-$E$9)),$G$9-SQRT((1-S497)*($G$9-$E$9)*($G$9-$F$9))))</f>
        <v>0.990085036333553</v>
      </c>
      <c r="F497" s="51" t="n">
        <f aca="false">1+IF($G$10=$E$10,$F$10,IF(T497&lt;($F$10-$E$10)/($G$10-$E$10),$E$10+SQRT(T497*($G$10-$E$10)*($F$10-$E$10)),$G$10-SQRT((1-T497)*($G$10-$E$10)*($G$10-$F$10))))</f>
        <v>1.16056557830766</v>
      </c>
      <c r="G497" s="52" t="n">
        <f aca="false">IF($G$11=$E$11,$F$11,IF(U497&lt;($F$11-$E$11)/($G$11-$E$11),$E$11+SQRT(U497*($G$11-$E$11)*($F$11-$E$11)),$G$11-SQRT((1-U497)*($G$11-$E$11)*($G$11-$F$11))))</f>
        <v>0.107962793208024</v>
      </c>
      <c r="H497" s="53" t="n">
        <f aca="false">(('Business Case'!B11*$C497*'Business Case'!B12*$B497)-'Business Case'!B11*$C497*'Business Case'!B13*$D497-'Business Case'!B14*$E497)-MAX(0,(('Business Case'!B11*$C497*'Business Case'!B12*$B497)-'Business Case'!B11*$C497*'Business Case'!B13*$D497-'Business Case'!B14*$E497))*'Business Case'!$B$7-'Business Case'!$B$8*('Business Case'!B11*$C497*'Business Case'!B12*$B497)-'Business Case'!B15*$F497</f>
        <v>-2321131156.61532</v>
      </c>
      <c r="I497" s="53" t="n">
        <f aca="false">(('Business Case'!C11*$C497*'Business Case'!C12*$B497)-'Business Case'!C11*$C497*'Business Case'!C13*$D497-'Business Case'!C14*$E497)-MAX(0,(('Business Case'!C11*$C497*'Business Case'!C12*$B497)-'Business Case'!C11*$C497*'Business Case'!C13*$D497-'Business Case'!C14*$E497))*'Business Case'!$B$7-'Business Case'!$B$8*(('Business Case'!C11*$C497*'Business Case'!C12*$B497)-('Business Case'!B11*$C497*'Business Case'!B12*$B497))-'Business Case'!C15*$F497</f>
        <v>4966301.68145508</v>
      </c>
      <c r="J497" s="53" t="n">
        <f aca="false">(('Business Case'!D11*$C497*'Business Case'!D12*$B497)-'Business Case'!D11*$C497*'Business Case'!D13*$D497-'Business Case'!D14*$E497)-MAX(0,(('Business Case'!D11*$C497*'Business Case'!D12*$B497)-'Business Case'!D11*$C497*'Business Case'!D13*$D497-'Business Case'!D14*$E497))*'Business Case'!$B$7-'Business Case'!$B$8*(('Business Case'!D11*$C497*'Business Case'!D12*$B497)-('Business Case'!C11*$C497*'Business Case'!C12*$B497))-'Business Case'!D15*$F497</f>
        <v>317290534.222159</v>
      </c>
      <c r="K497" s="53" t="n">
        <f aca="false">(('Business Case'!E11*$C497*'Business Case'!E12*$B497)-'Business Case'!E11*$C497*'Business Case'!E13*$D497-'Business Case'!E14*$E497)-MAX(0,(('Business Case'!E11*$C497*'Business Case'!E12*$B497)-'Business Case'!E11*$C497*'Business Case'!E13*$D497-'Business Case'!E14*$E497))*'Business Case'!$B$7-'Business Case'!$B$8*(('Business Case'!E11*$C497*'Business Case'!E12*$B497)-('Business Case'!D11*$C497*'Business Case'!D12*$B497))-'Business Case'!E15*$F497</f>
        <v>687643045.678245</v>
      </c>
      <c r="L497" s="53" t="n">
        <f aca="false">(('Business Case'!F11*$C497*'Business Case'!F12*$B497)-'Business Case'!F11*$C497*'Business Case'!F13*$D497-'Business Case'!F14*$E497)-MAX(0,(('Business Case'!F11*$C497*'Business Case'!F12*$B497)-'Business Case'!F11*$C497*'Business Case'!F13*$D497-'Business Case'!F14*$E497))*'Business Case'!$B$7-'Business Case'!$B$8*(('Business Case'!F11*$C497*'Business Case'!F12*$B497)-('Business Case'!E11*$C497*'Business Case'!E12*$B497))-'Business Case'!F15*$F497</f>
        <v>825425310.433048</v>
      </c>
      <c r="M497" s="53" t="n">
        <f aca="false">(('Business Case'!G11*$C497*'Business Case'!G12*$B497)-'Business Case'!G11*$C497*'Business Case'!G13*$D497-'Business Case'!G14*$E497)-MAX(0,(('Business Case'!G11*$C497*'Business Case'!G12*$B497)-'Business Case'!G11*$C497*'Business Case'!G13*$D497-'Business Case'!G14*$E497))*'Business Case'!$B$7-'Business Case'!$B$8*(('Business Case'!G11*$C497*'Business Case'!G12*$B497)-('Business Case'!F11*$C497*'Business Case'!F12*$B497))-'Business Case'!G15*$F497+'Business Case'!$B$8*('Business Case'!G11*$C497*'Business Case'!G12*$B497)</f>
        <v>1010633340.25983</v>
      </c>
      <c r="N497" s="53" t="n">
        <f aca="false">IF(COUNT('Business Case'!B11:G11)=0,"",H497+NPV(G497,I497:M497))</f>
        <v>-399564331.361929</v>
      </c>
      <c r="P497" s="54" t="n">
        <f aca="true">RAND()</f>
        <v>0.845965564382533</v>
      </c>
      <c r="Q497" s="54" t="n">
        <f aca="true">RAND()</f>
        <v>0.375128412222538</v>
      </c>
      <c r="R497" s="54" t="n">
        <f aca="true">RAND()</f>
        <v>0.2029576716965</v>
      </c>
      <c r="S497" s="54" t="n">
        <f aca="true">RAND()</f>
        <v>0.21424135171497</v>
      </c>
      <c r="T497" s="54" t="n">
        <f aca="true">RAND()</f>
        <v>0.968898527715816</v>
      </c>
      <c r="U497" s="54" t="n">
        <f aca="true">RAND()</f>
        <v>0.758509421078697</v>
      </c>
    </row>
    <row r="498" customFormat="false" ht="15" hidden="false" customHeight="false" outlineLevel="0" collapsed="false">
      <c r="A498" s="50" t="n">
        <v>418</v>
      </c>
      <c r="B498" s="51" t="n">
        <f aca="false">1+IF($G$6=$E$6,$F$6,IF(P498&lt;($F$6-$E$6)/($G$6-$E$6),$E$6+SQRT(P498*($G$6-$E$6)*($F$6-$E$6)),$G$6-SQRT((1-P498)*($G$6-$E$6)*($G$6-$F$6))))</f>
        <v>0.967561862281761</v>
      </c>
      <c r="C498" s="51" t="n">
        <f aca="false">1+IF($G$7=$E$7,$F$7,IF(Q498&lt;($F$7-$E$7)/($G$7-$E$7),$E$7+SQRT(Q498*($G$7-$E$7)*($F$7-$E$7)),$G$7-SQRT((1-Q498)*($G$7-$E$7)*($G$7-$F$7))))</f>
        <v>1.07954987210461</v>
      </c>
      <c r="D498" s="51" t="n">
        <f aca="false">1+IF($G$8=$E$8,$F$8,IF(R498&lt;($F$8-$E$8)/($G$8-$E$8),$E$8+SQRT(R498*($G$8-$E$8)*($F$8-$E$8)),$G$8-SQRT((1-R498)*($G$8-$E$8)*($G$8-$F$8))))</f>
        <v>1.04161449485717</v>
      </c>
      <c r="E498" s="51" t="n">
        <f aca="false">1+IF($G$9=$E$9,$F$9,IF(S498&lt;($F$9-$E$9)/($G$9-$E$9),$E$9+SQRT(S498*($G$9-$E$9)*($F$9-$E$9)),$G$9-SQRT((1-S498)*($G$9-$E$9)*($G$9-$F$9))))</f>
        <v>1.0164414263321</v>
      </c>
      <c r="F498" s="51" t="n">
        <f aca="false">1+IF($G$10=$E$10,$F$10,IF(T498&lt;($F$10-$E$10)/($G$10-$E$10),$E$10+SQRT(T498*($G$10-$E$10)*($F$10-$E$10)),$G$10-SQRT((1-T498)*($G$10-$E$10)*($G$10-$F$10))))</f>
        <v>1.12052060739148</v>
      </c>
      <c r="G498" s="52" t="n">
        <f aca="false">IF($G$11=$E$11,$F$11,IF(U498&lt;($F$11-$E$11)/($G$11-$E$11),$E$11+SQRT(U498*($G$11-$E$11)*($F$11-$E$11)),$G$11-SQRT((1-U498)*($G$11-$E$11)*($G$11-$F$11))))</f>
        <v>0.094122989565308</v>
      </c>
      <c r="H498" s="53" t="n">
        <f aca="false">(('Business Case'!B11*$C498*'Business Case'!B12*$B498)-'Business Case'!B11*$C498*'Business Case'!B13*$D498-'Business Case'!B14*$E498)-MAX(0,(('Business Case'!B11*$C498*'Business Case'!B12*$B498)-'Business Case'!B11*$C498*'Business Case'!B13*$D498-'Business Case'!B14*$E498))*'Business Case'!$B$7-'Business Case'!$B$8*('Business Case'!B11*$C498*'Business Case'!B12*$B498)-'Business Case'!B15*$F498</f>
        <v>-2241041214.78296</v>
      </c>
      <c r="I498" s="53" t="n">
        <f aca="false">(('Business Case'!C11*$C498*'Business Case'!C12*$B498)-'Business Case'!C11*$C498*'Business Case'!C13*$D498-'Business Case'!C14*$E498)-MAX(0,(('Business Case'!C11*$C498*'Business Case'!C12*$B498)-'Business Case'!C11*$C498*'Business Case'!C13*$D498-'Business Case'!C14*$E498))*'Business Case'!$B$7-'Business Case'!$B$8*(('Business Case'!C11*$C498*'Business Case'!C12*$B498)-('Business Case'!B11*$C498*'Business Case'!B12*$B498))-'Business Case'!C15*$F498</f>
        <v>-30833341.8618633</v>
      </c>
      <c r="J498" s="53" t="n">
        <f aca="false">(('Business Case'!D11*$C498*'Business Case'!D12*$B498)-'Business Case'!D11*$C498*'Business Case'!D13*$D498-'Business Case'!D14*$E498)-MAX(0,(('Business Case'!D11*$C498*'Business Case'!D12*$B498)-'Business Case'!D11*$C498*'Business Case'!D13*$D498-'Business Case'!D14*$E498))*'Business Case'!$B$7-'Business Case'!$B$8*(('Business Case'!D11*$C498*'Business Case'!D12*$B498)-('Business Case'!C11*$C498*'Business Case'!C12*$B498))-'Business Case'!D15*$F498</f>
        <v>249071849.637635</v>
      </c>
      <c r="K498" s="53" t="n">
        <f aca="false">(('Business Case'!E11*$C498*'Business Case'!E12*$B498)-'Business Case'!E11*$C498*'Business Case'!E13*$D498-'Business Case'!E14*$E498)-MAX(0,(('Business Case'!E11*$C498*'Business Case'!E12*$B498)-'Business Case'!E11*$C498*'Business Case'!E13*$D498-'Business Case'!E14*$E498))*'Business Case'!$B$7-'Business Case'!$B$8*(('Business Case'!E11*$C498*'Business Case'!E12*$B498)-('Business Case'!D11*$C498*'Business Case'!D12*$B498))-'Business Case'!E15*$F498</f>
        <v>585003071.506707</v>
      </c>
      <c r="L498" s="53" t="n">
        <f aca="false">(('Business Case'!F11*$C498*'Business Case'!F12*$B498)-'Business Case'!F11*$C498*'Business Case'!F13*$D498-'Business Case'!F14*$E498)-MAX(0,(('Business Case'!F11*$C498*'Business Case'!F12*$B498)-'Business Case'!F11*$C498*'Business Case'!F13*$D498-'Business Case'!F14*$E498))*'Business Case'!$B$7-'Business Case'!$B$8*(('Business Case'!F11*$C498*'Business Case'!F12*$B498)-('Business Case'!E11*$C498*'Business Case'!E12*$B498))-'Business Case'!F15*$F498</f>
        <v>714403803.205066</v>
      </c>
      <c r="M498" s="53" t="n">
        <f aca="false">(('Business Case'!G11*$C498*'Business Case'!G12*$B498)-'Business Case'!G11*$C498*'Business Case'!G13*$D498-'Business Case'!G14*$E498)-MAX(0,(('Business Case'!G11*$C498*'Business Case'!G12*$B498)-'Business Case'!G11*$C498*'Business Case'!G13*$D498-'Business Case'!G14*$E498))*'Business Case'!$B$7-'Business Case'!$B$8*(('Business Case'!G11*$C498*'Business Case'!G12*$B498)-('Business Case'!F11*$C498*'Business Case'!F12*$B498))-'Business Case'!G15*$F498+'Business Case'!$B$8*('Business Case'!G11*$C498*'Business Case'!G12*$B498)</f>
        <v>912948309.796959</v>
      </c>
      <c r="N498" s="53" t="n">
        <f aca="false">IF(COUNT('Business Case'!B11:G11)=0,"",H498+NPV(G498,I498:M498))</f>
        <v>-533744019.78374</v>
      </c>
      <c r="P498" s="54" t="n">
        <f aca="true">RAND()</f>
        <v>0.235638619136371</v>
      </c>
      <c r="Q498" s="54" t="n">
        <f aca="true">RAND()</f>
        <v>0.905462466276629</v>
      </c>
      <c r="R498" s="54" t="n">
        <f aca="true">RAND()</f>
        <v>0.8583224033586</v>
      </c>
      <c r="S498" s="54" t="n">
        <f aca="true">RAND()</f>
        <v>0.534530984439075</v>
      </c>
      <c r="T498" s="54" t="n">
        <f aca="true">RAND()</f>
        <v>0.873660523011612</v>
      </c>
      <c r="U498" s="54" t="n">
        <f aca="true">RAND()</f>
        <v>0.0566634765187964</v>
      </c>
    </row>
    <row r="499" customFormat="false" ht="15" hidden="false" customHeight="false" outlineLevel="0" collapsed="false">
      <c r="A499" s="50" t="n">
        <v>419</v>
      </c>
      <c r="B499" s="51" t="n">
        <f aca="false">1+IF($G$6=$E$6,$F$6,IF(P499&lt;($F$6-$E$6)/($G$6-$E$6),$E$6+SQRT(P499*($G$6-$E$6)*($F$6-$E$6)),$G$6-SQRT((1-P499)*($G$6-$E$6)*($G$6-$F$6))))</f>
        <v>0.961557484076791</v>
      </c>
      <c r="C499" s="51" t="n">
        <f aca="false">1+IF($G$7=$E$7,$F$7,IF(Q499&lt;($F$7-$E$7)/($G$7-$E$7),$E$7+SQRT(Q499*($G$7-$E$7)*($F$7-$E$7)),$G$7-SQRT((1-Q499)*($G$7-$E$7)*($G$7-$F$7))))</f>
        <v>1.1205285748785</v>
      </c>
      <c r="D499" s="51" t="n">
        <f aca="false">1+IF($G$8=$E$8,$F$8,IF(R499&lt;($F$8-$E$8)/($G$8-$E$8),$E$8+SQRT(R499*($G$8-$E$8)*($F$8-$E$8)),$G$8-SQRT((1-R499)*($G$8-$E$8)*($G$8-$F$8))))</f>
        <v>0.993817889246991</v>
      </c>
      <c r="E499" s="51" t="n">
        <f aca="false">1+IF($G$9=$E$9,$F$9,IF(S499&lt;($F$9-$E$9)/($G$9-$E$9),$E$9+SQRT(S499*($G$9-$E$9)*($F$9-$E$9)),$G$9-SQRT((1-S499)*($G$9-$E$9)*($G$9-$F$9))))</f>
        <v>1.03865804665858</v>
      </c>
      <c r="F499" s="51" t="n">
        <f aca="false">1+IF($G$10=$E$10,$F$10,IF(T499&lt;($F$10-$E$10)/($G$10-$E$10),$E$10+SQRT(T499*($G$10-$E$10)*($F$10-$E$10)),$G$10-SQRT((1-T499)*($G$10-$E$10)*($G$10-$F$10))))</f>
        <v>0.98751272884554</v>
      </c>
      <c r="G499" s="52" t="n">
        <f aca="false">IF($G$11=$E$11,$F$11,IF(U499&lt;($F$11-$E$11)/($G$11-$E$11),$E$11+SQRT(U499*($G$11-$E$11)*($F$11-$E$11)),$G$11-SQRT((1-U499)*($G$11-$E$11)*($G$11-$F$11))))</f>
        <v>0.100925040707673</v>
      </c>
      <c r="H499" s="53" t="n">
        <f aca="false">(('Business Case'!B11*$C499*'Business Case'!B12*$B499)-'Business Case'!B11*$C499*'Business Case'!B13*$D499-'Business Case'!B14*$E499)-MAX(0,(('Business Case'!B11*$C499*'Business Case'!B12*$B499)-'Business Case'!B11*$C499*'Business Case'!B13*$D499-'Business Case'!B14*$E499))*'Business Case'!$B$7-'Business Case'!$B$8*('Business Case'!B11*$C499*'Business Case'!B12*$B499)-'Business Case'!B15*$F499</f>
        <v>-1975025457.69108</v>
      </c>
      <c r="I499" s="53" t="n">
        <f aca="false">(('Business Case'!C11*$C499*'Business Case'!C12*$B499)-'Business Case'!C11*$C499*'Business Case'!C13*$D499-'Business Case'!C14*$E499)-MAX(0,(('Business Case'!C11*$C499*'Business Case'!C12*$B499)-'Business Case'!C11*$C499*'Business Case'!C13*$D499-'Business Case'!C14*$E499))*'Business Case'!$B$7-'Business Case'!$B$8*(('Business Case'!C11*$C499*'Business Case'!C12*$B499)-('Business Case'!B11*$C499*'Business Case'!B12*$B499))-'Business Case'!C15*$F499</f>
        <v>10132895.1253122</v>
      </c>
      <c r="J499" s="53" t="n">
        <f aca="false">(('Business Case'!D11*$C499*'Business Case'!D12*$B499)-'Business Case'!D11*$C499*'Business Case'!D13*$D499-'Business Case'!D14*$E499)-MAX(0,(('Business Case'!D11*$C499*'Business Case'!D12*$B499)-'Business Case'!D11*$C499*'Business Case'!D13*$D499-'Business Case'!D14*$E499))*'Business Case'!$B$7-'Business Case'!$B$8*(('Business Case'!D11*$C499*'Business Case'!D12*$B499)-('Business Case'!C11*$C499*'Business Case'!C12*$B499))-'Business Case'!D15*$F499</f>
        <v>322569382.08747</v>
      </c>
      <c r="K499" s="53" t="n">
        <f aca="false">(('Business Case'!E11*$C499*'Business Case'!E12*$B499)-'Business Case'!E11*$C499*'Business Case'!E13*$D499-'Business Case'!E14*$E499)-MAX(0,(('Business Case'!E11*$C499*'Business Case'!E12*$B499)-'Business Case'!E11*$C499*'Business Case'!E13*$D499-'Business Case'!E14*$E499))*'Business Case'!$B$7-'Business Case'!$B$8*(('Business Case'!E11*$C499*'Business Case'!E12*$B499)-('Business Case'!D11*$C499*'Business Case'!D12*$B499))-'Business Case'!E15*$F499</f>
        <v>684381505.491904</v>
      </c>
      <c r="L499" s="53" t="n">
        <f aca="false">(('Business Case'!F11*$C499*'Business Case'!F12*$B499)-'Business Case'!F11*$C499*'Business Case'!F13*$D499-'Business Case'!F14*$E499)-MAX(0,(('Business Case'!F11*$C499*'Business Case'!F12*$B499)-'Business Case'!F11*$C499*'Business Case'!F13*$D499-'Business Case'!F14*$E499))*'Business Case'!$B$7-'Business Case'!$B$8*(('Business Case'!F11*$C499*'Business Case'!F12*$B499)-('Business Case'!E11*$C499*'Business Case'!E12*$B499))-'Business Case'!F15*$F499</f>
        <v>825763764.290918</v>
      </c>
      <c r="M499" s="53" t="n">
        <f aca="false">(('Business Case'!G11*$C499*'Business Case'!G12*$B499)-'Business Case'!G11*$C499*'Business Case'!G13*$D499-'Business Case'!G14*$E499)-MAX(0,(('Business Case'!G11*$C499*'Business Case'!G12*$B499)-'Business Case'!G11*$C499*'Business Case'!G13*$D499-'Business Case'!G14*$E499))*'Business Case'!$B$7-'Business Case'!$B$8*(('Business Case'!G11*$C499*'Business Case'!G12*$B499)-('Business Case'!F11*$C499*'Business Case'!F12*$B499))-'Business Case'!G15*$F499+'Business Case'!$B$8*('Business Case'!G11*$C499*'Business Case'!G12*$B499)</f>
        <v>1030565961.5882</v>
      </c>
      <c r="N499" s="53" t="n">
        <f aca="false">IF(COUNT('Business Case'!B11:G11)=0,"",H499+NPV(G499,I499:M499))</f>
        <v>12539001.8755548</v>
      </c>
      <c r="P499" s="54" t="n">
        <f aca="true">RAND()</f>
        <v>0.179898383624241</v>
      </c>
      <c r="Q499" s="54" t="n">
        <f aca="true">RAND()</f>
        <v>0.983455906691577</v>
      </c>
      <c r="R499" s="54" t="n">
        <f aca="true">RAND()</f>
        <v>0.29538575662486</v>
      </c>
      <c r="S499" s="54" t="n">
        <f aca="true">RAND()</f>
        <v>0.749144317350617</v>
      </c>
      <c r="T499" s="54" t="n">
        <f aca="true">RAND()</f>
        <v>0.112576386035123</v>
      </c>
      <c r="U499" s="54" t="n">
        <f aca="true">RAND()</f>
        <v>0.393576546660104</v>
      </c>
    </row>
    <row r="500" customFormat="false" ht="15" hidden="false" customHeight="false" outlineLevel="0" collapsed="false">
      <c r="A500" s="50" t="n">
        <v>420</v>
      </c>
      <c r="B500" s="51" t="n">
        <f aca="false">1+IF($G$6=$E$6,$F$6,IF(P500&lt;($F$6-$E$6)/($G$6-$E$6),$E$6+SQRT(P500*($G$6-$E$6)*($F$6-$E$6)),$G$6-SQRT((1-P500)*($G$6-$E$6)*($G$6-$F$6))))</f>
        <v>1.01915537431948</v>
      </c>
      <c r="C500" s="51" t="n">
        <f aca="false">1+IF($G$7=$E$7,$F$7,IF(Q500&lt;($F$7-$E$7)/($G$7-$E$7),$E$7+SQRT(Q500*($G$7-$E$7)*($F$7-$E$7)),$G$7-SQRT((1-Q500)*($G$7-$E$7)*($G$7-$F$7))))</f>
        <v>0.984230441892027</v>
      </c>
      <c r="D500" s="51" t="n">
        <f aca="false">1+IF($G$8=$E$8,$F$8,IF(R500&lt;($F$8-$E$8)/($G$8-$E$8),$E$8+SQRT(R500*($G$8-$E$8)*($F$8-$E$8)),$G$8-SQRT((1-R500)*($G$8-$E$8)*($G$8-$F$8))))</f>
        <v>0.992427353037131</v>
      </c>
      <c r="E500" s="51" t="n">
        <f aca="false">1+IF($G$9=$E$9,$F$9,IF(S500&lt;($F$9-$E$9)/($G$9-$E$9),$E$9+SQRT(S500*($G$9-$E$9)*($F$9-$E$9)),$G$9-SQRT((1-S500)*($G$9-$E$9)*($G$9-$F$9))))</f>
        <v>0.989954639951267</v>
      </c>
      <c r="F500" s="51" t="n">
        <f aca="false">1+IF($G$10=$E$10,$F$10,IF(T500&lt;($F$10-$E$10)/($G$10-$E$10),$E$10+SQRT(T500*($G$10-$E$10)*($F$10-$E$10)),$G$10-SQRT((1-T500)*($G$10-$E$10)*($G$10-$F$10))))</f>
        <v>1.07551185093903</v>
      </c>
      <c r="G500" s="52" t="n">
        <f aca="false">IF($G$11=$E$11,$F$11,IF(U500&lt;($F$11-$E$11)/($G$11-$E$11),$E$11+SQRT(U500*($G$11-$E$11)*($F$11-$E$11)),$G$11-SQRT((1-U500)*($G$11-$E$11)*($G$11-$F$11))))</f>
        <v>0.114119816300548</v>
      </c>
      <c r="H500" s="53" t="n">
        <f aca="false">(('Business Case'!B11*$C500*'Business Case'!B12*$B500)-'Business Case'!B11*$C500*'Business Case'!B13*$D500-'Business Case'!B14*$E500)-MAX(0,(('Business Case'!B11*$C500*'Business Case'!B12*$B500)-'Business Case'!B11*$C500*'Business Case'!B13*$D500-'Business Case'!B14*$E500))*'Business Case'!$B$7-'Business Case'!$B$8*('Business Case'!B11*$C500*'Business Case'!B12*$B500)-'Business Case'!B15*$F500</f>
        <v>-2151023701.87807</v>
      </c>
      <c r="I500" s="53" t="n">
        <f aca="false">(('Business Case'!C11*$C500*'Business Case'!C12*$B500)-'Business Case'!C11*$C500*'Business Case'!C13*$D500-'Business Case'!C14*$E500)-MAX(0,(('Business Case'!C11*$C500*'Business Case'!C12*$B500)-'Business Case'!C11*$C500*'Business Case'!C13*$D500-'Business Case'!C14*$E500))*'Business Case'!$B$7-'Business Case'!$B$8*(('Business Case'!C11*$C500*'Business Case'!C12*$B500)-('Business Case'!B11*$C500*'Business Case'!B12*$B500))-'Business Case'!C15*$F500</f>
        <v>21243422.0237832</v>
      </c>
      <c r="J500" s="53" t="n">
        <f aca="false">(('Business Case'!D11*$C500*'Business Case'!D12*$B500)-'Business Case'!D11*$C500*'Business Case'!D13*$D500-'Business Case'!D14*$E500)-MAX(0,(('Business Case'!D11*$C500*'Business Case'!D12*$B500)-'Business Case'!D11*$C500*'Business Case'!D13*$D500-'Business Case'!D14*$E500))*'Business Case'!$B$7-'Business Case'!$B$8*(('Business Case'!D11*$C500*'Business Case'!D12*$B500)-('Business Case'!C11*$C500*'Business Case'!C12*$B500))-'Business Case'!D15*$F500</f>
        <v>342809440.253433</v>
      </c>
      <c r="K500" s="53" t="n">
        <f aca="false">(('Business Case'!E11*$C500*'Business Case'!E12*$B500)-'Business Case'!E11*$C500*'Business Case'!E13*$D500-'Business Case'!E14*$E500)-MAX(0,(('Business Case'!E11*$C500*'Business Case'!E12*$B500)-'Business Case'!E11*$C500*'Business Case'!E13*$D500-'Business Case'!E14*$E500))*'Business Case'!$B$7-'Business Case'!$B$8*(('Business Case'!E11*$C500*'Business Case'!E12*$B500)-('Business Case'!D11*$C500*'Business Case'!D12*$B500))-'Business Case'!E15*$F500</f>
        <v>718151051.030035</v>
      </c>
      <c r="L500" s="53" t="n">
        <f aca="false">(('Business Case'!F11*$C500*'Business Case'!F12*$B500)-'Business Case'!F11*$C500*'Business Case'!F13*$D500-'Business Case'!F14*$E500)-MAX(0,(('Business Case'!F11*$C500*'Business Case'!F12*$B500)-'Business Case'!F11*$C500*'Business Case'!F13*$D500-'Business Case'!F14*$E500))*'Business Case'!$B$7-'Business Case'!$B$8*(('Business Case'!F11*$C500*'Business Case'!F12*$B500)-('Business Case'!E11*$C500*'Business Case'!E12*$B500))-'Business Case'!F15*$F500</f>
        <v>860006297.980514</v>
      </c>
      <c r="M500" s="53" t="n">
        <f aca="false">(('Business Case'!G11*$C500*'Business Case'!G12*$B500)-'Business Case'!G11*$C500*'Business Case'!G13*$D500-'Business Case'!G14*$E500)-MAX(0,(('Business Case'!G11*$C500*'Business Case'!G12*$B500)-'Business Case'!G11*$C500*'Business Case'!G13*$D500-'Business Case'!G14*$E500))*'Business Case'!$B$7-'Business Case'!$B$8*(('Business Case'!G11*$C500*'Business Case'!G12*$B500)-('Business Case'!F11*$C500*'Business Case'!F12*$B500))-'Business Case'!G15*$F500+'Business Case'!$B$8*('Business Case'!G11*$C500*'Business Case'!G12*$B500)</f>
        <v>1050672456.12046</v>
      </c>
      <c r="N500" s="53" t="n">
        <f aca="false">IF(COUNT('Business Case'!B11:G11)=0,"",H500+NPV(G500,I500:M500))</f>
        <v>-166216966.638683</v>
      </c>
      <c r="P500" s="54" t="n">
        <f aca="true">RAND()</f>
        <v>0.909479495883113</v>
      </c>
      <c r="Q500" s="54" t="n">
        <f aca="true">RAND()</f>
        <v>0.484869367424738</v>
      </c>
      <c r="R500" s="54" t="n">
        <f aca="true">RAND()</f>
        <v>0.276935428574982</v>
      </c>
      <c r="S500" s="54" t="n">
        <f aca="true">RAND()</f>
        <v>0.21284976715138</v>
      </c>
      <c r="T500" s="54" t="n">
        <f aca="true">RAND()</f>
        <v>0.690054014867493</v>
      </c>
      <c r="U500" s="54" t="n">
        <f aca="true">RAND()</f>
        <v>0.942372399434503</v>
      </c>
    </row>
    <row r="501" customFormat="false" ht="15" hidden="false" customHeight="false" outlineLevel="0" collapsed="false">
      <c r="A501" s="50" t="n">
        <v>421</v>
      </c>
      <c r="B501" s="51" t="n">
        <f aca="false">1+IF($G$6=$E$6,$F$6,IF(P501&lt;($F$6-$E$6)/($G$6-$E$6),$E$6+SQRT(P501*($G$6-$E$6)*($F$6-$E$6)),$G$6-SQRT((1-P501)*($G$6-$E$6)*($G$6-$F$6))))</f>
        <v>1.01247905552409</v>
      </c>
      <c r="C501" s="51" t="n">
        <f aca="false">1+IF($G$7=$E$7,$F$7,IF(Q501&lt;($F$7-$E$7)/($G$7-$E$7),$E$7+SQRT(Q501*($G$7-$E$7)*($F$7-$E$7)),$G$7-SQRT((1-Q501)*($G$7-$E$7)*($G$7-$F$7))))</f>
        <v>0.998229456358317</v>
      </c>
      <c r="D501" s="51" t="n">
        <f aca="false">1+IF($G$8=$E$8,$F$8,IF(R501&lt;($F$8-$E$8)/($G$8-$E$8),$E$8+SQRT(R501*($G$8-$E$8)*($F$8-$E$8)),$G$8-SQRT((1-R501)*($G$8-$E$8)*($G$8-$F$8))))</f>
        <v>0.963881843178123</v>
      </c>
      <c r="E501" s="51" t="n">
        <f aca="false">1+IF($G$9=$E$9,$F$9,IF(S501&lt;($F$9-$E$9)/($G$9-$E$9),$E$9+SQRT(S501*($G$9-$E$9)*($F$9-$E$9)),$G$9-SQRT((1-S501)*($G$9-$E$9)*($G$9-$F$9))))</f>
        <v>0.984354824214487</v>
      </c>
      <c r="F501" s="51" t="n">
        <f aca="false">1+IF($G$10=$E$10,$F$10,IF(T501&lt;($F$10-$E$10)/($G$10-$E$10),$E$10+SQRT(T501*($G$10-$E$10)*($F$10-$E$10)),$G$10-SQRT((1-T501)*($G$10-$E$10)*($G$10-$F$10))))</f>
        <v>0.990739847096619</v>
      </c>
      <c r="G501" s="52" t="n">
        <f aca="false">IF($G$11=$E$11,$F$11,IF(U501&lt;($F$11-$E$11)/($G$11-$E$11),$E$11+SQRT(U501*($G$11-$E$11)*($F$11-$E$11)),$G$11-SQRT((1-U501)*($G$11-$E$11)*($G$11-$F$11))))</f>
        <v>0.100818110706249</v>
      </c>
      <c r="H501" s="53" t="n">
        <f aca="false">(('Business Case'!B11*$C501*'Business Case'!B12*$B501)-'Business Case'!B11*$C501*'Business Case'!B13*$D501-'Business Case'!B14*$E501)-MAX(0,(('Business Case'!B11*$C501*'Business Case'!B12*$B501)-'Business Case'!B11*$C501*'Business Case'!B13*$D501-'Business Case'!B14*$E501))*'Business Case'!$B$7-'Business Case'!$B$8*('Business Case'!B11*$C501*'Business Case'!B12*$B501)-'Business Case'!B15*$F501</f>
        <v>-1981479694.19324</v>
      </c>
      <c r="I501" s="53" t="n">
        <f aca="false">(('Business Case'!C11*$C501*'Business Case'!C12*$B501)-'Business Case'!C11*$C501*'Business Case'!C13*$D501-'Business Case'!C14*$E501)-MAX(0,(('Business Case'!C11*$C501*'Business Case'!C12*$B501)-'Business Case'!C11*$C501*'Business Case'!C13*$D501-'Business Case'!C14*$E501))*'Business Case'!$B$7-'Business Case'!$B$8*(('Business Case'!C11*$C501*'Business Case'!C12*$B501)-('Business Case'!B11*$C501*'Business Case'!B12*$B501))-'Business Case'!C15*$F501</f>
        <v>43824967.390683</v>
      </c>
      <c r="J501" s="53" t="n">
        <f aca="false">(('Business Case'!D11*$C501*'Business Case'!D12*$B501)-'Business Case'!D11*$C501*'Business Case'!D13*$D501-'Business Case'!D14*$E501)-MAX(0,(('Business Case'!D11*$C501*'Business Case'!D12*$B501)-'Business Case'!D11*$C501*'Business Case'!D13*$D501-'Business Case'!D14*$E501))*'Business Case'!$B$7-'Business Case'!$B$8*(('Business Case'!D11*$C501*'Business Case'!D12*$B501)-('Business Case'!C11*$C501*'Business Case'!C12*$B501))-'Business Case'!D15*$F501</f>
        <v>379093159.36042</v>
      </c>
      <c r="K501" s="53" t="n">
        <f aca="false">(('Business Case'!E11*$C501*'Business Case'!E12*$B501)-'Business Case'!E11*$C501*'Business Case'!E13*$D501-'Business Case'!E14*$E501)-MAX(0,(('Business Case'!E11*$C501*'Business Case'!E12*$B501)-'Business Case'!E11*$C501*'Business Case'!E13*$D501-'Business Case'!E14*$E501))*'Business Case'!$B$7-'Business Case'!$B$8*(('Business Case'!E11*$C501*'Business Case'!E12*$B501)-('Business Case'!D11*$C501*'Business Case'!D12*$B501))-'Business Case'!E15*$F501</f>
        <v>763898343.684989</v>
      </c>
      <c r="L501" s="53" t="n">
        <f aca="false">(('Business Case'!F11*$C501*'Business Case'!F12*$B501)-'Business Case'!F11*$C501*'Business Case'!F13*$D501-'Business Case'!F14*$E501)-MAX(0,(('Business Case'!F11*$C501*'Business Case'!F12*$B501)-'Business Case'!F11*$C501*'Business Case'!F13*$D501-'Business Case'!F14*$E501))*'Business Case'!$B$7-'Business Case'!$B$8*(('Business Case'!F11*$C501*'Business Case'!F12*$B501)-('Business Case'!E11*$C501*'Business Case'!E12*$B501))-'Business Case'!F15*$F501</f>
        <v>910583730.252296</v>
      </c>
      <c r="M501" s="53" t="n">
        <f aca="false">(('Business Case'!G11*$C501*'Business Case'!G12*$B501)-'Business Case'!G11*$C501*'Business Case'!G13*$D501-'Business Case'!G14*$E501)-MAX(0,(('Business Case'!G11*$C501*'Business Case'!G12*$B501)-'Business Case'!G11*$C501*'Business Case'!G13*$D501-'Business Case'!G14*$E501))*'Business Case'!$B$7-'Business Case'!$B$8*(('Business Case'!G11*$C501*'Business Case'!G12*$B501)-('Business Case'!F11*$C501*'Business Case'!F12*$B501))-'Business Case'!G15*$F501+'Business Case'!$B$8*('Business Case'!G11*$C501*'Business Case'!G12*$B501)</f>
        <v>1102695004.42797</v>
      </c>
      <c r="N501" s="53" t="n">
        <f aca="false">IF(COUNT('Business Case'!B11:G11)=0,"",H501+NPV(G501,I501:M501))</f>
        <v>246056191.726921</v>
      </c>
      <c r="P501" s="54" t="n">
        <f aca="true">RAND()</f>
        <v>0.842207836490364</v>
      </c>
      <c r="Q501" s="54" t="n">
        <f aca="true">RAND()</f>
        <v>0.561355962401626</v>
      </c>
      <c r="R501" s="54" t="n">
        <f aca="true">RAND()</f>
        <v>0.0296470107726137</v>
      </c>
      <c r="S501" s="54" t="n">
        <f aca="true">RAND()</f>
        <v>0.157367192907776</v>
      </c>
      <c r="T501" s="54" t="n">
        <f aca="true">RAND()</f>
        <v>0.132778811316469</v>
      </c>
      <c r="U501" s="54" t="n">
        <f aca="true">RAND()</f>
        <v>0.386758538537122</v>
      </c>
    </row>
    <row r="502" customFormat="false" ht="15" hidden="false" customHeight="false" outlineLevel="0" collapsed="false">
      <c r="A502" s="50" t="n">
        <v>422</v>
      </c>
      <c r="B502" s="51" t="n">
        <f aca="false">1+IF($G$6=$E$6,$F$6,IF(P502&lt;($F$6-$E$6)/($G$6-$E$6),$E$6+SQRT(P502*($G$6-$E$6)*($F$6-$E$6)),$G$6-SQRT((1-P502)*($G$6-$E$6)*($G$6-$F$6))))</f>
        <v>1.01287200419444</v>
      </c>
      <c r="C502" s="51" t="n">
        <f aca="false">1+IF($G$7=$E$7,$F$7,IF(Q502&lt;($F$7-$E$7)/($G$7-$E$7),$E$7+SQRT(Q502*($G$7-$E$7)*($F$7-$E$7)),$G$7-SQRT((1-Q502)*($G$7-$E$7)*($G$7-$F$7))))</f>
        <v>1.1101205509666</v>
      </c>
      <c r="D502" s="51" t="n">
        <f aca="false">1+IF($G$8=$E$8,$F$8,IF(R502&lt;($F$8-$E$8)/($G$8-$E$8),$E$8+SQRT(R502*($G$8-$E$8)*($F$8-$E$8)),$G$8-SQRT((1-R502)*($G$8-$E$8)*($G$8-$F$8))))</f>
        <v>1.00738609316867</v>
      </c>
      <c r="E502" s="51" t="n">
        <f aca="false">1+IF($G$9=$E$9,$F$9,IF(S502&lt;($F$9-$E$9)/($G$9-$E$9),$E$9+SQRT(S502*($G$9-$E$9)*($F$9-$E$9)),$G$9-SQRT((1-S502)*($G$9-$E$9)*($G$9-$F$9))))</f>
        <v>0.973185473225282</v>
      </c>
      <c r="F502" s="51" t="n">
        <f aca="false">1+IF($G$10=$E$10,$F$10,IF(T502&lt;($F$10-$E$10)/($G$10-$E$10),$E$10+SQRT(T502*($G$10-$E$10)*($F$10-$E$10)),$G$10-SQRT((1-T502)*($G$10-$E$10)*($G$10-$F$10))))</f>
        <v>0.994723468941055</v>
      </c>
      <c r="G502" s="52" t="n">
        <f aca="false">IF($G$11=$E$11,$F$11,IF(U502&lt;($F$11-$E$11)/($G$11-$E$11),$E$11+SQRT(U502*($G$11-$E$11)*($F$11-$E$11)),$G$11-SQRT((1-U502)*($G$11-$E$11)*($G$11-$F$11))))</f>
        <v>0.114420717231294</v>
      </c>
      <c r="H502" s="53" t="n">
        <f aca="false">(('Business Case'!B11*$C502*'Business Case'!B12*$B502)-'Business Case'!B11*$C502*'Business Case'!B13*$D502-'Business Case'!B14*$E502)-MAX(0,(('Business Case'!B11*$C502*'Business Case'!B12*$B502)-'Business Case'!B11*$C502*'Business Case'!B13*$D502-'Business Case'!B14*$E502))*'Business Case'!$B$7-'Business Case'!$B$8*('Business Case'!B11*$C502*'Business Case'!B12*$B502)-'Business Case'!B15*$F502</f>
        <v>-1989446937.88211</v>
      </c>
      <c r="I502" s="53" t="n">
        <f aca="false">(('Business Case'!C11*$C502*'Business Case'!C12*$B502)-'Business Case'!C11*$C502*'Business Case'!C13*$D502-'Business Case'!C14*$E502)-MAX(0,(('Business Case'!C11*$C502*'Business Case'!C12*$B502)-'Business Case'!C11*$C502*'Business Case'!C13*$D502-'Business Case'!C14*$E502))*'Business Case'!$B$7-'Business Case'!$B$8*(('Business Case'!C11*$C502*'Business Case'!C12*$B502)-('Business Case'!B11*$C502*'Business Case'!B12*$B502))-'Business Case'!C15*$F502</f>
        <v>52333656.0715985</v>
      </c>
      <c r="J502" s="53" t="n">
        <f aca="false">(('Business Case'!D11*$C502*'Business Case'!D12*$B502)-'Business Case'!D11*$C502*'Business Case'!D13*$D502-'Business Case'!D14*$E502)-MAX(0,(('Business Case'!D11*$C502*'Business Case'!D12*$B502)-'Business Case'!D11*$C502*'Business Case'!D13*$D502-'Business Case'!D14*$E502))*'Business Case'!$B$7-'Business Case'!$B$8*(('Business Case'!D11*$C502*'Business Case'!D12*$B502)-('Business Case'!C11*$C502*'Business Case'!C12*$B502))-'Business Case'!D15*$F502</f>
        <v>400816049.14802</v>
      </c>
      <c r="K502" s="53" t="n">
        <f aca="false">(('Business Case'!E11*$C502*'Business Case'!E12*$B502)-'Business Case'!E11*$C502*'Business Case'!E13*$D502-'Business Case'!E14*$E502)-MAX(0,(('Business Case'!E11*$C502*'Business Case'!E12*$B502)-'Business Case'!E11*$C502*'Business Case'!E13*$D502-'Business Case'!E14*$E502))*'Business Case'!$B$7-'Business Case'!$B$8*(('Business Case'!E11*$C502*'Business Case'!E12*$B502)-('Business Case'!D11*$C502*'Business Case'!D12*$B502))-'Business Case'!E15*$F502</f>
        <v>799034615.671494</v>
      </c>
      <c r="L502" s="53" t="n">
        <f aca="false">(('Business Case'!F11*$C502*'Business Case'!F12*$B502)-'Business Case'!F11*$C502*'Business Case'!F13*$D502-'Business Case'!F14*$E502)-MAX(0,(('Business Case'!F11*$C502*'Business Case'!F12*$B502)-'Business Case'!F11*$C502*'Business Case'!F13*$D502-'Business Case'!F14*$E502))*'Business Case'!$B$7-'Business Case'!$B$8*(('Business Case'!F11*$C502*'Business Case'!F12*$B502)-('Business Case'!E11*$C502*'Business Case'!E12*$B502))-'Business Case'!F15*$F502</f>
        <v>954055023.909022</v>
      </c>
      <c r="M502" s="53" t="n">
        <f aca="false">(('Business Case'!G11*$C502*'Business Case'!G12*$B502)-'Business Case'!G11*$C502*'Business Case'!G13*$D502-'Business Case'!G14*$E502)-MAX(0,(('Business Case'!G11*$C502*'Business Case'!G12*$B502)-'Business Case'!G11*$C502*'Business Case'!G13*$D502-'Business Case'!G14*$E502))*'Business Case'!$B$7-'Business Case'!$B$8*(('Business Case'!G11*$C502*'Business Case'!G12*$B502)-('Business Case'!F11*$C502*'Business Case'!F12*$B502))-'Business Case'!G15*$F502+'Business Case'!$B$8*('Business Case'!G11*$C502*'Business Case'!G12*$B502)</f>
        <v>1167782881.90866</v>
      </c>
      <c r="N502" s="53" t="n">
        <f aca="false">IF(COUNT('Business Case'!B11:G11)=0,"",H502+NPV(G502,I502:M502))</f>
        <v>255509047.956439</v>
      </c>
      <c r="P502" s="54" t="n">
        <f aca="true">RAND()</f>
        <v>0.846681634077867</v>
      </c>
      <c r="Q502" s="54" t="n">
        <f aca="true">RAND()</f>
        <v>0.96970722942462</v>
      </c>
      <c r="R502" s="54" t="n">
        <f aca="true">RAND()</f>
        <v>0.493001974489507</v>
      </c>
      <c r="S502" s="54" t="n">
        <f aca="true">RAND()</f>
        <v>0.0716754891573688</v>
      </c>
      <c r="T502" s="54" t="n">
        <f aca="true">RAND()</f>
        <v>0.160015093929718</v>
      </c>
      <c r="U502" s="54" t="n">
        <f aca="true">RAND()</f>
        <v>0.948119339644694</v>
      </c>
    </row>
    <row r="503" customFormat="false" ht="15" hidden="false" customHeight="false" outlineLevel="0" collapsed="false">
      <c r="A503" s="50" t="n">
        <v>423</v>
      </c>
      <c r="B503" s="51" t="n">
        <f aca="false">1+IF($G$6=$E$6,$F$6,IF(P503&lt;($F$6-$E$6)/($G$6-$E$6),$E$6+SQRT(P503*($G$6-$E$6)*($F$6-$E$6)),$G$6-SQRT((1-P503)*($G$6-$E$6)*($G$6-$F$6))))</f>
        <v>0.981463722817123</v>
      </c>
      <c r="C503" s="51" t="n">
        <f aca="false">1+IF($G$7=$E$7,$F$7,IF(Q503&lt;($F$7-$E$7)/($G$7-$E$7),$E$7+SQRT(Q503*($G$7-$E$7)*($F$7-$E$7)),$G$7-SQRT((1-Q503)*($G$7-$E$7)*($G$7-$F$7))))</f>
        <v>1.04144497631048</v>
      </c>
      <c r="D503" s="51" t="n">
        <f aca="false">1+IF($G$8=$E$8,$F$8,IF(R503&lt;($F$8-$E$8)/($G$8-$E$8),$E$8+SQRT(R503*($G$8-$E$8)*($F$8-$E$8)),$G$8-SQRT((1-R503)*($G$8-$E$8)*($G$8-$F$8))))</f>
        <v>0.972450640280736</v>
      </c>
      <c r="E503" s="51" t="n">
        <f aca="false">1+IF($G$9=$E$9,$F$9,IF(S503&lt;($F$9-$E$9)/($G$9-$E$9),$E$9+SQRT(S503*($G$9-$E$9)*($F$9-$E$9)),$G$9-SQRT((1-S503)*($G$9-$E$9)*($G$9-$F$9))))</f>
        <v>0.973020639541054</v>
      </c>
      <c r="F503" s="51" t="n">
        <f aca="false">1+IF($G$10=$E$10,$F$10,IF(T503&lt;($F$10-$E$10)/($G$10-$E$10),$E$10+SQRT(T503*($G$10-$E$10)*($F$10-$E$10)),$G$10-SQRT((1-T503)*($G$10-$E$10)*($G$10-$F$10))))</f>
        <v>1.09950109740997</v>
      </c>
      <c r="G503" s="52" t="n">
        <f aca="false">IF($G$11=$E$11,$F$11,IF(U503&lt;($F$11-$E$11)/($G$11-$E$11),$E$11+SQRT(U503*($G$11-$E$11)*($F$11-$E$11)),$G$11-SQRT((1-U503)*($G$11-$E$11)*($G$11-$F$11))))</f>
        <v>0.106231248946154</v>
      </c>
      <c r="H503" s="53" t="n">
        <f aca="false">(('Business Case'!B11*$C503*'Business Case'!B12*$B503)-'Business Case'!B11*$C503*'Business Case'!B13*$D503-'Business Case'!B14*$E503)-MAX(0,(('Business Case'!B11*$C503*'Business Case'!B12*$B503)-'Business Case'!B11*$C503*'Business Case'!B13*$D503-'Business Case'!B14*$E503))*'Business Case'!$B$7-'Business Case'!$B$8*('Business Case'!B11*$C503*'Business Case'!B12*$B503)-'Business Case'!B15*$F503</f>
        <v>-2199002194.81994</v>
      </c>
      <c r="I503" s="53" t="n">
        <f aca="false">(('Business Case'!C11*$C503*'Business Case'!C12*$B503)-'Business Case'!C11*$C503*'Business Case'!C13*$D503-'Business Case'!C14*$E503)-MAX(0,(('Business Case'!C11*$C503*'Business Case'!C12*$B503)-'Business Case'!C11*$C503*'Business Case'!C13*$D503-'Business Case'!C14*$E503))*'Business Case'!$B$7-'Business Case'!$B$8*(('Business Case'!C11*$C503*'Business Case'!C12*$B503)-('Business Case'!B11*$C503*'Business Case'!B12*$B503))-'Business Case'!C15*$F503</f>
        <v>17456284.7366845</v>
      </c>
      <c r="J503" s="53" t="n">
        <f aca="false">(('Business Case'!D11*$C503*'Business Case'!D12*$B503)-'Business Case'!D11*$C503*'Business Case'!D13*$D503-'Business Case'!D14*$E503)-MAX(0,(('Business Case'!D11*$C503*'Business Case'!D12*$B503)-'Business Case'!D11*$C503*'Business Case'!D13*$D503-'Business Case'!D14*$E503))*'Business Case'!$B$7-'Business Case'!$B$8*(('Business Case'!D11*$C503*'Business Case'!D12*$B503)-('Business Case'!C11*$C503*'Business Case'!C12*$B503))-'Business Case'!D15*$F503</f>
        <v>336213975.787996</v>
      </c>
      <c r="K503" s="53" t="n">
        <f aca="false">(('Business Case'!E11*$C503*'Business Case'!E12*$B503)-'Business Case'!E11*$C503*'Business Case'!E13*$D503-'Business Case'!E14*$E503)-MAX(0,(('Business Case'!E11*$C503*'Business Case'!E12*$B503)-'Business Case'!E11*$C503*'Business Case'!E13*$D503-'Business Case'!E14*$E503))*'Business Case'!$B$7-'Business Case'!$B$8*(('Business Case'!E11*$C503*'Business Case'!E12*$B503)-('Business Case'!D11*$C503*'Business Case'!D12*$B503))-'Business Case'!E15*$F503</f>
        <v>709946721.709805</v>
      </c>
      <c r="L503" s="53" t="n">
        <f aca="false">(('Business Case'!F11*$C503*'Business Case'!F12*$B503)-'Business Case'!F11*$C503*'Business Case'!F13*$D503-'Business Case'!F14*$E503)-MAX(0,(('Business Case'!F11*$C503*'Business Case'!F12*$B503)-'Business Case'!F11*$C503*'Business Case'!F13*$D503-'Business Case'!F14*$E503))*'Business Case'!$B$7-'Business Case'!$B$8*(('Business Case'!F11*$C503*'Business Case'!F12*$B503)-('Business Case'!E11*$C503*'Business Case'!E12*$B503))-'Business Case'!F15*$F503</f>
        <v>851524459.81417</v>
      </c>
      <c r="M503" s="53" t="n">
        <f aca="false">(('Business Case'!G11*$C503*'Business Case'!G12*$B503)-'Business Case'!G11*$C503*'Business Case'!G13*$D503-'Business Case'!G14*$E503)-MAX(0,(('Business Case'!G11*$C503*'Business Case'!G12*$B503)-'Business Case'!G11*$C503*'Business Case'!G13*$D503-'Business Case'!G14*$E503))*'Business Case'!$B$7-'Business Case'!$B$8*(('Business Case'!G11*$C503*'Business Case'!G12*$B503)-('Business Case'!F11*$C503*'Business Case'!F12*$B503))-'Business Case'!G15*$F503+'Business Case'!$B$8*('Business Case'!G11*$C503*'Business Case'!G12*$B503)</f>
        <v>1045812919.12744</v>
      </c>
      <c r="N503" s="53" t="n">
        <f aca="false">IF(COUNT('Business Case'!B11:G11)=0,"",H503+NPV(G503,I503:M503))</f>
        <v>-184158344.82672</v>
      </c>
      <c r="P503" s="54" t="n">
        <f aca="true">RAND()</f>
        <v>0.393519710681262</v>
      </c>
      <c r="Q503" s="54" t="n">
        <f aca="true">RAND()</f>
        <v>0.775539177747944</v>
      </c>
      <c r="R503" s="54" t="n">
        <f aca="true">RAND()</f>
        <v>0.0775432690792308</v>
      </c>
      <c r="S503" s="54" t="n">
        <f aca="true">RAND()</f>
        <v>0.0706599793172204</v>
      </c>
      <c r="T503" s="54" t="n">
        <f aca="true">RAND()</f>
        <v>0.79799941156399</v>
      </c>
      <c r="U503" s="54" t="n">
        <f aca="true">RAND()</f>
        <v>0.684035824028712</v>
      </c>
    </row>
    <row r="504" customFormat="false" ht="15" hidden="false" customHeight="false" outlineLevel="0" collapsed="false">
      <c r="A504" s="50" t="n">
        <v>424</v>
      </c>
      <c r="B504" s="51" t="n">
        <f aca="false">1+IF($G$6=$E$6,$F$6,IF(P504&lt;($F$6-$E$6)/($G$6-$E$6),$E$6+SQRT(P504*($G$6-$E$6)*($F$6-$E$6)),$G$6-SQRT((1-P504)*($G$6-$E$6)*($G$6-$F$6))))</f>
        <v>0.990374246248156</v>
      </c>
      <c r="C504" s="51" t="n">
        <f aca="false">1+IF($G$7=$E$7,$F$7,IF(Q504&lt;($F$7-$E$7)/($G$7-$E$7),$E$7+SQRT(Q504*($G$7-$E$7)*($F$7-$E$7)),$G$7-SQRT((1-Q504)*($G$7-$E$7)*($G$7-$F$7))))</f>
        <v>0.939830142936482</v>
      </c>
      <c r="D504" s="51" t="n">
        <f aca="false">1+IF($G$8=$E$8,$F$8,IF(R504&lt;($F$8-$E$8)/($G$8-$E$8),$E$8+SQRT(R504*($G$8-$E$8)*($F$8-$E$8)),$G$8-SQRT((1-R504)*($G$8-$E$8)*($G$8-$F$8))))</f>
        <v>0.981829209067578</v>
      </c>
      <c r="E504" s="51" t="n">
        <f aca="false">1+IF($G$9=$E$9,$F$9,IF(S504&lt;($F$9-$E$9)/($G$9-$E$9),$E$9+SQRT(S504*($G$9-$E$9)*($F$9-$E$9)),$G$9-SQRT((1-S504)*($G$9-$E$9)*($G$9-$F$9))))</f>
        <v>0.970124551033233</v>
      </c>
      <c r="F504" s="51" t="n">
        <f aca="false">1+IF($G$10=$E$10,$F$10,IF(T504&lt;($F$10-$E$10)/($G$10-$E$10),$E$10+SQRT(T504*($G$10-$E$10)*($F$10-$E$10)),$G$10-SQRT((1-T504)*($G$10-$E$10)*($G$10-$F$10))))</f>
        <v>1.01483279382548</v>
      </c>
      <c r="G504" s="52" t="n">
        <f aca="false">IF($G$11=$E$11,$F$11,IF(U504&lt;($F$11-$E$11)/($G$11-$E$11),$E$11+SQRT(U504*($G$11-$E$11)*($F$11-$E$11)),$G$11-SQRT((1-U504)*($G$11-$E$11)*($G$11-$F$11))))</f>
        <v>0.101865864599437</v>
      </c>
      <c r="H504" s="53" t="n">
        <f aca="false">(('Business Case'!B11*$C504*'Business Case'!B12*$B504)-'Business Case'!B11*$C504*'Business Case'!B13*$D504-'Business Case'!B14*$E504)-MAX(0,(('Business Case'!B11*$C504*'Business Case'!B12*$B504)-'Business Case'!B11*$C504*'Business Case'!B13*$D504-'Business Case'!B14*$E504))*'Business Case'!$B$7-'Business Case'!$B$8*('Business Case'!B11*$C504*'Business Case'!B12*$B504)-'Business Case'!B15*$F504</f>
        <v>-2029665587.65096</v>
      </c>
      <c r="I504" s="53" t="n">
        <f aca="false">(('Business Case'!C11*$C504*'Business Case'!C12*$B504)-'Business Case'!C11*$C504*'Business Case'!C13*$D504-'Business Case'!C14*$E504)-MAX(0,(('Business Case'!C11*$C504*'Business Case'!C12*$B504)-'Business Case'!C11*$C504*'Business Case'!C13*$D504-'Business Case'!C14*$E504))*'Business Case'!$B$7-'Business Case'!$B$8*(('Business Case'!C11*$C504*'Business Case'!C12*$B504)-('Business Case'!B11*$C504*'Business Case'!B12*$B504))-'Business Case'!C15*$F504</f>
        <v>2316394.02315319</v>
      </c>
      <c r="J504" s="53" t="n">
        <f aca="false">(('Business Case'!D11*$C504*'Business Case'!D12*$B504)-'Business Case'!D11*$C504*'Business Case'!D13*$D504-'Business Case'!D14*$E504)-MAX(0,(('Business Case'!D11*$C504*'Business Case'!D12*$B504)-'Business Case'!D11*$C504*'Business Case'!D13*$D504-'Business Case'!D14*$E504))*'Business Case'!$B$7-'Business Case'!$B$8*(('Business Case'!D11*$C504*'Business Case'!D12*$B504)-('Business Case'!C11*$C504*'Business Case'!C12*$B504))-'Business Case'!D15*$F504</f>
        <v>292319598.824099</v>
      </c>
      <c r="K504" s="53" t="n">
        <f aca="false">(('Business Case'!E11*$C504*'Business Case'!E12*$B504)-'Business Case'!E11*$C504*'Business Case'!E13*$D504-'Business Case'!E14*$E504)-MAX(0,(('Business Case'!E11*$C504*'Business Case'!E12*$B504)-'Business Case'!E11*$C504*'Business Case'!E13*$D504-'Business Case'!E14*$E504))*'Business Case'!$B$7-'Business Case'!$B$8*(('Business Case'!E11*$C504*'Business Case'!E12*$B504)-('Business Case'!D11*$C504*'Business Case'!D12*$B504))-'Business Case'!E15*$F504</f>
        <v>633064443.316319</v>
      </c>
      <c r="L504" s="53" t="n">
        <f aca="false">(('Business Case'!F11*$C504*'Business Case'!F12*$B504)-'Business Case'!F11*$C504*'Business Case'!F13*$D504-'Business Case'!F14*$E504)-MAX(0,(('Business Case'!F11*$C504*'Business Case'!F12*$B504)-'Business Case'!F11*$C504*'Business Case'!F13*$D504-'Business Case'!F14*$E504))*'Business Case'!$B$7-'Business Case'!$B$8*(('Business Case'!F11*$C504*'Business Case'!F12*$B504)-('Business Case'!E11*$C504*'Business Case'!E12*$B504))-'Business Case'!F15*$F504</f>
        <v>761900058.408847</v>
      </c>
      <c r="M504" s="53" t="n">
        <f aca="false">(('Business Case'!G11*$C504*'Business Case'!G12*$B504)-'Business Case'!G11*$C504*'Business Case'!G13*$D504-'Business Case'!G14*$E504)-MAX(0,(('Business Case'!G11*$C504*'Business Case'!G12*$B504)-'Business Case'!G11*$C504*'Business Case'!G13*$D504-'Business Case'!G14*$E504))*'Business Case'!$B$7-'Business Case'!$B$8*(('Business Case'!G11*$C504*'Business Case'!G12*$B504)-('Business Case'!F11*$C504*'Business Case'!F12*$B504))-'Business Case'!G15*$F504+'Business Case'!$B$8*('Business Case'!G11*$C504*'Business Case'!G12*$B504)</f>
        <v>938823399.282683</v>
      </c>
      <c r="N504" s="53" t="n">
        <f aca="false">IF(COUNT('Business Case'!B11:G11)=0,"",H504+NPV(G504,I504:M504))</f>
        <v>-218687236.973131</v>
      </c>
      <c r="P504" s="54" t="n">
        <f aca="true">RAND()</f>
        <v>0.515889014062086</v>
      </c>
      <c r="Q504" s="54" t="n">
        <f aca="true">RAND()</f>
        <v>0.2793209839091</v>
      </c>
      <c r="R504" s="54" t="n">
        <f aca="true">RAND()</f>
        <v>0.15586131536424</v>
      </c>
      <c r="S504" s="54" t="n">
        <f aca="true">RAND()</f>
        <v>0.0539996739052241</v>
      </c>
      <c r="T504" s="54" t="n">
        <f aca="true">RAND()</f>
        <v>0.314262115150466</v>
      </c>
      <c r="U504" s="54" t="n">
        <f aca="true">RAND()</f>
        <v>0.451921888790075</v>
      </c>
    </row>
    <row r="505" customFormat="false" ht="15" hidden="false" customHeight="false" outlineLevel="0" collapsed="false">
      <c r="A505" s="50" t="n">
        <v>425</v>
      </c>
      <c r="B505" s="51" t="n">
        <f aca="false">1+IF($G$6=$E$6,$F$6,IF(P505&lt;($F$6-$E$6)/($G$6-$E$6),$E$6+SQRT(P505*($G$6-$E$6)*($F$6-$E$6)),$G$6-SQRT((1-P505)*($G$6-$E$6)*($G$6-$F$6))))</f>
        <v>0.962169245961346</v>
      </c>
      <c r="C505" s="51" t="n">
        <f aca="false">1+IF($G$7=$E$7,$F$7,IF(Q505&lt;($F$7-$E$7)/($G$7-$E$7),$E$7+SQRT(Q505*($G$7-$E$7)*($F$7-$E$7)),$G$7-SQRT((1-Q505)*($G$7-$E$7)*($G$7-$F$7))))</f>
        <v>0.983385959300543</v>
      </c>
      <c r="D505" s="51" t="n">
        <f aca="false">1+IF($G$8=$E$8,$F$8,IF(R505&lt;($F$8-$E$8)/($G$8-$E$8),$E$8+SQRT(R505*($G$8-$E$8)*($F$8-$E$8)),$G$8-SQRT((1-R505)*($G$8-$E$8)*($G$8-$F$8))))</f>
        <v>0.992578740705503</v>
      </c>
      <c r="E505" s="51" t="n">
        <f aca="false">1+IF($G$9=$E$9,$F$9,IF(S505&lt;($F$9-$E$9)/($G$9-$E$9),$E$9+SQRT(S505*($G$9-$E$9)*($F$9-$E$9)),$G$9-SQRT((1-S505)*($G$9-$E$9)*($G$9-$F$9))))</f>
        <v>1.04739505424533</v>
      </c>
      <c r="F505" s="51" t="n">
        <f aca="false">1+IF($G$10=$E$10,$F$10,IF(T505&lt;($F$10-$E$10)/($G$10-$E$10),$E$10+SQRT(T505*($G$10-$E$10)*($F$10-$E$10)),$G$10-SQRT((1-T505)*($G$10-$E$10)*($G$10-$F$10))))</f>
        <v>1.03958428029039</v>
      </c>
      <c r="G505" s="52" t="n">
        <f aca="false">IF($G$11=$E$11,$F$11,IF(U505&lt;($F$11-$E$11)/($G$11-$E$11),$E$11+SQRT(U505*($G$11-$E$11)*($F$11-$E$11)),$G$11-SQRT((1-U505)*($G$11-$E$11)*($G$11-$F$11))))</f>
        <v>0.0997846139187979</v>
      </c>
      <c r="H505" s="53" t="n">
        <f aca="false">(('Business Case'!B11*$C505*'Business Case'!B12*$B505)-'Business Case'!B11*$C505*'Business Case'!B13*$D505-'Business Case'!B14*$E505)-MAX(0,(('Business Case'!B11*$C505*'Business Case'!B12*$B505)-'Business Case'!B11*$C505*'Business Case'!B13*$D505-'Business Case'!B14*$E505))*'Business Case'!$B$7-'Business Case'!$B$8*('Business Case'!B11*$C505*'Business Case'!B12*$B505)-'Business Case'!B15*$F505</f>
        <v>-2079168560.58078</v>
      </c>
      <c r="I505" s="53" t="n">
        <f aca="false">(('Business Case'!C11*$C505*'Business Case'!C12*$B505)-'Business Case'!C11*$C505*'Business Case'!C13*$D505-'Business Case'!C14*$E505)-MAX(0,(('Business Case'!C11*$C505*'Business Case'!C12*$B505)-'Business Case'!C11*$C505*'Business Case'!C13*$D505-'Business Case'!C14*$E505))*'Business Case'!$B$7-'Business Case'!$B$8*(('Business Case'!C11*$C505*'Business Case'!C12*$B505)-('Business Case'!B11*$C505*'Business Case'!B12*$B505))-'Business Case'!C15*$F505</f>
        <v>-26634539.0286074</v>
      </c>
      <c r="J505" s="53" t="n">
        <f aca="false">(('Business Case'!D11*$C505*'Business Case'!D12*$B505)-'Business Case'!D11*$C505*'Business Case'!D13*$D505-'Business Case'!D14*$E505)-MAX(0,(('Business Case'!D11*$C505*'Business Case'!D12*$B505)-'Business Case'!D11*$C505*'Business Case'!D13*$D505-'Business Case'!D14*$E505))*'Business Case'!$B$7-'Business Case'!$B$8*(('Business Case'!D11*$C505*'Business Case'!D12*$B505)-('Business Case'!C11*$C505*'Business Case'!C12*$B505))-'Business Case'!D15*$F505</f>
        <v>248679091.090556</v>
      </c>
      <c r="K505" s="53" t="n">
        <f aca="false">(('Business Case'!E11*$C505*'Business Case'!E12*$B505)-'Business Case'!E11*$C505*'Business Case'!E13*$D505-'Business Case'!E14*$E505)-MAX(0,(('Business Case'!E11*$C505*'Business Case'!E12*$B505)-'Business Case'!E11*$C505*'Business Case'!E13*$D505-'Business Case'!E14*$E505))*'Business Case'!$B$7-'Business Case'!$B$8*(('Business Case'!E11*$C505*'Business Case'!E12*$B505)-('Business Case'!D11*$C505*'Business Case'!D12*$B505))-'Business Case'!E15*$F505</f>
        <v>575971935.224238</v>
      </c>
      <c r="L505" s="53" t="n">
        <f aca="false">(('Business Case'!F11*$C505*'Business Case'!F12*$B505)-'Business Case'!F11*$C505*'Business Case'!F13*$D505-'Business Case'!F14*$E505)-MAX(0,(('Business Case'!F11*$C505*'Business Case'!F12*$B505)-'Business Case'!F11*$C505*'Business Case'!F13*$D505-'Business Case'!F14*$E505))*'Business Case'!$B$7-'Business Case'!$B$8*(('Business Case'!F11*$C505*'Business Case'!F12*$B505)-('Business Case'!E11*$C505*'Business Case'!E12*$B505))-'Business Case'!F15*$F505</f>
        <v>700443254.867323</v>
      </c>
      <c r="M505" s="53" t="n">
        <f aca="false">(('Business Case'!G11*$C505*'Business Case'!G12*$B505)-'Business Case'!G11*$C505*'Business Case'!G13*$D505-'Business Case'!G14*$E505)-MAX(0,(('Business Case'!G11*$C505*'Business Case'!G12*$B505)-'Business Case'!G11*$C505*'Business Case'!G13*$D505-'Business Case'!G14*$E505))*'Business Case'!$B$7-'Business Case'!$B$8*(('Business Case'!G11*$C505*'Business Case'!G12*$B505)-('Business Case'!F11*$C505*'Business Case'!F12*$B505))-'Business Case'!G15*$F505+'Business Case'!$B$8*('Business Case'!G11*$C505*'Business Case'!G12*$B505)</f>
        <v>880293857.685823</v>
      </c>
      <c r="N505" s="53" t="n">
        <f aca="false">IF(COUNT('Business Case'!B11:G11)=0,"",H505+NPV(G505,I505:M505))</f>
        <v>-438879841.084534</v>
      </c>
      <c r="P505" s="54" t="n">
        <f aca="true">RAND()</f>
        <v>0.185233885932136</v>
      </c>
      <c r="Q505" s="54" t="n">
        <f aca="true">RAND()</f>
        <v>0.480434429551151</v>
      </c>
      <c r="R505" s="54" t="n">
        <f aca="true">RAND()</f>
        <v>0.278915255394842</v>
      </c>
      <c r="S505" s="54" t="n">
        <f aca="true">RAND()</f>
        <v>0.81551464547656</v>
      </c>
      <c r="T505" s="54" t="n">
        <f aca="true">RAND()</f>
        <v>0.485335937400952</v>
      </c>
      <c r="U505" s="54" t="n">
        <f aca="true">RAND()</f>
        <v>0.319128898466447</v>
      </c>
    </row>
    <row r="506" customFormat="false" ht="15" hidden="false" customHeight="false" outlineLevel="0" collapsed="false">
      <c r="A506" s="50" t="n">
        <v>426</v>
      </c>
      <c r="B506" s="51" t="n">
        <f aca="false">1+IF($G$6=$E$6,$F$6,IF(P506&lt;($F$6-$E$6)/($G$6-$E$6),$E$6+SQRT(P506*($G$6-$E$6)*($F$6-$E$6)),$G$6-SQRT((1-P506)*($G$6-$E$6)*($G$6-$F$6))))</f>
        <v>1.00434747245518</v>
      </c>
      <c r="C506" s="51" t="n">
        <f aca="false">1+IF($G$7=$E$7,$F$7,IF(Q506&lt;($F$7-$E$7)/($G$7-$E$7),$E$7+SQRT(Q506*($G$7-$E$7)*($F$7-$E$7)),$G$7-SQRT((1-Q506)*($G$7-$E$7)*($G$7-$F$7))))</f>
        <v>0.956846942927211</v>
      </c>
      <c r="D506" s="51" t="n">
        <f aca="false">1+IF($G$8=$E$8,$F$8,IF(R506&lt;($F$8-$E$8)/($G$8-$E$8),$E$8+SQRT(R506*($G$8-$E$8)*($F$8-$E$8)),$G$8-SQRT((1-R506)*($G$8-$E$8)*($G$8-$F$8))))</f>
        <v>0.997508429634394</v>
      </c>
      <c r="E506" s="51" t="n">
        <f aca="false">1+IF($G$9=$E$9,$F$9,IF(S506&lt;($F$9-$E$9)/($G$9-$E$9),$E$9+SQRT(S506*($G$9-$E$9)*($F$9-$E$9)),$G$9-SQRT((1-S506)*($G$9-$E$9)*($G$9-$F$9))))</f>
        <v>0.986359933395432</v>
      </c>
      <c r="F506" s="51" t="n">
        <f aca="false">1+IF($G$10=$E$10,$F$10,IF(T506&lt;($F$10-$E$10)/($G$10-$E$10),$E$10+SQRT(T506*($G$10-$E$10)*($F$10-$E$10)),$G$10-SQRT((1-T506)*($G$10-$E$10)*($G$10-$F$10))))</f>
        <v>0.998931226637062</v>
      </c>
      <c r="G506" s="52" t="n">
        <f aca="false">IF($G$11=$E$11,$F$11,IF(U506&lt;($F$11-$E$11)/($G$11-$E$11),$E$11+SQRT(U506*($G$11-$E$11)*($F$11-$E$11)),$G$11-SQRT((1-U506)*($G$11-$E$11)*($G$11-$F$11))))</f>
        <v>0.106593739767193</v>
      </c>
      <c r="H506" s="53" t="n">
        <f aca="false">(('Business Case'!B11*$C506*'Business Case'!B12*$B506)-'Business Case'!B11*$C506*'Business Case'!B13*$D506-'Business Case'!B14*$E506)-MAX(0,(('Business Case'!B11*$C506*'Business Case'!B12*$B506)-'Business Case'!B11*$C506*'Business Case'!B13*$D506-'Business Case'!B14*$E506))*'Business Case'!$B$7-'Business Case'!$B$8*('Business Case'!B11*$C506*'Business Case'!B12*$B506)-'Business Case'!B15*$F506</f>
        <v>-1997862453.27412</v>
      </c>
      <c r="I506" s="53" t="n">
        <f aca="false">(('Business Case'!C11*$C506*'Business Case'!C12*$B506)-'Business Case'!C11*$C506*'Business Case'!C13*$D506-'Business Case'!C14*$E506)-MAX(0,(('Business Case'!C11*$C506*'Business Case'!C12*$B506)-'Business Case'!C11*$C506*'Business Case'!C13*$D506-'Business Case'!C14*$E506))*'Business Case'!$B$7-'Business Case'!$B$8*(('Business Case'!C11*$C506*'Business Case'!C12*$B506)-('Business Case'!B11*$C506*'Business Case'!B12*$B506))-'Business Case'!C15*$F506</f>
        <v>8553027.2399143</v>
      </c>
      <c r="J506" s="53" t="n">
        <f aca="false">(('Business Case'!D11*$C506*'Business Case'!D12*$B506)-'Business Case'!D11*$C506*'Business Case'!D13*$D506-'Business Case'!D14*$E506)-MAX(0,(('Business Case'!D11*$C506*'Business Case'!D12*$B506)-'Business Case'!D11*$C506*'Business Case'!D13*$D506-'Business Case'!D14*$E506))*'Business Case'!$B$7-'Business Case'!$B$8*(('Business Case'!D11*$C506*'Business Case'!D12*$B506)-('Business Case'!C11*$C506*'Business Case'!C12*$B506))-'Business Case'!D15*$F506</f>
        <v>307078152.633062</v>
      </c>
      <c r="K506" s="53" t="n">
        <f aca="false">(('Business Case'!E11*$C506*'Business Case'!E12*$B506)-'Business Case'!E11*$C506*'Business Case'!E13*$D506-'Business Case'!E14*$E506)-MAX(0,(('Business Case'!E11*$C506*'Business Case'!E12*$B506)-'Business Case'!E11*$C506*'Business Case'!E13*$D506-'Business Case'!E14*$E506))*'Business Case'!$B$7-'Business Case'!$B$8*(('Business Case'!E11*$C506*'Business Case'!E12*$B506)-('Business Case'!D11*$C506*'Business Case'!D12*$B506))-'Business Case'!E15*$F506</f>
        <v>655549839.358062</v>
      </c>
      <c r="L506" s="53" t="n">
        <f aca="false">(('Business Case'!F11*$C506*'Business Case'!F12*$B506)-'Business Case'!F11*$C506*'Business Case'!F13*$D506-'Business Case'!F14*$E506)-MAX(0,(('Business Case'!F11*$C506*'Business Case'!F12*$B506)-'Business Case'!F11*$C506*'Business Case'!F13*$D506-'Business Case'!F14*$E506))*'Business Case'!$B$7-'Business Case'!$B$8*(('Business Case'!F11*$C506*'Business Case'!F12*$B506)-('Business Case'!E11*$C506*'Business Case'!E12*$B506))-'Business Case'!F15*$F506</f>
        <v>788270609.796243</v>
      </c>
      <c r="M506" s="53" t="n">
        <f aca="false">(('Business Case'!G11*$C506*'Business Case'!G12*$B506)-'Business Case'!G11*$C506*'Business Case'!G13*$D506-'Business Case'!G14*$E506)-MAX(0,(('Business Case'!G11*$C506*'Business Case'!G12*$B506)-'Business Case'!G11*$C506*'Business Case'!G13*$D506-'Business Case'!G14*$E506))*'Business Case'!$B$7-'Business Case'!$B$8*(('Business Case'!G11*$C506*'Business Case'!G12*$B506)-('Business Case'!F11*$C506*'Business Case'!F12*$B506))-'Business Case'!G15*$F506+'Business Case'!$B$8*('Business Case'!G11*$C506*'Business Case'!G12*$B506)</f>
        <v>970938783.985464</v>
      </c>
      <c r="N506" s="53" t="n">
        <f aca="false">IF(COUNT('Business Case'!B11:G11)=0,"",H506+NPV(G506,I506:M506))</f>
        <v>-144783520.672541</v>
      </c>
      <c r="P506" s="54" t="n">
        <f aca="true">RAND()</f>
        <v>0.735186933263759</v>
      </c>
      <c r="Q506" s="54" t="n">
        <f aca="true">RAND()</f>
        <v>0.351442335794456</v>
      </c>
      <c r="R506" s="54" t="n">
        <f aca="true">RAND()</f>
        <v>0.347238597896335</v>
      </c>
      <c r="S506" s="54" t="n">
        <f aca="true">RAND()</f>
        <v>0.176272634202699</v>
      </c>
      <c r="T506" s="54" t="n">
        <f aca="true">RAND()</f>
        <v>0.191541195216603</v>
      </c>
      <c r="U506" s="54" t="n">
        <f aca="true">RAND()</f>
        <v>0.70045364428374</v>
      </c>
    </row>
    <row r="507" customFormat="false" ht="15" hidden="false" customHeight="false" outlineLevel="0" collapsed="false">
      <c r="A507" s="50" t="n">
        <v>427</v>
      </c>
      <c r="B507" s="51" t="n">
        <f aca="false">1+IF($G$6=$E$6,$F$6,IF(P507&lt;($F$6-$E$6)/($G$6-$E$6),$E$6+SQRT(P507*($G$6-$E$6)*($F$6-$E$6)),$G$6-SQRT((1-P507)*($G$6-$E$6)*($G$6-$F$6))))</f>
        <v>0.955559979825935</v>
      </c>
      <c r="C507" s="51" t="n">
        <f aca="false">1+IF($G$7=$E$7,$F$7,IF(Q507&lt;($F$7-$E$7)/($G$7-$E$7),$E$7+SQRT(Q507*($G$7-$E$7)*($F$7-$E$7)),$G$7-SQRT((1-Q507)*($G$7-$E$7)*($G$7-$F$7))))</f>
        <v>0.86454216082251</v>
      </c>
      <c r="D507" s="51" t="n">
        <f aca="false">1+IF($G$8=$E$8,$F$8,IF(R507&lt;($F$8-$E$8)/($G$8-$E$8),$E$8+SQRT(R507*($G$8-$E$8)*($F$8-$E$8)),$G$8-SQRT((1-R507)*($G$8-$E$8)*($G$8-$F$8))))</f>
        <v>1.06785115288478</v>
      </c>
      <c r="E507" s="51" t="n">
        <f aca="false">1+IF($G$9=$E$9,$F$9,IF(S507&lt;($F$9-$E$9)/($G$9-$E$9),$E$9+SQRT(S507*($G$9-$E$9)*($F$9-$E$9)),$G$9-SQRT((1-S507)*($G$9-$E$9)*($G$9-$F$9))))</f>
        <v>1.04105044328141</v>
      </c>
      <c r="F507" s="51" t="n">
        <f aca="false">1+IF($G$10=$E$10,$F$10,IF(T507&lt;($F$10-$E$10)/($G$10-$E$10),$E$10+SQRT(T507*($G$10-$E$10)*($F$10-$E$10)),$G$10-SQRT((1-T507)*($G$10-$E$10)*($G$10-$F$10))))</f>
        <v>1.0704757260966</v>
      </c>
      <c r="G507" s="52" t="n">
        <f aca="false">IF($G$11=$E$11,$F$11,IF(U507&lt;($F$11-$E$11)/($G$11-$E$11),$E$11+SQRT(U507*($G$11-$E$11)*($F$11-$E$11)),$G$11-SQRT((1-U507)*($G$11-$E$11)*($G$11-$F$11))))</f>
        <v>0.111000735734718</v>
      </c>
      <c r="H507" s="53" t="n">
        <f aca="false">(('Business Case'!B11*$C507*'Business Case'!B12*$B507)-'Business Case'!B11*$C507*'Business Case'!B13*$D507-'Business Case'!B14*$E507)-MAX(0,(('Business Case'!B11*$C507*'Business Case'!B12*$B507)-'Business Case'!B11*$C507*'Business Case'!B13*$D507-'Business Case'!B14*$E507))*'Business Case'!$B$7-'Business Case'!$B$8*('Business Case'!B11*$C507*'Business Case'!B12*$B507)-'Business Case'!B15*$F507</f>
        <v>-2140951452.19321</v>
      </c>
      <c r="I507" s="53" t="n">
        <f aca="false">(('Business Case'!C11*$C507*'Business Case'!C12*$B507)-'Business Case'!C11*$C507*'Business Case'!C13*$D507-'Business Case'!C14*$E507)-MAX(0,(('Business Case'!C11*$C507*'Business Case'!C12*$B507)-'Business Case'!C11*$C507*'Business Case'!C13*$D507-'Business Case'!C14*$E507))*'Business Case'!$B$7-'Business Case'!$B$8*(('Business Case'!C11*$C507*'Business Case'!C12*$B507)-('Business Case'!B11*$C507*'Business Case'!B12*$B507))-'Business Case'!C15*$F507</f>
        <v>-93863539.4306382</v>
      </c>
      <c r="J507" s="53" t="n">
        <f aca="false">(('Business Case'!D11*$C507*'Business Case'!D12*$B507)-'Business Case'!D11*$C507*'Business Case'!D13*$D507-'Business Case'!D14*$E507)-MAX(0,(('Business Case'!D11*$C507*'Business Case'!D12*$B507)-'Business Case'!D11*$C507*'Business Case'!D13*$D507-'Business Case'!D14*$E507))*'Business Case'!$B$7-'Business Case'!$B$8*(('Business Case'!D11*$C507*'Business Case'!D12*$B507)-('Business Case'!C11*$C507*'Business Case'!C12*$B507))-'Business Case'!D15*$F507</f>
        <v>110184025.54786</v>
      </c>
      <c r="K507" s="53" t="n">
        <f aca="false">(('Business Case'!E11*$C507*'Business Case'!E12*$B507)-'Business Case'!E11*$C507*'Business Case'!E13*$D507-'Business Case'!E14*$E507)-MAX(0,(('Business Case'!E11*$C507*'Business Case'!E12*$B507)-'Business Case'!E11*$C507*'Business Case'!E13*$D507-'Business Case'!E14*$E507))*'Business Case'!$B$7-'Business Case'!$B$8*(('Business Case'!E11*$C507*'Business Case'!E12*$B507)-('Business Case'!D11*$C507*'Business Case'!D12*$B507))-'Business Case'!E15*$F507</f>
        <v>367755376.831188</v>
      </c>
      <c r="L507" s="53" t="n">
        <f aca="false">(('Business Case'!F11*$C507*'Business Case'!F12*$B507)-'Business Case'!F11*$C507*'Business Case'!F13*$D507-'Business Case'!F14*$E507)-MAX(0,(('Business Case'!F11*$C507*'Business Case'!F12*$B507)-'Business Case'!F11*$C507*'Business Case'!F13*$D507-'Business Case'!F14*$E507))*'Business Case'!$B$7-'Business Case'!$B$8*(('Business Case'!F11*$C507*'Business Case'!F12*$B507)-('Business Case'!E11*$C507*'Business Case'!E12*$B507))-'Business Case'!F15*$F507</f>
        <v>464322004.333926</v>
      </c>
      <c r="M507" s="53" t="n">
        <f aca="false">(('Business Case'!G11*$C507*'Business Case'!G12*$B507)-'Business Case'!G11*$C507*'Business Case'!G13*$D507-'Business Case'!G14*$E507)-MAX(0,(('Business Case'!G11*$C507*'Business Case'!G12*$B507)-'Business Case'!G11*$C507*'Business Case'!G13*$D507-'Business Case'!G14*$E507))*'Business Case'!$B$7-'Business Case'!$B$8*(('Business Case'!G11*$C507*'Business Case'!G12*$B507)-('Business Case'!F11*$C507*'Business Case'!F12*$B507))-'Business Case'!G15*$F507+'Business Case'!$B$8*('Business Case'!G11*$C507*'Business Case'!G12*$B507)</f>
        <v>621351253.13841</v>
      </c>
      <c r="N507" s="53" t="n">
        <f aca="false">IF(COUNT('Business Case'!B11:G11)=0,"",H507+NPV(G507,I507:M507))</f>
        <v>-1196149915.43049</v>
      </c>
      <c r="P507" s="54" t="n">
        <f aca="true">RAND()</f>
        <v>0.13172001721051</v>
      </c>
      <c r="Q507" s="54" t="n">
        <f aca="true">RAND()</f>
        <v>0.0595098646234103</v>
      </c>
      <c r="R507" s="54" t="n">
        <f aca="true">RAND()</f>
        <v>0.985808222477978</v>
      </c>
      <c r="S507" s="54" t="n">
        <f aca="true">RAND()</f>
        <v>0.768329984178776</v>
      </c>
      <c r="T507" s="54" t="n">
        <f aca="true">RAND()</f>
        <v>0.664469249395964</v>
      </c>
      <c r="U507" s="54" t="n">
        <f aca="true">RAND()</f>
        <v>0.865022071139369</v>
      </c>
    </row>
    <row r="508" customFormat="false" ht="15" hidden="false" customHeight="false" outlineLevel="0" collapsed="false">
      <c r="A508" s="50" t="n">
        <v>428</v>
      </c>
      <c r="B508" s="51" t="n">
        <f aca="false">1+IF($G$6=$E$6,$F$6,IF(P508&lt;($F$6-$E$6)/($G$6-$E$6),$E$6+SQRT(P508*($G$6-$E$6)*($F$6-$E$6)),$G$6-SQRT((1-P508)*($G$6-$E$6)*($G$6-$F$6))))</f>
        <v>1.01765008196419</v>
      </c>
      <c r="C508" s="51" t="n">
        <f aca="false">1+IF($G$7=$E$7,$F$7,IF(Q508&lt;($F$7-$E$7)/($G$7-$E$7),$E$7+SQRT(Q508*($G$7-$E$7)*($F$7-$E$7)),$G$7-SQRT((1-Q508)*($G$7-$E$7)*($G$7-$F$7))))</f>
        <v>0.884230393255109</v>
      </c>
      <c r="D508" s="51" t="n">
        <f aca="false">1+IF($G$8=$E$8,$F$8,IF(R508&lt;($F$8-$E$8)/($G$8-$E$8),$E$8+SQRT(R508*($G$8-$E$8)*($F$8-$E$8)),$G$8-SQRT((1-R508)*($G$8-$E$8)*($G$8-$F$8))))</f>
        <v>1.01424589510834</v>
      </c>
      <c r="E508" s="51" t="n">
        <f aca="false">1+IF($G$9=$E$9,$F$9,IF(S508&lt;($F$9-$E$9)/($G$9-$E$9),$E$9+SQRT(S508*($G$9-$E$9)*($F$9-$E$9)),$G$9-SQRT((1-S508)*($G$9-$E$9)*($G$9-$F$9))))</f>
        <v>1.08629665950331</v>
      </c>
      <c r="F508" s="51" t="n">
        <f aca="false">1+IF($G$10=$E$10,$F$10,IF(T508&lt;($F$10-$E$10)/($G$10-$E$10),$E$10+SQRT(T508*($G$10-$E$10)*($F$10-$E$10)),$G$10-SQRT((1-T508)*($G$10-$E$10)*($G$10-$F$10))))</f>
        <v>1.15012718051316</v>
      </c>
      <c r="G508" s="52" t="n">
        <f aca="false">IF($G$11=$E$11,$F$11,IF(U508&lt;($F$11-$E$11)/($G$11-$E$11),$E$11+SQRT(U508*($G$11-$E$11)*($F$11-$E$11)),$G$11-SQRT((1-U508)*($G$11-$E$11)*($G$11-$F$11))))</f>
        <v>0.113066992290524</v>
      </c>
      <c r="H508" s="53" t="n">
        <f aca="false">(('Business Case'!B11*$C508*'Business Case'!B12*$B508)-'Business Case'!B11*$C508*'Business Case'!B13*$D508-'Business Case'!B14*$E508)-MAX(0,(('Business Case'!B11*$C508*'Business Case'!B12*$B508)-'Business Case'!B11*$C508*'Business Case'!B13*$D508-'Business Case'!B14*$E508))*'Business Case'!$B$7-'Business Case'!$B$8*('Business Case'!B11*$C508*'Business Case'!B12*$B508)-'Business Case'!B15*$F508</f>
        <v>-2300254361.02632</v>
      </c>
      <c r="I508" s="53" t="n">
        <f aca="false">(('Business Case'!C11*$C508*'Business Case'!C12*$B508)-'Business Case'!C11*$C508*'Business Case'!C13*$D508-'Business Case'!C14*$E508)-MAX(0,(('Business Case'!C11*$C508*'Business Case'!C12*$B508)-'Business Case'!C11*$C508*'Business Case'!C13*$D508-'Business Case'!C14*$E508))*'Business Case'!$B$7-'Business Case'!$B$8*(('Business Case'!C11*$C508*'Business Case'!C12*$B508)-('Business Case'!B11*$C508*'Business Case'!B12*$B508))-'Business Case'!C15*$F508</f>
        <v>-38203962.1836941</v>
      </c>
      <c r="J508" s="53" t="n">
        <f aca="false">(('Business Case'!D11*$C508*'Business Case'!D12*$B508)-'Business Case'!D11*$C508*'Business Case'!D13*$D508-'Business Case'!D14*$E508)-MAX(0,(('Business Case'!D11*$C508*'Business Case'!D12*$B508)-'Business Case'!D11*$C508*'Business Case'!D13*$D508-'Business Case'!D14*$E508))*'Business Case'!$B$7-'Business Case'!$B$8*(('Business Case'!D11*$C508*'Business Case'!D12*$B508)-('Business Case'!C11*$C508*'Business Case'!C12*$B508))-'Business Case'!D15*$F508</f>
        <v>239723735.597058</v>
      </c>
      <c r="K508" s="53" t="n">
        <f aca="false">(('Business Case'!E11*$C508*'Business Case'!E12*$B508)-'Business Case'!E11*$C508*'Business Case'!E13*$D508-'Business Case'!E14*$E508)-MAX(0,(('Business Case'!E11*$C508*'Business Case'!E12*$B508)-'Business Case'!E11*$C508*'Business Case'!E13*$D508-'Business Case'!E14*$E508))*'Business Case'!$B$7-'Business Case'!$B$8*(('Business Case'!E11*$C508*'Business Case'!E12*$B508)-('Business Case'!D11*$C508*'Business Case'!D12*$B508))-'Business Case'!E15*$F508</f>
        <v>575157792.403467</v>
      </c>
      <c r="L508" s="53" t="n">
        <f aca="false">(('Business Case'!F11*$C508*'Business Case'!F12*$B508)-'Business Case'!F11*$C508*'Business Case'!F13*$D508-'Business Case'!F14*$E508)-MAX(0,(('Business Case'!F11*$C508*'Business Case'!F12*$B508)-'Business Case'!F11*$C508*'Business Case'!F13*$D508-'Business Case'!F14*$E508))*'Business Case'!$B$7-'Business Case'!$B$8*(('Business Case'!F11*$C508*'Business Case'!F12*$B508)-('Business Case'!E11*$C508*'Business Case'!E12*$B508))-'Business Case'!F15*$F508</f>
        <v>698898729.618225</v>
      </c>
      <c r="M508" s="53" t="n">
        <f aca="false">(('Business Case'!G11*$C508*'Business Case'!G12*$B508)-'Business Case'!G11*$C508*'Business Case'!G13*$D508-'Business Case'!G14*$E508)-MAX(0,(('Business Case'!G11*$C508*'Business Case'!G12*$B508)-'Business Case'!G11*$C508*'Business Case'!G13*$D508-'Business Case'!G14*$E508))*'Business Case'!$B$7-'Business Case'!$B$8*(('Business Case'!G11*$C508*'Business Case'!G12*$B508)-('Business Case'!F11*$C508*'Business Case'!F12*$B508))-'Business Case'!G15*$F508+'Business Case'!$B$8*('Business Case'!G11*$C508*'Business Case'!G12*$B508)</f>
        <v>869939771.701343</v>
      </c>
      <c r="N508" s="53" t="n">
        <f aca="false">IF(COUNT('Business Case'!B11:G11)=0,"",H508+NPV(G508,I508:M508))</f>
        <v>-759473325.802165</v>
      </c>
      <c r="P508" s="54" t="n">
        <f aca="true">RAND()</f>
        <v>0.895933575790077</v>
      </c>
      <c r="Q508" s="54" t="n">
        <f aca="true">RAND()</f>
        <v>0.101353702113005</v>
      </c>
      <c r="R508" s="54" t="n">
        <f aca="true">RAND()</f>
        <v>0.584269008643917</v>
      </c>
      <c r="S508" s="54" t="n">
        <f aca="true">RAND()</f>
        <v>0.987481230615445</v>
      </c>
      <c r="T508" s="54" t="n">
        <f aca="true">RAND()</f>
        <v>0.950254037528663</v>
      </c>
      <c r="U508" s="54" t="n">
        <f aca="true">RAND()</f>
        <v>0.919889006833915</v>
      </c>
    </row>
    <row r="509" customFormat="false" ht="15" hidden="false" customHeight="false" outlineLevel="0" collapsed="false">
      <c r="A509" s="50" t="n">
        <v>429</v>
      </c>
      <c r="B509" s="51" t="n">
        <f aca="false">1+IF($G$6=$E$6,$F$6,IF(P509&lt;($F$6-$E$6)/($G$6-$E$6),$E$6+SQRT(P509*($G$6-$E$6)*($F$6-$E$6)),$G$6-SQRT((1-P509)*($G$6-$E$6)*($G$6-$F$6))))</f>
        <v>0.997458439935374</v>
      </c>
      <c r="C509" s="51" t="n">
        <f aca="false">1+IF($G$7=$E$7,$F$7,IF(Q509&lt;($F$7-$E$7)/($G$7-$E$7),$E$7+SQRT(Q509*($G$7-$E$7)*($F$7-$E$7)),$G$7-SQRT((1-Q509)*($G$7-$E$7)*($G$7-$F$7))))</f>
        <v>1.02475654795701</v>
      </c>
      <c r="D509" s="51" t="n">
        <f aca="false">1+IF($G$8=$E$8,$F$8,IF(R509&lt;($F$8-$E$8)/($G$8-$E$8),$E$8+SQRT(R509*($G$8-$E$8)*($F$8-$E$8)),$G$8-SQRT((1-R509)*($G$8-$E$8)*($G$8-$F$8))))</f>
        <v>1.01038019027535</v>
      </c>
      <c r="E509" s="51" t="n">
        <f aca="false">1+IF($G$9=$E$9,$F$9,IF(S509&lt;($F$9-$E$9)/($G$9-$E$9),$E$9+SQRT(S509*($G$9-$E$9)*($F$9-$E$9)),$G$9-SQRT((1-S509)*($G$9-$E$9)*($G$9-$F$9))))</f>
        <v>0.994522568267168</v>
      </c>
      <c r="F509" s="51" t="n">
        <f aca="false">1+IF($G$10=$E$10,$F$10,IF(T509&lt;($F$10-$E$10)/($G$10-$E$10),$E$10+SQRT(T509*($G$10-$E$10)*($F$10-$E$10)),$G$10-SQRT((1-T509)*($G$10-$E$10)*($G$10-$F$10))))</f>
        <v>1.05960796565432</v>
      </c>
      <c r="G509" s="52" t="n">
        <f aca="false">IF($G$11=$E$11,$F$11,IF(U509&lt;($F$11-$E$11)/($G$11-$E$11),$E$11+SQRT(U509*($G$11-$E$11)*($F$11-$E$11)),$G$11-SQRT((1-U509)*($G$11-$E$11)*($G$11-$F$11))))</f>
        <v>0.105137502916318</v>
      </c>
      <c r="H509" s="53" t="n">
        <f aca="false">(('Business Case'!B11*$C509*'Business Case'!B12*$B509)-'Business Case'!B11*$C509*'Business Case'!B13*$D509-'Business Case'!B14*$E509)-MAX(0,(('Business Case'!B11*$C509*'Business Case'!B12*$B509)-'Business Case'!B11*$C509*'Business Case'!B13*$D509-'Business Case'!B14*$E509))*'Business Case'!$B$7-'Business Case'!$B$8*('Business Case'!B11*$C509*'Business Case'!B12*$B509)-'Business Case'!B15*$F509</f>
        <v>-2119215931.30863</v>
      </c>
      <c r="I509" s="53" t="n">
        <f aca="false">(('Business Case'!C11*$C509*'Business Case'!C12*$B509)-'Business Case'!C11*$C509*'Business Case'!C13*$D509-'Business Case'!C14*$E509)-MAX(0,(('Business Case'!C11*$C509*'Business Case'!C12*$B509)-'Business Case'!C11*$C509*'Business Case'!C13*$D509-'Business Case'!C14*$E509))*'Business Case'!$B$7-'Business Case'!$B$8*(('Business Case'!C11*$C509*'Business Case'!C12*$B509)-('Business Case'!B11*$C509*'Business Case'!B12*$B509))-'Business Case'!C15*$F509</f>
        <v>6807118.33658628</v>
      </c>
      <c r="J509" s="53" t="n">
        <f aca="false">(('Business Case'!D11*$C509*'Business Case'!D12*$B509)-'Business Case'!D11*$C509*'Business Case'!D13*$D509-'Business Case'!D14*$E509)-MAX(0,(('Business Case'!D11*$C509*'Business Case'!D12*$B509)-'Business Case'!D11*$C509*'Business Case'!D13*$D509-'Business Case'!D14*$E509))*'Business Case'!$B$7-'Business Case'!$B$8*(('Business Case'!D11*$C509*'Business Case'!D12*$B509)-('Business Case'!C11*$C509*'Business Case'!C12*$B509))-'Business Case'!D15*$F509</f>
        <v>313984505.632589</v>
      </c>
      <c r="K509" s="53" t="n">
        <f aca="false">(('Business Case'!E11*$C509*'Business Case'!E12*$B509)-'Business Case'!E11*$C509*'Business Case'!E13*$D509-'Business Case'!E14*$E509)-MAX(0,(('Business Case'!E11*$C509*'Business Case'!E12*$B509)-'Business Case'!E11*$C509*'Business Case'!E13*$D509-'Business Case'!E14*$E509))*'Business Case'!$B$7-'Business Case'!$B$8*(('Business Case'!E11*$C509*'Business Case'!E12*$B509)-('Business Case'!D11*$C509*'Business Case'!D12*$B509))-'Business Case'!E15*$F509</f>
        <v>674142291.211307</v>
      </c>
      <c r="L509" s="53" t="n">
        <f aca="false">(('Business Case'!F11*$C509*'Business Case'!F12*$B509)-'Business Case'!F11*$C509*'Business Case'!F13*$D509-'Business Case'!F14*$E509)-MAX(0,(('Business Case'!F11*$C509*'Business Case'!F12*$B509)-'Business Case'!F11*$C509*'Business Case'!F13*$D509-'Business Case'!F14*$E509))*'Business Case'!$B$7-'Business Case'!$B$8*(('Business Case'!F11*$C509*'Business Case'!F12*$B509)-('Business Case'!E11*$C509*'Business Case'!E12*$B509))-'Business Case'!F15*$F509</f>
        <v>811860329.100904</v>
      </c>
      <c r="M509" s="53" t="n">
        <f aca="false">(('Business Case'!G11*$C509*'Business Case'!G12*$B509)-'Business Case'!G11*$C509*'Business Case'!G13*$D509-'Business Case'!G14*$E509)-MAX(0,(('Business Case'!G11*$C509*'Business Case'!G12*$B509)-'Business Case'!G11*$C509*'Business Case'!G13*$D509-'Business Case'!G14*$E509))*'Business Case'!$B$7-'Business Case'!$B$8*(('Business Case'!G11*$C509*'Business Case'!G12*$B509)-('Business Case'!F11*$C509*'Business Case'!F12*$B509))-'Business Case'!G15*$F509+'Business Case'!$B$8*('Business Case'!G11*$C509*'Business Case'!G12*$B509)</f>
        <v>1006150994.11768</v>
      </c>
      <c r="N509" s="53" t="n">
        <f aca="false">IF(COUNT('Business Case'!B11:G11)=0,"",H509+NPV(G509,I509:M509))</f>
        <v>-201884130.874632</v>
      </c>
      <c r="P509" s="54" t="n">
        <f aca="true">RAND()</f>
        <v>0.624980199710625</v>
      </c>
      <c r="Q509" s="54" t="n">
        <f aca="true">RAND()</f>
        <v>0.701220528006774</v>
      </c>
      <c r="R509" s="54" t="n">
        <f aca="true">RAND()</f>
        <v>0.533950201336837</v>
      </c>
      <c r="S509" s="54" t="n">
        <f aca="true">RAND()</f>
        <v>0.264301211347282</v>
      </c>
      <c r="T509" s="54" t="n">
        <f aca="true">RAND()</f>
        <v>0.605801533845609</v>
      </c>
      <c r="U509" s="54" t="n">
        <f aca="true">RAND()</f>
        <v>0.631843634062591</v>
      </c>
    </row>
    <row r="510" customFormat="false" ht="15" hidden="false" customHeight="false" outlineLevel="0" collapsed="false">
      <c r="A510" s="50" t="n">
        <v>430</v>
      </c>
      <c r="B510" s="51" t="n">
        <f aca="false">1+IF($G$6=$E$6,$F$6,IF(P510&lt;($F$6-$E$6)/($G$6-$E$6),$E$6+SQRT(P510*($G$6-$E$6)*($F$6-$E$6)),$G$6-SQRT((1-P510)*($G$6-$E$6)*($G$6-$F$6))))</f>
        <v>0.960304443664975</v>
      </c>
      <c r="C510" s="51" t="n">
        <f aca="false">1+IF($G$7=$E$7,$F$7,IF(Q510&lt;($F$7-$E$7)/($G$7-$E$7),$E$7+SQRT(Q510*($G$7-$E$7)*($F$7-$E$7)),$G$7-SQRT((1-Q510)*($G$7-$E$7)*($G$7-$F$7))))</f>
        <v>0.931975985457352</v>
      </c>
      <c r="D510" s="51" t="n">
        <f aca="false">1+IF($G$8=$E$8,$F$8,IF(R510&lt;($F$8-$E$8)/($G$8-$E$8),$E$8+SQRT(R510*($G$8-$E$8)*($F$8-$E$8)),$G$8-SQRT((1-R510)*($G$8-$E$8)*($G$8-$F$8))))</f>
        <v>1.04513432677084</v>
      </c>
      <c r="E510" s="51" t="n">
        <f aca="false">1+IF($G$9=$E$9,$F$9,IF(S510&lt;($F$9-$E$9)/($G$9-$E$9),$E$9+SQRT(S510*($G$9-$E$9)*($F$9-$E$9)),$G$9-SQRT((1-S510)*($G$9-$E$9)*($G$9-$F$9))))</f>
        <v>1.08937202788148</v>
      </c>
      <c r="F510" s="51" t="n">
        <f aca="false">1+IF($G$10=$E$10,$F$10,IF(T510&lt;($F$10-$E$10)/($G$10-$E$10),$E$10+SQRT(T510*($G$10-$E$10)*($F$10-$E$10)),$G$10-SQRT((1-T510)*($G$10-$E$10)*($G$10-$F$10))))</f>
        <v>1.0920691912268</v>
      </c>
      <c r="G510" s="52" t="n">
        <f aca="false">IF($G$11=$E$11,$F$11,IF(U510&lt;($F$11-$E$11)/($G$11-$E$11),$E$11+SQRT(U510*($G$11-$E$11)*($F$11-$E$11)),$G$11-SQRT((1-U510)*($G$11-$E$11)*($G$11-$F$11))))</f>
        <v>0.109818455836439</v>
      </c>
      <c r="H510" s="53" t="n">
        <f aca="false">(('Business Case'!B11*$C510*'Business Case'!B12*$B510)-'Business Case'!B11*$C510*'Business Case'!B13*$D510-'Business Case'!B14*$E510)-MAX(0,(('Business Case'!B11*$C510*'Business Case'!B12*$B510)-'Business Case'!B11*$C510*'Business Case'!B13*$D510-'Business Case'!B14*$E510))*'Business Case'!$B$7-'Business Case'!$B$8*('Business Case'!B11*$C510*'Business Case'!B12*$B510)-'Business Case'!B15*$F510</f>
        <v>-2184138382.4536</v>
      </c>
      <c r="I510" s="53" t="n">
        <f aca="false">(('Business Case'!C11*$C510*'Business Case'!C12*$B510)-'Business Case'!C11*$C510*'Business Case'!C13*$D510-'Business Case'!C14*$E510)-MAX(0,(('Business Case'!C11*$C510*'Business Case'!C12*$B510)-'Business Case'!C11*$C510*'Business Case'!C13*$D510-'Business Case'!C14*$E510))*'Business Case'!$B$7-'Business Case'!$B$8*(('Business Case'!C11*$C510*'Business Case'!C12*$B510)-('Business Case'!B11*$C510*'Business Case'!B12*$B510))-'Business Case'!C15*$F510</f>
        <v>-76088409.223786</v>
      </c>
      <c r="J510" s="53" t="n">
        <f aca="false">(('Business Case'!D11*$C510*'Business Case'!D12*$B510)-'Business Case'!D11*$C510*'Business Case'!D13*$D510-'Business Case'!D14*$E510)-MAX(0,(('Business Case'!D11*$C510*'Business Case'!D12*$B510)-'Business Case'!D11*$C510*'Business Case'!D13*$D510-'Business Case'!D14*$E510))*'Business Case'!$B$7-'Business Case'!$B$8*(('Business Case'!D11*$C510*'Business Case'!D12*$B510)-('Business Case'!C11*$C510*'Business Case'!C12*$B510))-'Business Case'!D15*$F510</f>
        <v>158334601.502653</v>
      </c>
      <c r="K510" s="53" t="n">
        <f aca="false">(('Business Case'!E11*$C510*'Business Case'!E12*$B510)-'Business Case'!E11*$C510*'Business Case'!E13*$D510-'Business Case'!E14*$E510)-MAX(0,(('Business Case'!E11*$C510*'Business Case'!E12*$B510)-'Business Case'!E11*$C510*'Business Case'!E13*$D510-'Business Case'!E14*$E510))*'Business Case'!$B$7-'Business Case'!$B$8*(('Business Case'!E11*$C510*'Business Case'!E12*$B510)-('Business Case'!D11*$C510*'Business Case'!D12*$B510))-'Business Case'!E15*$F510</f>
        <v>447361071.790432</v>
      </c>
      <c r="L510" s="53" t="n">
        <f aca="false">(('Business Case'!F11*$C510*'Business Case'!F12*$B510)-'Business Case'!F11*$C510*'Business Case'!F13*$D510-'Business Case'!F14*$E510)-MAX(0,(('Business Case'!F11*$C510*'Business Case'!F12*$B510)-'Business Case'!F11*$C510*'Business Case'!F13*$D510-'Business Case'!F14*$E510))*'Business Case'!$B$7-'Business Case'!$B$8*(('Business Case'!F11*$C510*'Business Case'!F12*$B510)-('Business Case'!E11*$C510*'Business Case'!E12*$B510))-'Business Case'!F15*$F510</f>
        <v>556432607.674445</v>
      </c>
      <c r="M510" s="53" t="n">
        <f aca="false">(('Business Case'!G11*$C510*'Business Case'!G12*$B510)-'Business Case'!G11*$C510*'Business Case'!G13*$D510-'Business Case'!G14*$E510)-MAX(0,(('Business Case'!G11*$C510*'Business Case'!G12*$B510)-'Business Case'!G11*$C510*'Business Case'!G13*$D510-'Business Case'!G14*$E510))*'Business Case'!$B$7-'Business Case'!$B$8*(('Business Case'!G11*$C510*'Business Case'!G12*$B510)-('Business Case'!F11*$C510*'Business Case'!F12*$B510))-'Business Case'!G15*$F510+'Business Case'!$B$8*('Business Case'!G11*$C510*'Business Case'!G12*$B510)</f>
        <v>726550535.371373</v>
      </c>
      <c r="N510" s="53" t="n">
        <f aca="false">IF(COUNT('Business Case'!B11:G11)=0,"",H510+NPV(G510,I510:M510))</f>
        <v>-998576202.517154</v>
      </c>
      <c r="P510" s="54" t="n">
        <f aca="true">RAND()</f>
        <v>0.169213351994081</v>
      </c>
      <c r="Q510" s="54" t="n">
        <f aca="true">RAND()</f>
        <v>0.248823724820561</v>
      </c>
      <c r="R510" s="54" t="n">
        <f aca="true">RAND()</f>
        <v>0.883113925988207</v>
      </c>
      <c r="S510" s="54" t="n">
        <f aca="true">RAND()</f>
        <v>0.992469747243196</v>
      </c>
      <c r="T510" s="54" t="n">
        <f aca="true">RAND()</f>
        <v>0.767018810351258</v>
      </c>
      <c r="U510" s="54" t="n">
        <f aca="true">RAND()</f>
        <v>0.827226930742441</v>
      </c>
    </row>
    <row r="511" customFormat="false" ht="15" hidden="false" customHeight="false" outlineLevel="0" collapsed="false">
      <c r="A511" s="50" t="n">
        <v>431</v>
      </c>
      <c r="B511" s="51" t="n">
        <f aca="false">1+IF($G$6=$E$6,$F$6,IF(P511&lt;($F$6-$E$6)/($G$6-$E$6),$E$6+SQRT(P511*($G$6-$E$6)*($F$6-$E$6)),$G$6-SQRT((1-P511)*($G$6-$E$6)*($G$6-$F$6))))</f>
        <v>0.963460748358397</v>
      </c>
      <c r="C511" s="51" t="n">
        <f aca="false">1+IF($G$7=$E$7,$F$7,IF(Q511&lt;($F$7-$E$7)/($G$7-$E$7),$E$7+SQRT(Q511*($G$7-$E$7)*($F$7-$E$7)),$G$7-SQRT((1-Q511)*($G$7-$E$7)*($G$7-$F$7))))</f>
        <v>0.867663516084487</v>
      </c>
      <c r="D511" s="51" t="n">
        <f aca="false">1+IF($G$8=$E$8,$F$8,IF(R511&lt;($F$8-$E$8)/($G$8-$E$8),$E$8+SQRT(R511*($G$8-$E$8)*($F$8-$E$8)),$G$8-SQRT((1-R511)*($G$8-$E$8)*($G$8-$F$8))))</f>
        <v>0.998380499639836</v>
      </c>
      <c r="E511" s="51" t="n">
        <f aca="false">1+IF($G$9=$E$9,$F$9,IF(S511&lt;($F$9-$E$9)/($G$9-$E$9),$E$9+SQRT(S511*($G$9-$E$9)*($F$9-$E$9)),$G$9-SQRT((1-S511)*($G$9-$E$9)*($G$9-$F$9))))</f>
        <v>1.02851683965086</v>
      </c>
      <c r="F511" s="51" t="n">
        <f aca="false">1+IF($G$10=$E$10,$F$10,IF(T511&lt;($F$10-$E$10)/($G$10-$E$10),$E$10+SQRT(T511*($G$10-$E$10)*($F$10-$E$10)),$G$10-SQRT((1-T511)*($G$10-$E$10)*($G$10-$F$10))))</f>
        <v>1.00290654534715</v>
      </c>
      <c r="G511" s="52" t="n">
        <f aca="false">IF($G$11=$E$11,$F$11,IF(U511&lt;($F$11-$E$11)/($G$11-$E$11),$E$11+SQRT(U511*($G$11-$E$11)*($F$11-$E$11)),$G$11-SQRT((1-U511)*($G$11-$E$11)*($G$11-$F$11))))</f>
        <v>0.105638638362164</v>
      </c>
      <c r="H511" s="53" t="n">
        <f aca="false">(('Business Case'!B11*$C511*'Business Case'!B12*$B511)-'Business Case'!B11*$C511*'Business Case'!B13*$D511-'Business Case'!B14*$E511)-MAX(0,(('Business Case'!B11*$C511*'Business Case'!B12*$B511)-'Business Case'!B11*$C511*'Business Case'!B13*$D511-'Business Case'!B14*$E511))*'Business Case'!$B$7-'Business Case'!$B$8*('Business Case'!B11*$C511*'Business Case'!B12*$B511)-'Business Case'!B15*$F511</f>
        <v>-2005813090.6943</v>
      </c>
      <c r="I511" s="53" t="n">
        <f aca="false">(('Business Case'!C11*$C511*'Business Case'!C12*$B511)-'Business Case'!C11*$C511*'Business Case'!C13*$D511-'Business Case'!C14*$E511)-MAX(0,(('Business Case'!C11*$C511*'Business Case'!C12*$B511)-'Business Case'!C11*$C511*'Business Case'!C13*$D511-'Business Case'!C14*$E511))*'Business Case'!$B$7-'Business Case'!$B$8*(('Business Case'!C11*$C511*'Business Case'!C12*$B511)-('Business Case'!B11*$C511*'Business Case'!B12*$B511))-'Business Case'!C15*$F511</f>
        <v>-48625652.1902842</v>
      </c>
      <c r="J511" s="53" t="n">
        <f aca="false">(('Business Case'!D11*$C511*'Business Case'!D12*$B511)-'Business Case'!D11*$C511*'Business Case'!D13*$D511-'Business Case'!D14*$E511)-MAX(0,(('Business Case'!D11*$C511*'Business Case'!D12*$B511)-'Business Case'!D11*$C511*'Business Case'!D13*$D511-'Business Case'!D14*$E511))*'Business Case'!$B$7-'Business Case'!$B$8*(('Business Case'!D11*$C511*'Business Case'!D12*$B511)-('Business Case'!C11*$C511*'Business Case'!C12*$B511))-'Business Case'!D15*$F511</f>
        <v>192630597.701576</v>
      </c>
      <c r="K511" s="53" t="n">
        <f aca="false">(('Business Case'!E11*$C511*'Business Case'!E12*$B511)-'Business Case'!E11*$C511*'Business Case'!E13*$D511-'Business Case'!E14*$E511)-MAX(0,(('Business Case'!E11*$C511*'Business Case'!E12*$B511)-'Business Case'!E11*$C511*'Business Case'!E13*$D511-'Business Case'!E14*$E511))*'Business Case'!$B$7-'Business Case'!$B$8*(('Business Case'!E11*$C511*'Business Case'!E12*$B511)-('Business Case'!D11*$C511*'Business Case'!D12*$B511))-'Business Case'!E15*$F511</f>
        <v>484032174.860793</v>
      </c>
      <c r="L511" s="53" t="n">
        <f aca="false">(('Business Case'!F11*$C511*'Business Case'!F12*$B511)-'Business Case'!F11*$C511*'Business Case'!F13*$D511-'Business Case'!F14*$E511)-MAX(0,(('Business Case'!F11*$C511*'Business Case'!F12*$B511)-'Business Case'!F11*$C511*'Business Case'!F13*$D511-'Business Case'!F14*$E511))*'Business Case'!$B$7-'Business Case'!$B$8*(('Business Case'!F11*$C511*'Business Case'!F12*$B511)-('Business Case'!E11*$C511*'Business Case'!E12*$B511))-'Business Case'!F15*$F511</f>
        <v>593341693.457465</v>
      </c>
      <c r="M511" s="53" t="n">
        <f aca="false">(('Business Case'!G11*$C511*'Business Case'!G12*$B511)-'Business Case'!G11*$C511*'Business Case'!G13*$D511-'Business Case'!G14*$E511)-MAX(0,(('Business Case'!G11*$C511*'Business Case'!G12*$B511)-'Business Case'!G11*$C511*'Business Case'!G13*$D511-'Business Case'!G14*$E511))*'Business Case'!$B$7-'Business Case'!$B$8*(('Business Case'!G11*$C511*'Business Case'!G12*$B511)-('Business Case'!F11*$C511*'Business Case'!F12*$B511))-'Business Case'!G15*$F511+'Business Case'!$B$8*('Business Case'!G11*$C511*'Business Case'!G12*$B511)</f>
        <v>752240920.937414</v>
      </c>
      <c r="N511" s="53" t="n">
        <f aca="false">IF(COUNT('Business Case'!B11:G11)=0,"",H511+NPV(G511,I511:M511))</f>
        <v>-681739432.734077</v>
      </c>
      <c r="P511" s="54" t="n">
        <f aca="true">RAND()</f>
        <v>0.196753817486652</v>
      </c>
      <c r="Q511" s="54" t="n">
        <f aca="true">RAND()</f>
        <v>0.0654050201273661</v>
      </c>
      <c r="R511" s="54" t="n">
        <f aca="true">RAND()</f>
        <v>0.360103499292329</v>
      </c>
      <c r="S511" s="54" t="n">
        <f aca="true">RAND()</f>
        <v>0.659343852433246</v>
      </c>
      <c r="T511" s="54" t="n">
        <f aca="true">RAND()</f>
        <v>0.223083402660101</v>
      </c>
      <c r="U511" s="54" t="n">
        <f aca="true">RAND()</f>
        <v>0.656252153178838</v>
      </c>
    </row>
    <row r="512" customFormat="false" ht="15" hidden="false" customHeight="false" outlineLevel="0" collapsed="false">
      <c r="A512" s="50" t="n">
        <v>432</v>
      </c>
      <c r="B512" s="51" t="n">
        <f aca="false">1+IF($G$6=$E$6,$F$6,IF(P512&lt;($F$6-$E$6)/($G$6-$E$6),$E$6+SQRT(P512*($G$6-$E$6)*($F$6-$E$6)),$G$6-SQRT((1-P512)*($G$6-$E$6)*($G$6-$F$6))))</f>
        <v>0.970187288195289</v>
      </c>
      <c r="C512" s="51" t="n">
        <f aca="false">1+IF($G$7=$E$7,$F$7,IF(Q512&lt;($F$7-$E$7)/($G$7-$E$7),$E$7+SQRT(Q512*($G$7-$E$7)*($F$7-$E$7)),$G$7-SQRT((1-Q512)*($G$7-$E$7)*($G$7-$F$7))))</f>
        <v>0.987370618061941</v>
      </c>
      <c r="D512" s="51" t="n">
        <f aca="false">1+IF($G$8=$E$8,$F$8,IF(R512&lt;($F$8-$E$8)/($G$8-$E$8),$E$8+SQRT(R512*($G$8-$E$8)*($F$8-$E$8)),$G$8-SQRT((1-R512)*($G$8-$E$8)*($G$8-$F$8))))</f>
        <v>1.03985354514296</v>
      </c>
      <c r="E512" s="51" t="n">
        <f aca="false">1+IF($G$9=$E$9,$F$9,IF(S512&lt;($F$9-$E$9)/($G$9-$E$9),$E$9+SQRT(S512*($G$9-$E$9)*($F$9-$E$9)),$G$9-SQRT((1-S512)*($G$9-$E$9)*($G$9-$F$9))))</f>
        <v>0.974017046050342</v>
      </c>
      <c r="F512" s="51" t="n">
        <f aca="false">1+IF($G$10=$E$10,$F$10,IF(T512&lt;($F$10-$E$10)/($G$10-$E$10),$E$10+SQRT(T512*($G$10-$E$10)*($F$10-$E$10)),$G$10-SQRT((1-T512)*($G$10-$E$10)*($G$10-$F$10))))</f>
        <v>0.980737203299018</v>
      </c>
      <c r="G512" s="52" t="n">
        <f aca="false">IF($G$11=$E$11,$F$11,IF(U512&lt;($F$11-$E$11)/($G$11-$E$11),$E$11+SQRT(U512*($G$11-$E$11)*($F$11-$E$11)),$G$11-SQRT((1-U512)*($G$11-$E$11)*($G$11-$F$11))))</f>
        <v>0.100284913087653</v>
      </c>
      <c r="H512" s="53" t="n">
        <f aca="false">(('Business Case'!B11*$C512*'Business Case'!B12*$B512)-'Business Case'!B11*$C512*'Business Case'!B13*$D512-'Business Case'!B14*$E512)-MAX(0,(('Business Case'!B11*$C512*'Business Case'!B12*$B512)-'Business Case'!B11*$C512*'Business Case'!B13*$D512-'Business Case'!B14*$E512))*'Business Case'!$B$7-'Business Case'!$B$8*('Business Case'!B11*$C512*'Business Case'!B12*$B512)-'Business Case'!B15*$F512</f>
        <v>-1961474406.59804</v>
      </c>
      <c r="I512" s="53" t="n">
        <f aca="false">(('Business Case'!C11*$C512*'Business Case'!C12*$B512)-'Business Case'!C11*$C512*'Business Case'!C13*$D512-'Business Case'!C14*$E512)-MAX(0,(('Business Case'!C11*$C512*'Business Case'!C12*$B512)-'Business Case'!C11*$C512*'Business Case'!C13*$D512-'Business Case'!C14*$E512))*'Business Case'!$B$7-'Business Case'!$B$8*(('Business Case'!C11*$C512*'Business Case'!C12*$B512)-('Business Case'!B11*$C512*'Business Case'!B12*$B512))-'Business Case'!C15*$F512</f>
        <v>-27219932.6904587</v>
      </c>
      <c r="J512" s="53" t="n">
        <f aca="false">(('Business Case'!D11*$C512*'Business Case'!D12*$B512)-'Business Case'!D11*$C512*'Business Case'!D13*$D512-'Business Case'!D14*$E512)-MAX(0,(('Business Case'!D11*$C512*'Business Case'!D12*$B512)-'Business Case'!D11*$C512*'Business Case'!D13*$D512-'Business Case'!D14*$E512))*'Business Case'!$B$7-'Business Case'!$B$8*(('Business Case'!D11*$C512*'Business Case'!D12*$B512)-('Business Case'!C11*$C512*'Business Case'!C12*$B512))-'Business Case'!D15*$F512</f>
        <v>231798399.353586</v>
      </c>
      <c r="K512" s="53" t="n">
        <f aca="false">(('Business Case'!E11*$C512*'Business Case'!E12*$B512)-'Business Case'!E11*$C512*'Business Case'!E13*$D512-'Business Case'!E14*$E512)-MAX(0,(('Business Case'!E11*$C512*'Business Case'!E12*$B512)-'Business Case'!E11*$C512*'Business Case'!E13*$D512-'Business Case'!E14*$E512))*'Business Case'!$B$7-'Business Case'!$B$8*(('Business Case'!E11*$C512*'Business Case'!E12*$B512)-('Business Case'!D11*$C512*'Business Case'!D12*$B512))-'Business Case'!E15*$F512</f>
        <v>539853591.562581</v>
      </c>
      <c r="L512" s="53" t="n">
        <f aca="false">(('Business Case'!F11*$C512*'Business Case'!F12*$B512)-'Business Case'!F11*$C512*'Business Case'!F13*$D512-'Business Case'!F14*$E512)-MAX(0,(('Business Case'!F11*$C512*'Business Case'!F12*$B512)-'Business Case'!F11*$C512*'Business Case'!F13*$D512-'Business Case'!F14*$E512))*'Business Case'!$B$7-'Business Case'!$B$8*(('Business Case'!F11*$C512*'Business Case'!F12*$B512)-('Business Case'!E11*$C512*'Business Case'!E12*$B512))-'Business Case'!F15*$F512</f>
        <v>659299249.214757</v>
      </c>
      <c r="M512" s="53" t="n">
        <f aca="false">(('Business Case'!G11*$C512*'Business Case'!G12*$B512)-'Business Case'!G11*$C512*'Business Case'!G13*$D512-'Business Case'!G14*$E512)-MAX(0,(('Business Case'!G11*$C512*'Business Case'!G12*$B512)-'Business Case'!G11*$C512*'Business Case'!G13*$D512-'Business Case'!G14*$E512))*'Business Case'!$B$7-'Business Case'!$B$8*(('Business Case'!G11*$C512*'Business Case'!G12*$B512)-('Business Case'!F11*$C512*'Business Case'!F12*$B512))-'Business Case'!G15*$F512+'Business Case'!$B$8*('Business Case'!G11*$C512*'Business Case'!G12*$B512)</f>
        <v>841383424.22098</v>
      </c>
      <c r="N512" s="53" t="n">
        <f aca="false">IF(COUNT('Business Case'!B11:G11)=0,"",H512+NPV(G512,I512:M512))</f>
        <v>-417857804.621265</v>
      </c>
      <c r="P512" s="54" t="n">
        <f aca="true">RAND()</f>
        <v>0.26237123920802</v>
      </c>
      <c r="Q512" s="54" t="n">
        <f aca="true">RAND()</f>
        <v>0.501539264470199</v>
      </c>
      <c r="R512" s="54" t="n">
        <f aca="true">RAND()</f>
        <v>0.845025207924187</v>
      </c>
      <c r="S512" s="54" t="n">
        <f aca="true">RAND()</f>
        <v>0.0769091334645667</v>
      </c>
      <c r="T512" s="54" t="n">
        <f aca="true">RAND()</f>
        <v>0.0755820533316151</v>
      </c>
      <c r="U512" s="54" t="n">
        <f aca="true">RAND()</f>
        <v>0.352192246731019</v>
      </c>
    </row>
    <row r="513" customFormat="false" ht="15" hidden="false" customHeight="false" outlineLevel="0" collapsed="false">
      <c r="A513" s="50" t="n">
        <v>433</v>
      </c>
      <c r="B513" s="51" t="n">
        <f aca="false">1+IF($G$6=$E$6,$F$6,IF(P513&lt;($F$6-$E$6)/($G$6-$E$6),$E$6+SQRT(P513*($G$6-$E$6)*($F$6-$E$6)),$G$6-SQRT((1-P513)*($G$6-$E$6)*($G$6-$F$6))))</f>
        <v>0.998967530869965</v>
      </c>
      <c r="C513" s="51" t="n">
        <f aca="false">1+IF($G$7=$E$7,$F$7,IF(Q513&lt;($F$7-$E$7)/($G$7-$E$7),$E$7+SQRT(Q513*($G$7-$E$7)*($F$7-$E$7)),$G$7-SQRT((1-Q513)*($G$7-$E$7)*($G$7-$F$7))))</f>
        <v>1.0745389452361</v>
      </c>
      <c r="D513" s="51" t="n">
        <f aca="false">1+IF($G$8=$E$8,$F$8,IF(R513&lt;($F$8-$E$8)/($G$8-$E$8),$E$8+SQRT(R513*($G$8-$E$8)*($F$8-$E$8)),$G$8-SQRT((1-R513)*($G$8-$E$8)*($G$8-$F$8))))</f>
        <v>1.02210302075586</v>
      </c>
      <c r="E513" s="51" t="n">
        <f aca="false">1+IF($G$9=$E$9,$F$9,IF(S513&lt;($F$9-$E$9)/($G$9-$E$9),$E$9+SQRT(S513*($G$9-$E$9)*($F$9-$E$9)),$G$9-SQRT((1-S513)*($G$9-$E$9)*($G$9-$F$9))))</f>
        <v>1.04490768331714</v>
      </c>
      <c r="F513" s="51" t="n">
        <f aca="false">1+IF($G$10=$E$10,$F$10,IF(T513&lt;($F$10-$E$10)/($G$10-$E$10),$E$10+SQRT(T513*($G$10-$E$10)*($F$10-$E$10)),$G$10-SQRT((1-T513)*($G$10-$E$10)*($G$10-$F$10))))</f>
        <v>1.07944506132998</v>
      </c>
      <c r="G513" s="52" t="n">
        <f aca="false">IF($G$11=$E$11,$F$11,IF(U513&lt;($F$11-$E$11)/($G$11-$E$11),$E$11+SQRT(U513*($G$11-$E$11)*($F$11-$E$11)),$G$11-SQRT((1-U513)*($G$11-$E$11)*($G$11-$F$11))))</f>
        <v>0.0999155996570062</v>
      </c>
      <c r="H513" s="53" t="n">
        <f aca="false">(('Business Case'!B11*$C513*'Business Case'!B12*$B513)-'Business Case'!B11*$C513*'Business Case'!B13*$D513-'Business Case'!B14*$E513)-MAX(0,(('Business Case'!B11*$C513*'Business Case'!B12*$B513)-'Business Case'!B11*$C513*'Business Case'!B13*$D513-'Business Case'!B14*$E513))*'Business Case'!$B$7-'Business Case'!$B$8*('Business Case'!B11*$C513*'Business Case'!B12*$B513)-'Business Case'!B15*$F513</f>
        <v>-2158890122.65995</v>
      </c>
      <c r="I513" s="53" t="n">
        <f aca="false">(('Business Case'!C11*$C513*'Business Case'!C12*$B513)-'Business Case'!C11*$C513*'Business Case'!C13*$D513-'Business Case'!C14*$E513)-MAX(0,(('Business Case'!C11*$C513*'Business Case'!C12*$B513)-'Business Case'!C11*$C513*'Business Case'!C13*$D513-'Business Case'!C14*$E513))*'Business Case'!$B$7-'Business Case'!$B$8*(('Business Case'!C11*$C513*'Business Case'!C12*$B513)-('Business Case'!B11*$C513*'Business Case'!B12*$B513))-'Business Case'!C15*$F513</f>
        <v>4802734.6600972</v>
      </c>
      <c r="J513" s="53" t="n">
        <f aca="false">(('Business Case'!D11*$C513*'Business Case'!D12*$B513)-'Business Case'!D11*$C513*'Business Case'!D13*$D513-'Business Case'!D14*$E513)-MAX(0,(('Business Case'!D11*$C513*'Business Case'!D12*$B513)-'Business Case'!D11*$C513*'Business Case'!D13*$D513-'Business Case'!D14*$E513))*'Business Case'!$B$7-'Business Case'!$B$8*(('Business Case'!D11*$C513*'Business Case'!D12*$B513)-('Business Case'!C11*$C513*'Business Case'!C12*$B513))-'Business Case'!D15*$F513</f>
        <v>321782434.179376</v>
      </c>
      <c r="K513" s="53" t="n">
        <f aca="false">(('Business Case'!E11*$C513*'Business Case'!E12*$B513)-'Business Case'!E11*$C513*'Business Case'!E13*$D513-'Business Case'!E14*$E513)-MAX(0,(('Business Case'!E11*$C513*'Business Case'!E12*$B513)-'Business Case'!E11*$C513*'Business Case'!E13*$D513-'Business Case'!E14*$E513))*'Business Case'!$B$7-'Business Case'!$B$8*(('Business Case'!E11*$C513*'Business Case'!E12*$B513)-('Business Case'!D11*$C513*'Business Case'!D12*$B513))-'Business Case'!E15*$F513</f>
        <v>692734386.765153</v>
      </c>
      <c r="L513" s="53" t="n">
        <f aca="false">(('Business Case'!F11*$C513*'Business Case'!F12*$B513)-'Business Case'!F11*$C513*'Business Case'!F13*$D513-'Business Case'!F14*$E513)-MAX(0,(('Business Case'!F11*$C513*'Business Case'!F12*$B513)-'Business Case'!F11*$C513*'Business Case'!F13*$D513-'Business Case'!F14*$E513))*'Business Case'!$B$7-'Business Case'!$B$8*(('Business Case'!F11*$C513*'Business Case'!F12*$B513)-('Business Case'!E11*$C513*'Business Case'!E12*$B513))-'Business Case'!F15*$F513</f>
        <v>835492010.710571</v>
      </c>
      <c r="M513" s="53" t="n">
        <f aca="false">(('Business Case'!G11*$C513*'Business Case'!G12*$B513)-'Business Case'!G11*$C513*'Business Case'!G13*$D513-'Business Case'!G14*$E513)-MAX(0,(('Business Case'!G11*$C513*'Business Case'!G12*$B513)-'Business Case'!G11*$C513*'Business Case'!G13*$D513-'Business Case'!G14*$E513))*'Business Case'!$B$7-'Business Case'!$B$8*(('Business Case'!G11*$C513*'Business Case'!G12*$B513)-('Business Case'!F11*$C513*'Business Case'!F12*$B513))-'Business Case'!G15*$F513+'Business Case'!$B$8*('Business Case'!G11*$C513*'Business Case'!G12*$B513)</f>
        <v>1039529493.29169</v>
      </c>
      <c r="N513" s="53" t="n">
        <f aca="false">IF(COUNT('Business Case'!B11:G11)=0,"",H513+NPV(G513,I513:M513))</f>
        <v>-151424369.281869</v>
      </c>
      <c r="P513" s="54" t="n">
        <f aca="true">RAND()</f>
        <v>0.649569888718627</v>
      </c>
      <c r="Q513" s="54" t="n">
        <f aca="true">RAND()</f>
        <v>0.891535794550846</v>
      </c>
      <c r="R513" s="54" t="n">
        <f aca="true">RAND()</f>
        <v>0.677686518692639</v>
      </c>
      <c r="S513" s="54" t="n">
        <f aca="true">RAND()</f>
        <v>0.797655776167679</v>
      </c>
      <c r="T513" s="54" t="n">
        <f aca="true">RAND()</f>
        <v>0.709330135245336</v>
      </c>
      <c r="U513" s="54" t="n">
        <f aca="true">RAND()</f>
        <v>0.327730388526738</v>
      </c>
    </row>
    <row r="514" customFormat="false" ht="15" hidden="false" customHeight="false" outlineLevel="0" collapsed="false">
      <c r="A514" s="50" t="n">
        <v>434</v>
      </c>
      <c r="B514" s="51" t="n">
        <f aca="false">1+IF($G$6=$E$6,$F$6,IF(P514&lt;($F$6-$E$6)/($G$6-$E$6),$E$6+SQRT(P514*($G$6-$E$6)*($F$6-$E$6)),$G$6-SQRT((1-P514)*($G$6-$E$6)*($G$6-$F$6))))</f>
        <v>1.00722050565295</v>
      </c>
      <c r="C514" s="51" t="n">
        <f aca="false">1+IF($G$7=$E$7,$F$7,IF(Q514&lt;($F$7-$E$7)/($G$7-$E$7),$E$7+SQRT(Q514*($G$7-$E$7)*($F$7-$E$7)),$G$7-SQRT((1-Q514)*($G$7-$E$7)*($G$7-$F$7))))</f>
        <v>0.95625562772311</v>
      </c>
      <c r="D514" s="51" t="n">
        <f aca="false">1+IF($G$8=$E$8,$F$8,IF(R514&lt;($F$8-$E$8)/($G$8-$E$8),$E$8+SQRT(R514*($G$8-$E$8)*($F$8-$E$8)),$G$8-SQRT((1-R514)*($G$8-$E$8)*($G$8-$F$8))))</f>
        <v>0.989334439647625</v>
      </c>
      <c r="E514" s="51" t="n">
        <f aca="false">1+IF($G$9=$E$9,$F$9,IF(S514&lt;($F$9-$E$9)/($G$9-$E$9),$E$9+SQRT(S514*($G$9-$E$9)*($F$9-$E$9)),$G$9-SQRT((1-S514)*($G$9-$E$9)*($G$9-$F$9))))</f>
        <v>0.996682166875962</v>
      </c>
      <c r="F514" s="51" t="n">
        <f aca="false">1+IF($G$10=$E$10,$F$10,IF(T514&lt;($F$10-$E$10)/($G$10-$E$10),$E$10+SQRT(T514*($G$10-$E$10)*($F$10-$E$10)),$G$10-SQRT((1-T514)*($G$10-$E$10)*($G$10-$F$10))))</f>
        <v>1.00174046327968</v>
      </c>
      <c r="G514" s="52" t="n">
        <f aca="false">IF($G$11=$E$11,$F$11,IF(U514&lt;($F$11-$E$11)/($G$11-$E$11),$E$11+SQRT(U514*($G$11-$E$11)*($F$11-$E$11)),$G$11-SQRT((1-U514)*($G$11-$E$11)*($G$11-$F$11))))</f>
        <v>0.101279474963063</v>
      </c>
      <c r="H514" s="53" t="n">
        <f aca="false">(('Business Case'!B11*$C514*'Business Case'!B12*$B514)-'Business Case'!B11*$C514*'Business Case'!B13*$D514-'Business Case'!B14*$E514)-MAX(0,(('Business Case'!B11*$C514*'Business Case'!B12*$B514)-'Business Case'!B11*$C514*'Business Case'!B13*$D514-'Business Case'!B14*$E514))*'Business Case'!$B$7-'Business Case'!$B$8*('Business Case'!B11*$C514*'Business Case'!B12*$B514)-'Business Case'!B15*$F514</f>
        <v>-2003480926.55935</v>
      </c>
      <c r="I514" s="53" t="n">
        <f aca="false">(('Business Case'!C11*$C514*'Business Case'!C12*$B514)-'Business Case'!C11*$C514*'Business Case'!C13*$D514-'Business Case'!C14*$E514)-MAX(0,(('Business Case'!C11*$C514*'Business Case'!C12*$B514)-'Business Case'!C11*$C514*'Business Case'!C13*$D514-'Business Case'!C14*$E514))*'Business Case'!$B$7-'Business Case'!$B$8*(('Business Case'!C11*$C514*'Business Case'!C12*$B514)-('Business Case'!B11*$C514*'Business Case'!B12*$B514))-'Business Case'!C15*$F514</f>
        <v>12759827.3162007</v>
      </c>
      <c r="J514" s="53" t="n">
        <f aca="false">(('Business Case'!D11*$C514*'Business Case'!D12*$B514)-'Business Case'!D11*$C514*'Business Case'!D13*$D514-'Business Case'!D14*$E514)-MAX(0,(('Business Case'!D11*$C514*'Business Case'!D12*$B514)-'Business Case'!D11*$C514*'Business Case'!D13*$D514-'Business Case'!D14*$E514))*'Business Case'!$B$7-'Business Case'!$B$8*(('Business Case'!D11*$C514*'Business Case'!D12*$B514)-('Business Case'!C11*$C514*'Business Case'!C12*$B514))-'Business Case'!D15*$F514</f>
        <v>317352133.844044</v>
      </c>
      <c r="K514" s="53" t="n">
        <f aca="false">(('Business Case'!E11*$C514*'Business Case'!E12*$B514)-'Business Case'!E11*$C514*'Business Case'!E13*$D514-'Business Case'!E14*$E514)-MAX(0,(('Business Case'!E11*$C514*'Business Case'!E12*$B514)-'Business Case'!E11*$C514*'Business Case'!E13*$D514-'Business Case'!E14*$E514))*'Business Case'!$B$7-'Business Case'!$B$8*(('Business Case'!E11*$C514*'Business Case'!E12*$B514)-('Business Case'!D11*$C514*'Business Case'!D12*$B514))-'Business Case'!E15*$F514</f>
        <v>672031463.53587</v>
      </c>
      <c r="L514" s="53" t="n">
        <f aca="false">(('Business Case'!F11*$C514*'Business Case'!F12*$B514)-'Business Case'!F11*$C514*'Business Case'!F13*$D514-'Business Case'!F14*$E514)-MAX(0,(('Business Case'!F11*$C514*'Business Case'!F12*$B514)-'Business Case'!F11*$C514*'Business Case'!F13*$D514-'Business Case'!F14*$E514))*'Business Case'!$B$7-'Business Case'!$B$8*(('Business Case'!F11*$C514*'Business Case'!F12*$B514)-('Business Case'!E11*$C514*'Business Case'!E12*$B514))-'Business Case'!F15*$F514</f>
        <v>806849051.547759</v>
      </c>
      <c r="M514" s="53" t="n">
        <f aca="false">(('Business Case'!G11*$C514*'Business Case'!G12*$B514)-'Business Case'!G11*$C514*'Business Case'!G13*$D514-'Business Case'!G14*$E514)-MAX(0,(('Business Case'!G11*$C514*'Business Case'!G12*$B514)-'Business Case'!G11*$C514*'Business Case'!G13*$D514-'Business Case'!G14*$E514))*'Business Case'!$B$7-'Business Case'!$B$8*(('Business Case'!G11*$C514*'Business Case'!G12*$B514)-('Business Case'!F11*$C514*'Business Case'!F12*$B514))-'Business Case'!G15*$F514+'Business Case'!$B$8*('Business Case'!G11*$C514*'Business Case'!G12*$B514)</f>
        <v>989926556.978772</v>
      </c>
      <c r="N514" s="53" t="n">
        <f aca="false">IF(COUNT('Business Case'!B11:G11)=0,"",H514+NPV(G514,I514:M514))</f>
        <v>-67443371.7774434</v>
      </c>
      <c r="P514" s="54" t="n">
        <f aca="true">RAND()</f>
        <v>0.776146822989891</v>
      </c>
      <c r="Q514" s="54" t="n">
        <f aca="true">RAND()</f>
        <v>0.348797445644901</v>
      </c>
      <c r="R514" s="54" t="n">
        <f aca="true">RAND()</f>
        <v>0.238030483445028</v>
      </c>
      <c r="S514" s="54" t="n">
        <f aca="true">RAND()</f>
        <v>0.290563293898022</v>
      </c>
      <c r="T514" s="54" t="n">
        <f aca="true">RAND()</f>
        <v>0.213863121988854</v>
      </c>
      <c r="U514" s="54" t="n">
        <f aca="true">RAND()</f>
        <v>0.415903237235687</v>
      </c>
    </row>
    <row r="515" customFormat="false" ht="15" hidden="false" customHeight="false" outlineLevel="0" collapsed="false">
      <c r="A515" s="50" t="n">
        <v>435</v>
      </c>
      <c r="B515" s="51" t="n">
        <f aca="false">1+IF($G$6=$E$6,$F$6,IF(P515&lt;($F$6-$E$6)/($G$6-$E$6),$E$6+SQRT(P515*($G$6-$E$6)*($F$6-$E$6)),$G$6-SQRT((1-P515)*($G$6-$E$6)*($G$6-$F$6))))</f>
        <v>1.01988403192527</v>
      </c>
      <c r="C515" s="51" t="n">
        <f aca="false">1+IF($G$7=$E$7,$F$7,IF(Q515&lt;($F$7-$E$7)/($G$7-$E$7),$E$7+SQRT(Q515*($G$7-$E$7)*($F$7-$E$7)),$G$7-SQRT((1-Q515)*($G$7-$E$7)*($G$7-$F$7))))</f>
        <v>0.995670212302798</v>
      </c>
      <c r="D515" s="51" t="n">
        <f aca="false">1+IF($G$8=$E$8,$F$8,IF(R515&lt;($F$8-$E$8)/($G$8-$E$8),$E$8+SQRT(R515*($G$8-$E$8)*($F$8-$E$8)),$G$8-SQRT((1-R515)*($G$8-$E$8)*($G$8-$F$8))))</f>
        <v>1.02225816808086</v>
      </c>
      <c r="E515" s="51" t="n">
        <f aca="false">1+IF($G$9=$E$9,$F$9,IF(S515&lt;($F$9-$E$9)/($G$9-$E$9),$E$9+SQRT(S515*($G$9-$E$9)*($F$9-$E$9)),$G$9-SQRT((1-S515)*($G$9-$E$9)*($G$9-$F$9))))</f>
        <v>0.976923269707873</v>
      </c>
      <c r="F515" s="51" t="n">
        <f aca="false">1+IF($G$10=$E$10,$F$10,IF(T515&lt;($F$10-$E$10)/($G$10-$E$10),$E$10+SQRT(T515*($G$10-$E$10)*($F$10-$E$10)),$G$10-SQRT((1-T515)*($G$10-$E$10)*($G$10-$F$10))))</f>
        <v>0.964620599913936</v>
      </c>
      <c r="G515" s="52" t="n">
        <f aca="false">IF($G$11=$E$11,$F$11,IF(U515&lt;($F$11-$E$11)/($G$11-$E$11),$E$11+SQRT(U515*($G$11-$E$11)*($F$11-$E$11)),$G$11-SQRT((1-U515)*($G$11-$E$11)*($G$11-$F$11))))</f>
        <v>0.103382266662385</v>
      </c>
      <c r="H515" s="53" t="n">
        <f aca="false">(('Business Case'!B11*$C515*'Business Case'!B12*$B515)-'Business Case'!B11*$C515*'Business Case'!B13*$D515-'Business Case'!B14*$E515)-MAX(0,(('Business Case'!B11*$C515*'Business Case'!B12*$B515)-'Business Case'!B11*$C515*'Business Case'!B13*$D515-'Business Case'!B14*$E515))*'Business Case'!$B$7-'Business Case'!$B$8*('Business Case'!B11*$C515*'Business Case'!B12*$B515)-'Business Case'!B15*$F515</f>
        <v>-1929241199.82787</v>
      </c>
      <c r="I515" s="53" t="n">
        <f aca="false">(('Business Case'!C11*$C515*'Business Case'!C12*$B515)-'Business Case'!C11*$C515*'Business Case'!C13*$D515-'Business Case'!C14*$E515)-MAX(0,(('Business Case'!C11*$C515*'Business Case'!C12*$B515)-'Business Case'!C11*$C515*'Business Case'!C13*$D515-'Business Case'!C14*$E515))*'Business Case'!$B$7-'Business Case'!$B$8*(('Business Case'!C11*$C515*'Business Case'!C12*$B515)-('Business Case'!B11*$C515*'Business Case'!B12*$B515))-'Business Case'!C15*$F515</f>
        <v>22670550.0236048</v>
      </c>
      <c r="J515" s="53" t="n">
        <f aca="false">(('Business Case'!D11*$C515*'Business Case'!D12*$B515)-'Business Case'!D11*$C515*'Business Case'!D13*$D515-'Business Case'!D14*$E515)-MAX(0,(('Business Case'!D11*$C515*'Business Case'!D12*$B515)-'Business Case'!D11*$C515*'Business Case'!D13*$D515-'Business Case'!D14*$E515))*'Business Case'!$B$7-'Business Case'!$B$8*(('Business Case'!D11*$C515*'Business Case'!D12*$B515)-('Business Case'!C11*$C515*'Business Case'!C12*$B515))-'Business Case'!D15*$F515</f>
        <v>333363517.917714</v>
      </c>
      <c r="K515" s="53" t="n">
        <f aca="false">(('Business Case'!E11*$C515*'Business Case'!E12*$B515)-'Business Case'!E11*$C515*'Business Case'!E13*$D515-'Business Case'!E14*$E515)-MAX(0,(('Business Case'!E11*$C515*'Business Case'!E12*$B515)-'Business Case'!E11*$C515*'Business Case'!E13*$D515-'Business Case'!E14*$E515))*'Business Case'!$B$7-'Business Case'!$B$8*(('Business Case'!E11*$C515*'Business Case'!E12*$B515)-('Business Case'!D11*$C515*'Business Case'!D12*$B515))-'Business Case'!E15*$F515</f>
        <v>692287515.80752</v>
      </c>
      <c r="L515" s="53" t="n">
        <f aca="false">(('Business Case'!F11*$C515*'Business Case'!F12*$B515)-'Business Case'!F11*$C515*'Business Case'!F13*$D515-'Business Case'!F14*$E515)-MAX(0,(('Business Case'!F11*$C515*'Business Case'!F12*$B515)-'Business Case'!F11*$C515*'Business Case'!F13*$D515-'Business Case'!F14*$E515))*'Business Case'!$B$7-'Business Case'!$B$8*(('Business Case'!F11*$C515*'Business Case'!F12*$B515)-('Business Case'!E11*$C515*'Business Case'!E12*$B515))-'Business Case'!F15*$F515</f>
        <v>830946417.723324</v>
      </c>
      <c r="M515" s="53" t="n">
        <f aca="false">(('Business Case'!G11*$C515*'Business Case'!G12*$B515)-'Business Case'!G11*$C515*'Business Case'!G13*$D515-'Business Case'!G14*$E515)-MAX(0,(('Business Case'!G11*$C515*'Business Case'!G12*$B515)-'Business Case'!G11*$C515*'Business Case'!G13*$D515-'Business Case'!G14*$E515))*'Business Case'!$B$7-'Business Case'!$B$8*(('Business Case'!G11*$C515*'Business Case'!G12*$B515)-('Business Case'!F11*$C515*'Business Case'!F12*$B515))-'Business Case'!G15*$F515+'Business Case'!$B$8*('Business Case'!G11*$C515*'Business Case'!G12*$B515)</f>
        <v>1023966603.78771</v>
      </c>
      <c r="N515" s="53" t="n">
        <f aca="false">IF(COUNT('Business Case'!B11:G11)=0,"",H515+NPV(G515,I515:M515))</f>
        <v>67221156.2743824</v>
      </c>
      <c r="P515" s="54" t="n">
        <f aca="true">RAND()</f>
        <v>0.915697464253458</v>
      </c>
      <c r="Q515" s="54" t="n">
        <f aca="true">RAND()</f>
        <v>0.546954742608887</v>
      </c>
      <c r="R515" s="54" t="n">
        <f aca="true">RAND()</f>
        <v>0.679411619867431</v>
      </c>
      <c r="S515" s="54" t="n">
        <f aca="true">RAND()</f>
        <v>0.0966483269017159</v>
      </c>
      <c r="T515" s="54" t="n">
        <f aca="true">RAND()</f>
        <v>0.0171009553474699</v>
      </c>
      <c r="U515" s="54" t="n">
        <f aca="true">RAND()</f>
        <v>0.539751564533175</v>
      </c>
    </row>
    <row r="516" customFormat="false" ht="15" hidden="false" customHeight="false" outlineLevel="0" collapsed="false">
      <c r="A516" s="50" t="n">
        <v>436</v>
      </c>
      <c r="B516" s="51" t="n">
        <f aca="false">1+IF($G$6=$E$6,$F$6,IF(P516&lt;($F$6-$E$6)/($G$6-$E$6),$E$6+SQRT(P516*($G$6-$E$6)*($F$6-$E$6)),$G$6-SQRT((1-P516)*($G$6-$E$6)*($G$6-$F$6))))</f>
        <v>0.991124425354232</v>
      </c>
      <c r="C516" s="51" t="n">
        <f aca="false">1+IF($G$7=$E$7,$F$7,IF(Q516&lt;($F$7-$E$7)/($G$7-$E$7),$E$7+SQRT(Q516*($G$7-$E$7)*($F$7-$E$7)),$G$7-SQRT((1-Q516)*($G$7-$E$7)*($G$7-$F$7))))</f>
        <v>1.05786219344887</v>
      </c>
      <c r="D516" s="51" t="n">
        <f aca="false">1+IF($G$8=$E$8,$F$8,IF(R516&lt;($F$8-$E$8)/($G$8-$E$8),$E$8+SQRT(R516*($G$8-$E$8)*($F$8-$E$8)),$G$8-SQRT((1-R516)*($G$8-$E$8)*($G$8-$F$8))))</f>
        <v>1.01972272310729</v>
      </c>
      <c r="E516" s="51" t="n">
        <f aca="false">1+IF($G$9=$E$9,$F$9,IF(S516&lt;($F$9-$E$9)/($G$9-$E$9),$E$9+SQRT(S516*($G$9-$E$9)*($F$9-$E$9)),$G$9-SQRT((1-S516)*($G$9-$E$9)*($G$9-$F$9))))</f>
        <v>0.970922882040255</v>
      </c>
      <c r="F516" s="51" t="n">
        <f aca="false">1+IF($G$10=$E$10,$F$10,IF(T516&lt;($F$10-$E$10)/($G$10-$E$10),$E$10+SQRT(T516*($G$10-$E$10)*($F$10-$E$10)),$G$10-SQRT((1-T516)*($G$10-$E$10)*($G$10-$F$10))))</f>
        <v>0.960097631520322</v>
      </c>
      <c r="G516" s="52" t="n">
        <f aca="false">IF($G$11=$E$11,$F$11,IF(U516&lt;($F$11-$E$11)/($G$11-$E$11),$E$11+SQRT(U516*($G$11-$E$11)*($F$11-$E$11)),$G$11-SQRT((1-U516)*($G$11-$E$11)*($G$11-$F$11))))</f>
        <v>0.109808815795608</v>
      </c>
      <c r="H516" s="53" t="n">
        <f aca="false">(('Business Case'!B11*$C516*'Business Case'!B12*$B516)-'Business Case'!B11*$C516*'Business Case'!B13*$D516-'Business Case'!B14*$E516)-MAX(0,(('Business Case'!B11*$C516*'Business Case'!B12*$B516)-'Business Case'!B11*$C516*'Business Case'!B13*$D516-'Business Case'!B14*$E516))*'Business Case'!$B$7-'Business Case'!$B$8*('Business Case'!B11*$C516*'Business Case'!B12*$B516)-'Business Case'!B15*$F516</f>
        <v>-1920195263.04064</v>
      </c>
      <c r="I516" s="53" t="n">
        <f aca="false">(('Business Case'!C11*$C516*'Business Case'!C12*$B516)-'Business Case'!C11*$C516*'Business Case'!C13*$D516-'Business Case'!C14*$E516)-MAX(0,(('Business Case'!C11*$C516*'Business Case'!C12*$B516)-'Business Case'!C11*$C516*'Business Case'!C13*$D516-'Business Case'!C14*$E516))*'Business Case'!$B$7-'Business Case'!$B$8*(('Business Case'!C11*$C516*'Business Case'!C12*$B516)-('Business Case'!B11*$C516*'Business Case'!B12*$B516))-'Business Case'!C15*$F516</f>
        <v>18125611.1093313</v>
      </c>
      <c r="J516" s="53" t="n">
        <f aca="false">(('Business Case'!D11*$C516*'Business Case'!D12*$B516)-'Business Case'!D11*$C516*'Business Case'!D13*$D516-'Business Case'!D14*$E516)-MAX(0,(('Business Case'!D11*$C516*'Business Case'!D12*$B516)-'Business Case'!D11*$C516*'Business Case'!D13*$D516-'Business Case'!D14*$E516))*'Business Case'!$B$7-'Business Case'!$B$8*(('Business Case'!D11*$C516*'Business Case'!D12*$B516)-('Business Case'!C11*$C516*'Business Case'!C12*$B516))-'Business Case'!D15*$F516</f>
        <v>324679062.553916</v>
      </c>
      <c r="K516" s="53" t="n">
        <f aca="false">(('Business Case'!E11*$C516*'Business Case'!E12*$B516)-'Business Case'!E11*$C516*'Business Case'!E13*$D516-'Business Case'!E14*$E516)-MAX(0,(('Business Case'!E11*$C516*'Business Case'!E12*$B516)-'Business Case'!E11*$C516*'Business Case'!E13*$D516-'Business Case'!E14*$E516))*'Business Case'!$B$7-'Business Case'!$B$8*(('Business Case'!E11*$C516*'Business Case'!E12*$B516)-('Business Case'!D11*$C516*'Business Case'!D12*$B516))-'Business Case'!E15*$F516</f>
        <v>679237395.574517</v>
      </c>
      <c r="L516" s="53" t="n">
        <f aca="false">(('Business Case'!F11*$C516*'Business Case'!F12*$B516)-'Business Case'!F11*$C516*'Business Case'!F13*$D516-'Business Case'!F14*$E516)-MAX(0,(('Business Case'!F11*$C516*'Business Case'!F12*$B516)-'Business Case'!F11*$C516*'Business Case'!F13*$D516-'Business Case'!F14*$E516))*'Business Case'!$B$7-'Business Case'!$B$8*(('Business Case'!F11*$C516*'Business Case'!F12*$B516)-('Business Case'!E11*$C516*'Business Case'!E12*$B516))-'Business Case'!F15*$F516</f>
        <v>817657108.29411</v>
      </c>
      <c r="M516" s="53" t="n">
        <f aca="false">(('Business Case'!G11*$C516*'Business Case'!G12*$B516)-'Business Case'!G11*$C516*'Business Case'!G13*$D516-'Business Case'!G14*$E516)-MAX(0,(('Business Case'!G11*$C516*'Business Case'!G12*$B516)-'Business Case'!G11*$C516*'Business Case'!G13*$D516-'Business Case'!G14*$E516))*'Business Case'!$B$7-'Business Case'!$B$8*(('Business Case'!G11*$C516*'Business Case'!G12*$B516)-('Business Case'!F11*$C516*'Business Case'!F12*$B516))-'Business Case'!G15*$F516+'Business Case'!$B$8*('Business Case'!G11*$C516*'Business Case'!G12*$B516)</f>
        <v>1016950867.27013</v>
      </c>
      <c r="N516" s="53" t="n">
        <f aca="false">IF(COUNT('Business Case'!B11:G11)=0,"",H516+NPV(G516,I516:M516))</f>
        <v>-328062.952394247</v>
      </c>
      <c r="P516" s="54" t="n">
        <f aca="true">RAND()</f>
        <v>0.526946237705172</v>
      </c>
      <c r="Q516" s="54" t="n">
        <f aca="true">RAND()</f>
        <v>0.83829761150374</v>
      </c>
      <c r="R516" s="54" t="n">
        <f aca="true">RAND()</f>
        <v>0.650639412538372</v>
      </c>
      <c r="S516" s="54" t="n">
        <f aca="true">RAND()</f>
        <v>0.0583689323827244</v>
      </c>
      <c r="T516" s="54" t="n">
        <f aca="true">RAND()</f>
        <v>0.00815697298561554</v>
      </c>
      <c r="U516" s="54" t="n">
        <f aca="true">RAND()</f>
        <v>0.826899607520267</v>
      </c>
    </row>
    <row r="517" customFormat="false" ht="15" hidden="false" customHeight="false" outlineLevel="0" collapsed="false">
      <c r="A517" s="50" t="n">
        <v>437</v>
      </c>
      <c r="B517" s="51" t="n">
        <f aca="false">1+IF($G$6=$E$6,$F$6,IF(P517&lt;($F$6-$E$6)/($G$6-$E$6),$E$6+SQRT(P517*($G$6-$E$6)*($F$6-$E$6)),$G$6-SQRT((1-P517)*($G$6-$E$6)*($G$6-$F$6))))</f>
        <v>1.00210050778798</v>
      </c>
      <c r="C517" s="51" t="n">
        <f aca="false">1+IF($G$7=$E$7,$F$7,IF(Q517&lt;($F$7-$E$7)/($G$7-$E$7),$E$7+SQRT(Q517*($G$7-$E$7)*($F$7-$E$7)),$G$7-SQRT((1-Q517)*($G$7-$E$7)*($G$7-$F$7))))</f>
        <v>0.914261231770066</v>
      </c>
      <c r="D517" s="51" t="n">
        <f aca="false">1+IF($G$8=$E$8,$F$8,IF(R517&lt;($F$8-$E$8)/($G$8-$E$8),$E$8+SQRT(R517*($G$8-$E$8)*($F$8-$E$8)),$G$8-SQRT((1-R517)*($G$8-$E$8)*($G$8-$F$8))))</f>
        <v>1.00915639581944</v>
      </c>
      <c r="E517" s="51" t="n">
        <f aca="false">1+IF($G$9=$E$9,$F$9,IF(S517&lt;($F$9-$E$9)/($G$9-$E$9),$E$9+SQRT(S517*($G$9-$E$9)*($F$9-$E$9)),$G$9-SQRT((1-S517)*($G$9-$E$9)*($G$9-$F$9))))</f>
        <v>1.02538217876473</v>
      </c>
      <c r="F517" s="51" t="n">
        <f aca="false">1+IF($G$10=$E$10,$F$10,IF(T517&lt;($F$10-$E$10)/($G$10-$E$10),$E$10+SQRT(T517*($G$10-$E$10)*($F$10-$E$10)),$G$10-SQRT((1-T517)*($G$10-$E$10)*($G$10-$F$10))))</f>
        <v>1.08449048244789</v>
      </c>
      <c r="G517" s="52" t="n">
        <f aca="false">IF($G$11=$E$11,$F$11,IF(U517&lt;($F$11-$E$11)/($G$11-$E$11),$E$11+SQRT(U517*($G$11-$E$11)*($F$11-$E$11)),$G$11-SQRT((1-U517)*($G$11-$E$11)*($G$11-$F$11))))</f>
        <v>0.104031450983542</v>
      </c>
      <c r="H517" s="53" t="n">
        <f aca="false">(('Business Case'!B11*$C517*'Business Case'!B12*$B517)-'Business Case'!B11*$C517*'Business Case'!B13*$D517-'Business Case'!B14*$E517)-MAX(0,(('Business Case'!B11*$C517*'Business Case'!B12*$B517)-'Business Case'!B11*$C517*'Business Case'!B13*$D517-'Business Case'!B14*$E517))*'Business Case'!$B$7-'Business Case'!$B$8*('Business Case'!B11*$C517*'Business Case'!B12*$B517)-'Business Case'!B15*$F517</f>
        <v>-2168980964.89578</v>
      </c>
      <c r="I517" s="53" t="n">
        <f aca="false">(('Business Case'!C11*$C517*'Business Case'!C12*$B517)-'Business Case'!C11*$C517*'Business Case'!C13*$D517-'Business Case'!C14*$E517)-MAX(0,(('Business Case'!C11*$C517*'Business Case'!C12*$B517)-'Business Case'!C11*$C517*'Business Case'!C13*$D517-'Business Case'!C14*$E517))*'Business Case'!$B$7-'Business Case'!$B$8*(('Business Case'!C11*$C517*'Business Case'!C12*$B517)-('Business Case'!B11*$C517*'Business Case'!B12*$B517))-'Business Case'!C15*$F517</f>
        <v>-23648583.4831063</v>
      </c>
      <c r="J517" s="53" t="n">
        <f aca="false">(('Business Case'!D11*$C517*'Business Case'!D12*$B517)-'Business Case'!D11*$C517*'Business Case'!D13*$D517-'Business Case'!D14*$E517)-MAX(0,(('Business Case'!D11*$C517*'Business Case'!D12*$B517)-'Business Case'!D11*$C517*'Business Case'!D13*$D517-'Business Case'!D14*$E517))*'Business Case'!$B$7-'Business Case'!$B$8*(('Business Case'!D11*$C517*'Business Case'!D12*$B517)-('Business Case'!C11*$C517*'Business Case'!C12*$B517))-'Business Case'!D15*$F517</f>
        <v>254456083.555382</v>
      </c>
      <c r="K517" s="53" t="n">
        <f aca="false">(('Business Case'!E11*$C517*'Business Case'!E12*$B517)-'Business Case'!E11*$C517*'Business Case'!E13*$D517-'Business Case'!E14*$E517)-MAX(0,(('Business Case'!E11*$C517*'Business Case'!E12*$B517)-'Business Case'!E11*$C517*'Business Case'!E13*$D517-'Business Case'!E14*$E517))*'Business Case'!$B$7-'Business Case'!$B$8*(('Business Case'!E11*$C517*'Business Case'!E12*$B517)-('Business Case'!D11*$C517*'Business Case'!D12*$B517))-'Business Case'!E15*$F517</f>
        <v>586785274.716264</v>
      </c>
      <c r="L517" s="53" t="n">
        <f aca="false">(('Business Case'!F11*$C517*'Business Case'!F12*$B517)-'Business Case'!F11*$C517*'Business Case'!F13*$D517-'Business Case'!F14*$E517)-MAX(0,(('Business Case'!F11*$C517*'Business Case'!F12*$B517)-'Business Case'!F11*$C517*'Business Case'!F13*$D517-'Business Case'!F14*$E517))*'Business Case'!$B$7-'Business Case'!$B$8*(('Business Case'!F11*$C517*'Business Case'!F12*$B517)-('Business Case'!E11*$C517*'Business Case'!E12*$B517))-'Business Case'!F15*$F517</f>
        <v>711150068.0334</v>
      </c>
      <c r="M517" s="53" t="n">
        <f aca="false">(('Business Case'!G11*$C517*'Business Case'!G12*$B517)-'Business Case'!G11*$C517*'Business Case'!G13*$D517-'Business Case'!G14*$E517)-MAX(0,(('Business Case'!G11*$C517*'Business Case'!G12*$B517)-'Business Case'!G11*$C517*'Business Case'!G13*$D517-'Business Case'!G14*$E517))*'Business Case'!$B$7-'Business Case'!$B$8*(('Business Case'!G11*$C517*'Business Case'!G12*$B517)-('Business Case'!F11*$C517*'Business Case'!F12*$B517))-'Business Case'!G15*$F517+'Business Case'!$B$8*('Business Case'!G11*$C517*'Business Case'!G12*$B517)</f>
        <v>885297875.040422</v>
      </c>
      <c r="N517" s="53" t="n">
        <f aca="false">IF(COUNT('Business Case'!B11:G11)=0,"",H517+NPV(G517,I517:M517))</f>
        <v>-527185127.309774</v>
      </c>
      <c r="P517" s="54" t="n">
        <f aca="true">RAND()</f>
        <v>0.70075593543147</v>
      </c>
      <c r="Q517" s="54" t="n">
        <f aca="true">RAND()</f>
        <v>0.186508986937326</v>
      </c>
      <c r="R517" s="54" t="n">
        <f aca="true">RAND()</f>
        <v>0.517421514106537</v>
      </c>
      <c r="S517" s="54" t="n">
        <f aca="true">RAND()</f>
        <v>0.628812050273427</v>
      </c>
      <c r="T517" s="54" t="n">
        <f aca="true">RAND()</f>
        <v>0.733151027097574</v>
      </c>
      <c r="U517" s="54" t="n">
        <f aca="true">RAND()</f>
        <v>0.575009070514981</v>
      </c>
    </row>
    <row r="518" customFormat="false" ht="15" hidden="false" customHeight="false" outlineLevel="0" collapsed="false">
      <c r="A518" s="50" t="n">
        <v>438</v>
      </c>
      <c r="B518" s="51" t="n">
        <f aca="false">1+IF($G$6=$E$6,$F$6,IF(P518&lt;($F$6-$E$6)/($G$6-$E$6),$E$6+SQRT(P518*($G$6-$E$6)*($F$6-$E$6)),$G$6-SQRT((1-P518)*($G$6-$E$6)*($G$6-$F$6))))</f>
        <v>0.936803907798831</v>
      </c>
      <c r="C518" s="51" t="n">
        <f aca="false">1+IF($G$7=$E$7,$F$7,IF(Q518&lt;($F$7-$E$7)/($G$7-$E$7),$E$7+SQRT(Q518*($G$7-$E$7)*($F$7-$E$7)),$G$7-SQRT((1-Q518)*($G$7-$E$7)*($G$7-$F$7))))</f>
        <v>0.915021349340937</v>
      </c>
      <c r="D518" s="51" t="n">
        <f aca="false">1+IF($G$8=$E$8,$F$8,IF(R518&lt;($F$8-$E$8)/($G$8-$E$8),$E$8+SQRT(R518*($G$8-$E$8)*($F$8-$E$8)),$G$8-SQRT((1-R518)*($G$8-$E$8)*($G$8-$F$8))))</f>
        <v>1.0520411322745</v>
      </c>
      <c r="E518" s="51" t="n">
        <f aca="false">1+IF($G$9=$E$9,$F$9,IF(S518&lt;($F$9-$E$9)/($G$9-$E$9),$E$9+SQRT(S518*($G$9-$E$9)*($F$9-$E$9)),$G$9-SQRT((1-S518)*($G$9-$E$9)*($G$9-$F$9))))</f>
        <v>1.03466336795234</v>
      </c>
      <c r="F518" s="51" t="n">
        <f aca="false">1+IF($G$10=$E$10,$F$10,IF(T518&lt;($F$10-$E$10)/($G$10-$E$10),$E$10+SQRT(T518*($G$10-$E$10)*($F$10-$E$10)),$G$10-SQRT((1-T518)*($G$10-$E$10)*($G$10-$F$10))))</f>
        <v>1.00751139870269</v>
      </c>
      <c r="G518" s="52" t="n">
        <f aca="false">IF($G$11=$E$11,$F$11,IF(U518&lt;($F$11-$E$11)/($G$11-$E$11),$E$11+SQRT(U518*($G$11-$E$11)*($F$11-$E$11)),$G$11-SQRT((1-U518)*($G$11-$E$11)*($G$11-$F$11))))</f>
        <v>0.103795365120457</v>
      </c>
      <c r="H518" s="53" t="n">
        <f aca="false">(('Business Case'!B11*$C518*'Business Case'!B12*$B518)-'Business Case'!B11*$C518*'Business Case'!B13*$D518-'Business Case'!B14*$E518)-MAX(0,(('Business Case'!B11*$C518*'Business Case'!B12*$B518)-'Business Case'!B11*$C518*'Business Case'!B13*$D518-'Business Case'!B14*$E518))*'Business Case'!$B$7-'Business Case'!$B$8*('Business Case'!B11*$C518*'Business Case'!B12*$B518)-'Business Case'!B15*$F518</f>
        <v>-2015022797.40539</v>
      </c>
      <c r="I518" s="53" t="n">
        <f aca="false">(('Business Case'!C11*$C518*'Business Case'!C12*$B518)-'Business Case'!C11*$C518*'Business Case'!C13*$D518-'Business Case'!C14*$E518)-MAX(0,(('Business Case'!C11*$C518*'Business Case'!C12*$B518)-'Business Case'!C11*$C518*'Business Case'!C13*$D518-'Business Case'!C14*$E518))*'Business Case'!$B$7-'Business Case'!$B$8*(('Business Case'!C11*$C518*'Business Case'!C12*$B518)-('Business Case'!B11*$C518*'Business Case'!B12*$B518))-'Business Case'!C15*$F518</f>
        <v>-83007112.9520229</v>
      </c>
      <c r="J518" s="53" t="n">
        <f aca="false">(('Business Case'!D11*$C518*'Business Case'!D12*$B518)-'Business Case'!D11*$C518*'Business Case'!D13*$D518-'Business Case'!D14*$E518)-MAX(0,(('Business Case'!D11*$C518*'Business Case'!D12*$B518)-'Business Case'!D11*$C518*'Business Case'!D13*$D518-'Business Case'!D14*$E518))*'Business Case'!$B$7-'Business Case'!$B$8*(('Business Case'!D11*$C518*'Business Case'!D12*$B518)-('Business Case'!C11*$C518*'Business Case'!C12*$B518))-'Business Case'!D15*$F518</f>
        <v>126303063.537582</v>
      </c>
      <c r="K518" s="53" t="n">
        <f aca="false">(('Business Case'!E11*$C518*'Business Case'!E12*$B518)-'Business Case'!E11*$C518*'Business Case'!E13*$D518-'Business Case'!E14*$E518)-MAX(0,(('Business Case'!E11*$C518*'Business Case'!E12*$B518)-'Business Case'!E11*$C518*'Business Case'!E13*$D518-'Business Case'!E14*$E518))*'Business Case'!$B$7-'Business Case'!$B$8*(('Business Case'!E11*$C518*'Business Case'!E12*$B518)-('Business Case'!D11*$C518*'Business Case'!D12*$B518))-'Business Case'!E15*$F518</f>
        <v>385988809.962322</v>
      </c>
      <c r="L518" s="53" t="n">
        <f aca="false">(('Business Case'!F11*$C518*'Business Case'!F12*$B518)-'Business Case'!F11*$C518*'Business Case'!F13*$D518-'Business Case'!F14*$E518)-MAX(0,(('Business Case'!F11*$C518*'Business Case'!F12*$B518)-'Business Case'!F11*$C518*'Business Case'!F13*$D518-'Business Case'!F14*$E518))*'Business Case'!$B$7-'Business Case'!$B$8*(('Business Case'!F11*$C518*'Business Case'!F12*$B518)-('Business Case'!E11*$C518*'Business Case'!E12*$B518))-'Business Case'!F15*$F518</f>
        <v>485383547.891214</v>
      </c>
      <c r="M518" s="53" t="n">
        <f aca="false">(('Business Case'!G11*$C518*'Business Case'!G12*$B518)-'Business Case'!G11*$C518*'Business Case'!G13*$D518-'Business Case'!G14*$E518)-MAX(0,(('Business Case'!G11*$C518*'Business Case'!G12*$B518)-'Business Case'!G11*$C518*'Business Case'!G13*$D518-'Business Case'!G14*$E518))*'Business Case'!$B$7-'Business Case'!$B$8*(('Business Case'!G11*$C518*'Business Case'!G12*$B518)-('Business Case'!F11*$C518*'Business Case'!F12*$B518))-'Business Case'!G15*$F518+'Business Case'!$B$8*('Business Case'!G11*$C518*'Business Case'!G12*$B518)</f>
        <v>648319282.935847</v>
      </c>
      <c r="N518" s="53" t="n">
        <f aca="false">IF(COUNT('Business Case'!B11:G11)=0,"",H518+NPV(G518,I518:M518))</f>
        <v>-976871261.57772</v>
      </c>
      <c r="P518" s="54" t="n">
        <f aca="true">RAND()</f>
        <v>0.029413678886627</v>
      </c>
      <c r="Q518" s="54" t="n">
        <f aca="true">RAND()</f>
        <v>0.188998725774425</v>
      </c>
      <c r="R518" s="54" t="n">
        <f aca="true">RAND()</f>
        <v>0.924836703414219</v>
      </c>
      <c r="S518" s="54" t="n">
        <f aca="true">RAND()</f>
        <v>0.715408300844563</v>
      </c>
      <c r="T518" s="54" t="n">
        <f aca="true">RAND()</f>
        <v>0.258962767412131</v>
      </c>
      <c r="U518" s="54" t="n">
        <f aca="true">RAND()</f>
        <v>0.562349680701155</v>
      </c>
    </row>
    <row r="519" customFormat="false" ht="15" hidden="false" customHeight="false" outlineLevel="0" collapsed="false">
      <c r="A519" s="50" t="n">
        <v>439</v>
      </c>
      <c r="B519" s="51" t="n">
        <f aca="false">1+IF($G$6=$E$6,$F$6,IF(P519&lt;($F$6-$E$6)/($G$6-$E$6),$E$6+SQRT(P519*($G$6-$E$6)*($F$6-$E$6)),$G$6-SQRT((1-P519)*($G$6-$E$6)*($G$6-$F$6))))</f>
        <v>0.962562369871067</v>
      </c>
      <c r="C519" s="51" t="n">
        <f aca="false">1+IF($G$7=$E$7,$F$7,IF(Q519&lt;($F$7-$E$7)/($G$7-$E$7),$E$7+SQRT(Q519*($G$7-$E$7)*($F$7-$E$7)),$G$7-SQRT((1-Q519)*($G$7-$E$7)*($G$7-$F$7))))</f>
        <v>0.937415960372227</v>
      </c>
      <c r="D519" s="51" t="n">
        <f aca="false">1+IF($G$8=$E$8,$F$8,IF(R519&lt;($F$8-$E$8)/($G$8-$E$8),$E$8+SQRT(R519*($G$8-$E$8)*($F$8-$E$8)),$G$8-SQRT((1-R519)*($G$8-$E$8)*($G$8-$F$8))))</f>
        <v>1.03455165063099</v>
      </c>
      <c r="E519" s="51" t="n">
        <f aca="false">1+IF($G$9=$E$9,$F$9,IF(S519&lt;($F$9-$E$9)/($G$9-$E$9),$E$9+SQRT(S519*($G$9-$E$9)*($F$9-$E$9)),$G$9-SQRT((1-S519)*($G$9-$E$9)*($G$9-$F$9))))</f>
        <v>1.00432413840779</v>
      </c>
      <c r="F519" s="51" t="n">
        <f aca="false">1+IF($G$10=$E$10,$F$10,IF(T519&lt;($F$10-$E$10)/($G$10-$E$10),$E$10+SQRT(T519*($G$10-$E$10)*($F$10-$E$10)),$G$10-SQRT((1-T519)*($G$10-$E$10)*($G$10-$F$10))))</f>
        <v>1.02539670663428</v>
      </c>
      <c r="G519" s="52" t="n">
        <f aca="false">IF($G$11=$E$11,$F$11,IF(U519&lt;($F$11-$E$11)/($G$11-$E$11),$E$11+SQRT(U519*($G$11-$E$11)*($F$11-$E$11)),$G$11-SQRT((1-U519)*($G$11-$E$11)*($G$11-$F$11))))</f>
        <v>0.101870025751661</v>
      </c>
      <c r="H519" s="53" t="n">
        <f aca="false">(('Business Case'!B11*$C519*'Business Case'!B12*$B519)-'Business Case'!B11*$C519*'Business Case'!B13*$D519-'Business Case'!B14*$E519)-MAX(0,(('Business Case'!B11*$C519*'Business Case'!B12*$B519)-'Business Case'!B11*$C519*'Business Case'!B13*$D519-'Business Case'!B14*$E519))*'Business Case'!$B$7-'Business Case'!$B$8*('Business Case'!B11*$C519*'Business Case'!B12*$B519)-'Business Case'!B15*$F519</f>
        <v>-2050793413.26856</v>
      </c>
      <c r="I519" s="53" t="n">
        <f aca="false">(('Business Case'!C11*$C519*'Business Case'!C12*$B519)-'Business Case'!C11*$C519*'Business Case'!C13*$D519-'Business Case'!C14*$E519)-MAX(0,(('Business Case'!C11*$C519*'Business Case'!C12*$B519)-'Business Case'!C11*$C519*'Business Case'!C13*$D519-'Business Case'!C14*$E519))*'Business Case'!$B$7-'Business Case'!$B$8*(('Business Case'!C11*$C519*'Business Case'!C12*$B519)-('Business Case'!B11*$C519*'Business Case'!B12*$B519))-'Business Case'!C15*$F519</f>
        <v>-49527458.633093</v>
      </c>
      <c r="J519" s="53" t="n">
        <f aca="false">(('Business Case'!D11*$C519*'Business Case'!D12*$B519)-'Business Case'!D11*$C519*'Business Case'!D13*$D519-'Business Case'!D14*$E519)-MAX(0,(('Business Case'!D11*$C519*'Business Case'!D12*$B519)-'Business Case'!D11*$C519*'Business Case'!D13*$D519-'Business Case'!D14*$E519))*'Business Case'!$B$7-'Business Case'!$B$8*(('Business Case'!D11*$C519*'Business Case'!D12*$B519)-('Business Case'!C11*$C519*'Business Case'!C12*$B519))-'Business Case'!D15*$F519</f>
        <v>193075983.541575</v>
      </c>
      <c r="K519" s="53" t="n">
        <f aca="false">(('Business Case'!E11*$C519*'Business Case'!E12*$B519)-'Business Case'!E11*$C519*'Business Case'!E13*$D519-'Business Case'!E14*$E519)-MAX(0,(('Business Case'!E11*$C519*'Business Case'!E12*$B519)-'Business Case'!E11*$C519*'Business Case'!E13*$D519-'Business Case'!E14*$E519))*'Business Case'!$B$7-'Business Case'!$B$8*(('Business Case'!E11*$C519*'Business Case'!E12*$B519)-('Business Case'!D11*$C519*'Business Case'!D12*$B519))-'Business Case'!E15*$F519</f>
        <v>486949261.047956</v>
      </c>
      <c r="L519" s="53" t="n">
        <f aca="false">(('Business Case'!F11*$C519*'Business Case'!F12*$B519)-'Business Case'!F11*$C519*'Business Case'!F13*$D519-'Business Case'!F14*$E519)-MAX(0,(('Business Case'!F11*$C519*'Business Case'!F12*$B519)-'Business Case'!F11*$C519*'Business Case'!F13*$D519-'Business Case'!F14*$E519))*'Business Case'!$B$7-'Business Case'!$B$8*(('Business Case'!F11*$C519*'Business Case'!F12*$B519)-('Business Case'!E11*$C519*'Business Case'!E12*$B519))-'Business Case'!F15*$F519</f>
        <v>599001300.214676</v>
      </c>
      <c r="M519" s="53" t="n">
        <f aca="false">(('Business Case'!G11*$C519*'Business Case'!G12*$B519)-'Business Case'!G11*$C519*'Business Case'!G13*$D519-'Business Case'!G14*$E519)-MAX(0,(('Business Case'!G11*$C519*'Business Case'!G12*$B519)-'Business Case'!G11*$C519*'Business Case'!G13*$D519-'Business Case'!G14*$E519))*'Business Case'!$B$7-'Business Case'!$B$8*(('Business Case'!G11*$C519*'Business Case'!G12*$B519)-('Business Case'!F11*$C519*'Business Case'!F12*$B519))-'Business Case'!G15*$F519+'Business Case'!$B$8*('Business Case'!G11*$C519*'Business Case'!G12*$B519)</f>
        <v>770514538.311408</v>
      </c>
      <c r="N519" s="53" t="n">
        <f aca="false">IF(COUNT('Business Case'!B11:G11)=0,"",H519+NPV(G519,I519:M519))</f>
        <v>-691985046.43505</v>
      </c>
      <c r="P519" s="54" t="n">
        <f aca="true">RAND()</f>
        <v>0.188703680108487</v>
      </c>
      <c r="Q519" s="54" t="n">
        <f aca="true">RAND()</f>
        <v>0.269759230928878</v>
      </c>
      <c r="R519" s="54" t="n">
        <f aca="true">RAND()</f>
        <v>0.801389186503146</v>
      </c>
      <c r="S519" s="54" t="n">
        <f aca="true">RAND()</f>
        <v>0.389741967239247</v>
      </c>
      <c r="T519" s="54" t="n">
        <f aca="true">RAND()</f>
        <v>0.390273798916869</v>
      </c>
      <c r="U519" s="54" t="n">
        <f aca="true">RAND()</f>
        <v>0.452173389590963</v>
      </c>
    </row>
    <row r="520" customFormat="false" ht="15" hidden="false" customHeight="false" outlineLevel="0" collapsed="false">
      <c r="A520" s="50" t="n">
        <v>440</v>
      </c>
      <c r="B520" s="51" t="n">
        <f aca="false">1+IF($G$6=$E$6,$F$6,IF(P520&lt;($F$6-$E$6)/($G$6-$E$6),$E$6+SQRT(P520*($G$6-$E$6)*($F$6-$E$6)),$G$6-SQRT((1-P520)*($G$6-$E$6)*($G$6-$F$6))))</f>
        <v>0.966530384866576</v>
      </c>
      <c r="C520" s="51" t="n">
        <f aca="false">1+IF($G$7=$E$7,$F$7,IF(Q520&lt;($F$7-$E$7)/($G$7-$E$7),$E$7+SQRT(Q520*($G$7-$E$7)*($F$7-$E$7)),$G$7-SQRT((1-Q520)*($G$7-$E$7)*($G$7-$F$7))))</f>
        <v>0.982478275296541</v>
      </c>
      <c r="D520" s="51" t="n">
        <f aca="false">1+IF($G$8=$E$8,$F$8,IF(R520&lt;($F$8-$E$8)/($G$8-$E$8),$E$8+SQRT(R520*($G$8-$E$8)*($F$8-$E$8)),$G$8-SQRT((1-R520)*($G$8-$E$8)*($G$8-$F$8))))</f>
        <v>0.99235389498555</v>
      </c>
      <c r="E520" s="51" t="n">
        <f aca="false">1+IF($G$9=$E$9,$F$9,IF(S520&lt;($F$9-$E$9)/($G$9-$E$9),$E$9+SQRT(S520*($G$9-$E$9)*($F$9-$E$9)),$G$9-SQRT((1-S520)*($G$9-$E$9)*($G$9-$F$9))))</f>
        <v>0.982559475497663</v>
      </c>
      <c r="F520" s="51" t="n">
        <f aca="false">1+IF($G$10=$E$10,$F$10,IF(T520&lt;($F$10-$E$10)/($G$10-$E$10),$E$10+SQRT(T520*($G$10-$E$10)*($F$10-$E$10)),$G$10-SQRT((1-T520)*($G$10-$E$10)*($G$10-$F$10))))</f>
        <v>1.13242961737867</v>
      </c>
      <c r="G520" s="52" t="n">
        <f aca="false">IF($G$11=$E$11,$F$11,IF(U520&lt;($F$11-$E$11)/($G$11-$E$11),$E$11+SQRT(U520*($G$11-$E$11)*($F$11-$E$11)),$G$11-SQRT((1-U520)*($G$11-$E$11)*($G$11-$F$11))))</f>
        <v>0.0971121775230636</v>
      </c>
      <c r="H520" s="53" t="n">
        <f aca="false">(('Business Case'!B11*$C520*'Business Case'!B12*$B520)-'Business Case'!B11*$C520*'Business Case'!B13*$D520-'Business Case'!B14*$E520)-MAX(0,(('Business Case'!B11*$C520*'Business Case'!B12*$B520)-'Business Case'!B11*$C520*'Business Case'!B13*$D520-'Business Case'!B14*$E520))*'Business Case'!$B$7-'Business Case'!$B$8*('Business Case'!B11*$C520*'Business Case'!B12*$B520)-'Business Case'!B15*$F520</f>
        <v>-2264859234.75733</v>
      </c>
      <c r="I520" s="53" t="n">
        <f aca="false">(('Business Case'!C11*$C520*'Business Case'!C12*$B520)-'Business Case'!C11*$C520*'Business Case'!C13*$D520-'Business Case'!C14*$E520)-MAX(0,(('Business Case'!C11*$C520*'Business Case'!C12*$B520)-'Business Case'!C11*$C520*'Business Case'!C13*$D520-'Business Case'!C14*$E520))*'Business Case'!$B$7-'Business Case'!$B$8*(('Business Case'!C11*$C520*'Business Case'!C12*$B520)-('Business Case'!B11*$C520*'Business Case'!B12*$B520))-'Business Case'!C15*$F520</f>
        <v>-23507835.1777104</v>
      </c>
      <c r="J520" s="53" t="n">
        <f aca="false">(('Business Case'!D11*$C520*'Business Case'!D12*$B520)-'Business Case'!D11*$C520*'Business Case'!D13*$D520-'Business Case'!D14*$E520)-MAX(0,(('Business Case'!D11*$C520*'Business Case'!D12*$B520)-'Business Case'!D11*$C520*'Business Case'!D13*$D520-'Business Case'!D14*$E520))*'Business Case'!$B$7-'Business Case'!$B$8*(('Business Case'!D11*$C520*'Business Case'!D12*$B520)-('Business Case'!C11*$C520*'Business Case'!C12*$B520))-'Business Case'!D15*$F520</f>
        <v>255174259.069688</v>
      </c>
      <c r="K520" s="53" t="n">
        <f aca="false">(('Business Case'!E11*$C520*'Business Case'!E12*$B520)-'Business Case'!E11*$C520*'Business Case'!E13*$D520-'Business Case'!E14*$E520)-MAX(0,(('Business Case'!E11*$C520*'Business Case'!E12*$B520)-'Business Case'!E11*$C520*'Business Case'!E13*$D520-'Business Case'!E14*$E520))*'Business Case'!$B$7-'Business Case'!$B$8*(('Business Case'!E11*$C520*'Business Case'!E12*$B520)-('Business Case'!D11*$C520*'Business Case'!D12*$B520))-'Business Case'!E15*$F520</f>
        <v>590477834.186019</v>
      </c>
      <c r="L520" s="53" t="n">
        <f aca="false">(('Business Case'!F11*$C520*'Business Case'!F12*$B520)-'Business Case'!F11*$C520*'Business Case'!F13*$D520-'Business Case'!F14*$E520)-MAX(0,(('Business Case'!F11*$C520*'Business Case'!F12*$B520)-'Business Case'!F11*$C520*'Business Case'!F13*$D520-'Business Case'!F14*$E520))*'Business Case'!$B$7-'Business Case'!$B$8*(('Business Case'!F11*$C520*'Business Case'!F12*$B520)-('Business Case'!E11*$C520*'Business Case'!E12*$B520))-'Business Case'!F15*$F520</f>
        <v>716189872.449468</v>
      </c>
      <c r="M520" s="53" t="n">
        <f aca="false">(('Business Case'!G11*$C520*'Business Case'!G12*$B520)-'Business Case'!G11*$C520*'Business Case'!G13*$D520-'Business Case'!G14*$E520)-MAX(0,(('Business Case'!G11*$C520*'Business Case'!G12*$B520)-'Business Case'!G11*$C520*'Business Case'!G13*$D520-'Business Case'!G14*$E520))*'Business Case'!$B$7-'Business Case'!$B$8*(('Business Case'!G11*$C520*'Business Case'!G12*$B520)-('Business Case'!F11*$C520*'Business Case'!F12*$B520))-'Business Case'!G15*$F520+'Business Case'!$B$8*('Business Case'!G11*$C520*'Business Case'!G12*$B520)</f>
        <v>896688910.111541</v>
      </c>
      <c r="N520" s="53" t="n">
        <f aca="false">IF(COUNT('Business Case'!B11:G11)=0,"",H520+NPV(G520,I520:M520))</f>
        <v>-568661905.296379</v>
      </c>
      <c r="P520" s="54" t="n">
        <f aca="true">RAND()</f>
        <v>0.225528824565796</v>
      </c>
      <c r="Q520" s="54" t="n">
        <f aca="true">RAND()</f>
        <v>0.475690299360005</v>
      </c>
      <c r="R520" s="54" t="n">
        <f aca="true">RAND()</f>
        <v>0.275977295453388</v>
      </c>
      <c r="S520" s="54" t="n">
        <f aca="true">RAND()</f>
        <v>0.141349259291055</v>
      </c>
      <c r="T520" s="54" t="n">
        <f aca="true">RAND()</f>
        <v>0.908684867848128</v>
      </c>
      <c r="U520" s="54" t="n">
        <f aca="true">RAND()</f>
        <v>0.168610230398573</v>
      </c>
    </row>
    <row r="521" customFormat="false" ht="15" hidden="false" customHeight="false" outlineLevel="0" collapsed="false">
      <c r="A521" s="50" t="n">
        <v>441</v>
      </c>
      <c r="B521" s="51" t="n">
        <f aca="false">1+IF($G$6=$E$6,$F$6,IF(P521&lt;($F$6-$E$6)/($G$6-$E$6),$E$6+SQRT(P521*($G$6-$E$6)*($F$6-$E$6)),$G$6-SQRT((1-P521)*($G$6-$E$6)*($G$6-$F$6))))</f>
        <v>0.970439785764342</v>
      </c>
      <c r="C521" s="51" t="n">
        <f aca="false">1+IF($G$7=$E$7,$F$7,IF(Q521&lt;($F$7-$E$7)/($G$7-$E$7),$E$7+SQRT(Q521*($G$7-$E$7)*($F$7-$E$7)),$G$7-SQRT((1-Q521)*($G$7-$E$7)*($G$7-$F$7))))</f>
        <v>0.816469588169176</v>
      </c>
      <c r="D521" s="51" t="n">
        <f aca="false">1+IF($G$8=$E$8,$F$8,IF(R521&lt;($F$8-$E$8)/($G$8-$E$8),$E$8+SQRT(R521*($G$8-$E$8)*($F$8-$E$8)),$G$8-SQRT((1-R521)*($G$8-$E$8)*($G$8-$F$8))))</f>
        <v>1.04561419135571</v>
      </c>
      <c r="E521" s="51" t="n">
        <f aca="false">1+IF($G$9=$E$9,$F$9,IF(S521&lt;($F$9-$E$9)/($G$9-$E$9),$E$9+SQRT(S521*($G$9-$E$9)*($F$9-$E$9)),$G$9-SQRT((1-S521)*($G$9-$E$9)*($G$9-$F$9))))</f>
        <v>1.0215067753728</v>
      </c>
      <c r="F521" s="51" t="n">
        <f aca="false">1+IF($G$10=$E$10,$F$10,IF(T521&lt;($F$10-$E$10)/($G$10-$E$10),$E$10+SQRT(T521*($G$10-$E$10)*($F$10-$E$10)),$G$10-SQRT((1-T521)*($G$10-$E$10)*($G$10-$F$10))))</f>
        <v>1.05968778507515</v>
      </c>
      <c r="G521" s="52" t="n">
        <f aca="false">IF($G$11=$E$11,$F$11,IF(U521&lt;($F$11-$E$11)/($G$11-$E$11),$E$11+SQRT(U521*($G$11-$E$11)*($F$11-$E$11)),$G$11-SQRT((1-U521)*($G$11-$E$11)*($G$11-$F$11))))</f>
        <v>0.111231540850208</v>
      </c>
      <c r="H521" s="53" t="n">
        <f aca="false">(('Business Case'!B11*$C521*'Business Case'!B12*$B521)-'Business Case'!B11*$C521*'Business Case'!B13*$D521-'Business Case'!B14*$E521)-MAX(0,(('Business Case'!B11*$C521*'Business Case'!B12*$B521)-'Business Case'!B11*$C521*'Business Case'!B13*$D521-'Business Case'!B14*$E521))*'Business Case'!$B$7-'Business Case'!$B$8*('Business Case'!B11*$C521*'Business Case'!B12*$B521)-'Business Case'!B15*$F521</f>
        <v>-2119375570.1503</v>
      </c>
      <c r="I521" s="53" t="n">
        <f aca="false">(('Business Case'!C11*$C521*'Business Case'!C12*$B521)-'Business Case'!C11*$C521*'Business Case'!C13*$D521-'Business Case'!C14*$E521)-MAX(0,(('Business Case'!C11*$C521*'Business Case'!C12*$B521)-'Business Case'!C11*$C521*'Business Case'!C13*$D521-'Business Case'!C14*$E521))*'Business Case'!$B$7-'Business Case'!$B$8*(('Business Case'!C11*$C521*'Business Case'!C12*$B521)-('Business Case'!B11*$C521*'Business Case'!B12*$B521))-'Business Case'!C15*$F521</f>
        <v>-80354946.8307992</v>
      </c>
      <c r="J521" s="53" t="n">
        <f aca="false">(('Business Case'!D11*$C521*'Business Case'!D12*$B521)-'Business Case'!D11*$C521*'Business Case'!D13*$D521-'Business Case'!D14*$E521)-MAX(0,(('Business Case'!D11*$C521*'Business Case'!D12*$B521)-'Business Case'!D11*$C521*'Business Case'!D13*$D521-'Business Case'!D14*$E521))*'Business Case'!$B$7-'Business Case'!$B$8*(('Business Case'!D11*$C521*'Business Case'!D12*$B521)-('Business Case'!C11*$C521*'Business Case'!C12*$B521))-'Business Case'!D15*$F521</f>
        <v>131591772.528125</v>
      </c>
      <c r="K521" s="53" t="n">
        <f aca="false">(('Business Case'!E11*$C521*'Business Case'!E12*$B521)-'Business Case'!E11*$C521*'Business Case'!E13*$D521-'Business Case'!E14*$E521)-MAX(0,(('Business Case'!E11*$C521*'Business Case'!E12*$B521)-'Business Case'!E11*$C521*'Business Case'!E13*$D521-'Business Case'!E14*$E521))*'Business Case'!$B$7-'Business Case'!$B$8*(('Business Case'!E11*$C521*'Business Case'!E12*$B521)-('Business Case'!D11*$C521*'Business Case'!D12*$B521))-'Business Case'!E15*$F521</f>
        <v>396522881.140806</v>
      </c>
      <c r="L521" s="53" t="n">
        <f aca="false">(('Business Case'!F11*$C521*'Business Case'!F12*$B521)-'Business Case'!F11*$C521*'Business Case'!F13*$D521-'Business Case'!F14*$E521)-MAX(0,(('Business Case'!F11*$C521*'Business Case'!F12*$B521)-'Business Case'!F11*$C521*'Business Case'!F13*$D521-'Business Case'!F14*$E521))*'Business Case'!$B$7-'Business Case'!$B$8*(('Business Case'!F11*$C521*'Business Case'!F12*$B521)-('Business Case'!E11*$C521*'Business Case'!E12*$B521))-'Business Case'!F15*$F521</f>
        <v>494554870.409911</v>
      </c>
      <c r="M521" s="53" t="n">
        <f aca="false">(('Business Case'!G11*$C521*'Business Case'!G12*$B521)-'Business Case'!G11*$C521*'Business Case'!G13*$D521-'Business Case'!G14*$E521)-MAX(0,(('Business Case'!G11*$C521*'Business Case'!G12*$B521)-'Business Case'!G11*$C521*'Business Case'!G13*$D521-'Business Case'!G14*$E521))*'Business Case'!$B$7-'Business Case'!$B$8*(('Business Case'!G11*$C521*'Business Case'!G12*$B521)-('Business Case'!F11*$C521*'Business Case'!F12*$B521))-'Business Case'!G15*$F521+'Business Case'!$B$8*('Business Case'!G11*$C521*'Business Case'!G12*$B521)</f>
        <v>645161825.898628</v>
      </c>
      <c r="N521" s="53" t="n">
        <f aca="false">IF(COUNT('Business Case'!B11:G11)=0,"",H521+NPV(G521,I521:M521))</f>
        <v>-1091057712.66573</v>
      </c>
      <c r="P521" s="54" t="n">
        <f aca="true">RAND()</f>
        <v>0.265017915411742</v>
      </c>
      <c r="Q521" s="54" t="n">
        <f aca="true">RAND()</f>
        <v>0.0038749619208894</v>
      </c>
      <c r="R521" s="54" t="n">
        <f aca="true">RAND()</f>
        <v>0.886309246526776</v>
      </c>
      <c r="S521" s="54" t="n">
        <f aca="true">RAND()</f>
        <v>0.589254245841609</v>
      </c>
      <c r="T521" s="54" t="n">
        <f aca="true">RAND()</f>
        <v>0.606249646857655</v>
      </c>
      <c r="U521" s="54" t="n">
        <f aca="true">RAND()</f>
        <v>0.871856873564038</v>
      </c>
    </row>
    <row r="522" customFormat="false" ht="15" hidden="false" customHeight="false" outlineLevel="0" collapsed="false">
      <c r="A522" s="50" t="n">
        <v>442</v>
      </c>
      <c r="B522" s="51" t="n">
        <f aca="false">1+IF($G$6=$E$6,$F$6,IF(P522&lt;($F$6-$E$6)/($G$6-$E$6),$E$6+SQRT(P522*($G$6-$E$6)*($F$6-$E$6)),$G$6-SQRT((1-P522)*($G$6-$E$6)*($G$6-$F$6))))</f>
        <v>0.927460076413732</v>
      </c>
      <c r="C522" s="51" t="n">
        <f aca="false">1+IF($G$7=$E$7,$F$7,IF(Q522&lt;($F$7-$E$7)/($G$7-$E$7),$E$7+SQRT(Q522*($G$7-$E$7)*($F$7-$E$7)),$G$7-SQRT((1-Q522)*($G$7-$E$7)*($G$7-$F$7))))</f>
        <v>0.980835069181707</v>
      </c>
      <c r="D522" s="51" t="n">
        <f aca="false">1+IF($G$8=$E$8,$F$8,IF(R522&lt;($F$8-$E$8)/($G$8-$E$8),$E$8+SQRT(R522*($G$8-$E$8)*($F$8-$E$8)),$G$8-SQRT((1-R522)*($G$8-$E$8)*($G$8-$F$8))))</f>
        <v>1.04163428200728</v>
      </c>
      <c r="E522" s="51" t="n">
        <f aca="false">1+IF($G$9=$E$9,$F$9,IF(S522&lt;($F$9-$E$9)/($G$9-$E$9),$E$9+SQRT(S522*($G$9-$E$9)*($F$9-$E$9)),$G$9-SQRT((1-S522)*($G$9-$E$9)*($G$9-$F$9))))</f>
        <v>1.00747481895869</v>
      </c>
      <c r="F522" s="51" t="n">
        <f aca="false">1+IF($G$10=$E$10,$F$10,IF(T522&lt;($F$10-$E$10)/($G$10-$E$10),$E$10+SQRT(T522*($G$10-$E$10)*($F$10-$E$10)),$G$10-SQRT((1-T522)*($G$10-$E$10)*($G$10-$F$10))))</f>
        <v>1.14970934396755</v>
      </c>
      <c r="G522" s="52" t="n">
        <f aca="false">IF($G$11=$E$11,$F$11,IF(U522&lt;($F$11-$E$11)/($G$11-$E$11),$E$11+SQRT(U522*($G$11-$E$11)*($F$11-$E$11)),$G$11-SQRT((1-U522)*($G$11-$E$11)*($G$11-$F$11))))</f>
        <v>0.106473151404546</v>
      </c>
      <c r="H522" s="53" t="n">
        <f aca="false">(('Business Case'!B11*$C522*'Business Case'!B12*$B522)-'Business Case'!B11*$C522*'Business Case'!B13*$D522-'Business Case'!B14*$E522)-MAX(0,(('Business Case'!B11*$C522*'Business Case'!B12*$B522)-'Business Case'!B11*$C522*'Business Case'!B13*$D522-'Business Case'!B14*$E522))*'Business Case'!$B$7-'Business Case'!$B$8*('Business Case'!B11*$C522*'Business Case'!B12*$B522)-'Business Case'!B15*$F522</f>
        <v>-2299418687.9351</v>
      </c>
      <c r="I522" s="53" t="n">
        <f aca="false">(('Business Case'!C11*$C522*'Business Case'!C12*$B522)-'Business Case'!C11*$C522*'Business Case'!C13*$D522-'Business Case'!C14*$E522)-MAX(0,(('Business Case'!C11*$C522*'Business Case'!C12*$B522)-'Business Case'!C11*$C522*'Business Case'!C13*$D522-'Business Case'!C14*$E522))*'Business Case'!$B$7-'Business Case'!$B$8*(('Business Case'!C11*$C522*'Business Case'!C12*$B522)-('Business Case'!B11*$C522*'Business Case'!B12*$B522))-'Business Case'!C15*$F522</f>
        <v>-83308169.2375757</v>
      </c>
      <c r="J522" s="53" t="n">
        <f aca="false">(('Business Case'!D11*$C522*'Business Case'!D12*$B522)-'Business Case'!D11*$C522*'Business Case'!D13*$D522-'Business Case'!D14*$E522)-MAX(0,(('Business Case'!D11*$C522*'Business Case'!D12*$B522)-'Business Case'!D11*$C522*'Business Case'!D13*$D522-'Business Case'!D14*$E522))*'Business Case'!$B$7-'Business Case'!$B$8*(('Business Case'!D11*$C522*'Business Case'!D12*$B522)-('Business Case'!C11*$C522*'Business Case'!C12*$B522))-'Business Case'!D15*$F522</f>
        <v>138775604.665667</v>
      </c>
      <c r="K522" s="53" t="n">
        <f aca="false">(('Business Case'!E11*$C522*'Business Case'!E12*$B522)-'Business Case'!E11*$C522*'Business Case'!E13*$D522-'Business Case'!E14*$E522)-MAX(0,(('Business Case'!E11*$C522*'Business Case'!E12*$B522)-'Business Case'!E11*$C522*'Business Case'!E13*$D522-'Business Case'!E14*$E522))*'Business Case'!$B$7-'Business Case'!$B$8*(('Business Case'!E11*$C522*'Business Case'!E12*$B522)-('Business Case'!D11*$C522*'Business Case'!D12*$B522))-'Business Case'!E15*$F522</f>
        <v>418344845.767287</v>
      </c>
      <c r="L522" s="53" t="n">
        <f aca="false">(('Business Case'!F11*$C522*'Business Case'!F12*$B522)-'Business Case'!F11*$C522*'Business Case'!F13*$D522-'Business Case'!F14*$E522)-MAX(0,(('Business Case'!F11*$C522*'Business Case'!F12*$B522)-'Business Case'!F11*$C522*'Business Case'!F13*$D522-'Business Case'!F14*$E522))*'Business Case'!$B$7-'Business Case'!$B$8*(('Business Case'!F11*$C522*'Business Case'!F12*$B522)-('Business Case'!E11*$C522*'Business Case'!E12*$B522))-'Business Case'!F15*$F522</f>
        <v>523811496.727126</v>
      </c>
      <c r="M522" s="53" t="n">
        <f aca="false">(('Business Case'!G11*$C522*'Business Case'!G12*$B522)-'Business Case'!G11*$C522*'Business Case'!G13*$D522-'Business Case'!G14*$E522)-MAX(0,(('Business Case'!G11*$C522*'Business Case'!G12*$B522)-'Business Case'!G11*$C522*'Business Case'!G13*$D522-'Business Case'!G14*$E522))*'Business Case'!$B$7-'Business Case'!$B$8*(('Business Case'!G11*$C522*'Business Case'!G12*$B522)-('Business Case'!F11*$C522*'Business Case'!F12*$B522))-'Business Case'!G15*$F522+'Business Case'!$B$8*('Business Case'!G11*$C522*'Business Case'!G12*$B522)</f>
        <v>696724491.516965</v>
      </c>
      <c r="N522" s="53" t="n">
        <f aca="false">IF(COUNT('Business Case'!B11:G11)=0,"",H522+NPV(G522,I522:M522))</f>
        <v>-1182958070.0094</v>
      </c>
      <c r="P522" s="54" t="n">
        <f aca="true">RAND()</f>
        <v>0.00579716042694964</v>
      </c>
      <c r="Q522" s="54" t="n">
        <f aca="true">RAND()</f>
        <v>0.467161746370755</v>
      </c>
      <c r="R522" s="54" t="n">
        <f aca="true">RAND()</f>
        <v>0.858468431048352</v>
      </c>
      <c r="S522" s="54" t="n">
        <f aca="true">RAND()</f>
        <v>0.429272724884817</v>
      </c>
      <c r="T522" s="54" t="n">
        <f aca="true">RAND()</f>
        <v>0.949416998316518</v>
      </c>
      <c r="U522" s="54" t="n">
        <f aca="true">RAND()</f>
        <v>0.695040611792794</v>
      </c>
    </row>
    <row r="523" customFormat="false" ht="15" hidden="false" customHeight="false" outlineLevel="0" collapsed="false">
      <c r="A523" s="50" t="n">
        <v>443</v>
      </c>
      <c r="B523" s="51" t="n">
        <f aca="false">1+IF($G$6=$E$6,$F$6,IF(P523&lt;($F$6-$E$6)/($G$6-$E$6),$E$6+SQRT(P523*($G$6-$E$6)*($F$6-$E$6)),$G$6-SQRT((1-P523)*($G$6-$E$6)*($G$6-$F$6))))</f>
        <v>1.01139916674039</v>
      </c>
      <c r="C523" s="51" t="n">
        <f aca="false">1+IF($G$7=$E$7,$F$7,IF(Q523&lt;($F$7-$E$7)/($G$7-$E$7),$E$7+SQRT(Q523*($G$7-$E$7)*($F$7-$E$7)),$G$7-SQRT((1-Q523)*($G$7-$E$7)*($G$7-$F$7))))</f>
        <v>1.03391134040663</v>
      </c>
      <c r="D523" s="51" t="n">
        <f aca="false">1+IF($G$8=$E$8,$F$8,IF(R523&lt;($F$8-$E$8)/($G$8-$E$8),$E$8+SQRT(R523*($G$8-$E$8)*($F$8-$E$8)),$G$8-SQRT((1-R523)*($G$8-$E$8)*($G$8-$F$8))))</f>
        <v>1.01824845005418</v>
      </c>
      <c r="E523" s="51" t="n">
        <f aca="false">1+IF($G$9=$E$9,$F$9,IF(S523&lt;($F$9-$E$9)/($G$9-$E$9),$E$9+SQRT(S523*($G$9-$E$9)*($F$9-$E$9)),$G$9-SQRT((1-S523)*($G$9-$E$9)*($G$9-$F$9))))</f>
        <v>1.08520807410092</v>
      </c>
      <c r="F523" s="51" t="n">
        <f aca="false">1+IF($G$10=$E$10,$F$10,IF(T523&lt;($F$10-$E$10)/($G$10-$E$10),$E$10+SQRT(T523*($G$10-$E$10)*($F$10-$E$10)),$G$10-SQRT((1-T523)*($G$10-$E$10)*($G$10-$F$10))))</f>
        <v>1.10836652784045</v>
      </c>
      <c r="G523" s="52" t="n">
        <f aca="false">IF($G$11=$E$11,$F$11,IF(U523&lt;($F$11-$E$11)/($G$11-$E$11),$E$11+SQRT(U523*($G$11-$E$11)*($F$11-$E$11)),$G$11-SQRT((1-U523)*($G$11-$E$11)*($G$11-$F$11))))</f>
        <v>0.101109246743945</v>
      </c>
      <c r="H523" s="53" t="n">
        <f aca="false">(('Business Case'!B11*$C523*'Business Case'!B12*$B523)-'Business Case'!B11*$C523*'Business Case'!B13*$D523-'Business Case'!B14*$E523)-MAX(0,(('Business Case'!B11*$C523*'Business Case'!B12*$B523)-'Business Case'!B11*$C523*'Business Case'!B13*$D523-'Business Case'!B14*$E523))*'Business Case'!$B$7-'Business Case'!$B$8*('Business Case'!B11*$C523*'Business Case'!B12*$B523)-'Business Case'!B15*$F523</f>
        <v>-2216733055.6809</v>
      </c>
      <c r="I523" s="53" t="n">
        <f aca="false">(('Business Case'!C11*$C523*'Business Case'!C12*$B523)-'Business Case'!C11*$C523*'Business Case'!C13*$D523-'Business Case'!C14*$E523)-MAX(0,(('Business Case'!C11*$C523*'Business Case'!C12*$B523)-'Business Case'!C11*$C523*'Business Case'!C13*$D523-'Business Case'!C14*$E523))*'Business Case'!$B$7-'Business Case'!$B$8*(('Business Case'!C11*$C523*'Business Case'!C12*$B523)-('Business Case'!B11*$C523*'Business Case'!B12*$B523))-'Business Case'!C15*$F523</f>
        <v>-1799418.9944582</v>
      </c>
      <c r="J523" s="53" t="n">
        <f aca="false">(('Business Case'!D11*$C523*'Business Case'!D12*$B523)-'Business Case'!D11*$C523*'Business Case'!D13*$D523-'Business Case'!D14*$E523)-MAX(0,(('Business Case'!D11*$C523*'Business Case'!D12*$B523)-'Business Case'!D11*$C523*'Business Case'!D13*$D523-'Business Case'!D14*$E523))*'Business Case'!$B$7-'Business Case'!$B$8*(('Business Case'!D11*$C523*'Business Case'!D12*$B523)-('Business Case'!C11*$C523*'Business Case'!C12*$B523))-'Business Case'!D15*$F523</f>
        <v>315763338.946249</v>
      </c>
      <c r="K523" s="53" t="n">
        <f aca="false">(('Business Case'!E11*$C523*'Business Case'!E12*$B523)-'Business Case'!E11*$C523*'Business Case'!E13*$D523-'Business Case'!E14*$E523)-MAX(0,(('Business Case'!E11*$C523*'Business Case'!E12*$B523)-'Business Case'!E11*$C523*'Business Case'!E13*$D523-'Business Case'!E14*$E523))*'Business Case'!$B$7-'Business Case'!$B$8*(('Business Case'!E11*$C523*'Business Case'!E12*$B523)-('Business Case'!D11*$C523*'Business Case'!D12*$B523))-'Business Case'!E15*$F523</f>
        <v>688744423.278979</v>
      </c>
      <c r="L523" s="53" t="n">
        <f aca="false">(('Business Case'!F11*$C523*'Business Case'!F12*$B523)-'Business Case'!F11*$C523*'Business Case'!F13*$D523-'Business Case'!F14*$E523)-MAX(0,(('Business Case'!F11*$C523*'Business Case'!F12*$B523)-'Business Case'!F11*$C523*'Business Case'!F13*$D523-'Business Case'!F14*$E523))*'Business Case'!$B$7-'Business Case'!$B$8*(('Business Case'!F11*$C523*'Business Case'!F12*$B523)-('Business Case'!E11*$C523*'Business Case'!E12*$B523))-'Business Case'!F15*$F523</f>
        <v>830737966.60186</v>
      </c>
      <c r="M523" s="53" t="n">
        <f aca="false">(('Business Case'!G11*$C523*'Business Case'!G12*$B523)-'Business Case'!G11*$C523*'Business Case'!G13*$D523-'Business Case'!G14*$E523)-MAX(0,(('Business Case'!G11*$C523*'Business Case'!G12*$B523)-'Business Case'!G11*$C523*'Business Case'!G13*$D523-'Business Case'!G14*$E523))*'Business Case'!$B$7-'Business Case'!$B$8*(('Business Case'!G11*$C523*'Business Case'!G12*$B523)-('Business Case'!F11*$C523*'Business Case'!F12*$B523))-'Business Case'!G15*$F523+'Business Case'!$B$8*('Business Case'!G11*$C523*'Business Case'!G12*$B523)</f>
        <v>1029504065.31975</v>
      </c>
      <c r="N523" s="53" t="n">
        <f aca="false">IF(COUNT('Business Case'!B11:G11)=0,"",H523+NPV(G523,I523:M523))</f>
        <v>-240879782.52581</v>
      </c>
      <c r="P523" s="54" t="n">
        <f aca="true">RAND()</f>
        <v>0.82958173684498</v>
      </c>
      <c r="Q523" s="54" t="n">
        <f aca="true">RAND()</f>
        <v>0.743303297405993</v>
      </c>
      <c r="R523" s="54" t="n">
        <f aca="true">RAND()</f>
        <v>0.633340969162424</v>
      </c>
      <c r="S523" s="54" t="n">
        <f aca="true">RAND()</f>
        <v>0.985413261879744</v>
      </c>
      <c r="T523" s="54" t="n">
        <f aca="true">RAND()</f>
        <v>0.832066135599692</v>
      </c>
      <c r="U523" s="54" t="n">
        <f aca="true">RAND()</f>
        <v>0.40523240236477</v>
      </c>
    </row>
    <row r="524" customFormat="false" ht="15" hidden="false" customHeight="false" outlineLevel="0" collapsed="false">
      <c r="A524" s="50" t="n">
        <v>444</v>
      </c>
      <c r="B524" s="51" t="n">
        <f aca="false">1+IF($G$6=$E$6,$F$6,IF(P524&lt;($F$6-$E$6)/($G$6-$E$6),$E$6+SQRT(P524*($G$6-$E$6)*($F$6-$E$6)),$G$6-SQRT((1-P524)*($G$6-$E$6)*($G$6-$F$6))))</f>
        <v>1.00045908805978</v>
      </c>
      <c r="C524" s="51" t="n">
        <f aca="false">1+IF($G$7=$E$7,$F$7,IF(Q524&lt;($F$7-$E$7)/($G$7-$E$7),$E$7+SQRT(Q524*($G$7-$E$7)*($F$7-$E$7)),$G$7-SQRT((1-Q524)*($G$7-$E$7)*($G$7-$F$7))))</f>
        <v>1.1114891603857</v>
      </c>
      <c r="D524" s="51" t="n">
        <f aca="false">1+IF($G$8=$E$8,$F$8,IF(R524&lt;($F$8-$E$8)/($G$8-$E$8),$E$8+SQRT(R524*($G$8-$E$8)*($F$8-$E$8)),$G$8-SQRT((1-R524)*($G$8-$E$8)*($G$8-$F$8))))</f>
        <v>0.986497867575422</v>
      </c>
      <c r="E524" s="51" t="n">
        <f aca="false">1+IF($G$9=$E$9,$F$9,IF(S524&lt;($F$9-$E$9)/($G$9-$E$9),$E$9+SQRT(S524*($G$9-$E$9)*($F$9-$E$9)),$G$9-SQRT((1-S524)*($G$9-$E$9)*($G$9-$F$9))))</f>
        <v>1.02431645126349</v>
      </c>
      <c r="F524" s="51" t="n">
        <f aca="false">1+IF($G$10=$E$10,$F$10,IF(T524&lt;($F$10-$E$10)/($G$10-$E$10),$E$10+SQRT(T524*($G$10-$E$10)*($F$10-$E$10)),$G$10-SQRT((1-T524)*($G$10-$E$10)*($G$10-$F$10))))</f>
        <v>0.997616933388723</v>
      </c>
      <c r="G524" s="52" t="n">
        <f aca="false">IF($G$11=$E$11,$F$11,IF(U524&lt;($F$11-$E$11)/($G$11-$E$11),$E$11+SQRT(U524*($G$11-$E$11)*($F$11-$E$11)),$G$11-SQRT((1-U524)*($G$11-$E$11)*($G$11-$F$11))))</f>
        <v>0.0916105477848403</v>
      </c>
      <c r="H524" s="53" t="n">
        <f aca="false">(('Business Case'!B11*$C524*'Business Case'!B12*$B524)-'Business Case'!B11*$C524*'Business Case'!B13*$D524-'Business Case'!B14*$E524)-MAX(0,(('Business Case'!B11*$C524*'Business Case'!B12*$B524)-'Business Case'!B11*$C524*'Business Case'!B13*$D524-'Business Case'!B14*$E524))*'Business Case'!$B$7-'Business Case'!$B$8*('Business Case'!B11*$C524*'Business Case'!B12*$B524)-'Business Case'!B15*$F524</f>
        <v>-1995233866.77745</v>
      </c>
      <c r="I524" s="53" t="n">
        <f aca="false">(('Business Case'!C11*$C524*'Business Case'!C12*$B524)-'Business Case'!C11*$C524*'Business Case'!C13*$D524-'Business Case'!C14*$E524)-MAX(0,(('Business Case'!C11*$C524*'Business Case'!C12*$B524)-'Business Case'!C11*$C524*'Business Case'!C13*$D524-'Business Case'!C14*$E524))*'Business Case'!$B$7-'Business Case'!$B$8*(('Business Case'!C11*$C524*'Business Case'!C12*$B524)-('Business Case'!B11*$C524*'Business Case'!B12*$B524))-'Business Case'!C15*$F524</f>
        <v>46431150.360321</v>
      </c>
      <c r="J524" s="53" t="n">
        <f aca="false">(('Business Case'!D11*$C524*'Business Case'!D12*$B524)-'Business Case'!D11*$C524*'Business Case'!D13*$D524-'Business Case'!D14*$E524)-MAX(0,(('Business Case'!D11*$C524*'Business Case'!D12*$B524)-'Business Case'!D11*$C524*'Business Case'!D13*$D524-'Business Case'!D14*$E524))*'Business Case'!$B$7-'Business Case'!$B$8*(('Business Case'!D11*$C524*'Business Case'!D12*$B524)-('Business Case'!C11*$C524*'Business Case'!C12*$B524))-'Business Case'!D15*$F524</f>
        <v>395927843.973063</v>
      </c>
      <c r="K524" s="53" t="n">
        <f aca="false">(('Business Case'!E11*$C524*'Business Case'!E12*$B524)-'Business Case'!E11*$C524*'Business Case'!E13*$D524-'Business Case'!E14*$E524)-MAX(0,(('Business Case'!E11*$C524*'Business Case'!E12*$B524)-'Business Case'!E11*$C524*'Business Case'!E13*$D524-'Business Case'!E14*$E524))*'Business Case'!$B$7-'Business Case'!$B$8*(('Business Case'!E11*$C524*'Business Case'!E12*$B524)-('Business Case'!D11*$C524*'Business Case'!D12*$B524))-'Business Case'!E15*$F524</f>
        <v>795305384.255242</v>
      </c>
      <c r="L524" s="53" t="n">
        <f aca="false">(('Business Case'!F11*$C524*'Business Case'!F12*$B524)-'Business Case'!F11*$C524*'Business Case'!F13*$D524-'Business Case'!F14*$E524)-MAX(0,(('Business Case'!F11*$C524*'Business Case'!F12*$B524)-'Business Case'!F11*$C524*'Business Case'!F13*$D524-'Business Case'!F14*$E524))*'Business Case'!$B$7-'Business Case'!$B$8*(('Business Case'!F11*$C524*'Business Case'!F12*$B524)-('Business Case'!E11*$C524*'Business Case'!E12*$B524))-'Business Case'!F15*$F524</f>
        <v>950234982.488743</v>
      </c>
      <c r="M524" s="53" t="n">
        <f aca="false">(('Business Case'!G11*$C524*'Business Case'!G12*$B524)-'Business Case'!G11*$C524*'Business Case'!G13*$D524-'Business Case'!G14*$E524)-MAX(0,(('Business Case'!G11*$C524*'Business Case'!G12*$B524)-'Business Case'!G11*$C524*'Business Case'!G13*$D524-'Business Case'!G14*$E524))*'Business Case'!$B$7-'Business Case'!$B$8*(('Business Case'!G11*$C524*'Business Case'!G12*$B524)-('Business Case'!F11*$C524*'Business Case'!F12*$B524))-'Business Case'!G15*$F524+'Business Case'!$B$8*('Business Case'!G11*$C524*'Business Case'!G12*$B524)</f>
        <v>1161603834.48297</v>
      </c>
      <c r="N524" s="53" t="n">
        <f aca="false">IF(COUNT('Business Case'!B11:G11)=0,"",H524+NPV(G524,I524:M524))</f>
        <v>409586442.995064</v>
      </c>
      <c r="P524" s="54" t="n">
        <f aca="true">RAND()</f>
        <v>0.674274225611653</v>
      </c>
      <c r="Q524" s="54" t="n">
        <f aca="true">RAND()</f>
        <v>0.971750766327656</v>
      </c>
      <c r="R524" s="54" t="n">
        <f aca="true">RAND()</f>
        <v>0.204937590392772</v>
      </c>
      <c r="S524" s="54" t="n">
        <f aca="true">RAND()</f>
        <v>0.618133363376582</v>
      </c>
      <c r="T524" s="54" t="n">
        <f aca="true">RAND()</f>
        <v>0.181389787627687</v>
      </c>
      <c r="U524" s="54" t="n">
        <f aca="true">RAND()</f>
        <v>0.00864621389084649</v>
      </c>
    </row>
    <row r="525" customFormat="false" ht="15" hidden="false" customHeight="false" outlineLevel="0" collapsed="false">
      <c r="A525" s="50" t="n">
        <v>445</v>
      </c>
      <c r="B525" s="51" t="n">
        <f aca="false">1+IF($G$6=$E$6,$F$6,IF(P525&lt;($F$6-$E$6)/($G$6-$E$6),$E$6+SQRT(P525*($G$6-$E$6)*($F$6-$E$6)),$G$6-SQRT((1-P525)*($G$6-$E$6)*($G$6-$F$6))))</f>
        <v>0.98557890170652</v>
      </c>
      <c r="C525" s="51" t="n">
        <f aca="false">1+IF($G$7=$E$7,$F$7,IF(Q525&lt;($F$7-$E$7)/($G$7-$E$7),$E$7+SQRT(Q525*($G$7-$E$7)*($F$7-$E$7)),$G$7-SQRT((1-Q525)*($G$7-$E$7)*($G$7-$F$7))))</f>
        <v>1.06335656032938</v>
      </c>
      <c r="D525" s="51" t="n">
        <f aca="false">1+IF($G$8=$E$8,$F$8,IF(R525&lt;($F$8-$E$8)/($G$8-$E$8),$E$8+SQRT(R525*($G$8-$E$8)*($F$8-$E$8)),$G$8-SQRT((1-R525)*($G$8-$E$8)*($G$8-$F$8))))</f>
        <v>0.976379816176103</v>
      </c>
      <c r="E525" s="51" t="n">
        <f aca="false">1+IF($G$9=$E$9,$F$9,IF(S525&lt;($F$9-$E$9)/($G$9-$E$9),$E$9+SQRT(S525*($G$9-$E$9)*($F$9-$E$9)),$G$9-SQRT((1-S525)*($G$9-$E$9)*($G$9-$F$9))))</f>
        <v>0.999137080451872</v>
      </c>
      <c r="F525" s="51" t="n">
        <f aca="false">1+IF($G$10=$E$10,$F$10,IF(T525&lt;($F$10-$E$10)/($G$10-$E$10),$E$10+SQRT(T525*($G$10-$E$10)*($F$10-$E$10)),$G$10-SQRT((1-T525)*($G$10-$E$10)*($G$10-$F$10))))</f>
        <v>1.01128511833411</v>
      </c>
      <c r="G525" s="52" t="n">
        <f aca="false">IF($G$11=$E$11,$F$11,IF(U525&lt;($F$11-$E$11)/($G$11-$E$11),$E$11+SQRT(U525*($G$11-$E$11)*($F$11-$E$11)),$G$11-SQRT((1-U525)*($G$11-$E$11)*($G$11-$F$11))))</f>
        <v>0.0999261047089379</v>
      </c>
      <c r="H525" s="53" t="n">
        <f aca="false">(('Business Case'!B11*$C525*'Business Case'!B12*$B525)-'Business Case'!B11*$C525*'Business Case'!B13*$D525-'Business Case'!B14*$E525)-MAX(0,(('Business Case'!B11*$C525*'Business Case'!B12*$B525)-'Business Case'!B11*$C525*'Business Case'!B13*$D525-'Business Case'!B14*$E525))*'Business Case'!$B$7-'Business Case'!$B$8*('Business Case'!B11*$C525*'Business Case'!B12*$B525)-'Business Case'!B15*$F525</f>
        <v>-2022570236.66822</v>
      </c>
      <c r="I525" s="53" t="n">
        <f aca="false">(('Business Case'!C11*$C525*'Business Case'!C12*$B525)-'Business Case'!C11*$C525*'Business Case'!C13*$D525-'Business Case'!C14*$E525)-MAX(0,(('Business Case'!C11*$C525*'Business Case'!C12*$B525)-'Business Case'!C11*$C525*'Business Case'!C13*$D525-'Business Case'!C14*$E525))*'Business Case'!$B$7-'Business Case'!$B$8*(('Business Case'!C11*$C525*'Business Case'!C12*$B525)-('Business Case'!B11*$C525*'Business Case'!B12*$B525))-'Business Case'!C15*$F525</f>
        <v>29374289.1089387</v>
      </c>
      <c r="J525" s="53" t="n">
        <f aca="false">(('Business Case'!D11*$C525*'Business Case'!D12*$B525)-'Business Case'!D11*$C525*'Business Case'!D13*$D525-'Business Case'!D14*$E525)-MAX(0,(('Business Case'!D11*$C525*'Business Case'!D12*$B525)-'Business Case'!D11*$C525*'Business Case'!D13*$D525-'Business Case'!D14*$E525))*'Business Case'!$B$7-'Business Case'!$B$8*(('Business Case'!D11*$C525*'Business Case'!D12*$B525)-('Business Case'!C11*$C525*'Business Case'!C12*$B525))-'Business Case'!D15*$F525</f>
        <v>356283832.529305</v>
      </c>
      <c r="K525" s="53" t="n">
        <f aca="false">(('Business Case'!E11*$C525*'Business Case'!E12*$B525)-'Business Case'!E11*$C525*'Business Case'!E13*$D525-'Business Case'!E14*$E525)-MAX(0,(('Business Case'!E11*$C525*'Business Case'!E12*$B525)-'Business Case'!E11*$C525*'Business Case'!E13*$D525-'Business Case'!E14*$E525))*'Business Case'!$B$7-'Business Case'!$B$8*(('Business Case'!E11*$C525*'Business Case'!E12*$B525)-('Business Case'!D11*$C525*'Business Case'!D12*$B525))-'Business Case'!E15*$F525</f>
        <v>733757631.866376</v>
      </c>
      <c r="L525" s="53" t="n">
        <f aca="false">(('Business Case'!F11*$C525*'Business Case'!F12*$B525)-'Business Case'!F11*$C525*'Business Case'!F13*$D525-'Business Case'!F14*$E525)-MAX(0,(('Business Case'!F11*$C525*'Business Case'!F12*$B525)-'Business Case'!F11*$C525*'Business Case'!F13*$D525-'Business Case'!F14*$E525))*'Business Case'!$B$7-'Business Case'!$B$8*(('Business Case'!F11*$C525*'Business Case'!F12*$B525)-('Business Case'!E11*$C525*'Business Case'!E12*$B525))-'Business Case'!F15*$F525</f>
        <v>878947112.765005</v>
      </c>
      <c r="M525" s="53" t="n">
        <f aca="false">(('Business Case'!G11*$C525*'Business Case'!G12*$B525)-'Business Case'!G11*$C525*'Business Case'!G13*$D525-'Business Case'!G14*$E525)-MAX(0,(('Business Case'!G11*$C525*'Business Case'!G12*$B525)-'Business Case'!G11*$C525*'Business Case'!G13*$D525-'Business Case'!G14*$E525))*'Business Case'!$B$7-'Business Case'!$B$8*(('Business Case'!G11*$C525*'Business Case'!G12*$B525)-('Business Case'!F11*$C525*'Business Case'!F12*$B525))-'Business Case'!G15*$F525+'Business Case'!$B$8*('Business Case'!G11*$C525*'Business Case'!G12*$B525)</f>
        <v>1078155094.77013</v>
      </c>
      <c r="N525" s="53" t="n">
        <f aca="false">IF(COUNT('Business Case'!B11:G11)=0,"",H525+NPV(G525,I525:M525))</f>
        <v>120186995.431446</v>
      </c>
      <c r="P525" s="54" t="n">
        <f aca="true">RAND()</f>
        <v>0.447978369690985</v>
      </c>
      <c r="Q525" s="54" t="n">
        <f aca="true">RAND()</f>
        <v>0.857007892610351</v>
      </c>
      <c r="R525" s="54" t="n">
        <f aca="true">RAND()</f>
        <v>0.107060723305384</v>
      </c>
      <c r="S525" s="54" t="n">
        <f aca="true">RAND()</f>
        <v>0.321927023377826</v>
      </c>
      <c r="T525" s="54" t="n">
        <f aca="true">RAND()</f>
        <v>0.287733868756584</v>
      </c>
      <c r="U525" s="54" t="n">
        <f aca="true">RAND()</f>
        <v>0.328425182309331</v>
      </c>
    </row>
    <row r="526" customFormat="false" ht="15" hidden="false" customHeight="false" outlineLevel="0" collapsed="false">
      <c r="A526" s="50" t="n">
        <v>446</v>
      </c>
      <c r="B526" s="51" t="n">
        <f aca="false">1+IF($G$6=$E$6,$F$6,IF(P526&lt;($F$6-$E$6)/($G$6-$E$6),$E$6+SQRT(P526*($G$6-$E$6)*($F$6-$E$6)),$G$6-SQRT((1-P526)*($G$6-$E$6)*($G$6-$F$6))))</f>
        <v>1.0120040043962</v>
      </c>
      <c r="C526" s="51" t="n">
        <f aca="false">1+IF($G$7=$E$7,$F$7,IF(Q526&lt;($F$7-$E$7)/($G$7-$E$7),$E$7+SQRT(Q526*($G$7-$E$7)*($F$7-$E$7)),$G$7-SQRT((1-Q526)*($G$7-$E$7)*($G$7-$F$7))))</f>
        <v>1.02327069533843</v>
      </c>
      <c r="D526" s="51" t="n">
        <f aca="false">1+IF($G$8=$E$8,$F$8,IF(R526&lt;($F$8-$E$8)/($G$8-$E$8),$E$8+SQRT(R526*($G$8-$E$8)*($F$8-$E$8)),$G$8-SQRT((1-R526)*($G$8-$E$8)*($G$8-$F$8))))</f>
        <v>1.00523343858941</v>
      </c>
      <c r="E526" s="51" t="n">
        <f aca="false">1+IF($G$9=$E$9,$F$9,IF(S526&lt;($F$9-$E$9)/($G$9-$E$9),$E$9+SQRT(S526*($G$9-$E$9)*($F$9-$E$9)),$G$9-SQRT((1-S526)*($G$9-$E$9)*($G$9-$F$9))))</f>
        <v>1.00966052258082</v>
      </c>
      <c r="F526" s="51" t="n">
        <f aca="false">1+IF($G$10=$E$10,$F$10,IF(T526&lt;($F$10-$E$10)/($G$10-$E$10),$E$10+SQRT(T526*($G$10-$E$10)*($F$10-$E$10)),$G$10-SQRT((1-T526)*($G$10-$E$10)*($G$10-$F$10))))</f>
        <v>1.0088125453774</v>
      </c>
      <c r="G526" s="52" t="n">
        <f aca="false">IF($G$11=$E$11,$F$11,IF(U526&lt;($F$11-$E$11)/($G$11-$E$11),$E$11+SQRT(U526*($G$11-$E$11)*($F$11-$E$11)),$G$11-SQRT((1-U526)*($G$11-$E$11)*($G$11-$F$11))))</f>
        <v>0.0936739481509076</v>
      </c>
      <c r="H526" s="53" t="n">
        <f aca="false">(('Business Case'!B11*$C526*'Business Case'!B12*$B526)-'Business Case'!B11*$C526*'Business Case'!B13*$D526-'Business Case'!B14*$E526)-MAX(0,(('Business Case'!B11*$C526*'Business Case'!B12*$B526)-'Business Case'!B11*$C526*'Business Case'!B13*$D526-'Business Case'!B14*$E526))*'Business Case'!$B$7-'Business Case'!$B$8*('Business Case'!B11*$C526*'Business Case'!B12*$B526)-'Business Case'!B15*$F526</f>
        <v>-2017625090.7548</v>
      </c>
      <c r="I526" s="53" t="n">
        <f aca="false">(('Business Case'!C11*$C526*'Business Case'!C12*$B526)-'Business Case'!C11*$C526*'Business Case'!C13*$D526-'Business Case'!C14*$E526)-MAX(0,(('Business Case'!C11*$C526*'Business Case'!C12*$B526)-'Business Case'!C11*$C526*'Business Case'!C13*$D526-'Business Case'!C14*$E526))*'Business Case'!$B$7-'Business Case'!$B$8*(('Business Case'!C11*$C526*'Business Case'!C12*$B526)-('Business Case'!B11*$C526*'Business Case'!B12*$B526))-'Business Case'!C15*$F526</f>
        <v>23481036.5341252</v>
      </c>
      <c r="J526" s="53" t="n">
        <f aca="false">(('Business Case'!D11*$C526*'Business Case'!D12*$B526)-'Business Case'!D11*$C526*'Business Case'!D13*$D526-'Business Case'!D14*$E526)-MAX(0,(('Business Case'!D11*$C526*'Business Case'!D12*$B526)-'Business Case'!D11*$C526*'Business Case'!D13*$D526-'Business Case'!D14*$E526))*'Business Case'!$B$7-'Business Case'!$B$8*(('Business Case'!D11*$C526*'Business Case'!D12*$B526)-('Business Case'!C11*$C526*'Business Case'!C12*$B526))-'Business Case'!D15*$F526</f>
        <v>345100175.416097</v>
      </c>
      <c r="K526" s="53" t="n">
        <f aca="false">(('Business Case'!E11*$C526*'Business Case'!E12*$B526)-'Business Case'!E11*$C526*'Business Case'!E13*$D526-'Business Case'!E14*$E526)-MAX(0,(('Business Case'!E11*$C526*'Business Case'!E12*$B526)-'Business Case'!E11*$C526*'Business Case'!E13*$D526-'Business Case'!E14*$E526))*'Business Case'!$B$7-'Business Case'!$B$8*(('Business Case'!E11*$C526*'Business Case'!E12*$B526)-('Business Case'!D11*$C526*'Business Case'!D12*$B526))-'Business Case'!E15*$F526</f>
        <v>717159941.566939</v>
      </c>
      <c r="L526" s="53" t="n">
        <f aca="false">(('Business Case'!F11*$C526*'Business Case'!F12*$B526)-'Business Case'!F11*$C526*'Business Case'!F13*$D526-'Business Case'!F14*$E526)-MAX(0,(('Business Case'!F11*$C526*'Business Case'!F12*$B526)-'Business Case'!F11*$C526*'Business Case'!F13*$D526-'Business Case'!F14*$E526))*'Business Case'!$B$7-'Business Case'!$B$8*(('Business Case'!F11*$C526*'Business Case'!F12*$B526)-('Business Case'!E11*$C526*'Business Case'!E12*$B526))-'Business Case'!F15*$F526</f>
        <v>860155068.860339</v>
      </c>
      <c r="M526" s="53" t="n">
        <f aca="false">(('Business Case'!G11*$C526*'Business Case'!G12*$B526)-'Business Case'!G11*$C526*'Business Case'!G13*$D526-'Business Case'!G14*$E526)-MAX(0,(('Business Case'!G11*$C526*'Business Case'!G12*$B526)-'Business Case'!G11*$C526*'Business Case'!G13*$D526-'Business Case'!G14*$E526))*'Business Case'!$B$7-'Business Case'!$B$8*(('Business Case'!G11*$C526*'Business Case'!G12*$B526)-('Business Case'!F11*$C526*'Business Case'!F12*$B526))-'Business Case'!G15*$F526+'Business Case'!$B$8*('Business Case'!G11*$C526*'Business Case'!G12*$B526)</f>
        <v>1056993181.02376</v>
      </c>
      <c r="N526" s="53" t="n">
        <f aca="false">IF(COUNT('Business Case'!B11:G11)=0,"",H526+NPV(G526,I526:M526))</f>
        <v>117297776.623005</v>
      </c>
      <c r="P526" s="54" t="n">
        <f aca="true">RAND()</f>
        <v>0.836713381281694</v>
      </c>
      <c r="Q526" s="54" t="n">
        <f aca="true">RAND()</f>
        <v>0.694089206476073</v>
      </c>
      <c r="R526" s="54" t="n">
        <f aca="true">RAND()</f>
        <v>0.462496278349628</v>
      </c>
      <c r="S526" s="54" t="n">
        <f aca="true">RAND()</f>
        <v>0.455918587975306</v>
      </c>
      <c r="T526" s="54" t="n">
        <f aca="true">RAND()</f>
        <v>0.268947143898621</v>
      </c>
      <c r="U526" s="54" t="n">
        <f aca="true">RAND()</f>
        <v>0.0449929833851914</v>
      </c>
    </row>
    <row r="527" customFormat="false" ht="15" hidden="false" customHeight="false" outlineLevel="0" collapsed="false">
      <c r="A527" s="50" t="n">
        <v>447</v>
      </c>
      <c r="B527" s="51" t="n">
        <f aca="false">1+IF($G$6=$E$6,$F$6,IF(P527&lt;($F$6-$E$6)/($G$6-$E$6),$E$6+SQRT(P527*($G$6-$E$6)*($F$6-$E$6)),$G$6-SQRT((1-P527)*($G$6-$E$6)*($G$6-$F$6))))</f>
        <v>0.996818108640603</v>
      </c>
      <c r="C527" s="51" t="n">
        <f aca="false">1+IF($G$7=$E$7,$F$7,IF(Q527&lt;($F$7-$E$7)/($G$7-$E$7),$E$7+SQRT(Q527*($G$7-$E$7)*($F$7-$E$7)),$G$7-SQRT((1-Q527)*($G$7-$E$7)*($G$7-$F$7))))</f>
        <v>0.911729453469524</v>
      </c>
      <c r="D527" s="51" t="n">
        <f aca="false">1+IF($G$8=$E$8,$F$8,IF(R527&lt;($F$8-$E$8)/($G$8-$E$8),$E$8+SQRT(R527*($G$8-$E$8)*($F$8-$E$8)),$G$8-SQRT((1-R527)*($G$8-$E$8)*($G$8-$F$8))))</f>
        <v>1.00841994240446</v>
      </c>
      <c r="E527" s="51" t="n">
        <f aca="false">1+IF($G$9=$E$9,$F$9,IF(S527&lt;($F$9-$E$9)/($G$9-$E$9),$E$9+SQRT(S527*($G$9-$E$9)*($F$9-$E$9)),$G$9-SQRT((1-S527)*($G$9-$E$9)*($G$9-$F$9))))</f>
        <v>1.01752846646315</v>
      </c>
      <c r="F527" s="51" t="n">
        <f aca="false">1+IF($G$10=$E$10,$F$10,IF(T527&lt;($F$10-$E$10)/($G$10-$E$10),$E$10+SQRT(T527*($G$10-$E$10)*($F$10-$E$10)),$G$10-SQRT((1-T527)*($G$10-$E$10)*($G$10-$F$10))))</f>
        <v>1.01311835100193</v>
      </c>
      <c r="G527" s="52" t="n">
        <f aca="false">IF($G$11=$E$11,$F$11,IF(U527&lt;($F$11-$E$11)/($G$11-$E$11),$E$11+SQRT(U527*($G$11-$E$11)*($F$11-$E$11)),$G$11-SQRT((1-U527)*($G$11-$E$11)*($G$11-$F$11))))</f>
        <v>0.0978941945220877</v>
      </c>
      <c r="H527" s="53" t="n">
        <f aca="false">(('Business Case'!B11*$C527*'Business Case'!B12*$B527)-'Business Case'!B11*$C527*'Business Case'!B13*$D527-'Business Case'!B14*$E527)-MAX(0,(('Business Case'!B11*$C527*'Business Case'!B12*$B527)-'Business Case'!B11*$C527*'Business Case'!B13*$D527-'Business Case'!B14*$E527))*'Business Case'!$B$7-'Business Case'!$B$8*('Business Case'!B11*$C527*'Business Case'!B12*$B527)-'Business Case'!B15*$F527</f>
        <v>-2026236702.00387</v>
      </c>
      <c r="I527" s="53" t="n">
        <f aca="false">(('Business Case'!C11*$C527*'Business Case'!C12*$B527)-'Business Case'!C11*$C527*'Business Case'!C13*$D527-'Business Case'!C14*$E527)-MAX(0,(('Business Case'!C11*$C527*'Business Case'!C12*$B527)-'Business Case'!C11*$C527*'Business Case'!C13*$D527-'Business Case'!C14*$E527))*'Business Case'!$B$7-'Business Case'!$B$8*(('Business Case'!C11*$C527*'Business Case'!C12*$B527)-('Business Case'!B11*$C527*'Business Case'!B12*$B527))-'Business Case'!C15*$F527</f>
        <v>-19384532.4268084</v>
      </c>
      <c r="J527" s="53" t="n">
        <f aca="false">(('Business Case'!D11*$C527*'Business Case'!D12*$B527)-'Business Case'!D11*$C527*'Business Case'!D13*$D527-'Business Case'!D14*$E527)-MAX(0,(('Business Case'!D11*$C527*'Business Case'!D12*$B527)-'Business Case'!D11*$C527*'Business Case'!D13*$D527-'Business Case'!D14*$E527))*'Business Case'!$B$7-'Business Case'!$B$8*(('Business Case'!D11*$C527*'Business Case'!D12*$B527)-('Business Case'!C11*$C527*'Business Case'!C12*$B527))-'Business Case'!D15*$F527</f>
        <v>254348983.957702</v>
      </c>
      <c r="K527" s="53" t="n">
        <f aca="false">(('Business Case'!E11*$C527*'Business Case'!E12*$B527)-'Business Case'!E11*$C527*'Business Case'!E13*$D527-'Business Case'!E14*$E527)-MAX(0,(('Business Case'!E11*$C527*'Business Case'!E12*$B527)-'Business Case'!E11*$C527*'Business Case'!E13*$D527-'Business Case'!E14*$E527))*'Business Case'!$B$7-'Business Case'!$B$8*(('Business Case'!E11*$C527*'Business Case'!E12*$B527)-('Business Case'!D11*$C527*'Business Case'!D12*$B527))-'Business Case'!E15*$F527</f>
        <v>578738417.89231</v>
      </c>
      <c r="L527" s="53" t="n">
        <f aca="false">(('Business Case'!F11*$C527*'Business Case'!F12*$B527)-'Business Case'!F11*$C527*'Business Case'!F13*$D527-'Business Case'!F14*$E527)-MAX(0,(('Business Case'!F11*$C527*'Business Case'!F12*$B527)-'Business Case'!F11*$C527*'Business Case'!F13*$D527-'Business Case'!F14*$E527))*'Business Case'!$B$7-'Business Case'!$B$8*(('Business Case'!F11*$C527*'Business Case'!F12*$B527)-('Business Case'!E11*$C527*'Business Case'!E12*$B527))-'Business Case'!F15*$F527</f>
        <v>701392033.873857</v>
      </c>
      <c r="M527" s="53" t="n">
        <f aca="false">(('Business Case'!G11*$C527*'Business Case'!G12*$B527)-'Business Case'!G11*$C527*'Business Case'!G13*$D527-'Business Case'!G14*$E527)-MAX(0,(('Business Case'!G11*$C527*'Business Case'!G12*$B527)-'Business Case'!G11*$C527*'Business Case'!G13*$D527-'Business Case'!G14*$E527))*'Business Case'!$B$7-'Business Case'!$B$8*(('Business Case'!G11*$C527*'Business Case'!G12*$B527)-('Business Case'!F11*$C527*'Business Case'!F12*$B527))-'Business Case'!G15*$F527+'Business Case'!$B$8*('Business Case'!G11*$C527*'Business Case'!G12*$B527)</f>
        <v>874142141.7341</v>
      </c>
      <c r="N527" s="53" t="n">
        <f aca="false">IF(COUNT('Business Case'!B11:G11)=0,"",H527+NPV(G527,I527:M527))</f>
        <v>-364813353.982389</v>
      </c>
      <c r="P527" s="54" t="n">
        <f aca="true">RAND()</f>
        <v>0.614689772408282</v>
      </c>
      <c r="Q527" s="54" t="n">
        <f aca="true">RAND()</f>
        <v>0.178335296751409</v>
      </c>
      <c r="R527" s="54" t="n">
        <f aca="true">RAND()</f>
        <v>0.50733609179034</v>
      </c>
      <c r="S527" s="54" t="n">
        <f aca="true">RAND()</f>
        <v>0.546563077072009</v>
      </c>
      <c r="T527" s="54" t="n">
        <f aca="true">RAND()</f>
        <v>0.30150498535527</v>
      </c>
      <c r="U527" s="54" t="n">
        <f aca="true">RAND()</f>
        <v>0.207727690508529</v>
      </c>
    </row>
    <row r="528" customFormat="false" ht="15" hidden="false" customHeight="false" outlineLevel="0" collapsed="false">
      <c r="A528" s="50" t="n">
        <v>448</v>
      </c>
      <c r="B528" s="51" t="n">
        <f aca="false">1+IF($G$6=$E$6,$F$6,IF(P528&lt;($F$6-$E$6)/($G$6-$E$6),$E$6+SQRT(P528*($G$6-$E$6)*($F$6-$E$6)),$G$6-SQRT((1-P528)*($G$6-$E$6)*($G$6-$F$6))))</f>
        <v>0.978852247965517</v>
      </c>
      <c r="C528" s="51" t="n">
        <f aca="false">1+IF($G$7=$E$7,$F$7,IF(Q528&lt;($F$7-$E$7)/($G$7-$E$7),$E$7+SQRT(Q528*($G$7-$E$7)*($F$7-$E$7)),$G$7-SQRT((1-Q528)*($G$7-$E$7)*($G$7-$F$7))))</f>
        <v>0.946087961625055</v>
      </c>
      <c r="D528" s="51" t="n">
        <f aca="false">1+IF($G$8=$E$8,$F$8,IF(R528&lt;($F$8-$E$8)/($G$8-$E$8),$E$8+SQRT(R528*($G$8-$E$8)*($F$8-$E$8)),$G$8-SQRT((1-R528)*($G$8-$E$8)*($G$8-$F$8))))</f>
        <v>0.981901499277767</v>
      </c>
      <c r="E528" s="51" t="n">
        <f aca="false">1+IF($G$9=$E$9,$F$9,IF(S528&lt;($F$9-$E$9)/($G$9-$E$9),$E$9+SQRT(S528*($G$9-$E$9)*($F$9-$E$9)),$G$9-SQRT((1-S528)*($G$9-$E$9)*($G$9-$F$9))))</f>
        <v>1.02392387249582</v>
      </c>
      <c r="F528" s="51" t="n">
        <f aca="false">1+IF($G$10=$E$10,$F$10,IF(T528&lt;($F$10-$E$10)/($G$10-$E$10),$E$10+SQRT(T528*($G$10-$E$10)*($F$10-$E$10)),$G$10-SQRT((1-T528)*($G$10-$E$10)*($G$10-$F$10))))</f>
        <v>1.01058462262577</v>
      </c>
      <c r="G528" s="52" t="n">
        <f aca="false">IF($G$11=$E$11,$F$11,IF(U528&lt;($F$11-$E$11)/($G$11-$E$11),$E$11+SQRT(U528*($G$11-$E$11)*($F$11-$E$11)),$G$11-SQRT((1-U528)*($G$11-$E$11)*($G$11-$F$11))))</f>
        <v>0.108163050199632</v>
      </c>
      <c r="H528" s="53" t="n">
        <f aca="false">(('Business Case'!B11*$C528*'Business Case'!B12*$B528)-'Business Case'!B11*$C528*'Business Case'!B13*$D528-'Business Case'!B14*$E528)-MAX(0,(('Business Case'!B11*$C528*'Business Case'!B12*$B528)-'Business Case'!B11*$C528*'Business Case'!B13*$D528-'Business Case'!B14*$E528))*'Business Case'!$B$7-'Business Case'!$B$8*('Business Case'!B11*$C528*'Business Case'!B12*$B528)-'Business Case'!B15*$F528</f>
        <v>-2021169245.25155</v>
      </c>
      <c r="I528" s="53" t="n">
        <f aca="false">(('Business Case'!C11*$C528*'Business Case'!C12*$B528)-'Business Case'!C11*$C528*'Business Case'!C13*$D528-'Business Case'!C14*$E528)-MAX(0,(('Business Case'!C11*$C528*'Business Case'!C12*$B528)-'Business Case'!C11*$C528*'Business Case'!C13*$D528-'Business Case'!C14*$E528))*'Business Case'!$B$7-'Business Case'!$B$8*(('Business Case'!C11*$C528*'Business Case'!C12*$B528)-('Business Case'!B11*$C528*'Business Case'!B12*$B528))-'Business Case'!C15*$F528</f>
        <v>-11697833.7365949</v>
      </c>
      <c r="J528" s="53" t="n">
        <f aca="false">(('Business Case'!D11*$C528*'Business Case'!D12*$B528)-'Business Case'!D11*$C528*'Business Case'!D13*$D528-'Business Case'!D14*$E528)-MAX(0,(('Business Case'!D11*$C528*'Business Case'!D12*$B528)-'Business Case'!D11*$C528*'Business Case'!D13*$D528-'Business Case'!D14*$E528))*'Business Case'!$B$7-'Business Case'!$B$8*(('Business Case'!D11*$C528*'Business Case'!D12*$B528)-('Business Case'!C11*$C528*'Business Case'!C12*$B528))-'Business Case'!D15*$F528</f>
        <v>271272773.662321</v>
      </c>
      <c r="K528" s="53" t="n">
        <f aca="false">(('Business Case'!E11*$C528*'Business Case'!E12*$B528)-'Business Case'!E11*$C528*'Business Case'!E13*$D528-'Business Case'!E14*$E528)-MAX(0,(('Business Case'!E11*$C528*'Business Case'!E12*$B528)-'Business Case'!E11*$C528*'Business Case'!E13*$D528-'Business Case'!E14*$E528))*'Business Case'!$B$7-'Business Case'!$B$8*(('Business Case'!E11*$C528*'Business Case'!E12*$B528)-('Business Case'!D11*$C528*'Business Case'!D12*$B528))-'Business Case'!E15*$F528</f>
        <v>604772612.192526</v>
      </c>
      <c r="L528" s="53" t="n">
        <f aca="false">(('Business Case'!F11*$C528*'Business Case'!F12*$B528)-'Business Case'!F11*$C528*'Business Case'!F13*$D528-'Business Case'!F14*$E528)-MAX(0,(('Business Case'!F11*$C528*'Business Case'!F12*$B528)-'Business Case'!F11*$C528*'Business Case'!F13*$D528-'Business Case'!F14*$E528))*'Business Case'!$B$7-'Business Case'!$B$8*(('Business Case'!F11*$C528*'Business Case'!F12*$B528)-('Business Case'!E11*$C528*'Business Case'!E12*$B528))-'Business Case'!F15*$F528</f>
        <v>731101484.128183</v>
      </c>
      <c r="M528" s="53" t="n">
        <f aca="false">(('Business Case'!G11*$C528*'Business Case'!G12*$B528)-'Business Case'!G11*$C528*'Business Case'!G13*$D528-'Business Case'!G14*$E528)-MAX(0,(('Business Case'!G11*$C528*'Business Case'!G12*$B528)-'Business Case'!G11*$C528*'Business Case'!G13*$D528-'Business Case'!G14*$E528))*'Business Case'!$B$7-'Business Case'!$B$8*(('Business Case'!G11*$C528*'Business Case'!G12*$B528)-('Business Case'!F11*$C528*'Business Case'!F12*$B528))-'Business Case'!G15*$F528+'Business Case'!$B$8*('Business Case'!G11*$C528*'Business Case'!G12*$B528)</f>
        <v>907130832.876285</v>
      </c>
      <c r="N528" s="53" t="n">
        <f aca="false">IF(COUNT('Business Case'!B11:G11)=0,"",H528+NPV(G528,I528:M528))</f>
        <v>-338801319.912579</v>
      </c>
      <c r="P528" s="54" t="n">
        <f aca="true">RAND()</f>
        <v>0.360790321936943</v>
      </c>
      <c r="Q528" s="54" t="n">
        <f aca="true">RAND()</f>
        <v>0.304881321882337</v>
      </c>
      <c r="R528" s="54" t="n">
        <f aca="true">RAND()</f>
        <v>0.156570100949134</v>
      </c>
      <c r="S528" s="54" t="n">
        <f aca="true">RAND()</f>
        <v>0.614161521597815</v>
      </c>
      <c r="T528" s="54" t="n">
        <f aca="true">RAND()</f>
        <v>0.282436296283595</v>
      </c>
      <c r="U528" s="54" t="n">
        <f aca="true">RAND()</f>
        <v>0.766477699039264</v>
      </c>
    </row>
    <row r="529" customFormat="false" ht="15" hidden="false" customHeight="false" outlineLevel="0" collapsed="false">
      <c r="A529" s="50" t="n">
        <v>449</v>
      </c>
      <c r="B529" s="51" t="n">
        <f aca="false">1+IF($G$6=$E$6,$F$6,IF(P529&lt;($F$6-$E$6)/($G$6-$E$6),$E$6+SQRT(P529*($G$6-$E$6)*($F$6-$E$6)),$G$6-SQRT((1-P529)*($G$6-$E$6)*($G$6-$F$6))))</f>
        <v>1.02174149956301</v>
      </c>
      <c r="C529" s="51" t="n">
        <f aca="false">1+IF($G$7=$E$7,$F$7,IF(Q529&lt;($F$7-$E$7)/($G$7-$E$7),$E$7+SQRT(Q529*($G$7-$E$7)*($F$7-$E$7)),$G$7-SQRT((1-Q529)*($G$7-$E$7)*($G$7-$F$7))))</f>
        <v>0.988405102609088</v>
      </c>
      <c r="D529" s="51" t="n">
        <f aca="false">1+IF($G$8=$E$8,$F$8,IF(R529&lt;($F$8-$E$8)/($G$8-$E$8),$E$8+SQRT(R529*($G$8-$E$8)*($F$8-$E$8)),$G$8-SQRT((1-R529)*($G$8-$E$8)*($G$8-$F$8))))</f>
        <v>1.04572359172747</v>
      </c>
      <c r="E529" s="51" t="n">
        <f aca="false">1+IF($G$9=$E$9,$F$9,IF(S529&lt;($F$9-$E$9)/($G$9-$E$9),$E$9+SQRT(S529*($G$9-$E$9)*($F$9-$E$9)),$G$9-SQRT((1-S529)*($G$9-$E$9)*($G$9-$F$9))))</f>
        <v>0.990354494675664</v>
      </c>
      <c r="F529" s="51" t="n">
        <f aca="false">1+IF($G$10=$E$10,$F$10,IF(T529&lt;($F$10-$E$10)/($G$10-$E$10),$E$10+SQRT(T529*($G$10-$E$10)*($F$10-$E$10)),$G$10-SQRT((1-T529)*($G$10-$E$10)*($G$10-$F$10))))</f>
        <v>0.998601514222105</v>
      </c>
      <c r="G529" s="52" t="n">
        <f aca="false">IF($G$11=$E$11,$F$11,IF(U529&lt;($F$11-$E$11)/($G$11-$E$11),$E$11+SQRT(U529*($G$11-$E$11)*($F$11-$E$11)),$G$11-SQRT((1-U529)*($G$11-$E$11)*($G$11-$F$11))))</f>
        <v>0.102101210013747</v>
      </c>
      <c r="H529" s="53" t="n">
        <f aca="false">(('Business Case'!B11*$C529*'Business Case'!B12*$B529)-'Business Case'!B11*$C529*'Business Case'!B13*$D529-'Business Case'!B14*$E529)-MAX(0,(('Business Case'!B11*$C529*'Business Case'!B12*$B529)-'Business Case'!B11*$C529*'Business Case'!B13*$D529-'Business Case'!B14*$E529))*'Business Case'!$B$7-'Business Case'!$B$8*('Business Case'!B11*$C529*'Business Case'!B12*$B529)-'Business Case'!B15*$F529</f>
        <v>-1997203028.44421</v>
      </c>
      <c r="I529" s="53" t="n">
        <f aca="false">(('Business Case'!C11*$C529*'Business Case'!C12*$B529)-'Business Case'!C11*$C529*'Business Case'!C13*$D529-'Business Case'!C14*$E529)-MAX(0,(('Business Case'!C11*$C529*'Business Case'!C12*$B529)-'Business Case'!C11*$C529*'Business Case'!C13*$D529-'Business Case'!C14*$E529))*'Business Case'!$B$7-'Business Case'!$B$8*(('Business Case'!C11*$C529*'Business Case'!C12*$B529)-('Business Case'!B11*$C529*'Business Case'!B12*$B529))-'Business Case'!C15*$F529</f>
        <v>5015063.93131611</v>
      </c>
      <c r="J529" s="53" t="n">
        <f aca="false">(('Business Case'!D11*$C529*'Business Case'!D12*$B529)-'Business Case'!D11*$C529*'Business Case'!D13*$D529-'Business Case'!D14*$E529)-MAX(0,(('Business Case'!D11*$C529*'Business Case'!D12*$B529)-'Business Case'!D11*$C529*'Business Case'!D13*$D529-'Business Case'!D14*$E529))*'Business Case'!$B$7-'Business Case'!$B$8*(('Business Case'!D11*$C529*'Business Case'!D12*$B529)-('Business Case'!C11*$C529*'Business Case'!C12*$B529))-'Business Case'!D15*$F529</f>
        <v>303071619.915056</v>
      </c>
      <c r="K529" s="53" t="n">
        <f aca="false">(('Business Case'!E11*$C529*'Business Case'!E12*$B529)-'Business Case'!E11*$C529*'Business Case'!E13*$D529-'Business Case'!E14*$E529)-MAX(0,(('Business Case'!E11*$C529*'Business Case'!E12*$B529)-'Business Case'!E11*$C529*'Business Case'!E13*$D529-'Business Case'!E14*$E529))*'Business Case'!$B$7-'Business Case'!$B$8*(('Business Case'!E11*$C529*'Business Case'!E12*$B529)-('Business Case'!D11*$C529*'Business Case'!D12*$B529))-'Business Case'!E15*$F529</f>
        <v>651058251.609901</v>
      </c>
      <c r="L529" s="53" t="n">
        <f aca="false">(('Business Case'!F11*$C529*'Business Case'!F12*$B529)-'Business Case'!F11*$C529*'Business Case'!F13*$D529-'Business Case'!F14*$E529)-MAX(0,(('Business Case'!F11*$C529*'Business Case'!F12*$B529)-'Business Case'!F11*$C529*'Business Case'!F13*$D529-'Business Case'!F14*$E529))*'Business Case'!$B$7-'Business Case'!$B$8*(('Business Case'!F11*$C529*'Business Case'!F12*$B529)-('Business Case'!E11*$C529*'Business Case'!E12*$B529))-'Business Case'!F15*$F529</f>
        <v>785312391.262704</v>
      </c>
      <c r="M529" s="53" t="n">
        <f aca="false">(('Business Case'!G11*$C529*'Business Case'!G12*$B529)-'Business Case'!G11*$C529*'Business Case'!G13*$D529-'Business Case'!G14*$E529)-MAX(0,(('Business Case'!G11*$C529*'Business Case'!G12*$B529)-'Business Case'!G11*$C529*'Business Case'!G13*$D529-'Business Case'!G14*$E529))*'Business Case'!$B$7-'Business Case'!$B$8*(('Business Case'!G11*$C529*'Business Case'!G12*$B529)-('Business Case'!F11*$C529*'Business Case'!F12*$B529))-'Business Case'!G15*$F529+'Business Case'!$B$8*('Business Case'!G11*$C529*'Business Case'!G12*$B529)</f>
        <v>977273140.049594</v>
      </c>
      <c r="N529" s="53" t="n">
        <f aca="false">IF(COUNT('Business Case'!B11:G11)=0,"",H529+NPV(G529,I529:M529))</f>
        <v>-123429790.358289</v>
      </c>
      <c r="P529" s="54" t="n">
        <f aca="true">RAND()</f>
        <v>0.930547325373439</v>
      </c>
      <c r="Q529" s="54" t="n">
        <f aca="true">RAND()</f>
        <v>0.507092609844872</v>
      </c>
      <c r="R529" s="54" t="n">
        <f aca="true">RAND()</f>
        <v>0.887031522686024</v>
      </c>
      <c r="S529" s="54" t="n">
        <f aca="true">RAND()</f>
        <v>0.217131365403763</v>
      </c>
      <c r="T529" s="54" t="n">
        <f aca="true">RAND()</f>
        <v>0.188968574774517</v>
      </c>
      <c r="U529" s="54" t="n">
        <f aca="true">RAND()</f>
        <v>0.466055528380029</v>
      </c>
    </row>
    <row r="530" customFormat="false" ht="15" hidden="false" customHeight="false" outlineLevel="0" collapsed="false">
      <c r="A530" s="50" t="n">
        <v>450</v>
      </c>
      <c r="B530" s="51" t="n">
        <f aca="false">1+IF($G$6=$E$6,$F$6,IF(P530&lt;($F$6-$E$6)/($G$6-$E$6),$E$6+SQRT(P530*($G$6-$E$6)*($F$6-$E$6)),$G$6-SQRT((1-P530)*($G$6-$E$6)*($G$6-$F$6))))</f>
        <v>0.983148608440083</v>
      </c>
      <c r="C530" s="51" t="n">
        <f aca="false">1+IF($G$7=$E$7,$F$7,IF(Q530&lt;($F$7-$E$7)/($G$7-$E$7),$E$7+SQRT(Q530*($G$7-$E$7)*($F$7-$E$7)),$G$7-SQRT((1-Q530)*($G$7-$E$7)*($G$7-$F$7))))</f>
        <v>0.867044576774312</v>
      </c>
      <c r="D530" s="51" t="n">
        <f aca="false">1+IF($G$8=$E$8,$F$8,IF(R530&lt;($F$8-$E$8)/($G$8-$E$8),$E$8+SQRT(R530*($G$8-$E$8)*($F$8-$E$8)),$G$8-SQRT((1-R530)*($G$8-$E$8)*($G$8-$F$8))))</f>
        <v>0.996613275932713</v>
      </c>
      <c r="E530" s="51" t="n">
        <f aca="false">1+IF($G$9=$E$9,$F$9,IF(S530&lt;($F$9-$E$9)/($G$9-$E$9),$E$9+SQRT(S530*($G$9-$E$9)*($F$9-$E$9)),$G$9-SQRT((1-S530)*($G$9-$E$9)*($G$9-$F$9))))</f>
        <v>1.08689828901791</v>
      </c>
      <c r="F530" s="51" t="n">
        <f aca="false">1+IF($G$10=$E$10,$F$10,IF(T530&lt;($F$10-$E$10)/($G$10-$E$10),$E$10+SQRT(T530*($G$10-$E$10)*($F$10-$E$10)),$G$10-SQRT((1-T530)*($G$10-$E$10)*($G$10-$F$10))))</f>
        <v>1.06926210669956</v>
      </c>
      <c r="G530" s="52" t="n">
        <f aca="false">IF($G$11=$E$11,$F$11,IF(U530&lt;($F$11-$E$11)/($G$11-$E$11),$E$11+SQRT(U530*($G$11-$E$11)*($F$11-$E$11)),$G$11-SQRT((1-U530)*($G$11-$E$11)*($G$11-$F$11))))</f>
        <v>0.101931187125459</v>
      </c>
      <c r="H530" s="53" t="n">
        <f aca="false">(('Business Case'!B11*$C530*'Business Case'!B12*$B530)-'Business Case'!B11*$C530*'Business Case'!B13*$D530-'Business Case'!B14*$E530)-MAX(0,(('Business Case'!B11*$C530*'Business Case'!B12*$B530)-'Business Case'!B11*$C530*'Business Case'!B13*$D530-'Business Case'!B14*$E530))*'Business Case'!$B$7-'Business Case'!$B$8*('Business Case'!B11*$C530*'Business Case'!B12*$B530)-'Business Case'!B15*$F530</f>
        <v>-2138524213.39913</v>
      </c>
      <c r="I530" s="53" t="n">
        <f aca="false">(('Business Case'!C11*$C530*'Business Case'!C12*$B530)-'Business Case'!C11*$C530*'Business Case'!C13*$D530-'Business Case'!C14*$E530)-MAX(0,(('Business Case'!C11*$C530*'Business Case'!C12*$B530)-'Business Case'!C11*$C530*'Business Case'!C13*$D530-'Business Case'!C14*$E530))*'Business Case'!$B$7-'Business Case'!$B$8*(('Business Case'!C11*$C530*'Business Case'!C12*$B530)-('Business Case'!B11*$C530*'Business Case'!B12*$B530))-'Business Case'!C15*$F530</f>
        <v>-49822995.5497418</v>
      </c>
      <c r="J530" s="53" t="n">
        <f aca="false">(('Business Case'!D11*$C530*'Business Case'!D12*$B530)-'Business Case'!D11*$C530*'Business Case'!D13*$D530-'Business Case'!D14*$E530)-MAX(0,(('Business Case'!D11*$C530*'Business Case'!D12*$B530)-'Business Case'!D11*$C530*'Business Case'!D13*$D530-'Business Case'!D14*$E530))*'Business Case'!$B$7-'Business Case'!$B$8*(('Business Case'!D11*$C530*'Business Case'!D12*$B530)-('Business Case'!C11*$C530*'Business Case'!C12*$B530))-'Business Case'!D15*$F530</f>
        <v>206027317.675544</v>
      </c>
      <c r="K530" s="53" t="n">
        <f aca="false">(('Business Case'!E11*$C530*'Business Case'!E12*$B530)-'Business Case'!E11*$C530*'Business Case'!E13*$D530-'Business Case'!E14*$E530)-MAX(0,(('Business Case'!E11*$C530*'Business Case'!E12*$B530)-'Business Case'!E11*$C530*'Business Case'!E13*$D530-'Business Case'!E14*$E530))*'Business Case'!$B$7-'Business Case'!$B$8*(('Business Case'!E11*$C530*'Business Case'!E12*$B530)-('Business Case'!D11*$C530*'Business Case'!D12*$B530))-'Business Case'!E15*$F530</f>
        <v>515340736.235807</v>
      </c>
      <c r="L530" s="53" t="n">
        <f aca="false">(('Business Case'!F11*$C530*'Business Case'!F12*$B530)-'Business Case'!F11*$C530*'Business Case'!F13*$D530-'Business Case'!F14*$E530)-MAX(0,(('Business Case'!F11*$C530*'Business Case'!F12*$B530)-'Business Case'!F11*$C530*'Business Case'!F13*$D530-'Business Case'!F14*$E530))*'Business Case'!$B$7-'Business Case'!$B$8*(('Business Case'!F11*$C530*'Business Case'!F12*$B530)-('Business Case'!E11*$C530*'Business Case'!E12*$B530))-'Business Case'!F15*$F530</f>
        <v>630084281.582052</v>
      </c>
      <c r="M530" s="53" t="n">
        <f aca="false">(('Business Case'!G11*$C530*'Business Case'!G12*$B530)-'Business Case'!G11*$C530*'Business Case'!G13*$D530-'Business Case'!G14*$E530)-MAX(0,(('Business Case'!G11*$C530*'Business Case'!G12*$B530)-'Business Case'!G11*$C530*'Business Case'!G13*$D530-'Business Case'!G14*$E530))*'Business Case'!$B$7-'Business Case'!$B$8*(('Business Case'!G11*$C530*'Business Case'!G12*$B530)-('Business Case'!F11*$C530*'Business Case'!F12*$B530))-'Business Case'!G15*$F530+'Business Case'!$B$8*('Business Case'!G11*$C530*'Business Case'!G12*$B530)</f>
        <v>792114873.406706</v>
      </c>
      <c r="N530" s="53" t="n">
        <f aca="false">IF(COUNT('Business Case'!B11:G11)=0,"",H530+NPV(G530,I530:M530))</f>
        <v>-714019923.692924</v>
      </c>
      <c r="P530" s="54" t="n">
        <f aca="true">RAND()</f>
        <v>0.41539028624156</v>
      </c>
      <c r="Q530" s="54" t="n">
        <f aca="true">RAND()</f>
        <v>0.064213932497808</v>
      </c>
      <c r="R530" s="54" t="n">
        <f aca="true">RAND()</f>
        <v>0.33427653741219</v>
      </c>
      <c r="S530" s="54" t="n">
        <f aca="true">RAND()</f>
        <v>0.988556344622791</v>
      </c>
      <c r="T530" s="54" t="n">
        <f aca="true">RAND()</f>
        <v>0.658152065107271</v>
      </c>
      <c r="U530" s="54" t="n">
        <f aca="true">RAND()</f>
        <v>0.455863335508054</v>
      </c>
    </row>
    <row r="531" customFormat="false" ht="15" hidden="false" customHeight="false" outlineLevel="0" collapsed="false">
      <c r="A531" s="50" t="n">
        <v>451</v>
      </c>
      <c r="B531" s="51" t="n">
        <f aca="false">1+IF($G$6=$E$6,$F$6,IF(P531&lt;($F$6-$E$6)/($G$6-$E$6),$E$6+SQRT(P531*($G$6-$E$6)*($F$6-$E$6)),$G$6-SQRT((1-P531)*($G$6-$E$6)*($G$6-$F$6))))</f>
        <v>1.00664147721572</v>
      </c>
      <c r="C531" s="51" t="n">
        <f aca="false">1+IF($G$7=$E$7,$F$7,IF(Q531&lt;($F$7-$E$7)/($G$7-$E$7),$E$7+SQRT(Q531*($G$7-$E$7)*($F$7-$E$7)),$G$7-SQRT((1-Q531)*($G$7-$E$7)*($G$7-$F$7))))</f>
        <v>1.02081380780666</v>
      </c>
      <c r="D531" s="51" t="n">
        <f aca="false">1+IF($G$8=$E$8,$F$8,IF(R531&lt;($F$8-$E$8)/($G$8-$E$8),$E$8+SQRT(R531*($G$8-$E$8)*($F$8-$E$8)),$G$8-SQRT((1-R531)*($G$8-$E$8)*($G$8-$F$8))))</f>
        <v>0.97845129820965</v>
      </c>
      <c r="E531" s="51" t="n">
        <f aca="false">1+IF($G$9=$E$9,$F$9,IF(S531&lt;($F$9-$E$9)/($G$9-$E$9),$E$9+SQRT(S531*($G$9-$E$9)*($F$9-$E$9)),$G$9-SQRT((1-S531)*($G$9-$E$9)*($G$9-$F$9))))</f>
        <v>0.956488877794333</v>
      </c>
      <c r="F531" s="51" t="n">
        <f aca="false">1+IF($G$10=$E$10,$F$10,IF(T531&lt;($F$10-$E$10)/($G$10-$E$10),$E$10+SQRT(T531*($G$10-$E$10)*($F$10-$E$10)),$G$10-SQRT((1-T531)*($G$10-$E$10)*($G$10-$F$10))))</f>
        <v>1.03934728418023</v>
      </c>
      <c r="G531" s="52" t="n">
        <f aca="false">IF($G$11=$E$11,$F$11,IF(U531&lt;($F$11-$E$11)/($G$11-$E$11),$E$11+SQRT(U531*($G$11-$E$11)*($F$11-$E$11)),$G$11-SQRT((1-U531)*($G$11-$E$11)*($G$11-$F$11))))</f>
        <v>0.0913248073790142</v>
      </c>
      <c r="H531" s="53" t="n">
        <f aca="false">(('Business Case'!B11*$C531*'Business Case'!B12*$B531)-'Business Case'!B11*$C531*'Business Case'!B13*$D531-'Business Case'!B14*$E531)-MAX(0,(('Business Case'!B11*$C531*'Business Case'!B12*$B531)-'Business Case'!B11*$C531*'Business Case'!B13*$D531-'Business Case'!B14*$E531))*'Business Case'!$B$7-'Business Case'!$B$8*('Business Case'!B11*$C531*'Business Case'!B12*$B531)-'Business Case'!B15*$F531</f>
        <v>-2078694568.36046</v>
      </c>
      <c r="I531" s="53" t="n">
        <f aca="false">(('Business Case'!C11*$C531*'Business Case'!C12*$B531)-'Business Case'!C11*$C531*'Business Case'!C13*$D531-'Business Case'!C14*$E531)-MAX(0,(('Business Case'!C11*$C531*'Business Case'!C12*$B531)-'Business Case'!C11*$C531*'Business Case'!C13*$D531-'Business Case'!C14*$E531))*'Business Case'!$B$7-'Business Case'!$B$8*(('Business Case'!C11*$C531*'Business Case'!C12*$B531)-('Business Case'!B11*$C531*'Business Case'!B12*$B531))-'Business Case'!C15*$F531</f>
        <v>37140992.7188713</v>
      </c>
      <c r="J531" s="53" t="n">
        <f aca="false">(('Business Case'!D11*$C531*'Business Case'!D12*$B531)-'Business Case'!D11*$C531*'Business Case'!D13*$D531-'Business Case'!D14*$E531)-MAX(0,(('Business Case'!D11*$C531*'Business Case'!D12*$B531)-'Business Case'!D11*$C531*'Business Case'!D13*$D531-'Business Case'!D14*$E531))*'Business Case'!$B$7-'Business Case'!$B$8*(('Business Case'!D11*$C531*'Business Case'!D12*$B531)-('Business Case'!C11*$C531*'Business Case'!C12*$B531))-'Business Case'!D15*$F531</f>
        <v>367499880.326548</v>
      </c>
      <c r="K531" s="53" t="n">
        <f aca="false">(('Business Case'!E11*$C531*'Business Case'!E12*$B531)-'Business Case'!E11*$C531*'Business Case'!E13*$D531-'Business Case'!E14*$E531)-MAX(0,(('Business Case'!E11*$C531*'Business Case'!E12*$B531)-'Business Case'!E11*$C531*'Business Case'!E13*$D531-'Business Case'!E14*$E531))*'Business Case'!$B$7-'Business Case'!$B$8*(('Business Case'!E11*$C531*'Business Case'!E12*$B531)-('Business Case'!D11*$C531*'Business Case'!D12*$B531))-'Business Case'!E15*$F531</f>
        <v>749826132.143236</v>
      </c>
      <c r="L531" s="53" t="n">
        <f aca="false">(('Business Case'!F11*$C531*'Business Case'!F12*$B531)-'Business Case'!F11*$C531*'Business Case'!F13*$D531-'Business Case'!F14*$E531)-MAX(0,(('Business Case'!F11*$C531*'Business Case'!F12*$B531)-'Business Case'!F11*$C531*'Business Case'!F13*$D531-'Business Case'!F14*$E531))*'Business Case'!$B$7-'Business Case'!$B$8*(('Business Case'!F11*$C531*'Business Case'!F12*$B531)-('Business Case'!E11*$C531*'Business Case'!E12*$B531))-'Business Case'!F15*$F531</f>
        <v>895459393.37808</v>
      </c>
      <c r="M531" s="53" t="n">
        <f aca="false">(('Business Case'!G11*$C531*'Business Case'!G12*$B531)-'Business Case'!G11*$C531*'Business Case'!G13*$D531-'Business Case'!G14*$E531)-MAX(0,(('Business Case'!G11*$C531*'Business Case'!G12*$B531)-'Business Case'!G11*$C531*'Business Case'!G13*$D531-'Business Case'!G14*$E531))*'Business Case'!$B$7-'Business Case'!$B$8*(('Business Case'!G11*$C531*'Business Case'!G12*$B531)-('Business Case'!F11*$C531*'Business Case'!F12*$B531))-'Business Case'!G15*$F531+'Business Case'!$B$8*('Business Case'!G11*$C531*'Business Case'!G12*$B531)</f>
        <v>1090784369.55565</v>
      </c>
      <c r="N531" s="53" t="n">
        <f aca="false">IF(COUNT('Business Case'!B11:G11)=0,"",H531+NPV(G531,I531:M531))</f>
        <v>176736084.194174</v>
      </c>
      <c r="P531" s="54" t="n">
        <f aca="true">RAND()</f>
        <v>0.768168532843923</v>
      </c>
      <c r="Q531" s="54" t="n">
        <f aca="true">RAND()</f>
        <v>0.68211290945878</v>
      </c>
      <c r="R531" s="54" t="n">
        <f aca="true">RAND()</f>
        <v>0.124534826125297</v>
      </c>
      <c r="S531" s="54" t="n">
        <f aca="true">RAND()</f>
        <v>0.00561407133730493</v>
      </c>
      <c r="T531" s="54" t="n">
        <f aca="true">RAND()</f>
        <v>0.483814097994653</v>
      </c>
      <c r="U531" s="54" t="n">
        <f aca="true">RAND()</f>
        <v>0.00585038197163484</v>
      </c>
    </row>
    <row r="532" customFormat="false" ht="15" hidden="false" customHeight="false" outlineLevel="0" collapsed="false">
      <c r="A532" s="50" t="n">
        <v>452</v>
      </c>
      <c r="B532" s="51" t="n">
        <f aca="false">1+IF($G$6=$E$6,$F$6,IF(P532&lt;($F$6-$E$6)/($G$6-$E$6),$E$6+SQRT(P532*($G$6-$E$6)*($F$6-$E$6)),$G$6-SQRT((1-P532)*($G$6-$E$6)*($G$6-$F$6))))</f>
        <v>1.00737694328079</v>
      </c>
      <c r="C532" s="51" t="n">
        <f aca="false">1+IF($G$7=$E$7,$F$7,IF(Q532&lt;($F$7-$E$7)/($G$7-$E$7),$E$7+SQRT(Q532*($G$7-$E$7)*($F$7-$E$7)),$G$7-SQRT((1-Q532)*($G$7-$E$7)*($G$7-$F$7))))</f>
        <v>0.879520945314779</v>
      </c>
      <c r="D532" s="51" t="n">
        <f aca="false">1+IF($G$8=$E$8,$F$8,IF(R532&lt;($F$8-$E$8)/($G$8-$E$8),$E$8+SQRT(R532*($G$8-$E$8)*($F$8-$E$8)),$G$8-SQRT((1-R532)*($G$8-$E$8)*($G$8-$F$8))))</f>
        <v>0.968493290250415</v>
      </c>
      <c r="E532" s="51" t="n">
        <f aca="false">1+IF($G$9=$E$9,$F$9,IF(S532&lt;($F$9-$E$9)/($G$9-$E$9),$E$9+SQRT(S532*($G$9-$E$9)*($F$9-$E$9)),$G$9-SQRT((1-S532)*($G$9-$E$9)*($G$9-$F$9))))</f>
        <v>1.03792911160873</v>
      </c>
      <c r="F532" s="51" t="n">
        <f aca="false">1+IF($G$10=$E$10,$F$10,IF(T532&lt;($F$10-$E$10)/($G$10-$E$10),$E$10+SQRT(T532*($G$10-$E$10)*($F$10-$E$10)),$G$10-SQRT((1-T532)*($G$10-$E$10)*($G$10-$F$10))))</f>
        <v>1.14659373213483</v>
      </c>
      <c r="G532" s="52" t="n">
        <f aca="false">IF($G$11=$E$11,$F$11,IF(U532&lt;($F$11-$E$11)/($G$11-$E$11),$E$11+SQRT(U532*($G$11-$E$11)*($F$11-$E$11)),$G$11-SQRT((1-U532)*($G$11-$E$11)*($G$11-$F$11))))</f>
        <v>0.0934805778493963</v>
      </c>
      <c r="H532" s="53" t="n">
        <f aca="false">(('Business Case'!B11*$C532*'Business Case'!B12*$B532)-'Business Case'!B11*$C532*'Business Case'!B13*$D532-'Business Case'!B14*$E532)-MAX(0,(('Business Case'!B11*$C532*'Business Case'!B12*$B532)-'Business Case'!B11*$C532*'Business Case'!B13*$D532-'Business Case'!B14*$E532))*'Business Case'!$B$7-'Business Case'!$B$8*('Business Case'!B11*$C532*'Business Case'!B12*$B532)-'Business Case'!B15*$F532</f>
        <v>-2293187464.26965</v>
      </c>
      <c r="I532" s="53" t="n">
        <f aca="false">(('Business Case'!C11*$C532*'Business Case'!C12*$B532)-'Business Case'!C11*$C532*'Business Case'!C13*$D532-'Business Case'!C14*$E532)-MAX(0,(('Business Case'!C11*$C532*'Business Case'!C12*$B532)-'Business Case'!C11*$C532*'Business Case'!C13*$D532-'Business Case'!C14*$E532))*'Business Case'!$B$7-'Business Case'!$B$8*(('Business Case'!C11*$C532*'Business Case'!C12*$B532)-('Business Case'!B11*$C532*'Business Case'!B12*$B532))-'Business Case'!C15*$F532</f>
        <v>-18536986.5069353</v>
      </c>
      <c r="J532" s="53" t="n">
        <f aca="false">(('Business Case'!D11*$C532*'Business Case'!D12*$B532)-'Business Case'!D11*$C532*'Business Case'!D13*$D532-'Business Case'!D14*$E532)-MAX(0,(('Business Case'!D11*$C532*'Business Case'!D12*$B532)-'Business Case'!D11*$C532*'Business Case'!D13*$D532-'Business Case'!D14*$E532))*'Business Case'!$B$7-'Business Case'!$B$8*(('Business Case'!D11*$C532*'Business Case'!D12*$B532)-('Business Case'!C11*$C532*'Business Case'!C12*$B532))-'Business Case'!D15*$F532</f>
        <v>271109632.725959</v>
      </c>
      <c r="K532" s="53" t="n">
        <f aca="false">(('Business Case'!E11*$C532*'Business Case'!E12*$B532)-'Business Case'!E11*$C532*'Business Case'!E13*$D532-'Business Case'!E14*$E532)-MAX(0,(('Business Case'!E11*$C532*'Business Case'!E12*$B532)-'Business Case'!E11*$C532*'Business Case'!E13*$D532-'Business Case'!E14*$E532))*'Business Case'!$B$7-'Business Case'!$B$8*(('Business Case'!E11*$C532*'Business Case'!E12*$B532)-('Business Case'!D11*$C532*'Business Case'!D12*$B532))-'Business Case'!E15*$F532</f>
        <v>618085938.565594</v>
      </c>
      <c r="L532" s="53" t="n">
        <f aca="false">(('Business Case'!F11*$C532*'Business Case'!F12*$B532)-'Business Case'!F11*$C532*'Business Case'!F13*$D532-'Business Case'!F14*$E532)-MAX(0,(('Business Case'!F11*$C532*'Business Case'!F12*$B532)-'Business Case'!F11*$C532*'Business Case'!F13*$D532-'Business Case'!F14*$E532))*'Business Case'!$B$7-'Business Case'!$B$8*(('Business Case'!F11*$C532*'Business Case'!F12*$B532)-('Business Case'!E11*$C532*'Business Case'!E12*$B532))-'Business Case'!F15*$F532</f>
        <v>745255286.880283</v>
      </c>
      <c r="M532" s="53" t="n">
        <f aca="false">(('Business Case'!G11*$C532*'Business Case'!G12*$B532)-'Business Case'!G11*$C532*'Business Case'!G13*$D532-'Business Case'!G14*$E532)-MAX(0,(('Business Case'!G11*$C532*'Business Case'!G12*$B532)-'Business Case'!G11*$C532*'Business Case'!G13*$D532-'Business Case'!G14*$E532))*'Business Case'!$B$7-'Business Case'!$B$8*(('Business Case'!G11*$C532*'Business Case'!G12*$B532)-('Business Case'!F11*$C532*'Business Case'!F12*$B532))-'Business Case'!G15*$F532+'Business Case'!$B$8*('Business Case'!G11*$C532*'Business Case'!G12*$B532)</f>
        <v>913667900.684098</v>
      </c>
      <c r="N532" s="53" t="n">
        <f aca="false">IF(COUNT('Business Case'!B11:G11)=0,"",H532+NPV(G532,I532:M532))</f>
        <v>-504971514.352386</v>
      </c>
      <c r="P532" s="54" t="n">
        <f aca="true">RAND()</f>
        <v>0.778278368811454</v>
      </c>
      <c r="Q532" s="54" t="n">
        <f aca="true">RAND()</f>
        <v>0.0903368677679436</v>
      </c>
      <c r="R532" s="54" t="n">
        <f aca="true">RAND()</f>
        <v>0.0526156591209356</v>
      </c>
      <c r="S532" s="54" t="n">
        <f aca="true">RAND()</f>
        <v>0.743146987621204</v>
      </c>
      <c r="T532" s="54" t="n">
        <f aca="true">RAND()</f>
        <v>0.942955411054269</v>
      </c>
      <c r="U532" s="54" t="n">
        <f aca="true">RAND()</f>
        <v>0.040381407219027</v>
      </c>
    </row>
    <row r="533" customFormat="false" ht="15" hidden="false" customHeight="false" outlineLevel="0" collapsed="false">
      <c r="A533" s="50" t="n">
        <v>453</v>
      </c>
      <c r="B533" s="51" t="n">
        <f aca="false">1+IF($G$6=$E$6,$F$6,IF(P533&lt;($F$6-$E$6)/($G$6-$E$6),$E$6+SQRT(P533*($G$6-$E$6)*($F$6-$E$6)),$G$6-SQRT((1-P533)*($G$6-$E$6)*($G$6-$F$6))))</f>
        <v>0.980304899105593</v>
      </c>
      <c r="C533" s="51" t="n">
        <f aca="false">1+IF($G$7=$E$7,$F$7,IF(Q533&lt;($F$7-$E$7)/($G$7-$E$7),$E$7+SQRT(Q533*($G$7-$E$7)*($F$7-$E$7)),$G$7-SQRT((1-Q533)*($G$7-$E$7)*($G$7-$F$7))))</f>
        <v>0.918402934076996</v>
      </c>
      <c r="D533" s="51" t="n">
        <f aca="false">1+IF($G$8=$E$8,$F$8,IF(R533&lt;($F$8-$E$8)/($G$8-$E$8),$E$8+SQRT(R533*($G$8-$E$8)*($F$8-$E$8)),$G$8-SQRT((1-R533)*($G$8-$E$8)*($G$8-$F$8))))</f>
        <v>1.01047834544743</v>
      </c>
      <c r="E533" s="51" t="n">
        <f aca="false">1+IF($G$9=$E$9,$F$9,IF(S533&lt;($F$9-$E$9)/($G$9-$E$9),$E$9+SQRT(S533*($G$9-$E$9)*($F$9-$E$9)),$G$9-SQRT((1-S533)*($G$9-$E$9)*($G$9-$F$9))))</f>
        <v>1.06242531459621</v>
      </c>
      <c r="F533" s="51" t="n">
        <f aca="false">1+IF($G$10=$E$10,$F$10,IF(T533&lt;($F$10-$E$10)/($G$10-$E$10),$E$10+SQRT(T533*($G$10-$E$10)*($F$10-$E$10)),$G$10-SQRT((1-T533)*($G$10-$E$10)*($G$10-$F$10))))</f>
        <v>1.00582623308464</v>
      </c>
      <c r="G533" s="52" t="n">
        <f aca="false">IF($G$11=$E$11,$F$11,IF(U533&lt;($F$11-$E$11)/($G$11-$E$11),$E$11+SQRT(U533*($G$11-$E$11)*($F$11-$E$11)),$G$11-SQRT((1-U533)*($G$11-$E$11)*($G$11-$F$11))))</f>
        <v>0.104923853997815</v>
      </c>
      <c r="H533" s="53" t="n">
        <f aca="false">(('Business Case'!B11*$C533*'Business Case'!B12*$B533)-'Business Case'!B11*$C533*'Business Case'!B13*$D533-'Business Case'!B14*$E533)-MAX(0,(('Business Case'!B11*$C533*'Business Case'!B12*$B533)-'Business Case'!B11*$C533*'Business Case'!B13*$D533-'Business Case'!B14*$E533))*'Business Case'!$B$7-'Business Case'!$B$8*('Business Case'!B11*$C533*'Business Case'!B12*$B533)-'Business Case'!B15*$F533</f>
        <v>-2011652466.16928</v>
      </c>
      <c r="I533" s="53" t="n">
        <f aca="false">(('Business Case'!C11*$C533*'Business Case'!C12*$B533)-'Business Case'!C11*$C533*'Business Case'!C13*$D533-'Business Case'!C14*$E533)-MAX(0,(('Business Case'!C11*$C533*'Business Case'!C12*$B533)-'Business Case'!C11*$C533*'Business Case'!C13*$D533-'Business Case'!C14*$E533))*'Business Case'!$B$7-'Business Case'!$B$8*(('Business Case'!C11*$C533*'Business Case'!C12*$B533)-('Business Case'!B11*$C533*'Business Case'!B12*$B533))-'Business Case'!C15*$F533</f>
        <v>-35984316.9063746</v>
      </c>
      <c r="J533" s="53" t="n">
        <f aca="false">(('Business Case'!D11*$C533*'Business Case'!D12*$B533)-'Business Case'!D11*$C533*'Business Case'!D13*$D533-'Business Case'!D14*$E533)-MAX(0,(('Business Case'!D11*$C533*'Business Case'!D12*$B533)-'Business Case'!D11*$C533*'Business Case'!D13*$D533-'Business Case'!D14*$E533))*'Business Case'!$B$7-'Business Case'!$B$8*(('Business Case'!D11*$C533*'Business Case'!D12*$B533)-('Business Case'!C11*$C533*'Business Case'!C12*$B533))-'Business Case'!D15*$F533</f>
        <v>226363193.420684</v>
      </c>
      <c r="K533" s="53" t="n">
        <f aca="false">(('Business Case'!E11*$C533*'Business Case'!E12*$B533)-'Business Case'!E11*$C533*'Business Case'!E13*$D533-'Business Case'!E14*$E533)-MAX(0,(('Business Case'!E11*$C533*'Business Case'!E12*$B533)-'Business Case'!E11*$C533*'Business Case'!E13*$D533-'Business Case'!E14*$E533))*'Business Case'!$B$7-'Business Case'!$B$8*(('Business Case'!E11*$C533*'Business Case'!E12*$B533)-('Business Case'!D11*$C533*'Business Case'!D12*$B533))-'Business Case'!E15*$F533</f>
        <v>539002015.401975</v>
      </c>
      <c r="L533" s="53" t="n">
        <f aca="false">(('Business Case'!F11*$C533*'Business Case'!F12*$B533)-'Business Case'!F11*$C533*'Business Case'!F13*$D533-'Business Case'!F14*$E533)-MAX(0,(('Business Case'!F11*$C533*'Business Case'!F12*$B533)-'Business Case'!F11*$C533*'Business Case'!F13*$D533-'Business Case'!F14*$E533))*'Business Case'!$B$7-'Business Case'!$B$8*(('Business Case'!F11*$C533*'Business Case'!F12*$B533)-('Business Case'!E11*$C533*'Business Case'!E12*$B533))-'Business Case'!F15*$F533</f>
        <v>657566068.30392</v>
      </c>
      <c r="M533" s="53" t="n">
        <f aca="false">(('Business Case'!G11*$C533*'Business Case'!G12*$B533)-'Business Case'!G11*$C533*'Business Case'!G13*$D533-'Business Case'!G14*$E533)-MAX(0,(('Business Case'!G11*$C533*'Business Case'!G12*$B533)-'Business Case'!G11*$C533*'Business Case'!G13*$D533-'Business Case'!G14*$E533))*'Business Case'!$B$7-'Business Case'!$B$8*(('Business Case'!G11*$C533*'Business Case'!G12*$B533)-('Business Case'!F11*$C533*'Business Case'!F12*$B533))-'Business Case'!G15*$F533+'Business Case'!$B$8*('Business Case'!G11*$C533*'Business Case'!G12*$B533)</f>
        <v>828697923.66501</v>
      </c>
      <c r="N533" s="53" t="n">
        <f aca="false">IF(COUNT('Business Case'!B11:G11)=0,"",H533+NPV(G533,I533:M533))</f>
        <v>-514868890.109296</v>
      </c>
      <c r="P533" s="54" t="n">
        <f aca="true">RAND()</f>
        <v>0.378820922514145</v>
      </c>
      <c r="Q533" s="54" t="n">
        <f aca="true">RAND()</f>
        <v>0.200275068543451</v>
      </c>
      <c r="R533" s="54" t="n">
        <f aca="true">RAND()</f>
        <v>0.535263418103214</v>
      </c>
      <c r="S533" s="54" t="n">
        <f aca="true">RAND()</f>
        <v>0.905876201120421</v>
      </c>
      <c r="T533" s="54" t="n">
        <f aca="true">RAND()</f>
        <v>0.245930964837982</v>
      </c>
      <c r="U533" s="54" t="n">
        <f aca="true">RAND()</f>
        <v>0.621183036201317</v>
      </c>
    </row>
    <row r="534" customFormat="false" ht="15" hidden="false" customHeight="false" outlineLevel="0" collapsed="false">
      <c r="A534" s="50" t="n">
        <v>454</v>
      </c>
      <c r="B534" s="51" t="n">
        <f aca="false">1+IF($G$6=$E$6,$F$6,IF(P534&lt;($F$6-$E$6)/($G$6-$E$6),$E$6+SQRT(P534*($G$6-$E$6)*($F$6-$E$6)),$G$6-SQRT((1-P534)*($G$6-$E$6)*($G$6-$F$6))))</f>
        <v>0.994519548928645</v>
      </c>
      <c r="C534" s="51" t="n">
        <f aca="false">1+IF($G$7=$E$7,$F$7,IF(Q534&lt;($F$7-$E$7)/($G$7-$E$7),$E$7+SQRT(Q534*($G$7-$E$7)*($F$7-$E$7)),$G$7-SQRT((1-Q534)*($G$7-$E$7)*($G$7-$F$7))))</f>
        <v>1.07709266772723</v>
      </c>
      <c r="D534" s="51" t="n">
        <f aca="false">1+IF($G$8=$E$8,$F$8,IF(R534&lt;($F$8-$E$8)/($G$8-$E$8),$E$8+SQRT(R534*($G$8-$E$8)*($F$8-$E$8)),$G$8-SQRT((1-R534)*($G$8-$E$8)*($G$8-$F$8))))</f>
        <v>1.02840514606882</v>
      </c>
      <c r="E534" s="51" t="n">
        <f aca="false">1+IF($G$9=$E$9,$F$9,IF(S534&lt;($F$9-$E$9)/($G$9-$E$9),$E$9+SQRT(S534*($G$9-$E$9)*($F$9-$E$9)),$G$9-SQRT((1-S534)*($G$9-$E$9)*($G$9-$F$9))))</f>
        <v>0.986393985617296</v>
      </c>
      <c r="F534" s="51" t="n">
        <f aca="false">1+IF($G$10=$E$10,$F$10,IF(T534&lt;($F$10-$E$10)/($G$10-$E$10),$E$10+SQRT(T534*($G$10-$E$10)*($F$10-$E$10)),$G$10-SQRT((1-T534)*($G$10-$E$10)*($G$10-$F$10))))</f>
        <v>1.01109859120463</v>
      </c>
      <c r="G534" s="52" t="n">
        <f aca="false">IF($G$11=$E$11,$F$11,IF(U534&lt;($F$11-$E$11)/($G$11-$E$11),$E$11+SQRT(U534*($G$11-$E$11)*($F$11-$E$11)),$G$11-SQRT((1-U534)*($G$11-$E$11)*($G$11-$F$11))))</f>
        <v>0.100015667491477</v>
      </c>
      <c r="H534" s="53" t="n">
        <f aca="false">(('Business Case'!B11*$C534*'Business Case'!B12*$B534)-'Business Case'!B11*$C534*'Business Case'!B13*$D534-'Business Case'!B14*$E534)-MAX(0,(('Business Case'!B11*$C534*'Business Case'!B12*$B534)-'Business Case'!B11*$C534*'Business Case'!B13*$D534-'Business Case'!B14*$E534))*'Business Case'!$B$7-'Business Case'!$B$8*('Business Case'!B11*$C534*'Business Case'!B12*$B534)-'Business Case'!B15*$F534</f>
        <v>-2022197182.40927</v>
      </c>
      <c r="I534" s="53" t="n">
        <f aca="false">(('Business Case'!C11*$C534*'Business Case'!C12*$B534)-'Business Case'!C11*$C534*'Business Case'!C13*$D534-'Business Case'!C14*$E534)-MAX(0,(('Business Case'!C11*$C534*'Business Case'!C12*$B534)-'Business Case'!C11*$C534*'Business Case'!C13*$D534-'Business Case'!C14*$E534))*'Business Case'!$B$7-'Business Case'!$B$8*(('Business Case'!C11*$C534*'Business Case'!C12*$B534)-('Business Case'!B11*$C534*'Business Case'!B12*$B534))-'Business Case'!C15*$F534</f>
        <v>13428484.9864461</v>
      </c>
      <c r="J534" s="53" t="n">
        <f aca="false">(('Business Case'!D11*$C534*'Business Case'!D12*$B534)-'Business Case'!D11*$C534*'Business Case'!D13*$D534-'Business Case'!D14*$E534)-MAX(0,(('Business Case'!D11*$C534*'Business Case'!D12*$B534)-'Business Case'!D11*$C534*'Business Case'!D13*$D534-'Business Case'!D14*$E534))*'Business Case'!$B$7-'Business Case'!$B$8*(('Business Case'!D11*$C534*'Business Case'!D12*$B534)-('Business Case'!C11*$C534*'Business Case'!C12*$B534))-'Business Case'!D15*$F534</f>
        <v>323762528.625132</v>
      </c>
      <c r="K534" s="53" t="n">
        <f aca="false">(('Business Case'!E11*$C534*'Business Case'!E12*$B534)-'Business Case'!E11*$C534*'Business Case'!E13*$D534-'Business Case'!E14*$E534)-MAX(0,(('Business Case'!E11*$C534*'Business Case'!E12*$B534)-'Business Case'!E11*$C534*'Business Case'!E13*$D534-'Business Case'!E14*$E534))*'Business Case'!$B$7-'Business Case'!$B$8*(('Business Case'!E11*$C534*'Business Case'!E12*$B534)-('Business Case'!D11*$C534*'Business Case'!D12*$B534))-'Business Case'!E15*$F534</f>
        <v>684651501.824049</v>
      </c>
      <c r="L534" s="53" t="n">
        <f aca="false">(('Business Case'!F11*$C534*'Business Case'!F12*$B534)-'Business Case'!F11*$C534*'Business Case'!F13*$D534-'Business Case'!F14*$E534)-MAX(0,(('Business Case'!F11*$C534*'Business Case'!F12*$B534)-'Business Case'!F11*$C534*'Business Case'!F13*$D534-'Business Case'!F14*$E534))*'Business Case'!$B$7-'Business Case'!$B$8*(('Business Case'!F11*$C534*'Business Case'!F12*$B534)-('Business Case'!E11*$C534*'Business Case'!E12*$B534))-'Business Case'!F15*$F534</f>
        <v>825116499.554942</v>
      </c>
      <c r="M534" s="53" t="n">
        <f aca="false">(('Business Case'!G11*$C534*'Business Case'!G12*$B534)-'Business Case'!G11*$C534*'Business Case'!G13*$D534-'Business Case'!G14*$E534)-MAX(0,(('Business Case'!G11*$C534*'Business Case'!G12*$B534)-'Business Case'!G11*$C534*'Business Case'!G13*$D534-'Business Case'!G14*$E534))*'Business Case'!$B$7-'Business Case'!$B$8*(('Business Case'!G11*$C534*'Business Case'!G12*$B534)-('Business Case'!F11*$C534*'Business Case'!F12*$B534))-'Business Case'!G15*$F534+'Business Case'!$B$8*('Business Case'!G11*$C534*'Business Case'!G12*$B534)</f>
        <v>1028728240.40393</v>
      </c>
      <c r="N534" s="53" t="n">
        <f aca="false">IF(COUNT('Business Case'!B11:G11)=0,"",H534+NPV(G534,I534:M534))</f>
        <v>-25810722.1591828</v>
      </c>
      <c r="P534" s="54" t="n">
        <f aca="true">RAND()</f>
        <v>0.578454497138412</v>
      </c>
      <c r="Q534" s="54" t="n">
        <f aca="true">RAND()</f>
        <v>0.898752779064137</v>
      </c>
      <c r="R534" s="54" t="n">
        <f aca="true">RAND()</f>
        <v>0.744035677675031</v>
      </c>
      <c r="S534" s="54" t="n">
        <f aca="true">RAND()</f>
        <v>0.176602958548259</v>
      </c>
      <c r="T534" s="54" t="n">
        <f aca="true">RAND()</f>
        <v>0.286325155102515</v>
      </c>
      <c r="U534" s="54" t="n">
        <f aca="true">RAND()</f>
        <v>0.33437742364799</v>
      </c>
    </row>
    <row r="535" customFormat="false" ht="15" hidden="false" customHeight="false" outlineLevel="0" collapsed="false">
      <c r="A535" s="50" t="n">
        <v>455</v>
      </c>
      <c r="B535" s="51" t="n">
        <f aca="false">1+IF($G$6=$E$6,$F$6,IF(P535&lt;($F$6-$E$6)/($G$6-$E$6),$E$6+SQRT(P535*($G$6-$E$6)*($F$6-$E$6)),$G$6-SQRT((1-P535)*($G$6-$E$6)*($G$6-$F$6))))</f>
        <v>0.950953318808381</v>
      </c>
      <c r="C535" s="51" t="n">
        <f aca="false">1+IF($G$7=$E$7,$F$7,IF(Q535&lt;($F$7-$E$7)/($G$7-$E$7),$E$7+SQRT(Q535*($G$7-$E$7)*($F$7-$E$7)),$G$7-SQRT((1-Q535)*($G$7-$E$7)*($G$7-$F$7))))</f>
        <v>0.908676353326869</v>
      </c>
      <c r="D535" s="51" t="n">
        <f aca="false">1+IF($G$8=$E$8,$F$8,IF(R535&lt;($F$8-$E$8)/($G$8-$E$8),$E$8+SQRT(R535*($G$8-$E$8)*($F$8-$E$8)),$G$8-SQRT((1-R535)*($G$8-$E$8)*($G$8-$F$8))))</f>
        <v>0.995348475191646</v>
      </c>
      <c r="E535" s="51" t="n">
        <f aca="false">1+IF($G$9=$E$9,$F$9,IF(S535&lt;($F$9-$E$9)/($G$9-$E$9),$E$9+SQRT(S535*($G$9-$E$9)*($F$9-$E$9)),$G$9-SQRT((1-S535)*($G$9-$E$9)*($G$9-$F$9))))</f>
        <v>1.02942048437006</v>
      </c>
      <c r="F535" s="51" t="n">
        <f aca="false">1+IF($G$10=$E$10,$F$10,IF(T535&lt;($F$10-$E$10)/($G$10-$E$10),$E$10+SQRT(T535*($G$10-$E$10)*($F$10-$E$10)),$G$10-SQRT((1-T535)*($G$10-$E$10)*($G$10-$F$10))))</f>
        <v>1.09075534450121</v>
      </c>
      <c r="G535" s="52" t="n">
        <f aca="false">IF($G$11=$E$11,$F$11,IF(U535&lt;($F$11-$E$11)/($G$11-$E$11),$E$11+SQRT(U535*($G$11-$E$11)*($F$11-$E$11)),$G$11-SQRT((1-U535)*($G$11-$E$11)*($G$11-$F$11))))</f>
        <v>0.10271110663774</v>
      </c>
      <c r="H535" s="53" t="n">
        <f aca="false">(('Business Case'!B11*$C535*'Business Case'!B12*$B535)-'Business Case'!B11*$C535*'Business Case'!B13*$D535-'Business Case'!B14*$E535)-MAX(0,(('Business Case'!B11*$C535*'Business Case'!B12*$B535)-'Business Case'!B11*$C535*'Business Case'!B13*$D535-'Business Case'!B14*$E535))*'Business Case'!$B$7-'Business Case'!$B$8*('Business Case'!B11*$C535*'Business Case'!B12*$B535)-'Business Case'!B15*$F535</f>
        <v>-2181510689.00242</v>
      </c>
      <c r="I535" s="53" t="n">
        <f aca="false">(('Business Case'!C11*$C535*'Business Case'!C12*$B535)-'Business Case'!C11*$C535*'Business Case'!C13*$D535-'Business Case'!C14*$E535)-MAX(0,(('Business Case'!C11*$C535*'Business Case'!C12*$B535)-'Business Case'!C11*$C535*'Business Case'!C13*$D535-'Business Case'!C14*$E535))*'Business Case'!$B$7-'Business Case'!$B$8*(('Business Case'!C11*$C535*'Business Case'!C12*$B535)-('Business Case'!B11*$C535*'Business Case'!B12*$B535))-'Business Case'!C15*$F535</f>
        <v>-55493060.0177748</v>
      </c>
      <c r="J535" s="53" t="n">
        <f aca="false">(('Business Case'!D11*$C535*'Business Case'!D12*$B535)-'Business Case'!D11*$C535*'Business Case'!D13*$D535-'Business Case'!D14*$E535)-MAX(0,(('Business Case'!D11*$C535*'Business Case'!D12*$B535)-'Business Case'!D11*$C535*'Business Case'!D13*$D535-'Business Case'!D14*$E535))*'Business Case'!$B$7-'Business Case'!$B$8*(('Business Case'!D11*$C535*'Business Case'!D12*$B535)-('Business Case'!C11*$C535*'Business Case'!C12*$B535))-'Business Case'!D15*$F535</f>
        <v>189268407.168749</v>
      </c>
      <c r="K535" s="53" t="n">
        <f aca="false">(('Business Case'!E11*$C535*'Business Case'!E12*$B535)-'Business Case'!E11*$C535*'Business Case'!E13*$D535-'Business Case'!E14*$E535)-MAX(0,(('Business Case'!E11*$C535*'Business Case'!E12*$B535)-'Business Case'!E11*$C535*'Business Case'!E13*$D535-'Business Case'!E14*$E535))*'Business Case'!$B$7-'Business Case'!$B$8*(('Business Case'!E11*$C535*'Business Case'!E12*$B535)-('Business Case'!D11*$C535*'Business Case'!D12*$B535))-'Business Case'!E15*$F535</f>
        <v>488567641.580334</v>
      </c>
      <c r="L535" s="53" t="n">
        <f aca="false">(('Business Case'!F11*$C535*'Business Case'!F12*$B535)-'Business Case'!F11*$C535*'Business Case'!F13*$D535-'Business Case'!F14*$E535)-MAX(0,(('Business Case'!F11*$C535*'Business Case'!F12*$B535)-'Business Case'!F11*$C535*'Business Case'!F13*$D535-'Business Case'!F14*$E535))*'Business Case'!$B$7-'Business Case'!$B$8*(('Business Case'!F11*$C535*'Business Case'!F12*$B535)-('Business Case'!E11*$C535*'Business Case'!E12*$B535))-'Business Case'!F15*$F535</f>
        <v>600018397.227011</v>
      </c>
      <c r="M535" s="53" t="n">
        <f aca="false">(('Business Case'!G11*$C535*'Business Case'!G12*$B535)-'Business Case'!G11*$C535*'Business Case'!G13*$D535-'Business Case'!G14*$E535)-MAX(0,(('Business Case'!G11*$C535*'Business Case'!G12*$B535)-'Business Case'!G11*$C535*'Business Case'!G13*$D535-'Business Case'!G14*$E535))*'Business Case'!$B$7-'Business Case'!$B$8*(('Business Case'!G11*$C535*'Business Case'!G12*$B535)-('Business Case'!F11*$C535*'Business Case'!F12*$B535))-'Business Case'!G15*$F535+'Business Case'!$B$8*('Business Case'!G11*$C535*'Business Case'!G12*$B535)</f>
        <v>764268196.775112</v>
      </c>
      <c r="N535" s="53" t="n">
        <f aca="false">IF(COUNT('Business Case'!B11:G11)=0,"",H535+NPV(G535,I535:M535))</f>
        <v>-837264979.832187</v>
      </c>
      <c r="P535" s="54" t="n">
        <f aca="true">RAND()</f>
        <v>0.0998029109638802</v>
      </c>
      <c r="Q535" s="54" t="n">
        <f aca="true">RAND()</f>
        <v>0.168722139606094</v>
      </c>
      <c r="R535" s="54" t="n">
        <f aca="true">RAND()</f>
        <v>0.316382184954976</v>
      </c>
      <c r="S535" s="54" t="n">
        <f aca="true">RAND()</f>
        <v>0.66790213156288</v>
      </c>
      <c r="T535" s="54" t="n">
        <f aca="true">RAND()</f>
        <v>0.761312104899018</v>
      </c>
      <c r="U535" s="54" t="n">
        <f aca="true">RAND()</f>
        <v>0.501823610514021</v>
      </c>
    </row>
    <row r="536" customFormat="false" ht="15" hidden="false" customHeight="false" outlineLevel="0" collapsed="false">
      <c r="A536" s="50" t="n">
        <v>456</v>
      </c>
      <c r="B536" s="51" t="n">
        <f aca="false">1+IF($G$6=$E$6,$F$6,IF(P536&lt;($F$6-$E$6)/($G$6-$E$6),$E$6+SQRT(P536*($G$6-$E$6)*($F$6-$E$6)),$G$6-SQRT((1-P536)*($G$6-$E$6)*($G$6-$F$6))))</f>
        <v>0.987330775739487</v>
      </c>
      <c r="C536" s="51" t="n">
        <f aca="false">1+IF($G$7=$E$7,$F$7,IF(Q536&lt;($F$7-$E$7)/($G$7-$E$7),$E$7+SQRT(Q536*($G$7-$E$7)*($F$7-$E$7)),$G$7-SQRT((1-Q536)*($G$7-$E$7)*($G$7-$F$7))))</f>
        <v>0.95779261379973</v>
      </c>
      <c r="D536" s="51" t="n">
        <f aca="false">1+IF($G$8=$E$8,$F$8,IF(R536&lt;($F$8-$E$8)/($G$8-$E$8),$E$8+SQRT(R536*($G$8-$E$8)*($F$8-$E$8)),$G$8-SQRT((1-R536)*($G$8-$E$8)*($G$8-$F$8))))</f>
        <v>0.980503884000295</v>
      </c>
      <c r="E536" s="51" t="n">
        <f aca="false">1+IF($G$9=$E$9,$F$9,IF(S536&lt;($F$9-$E$9)/($G$9-$E$9),$E$9+SQRT(S536*($G$9-$E$9)*($F$9-$E$9)),$G$9-SQRT((1-S536)*($G$9-$E$9)*($G$9-$F$9))))</f>
        <v>1.01747573754155</v>
      </c>
      <c r="F536" s="51" t="n">
        <f aca="false">1+IF($G$10=$E$10,$F$10,IF(T536&lt;($F$10-$E$10)/($G$10-$E$10),$E$10+SQRT(T536*($G$10-$E$10)*($F$10-$E$10)),$G$10-SQRT((1-T536)*($G$10-$E$10)*($G$10-$F$10))))</f>
        <v>1.00552485594777</v>
      </c>
      <c r="G536" s="52" t="n">
        <f aca="false">IF($G$11=$E$11,$F$11,IF(U536&lt;($F$11-$E$11)/($G$11-$E$11),$E$11+SQRT(U536*($G$11-$E$11)*($F$11-$E$11)),$G$11-SQRT((1-U536)*($G$11-$E$11)*($G$11-$F$11))))</f>
        <v>0.0984875518259735</v>
      </c>
      <c r="H536" s="53" t="n">
        <f aca="false">(('Business Case'!B11*$C536*'Business Case'!B12*$B536)-'Business Case'!B11*$C536*'Business Case'!B13*$D536-'Business Case'!B14*$E536)-MAX(0,(('Business Case'!B11*$C536*'Business Case'!B12*$B536)-'Business Case'!B11*$C536*'Business Case'!B13*$D536-'Business Case'!B14*$E536))*'Business Case'!$B$7-'Business Case'!$B$8*('Business Case'!B11*$C536*'Business Case'!B12*$B536)-'Business Case'!B15*$F536</f>
        <v>-2011049711.89554</v>
      </c>
      <c r="I536" s="53" t="n">
        <f aca="false">(('Business Case'!C11*$C536*'Business Case'!C12*$B536)-'Business Case'!C11*$C536*'Business Case'!C13*$D536-'Business Case'!C14*$E536)-MAX(0,(('Business Case'!C11*$C536*'Business Case'!C12*$B536)-'Business Case'!C11*$C536*'Business Case'!C13*$D536-'Business Case'!C14*$E536))*'Business Case'!$B$7-'Business Case'!$B$8*(('Business Case'!C11*$C536*'Business Case'!C12*$B536)-('Business Case'!B11*$C536*'Business Case'!B12*$B536))-'Business Case'!C15*$F536</f>
        <v>-452353.321785912</v>
      </c>
      <c r="J536" s="53" t="n">
        <f aca="false">(('Business Case'!D11*$C536*'Business Case'!D12*$B536)-'Business Case'!D11*$C536*'Business Case'!D13*$D536-'Business Case'!D14*$E536)-MAX(0,(('Business Case'!D11*$C536*'Business Case'!D12*$B536)-'Business Case'!D11*$C536*'Business Case'!D13*$D536-'Business Case'!D14*$E536))*'Business Case'!$B$7-'Business Case'!$B$8*(('Business Case'!D11*$C536*'Business Case'!D12*$B536)-('Business Case'!C11*$C536*'Business Case'!C12*$B536))-'Business Case'!D15*$F536</f>
        <v>293355745.997496</v>
      </c>
      <c r="K536" s="53" t="n">
        <f aca="false">(('Business Case'!E11*$C536*'Business Case'!E12*$B536)-'Business Case'!E11*$C536*'Business Case'!E13*$D536-'Business Case'!E14*$E536)-MAX(0,(('Business Case'!E11*$C536*'Business Case'!E12*$B536)-'Business Case'!E11*$C536*'Business Case'!E13*$D536-'Business Case'!E14*$E536))*'Business Case'!$B$7-'Business Case'!$B$8*(('Business Case'!E11*$C536*'Business Case'!E12*$B536)-('Business Case'!D11*$C536*'Business Case'!D12*$B536))-'Business Case'!E15*$F536</f>
        <v>637440088.114166</v>
      </c>
      <c r="L536" s="53" t="n">
        <f aca="false">(('Business Case'!F11*$C536*'Business Case'!F12*$B536)-'Business Case'!F11*$C536*'Business Case'!F13*$D536-'Business Case'!F14*$E536)-MAX(0,(('Business Case'!F11*$C536*'Business Case'!F12*$B536)-'Business Case'!F11*$C536*'Business Case'!F13*$D536-'Business Case'!F14*$E536))*'Business Case'!$B$7-'Business Case'!$B$8*(('Business Case'!F11*$C536*'Business Case'!F12*$B536)-('Business Case'!E11*$C536*'Business Case'!E12*$B536))-'Business Case'!F15*$F536</f>
        <v>768058065.999181</v>
      </c>
      <c r="M536" s="53" t="n">
        <f aca="false">(('Business Case'!G11*$C536*'Business Case'!G12*$B536)-'Business Case'!G11*$C536*'Business Case'!G13*$D536-'Business Case'!G14*$E536)-MAX(0,(('Business Case'!G11*$C536*'Business Case'!G12*$B536)-'Business Case'!G11*$C536*'Business Case'!G13*$D536-'Business Case'!G14*$E536))*'Business Case'!$B$7-'Business Case'!$B$8*(('Business Case'!G11*$C536*'Business Case'!G12*$B536)-('Business Case'!F11*$C536*'Business Case'!F12*$B536))-'Business Case'!G15*$F536+'Business Case'!$B$8*('Business Case'!G11*$C536*'Business Case'!G12*$B536)</f>
        <v>947808762.281415</v>
      </c>
      <c r="N536" s="53" t="n">
        <f aca="false">IF(COUNT('Business Case'!B11:G11)=0,"",H536+NPV(G536,I536:M536))</f>
        <v>-167385164.014526</v>
      </c>
      <c r="P536" s="54" t="n">
        <f aca="true">RAND()</f>
        <v>0.472232641841776</v>
      </c>
      <c r="Q536" s="54" t="n">
        <f aca="true">RAND()</f>
        <v>0.355692985282151</v>
      </c>
      <c r="R536" s="54" t="n">
        <f aca="true">RAND()</f>
        <v>0.14315183678515</v>
      </c>
      <c r="S536" s="54" t="n">
        <f aca="true">RAND()</f>
        <v>0.545983073712586</v>
      </c>
      <c r="T536" s="54" t="n">
        <f aca="true">RAND()</f>
        <v>0.243588366917302</v>
      </c>
      <c r="U536" s="54" t="n">
        <f aca="true">RAND()</f>
        <v>0.240128453328621</v>
      </c>
    </row>
    <row r="537" customFormat="false" ht="15" hidden="false" customHeight="false" outlineLevel="0" collapsed="false">
      <c r="A537" s="50" t="n">
        <v>457</v>
      </c>
      <c r="B537" s="51" t="n">
        <f aca="false">1+IF($G$6=$E$6,$F$6,IF(P537&lt;($F$6-$E$6)/($G$6-$E$6),$E$6+SQRT(P537*($G$6-$E$6)*($F$6-$E$6)),$G$6-SQRT((1-P537)*($G$6-$E$6)*($G$6-$F$6))))</f>
        <v>0.976545099545524</v>
      </c>
      <c r="C537" s="51" t="n">
        <f aca="false">1+IF($G$7=$E$7,$F$7,IF(Q537&lt;($F$7-$E$7)/($G$7-$E$7),$E$7+SQRT(Q537*($G$7-$E$7)*($F$7-$E$7)),$G$7-SQRT((1-Q537)*($G$7-$E$7)*($G$7-$F$7))))</f>
        <v>0.969173106693741</v>
      </c>
      <c r="D537" s="51" t="n">
        <f aca="false">1+IF($G$8=$E$8,$F$8,IF(R537&lt;($F$8-$E$8)/($G$8-$E$8),$E$8+SQRT(R537*($G$8-$E$8)*($F$8-$E$8)),$G$8-SQRT((1-R537)*($G$8-$E$8)*($G$8-$F$8))))</f>
        <v>1.04886399348308</v>
      </c>
      <c r="E537" s="51" t="n">
        <f aca="false">1+IF($G$9=$E$9,$F$9,IF(S537&lt;($F$9-$E$9)/($G$9-$E$9),$E$9+SQRT(S537*($G$9-$E$9)*($F$9-$E$9)),$G$9-SQRT((1-S537)*($G$9-$E$9)*($G$9-$F$9))))</f>
        <v>0.957177407209117</v>
      </c>
      <c r="F537" s="51" t="n">
        <f aca="false">1+IF($G$10=$E$10,$F$10,IF(T537&lt;($F$10-$E$10)/($G$10-$E$10),$E$10+SQRT(T537*($G$10-$E$10)*($F$10-$E$10)),$G$10-SQRT((1-T537)*($G$10-$E$10)*($G$10-$F$10))))</f>
        <v>1.04792370430746</v>
      </c>
      <c r="G537" s="52" t="n">
        <f aca="false">IF($G$11=$E$11,$F$11,IF(U537&lt;($F$11-$E$11)/($G$11-$E$11),$E$11+SQRT(U537*($G$11-$E$11)*($F$11-$E$11)),$G$11-SQRT((1-U537)*($G$11-$E$11)*($G$11-$F$11))))</f>
        <v>0.107111711255638</v>
      </c>
      <c r="H537" s="53" t="n">
        <f aca="false">(('Business Case'!B11*$C537*'Business Case'!B12*$B537)-'Business Case'!B11*$C537*'Business Case'!B13*$D537-'Business Case'!B14*$E537)-MAX(0,(('Business Case'!B11*$C537*'Business Case'!B12*$B537)-'Business Case'!B11*$C537*'Business Case'!B13*$D537-'Business Case'!B14*$E537))*'Business Case'!$B$7-'Business Case'!$B$8*('Business Case'!B11*$C537*'Business Case'!B12*$B537)-'Business Case'!B15*$F537</f>
        <v>-2095847408.61492</v>
      </c>
      <c r="I537" s="53" t="n">
        <f aca="false">(('Business Case'!C11*$C537*'Business Case'!C12*$B537)-'Business Case'!C11*$C537*'Business Case'!C13*$D537-'Business Case'!C14*$E537)-MAX(0,(('Business Case'!C11*$C537*'Business Case'!C12*$B537)-'Business Case'!C11*$C537*'Business Case'!C13*$D537-'Business Case'!C14*$E537))*'Business Case'!$B$7-'Business Case'!$B$8*(('Business Case'!C11*$C537*'Business Case'!C12*$B537)-('Business Case'!B11*$C537*'Business Case'!B12*$B537))-'Business Case'!C15*$F537</f>
        <v>-35145420.5566938</v>
      </c>
      <c r="J537" s="53" t="n">
        <f aca="false">(('Business Case'!D11*$C537*'Business Case'!D12*$B537)-'Business Case'!D11*$C537*'Business Case'!D13*$D537-'Business Case'!D14*$E537)-MAX(0,(('Business Case'!D11*$C537*'Business Case'!D12*$B537)-'Business Case'!D11*$C537*'Business Case'!D13*$D537-'Business Case'!D14*$E537))*'Business Case'!$B$7-'Business Case'!$B$8*(('Business Case'!D11*$C537*'Business Case'!D12*$B537)-('Business Case'!C11*$C537*'Business Case'!C12*$B537))-'Business Case'!D15*$F537</f>
        <v>219675670.916383</v>
      </c>
      <c r="K537" s="53" t="n">
        <f aca="false">(('Business Case'!E11*$C537*'Business Case'!E12*$B537)-'Business Case'!E11*$C537*'Business Case'!E13*$D537-'Business Case'!E14*$E537)-MAX(0,(('Business Case'!E11*$C537*'Business Case'!E12*$B537)-'Business Case'!E11*$C537*'Business Case'!E13*$D537-'Business Case'!E14*$E537))*'Business Case'!$B$7-'Business Case'!$B$8*(('Business Case'!E11*$C537*'Business Case'!E12*$B537)-('Business Case'!D11*$C537*'Business Case'!D12*$B537))-'Business Case'!E15*$F537</f>
        <v>526892947.604831</v>
      </c>
      <c r="L537" s="53" t="n">
        <f aca="false">(('Business Case'!F11*$C537*'Business Case'!F12*$B537)-'Business Case'!F11*$C537*'Business Case'!F13*$D537-'Business Case'!F14*$E537)-MAX(0,(('Business Case'!F11*$C537*'Business Case'!F12*$B537)-'Business Case'!F11*$C537*'Business Case'!F13*$D537-'Business Case'!F14*$E537))*'Business Case'!$B$7-'Business Case'!$B$8*(('Business Case'!F11*$C537*'Business Case'!F12*$B537)-('Business Case'!E11*$C537*'Business Case'!E12*$B537))-'Business Case'!F15*$F537</f>
        <v>644542320.958448</v>
      </c>
      <c r="M537" s="53" t="n">
        <f aca="false">(('Business Case'!G11*$C537*'Business Case'!G12*$B537)-'Business Case'!G11*$C537*'Business Case'!G13*$D537-'Business Case'!G14*$E537)-MAX(0,(('Business Case'!G11*$C537*'Business Case'!G12*$B537)-'Business Case'!G11*$C537*'Business Case'!G13*$D537-'Business Case'!G14*$E537))*'Business Case'!$B$7-'Business Case'!$B$8*(('Business Case'!G11*$C537*'Business Case'!G12*$B537)-('Business Case'!F11*$C537*'Business Case'!F12*$B537))-'Business Case'!G15*$F537+'Business Case'!$B$8*('Business Case'!G11*$C537*'Business Case'!G12*$B537)</f>
        <v>824441873.369371</v>
      </c>
      <c r="N537" s="53" t="n">
        <f aca="false">IF(COUNT('Business Case'!B11:G11)=0,"",H537+NPV(G537,I537:M537))</f>
        <v>-635375000.036501</v>
      </c>
      <c r="P537" s="54" t="n">
        <f aca="true">RAND()</f>
        <v>0.333057112772207</v>
      </c>
      <c r="Q537" s="54" t="n">
        <f aca="true">RAND()</f>
        <v>0.408850571834456</v>
      </c>
      <c r="R537" s="54" t="n">
        <f aca="true">RAND()</f>
        <v>0.906783567132512</v>
      </c>
      <c r="S537" s="54" t="n">
        <f aca="true">RAND()</f>
        <v>0.00686868989939808</v>
      </c>
      <c r="T537" s="54" t="n">
        <f aca="true">RAND()</f>
        <v>0.537456005768689</v>
      </c>
      <c r="U537" s="54" t="n">
        <f aca="true">RAND()</f>
        <v>0.723153355403241</v>
      </c>
    </row>
    <row r="538" customFormat="false" ht="15" hidden="false" customHeight="false" outlineLevel="0" collapsed="false">
      <c r="A538" s="50" t="n">
        <v>458</v>
      </c>
      <c r="B538" s="51" t="n">
        <f aca="false">1+IF($G$6=$E$6,$F$6,IF(P538&lt;($F$6-$E$6)/($G$6-$E$6),$E$6+SQRT(P538*($G$6-$E$6)*($F$6-$E$6)),$G$6-SQRT((1-P538)*($G$6-$E$6)*($G$6-$F$6))))</f>
        <v>0.990426537807329</v>
      </c>
      <c r="C538" s="51" t="n">
        <f aca="false">1+IF($G$7=$E$7,$F$7,IF(Q538&lt;($F$7-$E$7)/($G$7-$E$7),$E$7+SQRT(Q538*($G$7-$E$7)*($F$7-$E$7)),$G$7-SQRT((1-Q538)*($G$7-$E$7)*($G$7-$F$7))))</f>
        <v>0.895017186077428</v>
      </c>
      <c r="D538" s="51" t="n">
        <f aca="false">1+IF($G$8=$E$8,$F$8,IF(R538&lt;($F$8-$E$8)/($G$8-$E$8),$E$8+SQRT(R538*($G$8-$E$8)*($F$8-$E$8)),$G$8-SQRT((1-R538)*($G$8-$E$8)*($G$8-$F$8))))</f>
        <v>0.998220146762508</v>
      </c>
      <c r="E538" s="51" t="n">
        <f aca="false">1+IF($G$9=$E$9,$F$9,IF(S538&lt;($F$9-$E$9)/($G$9-$E$9),$E$9+SQRT(S538*($G$9-$E$9)*($F$9-$E$9)),$G$9-SQRT((1-S538)*($G$9-$E$9)*($G$9-$F$9))))</f>
        <v>1.06374157323746</v>
      </c>
      <c r="F538" s="51" t="n">
        <f aca="false">1+IF($G$10=$E$10,$F$10,IF(T538&lt;($F$10-$E$10)/($G$10-$E$10),$E$10+SQRT(T538*($G$10-$E$10)*($F$10-$E$10)),$G$10-SQRT((1-T538)*($G$10-$E$10)*($G$10-$F$10))))</f>
        <v>1.08847526569098</v>
      </c>
      <c r="G538" s="52" t="n">
        <f aca="false">IF($G$11=$E$11,$F$11,IF(U538&lt;($F$11-$E$11)/($G$11-$E$11),$E$11+SQRT(U538*($G$11-$E$11)*($F$11-$E$11)),$G$11-SQRT((1-U538)*($G$11-$E$11)*($G$11-$F$11))))</f>
        <v>0.11559901726427</v>
      </c>
      <c r="H538" s="53" t="n">
        <f aca="false">(('Business Case'!B11*$C538*'Business Case'!B12*$B538)-'Business Case'!B11*$C538*'Business Case'!B13*$D538-'Business Case'!B14*$E538)-MAX(0,(('Business Case'!B11*$C538*'Business Case'!B12*$B538)-'Business Case'!B11*$C538*'Business Case'!B13*$D538-'Business Case'!B14*$E538))*'Business Case'!$B$7-'Business Case'!$B$8*('Business Case'!B11*$C538*'Business Case'!B12*$B538)-'Business Case'!B15*$F538</f>
        <v>-2176950531.38196</v>
      </c>
      <c r="I538" s="53" t="n">
        <f aca="false">(('Business Case'!C11*$C538*'Business Case'!C12*$B538)-'Business Case'!C11*$C538*'Business Case'!C13*$D538-'Business Case'!C14*$E538)-MAX(0,(('Business Case'!C11*$C538*'Business Case'!C12*$B538)-'Business Case'!C11*$C538*'Business Case'!C13*$D538-'Business Case'!C14*$E538))*'Business Case'!$B$7-'Business Case'!$B$8*(('Business Case'!C11*$C538*'Business Case'!C12*$B538)-('Business Case'!B11*$C538*'Business Case'!B12*$B538))-'Business Case'!C15*$F538</f>
        <v>-37361423.0933065</v>
      </c>
      <c r="J538" s="53" t="n">
        <f aca="false">(('Business Case'!D11*$C538*'Business Case'!D12*$B538)-'Business Case'!D11*$C538*'Business Case'!D13*$D538-'Business Case'!D14*$E538)-MAX(0,(('Business Case'!D11*$C538*'Business Case'!D12*$B538)-'Business Case'!D11*$C538*'Business Case'!D13*$D538-'Business Case'!D14*$E538))*'Business Case'!$B$7-'Business Case'!$B$8*(('Business Case'!D11*$C538*'Business Case'!D12*$B538)-('Business Case'!C11*$C538*'Business Case'!C12*$B538))-'Business Case'!D15*$F538</f>
        <v>231342236.483196</v>
      </c>
      <c r="K538" s="53" t="n">
        <f aca="false">(('Business Case'!E11*$C538*'Business Case'!E12*$B538)-'Business Case'!E11*$C538*'Business Case'!E13*$D538-'Business Case'!E14*$E538)-MAX(0,(('Business Case'!E11*$C538*'Business Case'!E12*$B538)-'Business Case'!E11*$C538*'Business Case'!E13*$D538-'Business Case'!E14*$E538))*'Business Case'!$B$7-'Business Case'!$B$8*(('Business Case'!E11*$C538*'Business Case'!E12*$B538)-('Business Case'!D11*$C538*'Business Case'!D12*$B538))-'Business Case'!E15*$F538</f>
        <v>554469659.344247</v>
      </c>
      <c r="L538" s="53" t="n">
        <f aca="false">(('Business Case'!F11*$C538*'Business Case'!F12*$B538)-'Business Case'!F11*$C538*'Business Case'!F13*$D538-'Business Case'!F14*$E538)-MAX(0,(('Business Case'!F11*$C538*'Business Case'!F12*$B538)-'Business Case'!F11*$C538*'Business Case'!F13*$D538-'Business Case'!F14*$E538))*'Business Case'!$B$7-'Business Case'!$B$8*(('Business Case'!F11*$C538*'Business Case'!F12*$B538)-('Business Case'!E11*$C538*'Business Case'!E12*$B538))-'Business Case'!F15*$F538</f>
        <v>674673215.460644</v>
      </c>
      <c r="M538" s="53" t="n">
        <f aca="false">(('Business Case'!G11*$C538*'Business Case'!G12*$B538)-'Business Case'!G11*$C538*'Business Case'!G13*$D538-'Business Case'!G14*$E538)-MAX(0,(('Business Case'!G11*$C538*'Business Case'!G12*$B538)-'Business Case'!G11*$C538*'Business Case'!G13*$D538-'Business Case'!G14*$E538))*'Business Case'!$B$7-'Business Case'!$B$8*(('Business Case'!G11*$C538*'Business Case'!G12*$B538)-('Business Case'!F11*$C538*'Business Case'!F12*$B538))-'Business Case'!G15*$F538+'Business Case'!$B$8*('Business Case'!G11*$C538*'Business Case'!G12*$B538)</f>
        <v>843169398.210573</v>
      </c>
      <c r="N538" s="53" t="n">
        <f aca="false">IF(COUNT('Business Case'!B11:G11)=0,"",H538+NPV(G538,I538:M538))</f>
        <v>-701686426.833698</v>
      </c>
      <c r="P538" s="54" t="n">
        <f aca="true">RAND()</f>
        <v>0.516655961200747</v>
      </c>
      <c r="Q538" s="54" t="n">
        <f aca="true">RAND()</f>
        <v>0.128975223572466</v>
      </c>
      <c r="R538" s="54" t="n">
        <f aca="true">RAND()</f>
        <v>0.357720392891974</v>
      </c>
      <c r="S538" s="54" t="n">
        <f aca="true">RAND()</f>
        <v>0.912355099247032</v>
      </c>
      <c r="T538" s="54" t="n">
        <f aca="true">RAND()</f>
        <v>0.751244672746044</v>
      </c>
      <c r="U538" s="54" t="n">
        <f aca="true">RAND()</f>
        <v>0.967718918266339</v>
      </c>
    </row>
    <row r="539" customFormat="false" ht="15" hidden="false" customHeight="false" outlineLevel="0" collapsed="false">
      <c r="A539" s="50" t="n">
        <v>459</v>
      </c>
      <c r="B539" s="51" t="n">
        <f aca="false">1+IF($G$6=$E$6,$F$6,IF(P539&lt;($F$6-$E$6)/($G$6-$E$6),$E$6+SQRT(P539*($G$6-$E$6)*($F$6-$E$6)),$G$6-SQRT((1-P539)*($G$6-$E$6)*($G$6-$F$6))))</f>
        <v>1.03190906069628</v>
      </c>
      <c r="C539" s="51" t="n">
        <f aca="false">1+IF($G$7=$E$7,$F$7,IF(Q539&lt;($F$7-$E$7)/($G$7-$E$7),$E$7+SQRT(Q539*($G$7-$E$7)*($F$7-$E$7)),$G$7-SQRT((1-Q539)*($G$7-$E$7)*($G$7-$F$7))))</f>
        <v>0.919951731030001</v>
      </c>
      <c r="D539" s="51" t="n">
        <f aca="false">1+IF($G$8=$E$8,$F$8,IF(R539&lt;($F$8-$E$8)/($G$8-$E$8),$E$8+SQRT(R539*($G$8-$E$8)*($F$8-$E$8)),$G$8-SQRT((1-R539)*($G$8-$E$8)*($G$8-$F$8))))</f>
        <v>1.02422616117172</v>
      </c>
      <c r="E539" s="51" t="n">
        <f aca="false">1+IF($G$9=$E$9,$F$9,IF(S539&lt;($F$9-$E$9)/($G$9-$E$9),$E$9+SQRT(S539*($G$9-$E$9)*($F$9-$E$9)),$G$9-SQRT((1-S539)*($G$9-$E$9)*($G$9-$F$9))))</f>
        <v>1.0011294106384</v>
      </c>
      <c r="F539" s="51" t="n">
        <f aca="false">1+IF($G$10=$E$10,$F$10,IF(T539&lt;($F$10-$E$10)/($G$10-$E$10),$E$10+SQRT(T539*($G$10-$E$10)*($F$10-$E$10)),$G$10-SQRT((1-T539)*($G$10-$E$10)*($G$10-$F$10))))</f>
        <v>1.09224427295589</v>
      </c>
      <c r="G539" s="52" t="n">
        <f aca="false">IF($G$11=$E$11,$F$11,IF(U539&lt;($F$11-$E$11)/($G$11-$E$11),$E$11+SQRT(U539*($G$11-$E$11)*($F$11-$E$11)),$G$11-SQRT((1-U539)*($G$11-$E$11)*($G$11-$F$11))))</f>
        <v>0.0994778312012279</v>
      </c>
      <c r="H539" s="53" t="n">
        <f aca="false">(('Business Case'!B11*$C539*'Business Case'!B12*$B539)-'Business Case'!B11*$C539*'Business Case'!B13*$D539-'Business Case'!B14*$E539)-MAX(0,(('Business Case'!B11*$C539*'Business Case'!B12*$B539)-'Business Case'!B11*$C539*'Business Case'!B13*$D539-'Business Case'!B14*$E539))*'Business Case'!$B$7-'Business Case'!$B$8*('Business Case'!B11*$C539*'Business Case'!B12*$B539)-'Business Case'!B15*$F539</f>
        <v>-2184488545.91179</v>
      </c>
      <c r="I539" s="53" t="n">
        <f aca="false">(('Business Case'!C11*$C539*'Business Case'!C12*$B539)-'Business Case'!C11*$C539*'Business Case'!C13*$D539-'Business Case'!C14*$E539)-MAX(0,(('Business Case'!C11*$C539*'Business Case'!C12*$B539)-'Business Case'!C11*$C539*'Business Case'!C13*$D539-'Business Case'!C14*$E539))*'Business Case'!$B$7-'Business Case'!$B$8*(('Business Case'!C11*$C539*'Business Case'!C12*$B539)-('Business Case'!B11*$C539*'Business Case'!B12*$B539))-'Business Case'!C15*$F539</f>
        <v>-5597483.86818074</v>
      </c>
      <c r="J539" s="53" t="n">
        <f aca="false">(('Business Case'!D11*$C539*'Business Case'!D12*$B539)-'Business Case'!D11*$C539*'Business Case'!D13*$D539-'Business Case'!D14*$E539)-MAX(0,(('Business Case'!D11*$C539*'Business Case'!D12*$B539)-'Business Case'!D11*$C539*'Business Case'!D13*$D539-'Business Case'!D14*$E539))*'Business Case'!$B$7-'Business Case'!$B$8*(('Business Case'!D11*$C539*'Business Case'!D12*$B539)-('Business Case'!C11*$C539*'Business Case'!C12*$B539))-'Business Case'!D15*$F539</f>
        <v>289602112.093705</v>
      </c>
      <c r="K539" s="53" t="n">
        <f aca="false">(('Business Case'!E11*$C539*'Business Case'!E12*$B539)-'Business Case'!E11*$C539*'Business Case'!E13*$D539-'Business Case'!E14*$E539)-MAX(0,(('Business Case'!E11*$C539*'Business Case'!E12*$B539)-'Business Case'!E11*$C539*'Business Case'!E13*$D539-'Business Case'!E14*$E539))*'Business Case'!$B$7-'Business Case'!$B$8*(('Business Case'!E11*$C539*'Business Case'!E12*$B539)-('Business Case'!D11*$C539*'Business Case'!D12*$B539))-'Business Case'!E15*$F539</f>
        <v>639413921.703385</v>
      </c>
      <c r="L539" s="53" t="n">
        <f aca="false">(('Business Case'!F11*$C539*'Business Case'!F12*$B539)-'Business Case'!F11*$C539*'Business Case'!F13*$D539-'Business Case'!F14*$E539)-MAX(0,(('Business Case'!F11*$C539*'Business Case'!F12*$B539)-'Business Case'!F11*$C539*'Business Case'!F13*$D539-'Business Case'!F14*$E539))*'Business Case'!$B$7-'Business Case'!$B$8*(('Business Case'!F11*$C539*'Business Case'!F12*$B539)-('Business Case'!E11*$C539*'Business Case'!E12*$B539))-'Business Case'!F15*$F539</f>
        <v>770621820.585144</v>
      </c>
      <c r="M539" s="53" t="n">
        <f aca="false">(('Business Case'!G11*$C539*'Business Case'!G12*$B539)-'Business Case'!G11*$C539*'Business Case'!G13*$D539-'Business Case'!G14*$E539)-MAX(0,(('Business Case'!G11*$C539*'Business Case'!G12*$B539)-'Business Case'!G11*$C539*'Business Case'!G13*$D539-'Business Case'!G14*$E539))*'Business Case'!$B$7-'Business Case'!$B$8*(('Business Case'!G11*$C539*'Business Case'!G12*$B539)-('Business Case'!F11*$C539*'Business Case'!F12*$B539))-'Business Case'!G15*$F539+'Business Case'!$B$8*('Business Case'!G11*$C539*'Business Case'!G12*$B539)</f>
        <v>951066005.171362</v>
      </c>
      <c r="N539" s="53" t="n">
        <f aca="false">IF(COUNT('Business Case'!B11:G11)=0,"",H539+NPV(G539,I539:M539))</f>
        <v>-349639194.847767</v>
      </c>
      <c r="P539" s="54" t="n">
        <f aca="true">RAND()</f>
        <v>0.986361812746561</v>
      </c>
      <c r="Q539" s="54" t="n">
        <f aca="true">RAND()</f>
        <v>0.205548825387054</v>
      </c>
      <c r="R539" s="54" t="n">
        <f aca="true">RAND()</f>
        <v>0.700892202149764</v>
      </c>
      <c r="S539" s="54" t="n">
        <f aca="true">RAND()</f>
        <v>0.348307103952709</v>
      </c>
      <c r="T539" s="54" t="n">
        <f aca="true">RAND()</f>
        <v>0.767774065783921</v>
      </c>
      <c r="U539" s="54" t="n">
        <f aca="true">RAND()</f>
        <v>0.299430947596566</v>
      </c>
    </row>
    <row r="540" customFormat="false" ht="15" hidden="false" customHeight="false" outlineLevel="0" collapsed="false">
      <c r="A540" s="50" t="n">
        <v>460</v>
      </c>
      <c r="B540" s="51" t="n">
        <f aca="false">1+IF($G$6=$E$6,$F$6,IF(P540&lt;($F$6-$E$6)/($G$6-$E$6),$E$6+SQRT(P540*($G$6-$E$6)*($F$6-$E$6)),$G$6-SQRT((1-P540)*($G$6-$E$6)*($G$6-$F$6))))</f>
        <v>1.01594577456265</v>
      </c>
      <c r="C540" s="51" t="n">
        <f aca="false">1+IF($G$7=$E$7,$F$7,IF(Q540&lt;($F$7-$E$7)/($G$7-$E$7),$E$7+SQRT(Q540*($G$7-$E$7)*($F$7-$E$7)),$G$7-SQRT((1-Q540)*($G$7-$E$7)*($G$7-$F$7))))</f>
        <v>0.951553602694848</v>
      </c>
      <c r="D540" s="51" t="n">
        <f aca="false">1+IF($G$8=$E$8,$F$8,IF(R540&lt;($F$8-$E$8)/($G$8-$E$8),$E$8+SQRT(R540*($G$8-$E$8)*($F$8-$E$8)),$G$8-SQRT((1-R540)*($G$8-$E$8)*($G$8-$F$8))))</f>
        <v>1.0538369344882</v>
      </c>
      <c r="E540" s="51" t="n">
        <f aca="false">1+IF($G$9=$E$9,$F$9,IF(S540&lt;($F$9-$E$9)/($G$9-$E$9),$E$9+SQRT(S540*($G$9-$E$9)*($F$9-$E$9)),$G$9-SQRT((1-S540)*($G$9-$E$9)*($G$9-$F$9))))</f>
        <v>0.999519644302625</v>
      </c>
      <c r="F540" s="51" t="n">
        <f aca="false">1+IF($G$10=$E$10,$F$10,IF(T540&lt;($F$10-$E$10)/($G$10-$E$10),$E$10+SQRT(T540*($G$10-$E$10)*($F$10-$E$10)),$G$10-SQRT((1-T540)*($G$10-$E$10)*($G$10-$F$10))))</f>
        <v>1.09114010981268</v>
      </c>
      <c r="G540" s="52" t="n">
        <f aca="false">IF($G$11=$E$11,$F$11,IF(U540&lt;($F$11-$E$11)/($G$11-$E$11),$E$11+SQRT(U540*($G$11-$E$11)*($F$11-$E$11)),$G$11-SQRT((1-U540)*($G$11-$E$11)*($G$11-$F$11))))</f>
        <v>0.10001811436665</v>
      </c>
      <c r="H540" s="53" t="n">
        <f aca="false">(('Business Case'!B11*$C540*'Business Case'!B12*$B540)-'Business Case'!B11*$C540*'Business Case'!B13*$D540-'Business Case'!B14*$E540)-MAX(0,(('Business Case'!B11*$C540*'Business Case'!B12*$B540)-'Business Case'!B11*$C540*'Business Case'!B13*$D540-'Business Case'!B14*$E540))*'Business Case'!$B$7-'Business Case'!$B$8*('Business Case'!B11*$C540*'Business Case'!B12*$B540)-'Business Case'!B15*$F540</f>
        <v>-2182280219.62535</v>
      </c>
      <c r="I540" s="53" t="n">
        <f aca="false">(('Business Case'!C11*$C540*'Business Case'!C12*$B540)-'Business Case'!C11*$C540*'Business Case'!C13*$D540-'Business Case'!C14*$E540)-MAX(0,(('Business Case'!C11*$C540*'Business Case'!C12*$B540)-'Business Case'!C11*$C540*'Business Case'!C13*$D540-'Business Case'!C14*$E540))*'Business Case'!$B$7-'Business Case'!$B$8*(('Business Case'!C11*$C540*'Business Case'!C12*$B540)-('Business Case'!B11*$C540*'Business Case'!B12*$B540))-'Business Case'!C15*$F540</f>
        <v>-22886251.8966078</v>
      </c>
      <c r="J540" s="53" t="n">
        <f aca="false">(('Business Case'!D11*$C540*'Business Case'!D12*$B540)-'Business Case'!D11*$C540*'Business Case'!D13*$D540-'Business Case'!D14*$E540)-MAX(0,(('Business Case'!D11*$C540*'Business Case'!D12*$B540)-'Business Case'!D11*$C540*'Business Case'!D13*$D540-'Business Case'!D14*$E540))*'Business Case'!$B$7-'Business Case'!$B$8*(('Business Case'!D11*$C540*'Business Case'!D12*$B540)-('Business Case'!C11*$C540*'Business Case'!C12*$B540))-'Business Case'!D15*$F540</f>
        <v>255588321.130217</v>
      </c>
      <c r="K540" s="53" t="n">
        <f aca="false">(('Business Case'!E11*$C540*'Business Case'!E12*$B540)-'Business Case'!E11*$C540*'Business Case'!E13*$D540-'Business Case'!E14*$E540)-MAX(0,(('Business Case'!E11*$C540*'Business Case'!E12*$B540)-'Business Case'!E11*$C540*'Business Case'!E13*$D540-'Business Case'!E14*$E540))*'Business Case'!$B$7-'Business Case'!$B$8*(('Business Case'!E11*$C540*'Business Case'!E12*$B540)-('Business Case'!D11*$C540*'Business Case'!D12*$B540))-'Business Case'!E15*$F540</f>
        <v>588619899.647676</v>
      </c>
      <c r="L540" s="53" t="n">
        <f aca="false">(('Business Case'!F11*$C540*'Business Case'!F12*$B540)-'Business Case'!F11*$C540*'Business Case'!F13*$D540-'Business Case'!F14*$E540)-MAX(0,(('Business Case'!F11*$C540*'Business Case'!F12*$B540)-'Business Case'!F11*$C540*'Business Case'!F13*$D540-'Business Case'!F14*$E540))*'Business Case'!$B$7-'Business Case'!$B$8*(('Business Case'!F11*$C540*'Business Case'!F12*$B540)-('Business Case'!E11*$C540*'Business Case'!E12*$B540))-'Business Case'!F15*$F540</f>
        <v>714854837.671505</v>
      </c>
      <c r="M540" s="53" t="n">
        <f aca="false">(('Business Case'!G11*$C540*'Business Case'!G12*$B540)-'Business Case'!G11*$C540*'Business Case'!G13*$D540-'Business Case'!G14*$E540)-MAX(0,(('Business Case'!G11*$C540*'Business Case'!G12*$B540)-'Business Case'!G11*$C540*'Business Case'!G13*$D540-'Business Case'!G14*$E540))*'Business Case'!$B$7-'Business Case'!$B$8*(('Business Case'!G11*$C540*'Business Case'!G12*$B540)-('Business Case'!F11*$C540*'Business Case'!F12*$B540))-'Business Case'!G15*$F540+'Business Case'!$B$8*('Business Case'!G11*$C540*'Business Case'!G12*$B540)</f>
        <v>898610279.586722</v>
      </c>
      <c r="N540" s="53" t="n">
        <f aca="false">IF(COUNT('Business Case'!B11:G11)=0,"",H540+NPV(G540,I540:M540))</f>
        <v>-503501847.607485</v>
      </c>
      <c r="P540" s="54" t="n">
        <f aca="true">RAND()</f>
        <v>0.879457133043585</v>
      </c>
      <c r="Q540" s="54" t="n">
        <f aca="true">RAND()</f>
        <v>0.328121349854112</v>
      </c>
      <c r="R540" s="54" t="n">
        <f aca="true">RAND()</f>
        <v>0.934182115675506</v>
      </c>
      <c r="S540" s="54" t="n">
        <f aca="true">RAND()</f>
        <v>0.326959356247798</v>
      </c>
      <c r="T540" s="54" t="n">
        <f aca="true">RAND()</f>
        <v>0.762990486168075</v>
      </c>
      <c r="U540" s="54" t="n">
        <f aca="true">RAND()</f>
        <v>0.334540410892858</v>
      </c>
    </row>
    <row r="541" customFormat="false" ht="15" hidden="false" customHeight="false" outlineLevel="0" collapsed="false">
      <c r="A541" s="50" t="n">
        <v>461</v>
      </c>
      <c r="B541" s="51" t="n">
        <f aca="false">1+IF($G$6=$E$6,$F$6,IF(P541&lt;($F$6-$E$6)/($G$6-$E$6),$E$6+SQRT(P541*($G$6-$E$6)*($F$6-$E$6)),$G$6-SQRT((1-P541)*($G$6-$E$6)*($G$6-$F$6))))</f>
        <v>0.985637683841081</v>
      </c>
      <c r="C541" s="51" t="n">
        <f aca="false">1+IF($G$7=$E$7,$F$7,IF(Q541&lt;($F$7-$E$7)/($G$7-$E$7),$E$7+SQRT(Q541*($G$7-$E$7)*($F$7-$E$7)),$G$7-SQRT((1-Q541)*($G$7-$E$7)*($G$7-$F$7))))</f>
        <v>0.926794146091865</v>
      </c>
      <c r="D541" s="51" t="n">
        <f aca="false">1+IF($G$8=$E$8,$F$8,IF(R541&lt;($F$8-$E$8)/($G$8-$E$8),$E$8+SQRT(R541*($G$8-$E$8)*($F$8-$E$8)),$G$8-SQRT((1-R541)*($G$8-$E$8)*($G$8-$F$8))))</f>
        <v>1.01676072044812</v>
      </c>
      <c r="E541" s="51" t="n">
        <f aca="false">1+IF($G$9=$E$9,$F$9,IF(S541&lt;($F$9-$E$9)/($G$9-$E$9),$E$9+SQRT(S541*($G$9-$E$9)*($F$9-$E$9)),$G$9-SQRT((1-S541)*($G$9-$E$9)*($G$9-$F$9))))</f>
        <v>1.01400604058465</v>
      </c>
      <c r="F541" s="51" t="n">
        <f aca="false">1+IF($G$10=$E$10,$F$10,IF(T541&lt;($F$10-$E$10)/($G$10-$E$10),$E$10+SQRT(T541*($G$10-$E$10)*($F$10-$E$10)),$G$10-SQRT((1-T541)*($G$10-$E$10)*($G$10-$F$10))))</f>
        <v>1.06186034425678</v>
      </c>
      <c r="G541" s="52" t="n">
        <f aca="false">IF($G$11=$E$11,$F$11,IF(U541&lt;($F$11-$E$11)/($G$11-$E$11),$E$11+SQRT(U541*($G$11-$E$11)*($F$11-$E$11)),$G$11-SQRT((1-U541)*($G$11-$E$11)*($G$11-$F$11))))</f>
        <v>0.10091995727666</v>
      </c>
      <c r="H541" s="53" t="n">
        <f aca="false">(('Business Case'!B11*$C541*'Business Case'!B12*$B541)-'Business Case'!B11*$C541*'Business Case'!B13*$D541-'Business Case'!B14*$E541)-MAX(0,(('Business Case'!B11*$C541*'Business Case'!B12*$B541)-'Business Case'!B11*$C541*'Business Case'!B13*$D541-'Business Case'!B14*$E541))*'Business Case'!$B$7-'Business Case'!$B$8*('Business Case'!B11*$C541*'Business Case'!B12*$B541)-'Business Case'!B15*$F541</f>
        <v>-2123720688.51356</v>
      </c>
      <c r="I541" s="53" t="n">
        <f aca="false">(('Business Case'!C11*$C541*'Business Case'!C12*$B541)-'Business Case'!C11*$C541*'Business Case'!C13*$D541-'Business Case'!C14*$E541)-MAX(0,(('Business Case'!C11*$C541*'Business Case'!C12*$B541)-'Business Case'!C11*$C541*'Business Case'!C13*$D541-'Business Case'!C14*$E541))*'Business Case'!$B$7-'Business Case'!$B$8*(('Business Case'!C11*$C541*'Business Case'!C12*$B541)-('Business Case'!B11*$C541*'Business Case'!B12*$B541))-'Business Case'!C15*$F541</f>
        <v>-31920613.8354872</v>
      </c>
      <c r="J541" s="53" t="n">
        <f aca="false">(('Business Case'!D11*$C541*'Business Case'!D12*$B541)-'Business Case'!D11*$C541*'Business Case'!D13*$D541-'Business Case'!D14*$E541)-MAX(0,(('Business Case'!D11*$C541*'Business Case'!D12*$B541)-'Business Case'!D11*$C541*'Business Case'!D13*$D541-'Business Case'!D14*$E541))*'Business Case'!$B$7-'Business Case'!$B$8*(('Business Case'!D11*$C541*'Business Case'!D12*$B541)-('Business Case'!C11*$C541*'Business Case'!C12*$B541))-'Business Case'!D15*$F541</f>
        <v>233891436.656828</v>
      </c>
      <c r="K541" s="53" t="n">
        <f aca="false">(('Business Case'!E11*$C541*'Business Case'!E12*$B541)-'Business Case'!E11*$C541*'Business Case'!E13*$D541-'Business Case'!E14*$E541)-MAX(0,(('Business Case'!E11*$C541*'Business Case'!E12*$B541)-'Business Case'!E11*$C541*'Business Case'!E13*$D541-'Business Case'!E14*$E541))*'Business Case'!$B$7-'Business Case'!$B$8*(('Business Case'!E11*$C541*'Business Case'!E12*$B541)-('Business Case'!D11*$C541*'Business Case'!D12*$B541))-'Business Case'!E15*$F541</f>
        <v>552796504.361982</v>
      </c>
      <c r="L541" s="53" t="n">
        <f aca="false">(('Business Case'!F11*$C541*'Business Case'!F12*$B541)-'Business Case'!F11*$C541*'Business Case'!F13*$D541-'Business Case'!F14*$E541)-MAX(0,(('Business Case'!F11*$C541*'Business Case'!F12*$B541)-'Business Case'!F11*$C541*'Business Case'!F13*$D541-'Business Case'!F14*$E541))*'Business Case'!$B$7-'Business Case'!$B$8*(('Business Case'!F11*$C541*'Business Case'!F12*$B541)-('Business Case'!E11*$C541*'Business Case'!E12*$B541))-'Business Case'!F15*$F541</f>
        <v>672970501.813412</v>
      </c>
      <c r="M541" s="53" t="n">
        <f aca="false">(('Business Case'!G11*$C541*'Business Case'!G12*$B541)-'Business Case'!G11*$C541*'Business Case'!G13*$D541-'Business Case'!G14*$E541)-MAX(0,(('Business Case'!G11*$C541*'Business Case'!G12*$B541)-'Business Case'!G11*$C541*'Business Case'!G13*$D541-'Business Case'!G14*$E541))*'Business Case'!$B$7-'Business Case'!$B$8*(('Business Case'!G11*$C541*'Business Case'!G12*$B541)-('Business Case'!F11*$C541*'Business Case'!F12*$B541))-'Business Case'!G15*$F541+'Business Case'!$B$8*('Business Case'!G11*$C541*'Business Case'!G12*$B541)</f>
        <v>846605395.227033</v>
      </c>
      <c r="N541" s="53" t="n">
        <f aca="false">IF(COUNT('Business Case'!B11:G11)=0,"",H541+NPV(G541,I541:M541))</f>
        <v>-563859361.509271</v>
      </c>
      <c r="P541" s="54" t="n">
        <f aca="true">RAND()</f>
        <v>0.448781827085597</v>
      </c>
      <c r="Q541" s="54" t="n">
        <f aca="true">RAND()</f>
        <v>0.229667935473787</v>
      </c>
      <c r="R541" s="54" t="n">
        <f aca="true">RAND()</f>
        <v>0.615460915553817</v>
      </c>
      <c r="S541" s="54" t="n">
        <f aca="true">RAND()</f>
        <v>0.507002596271363</v>
      </c>
      <c r="T541" s="54" t="n">
        <f aca="true">RAND()</f>
        <v>0.618348710222897</v>
      </c>
      <c r="U541" s="54" t="n">
        <f aca="true">RAND()</f>
        <v>0.393253282792512</v>
      </c>
    </row>
    <row r="542" customFormat="false" ht="15" hidden="false" customHeight="false" outlineLevel="0" collapsed="false">
      <c r="A542" s="50" t="n">
        <v>462</v>
      </c>
      <c r="B542" s="51" t="n">
        <f aca="false">1+IF($G$6=$E$6,$F$6,IF(P542&lt;($F$6-$E$6)/($G$6-$E$6),$E$6+SQRT(P542*($G$6-$E$6)*($F$6-$E$6)),$G$6-SQRT((1-P542)*($G$6-$E$6)*($G$6-$F$6))))</f>
        <v>1.01365632301218</v>
      </c>
      <c r="C542" s="51" t="n">
        <f aca="false">1+IF($G$7=$E$7,$F$7,IF(Q542&lt;($F$7-$E$7)/($G$7-$E$7),$E$7+SQRT(Q542*($G$7-$E$7)*($F$7-$E$7)),$G$7-SQRT((1-Q542)*($G$7-$E$7)*($G$7-$F$7))))</f>
        <v>0.934298663744064</v>
      </c>
      <c r="D542" s="51" t="n">
        <f aca="false">1+IF($G$8=$E$8,$F$8,IF(R542&lt;($F$8-$E$8)/($G$8-$E$8),$E$8+SQRT(R542*($G$8-$E$8)*($F$8-$E$8)),$G$8-SQRT((1-R542)*($G$8-$E$8)*($G$8-$F$8))))</f>
        <v>1.02789136427185</v>
      </c>
      <c r="E542" s="51" t="n">
        <f aca="false">1+IF($G$9=$E$9,$F$9,IF(S542&lt;($F$9-$E$9)/($G$9-$E$9),$E$9+SQRT(S542*($G$9-$E$9)*($F$9-$E$9)),$G$9-SQRT((1-S542)*($G$9-$E$9)*($G$9-$F$9))))</f>
        <v>0.993905190651255</v>
      </c>
      <c r="F542" s="51" t="n">
        <f aca="false">1+IF($G$10=$E$10,$F$10,IF(T542&lt;($F$10-$E$10)/($G$10-$E$10),$E$10+SQRT(T542*($G$10-$E$10)*($F$10-$E$10)),$G$10-SQRT((1-T542)*($G$10-$E$10)*($G$10-$F$10))))</f>
        <v>1.03408956721777</v>
      </c>
      <c r="G542" s="52" t="n">
        <f aca="false">IF($G$11=$E$11,$F$11,IF(U542&lt;($F$11-$E$11)/($G$11-$E$11),$E$11+SQRT(U542*($G$11-$E$11)*($F$11-$E$11)),$G$11-SQRT((1-U542)*($G$11-$E$11)*($G$11-$F$11))))</f>
        <v>0.103487081453951</v>
      </c>
      <c r="H542" s="53" t="n">
        <f aca="false">(('Business Case'!B11*$C542*'Business Case'!B12*$B542)-'Business Case'!B11*$C542*'Business Case'!B13*$D542-'Business Case'!B14*$E542)-MAX(0,(('Business Case'!B11*$C542*'Business Case'!B12*$B542)-'Business Case'!B11*$C542*'Business Case'!B13*$D542-'Business Case'!B14*$E542))*'Business Case'!$B$7-'Business Case'!$B$8*('Business Case'!B11*$C542*'Business Case'!B12*$B542)-'Business Case'!B15*$F542</f>
        <v>-2068179134.43555</v>
      </c>
      <c r="I542" s="53" t="n">
        <f aca="false">(('Business Case'!C11*$C542*'Business Case'!C12*$B542)-'Business Case'!C11*$C542*'Business Case'!C13*$D542-'Business Case'!C14*$E542)-MAX(0,(('Business Case'!C11*$C542*'Business Case'!C12*$B542)-'Business Case'!C11*$C542*'Business Case'!C13*$D542-'Business Case'!C14*$E542))*'Business Case'!$B$7-'Business Case'!$B$8*(('Business Case'!C11*$C542*'Business Case'!C12*$B542)-('Business Case'!B11*$C542*'Business Case'!B12*$B542))-'Business Case'!C15*$F542</f>
        <v>-9755490.44460419</v>
      </c>
      <c r="J542" s="53" t="n">
        <f aca="false">(('Business Case'!D11*$C542*'Business Case'!D12*$B542)-'Business Case'!D11*$C542*'Business Case'!D13*$D542-'Business Case'!D14*$E542)-MAX(0,(('Business Case'!D11*$C542*'Business Case'!D12*$B542)-'Business Case'!D11*$C542*'Business Case'!D13*$D542-'Business Case'!D14*$E542))*'Business Case'!$B$7-'Business Case'!$B$8*(('Business Case'!D11*$C542*'Business Case'!D12*$B542)-('Business Case'!C11*$C542*'Business Case'!C12*$B542))-'Business Case'!D15*$F542</f>
        <v>274326767.603956</v>
      </c>
      <c r="K542" s="53" t="n">
        <f aca="false">(('Business Case'!E11*$C542*'Business Case'!E12*$B542)-'Business Case'!E11*$C542*'Business Case'!E13*$D542-'Business Case'!E14*$E542)-MAX(0,(('Business Case'!E11*$C542*'Business Case'!E12*$B542)-'Business Case'!E11*$C542*'Business Case'!E13*$D542-'Business Case'!E14*$E542))*'Business Case'!$B$7-'Business Case'!$B$8*(('Business Case'!E11*$C542*'Business Case'!E12*$B542)-('Business Case'!D11*$C542*'Business Case'!D12*$B542))-'Business Case'!E15*$F542</f>
        <v>610113504.013404</v>
      </c>
      <c r="L542" s="53" t="n">
        <f aca="false">(('Business Case'!F11*$C542*'Business Case'!F12*$B542)-'Business Case'!F11*$C542*'Business Case'!F13*$D542-'Business Case'!F14*$E542)-MAX(0,(('Business Case'!F11*$C542*'Business Case'!F12*$B542)-'Business Case'!F11*$C542*'Business Case'!F13*$D542-'Business Case'!F14*$E542))*'Business Case'!$B$7-'Business Case'!$B$8*(('Business Case'!F11*$C542*'Business Case'!F12*$B542)-('Business Case'!E11*$C542*'Business Case'!E12*$B542))-'Business Case'!F15*$F542</f>
        <v>737537905.803443</v>
      </c>
      <c r="M542" s="53" t="n">
        <f aca="false">(('Business Case'!G11*$C542*'Business Case'!G12*$B542)-'Business Case'!G11*$C542*'Business Case'!G13*$D542-'Business Case'!G14*$E542)-MAX(0,(('Business Case'!G11*$C542*'Business Case'!G12*$B542)-'Business Case'!G11*$C542*'Business Case'!G13*$D542-'Business Case'!G14*$E542))*'Business Case'!$B$7-'Business Case'!$B$8*(('Business Case'!G11*$C542*'Business Case'!G12*$B542)-('Business Case'!F11*$C542*'Business Case'!F12*$B542))-'Business Case'!G15*$F542+'Business Case'!$B$8*('Business Case'!G11*$C542*'Business Case'!G12*$B542)</f>
        <v>917554642.55963</v>
      </c>
      <c r="N542" s="53" t="n">
        <f aca="false">IF(COUNT('Business Case'!B11:G11)=0,"",H542+NPV(G542,I542:M542))</f>
        <v>-339483561.101909</v>
      </c>
      <c r="P542" s="54" t="n">
        <f aca="true">RAND()</f>
        <v>0.855418892241953</v>
      </c>
      <c r="Q542" s="54" t="n">
        <f aca="true">RAND()</f>
        <v>0.257659015477732</v>
      </c>
      <c r="R542" s="54" t="n">
        <f aca="true">RAND()</f>
        <v>0.738912507937608</v>
      </c>
      <c r="S542" s="54" t="n">
        <f aca="true">RAND()</f>
        <v>0.257022102149736</v>
      </c>
      <c r="T542" s="54" t="n">
        <f aca="true">RAND()</f>
        <v>0.449474565880285</v>
      </c>
      <c r="U542" s="54" t="n">
        <f aca="true">RAND()</f>
        <v>0.545539201819247</v>
      </c>
    </row>
    <row r="543" customFormat="false" ht="15" hidden="false" customHeight="false" outlineLevel="0" collapsed="false">
      <c r="A543" s="50" t="n">
        <v>463</v>
      </c>
      <c r="B543" s="51" t="n">
        <f aca="false">1+IF($G$6=$E$6,$F$6,IF(P543&lt;($F$6-$E$6)/($G$6-$E$6),$E$6+SQRT(P543*($G$6-$E$6)*($F$6-$E$6)),$G$6-SQRT((1-P543)*($G$6-$E$6)*($G$6-$F$6))))</f>
        <v>0.979053924905098</v>
      </c>
      <c r="C543" s="51" t="n">
        <f aca="false">1+IF($G$7=$E$7,$F$7,IF(Q543&lt;($F$7-$E$7)/($G$7-$E$7),$E$7+SQRT(Q543*($G$7-$E$7)*($F$7-$E$7)),$G$7-SQRT((1-Q543)*($G$7-$E$7)*($G$7-$F$7))))</f>
        <v>0.852081552394199</v>
      </c>
      <c r="D543" s="51" t="n">
        <f aca="false">1+IF($G$8=$E$8,$F$8,IF(R543&lt;($F$8-$E$8)/($G$8-$E$8),$E$8+SQRT(R543*($G$8-$E$8)*($F$8-$E$8)),$G$8-SQRT((1-R543)*($G$8-$E$8)*($G$8-$F$8))))</f>
        <v>1.02140436026264</v>
      </c>
      <c r="E543" s="51" t="n">
        <f aca="false">1+IF($G$9=$E$9,$F$9,IF(S543&lt;($F$9-$E$9)/($G$9-$E$9),$E$9+SQRT(S543*($G$9-$E$9)*($F$9-$E$9)),$G$9-SQRT((1-S543)*($G$9-$E$9)*($G$9-$F$9))))</f>
        <v>1.01413282272315</v>
      </c>
      <c r="F543" s="51" t="n">
        <f aca="false">1+IF($G$10=$E$10,$F$10,IF(T543&lt;($F$10-$E$10)/($G$10-$E$10),$E$10+SQRT(T543*($G$10-$E$10)*($F$10-$E$10)),$G$10-SQRT((1-T543)*($G$10-$E$10)*($G$10-$F$10))))</f>
        <v>1.03524803243473</v>
      </c>
      <c r="G543" s="52" t="n">
        <f aca="false">IF($G$11=$E$11,$F$11,IF(U543&lt;($F$11-$E$11)/($G$11-$E$11),$E$11+SQRT(U543*($G$11-$E$11)*($F$11-$E$11)),$G$11-SQRT((1-U543)*($G$11-$E$11)*($G$11-$F$11))))</f>
        <v>0.0954823064818999</v>
      </c>
      <c r="H543" s="53" t="n">
        <f aca="false">(('Business Case'!B11*$C543*'Business Case'!B12*$B543)-'Business Case'!B11*$C543*'Business Case'!B13*$D543-'Business Case'!B14*$E543)-MAX(0,(('Business Case'!B11*$C543*'Business Case'!B12*$B543)-'Business Case'!B11*$C543*'Business Case'!B13*$D543-'Business Case'!B14*$E543))*'Business Case'!$B$7-'Business Case'!$B$8*('Business Case'!B11*$C543*'Business Case'!B12*$B543)-'Business Case'!B15*$F543</f>
        <v>-2070496064.86946</v>
      </c>
      <c r="I543" s="53" t="n">
        <f aca="false">(('Business Case'!C11*$C543*'Business Case'!C12*$B543)-'Business Case'!C11*$C543*'Business Case'!C13*$D543-'Business Case'!C14*$E543)-MAX(0,(('Business Case'!C11*$C543*'Business Case'!C12*$B543)-'Business Case'!C11*$C543*'Business Case'!C13*$D543-'Business Case'!C14*$E543))*'Business Case'!$B$7-'Business Case'!$B$8*(('Business Case'!C11*$C543*'Business Case'!C12*$B543)-('Business Case'!B11*$C543*'Business Case'!B12*$B543))-'Business Case'!C15*$F543</f>
        <v>-53217751.4655208</v>
      </c>
      <c r="J543" s="53" t="n">
        <f aca="false">(('Business Case'!D11*$C543*'Business Case'!D12*$B543)-'Business Case'!D11*$C543*'Business Case'!D13*$D543-'Business Case'!D14*$E543)-MAX(0,(('Business Case'!D11*$C543*'Business Case'!D12*$B543)-'Business Case'!D11*$C543*'Business Case'!D13*$D543-'Business Case'!D14*$E543))*'Business Case'!$B$7-'Business Case'!$B$8*(('Business Case'!D11*$C543*'Business Case'!D12*$B543)-('Business Case'!C11*$C543*'Business Case'!C12*$B543))-'Business Case'!D15*$F543</f>
        <v>184545667.28451</v>
      </c>
      <c r="K543" s="53" t="n">
        <f aca="false">(('Business Case'!E11*$C543*'Business Case'!E12*$B543)-'Business Case'!E11*$C543*'Business Case'!E13*$D543-'Business Case'!E14*$E543)-MAX(0,(('Business Case'!E11*$C543*'Business Case'!E12*$B543)-'Business Case'!E11*$C543*'Business Case'!E13*$D543-'Business Case'!E14*$E543))*'Business Case'!$B$7-'Business Case'!$B$8*(('Business Case'!E11*$C543*'Business Case'!E12*$B543)-('Business Case'!D11*$C543*'Business Case'!D12*$B543))-'Business Case'!E15*$F543</f>
        <v>474071487.656276</v>
      </c>
      <c r="L543" s="53" t="n">
        <f aca="false">(('Business Case'!F11*$C543*'Business Case'!F12*$B543)-'Business Case'!F11*$C543*'Business Case'!F13*$D543-'Business Case'!F14*$E543)-MAX(0,(('Business Case'!F11*$C543*'Business Case'!F12*$B543)-'Business Case'!F11*$C543*'Business Case'!F13*$D543-'Business Case'!F14*$E543))*'Business Case'!$B$7-'Business Case'!$B$8*(('Business Case'!F11*$C543*'Business Case'!F12*$B543)-('Business Case'!E11*$C543*'Business Case'!E12*$B543))-'Business Case'!F15*$F543</f>
        <v>582157080.293517</v>
      </c>
      <c r="M543" s="53" t="n">
        <f aca="false">(('Business Case'!G11*$C543*'Business Case'!G12*$B543)-'Business Case'!G11*$C543*'Business Case'!G13*$D543-'Business Case'!G14*$E543)-MAX(0,(('Business Case'!G11*$C543*'Business Case'!G12*$B543)-'Business Case'!G11*$C543*'Business Case'!G13*$D543-'Business Case'!G14*$E543))*'Business Case'!$B$7-'Business Case'!$B$8*(('Business Case'!G11*$C543*'Business Case'!G12*$B543)-('Business Case'!F11*$C543*'Business Case'!F12*$B543))-'Business Case'!G15*$F543+'Business Case'!$B$8*('Business Case'!G11*$C543*'Business Case'!G12*$B543)</f>
        <v>740728238.75662</v>
      </c>
      <c r="N543" s="53" t="n">
        <f aca="false">IF(COUNT('Business Case'!B11:G11)=0,"",H543+NPV(G543,I543:M543))</f>
        <v>-730979036.166491</v>
      </c>
      <c r="P543" s="54" t="n">
        <f aca="true">RAND()</f>
        <v>0.363267296530927</v>
      </c>
      <c r="Q543" s="54" t="n">
        <f aca="true">RAND()</f>
        <v>0.0387498299969952</v>
      </c>
      <c r="R543" s="54" t="n">
        <f aca="true">RAND()</f>
        <v>0.669860673439362</v>
      </c>
      <c r="S543" s="54" t="n">
        <f aca="true">RAND()</f>
        <v>0.508455191100397</v>
      </c>
      <c r="T543" s="54" t="n">
        <f aca="true">RAND()</f>
        <v>0.457135783667444</v>
      </c>
      <c r="U543" s="54" t="n">
        <f aca="true">RAND()</f>
        <v>0.100185614538273</v>
      </c>
    </row>
    <row r="544" customFormat="false" ht="15" hidden="false" customHeight="false" outlineLevel="0" collapsed="false">
      <c r="A544" s="50" t="n">
        <v>464</v>
      </c>
      <c r="B544" s="51" t="n">
        <f aca="false">1+IF($G$6=$E$6,$F$6,IF(P544&lt;($F$6-$E$6)/($G$6-$E$6),$E$6+SQRT(P544*($G$6-$E$6)*($F$6-$E$6)),$G$6-SQRT((1-P544)*($G$6-$E$6)*($G$6-$F$6))))</f>
        <v>0.985470897326574</v>
      </c>
      <c r="C544" s="51" t="n">
        <f aca="false">1+IF($G$7=$E$7,$F$7,IF(Q544&lt;($F$7-$E$7)/($G$7-$E$7),$E$7+SQRT(Q544*($G$7-$E$7)*($F$7-$E$7)),$G$7-SQRT((1-Q544)*($G$7-$E$7)*($G$7-$F$7))))</f>
        <v>1.0269305595239</v>
      </c>
      <c r="D544" s="51" t="n">
        <f aca="false">1+IF($G$8=$E$8,$F$8,IF(R544&lt;($F$8-$E$8)/($G$8-$E$8),$E$8+SQRT(R544*($G$8-$E$8)*($F$8-$E$8)),$G$8-SQRT((1-R544)*($G$8-$E$8)*($G$8-$F$8))))</f>
        <v>1.03728996492361</v>
      </c>
      <c r="E544" s="51" t="n">
        <f aca="false">1+IF($G$9=$E$9,$F$9,IF(S544&lt;($F$9-$E$9)/($G$9-$E$9),$E$9+SQRT(S544*($G$9-$E$9)*($F$9-$E$9)),$G$9-SQRT((1-S544)*($G$9-$E$9)*($G$9-$F$9))))</f>
        <v>1.01226978690295</v>
      </c>
      <c r="F544" s="51" t="n">
        <f aca="false">1+IF($G$10=$E$10,$F$10,IF(T544&lt;($F$10-$E$10)/($G$10-$E$10),$E$10+SQRT(T544*($G$10-$E$10)*($F$10-$E$10)),$G$10-SQRT((1-T544)*($G$10-$E$10)*($G$10-$F$10))))</f>
        <v>1.01687747015398</v>
      </c>
      <c r="G544" s="52" t="n">
        <f aca="false">IF($G$11=$E$11,$F$11,IF(U544&lt;($F$11-$E$11)/($G$11-$E$11),$E$11+SQRT(U544*($G$11-$E$11)*($F$11-$E$11)),$G$11-SQRT((1-U544)*($G$11-$E$11)*($G$11-$F$11))))</f>
        <v>0.107309778961411</v>
      </c>
      <c r="H544" s="53" t="n">
        <f aca="false">(('Business Case'!B11*$C544*'Business Case'!B12*$B544)-'Business Case'!B11*$C544*'Business Case'!B13*$D544-'Business Case'!B14*$E544)-MAX(0,(('Business Case'!B11*$C544*'Business Case'!B12*$B544)-'Business Case'!B11*$C544*'Business Case'!B13*$D544-'Business Case'!B14*$E544))*'Business Case'!$B$7-'Business Case'!$B$8*('Business Case'!B11*$C544*'Business Case'!B12*$B544)-'Business Case'!B15*$F544</f>
        <v>-2033754940.30795</v>
      </c>
      <c r="I544" s="53" t="n">
        <f aca="false">(('Business Case'!C11*$C544*'Business Case'!C12*$B544)-'Business Case'!C11*$C544*'Business Case'!C13*$D544-'Business Case'!C14*$E544)-MAX(0,(('Business Case'!C11*$C544*'Business Case'!C12*$B544)-'Business Case'!C11*$C544*'Business Case'!C13*$D544-'Business Case'!C14*$E544))*'Business Case'!$B$7-'Business Case'!$B$8*(('Business Case'!C11*$C544*'Business Case'!C12*$B544)-('Business Case'!B11*$C544*'Business Case'!B12*$B544))-'Business Case'!C15*$F544</f>
        <v>-14495777.523355</v>
      </c>
      <c r="J544" s="53" t="n">
        <f aca="false">(('Business Case'!D11*$C544*'Business Case'!D12*$B544)-'Business Case'!D11*$C544*'Business Case'!D13*$D544-'Business Case'!D14*$E544)-MAX(0,(('Business Case'!D11*$C544*'Business Case'!D12*$B544)-'Business Case'!D11*$C544*'Business Case'!D13*$D544-'Business Case'!D14*$E544))*'Business Case'!$B$7-'Business Case'!$B$8*(('Business Case'!D11*$C544*'Business Case'!D12*$B544)-('Business Case'!C11*$C544*'Business Case'!C12*$B544))-'Business Case'!D15*$F544</f>
        <v>269103563.396766</v>
      </c>
      <c r="K544" s="53" t="n">
        <f aca="false">(('Business Case'!E11*$C544*'Business Case'!E12*$B544)-'Business Case'!E11*$C544*'Business Case'!E13*$D544-'Business Case'!E14*$E544)-MAX(0,(('Business Case'!E11*$C544*'Business Case'!E12*$B544)-'Business Case'!E11*$C544*'Business Case'!E13*$D544-'Business Case'!E14*$E544))*'Business Case'!$B$7-'Business Case'!$B$8*(('Business Case'!E11*$C544*'Business Case'!E12*$B544)-('Business Case'!D11*$C544*'Business Case'!D12*$B544))-'Business Case'!E15*$F544</f>
        <v>603546777.824587</v>
      </c>
      <c r="L544" s="53" t="n">
        <f aca="false">(('Business Case'!F11*$C544*'Business Case'!F12*$B544)-'Business Case'!F11*$C544*'Business Case'!F13*$D544-'Business Case'!F14*$E544)-MAX(0,(('Business Case'!F11*$C544*'Business Case'!F12*$B544)-'Business Case'!F11*$C544*'Business Case'!F13*$D544-'Business Case'!F14*$E544))*'Business Case'!$B$7-'Business Case'!$B$8*(('Business Case'!F11*$C544*'Business Case'!F12*$B544)-('Business Case'!E11*$C544*'Business Case'!E12*$B544))-'Business Case'!F15*$F544</f>
        <v>733054963.284946</v>
      </c>
      <c r="M544" s="53" t="n">
        <f aca="false">(('Business Case'!G11*$C544*'Business Case'!G12*$B544)-'Business Case'!G11*$C544*'Business Case'!G13*$D544-'Business Case'!G14*$E544)-MAX(0,(('Business Case'!G11*$C544*'Business Case'!G12*$B544)-'Business Case'!G11*$C544*'Business Case'!G13*$D544-'Business Case'!G14*$E544))*'Business Case'!$B$7-'Business Case'!$B$8*(('Business Case'!G11*$C544*'Business Case'!G12*$B544)-('Business Case'!F11*$C544*'Business Case'!F12*$B544))-'Business Case'!G15*$F544+'Business Case'!$B$8*('Business Case'!G11*$C544*'Business Case'!G12*$B544)</f>
        <v>925417858.296703</v>
      </c>
      <c r="N544" s="53" t="n">
        <f aca="false">IF(COUNT('Business Case'!B11:G11)=0,"",H544+NPV(G544,I544:M544))</f>
        <v>-339350256.575763</v>
      </c>
      <c r="P544" s="54" t="n">
        <f aca="true">RAND()</f>
        <v>0.446503999661121</v>
      </c>
      <c r="Q544" s="54" t="n">
        <f aca="true">RAND()</f>
        <v>0.711503101350453</v>
      </c>
      <c r="R544" s="54" t="n">
        <f aca="true">RAND()</f>
        <v>0.824601240747479</v>
      </c>
      <c r="S544" s="54" t="n">
        <f aca="true">RAND()</f>
        <v>0.486893980663077</v>
      </c>
      <c r="T544" s="54" t="n">
        <f aca="true">RAND()</f>
        <v>0.32932278125585</v>
      </c>
      <c r="U544" s="54" t="n">
        <f aca="true">RAND()</f>
        <v>0.731597149986235</v>
      </c>
    </row>
    <row r="545" customFormat="false" ht="15" hidden="false" customHeight="false" outlineLevel="0" collapsed="false">
      <c r="A545" s="50" t="n">
        <v>465</v>
      </c>
      <c r="B545" s="51" t="n">
        <f aca="false">1+IF($G$6=$E$6,$F$6,IF(P545&lt;($F$6-$E$6)/($G$6-$E$6),$E$6+SQRT(P545*($G$6-$E$6)*($F$6-$E$6)),$G$6-SQRT((1-P545)*($G$6-$E$6)*($G$6-$F$6))))</f>
        <v>0.964077770728297</v>
      </c>
      <c r="C545" s="51" t="n">
        <f aca="false">1+IF($G$7=$E$7,$F$7,IF(Q545&lt;($F$7-$E$7)/($G$7-$E$7),$E$7+SQRT(Q545*($G$7-$E$7)*($F$7-$E$7)),$G$7-SQRT((1-Q545)*($G$7-$E$7)*($G$7-$F$7))))</f>
        <v>0.970141298666856</v>
      </c>
      <c r="D545" s="51" t="n">
        <f aca="false">1+IF($G$8=$E$8,$F$8,IF(R545&lt;($F$8-$E$8)/($G$8-$E$8),$E$8+SQRT(R545*($G$8-$E$8)*($F$8-$E$8)),$G$8-SQRT((1-R545)*($G$8-$E$8)*($G$8-$F$8))))</f>
        <v>1.00249467883564</v>
      </c>
      <c r="E545" s="51" t="n">
        <f aca="false">1+IF($G$9=$E$9,$F$9,IF(S545&lt;($F$9-$E$9)/($G$9-$E$9),$E$9+SQRT(S545*($G$9-$E$9)*($F$9-$E$9)),$G$9-SQRT((1-S545)*($G$9-$E$9)*($G$9-$F$9))))</f>
        <v>1.00421611287519</v>
      </c>
      <c r="F545" s="51" t="n">
        <f aca="false">1+IF($G$10=$E$10,$F$10,IF(T545&lt;($F$10-$E$10)/($G$10-$E$10),$E$10+SQRT(T545*($G$10-$E$10)*($F$10-$E$10)),$G$10-SQRT((1-T545)*($G$10-$E$10)*($G$10-$F$10))))</f>
        <v>0.994077432787946</v>
      </c>
      <c r="G545" s="52" t="n">
        <f aca="false">IF($G$11=$E$11,$F$11,IF(U545&lt;($F$11-$E$11)/($G$11-$E$11),$E$11+SQRT(U545*($G$11-$E$11)*($F$11-$E$11)),$G$11-SQRT((1-U545)*($G$11-$E$11)*($G$11-$F$11))))</f>
        <v>0.105685127699532</v>
      </c>
      <c r="H545" s="53" t="n">
        <f aca="false">(('Business Case'!B11*$C545*'Business Case'!B12*$B545)-'Business Case'!B11*$C545*'Business Case'!B13*$D545-'Business Case'!B14*$E545)-MAX(0,(('Business Case'!B11*$C545*'Business Case'!B12*$B545)-'Business Case'!B11*$C545*'Business Case'!B13*$D545-'Business Case'!B14*$E545))*'Business Case'!$B$7-'Business Case'!$B$8*('Business Case'!B11*$C545*'Business Case'!B12*$B545)-'Business Case'!B15*$F545</f>
        <v>-1988154865.57589</v>
      </c>
      <c r="I545" s="53" t="n">
        <f aca="false">(('Business Case'!C11*$C545*'Business Case'!C12*$B545)-'Business Case'!C11*$C545*'Business Case'!C13*$D545-'Business Case'!C14*$E545)-MAX(0,(('Business Case'!C11*$C545*'Business Case'!C12*$B545)-'Business Case'!C11*$C545*'Business Case'!C13*$D545-'Business Case'!C14*$E545))*'Business Case'!$B$7-'Business Case'!$B$8*(('Business Case'!C11*$C545*'Business Case'!C12*$B545)-('Business Case'!B11*$C545*'Business Case'!B12*$B545))-'Business Case'!C15*$F545</f>
        <v>-22495261.0256123</v>
      </c>
      <c r="J545" s="53" t="n">
        <f aca="false">(('Business Case'!D11*$C545*'Business Case'!D12*$B545)-'Business Case'!D11*$C545*'Business Case'!D13*$D545-'Business Case'!D14*$E545)-MAX(0,(('Business Case'!D11*$C545*'Business Case'!D12*$B545)-'Business Case'!D11*$C545*'Business Case'!D13*$D545-'Business Case'!D14*$E545))*'Business Case'!$B$7-'Business Case'!$B$8*(('Business Case'!D11*$C545*'Business Case'!D12*$B545)-('Business Case'!C11*$C545*'Business Case'!C12*$B545))-'Business Case'!D15*$F545</f>
        <v>245702272.159271</v>
      </c>
      <c r="K545" s="53" t="n">
        <f aca="false">(('Business Case'!E11*$C545*'Business Case'!E12*$B545)-'Business Case'!E11*$C545*'Business Case'!E13*$D545-'Business Case'!E14*$E545)-MAX(0,(('Business Case'!E11*$C545*'Business Case'!E12*$B545)-'Business Case'!E11*$C545*'Business Case'!E13*$D545-'Business Case'!E14*$E545))*'Business Case'!$B$7-'Business Case'!$B$8*(('Business Case'!E11*$C545*'Business Case'!E12*$B545)-('Business Case'!D11*$C545*'Business Case'!D12*$B545))-'Business Case'!E15*$F545</f>
        <v>563603676.983552</v>
      </c>
      <c r="L545" s="53" t="n">
        <f aca="false">(('Business Case'!F11*$C545*'Business Case'!F12*$B545)-'Business Case'!F11*$C545*'Business Case'!F13*$D545-'Business Case'!F14*$E545)-MAX(0,(('Business Case'!F11*$C545*'Business Case'!F12*$B545)-'Business Case'!F11*$C545*'Business Case'!F13*$D545-'Business Case'!F14*$E545))*'Business Case'!$B$7-'Business Case'!$B$8*(('Business Case'!F11*$C545*'Business Case'!F12*$B545)-('Business Case'!E11*$C545*'Business Case'!E12*$B545))-'Business Case'!F15*$F545</f>
        <v>685326534.499079</v>
      </c>
      <c r="M545" s="53" t="n">
        <f aca="false">(('Business Case'!G11*$C545*'Business Case'!G12*$B545)-'Business Case'!G11*$C545*'Business Case'!G13*$D545-'Business Case'!G14*$E545)-MAX(0,(('Business Case'!G11*$C545*'Business Case'!G12*$B545)-'Business Case'!G11*$C545*'Business Case'!G13*$D545-'Business Case'!G14*$E545))*'Business Case'!$B$7-'Business Case'!$B$8*(('Business Case'!G11*$C545*'Business Case'!G12*$B545)-('Business Case'!F11*$C545*'Business Case'!F12*$B545))-'Business Case'!G15*$F545+'Business Case'!$B$8*('Business Case'!G11*$C545*'Business Case'!G12*$B545)</f>
        <v>863106773.328857</v>
      </c>
      <c r="N545" s="53" t="n">
        <f aca="false">IF(COUNT('Business Case'!B11:G11)=0,"",H545+NPV(G545,I545:M545))</f>
        <v>-409758697.015552</v>
      </c>
      <c r="P545" s="54" t="n">
        <f aca="true">RAND()</f>
        <v>0.202380195039201</v>
      </c>
      <c r="Q545" s="54" t="n">
        <f aca="true">RAND()</f>
        <v>0.413543735886348</v>
      </c>
      <c r="R545" s="54" t="n">
        <f aca="true">RAND()</f>
        <v>0.422396653000875</v>
      </c>
      <c r="S545" s="54" t="n">
        <f aca="true">RAND()</f>
        <v>0.3883631311508</v>
      </c>
      <c r="T545" s="54" t="n">
        <f aca="true">RAND()</f>
        <v>0.155425606494073</v>
      </c>
      <c r="U545" s="54" t="n">
        <f aca="true">RAND()</f>
        <v>0.658474051702174</v>
      </c>
    </row>
    <row r="546" customFormat="false" ht="15" hidden="false" customHeight="false" outlineLevel="0" collapsed="false">
      <c r="A546" s="50" t="n">
        <v>466</v>
      </c>
      <c r="B546" s="51" t="n">
        <f aca="false">1+IF($G$6=$E$6,$F$6,IF(P546&lt;($F$6-$E$6)/($G$6-$E$6),$E$6+SQRT(P546*($G$6-$E$6)*($F$6-$E$6)),$G$6-SQRT((1-P546)*($G$6-$E$6)*($G$6-$F$6))))</f>
        <v>0.98616696899936</v>
      </c>
      <c r="C546" s="51" t="n">
        <f aca="false">1+IF($G$7=$E$7,$F$7,IF(Q546&lt;($F$7-$E$7)/($G$7-$E$7),$E$7+SQRT(Q546*($G$7-$E$7)*($F$7-$E$7)),$G$7-SQRT((1-Q546)*($G$7-$E$7)*($G$7-$F$7))))</f>
        <v>0.992112758993099</v>
      </c>
      <c r="D546" s="51" t="n">
        <f aca="false">1+IF($G$8=$E$8,$F$8,IF(R546&lt;($F$8-$E$8)/($G$8-$E$8),$E$8+SQRT(R546*($G$8-$E$8)*($F$8-$E$8)),$G$8-SQRT((1-R546)*($G$8-$E$8)*($G$8-$F$8))))</f>
        <v>0.994962192622417</v>
      </c>
      <c r="E546" s="51" t="n">
        <f aca="false">1+IF($G$9=$E$9,$F$9,IF(S546&lt;($F$9-$E$9)/($G$9-$E$9),$E$9+SQRT(S546*($G$9-$E$9)*($F$9-$E$9)),$G$9-SQRT((1-S546)*($G$9-$E$9)*($G$9-$F$9))))</f>
        <v>1.02130064013174</v>
      </c>
      <c r="F546" s="51" t="n">
        <f aca="false">1+IF($G$10=$E$10,$F$10,IF(T546&lt;($F$10-$E$10)/($G$10-$E$10),$E$10+SQRT(T546*($G$10-$E$10)*($F$10-$E$10)),$G$10-SQRT((1-T546)*($G$10-$E$10)*($G$10-$F$10))))</f>
        <v>1.02251987114751</v>
      </c>
      <c r="G546" s="52" t="n">
        <f aca="false">IF($G$11=$E$11,$F$11,IF(U546&lt;($F$11-$E$11)/($G$11-$E$11),$E$11+SQRT(U546*($G$11-$E$11)*($F$11-$E$11)),$G$11-SQRT((1-U546)*($G$11-$E$11)*($G$11-$F$11))))</f>
        <v>0.0963525840533021</v>
      </c>
      <c r="H546" s="53" t="n">
        <f aca="false">(('Business Case'!B11*$C546*'Business Case'!B12*$B546)-'Business Case'!B11*$C546*'Business Case'!B13*$D546-'Business Case'!B14*$E546)-MAX(0,(('Business Case'!B11*$C546*'Business Case'!B12*$B546)-'Business Case'!B11*$C546*'Business Case'!B13*$D546-'Business Case'!B14*$E546))*'Business Case'!$B$7-'Business Case'!$B$8*('Business Case'!B11*$C546*'Business Case'!B12*$B546)-'Business Case'!B15*$F546</f>
        <v>-2045039742.29503</v>
      </c>
      <c r="I546" s="53" t="n">
        <f aca="false">(('Business Case'!C11*$C546*'Business Case'!C12*$B546)-'Business Case'!C11*$C546*'Business Case'!C13*$D546-'Business Case'!C14*$E546)-MAX(0,(('Business Case'!C11*$C546*'Business Case'!C12*$B546)-'Business Case'!C11*$C546*'Business Case'!C13*$D546-'Business Case'!C14*$E546))*'Business Case'!$B$7-'Business Case'!$B$8*(('Business Case'!C11*$C546*'Business Case'!C12*$B546)-('Business Case'!B11*$C546*'Business Case'!B12*$B546))-'Business Case'!C15*$F546</f>
        <v>-2153467.51502588</v>
      </c>
      <c r="J546" s="53" t="n">
        <f aca="false">(('Business Case'!D11*$C546*'Business Case'!D12*$B546)-'Business Case'!D11*$C546*'Business Case'!D13*$D546-'Business Case'!D14*$E546)-MAX(0,(('Business Case'!D11*$C546*'Business Case'!D12*$B546)-'Business Case'!D11*$C546*'Business Case'!D13*$D546-'Business Case'!D14*$E546))*'Business Case'!$B$7-'Business Case'!$B$8*(('Business Case'!D11*$C546*'Business Case'!D12*$B546)-('Business Case'!C11*$C546*'Business Case'!C12*$B546))-'Business Case'!D15*$F546</f>
        <v>293893680.185217</v>
      </c>
      <c r="K546" s="53" t="n">
        <f aca="false">(('Business Case'!E11*$C546*'Business Case'!E12*$B546)-'Business Case'!E11*$C546*'Business Case'!E13*$D546-'Business Case'!E14*$E546)-MAX(0,(('Business Case'!E11*$C546*'Business Case'!E12*$B546)-'Business Case'!E11*$C546*'Business Case'!E13*$D546-'Business Case'!E14*$E546))*'Business Case'!$B$7-'Business Case'!$B$8*(('Business Case'!E11*$C546*'Business Case'!E12*$B546)-('Business Case'!D11*$C546*'Business Case'!D12*$B546))-'Business Case'!E15*$F546</f>
        <v>641066821.442835</v>
      </c>
      <c r="L546" s="53" t="n">
        <f aca="false">(('Business Case'!F11*$C546*'Business Case'!F12*$B546)-'Business Case'!F11*$C546*'Business Case'!F13*$D546-'Business Case'!F14*$E546)-MAX(0,(('Business Case'!F11*$C546*'Business Case'!F12*$B546)-'Business Case'!F11*$C546*'Business Case'!F13*$D546-'Business Case'!F14*$E546))*'Business Case'!$B$7-'Business Case'!$B$8*(('Business Case'!F11*$C546*'Business Case'!F12*$B546)-('Business Case'!E11*$C546*'Business Case'!E12*$B546))-'Business Case'!F15*$F546</f>
        <v>773562322.058772</v>
      </c>
      <c r="M546" s="53" t="n">
        <f aca="false">(('Business Case'!G11*$C546*'Business Case'!G12*$B546)-'Business Case'!G11*$C546*'Business Case'!G13*$D546-'Business Case'!G14*$E546)-MAX(0,(('Business Case'!G11*$C546*'Business Case'!G12*$B546)-'Business Case'!G11*$C546*'Business Case'!G13*$D546-'Business Case'!G14*$E546))*'Business Case'!$B$7-'Business Case'!$B$8*(('Business Case'!G11*$C546*'Business Case'!G12*$B546)-('Business Case'!F11*$C546*'Business Case'!F12*$B546))-'Business Case'!G15*$F546+'Business Case'!$B$8*('Business Case'!G11*$C546*'Business Case'!G12*$B546)</f>
        <v>959534471.329312</v>
      </c>
      <c r="N546" s="53" t="n">
        <f aca="false">IF(COUNT('Business Case'!B11:G11)=0,"",H546+NPV(G546,I546:M546))</f>
        <v>-174839828.142638</v>
      </c>
      <c r="P546" s="54" t="n">
        <f aca="true">RAND()</f>
        <v>0.456048727766898</v>
      </c>
      <c r="Q546" s="54" t="n">
        <f aca="true">RAND()</f>
        <v>0.527247316684862</v>
      </c>
      <c r="R546" s="54" t="n">
        <f aca="true">RAND()</f>
        <v>0.311015194679287</v>
      </c>
      <c r="S546" s="54" t="n">
        <f aca="true">RAND()</f>
        <v>0.587094050421742</v>
      </c>
      <c r="T546" s="54" t="n">
        <f aca="true">RAND()</f>
        <v>0.370016077250088</v>
      </c>
      <c r="U546" s="54" t="n">
        <f aca="true">RAND()</f>
        <v>0.134517747180895</v>
      </c>
    </row>
    <row r="547" customFormat="false" ht="15" hidden="false" customHeight="false" outlineLevel="0" collapsed="false">
      <c r="A547" s="50" t="n">
        <v>467</v>
      </c>
      <c r="B547" s="51" t="n">
        <f aca="false">1+IF($G$6=$E$6,$F$6,IF(P547&lt;($F$6-$E$6)/($G$6-$E$6),$E$6+SQRT(P547*($G$6-$E$6)*($F$6-$E$6)),$G$6-SQRT((1-P547)*($G$6-$E$6)*($G$6-$F$6))))</f>
        <v>0.934898137458471</v>
      </c>
      <c r="C547" s="51" t="n">
        <f aca="false">1+IF($G$7=$E$7,$F$7,IF(Q547&lt;($F$7-$E$7)/($G$7-$E$7),$E$7+SQRT(Q547*($G$7-$E$7)*($F$7-$E$7)),$G$7-SQRT((1-Q547)*($G$7-$E$7)*($G$7-$F$7))))</f>
        <v>0.913081736085441</v>
      </c>
      <c r="D547" s="51" t="n">
        <f aca="false">1+IF($G$8=$E$8,$F$8,IF(R547&lt;($F$8-$E$8)/($G$8-$E$8),$E$8+SQRT(R547*($G$8-$E$8)*($F$8-$E$8)),$G$8-SQRT((1-R547)*($G$8-$E$8)*($G$8-$F$8))))</f>
        <v>1.02803303733014</v>
      </c>
      <c r="E547" s="51" t="n">
        <f aca="false">1+IF($G$9=$E$9,$F$9,IF(S547&lt;($F$9-$E$9)/($G$9-$E$9),$E$9+SQRT(S547*($G$9-$E$9)*($F$9-$E$9)),$G$9-SQRT((1-S547)*($G$9-$E$9)*($G$9-$F$9))))</f>
        <v>1.08563145012895</v>
      </c>
      <c r="F547" s="51" t="n">
        <f aca="false">1+IF($G$10=$E$10,$F$10,IF(T547&lt;($F$10-$E$10)/($G$10-$E$10),$E$10+SQRT(T547*($G$10-$E$10)*($F$10-$E$10)),$G$10-SQRT((1-T547)*($G$10-$E$10)*($G$10-$F$10))))</f>
        <v>1.1424922500749</v>
      </c>
      <c r="G547" s="52" t="n">
        <f aca="false">IF($G$11=$E$11,$F$11,IF(U547&lt;($F$11-$E$11)/($G$11-$E$11),$E$11+SQRT(U547*($G$11-$E$11)*($F$11-$E$11)),$G$11-SQRT((1-U547)*($G$11-$E$11)*($G$11-$F$11))))</f>
        <v>0.103636411032777</v>
      </c>
      <c r="H547" s="53" t="n">
        <f aca="false">(('Business Case'!B11*$C547*'Business Case'!B12*$B547)-'Business Case'!B11*$C547*'Business Case'!B13*$D547-'Business Case'!B14*$E547)-MAX(0,(('Business Case'!B11*$C547*'Business Case'!B12*$B547)-'Business Case'!B11*$C547*'Business Case'!B13*$D547-'Business Case'!B14*$E547))*'Business Case'!$B$7-'Business Case'!$B$8*('Business Case'!B11*$C547*'Business Case'!B12*$B547)-'Business Case'!B15*$F547</f>
        <v>-2284984500.1498</v>
      </c>
      <c r="I547" s="53" t="n">
        <f aca="false">(('Business Case'!C11*$C547*'Business Case'!C12*$B547)-'Business Case'!C11*$C547*'Business Case'!C13*$D547-'Business Case'!C14*$E547)-MAX(0,(('Business Case'!C11*$C547*'Business Case'!C12*$B547)-'Business Case'!C11*$C547*'Business Case'!C13*$D547-'Business Case'!C14*$E547))*'Business Case'!$B$7-'Business Case'!$B$8*(('Business Case'!C11*$C547*'Business Case'!C12*$B547)-('Business Case'!B11*$C547*'Business Case'!B12*$B547))-'Business Case'!C15*$F547</f>
        <v>-94215448.5182328</v>
      </c>
      <c r="J547" s="53" t="n">
        <f aca="false">(('Business Case'!D11*$C547*'Business Case'!D12*$B547)-'Business Case'!D11*$C547*'Business Case'!D13*$D547-'Business Case'!D14*$E547)-MAX(0,(('Business Case'!D11*$C547*'Business Case'!D12*$B547)-'Business Case'!D11*$C547*'Business Case'!D13*$D547-'Business Case'!D14*$E547))*'Business Case'!$B$7-'Business Case'!$B$8*(('Business Case'!D11*$C547*'Business Case'!D12*$B547)-('Business Case'!C11*$C547*'Business Case'!C12*$B547))-'Business Case'!D15*$F547</f>
        <v>124447735.582564</v>
      </c>
      <c r="K547" s="53" t="n">
        <f aca="false">(('Business Case'!E11*$C547*'Business Case'!E12*$B547)-'Business Case'!E11*$C547*'Business Case'!E13*$D547-'Business Case'!E14*$E547)-MAX(0,(('Business Case'!E11*$C547*'Business Case'!E12*$B547)-'Business Case'!E11*$C547*'Business Case'!E13*$D547-'Business Case'!E14*$E547))*'Business Case'!$B$7-'Business Case'!$B$8*(('Business Case'!E11*$C547*'Business Case'!E12*$B547)-('Business Case'!D11*$C547*'Business Case'!D12*$B547))-'Business Case'!E15*$F547</f>
        <v>400235532.187105</v>
      </c>
      <c r="L547" s="53" t="n">
        <f aca="false">(('Business Case'!F11*$C547*'Business Case'!F12*$B547)-'Business Case'!F11*$C547*'Business Case'!F13*$D547-'Business Case'!F14*$E547)-MAX(0,(('Business Case'!F11*$C547*'Business Case'!F12*$B547)-'Business Case'!F11*$C547*'Business Case'!F13*$D547-'Business Case'!F14*$E547))*'Business Case'!$B$7-'Business Case'!$B$8*(('Business Case'!F11*$C547*'Business Case'!F12*$B547)-('Business Case'!E11*$C547*'Business Case'!E12*$B547))-'Business Case'!F15*$F547</f>
        <v>502625003.822838</v>
      </c>
      <c r="M547" s="53" t="n">
        <f aca="false">(('Business Case'!G11*$C547*'Business Case'!G12*$B547)-'Business Case'!G11*$C547*'Business Case'!G13*$D547-'Business Case'!G14*$E547)-MAX(0,(('Business Case'!G11*$C547*'Business Case'!G12*$B547)-'Business Case'!G11*$C547*'Business Case'!G13*$D547-'Business Case'!G14*$E547))*'Business Case'!$B$7-'Business Case'!$B$8*(('Business Case'!G11*$C547*'Business Case'!G12*$B547)-('Business Case'!F11*$C547*'Business Case'!F12*$B547))-'Business Case'!G15*$F547+'Business Case'!$B$8*('Business Case'!G11*$C547*'Business Case'!G12*$B547)</f>
        <v>664884593.63458</v>
      </c>
      <c r="N547" s="53" t="n">
        <f aca="false">IF(COUNT('Business Case'!B11:G11)=0,"",H547+NPV(G547,I547:M547))</f>
        <v>-1225558077.86592</v>
      </c>
      <c r="P547" s="54" t="n">
        <f aca="true">RAND()</f>
        <v>0.0231202603886988</v>
      </c>
      <c r="Q547" s="54" t="n">
        <f aca="true">RAND()</f>
        <v>0.182678271944246</v>
      </c>
      <c r="R547" s="54" t="n">
        <f aca="true">RAND()</f>
        <v>0.740330268352824</v>
      </c>
      <c r="S547" s="54" t="n">
        <f aca="true">RAND()</f>
        <v>0.986236318306878</v>
      </c>
      <c r="T547" s="54" t="n">
        <f aca="true">RAND()</f>
        <v>0.933857173971041</v>
      </c>
      <c r="U547" s="54" t="n">
        <f aca="true">RAND()</f>
        <v>0.553721593519629</v>
      </c>
    </row>
    <row r="548" customFormat="false" ht="15" hidden="false" customHeight="false" outlineLevel="0" collapsed="false">
      <c r="A548" s="50" t="n">
        <v>468</v>
      </c>
      <c r="B548" s="51" t="n">
        <f aca="false">1+IF($G$6=$E$6,$F$6,IF(P548&lt;($F$6-$E$6)/($G$6-$E$6),$E$6+SQRT(P548*($G$6-$E$6)*($F$6-$E$6)),$G$6-SQRT((1-P548)*($G$6-$E$6)*($G$6-$F$6))))</f>
        <v>1.01871634093411</v>
      </c>
      <c r="C548" s="51" t="n">
        <f aca="false">1+IF($G$7=$E$7,$F$7,IF(Q548&lt;($F$7-$E$7)/($G$7-$E$7),$E$7+SQRT(Q548*($G$7-$E$7)*($F$7-$E$7)),$G$7-SQRT((1-Q548)*($G$7-$E$7)*($G$7-$F$7))))</f>
        <v>1.09953507568319</v>
      </c>
      <c r="D548" s="51" t="n">
        <f aca="false">1+IF($G$8=$E$8,$F$8,IF(R548&lt;($F$8-$E$8)/($G$8-$E$8),$E$8+SQRT(R548*($G$8-$E$8)*($F$8-$E$8)),$G$8-SQRT((1-R548)*($G$8-$E$8)*($G$8-$F$8))))</f>
        <v>0.974522539989037</v>
      </c>
      <c r="E548" s="51" t="n">
        <f aca="false">1+IF($G$9=$E$9,$F$9,IF(S548&lt;($F$9-$E$9)/($G$9-$E$9),$E$9+SQRT(S548*($G$9-$E$9)*($F$9-$E$9)),$G$9-SQRT((1-S548)*($G$9-$E$9)*($G$9-$F$9))))</f>
        <v>1.03426207027595</v>
      </c>
      <c r="F548" s="51" t="n">
        <f aca="false">1+IF($G$10=$E$10,$F$10,IF(T548&lt;($F$10-$E$10)/($G$10-$E$10),$E$10+SQRT(T548*($G$10-$E$10)*($F$10-$E$10)),$G$10-SQRT((1-T548)*($G$10-$E$10)*($G$10-$F$10))))</f>
        <v>1.05024007094006</v>
      </c>
      <c r="G548" s="52" t="n">
        <f aca="false">IF($G$11=$E$11,$F$11,IF(U548&lt;($F$11-$E$11)/($G$11-$E$11),$E$11+SQRT(U548*($G$11-$E$11)*($F$11-$E$11)),$G$11-SQRT((1-U548)*($G$11-$E$11)*($G$11-$F$11))))</f>
        <v>0.102201112534054</v>
      </c>
      <c r="H548" s="53" t="n">
        <f aca="false">(('Business Case'!B11*$C548*'Business Case'!B12*$B548)-'Business Case'!B11*$C548*'Business Case'!B13*$D548-'Business Case'!B14*$E548)-MAX(0,(('Business Case'!B11*$C548*'Business Case'!B12*$B548)-'Business Case'!B11*$C548*'Business Case'!B13*$D548-'Business Case'!B14*$E548))*'Business Case'!$B$7-'Business Case'!$B$8*('Business Case'!B11*$C548*'Business Case'!B12*$B548)-'Business Case'!B15*$F548</f>
        <v>-2100480141.88013</v>
      </c>
      <c r="I548" s="53" t="n">
        <f aca="false">(('Business Case'!C11*$C548*'Business Case'!C12*$B548)-'Business Case'!C11*$C548*'Business Case'!C13*$D548-'Business Case'!C14*$E548)-MAX(0,(('Business Case'!C11*$C548*'Business Case'!C12*$B548)-'Business Case'!C11*$C548*'Business Case'!C13*$D548-'Business Case'!C14*$E548))*'Business Case'!$B$7-'Business Case'!$B$8*(('Business Case'!C11*$C548*'Business Case'!C12*$B548)-('Business Case'!B11*$C548*'Business Case'!B12*$B548))-'Business Case'!C15*$F548</f>
        <v>58758102.525859</v>
      </c>
      <c r="J548" s="53" t="n">
        <f aca="false">(('Business Case'!D11*$C548*'Business Case'!D12*$B548)-'Business Case'!D11*$C548*'Business Case'!D13*$D548-'Business Case'!D14*$E548)-MAX(0,(('Business Case'!D11*$C548*'Business Case'!D12*$B548)-'Business Case'!D11*$C548*'Business Case'!D13*$D548-'Business Case'!D14*$E548))*'Business Case'!$B$7-'Business Case'!$B$8*(('Business Case'!D11*$C548*'Business Case'!D12*$B548)-('Business Case'!C11*$C548*'Business Case'!C12*$B548))-'Business Case'!D15*$F548</f>
        <v>427679006.392611</v>
      </c>
      <c r="K548" s="53" t="n">
        <f aca="false">(('Business Case'!E11*$C548*'Business Case'!E12*$B548)-'Business Case'!E11*$C548*'Business Case'!E13*$D548-'Business Case'!E14*$E548)-MAX(0,(('Business Case'!E11*$C548*'Business Case'!E12*$B548)-'Business Case'!E11*$C548*'Business Case'!E13*$D548-'Business Case'!E14*$E548))*'Business Case'!$B$7-'Business Case'!$B$8*(('Business Case'!E11*$C548*'Business Case'!E12*$B548)-('Business Case'!D11*$C548*'Business Case'!D12*$B548))-'Business Case'!E15*$F548</f>
        <v>849111913.806367</v>
      </c>
      <c r="L548" s="53" t="n">
        <f aca="false">(('Business Case'!F11*$C548*'Business Case'!F12*$B548)-'Business Case'!F11*$C548*'Business Case'!F13*$D548-'Business Case'!F14*$E548)-MAX(0,(('Business Case'!F11*$C548*'Business Case'!F12*$B548)-'Business Case'!F11*$C548*'Business Case'!F13*$D548-'Business Case'!F14*$E548))*'Business Case'!$B$7-'Business Case'!$B$8*(('Business Case'!F11*$C548*'Business Case'!F12*$B548)-('Business Case'!E11*$C548*'Business Case'!E12*$B548))-'Business Case'!F15*$F548</f>
        <v>1010796700.33105</v>
      </c>
      <c r="M548" s="53" t="n">
        <f aca="false">(('Business Case'!G11*$C548*'Business Case'!G12*$B548)-'Business Case'!G11*$C548*'Business Case'!G13*$D548-'Business Case'!G14*$E548)-MAX(0,(('Business Case'!G11*$C548*'Business Case'!G12*$B548)-'Business Case'!G11*$C548*'Business Case'!G13*$D548-'Business Case'!G14*$E548))*'Business Case'!$B$7-'Business Case'!$B$8*(('Business Case'!G11*$C548*'Business Case'!G12*$B548)-('Business Case'!F11*$C548*'Business Case'!F12*$B548))-'Business Case'!G15*$F548+'Business Case'!$B$8*('Business Case'!G11*$C548*'Business Case'!G12*$B548)</f>
        <v>1223708035.79442</v>
      </c>
      <c r="N548" s="53" t="n">
        <f aca="false">IF(COUNT('Business Case'!B11:G11)=0,"",H548+NPV(G548,I548:M548))</f>
        <v>376168171.129252</v>
      </c>
      <c r="P548" s="54" t="n">
        <f aca="true">RAND()</f>
        <v>0.905626220159742</v>
      </c>
      <c r="Q548" s="54" t="n">
        <f aca="true">RAND()</f>
        <v>0.951491265022837</v>
      </c>
      <c r="R548" s="54" t="n">
        <f aca="true">RAND()</f>
        <v>0.0925161488482935</v>
      </c>
      <c r="S548" s="54" t="n">
        <f aca="true">RAND()</f>
        <v>0.711901639706373</v>
      </c>
      <c r="T548" s="54" t="n">
        <f aca="true">RAND()</f>
        <v>0.551439272959251</v>
      </c>
      <c r="U548" s="54" t="n">
        <f aca="true">RAND()</f>
        <v>0.471999341624326</v>
      </c>
    </row>
    <row r="549" customFormat="false" ht="15" hidden="false" customHeight="false" outlineLevel="0" collapsed="false">
      <c r="A549" s="50" t="n">
        <v>469</v>
      </c>
      <c r="B549" s="51" t="n">
        <f aca="false">1+IF($G$6=$E$6,$F$6,IF(P549&lt;($F$6-$E$6)/($G$6-$E$6),$E$6+SQRT(P549*($G$6-$E$6)*($F$6-$E$6)),$G$6-SQRT((1-P549)*($G$6-$E$6)*($G$6-$F$6))))</f>
        <v>0.97258946304845</v>
      </c>
      <c r="C549" s="51" t="n">
        <f aca="false">1+IF($G$7=$E$7,$F$7,IF(Q549&lt;($F$7-$E$7)/($G$7-$E$7),$E$7+SQRT(Q549*($G$7-$E$7)*($F$7-$E$7)),$G$7-SQRT((1-Q549)*($G$7-$E$7)*($G$7-$F$7))))</f>
        <v>0.953373865570559</v>
      </c>
      <c r="D549" s="51" t="n">
        <f aca="false">1+IF($G$8=$E$8,$F$8,IF(R549&lt;($F$8-$E$8)/($G$8-$E$8),$E$8+SQRT(R549*($G$8-$E$8)*($F$8-$E$8)),$G$8-SQRT((1-R549)*($G$8-$E$8)*($G$8-$F$8))))</f>
        <v>1.00257001276755</v>
      </c>
      <c r="E549" s="51" t="n">
        <f aca="false">1+IF($G$9=$E$9,$F$9,IF(S549&lt;($F$9-$E$9)/($G$9-$E$9),$E$9+SQRT(S549*($G$9-$E$9)*($F$9-$E$9)),$G$9-SQRT((1-S549)*($G$9-$E$9)*($G$9-$F$9))))</f>
        <v>1.03371911592894</v>
      </c>
      <c r="F549" s="51" t="n">
        <f aca="false">1+IF($G$10=$E$10,$F$10,IF(T549&lt;($F$10-$E$10)/($G$10-$E$10),$E$10+SQRT(T549*($G$10-$E$10)*($F$10-$E$10)),$G$10-SQRT((1-T549)*($G$10-$E$10)*($G$10-$F$10))))</f>
        <v>1.00776926424151</v>
      </c>
      <c r="G549" s="52" t="n">
        <f aca="false">IF($G$11=$E$11,$F$11,IF(U549&lt;($F$11-$E$11)/($G$11-$E$11),$E$11+SQRT(U549*($G$11-$E$11)*($F$11-$E$11)),$G$11-SQRT((1-U549)*($G$11-$E$11)*($G$11-$F$11))))</f>
        <v>0.112988774380901</v>
      </c>
      <c r="H549" s="53" t="n">
        <f aca="false">(('Business Case'!B11*$C549*'Business Case'!B12*$B549)-'Business Case'!B11*$C549*'Business Case'!B13*$D549-'Business Case'!B14*$E549)-MAX(0,(('Business Case'!B11*$C549*'Business Case'!B12*$B549)-'Business Case'!B11*$C549*'Business Case'!B13*$D549-'Business Case'!B14*$E549))*'Business Case'!$B$7-'Business Case'!$B$8*('Business Case'!B11*$C549*'Business Case'!B12*$B549)-'Business Case'!B15*$F549</f>
        <v>-2015538528.48302</v>
      </c>
      <c r="I549" s="53" t="n">
        <f aca="false">(('Business Case'!C11*$C549*'Business Case'!C12*$B549)-'Business Case'!C11*$C549*'Business Case'!C13*$D549-'Business Case'!C14*$E549)-MAX(0,(('Business Case'!C11*$C549*'Business Case'!C12*$B549)-'Business Case'!C11*$C549*'Business Case'!C13*$D549-'Business Case'!C14*$E549))*'Business Case'!$B$7-'Business Case'!$B$8*(('Business Case'!C11*$C549*'Business Case'!C12*$B549)-('Business Case'!B11*$C549*'Business Case'!B12*$B549))-'Business Case'!C15*$F549</f>
        <v>-25667976.2659538</v>
      </c>
      <c r="J549" s="53" t="n">
        <f aca="false">(('Business Case'!D11*$C549*'Business Case'!D12*$B549)-'Business Case'!D11*$C549*'Business Case'!D13*$D549-'Business Case'!D14*$E549)-MAX(0,(('Business Case'!D11*$C549*'Business Case'!D12*$B549)-'Business Case'!D11*$C549*'Business Case'!D13*$D549-'Business Case'!D14*$E549))*'Business Case'!$B$7-'Business Case'!$B$8*(('Business Case'!D11*$C549*'Business Case'!D12*$B549)-('Business Case'!C11*$C549*'Business Case'!C12*$B549))-'Business Case'!D15*$F549</f>
        <v>244504025.109163</v>
      </c>
      <c r="K549" s="53" t="n">
        <f aca="false">(('Business Case'!E11*$C549*'Business Case'!E12*$B549)-'Business Case'!E11*$C549*'Business Case'!E13*$D549-'Business Case'!E14*$E549)-MAX(0,(('Business Case'!E11*$C549*'Business Case'!E12*$B549)-'Business Case'!E11*$C549*'Business Case'!E13*$D549-'Business Case'!E14*$E549))*'Business Case'!$B$7-'Business Case'!$B$8*(('Business Case'!E11*$C549*'Business Case'!E12*$B549)-('Business Case'!D11*$C549*'Business Case'!D12*$B549))-'Business Case'!E15*$F549</f>
        <v>565064489.696356</v>
      </c>
      <c r="L549" s="53" t="n">
        <f aca="false">(('Business Case'!F11*$C549*'Business Case'!F12*$B549)-'Business Case'!F11*$C549*'Business Case'!F13*$D549-'Business Case'!F14*$E549)-MAX(0,(('Business Case'!F11*$C549*'Business Case'!F12*$B549)-'Business Case'!F11*$C549*'Business Case'!F13*$D549-'Business Case'!F14*$E549))*'Business Case'!$B$7-'Business Case'!$B$8*(('Business Case'!F11*$C549*'Business Case'!F12*$B549)-('Business Case'!E11*$C549*'Business Case'!E12*$B549))-'Business Case'!F15*$F549</f>
        <v>687167285.442611</v>
      </c>
      <c r="M549" s="53" t="n">
        <f aca="false">(('Business Case'!G11*$C549*'Business Case'!G12*$B549)-'Business Case'!G11*$C549*'Business Case'!G13*$D549-'Business Case'!G14*$E549)-MAX(0,(('Business Case'!G11*$C549*'Business Case'!G12*$B549)-'Business Case'!G11*$C549*'Business Case'!G13*$D549-'Business Case'!G14*$E549))*'Business Case'!$B$7-'Business Case'!$B$8*(('Business Case'!G11*$C549*'Business Case'!G12*$B549)-('Business Case'!F11*$C549*'Business Case'!F12*$B549))-'Business Case'!G15*$F549+'Business Case'!$B$8*('Business Case'!G11*$C549*'Business Case'!G12*$B549)</f>
        <v>863417326.192633</v>
      </c>
      <c r="N549" s="53" t="n">
        <f aca="false">IF(COUNT('Business Case'!B11:G11)=0,"",H549+NPV(G549,I549:M549))</f>
        <v>-478000564.032043</v>
      </c>
      <c r="P549" s="54" t="n">
        <f aca="true">RAND()</f>
        <v>0.288088710804608</v>
      </c>
      <c r="Q549" s="54" t="n">
        <f aca="true">RAND()</f>
        <v>0.336050609143658</v>
      </c>
      <c r="R549" s="54" t="n">
        <f aca="true">RAND()</f>
        <v>0.423518949729142</v>
      </c>
      <c r="S549" s="54" t="n">
        <f aca="true">RAND()</f>
        <v>0.707122960450595</v>
      </c>
      <c r="T549" s="54" t="n">
        <f aca="true">RAND()</f>
        <v>0.260946884594991</v>
      </c>
      <c r="U549" s="54" t="n">
        <f aca="true">RAND()</f>
        <v>0.918071192196806</v>
      </c>
    </row>
    <row r="550" customFormat="false" ht="15" hidden="false" customHeight="false" outlineLevel="0" collapsed="false">
      <c r="A550" s="50" t="n">
        <v>470</v>
      </c>
      <c r="B550" s="51" t="n">
        <f aca="false">1+IF($G$6=$E$6,$F$6,IF(P550&lt;($F$6-$E$6)/($G$6-$E$6),$E$6+SQRT(P550*($G$6-$E$6)*($F$6-$E$6)),$G$6-SQRT((1-P550)*($G$6-$E$6)*($G$6-$F$6))))</f>
        <v>1.00829223769843</v>
      </c>
      <c r="C550" s="51" t="n">
        <f aca="false">1+IF($G$7=$E$7,$F$7,IF(Q550&lt;($F$7-$E$7)/($G$7-$E$7),$E$7+SQRT(Q550*($G$7-$E$7)*($F$7-$E$7)),$G$7-SQRT((1-Q550)*($G$7-$E$7)*($G$7-$F$7))))</f>
        <v>1.00449335031808</v>
      </c>
      <c r="D550" s="51" t="n">
        <f aca="false">1+IF($G$8=$E$8,$F$8,IF(R550&lt;($F$8-$E$8)/($G$8-$E$8),$E$8+SQRT(R550*($G$8-$E$8)*($F$8-$E$8)),$G$8-SQRT((1-R550)*($G$8-$E$8)*($G$8-$F$8))))</f>
        <v>1.04135496953513</v>
      </c>
      <c r="E550" s="51" t="n">
        <f aca="false">1+IF($G$9=$E$9,$F$9,IF(S550&lt;($F$9-$E$9)/($G$9-$E$9),$E$9+SQRT(S550*($G$9-$E$9)*($F$9-$E$9)),$G$9-SQRT((1-S550)*($G$9-$E$9)*($G$9-$F$9))))</f>
        <v>1.00418016224351</v>
      </c>
      <c r="F550" s="51" t="n">
        <f aca="false">1+IF($G$10=$E$10,$F$10,IF(T550&lt;($F$10-$E$10)/($G$10-$E$10),$E$10+SQRT(T550*($G$10-$E$10)*($F$10-$E$10)),$G$10-SQRT((1-T550)*($G$10-$E$10)*($G$10-$F$10))))</f>
        <v>1.12874295466193</v>
      </c>
      <c r="G550" s="52" t="n">
        <f aca="false">IF($G$11=$E$11,$F$11,IF(U550&lt;($F$11-$E$11)/($G$11-$E$11),$E$11+SQRT(U550*($G$11-$E$11)*($F$11-$E$11)),$G$11-SQRT((1-U550)*($G$11-$E$11)*($G$11-$F$11))))</f>
        <v>0.110372232696134</v>
      </c>
      <c r="H550" s="53" t="n">
        <f aca="false">(('Business Case'!B11*$C550*'Business Case'!B12*$B550)-'Business Case'!B11*$C550*'Business Case'!B13*$D550-'Business Case'!B14*$E550)-MAX(0,(('Business Case'!B11*$C550*'Business Case'!B12*$B550)-'Business Case'!B11*$C550*'Business Case'!B13*$D550-'Business Case'!B14*$E550))*'Business Case'!$B$7-'Business Case'!$B$8*('Business Case'!B11*$C550*'Business Case'!B12*$B550)-'Business Case'!B15*$F550</f>
        <v>-2257485909.32387</v>
      </c>
      <c r="I550" s="53" t="n">
        <f aca="false">(('Business Case'!C11*$C550*'Business Case'!C12*$B550)-'Business Case'!C11*$C550*'Business Case'!C13*$D550-'Business Case'!C14*$E550)-MAX(0,(('Business Case'!C11*$C550*'Business Case'!C12*$B550)-'Business Case'!C11*$C550*'Business Case'!C13*$D550-'Business Case'!C14*$E550))*'Business Case'!$B$7-'Business Case'!$B$8*(('Business Case'!C11*$C550*'Business Case'!C12*$B550)-('Business Case'!B11*$C550*'Business Case'!B12*$B550))-'Business Case'!C15*$F550</f>
        <v>-14084413.3469817</v>
      </c>
      <c r="J550" s="53" t="n">
        <f aca="false">(('Business Case'!D11*$C550*'Business Case'!D12*$B550)-'Business Case'!D11*$C550*'Business Case'!D13*$D550-'Business Case'!D14*$E550)-MAX(0,(('Business Case'!D11*$C550*'Business Case'!D12*$B550)-'Business Case'!D11*$C550*'Business Case'!D13*$D550-'Business Case'!D14*$E550))*'Business Case'!$B$7-'Business Case'!$B$8*(('Business Case'!D11*$C550*'Business Case'!D12*$B550)-('Business Case'!C11*$C550*'Business Case'!C12*$B550))-'Business Case'!D15*$F550</f>
        <v>280004624.280748</v>
      </c>
      <c r="K550" s="53" t="n">
        <f aca="false">(('Business Case'!E11*$C550*'Business Case'!E12*$B550)-'Business Case'!E11*$C550*'Business Case'!E13*$D550-'Business Case'!E14*$E550)-MAX(0,(('Business Case'!E11*$C550*'Business Case'!E12*$B550)-'Business Case'!E11*$C550*'Business Case'!E13*$D550-'Business Case'!E14*$E550))*'Business Case'!$B$7-'Business Case'!$B$8*(('Business Case'!E11*$C550*'Business Case'!E12*$B550)-('Business Case'!D11*$C550*'Business Case'!D12*$B550))-'Business Case'!E15*$F550</f>
        <v>630530809.641574</v>
      </c>
      <c r="L550" s="53" t="n">
        <f aca="false">(('Business Case'!F11*$C550*'Business Case'!F12*$B550)-'Business Case'!F11*$C550*'Business Case'!F13*$D550-'Business Case'!F14*$E550)-MAX(0,(('Business Case'!F11*$C550*'Business Case'!F12*$B550)-'Business Case'!F11*$C550*'Business Case'!F13*$D550-'Business Case'!F14*$E550))*'Business Case'!$B$7-'Business Case'!$B$8*(('Business Case'!F11*$C550*'Business Case'!F12*$B550)-('Business Case'!E11*$C550*'Business Case'!E12*$B550))-'Business Case'!F15*$F550</f>
        <v>763563646.47581</v>
      </c>
      <c r="M550" s="53" t="n">
        <f aca="false">(('Business Case'!G11*$C550*'Business Case'!G12*$B550)-'Business Case'!G11*$C550*'Business Case'!G13*$D550-'Business Case'!G14*$E550)-MAX(0,(('Business Case'!G11*$C550*'Business Case'!G12*$B550)-'Business Case'!G11*$C550*'Business Case'!G13*$D550-'Business Case'!G14*$E550))*'Business Case'!$B$7-'Business Case'!$B$8*(('Business Case'!G11*$C550*'Business Case'!G12*$B550)-('Business Case'!F11*$C550*'Business Case'!F12*$B550))-'Business Case'!G15*$F550+'Business Case'!$B$8*('Business Case'!G11*$C550*'Business Case'!G12*$B550)</f>
        <v>956081013.413273</v>
      </c>
      <c r="N550" s="53" t="n">
        <f aca="false">IF(COUNT('Business Case'!B11:G11)=0,"",H550+NPV(G550,I550:M550))</f>
        <v>-513743390.744586</v>
      </c>
      <c r="P550" s="54" t="n">
        <f aca="true">RAND()</f>
        <v>0.790545377047263</v>
      </c>
      <c r="Q550" s="54" t="n">
        <f aca="true">RAND()</f>
        <v>0.596720283777975</v>
      </c>
      <c r="R550" s="54" t="n">
        <f aca="true">RAND()</f>
        <v>0.85640015580475</v>
      </c>
      <c r="S550" s="54" t="n">
        <f aca="true">RAND()</f>
        <v>0.38790391282138</v>
      </c>
      <c r="T550" s="54" t="n">
        <f aca="true">RAND()</f>
        <v>0.898448669793777</v>
      </c>
      <c r="U550" s="54" t="n">
        <f aca="true">RAND()</f>
        <v>0.845510161237679</v>
      </c>
    </row>
    <row r="551" customFormat="false" ht="15" hidden="false" customHeight="false" outlineLevel="0" collapsed="false">
      <c r="A551" s="50" t="n">
        <v>471</v>
      </c>
      <c r="B551" s="51" t="n">
        <f aca="false">1+IF($G$6=$E$6,$F$6,IF(P551&lt;($F$6-$E$6)/($G$6-$E$6),$E$6+SQRT(P551*($G$6-$E$6)*($F$6-$E$6)),$G$6-SQRT((1-P551)*($G$6-$E$6)*($G$6-$F$6))))</f>
        <v>1.01800854256182</v>
      </c>
      <c r="C551" s="51" t="n">
        <f aca="false">1+IF($G$7=$E$7,$F$7,IF(Q551&lt;($F$7-$E$7)/($G$7-$E$7),$E$7+SQRT(Q551*($G$7-$E$7)*($F$7-$E$7)),$G$7-SQRT((1-Q551)*($G$7-$E$7)*($G$7-$F$7))))</f>
        <v>1.04228369569261</v>
      </c>
      <c r="D551" s="51" t="n">
        <f aca="false">1+IF($G$8=$E$8,$F$8,IF(R551&lt;($F$8-$E$8)/($G$8-$E$8),$E$8+SQRT(R551*($G$8-$E$8)*($F$8-$E$8)),$G$8-SQRT((1-R551)*($G$8-$E$8)*($G$8-$F$8))))</f>
        <v>1.00737811825735</v>
      </c>
      <c r="E551" s="51" t="n">
        <f aca="false">1+IF($G$9=$E$9,$F$9,IF(S551&lt;($F$9-$E$9)/($G$9-$E$9),$E$9+SQRT(S551*($G$9-$E$9)*($F$9-$E$9)),$G$9-SQRT((1-S551)*($G$9-$E$9)*($G$9-$F$9))))</f>
        <v>1.07246332602981</v>
      </c>
      <c r="F551" s="51" t="n">
        <f aca="false">1+IF($G$10=$E$10,$F$10,IF(T551&lt;($F$10-$E$10)/($G$10-$E$10),$E$10+SQRT(T551*($G$10-$E$10)*($F$10-$E$10)),$G$10-SQRT((1-T551)*($G$10-$E$10)*($G$10-$F$10))))</f>
        <v>0.979995511876574</v>
      </c>
      <c r="G551" s="52" t="n">
        <f aca="false">IF($G$11=$E$11,$F$11,IF(U551&lt;($F$11-$E$11)/($G$11-$E$11),$E$11+SQRT(U551*($G$11-$E$11)*($F$11-$E$11)),$G$11-SQRT((1-U551)*($G$11-$E$11)*($G$11-$F$11))))</f>
        <v>0.106647847194372</v>
      </c>
      <c r="H551" s="53" t="n">
        <f aca="false">(('Business Case'!B11*$C551*'Business Case'!B12*$B551)-'Business Case'!B11*$C551*'Business Case'!B13*$D551-'Business Case'!B14*$E551)-MAX(0,(('Business Case'!B11*$C551*'Business Case'!B12*$B551)-'Business Case'!B11*$C551*'Business Case'!B13*$D551-'Business Case'!B14*$E551))*'Business Case'!$B$7-'Business Case'!$B$8*('Business Case'!B11*$C551*'Business Case'!B12*$B551)-'Business Case'!B15*$F551</f>
        <v>-1959991023.75315</v>
      </c>
      <c r="I551" s="53" t="n">
        <f aca="false">(('Business Case'!C11*$C551*'Business Case'!C12*$B551)-'Business Case'!C11*$C551*'Business Case'!C13*$D551-'Business Case'!C14*$E551)-MAX(0,(('Business Case'!C11*$C551*'Business Case'!C12*$B551)-'Business Case'!C11*$C551*'Business Case'!C13*$D551-'Business Case'!C14*$E551))*'Business Case'!$B$7-'Business Case'!$B$8*(('Business Case'!C11*$C551*'Business Case'!C12*$B551)-('Business Case'!B11*$C551*'Business Case'!B12*$B551))-'Business Case'!C15*$F551</f>
        <v>26067939.2212629</v>
      </c>
      <c r="J551" s="53" t="n">
        <f aca="false">(('Business Case'!D11*$C551*'Business Case'!D12*$B551)-'Business Case'!D11*$C551*'Business Case'!D13*$D551-'Business Case'!D14*$E551)-MAX(0,(('Business Case'!D11*$C551*'Business Case'!D12*$B551)-'Business Case'!D11*$C551*'Business Case'!D13*$D551-'Business Case'!D14*$E551))*'Business Case'!$B$7-'Business Case'!$B$8*(('Business Case'!D11*$C551*'Business Case'!D12*$B551)-('Business Case'!C11*$C551*'Business Case'!C12*$B551))-'Business Case'!D15*$F551</f>
        <v>357644738.710039</v>
      </c>
      <c r="K551" s="53" t="n">
        <f aca="false">(('Business Case'!E11*$C551*'Business Case'!E12*$B551)-'Business Case'!E11*$C551*'Business Case'!E13*$D551-'Business Case'!E14*$E551)-MAX(0,(('Business Case'!E11*$C551*'Business Case'!E12*$B551)-'Business Case'!E11*$C551*'Business Case'!E13*$D551-'Business Case'!E14*$E551))*'Business Case'!$B$7-'Business Case'!$B$8*(('Business Case'!E11*$C551*'Business Case'!E12*$B551)-('Business Case'!D11*$C551*'Business Case'!D12*$B551))-'Business Case'!E15*$F551</f>
        <v>738221313.792644</v>
      </c>
      <c r="L551" s="53" t="n">
        <f aca="false">(('Business Case'!F11*$C551*'Business Case'!F12*$B551)-'Business Case'!F11*$C551*'Business Case'!F13*$D551-'Business Case'!F14*$E551)-MAX(0,(('Business Case'!F11*$C551*'Business Case'!F12*$B551)-'Business Case'!F11*$C551*'Business Case'!F13*$D551-'Business Case'!F14*$E551))*'Business Case'!$B$7-'Business Case'!$B$8*(('Business Case'!F11*$C551*'Business Case'!F12*$B551)-('Business Case'!E11*$C551*'Business Case'!E12*$B551))-'Business Case'!F15*$F551</f>
        <v>885416929.70118</v>
      </c>
      <c r="M551" s="53" t="n">
        <f aca="false">(('Business Case'!G11*$C551*'Business Case'!G12*$B551)-'Business Case'!G11*$C551*'Business Case'!G13*$D551-'Business Case'!G14*$E551)-MAX(0,(('Business Case'!G11*$C551*'Business Case'!G12*$B551)-'Business Case'!G11*$C551*'Business Case'!G13*$D551-'Business Case'!G14*$E551))*'Business Case'!$B$7-'Business Case'!$B$8*(('Business Case'!G11*$C551*'Business Case'!G12*$B551)-('Business Case'!F11*$C551*'Business Case'!F12*$B551))-'Business Case'!G15*$F551+'Business Case'!$B$8*('Business Case'!G11*$C551*'Business Case'!G12*$B551)</f>
        <v>1087102018.13538</v>
      </c>
      <c r="N551" s="53" t="n">
        <f aca="false">IF(COUNT('Business Case'!B11:G11)=0,"",H551+NPV(G551,I551:M551))</f>
        <v>145622708.881691</v>
      </c>
      <c r="P551" s="54" t="n">
        <f aca="true">RAND()</f>
        <v>0.899244958280166</v>
      </c>
      <c r="Q551" s="54" t="n">
        <f aca="true">RAND()</f>
        <v>0.778994243549653</v>
      </c>
      <c r="R551" s="54" t="n">
        <f aca="true">RAND()</f>
        <v>0.492890605015108</v>
      </c>
      <c r="S551" s="54" t="n">
        <f aca="true">RAND()</f>
        <v>0.94944877244396</v>
      </c>
      <c r="T551" s="54" t="n">
        <f aca="true">RAND()</f>
        <v>0.0719784586190141</v>
      </c>
      <c r="U551" s="54" t="n">
        <f aca="true">RAND()</f>
        <v>0.702866692425277</v>
      </c>
    </row>
    <row r="552" customFormat="false" ht="15" hidden="false" customHeight="false" outlineLevel="0" collapsed="false">
      <c r="A552" s="50" t="n">
        <v>472</v>
      </c>
      <c r="B552" s="51" t="n">
        <f aca="false">1+IF($G$6=$E$6,$F$6,IF(P552&lt;($F$6-$E$6)/($G$6-$E$6),$E$6+SQRT(P552*($G$6-$E$6)*($F$6-$E$6)),$G$6-SQRT((1-P552)*($G$6-$E$6)*($G$6-$F$6))))</f>
        <v>0.95083152244304</v>
      </c>
      <c r="C552" s="51" t="n">
        <f aca="false">1+IF($G$7=$E$7,$F$7,IF(Q552&lt;($F$7-$E$7)/($G$7-$E$7),$E$7+SQRT(Q552*($G$7-$E$7)*($F$7-$E$7)),$G$7-SQRT((1-Q552)*($G$7-$E$7)*($G$7-$F$7))))</f>
        <v>0.996855585099735</v>
      </c>
      <c r="D552" s="51" t="n">
        <f aca="false">1+IF($G$8=$E$8,$F$8,IF(R552&lt;($F$8-$E$8)/($G$8-$E$8),$E$8+SQRT(R552*($G$8-$E$8)*($F$8-$E$8)),$G$8-SQRT((1-R552)*($G$8-$E$8)*($G$8-$F$8))))</f>
        <v>1.02621824913156</v>
      </c>
      <c r="E552" s="51" t="n">
        <f aca="false">1+IF($G$9=$E$9,$F$9,IF(S552&lt;($F$9-$E$9)/($G$9-$E$9),$E$9+SQRT(S552*($G$9-$E$9)*($F$9-$E$9)),$G$9-SQRT((1-S552)*($G$9-$E$9)*($G$9-$F$9))))</f>
        <v>1.01431141073413</v>
      </c>
      <c r="F552" s="51" t="n">
        <f aca="false">1+IF($G$10=$E$10,$F$10,IF(T552&lt;($F$10-$E$10)/($G$10-$E$10),$E$10+SQRT(T552*($G$10-$E$10)*($F$10-$E$10)),$G$10-SQRT((1-T552)*($G$10-$E$10)*($G$10-$F$10))))</f>
        <v>1.01000024965461</v>
      </c>
      <c r="G552" s="52" t="n">
        <f aca="false">IF($G$11=$E$11,$F$11,IF(U552&lt;($F$11-$E$11)/($G$11-$E$11),$E$11+SQRT(U552*($G$11-$E$11)*($F$11-$E$11)),$G$11-SQRT((1-U552)*($G$11-$E$11)*($G$11-$F$11))))</f>
        <v>0.105098573900731</v>
      </c>
      <c r="H552" s="53" t="n">
        <f aca="false">(('Business Case'!B11*$C552*'Business Case'!B12*$B552)-'Business Case'!B11*$C552*'Business Case'!B13*$D552-'Business Case'!B14*$E552)-MAX(0,(('Business Case'!B11*$C552*'Business Case'!B12*$B552)-'Business Case'!B11*$C552*'Business Case'!B13*$D552-'Business Case'!B14*$E552))*'Business Case'!$B$7-'Business Case'!$B$8*('Business Case'!B11*$C552*'Business Case'!B12*$B552)-'Business Case'!B15*$F552</f>
        <v>-2020000499.30922</v>
      </c>
      <c r="I552" s="53" t="n">
        <f aca="false">(('Business Case'!C11*$C552*'Business Case'!C12*$B552)-'Business Case'!C11*$C552*'Business Case'!C13*$D552-'Business Case'!C14*$E552)-MAX(0,(('Business Case'!C11*$C552*'Business Case'!C12*$B552)-'Business Case'!C11*$C552*'Business Case'!C13*$D552-'Business Case'!C14*$E552))*'Business Case'!$B$7-'Business Case'!$B$8*(('Business Case'!C11*$C552*'Business Case'!C12*$B552)-('Business Case'!B11*$C552*'Business Case'!B12*$B552))-'Business Case'!C15*$F552</f>
        <v>-41710367.9310183</v>
      </c>
      <c r="J552" s="53" t="n">
        <f aca="false">(('Business Case'!D11*$C552*'Business Case'!D12*$B552)-'Business Case'!D11*$C552*'Business Case'!D13*$D552-'Business Case'!D14*$E552)-MAX(0,(('Business Case'!D11*$C552*'Business Case'!D12*$B552)-'Business Case'!D11*$C552*'Business Case'!D13*$D552-'Business Case'!D14*$E552))*'Business Case'!$B$7-'Business Case'!$B$8*(('Business Case'!D11*$C552*'Business Case'!D12*$B552)-('Business Case'!C11*$C552*'Business Case'!C12*$B552))-'Business Case'!D15*$F552</f>
        <v>210950486.144719</v>
      </c>
      <c r="K552" s="53" t="n">
        <f aca="false">(('Business Case'!E11*$C552*'Business Case'!E12*$B552)-'Business Case'!E11*$C552*'Business Case'!E13*$D552-'Business Case'!E14*$E552)-MAX(0,(('Business Case'!E11*$C552*'Business Case'!E12*$B552)-'Business Case'!E11*$C552*'Business Case'!E13*$D552-'Business Case'!E14*$E552))*'Business Case'!$B$7-'Business Case'!$B$8*(('Business Case'!E11*$C552*'Business Case'!E12*$B552)-('Business Case'!D11*$C552*'Business Case'!D12*$B552))-'Business Case'!E15*$F552</f>
        <v>514111352.703188</v>
      </c>
      <c r="L552" s="53" t="n">
        <f aca="false">(('Business Case'!F11*$C552*'Business Case'!F12*$B552)-'Business Case'!F11*$C552*'Business Case'!F13*$D552-'Business Case'!F14*$E552)-MAX(0,(('Business Case'!F11*$C552*'Business Case'!F12*$B552)-'Business Case'!F11*$C552*'Business Case'!F13*$D552-'Business Case'!F14*$E552))*'Business Case'!$B$7-'Business Case'!$B$8*(('Business Case'!F11*$C552*'Business Case'!F12*$B552)-('Business Case'!E11*$C552*'Business Case'!E12*$B552))-'Business Case'!F15*$F552</f>
        <v>631089047.018368</v>
      </c>
      <c r="M552" s="53" t="n">
        <f aca="false">(('Business Case'!G11*$C552*'Business Case'!G12*$B552)-'Business Case'!G11*$C552*'Business Case'!G13*$D552-'Business Case'!G14*$E552)-MAX(0,(('Business Case'!G11*$C552*'Business Case'!G12*$B552)-'Business Case'!G11*$C552*'Business Case'!G13*$D552-'Business Case'!G14*$E552))*'Business Case'!$B$7-'Business Case'!$B$8*(('Business Case'!G11*$C552*'Business Case'!G12*$B552)-('Business Case'!F11*$C552*'Business Case'!F12*$B552))-'Business Case'!G15*$F552+'Business Case'!$B$8*('Business Case'!G11*$C552*'Business Case'!G12*$B552)</f>
        <v>811254799.946343</v>
      </c>
      <c r="N552" s="53" t="n">
        <f aca="false">IF(COUNT('Business Case'!B11:G11)=0,"",H552+NPV(G552,I552:M552))</f>
        <v>-588717535.297291</v>
      </c>
      <c r="P552" s="54" t="n">
        <f aca="true">RAND()</f>
        <v>0.0990190391828804</v>
      </c>
      <c r="Q552" s="54" t="n">
        <f aca="true">RAND()</f>
        <v>0.553601734070841</v>
      </c>
      <c r="R552" s="54" t="n">
        <f aca="true">RAND()</f>
        <v>0.721877237838923</v>
      </c>
      <c r="S552" s="54" t="n">
        <f aca="true">RAND()</f>
        <v>0.510497711308297</v>
      </c>
      <c r="T552" s="54" t="n">
        <f aca="true">RAND()</f>
        <v>0.278001897373797</v>
      </c>
      <c r="U552" s="54" t="n">
        <f aca="true">RAND()</f>
        <v>0.629912500346689</v>
      </c>
    </row>
    <row r="553" customFormat="false" ht="15" hidden="false" customHeight="false" outlineLevel="0" collapsed="false">
      <c r="A553" s="50" t="n">
        <v>473</v>
      </c>
      <c r="B553" s="51" t="n">
        <f aca="false">1+IF($G$6=$E$6,$F$6,IF(P553&lt;($F$6-$E$6)/($G$6-$E$6),$E$6+SQRT(P553*($G$6-$E$6)*($F$6-$E$6)),$G$6-SQRT((1-P553)*($G$6-$E$6)*($G$6-$F$6))))</f>
        <v>0.951587681999633</v>
      </c>
      <c r="C553" s="51" t="n">
        <f aca="false">1+IF($G$7=$E$7,$F$7,IF(Q553&lt;($F$7-$E$7)/($G$7-$E$7),$E$7+SQRT(Q553*($G$7-$E$7)*($F$7-$E$7)),$G$7-SQRT((1-Q553)*($G$7-$E$7)*($G$7-$F$7))))</f>
        <v>0.927908533379469</v>
      </c>
      <c r="D553" s="51" t="n">
        <f aca="false">1+IF($G$8=$E$8,$F$8,IF(R553&lt;($F$8-$E$8)/($G$8-$E$8),$E$8+SQRT(R553*($G$8-$E$8)*($F$8-$E$8)),$G$8-SQRT((1-R553)*($G$8-$E$8)*($G$8-$F$8))))</f>
        <v>0.998608423566261</v>
      </c>
      <c r="E553" s="51" t="n">
        <f aca="false">1+IF($G$9=$E$9,$F$9,IF(S553&lt;($F$9-$E$9)/($G$9-$E$9),$E$9+SQRT(S553*($G$9-$E$9)*($F$9-$E$9)),$G$9-SQRT((1-S553)*($G$9-$E$9)*($G$9-$F$9))))</f>
        <v>1.02096913721343</v>
      </c>
      <c r="F553" s="51" t="n">
        <f aca="false">1+IF($G$10=$E$10,$F$10,IF(T553&lt;($F$10-$E$10)/($G$10-$E$10),$E$10+SQRT(T553*($G$10-$E$10)*($F$10-$E$10)),$G$10-SQRT((1-T553)*($G$10-$E$10)*($G$10-$F$10))))</f>
        <v>1.01195249258004</v>
      </c>
      <c r="G553" s="52" t="n">
        <f aca="false">IF($G$11=$E$11,$F$11,IF(U553&lt;($F$11-$E$11)/($G$11-$E$11),$E$11+SQRT(U553*($G$11-$E$11)*($F$11-$E$11)),$G$11-SQRT((1-U553)*($G$11-$E$11)*($G$11-$F$11))))</f>
        <v>0.112859396149866</v>
      </c>
      <c r="H553" s="53" t="n">
        <f aca="false">(('Business Case'!B11*$C553*'Business Case'!B12*$B553)-'Business Case'!B11*$C553*'Business Case'!B13*$D553-'Business Case'!B14*$E553)-MAX(0,(('Business Case'!B11*$C553*'Business Case'!B12*$B553)-'Business Case'!B11*$C553*'Business Case'!B13*$D553-'Business Case'!B14*$E553))*'Business Case'!$B$7-'Business Case'!$B$8*('Business Case'!B11*$C553*'Business Case'!B12*$B553)-'Business Case'!B15*$F553</f>
        <v>-2023904985.16008</v>
      </c>
      <c r="I553" s="53" t="n">
        <f aca="false">(('Business Case'!C11*$C553*'Business Case'!C12*$B553)-'Business Case'!C11*$C553*'Business Case'!C13*$D553-'Business Case'!C14*$E553)-MAX(0,(('Business Case'!C11*$C553*'Business Case'!C12*$B553)-'Business Case'!C11*$C553*'Business Case'!C13*$D553-'Business Case'!C14*$E553))*'Business Case'!$B$7-'Business Case'!$B$8*(('Business Case'!C11*$C553*'Business Case'!C12*$B553)-('Business Case'!B11*$C553*'Business Case'!B12*$B553))-'Business Case'!C15*$F553</f>
        <v>-43275609.1512909</v>
      </c>
      <c r="J553" s="53" t="n">
        <f aca="false">(('Business Case'!D11*$C553*'Business Case'!D12*$B553)-'Business Case'!D11*$C553*'Business Case'!D13*$D553-'Business Case'!D14*$E553)-MAX(0,(('Business Case'!D11*$C553*'Business Case'!D12*$B553)-'Business Case'!D11*$C553*'Business Case'!D13*$D553-'Business Case'!D14*$E553))*'Business Case'!$B$7-'Business Case'!$B$8*(('Business Case'!D11*$C553*'Business Case'!D12*$B553)-('Business Case'!C11*$C553*'Business Case'!C12*$B553))-'Business Case'!D15*$F553</f>
        <v>205599853.634395</v>
      </c>
      <c r="K553" s="53" t="n">
        <f aca="false">(('Business Case'!E11*$C553*'Business Case'!E12*$B553)-'Business Case'!E11*$C553*'Business Case'!E13*$D553-'Business Case'!E14*$E553)-MAX(0,(('Business Case'!E11*$C553*'Business Case'!E12*$B553)-'Business Case'!E11*$C553*'Business Case'!E13*$D553-'Business Case'!E14*$E553))*'Business Case'!$B$7-'Business Case'!$B$8*(('Business Case'!E11*$C553*'Business Case'!E12*$B553)-('Business Case'!D11*$C553*'Business Case'!D12*$B553))-'Business Case'!E15*$F553</f>
        <v>505072941.049083</v>
      </c>
      <c r="L553" s="53" t="n">
        <f aca="false">(('Business Case'!F11*$C553*'Business Case'!F12*$B553)-'Business Case'!F11*$C553*'Business Case'!F13*$D553-'Business Case'!F14*$E553)-MAX(0,(('Business Case'!F11*$C553*'Business Case'!F12*$B553)-'Business Case'!F11*$C553*'Business Case'!F13*$D553-'Business Case'!F14*$E553))*'Business Case'!$B$7-'Business Case'!$B$8*(('Business Case'!F11*$C553*'Business Case'!F12*$B553)-('Business Case'!E11*$C553*'Business Case'!E12*$B553))-'Business Case'!F15*$F553</f>
        <v>618547436.22246</v>
      </c>
      <c r="M553" s="53" t="n">
        <f aca="false">(('Business Case'!G11*$C553*'Business Case'!G12*$B553)-'Business Case'!G11*$C553*'Business Case'!G13*$D553-'Business Case'!G14*$E553)-MAX(0,(('Business Case'!G11*$C553*'Business Case'!G12*$B553)-'Business Case'!G11*$C553*'Business Case'!G13*$D553-'Business Case'!G14*$E553))*'Business Case'!$B$7-'Business Case'!$B$8*(('Business Case'!G11*$C553*'Business Case'!G12*$B553)-('Business Case'!F11*$C553*'Business Case'!F12*$B553))-'Business Case'!G15*$F553+'Business Case'!$B$8*('Business Case'!G11*$C553*'Business Case'!G12*$B553)</f>
        <v>786385477.902278</v>
      </c>
      <c r="N553" s="53" t="n">
        <f aca="false">IF(COUNT('Business Case'!B11:G11)=0,"",H553+NPV(G553,I553:M553))</f>
        <v>-666311687.624712</v>
      </c>
      <c r="P553" s="54" t="n">
        <f aca="true">RAND()</f>
        <v>0.103935588969787</v>
      </c>
      <c r="Q553" s="54" t="n">
        <f aca="true">RAND()</f>
        <v>0.233722755875523</v>
      </c>
      <c r="R553" s="54" t="n">
        <f aca="true">RAND()</f>
        <v>0.36350443716878</v>
      </c>
      <c r="S553" s="54" t="n">
        <f aca="true">RAND()</f>
        <v>0.583608181814026</v>
      </c>
      <c r="T553" s="54" t="n">
        <f aca="true">RAND()</f>
        <v>0.292762699062803</v>
      </c>
      <c r="U553" s="54" t="n">
        <f aca="true">RAND()</f>
        <v>0.915019627759086</v>
      </c>
    </row>
    <row r="554" customFormat="false" ht="15" hidden="false" customHeight="false" outlineLevel="0" collapsed="false">
      <c r="A554" s="50" t="n">
        <v>474</v>
      </c>
      <c r="B554" s="51" t="n">
        <f aca="false">1+IF($G$6=$E$6,$F$6,IF(P554&lt;($F$6-$E$6)/($G$6-$E$6),$E$6+SQRT(P554*($G$6-$E$6)*($F$6-$E$6)),$G$6-SQRT((1-P554)*($G$6-$E$6)*($G$6-$F$6))))</f>
        <v>0.976582735326053</v>
      </c>
      <c r="C554" s="51" t="n">
        <f aca="false">1+IF($G$7=$E$7,$F$7,IF(Q554&lt;($F$7-$E$7)/($G$7-$E$7),$E$7+SQRT(Q554*($G$7-$E$7)*($F$7-$E$7)),$G$7-SQRT((1-Q554)*($G$7-$E$7)*($G$7-$F$7))))</f>
        <v>0.875429314717144</v>
      </c>
      <c r="D554" s="51" t="n">
        <f aca="false">1+IF($G$8=$E$8,$F$8,IF(R554&lt;($F$8-$E$8)/($G$8-$E$8),$E$8+SQRT(R554*($G$8-$E$8)*($F$8-$E$8)),$G$8-SQRT((1-R554)*($G$8-$E$8)*($G$8-$F$8))))</f>
        <v>1.06140077594632</v>
      </c>
      <c r="E554" s="51" t="n">
        <f aca="false">1+IF($G$9=$E$9,$F$9,IF(S554&lt;($F$9-$E$9)/($G$9-$E$9),$E$9+SQRT(S554*($G$9-$E$9)*($F$9-$E$9)),$G$9-SQRT((1-S554)*($G$9-$E$9)*($G$9-$F$9))))</f>
        <v>0.994037077497684</v>
      </c>
      <c r="F554" s="51" t="n">
        <f aca="false">1+IF($G$10=$E$10,$F$10,IF(T554&lt;($F$10-$E$10)/($G$10-$E$10),$E$10+SQRT(T554*($G$10-$E$10)*($F$10-$E$10)),$G$10-SQRT((1-T554)*($G$10-$E$10)*($G$10-$F$10))))</f>
        <v>1.05947446631159</v>
      </c>
      <c r="G554" s="52" t="n">
        <f aca="false">IF($G$11=$E$11,$F$11,IF(U554&lt;($F$11-$E$11)/($G$11-$E$11),$E$11+SQRT(U554*($G$11-$E$11)*($F$11-$E$11)),$G$11-SQRT((1-U554)*($G$11-$E$11)*($G$11-$F$11))))</f>
        <v>0.109959081538904</v>
      </c>
      <c r="H554" s="53" t="n">
        <f aca="false">(('Business Case'!B11*$C554*'Business Case'!B12*$B554)-'Business Case'!B11*$C554*'Business Case'!B13*$D554-'Business Case'!B14*$E554)-MAX(0,(('Business Case'!B11*$C554*'Business Case'!B12*$B554)-'Business Case'!B11*$C554*'Business Case'!B13*$D554-'Business Case'!B14*$E554))*'Business Case'!$B$7-'Business Case'!$B$8*('Business Case'!B11*$C554*'Business Case'!B12*$B554)-'Business Case'!B15*$F554</f>
        <v>-2118948932.62318</v>
      </c>
      <c r="I554" s="53" t="n">
        <f aca="false">(('Business Case'!C11*$C554*'Business Case'!C12*$B554)-'Business Case'!C11*$C554*'Business Case'!C13*$D554-'Business Case'!C14*$E554)-MAX(0,(('Business Case'!C11*$C554*'Business Case'!C12*$B554)-'Business Case'!C11*$C554*'Business Case'!C13*$D554-'Business Case'!C14*$E554))*'Business Case'!$B$7-'Business Case'!$B$8*(('Business Case'!C11*$C554*'Business Case'!C12*$B554)-('Business Case'!B11*$C554*'Business Case'!B12*$B554))-'Business Case'!C15*$F554</f>
        <v>-67037032.4956252</v>
      </c>
      <c r="J554" s="53" t="n">
        <f aca="false">(('Business Case'!D11*$C554*'Business Case'!D12*$B554)-'Business Case'!D11*$C554*'Business Case'!D13*$D554-'Business Case'!D14*$E554)-MAX(0,(('Business Case'!D11*$C554*'Business Case'!D12*$B554)-'Business Case'!D11*$C554*'Business Case'!D13*$D554-'Business Case'!D14*$E554))*'Business Case'!$B$7-'Business Case'!$B$8*(('Business Case'!D11*$C554*'Business Case'!D12*$B554)-('Business Case'!C11*$C554*'Business Case'!C12*$B554))-'Business Case'!D15*$F554</f>
        <v>157544981.442375</v>
      </c>
      <c r="K554" s="53" t="n">
        <f aca="false">(('Business Case'!E11*$C554*'Business Case'!E12*$B554)-'Business Case'!E11*$C554*'Business Case'!E13*$D554-'Business Case'!E14*$E554)-MAX(0,(('Business Case'!E11*$C554*'Business Case'!E12*$B554)-'Business Case'!E11*$C554*'Business Case'!E13*$D554-'Business Case'!E14*$E554))*'Business Case'!$B$7-'Business Case'!$B$8*(('Business Case'!E11*$C554*'Business Case'!E12*$B554)-('Business Case'!D11*$C554*'Business Case'!D12*$B554))-'Business Case'!E15*$F554</f>
        <v>435100718.695956</v>
      </c>
      <c r="L554" s="53" t="n">
        <f aca="false">(('Business Case'!F11*$C554*'Business Case'!F12*$B554)-'Business Case'!F11*$C554*'Business Case'!F13*$D554-'Business Case'!F14*$E554)-MAX(0,(('Business Case'!F11*$C554*'Business Case'!F12*$B554)-'Business Case'!F11*$C554*'Business Case'!F13*$D554-'Business Case'!F14*$E554))*'Business Case'!$B$7-'Business Case'!$B$8*(('Business Case'!F11*$C554*'Business Case'!F12*$B554)-('Business Case'!E11*$C554*'Business Case'!E12*$B554))-'Business Case'!F15*$F554</f>
        <v>539507741.59682</v>
      </c>
      <c r="M554" s="53" t="n">
        <f aca="false">(('Business Case'!G11*$C554*'Business Case'!G12*$B554)-'Business Case'!G11*$C554*'Business Case'!G13*$D554-'Business Case'!G14*$E554)-MAX(0,(('Business Case'!G11*$C554*'Business Case'!G12*$B554)-'Business Case'!G11*$C554*'Business Case'!G13*$D554-'Business Case'!G14*$E554))*'Business Case'!$B$7-'Business Case'!$B$8*(('Business Case'!G11*$C554*'Business Case'!G12*$B554)-('Business Case'!F11*$C554*'Business Case'!F12*$B554))-'Business Case'!G15*$F554+'Business Case'!$B$8*('Business Case'!G11*$C554*'Business Case'!G12*$B554)</f>
        <v>702012675.331905</v>
      </c>
      <c r="N554" s="53" t="n">
        <f aca="false">IF(COUNT('Business Case'!B11:G11)=0,"",H554+NPV(G554,I554:M554))</f>
        <v>-961161311.249414</v>
      </c>
      <c r="P554" s="54" t="n">
        <f aca="true">RAND()</f>
        <v>0.333500618435226</v>
      </c>
      <c r="Q554" s="54" t="n">
        <f aca="true">RAND()</f>
        <v>0.0812797359814</v>
      </c>
      <c r="R554" s="54" t="n">
        <f aca="true">RAND()</f>
        <v>0.966737390827034</v>
      </c>
      <c r="S554" s="54" t="n">
        <f aca="true">RAND()</f>
        <v>0.2585685592716</v>
      </c>
      <c r="T554" s="54" t="n">
        <f aca="true">RAND()</f>
        <v>0.605051487631749</v>
      </c>
      <c r="U554" s="54" t="n">
        <f aca="true">RAND()</f>
        <v>0.831966594096051</v>
      </c>
    </row>
    <row r="555" customFormat="false" ht="15" hidden="false" customHeight="false" outlineLevel="0" collapsed="false">
      <c r="A555" s="50" t="n">
        <v>475</v>
      </c>
      <c r="B555" s="51" t="n">
        <f aca="false">1+IF($G$6=$E$6,$F$6,IF(P555&lt;($F$6-$E$6)/($G$6-$E$6),$E$6+SQRT(P555*($G$6-$E$6)*($F$6-$E$6)),$G$6-SQRT((1-P555)*($G$6-$E$6)*($G$6-$F$6))))</f>
        <v>1.01565905874736</v>
      </c>
      <c r="C555" s="51" t="n">
        <f aca="false">1+IF($G$7=$E$7,$F$7,IF(Q555&lt;($F$7-$E$7)/($G$7-$E$7),$E$7+SQRT(Q555*($G$7-$E$7)*($F$7-$E$7)),$G$7-SQRT((1-Q555)*($G$7-$E$7)*($G$7-$F$7))))</f>
        <v>1.01025393026201</v>
      </c>
      <c r="D555" s="51" t="n">
        <f aca="false">1+IF($G$8=$E$8,$F$8,IF(R555&lt;($F$8-$E$8)/($G$8-$E$8),$E$8+SQRT(R555*($G$8-$E$8)*($F$8-$E$8)),$G$8-SQRT((1-R555)*($G$8-$E$8)*($G$8-$F$8))))</f>
        <v>1.03136425996651</v>
      </c>
      <c r="E555" s="51" t="n">
        <f aca="false">1+IF($G$9=$E$9,$F$9,IF(S555&lt;($F$9-$E$9)/($G$9-$E$9),$E$9+SQRT(S555*($G$9-$E$9)*($F$9-$E$9)),$G$9-SQRT((1-S555)*($G$9-$E$9)*($G$9-$F$9))))</f>
        <v>0.996387041686122</v>
      </c>
      <c r="F555" s="51" t="n">
        <f aca="false">1+IF($G$10=$E$10,$F$10,IF(T555&lt;($F$10-$E$10)/($G$10-$E$10),$E$10+SQRT(T555*($G$10-$E$10)*($F$10-$E$10)),$G$10-SQRT((1-T555)*($G$10-$E$10)*($G$10-$F$10))))</f>
        <v>1.07114770364768</v>
      </c>
      <c r="G555" s="52" t="n">
        <f aca="false">IF($G$11=$E$11,$F$11,IF(U555&lt;($F$11-$E$11)/($G$11-$E$11),$E$11+SQRT(U555*($G$11-$E$11)*($F$11-$E$11)),$G$11-SQRT((1-U555)*($G$11-$E$11)*($G$11-$F$11))))</f>
        <v>0.107088280593904</v>
      </c>
      <c r="H555" s="53" t="n">
        <f aca="false">(('Business Case'!B11*$C555*'Business Case'!B12*$B555)-'Business Case'!B11*$C555*'Business Case'!B13*$D555-'Business Case'!B14*$E555)-MAX(0,(('Business Case'!B11*$C555*'Business Case'!B12*$B555)-'Business Case'!B11*$C555*'Business Case'!B13*$D555-'Business Case'!B14*$E555))*'Business Case'!$B$7-'Business Case'!$B$8*('Business Case'!B11*$C555*'Business Case'!B12*$B555)-'Business Case'!B15*$F555</f>
        <v>-2142295407.29536</v>
      </c>
      <c r="I555" s="53" t="n">
        <f aca="false">(('Business Case'!C11*$C555*'Business Case'!C12*$B555)-'Business Case'!C11*$C555*'Business Case'!C13*$D555-'Business Case'!C14*$E555)-MAX(0,(('Business Case'!C11*$C555*'Business Case'!C12*$B555)-'Business Case'!C11*$C555*'Business Case'!C13*$D555-'Business Case'!C14*$E555))*'Business Case'!$B$7-'Business Case'!$B$8*(('Business Case'!C11*$C555*'Business Case'!C12*$B555)-('Business Case'!B11*$C555*'Business Case'!B12*$B555))-'Business Case'!C15*$F555</f>
        <v>5045637.78848052</v>
      </c>
      <c r="J555" s="53" t="n">
        <f aca="false">(('Business Case'!D11*$C555*'Business Case'!D12*$B555)-'Business Case'!D11*$C555*'Business Case'!D13*$D555-'Business Case'!D14*$E555)-MAX(0,(('Business Case'!D11*$C555*'Business Case'!D12*$B555)-'Business Case'!D11*$C555*'Business Case'!D13*$D555-'Business Case'!D14*$E555))*'Business Case'!$B$7-'Business Case'!$B$8*(('Business Case'!D11*$C555*'Business Case'!D12*$B555)-('Business Case'!C11*$C555*'Business Case'!C12*$B555))-'Business Case'!D15*$F555</f>
        <v>312083936.407649</v>
      </c>
      <c r="K555" s="53" t="n">
        <f aca="false">(('Business Case'!E11*$C555*'Business Case'!E12*$B555)-'Business Case'!E11*$C555*'Business Case'!E13*$D555-'Business Case'!E14*$E555)-MAX(0,(('Business Case'!E11*$C555*'Business Case'!E12*$B555)-'Business Case'!E11*$C555*'Business Case'!E13*$D555-'Business Case'!E14*$E555))*'Business Case'!$B$7-'Business Case'!$B$8*(('Business Case'!E11*$C555*'Business Case'!E12*$B555)-('Business Case'!D11*$C555*'Business Case'!D12*$B555))-'Business Case'!E15*$F555</f>
        <v>672679620.209201</v>
      </c>
      <c r="L555" s="53" t="n">
        <f aca="false">(('Business Case'!F11*$C555*'Business Case'!F12*$B555)-'Business Case'!F11*$C555*'Business Case'!F13*$D555-'Business Case'!F14*$E555)-MAX(0,(('Business Case'!F11*$C555*'Business Case'!F12*$B555)-'Business Case'!F11*$C555*'Business Case'!F13*$D555-'Business Case'!F14*$E555))*'Business Case'!$B$7-'Business Case'!$B$8*(('Business Case'!F11*$C555*'Business Case'!F12*$B555)-('Business Case'!E11*$C555*'Business Case'!E12*$B555))-'Business Case'!F15*$F555</f>
        <v>810486821.841027</v>
      </c>
      <c r="M555" s="53" t="n">
        <f aca="false">(('Business Case'!G11*$C555*'Business Case'!G12*$B555)-'Business Case'!G11*$C555*'Business Case'!G13*$D555-'Business Case'!G14*$E555)-MAX(0,(('Business Case'!G11*$C555*'Business Case'!G12*$B555)-'Business Case'!G11*$C555*'Business Case'!G13*$D555-'Business Case'!G14*$E555))*'Business Case'!$B$7-'Business Case'!$B$8*(('Business Case'!G11*$C555*'Business Case'!G12*$B555)-('Business Case'!F11*$C555*'Business Case'!F12*$B555))-'Business Case'!G15*$F555+'Business Case'!$B$8*('Business Case'!G11*$C555*'Business Case'!G12*$B555)</f>
        <v>1005522883.34759</v>
      </c>
      <c r="N555" s="53" t="n">
        <f aca="false">IF(COUNT('Business Case'!B11:G11)=0,"",H555+NPV(G555,I555:M555))</f>
        <v>-243211635.878852</v>
      </c>
      <c r="P555" s="54" t="n">
        <f aca="true">RAND()</f>
        <v>0.876566370611545</v>
      </c>
      <c r="Q555" s="54" t="n">
        <f aca="true">RAND()</f>
        <v>0.628019733195901</v>
      </c>
      <c r="R555" s="54" t="n">
        <f aca="true">RAND()</f>
        <v>0.772554306864899</v>
      </c>
      <c r="S555" s="54" t="n">
        <f aca="true">RAND()</f>
        <v>0.286901018185335</v>
      </c>
      <c r="T555" s="54" t="n">
        <f aca="true">RAND()</f>
        <v>0.667941714494683</v>
      </c>
      <c r="U555" s="54" t="n">
        <f aca="true">RAND()</f>
        <v>0.722145836630388</v>
      </c>
    </row>
    <row r="556" customFormat="false" ht="15" hidden="false" customHeight="false" outlineLevel="0" collapsed="false">
      <c r="A556" s="50" t="n">
        <v>476</v>
      </c>
      <c r="B556" s="51" t="n">
        <f aca="false">1+IF($G$6=$E$6,$F$6,IF(P556&lt;($F$6-$E$6)/($G$6-$E$6),$E$6+SQRT(P556*($G$6-$E$6)*($F$6-$E$6)),$G$6-SQRT((1-P556)*($G$6-$E$6)*($G$6-$F$6))))</f>
        <v>0.985637445358743</v>
      </c>
      <c r="C556" s="51" t="n">
        <f aca="false">1+IF($G$7=$E$7,$F$7,IF(Q556&lt;($F$7-$E$7)/($G$7-$E$7),$E$7+SQRT(Q556*($G$7-$E$7)*($F$7-$E$7)),$G$7-SQRT((1-Q556)*($G$7-$E$7)*($G$7-$F$7))))</f>
        <v>1.04591662526183</v>
      </c>
      <c r="D556" s="51" t="n">
        <f aca="false">1+IF($G$8=$E$8,$F$8,IF(R556&lt;($F$8-$E$8)/($G$8-$E$8),$E$8+SQRT(R556*($G$8-$E$8)*($F$8-$E$8)),$G$8-SQRT((1-R556)*($G$8-$E$8)*($G$8-$F$8))))</f>
        <v>1.03428230692793</v>
      </c>
      <c r="E556" s="51" t="n">
        <f aca="false">1+IF($G$9=$E$9,$F$9,IF(S556&lt;($F$9-$E$9)/($G$9-$E$9),$E$9+SQRT(S556*($G$9-$E$9)*($F$9-$E$9)),$G$9-SQRT((1-S556)*($G$9-$E$9)*($G$9-$F$9))))</f>
        <v>1.00079626786155</v>
      </c>
      <c r="F556" s="51" t="n">
        <f aca="false">1+IF($G$10=$E$10,$F$10,IF(T556&lt;($F$10-$E$10)/($G$10-$E$10),$E$10+SQRT(T556*($G$10-$E$10)*($F$10-$E$10)),$G$10-SQRT((1-T556)*($G$10-$E$10)*($G$10-$F$10))))</f>
        <v>1.06776432671255</v>
      </c>
      <c r="G556" s="52" t="n">
        <f aca="false">IF($G$11=$E$11,$F$11,IF(U556&lt;($F$11-$E$11)/($G$11-$E$11),$E$11+SQRT(U556*($G$11-$E$11)*($F$11-$E$11)),$G$11-SQRT((1-U556)*($G$11-$E$11)*($G$11-$F$11))))</f>
        <v>0.104418786013643</v>
      </c>
      <c r="H556" s="53" t="n">
        <f aca="false">(('Business Case'!B11*$C556*'Business Case'!B12*$B556)-'Business Case'!B11*$C556*'Business Case'!B13*$D556-'Business Case'!B14*$E556)-MAX(0,(('Business Case'!B11*$C556*'Business Case'!B12*$B556)-'Business Case'!B11*$C556*'Business Case'!B13*$D556-'Business Case'!B14*$E556))*'Business Case'!$B$7-'Business Case'!$B$8*('Business Case'!B11*$C556*'Business Case'!B12*$B556)-'Business Case'!B15*$F556</f>
        <v>-2135528653.42509</v>
      </c>
      <c r="I556" s="53" t="n">
        <f aca="false">(('Business Case'!C11*$C556*'Business Case'!C12*$B556)-'Business Case'!C11*$C556*'Business Case'!C13*$D556-'Business Case'!C14*$E556)-MAX(0,(('Business Case'!C11*$C556*'Business Case'!C12*$B556)-'Business Case'!C11*$C556*'Business Case'!C13*$D556-'Business Case'!C14*$E556))*'Business Case'!$B$7-'Business Case'!$B$8*(('Business Case'!C11*$C556*'Business Case'!C12*$B556)-('Business Case'!B11*$C556*'Business Case'!B12*$B556))-'Business Case'!C15*$F556</f>
        <v>-11935608.330886</v>
      </c>
      <c r="J556" s="53" t="n">
        <f aca="false">(('Business Case'!D11*$C556*'Business Case'!D12*$B556)-'Business Case'!D11*$C556*'Business Case'!D13*$D556-'Business Case'!D14*$E556)-MAX(0,(('Business Case'!D11*$C556*'Business Case'!D12*$B556)-'Business Case'!D11*$C556*'Business Case'!D13*$D556-'Business Case'!D14*$E556))*'Business Case'!$B$7-'Business Case'!$B$8*(('Business Case'!D11*$C556*'Business Case'!D12*$B556)-('Business Case'!C11*$C556*'Business Case'!C12*$B556))-'Business Case'!D15*$F556</f>
        <v>278660020.87513</v>
      </c>
      <c r="K556" s="53" t="n">
        <f aca="false">(('Business Case'!E11*$C556*'Business Case'!E12*$B556)-'Business Case'!E11*$C556*'Business Case'!E13*$D556-'Business Case'!E14*$E556)-MAX(0,(('Business Case'!E11*$C556*'Business Case'!E12*$B556)-'Business Case'!E11*$C556*'Business Case'!E13*$D556-'Business Case'!E14*$E556))*'Business Case'!$B$7-'Business Case'!$B$8*(('Business Case'!E11*$C556*'Business Case'!E12*$B556)-('Business Case'!D11*$C556*'Business Case'!D12*$B556))-'Business Case'!E15*$F556</f>
        <v>622643866.416774</v>
      </c>
      <c r="L556" s="53" t="n">
        <f aca="false">(('Business Case'!F11*$C556*'Business Case'!F12*$B556)-'Business Case'!F11*$C556*'Business Case'!F13*$D556-'Business Case'!F14*$E556)-MAX(0,(('Business Case'!F11*$C556*'Business Case'!F12*$B556)-'Business Case'!F11*$C556*'Business Case'!F13*$D556-'Business Case'!F14*$E556))*'Business Case'!$B$7-'Business Case'!$B$8*(('Business Case'!F11*$C556*'Business Case'!F12*$B556)-('Business Case'!E11*$C556*'Business Case'!E12*$B556))-'Business Case'!F15*$F556</f>
        <v>755136793.202603</v>
      </c>
      <c r="M556" s="53" t="n">
        <f aca="false">(('Business Case'!G11*$C556*'Business Case'!G12*$B556)-'Business Case'!G11*$C556*'Business Case'!G13*$D556-'Business Case'!G14*$E556)-MAX(0,(('Business Case'!G11*$C556*'Business Case'!G12*$B556)-'Business Case'!G11*$C556*'Business Case'!G13*$D556-'Business Case'!G14*$E556))*'Business Case'!$B$7-'Business Case'!$B$8*(('Business Case'!G11*$C556*'Business Case'!G12*$B556)-('Business Case'!F11*$C556*'Business Case'!F12*$B556))-'Business Case'!G15*$F556+'Business Case'!$B$8*('Business Case'!G11*$C556*'Business Case'!G12*$B556)</f>
        <v>951089236.980298</v>
      </c>
      <c r="N556" s="53" t="n">
        <f aca="false">IF(COUNT('Business Case'!B11:G11)=0,"",H556+NPV(G556,I556:M556))</f>
        <v>-369273085.852695</v>
      </c>
      <c r="P556" s="54" t="n">
        <f aca="true">RAND()</f>
        <v>0.448778565960621</v>
      </c>
      <c r="Q556" s="54" t="n">
        <f aca="true">RAND()</f>
        <v>0.793650497202171</v>
      </c>
      <c r="R556" s="54" t="n">
        <f aca="true">RAND()</f>
        <v>0.799028128862273</v>
      </c>
      <c r="S556" s="54" t="n">
        <f aca="true">RAND()</f>
        <v>0.343907968653547</v>
      </c>
      <c r="T556" s="54" t="n">
        <f aca="true">RAND()</f>
        <v>0.650274534204269</v>
      </c>
      <c r="U556" s="54" t="n">
        <f aca="true">RAND()</f>
        <v>0.595376284518903</v>
      </c>
    </row>
    <row r="557" customFormat="false" ht="15" hidden="false" customHeight="false" outlineLevel="0" collapsed="false">
      <c r="A557" s="50" t="n">
        <v>477</v>
      </c>
      <c r="B557" s="51" t="n">
        <f aca="false">1+IF($G$6=$E$6,$F$6,IF(P557&lt;($F$6-$E$6)/($G$6-$E$6),$E$6+SQRT(P557*($G$6-$E$6)*($F$6-$E$6)),$G$6-SQRT((1-P557)*($G$6-$E$6)*($G$6-$F$6))))</f>
        <v>0.933142975889902</v>
      </c>
      <c r="C557" s="51" t="n">
        <f aca="false">1+IF($G$7=$E$7,$F$7,IF(Q557&lt;($F$7-$E$7)/($G$7-$E$7),$E$7+SQRT(Q557*($G$7-$E$7)*($F$7-$E$7)),$G$7-SQRT((1-Q557)*($G$7-$E$7)*($G$7-$F$7))))</f>
        <v>1.01284933733801</v>
      </c>
      <c r="D557" s="51" t="n">
        <f aca="false">1+IF($G$8=$E$8,$F$8,IF(R557&lt;($F$8-$E$8)/($G$8-$E$8),$E$8+SQRT(R557*($G$8-$E$8)*($F$8-$E$8)),$G$8-SQRT((1-R557)*($G$8-$E$8)*($G$8-$F$8))))</f>
        <v>0.969844389745538</v>
      </c>
      <c r="E557" s="51" t="n">
        <f aca="false">1+IF($G$9=$E$9,$F$9,IF(S557&lt;($F$9-$E$9)/($G$9-$E$9),$E$9+SQRT(S557*($G$9-$E$9)*($F$9-$E$9)),$G$9-SQRT((1-S557)*($G$9-$E$9)*($G$9-$F$9))))</f>
        <v>0.976157449349493</v>
      </c>
      <c r="F557" s="51" t="n">
        <f aca="false">1+IF($G$10=$E$10,$F$10,IF(T557&lt;($F$10-$E$10)/($G$10-$E$10),$E$10+SQRT(T557*($G$10-$E$10)*($F$10-$E$10)),$G$10-SQRT((1-T557)*($G$10-$E$10)*($G$10-$F$10))))</f>
        <v>1.05016300454947</v>
      </c>
      <c r="G557" s="52" t="n">
        <f aca="false">IF($G$11=$E$11,$F$11,IF(U557&lt;($F$11-$E$11)/($G$11-$E$11),$E$11+SQRT(U557*($G$11-$E$11)*($F$11-$E$11)),$G$11-SQRT((1-U557)*($G$11-$E$11)*($G$11-$F$11))))</f>
        <v>0.0953676089790521</v>
      </c>
      <c r="H557" s="53" t="n">
        <f aca="false">(('Business Case'!B11*$C557*'Business Case'!B12*$B557)-'Business Case'!B11*$C557*'Business Case'!B13*$D557-'Business Case'!B14*$E557)-MAX(0,(('Business Case'!B11*$C557*'Business Case'!B12*$B557)-'Business Case'!B11*$C557*'Business Case'!B13*$D557-'Business Case'!B14*$E557))*'Business Case'!$B$7-'Business Case'!$B$8*('Business Case'!B11*$C557*'Business Case'!B12*$B557)-'Business Case'!B15*$F557</f>
        <v>-2100326009.09895</v>
      </c>
      <c r="I557" s="53" t="n">
        <f aca="false">(('Business Case'!C11*$C557*'Business Case'!C12*$B557)-'Business Case'!C11*$C557*'Business Case'!C13*$D557-'Business Case'!C14*$E557)-MAX(0,(('Business Case'!C11*$C557*'Business Case'!C12*$B557)-'Business Case'!C11*$C557*'Business Case'!C13*$D557-'Business Case'!C14*$E557))*'Business Case'!$B$7-'Business Case'!$B$8*(('Business Case'!C11*$C557*'Business Case'!C12*$B557)-('Business Case'!B11*$C557*'Business Case'!B12*$B557))-'Business Case'!C15*$F557</f>
        <v>-21551634.3070364</v>
      </c>
      <c r="J557" s="53" t="n">
        <f aca="false">(('Business Case'!D11*$C557*'Business Case'!D12*$B557)-'Business Case'!D11*$C557*'Business Case'!D13*$D557-'Business Case'!D14*$E557)-MAX(0,(('Business Case'!D11*$C557*'Business Case'!D12*$B557)-'Business Case'!D11*$C557*'Business Case'!D13*$D557-'Business Case'!D14*$E557))*'Business Case'!$B$7-'Business Case'!$B$8*(('Business Case'!D11*$C557*'Business Case'!D12*$B557)-('Business Case'!C11*$C557*'Business Case'!C12*$B557))-'Business Case'!D15*$F557</f>
        <v>249718328.547338</v>
      </c>
      <c r="K557" s="53" t="n">
        <f aca="false">(('Business Case'!E11*$C557*'Business Case'!E12*$B557)-'Business Case'!E11*$C557*'Business Case'!E13*$D557-'Business Case'!E14*$E557)-MAX(0,(('Business Case'!E11*$C557*'Business Case'!E12*$B557)-'Business Case'!E11*$C557*'Business Case'!E13*$D557-'Business Case'!E14*$E557))*'Business Case'!$B$7-'Business Case'!$B$8*(('Business Case'!E11*$C557*'Business Case'!E12*$B557)-('Business Case'!D11*$C557*'Business Case'!D12*$B557))-'Business Case'!E15*$F557</f>
        <v>573496441.629185</v>
      </c>
      <c r="L557" s="53" t="n">
        <f aca="false">(('Business Case'!F11*$C557*'Business Case'!F12*$B557)-'Business Case'!F11*$C557*'Business Case'!F13*$D557-'Business Case'!F14*$E557)-MAX(0,(('Business Case'!F11*$C557*'Business Case'!F12*$B557)-'Business Case'!F11*$C557*'Business Case'!F13*$D557-'Business Case'!F14*$E557))*'Business Case'!$B$7-'Business Case'!$B$8*(('Business Case'!F11*$C557*'Business Case'!F12*$B557)-('Business Case'!E11*$C557*'Business Case'!E12*$B557))-'Business Case'!F15*$F557</f>
        <v>696583567.519953</v>
      </c>
      <c r="M557" s="53" t="n">
        <f aca="false">(('Business Case'!G11*$C557*'Business Case'!G12*$B557)-'Business Case'!G11*$C557*'Business Case'!G13*$D557-'Business Case'!G14*$E557)-MAX(0,(('Business Case'!G11*$C557*'Business Case'!G12*$B557)-'Business Case'!G11*$C557*'Business Case'!G13*$D557-'Business Case'!G14*$E557))*'Business Case'!$B$7-'Business Case'!$B$8*(('Business Case'!G11*$C557*'Business Case'!G12*$B557)-('Business Case'!F11*$C557*'Business Case'!F12*$B557))-'Business Case'!G15*$F557+'Business Case'!$B$8*('Business Case'!G11*$C557*'Business Case'!G12*$B557)</f>
        <v>876234494.686159</v>
      </c>
      <c r="N557" s="53" t="n">
        <f aca="false">IF(COUNT('Business Case'!B11:G11)=0,"",H557+NPV(G557,I557:M557))</f>
        <v>-435956525.904336</v>
      </c>
      <c r="P557" s="54" t="n">
        <f aca="true">RAND()</f>
        <v>0.0179935224210989</v>
      </c>
      <c r="Q557" s="54" t="n">
        <f aca="true">RAND()</f>
        <v>0.64170849012146</v>
      </c>
      <c r="R557" s="54" t="n">
        <f aca="true">RAND()</f>
        <v>0.0605845852881251</v>
      </c>
      <c r="S557" s="54" t="n">
        <f aca="true">RAND()</f>
        <v>0.0912282875295025</v>
      </c>
      <c r="T557" s="54" t="n">
        <f aca="true">RAND()</f>
        <v>0.550977495887175</v>
      </c>
      <c r="U557" s="54" t="n">
        <f aca="true">RAND()</f>
        <v>0.0960374205066697</v>
      </c>
    </row>
    <row r="558" customFormat="false" ht="15" hidden="false" customHeight="false" outlineLevel="0" collapsed="false">
      <c r="A558" s="50" t="n">
        <v>478</v>
      </c>
      <c r="B558" s="51" t="n">
        <f aca="false">1+IF($G$6=$E$6,$F$6,IF(P558&lt;($F$6-$E$6)/($G$6-$E$6),$E$6+SQRT(P558*($G$6-$E$6)*($F$6-$E$6)),$G$6-SQRT((1-P558)*($G$6-$E$6)*($G$6-$F$6))))</f>
        <v>1.00206352399986</v>
      </c>
      <c r="C558" s="51" t="n">
        <f aca="false">1+IF($G$7=$E$7,$F$7,IF(Q558&lt;($F$7-$E$7)/($G$7-$E$7),$E$7+SQRT(Q558*($G$7-$E$7)*($F$7-$E$7)),$G$7-SQRT((1-Q558)*($G$7-$E$7)*($G$7-$F$7))))</f>
        <v>1.09184852110984</v>
      </c>
      <c r="D558" s="51" t="n">
        <f aca="false">1+IF($G$8=$E$8,$F$8,IF(R558&lt;($F$8-$E$8)/($G$8-$E$8),$E$8+SQRT(R558*($G$8-$E$8)*($F$8-$E$8)),$G$8-SQRT((1-R558)*($G$8-$E$8)*($G$8-$F$8))))</f>
        <v>0.99656444551489</v>
      </c>
      <c r="E558" s="51" t="n">
        <f aca="false">1+IF($G$9=$E$9,$F$9,IF(S558&lt;($F$9-$E$9)/($G$9-$E$9),$E$9+SQRT(S558*($G$9-$E$9)*($F$9-$E$9)),$G$9-SQRT((1-S558)*($G$9-$E$9)*($G$9-$F$9))))</f>
        <v>1.07776658777918</v>
      </c>
      <c r="F558" s="51" t="n">
        <f aca="false">1+IF($G$10=$E$10,$F$10,IF(T558&lt;($F$10-$E$10)/($G$10-$E$10),$E$10+SQRT(T558*($G$10-$E$10)*($F$10-$E$10)),$G$10-SQRT((1-T558)*($G$10-$E$10)*($G$10-$F$10))))</f>
        <v>1.01614964387664</v>
      </c>
      <c r="G558" s="52" t="n">
        <f aca="false">IF($G$11=$E$11,$F$11,IF(U558&lt;($F$11-$E$11)/($G$11-$E$11),$E$11+SQRT(U558*($G$11-$E$11)*($F$11-$E$11)),$G$11-SQRT((1-U558)*($G$11-$E$11)*($G$11-$F$11))))</f>
        <v>0.097100598970664</v>
      </c>
      <c r="H558" s="53" t="n">
        <f aca="false">(('Business Case'!B11*$C558*'Business Case'!B12*$B558)-'Business Case'!B11*$C558*'Business Case'!B13*$D558-'Business Case'!B14*$E558)-MAX(0,(('Business Case'!B11*$C558*'Business Case'!B12*$B558)-'Business Case'!B11*$C558*'Business Case'!B13*$D558-'Business Case'!B14*$E558))*'Business Case'!$B$7-'Business Case'!$B$8*('Business Case'!B11*$C558*'Business Case'!B12*$B558)-'Business Case'!B15*$F558</f>
        <v>-2032299287.75328</v>
      </c>
      <c r="I558" s="53" t="n">
        <f aca="false">(('Business Case'!C11*$C558*'Business Case'!C12*$B558)-'Business Case'!C11*$C558*'Business Case'!C13*$D558-'Business Case'!C14*$E558)-MAX(0,(('Business Case'!C11*$C558*'Business Case'!C12*$B558)-'Business Case'!C11*$C558*'Business Case'!C13*$D558-'Business Case'!C14*$E558))*'Business Case'!$B$7-'Business Case'!$B$8*(('Business Case'!C11*$C558*'Business Case'!C12*$B558)-('Business Case'!B11*$C558*'Business Case'!B12*$B558))-'Business Case'!C15*$F558</f>
        <v>27537538.5414292</v>
      </c>
      <c r="J558" s="53" t="n">
        <f aca="false">(('Business Case'!D11*$C558*'Business Case'!D12*$B558)-'Business Case'!D11*$C558*'Business Case'!D13*$D558-'Business Case'!D14*$E558)-MAX(0,(('Business Case'!D11*$C558*'Business Case'!D12*$B558)-'Business Case'!D11*$C558*'Business Case'!D13*$D558-'Business Case'!D14*$E558))*'Business Case'!$B$7-'Business Case'!$B$8*(('Business Case'!D11*$C558*'Business Case'!D12*$B558)-('Business Case'!C11*$C558*'Business Case'!C12*$B558))-'Business Case'!D15*$F558</f>
        <v>366666675.990786</v>
      </c>
      <c r="K558" s="53" t="n">
        <f aca="false">(('Business Case'!E11*$C558*'Business Case'!E12*$B558)-'Business Case'!E11*$C558*'Business Case'!E13*$D558-'Business Case'!E14*$E558)-MAX(0,(('Business Case'!E11*$C558*'Business Case'!E12*$B558)-'Business Case'!E11*$C558*'Business Case'!E13*$D558-'Business Case'!E14*$E558))*'Business Case'!$B$7-'Business Case'!$B$8*(('Business Case'!E11*$C558*'Business Case'!E12*$B558)-('Business Case'!D11*$C558*'Business Case'!D12*$B558))-'Business Case'!E15*$F558</f>
        <v>756603295.633975</v>
      </c>
      <c r="L558" s="53" t="n">
        <f aca="false">(('Business Case'!F11*$C558*'Business Case'!F12*$B558)-'Business Case'!F11*$C558*'Business Case'!F13*$D558-'Business Case'!F14*$E558)-MAX(0,(('Business Case'!F11*$C558*'Business Case'!F12*$B558)-'Business Case'!F11*$C558*'Business Case'!F13*$D558-'Business Case'!F14*$E558))*'Business Case'!$B$7-'Business Case'!$B$8*(('Business Case'!F11*$C558*'Business Case'!F12*$B558)-('Business Case'!E11*$C558*'Business Case'!E12*$B558))-'Business Case'!F15*$F558</f>
        <v>907458491.942471</v>
      </c>
      <c r="M558" s="53" t="n">
        <f aca="false">(('Business Case'!G11*$C558*'Business Case'!G12*$B558)-'Business Case'!G11*$C558*'Business Case'!G13*$D558-'Business Case'!G14*$E558)-MAX(0,(('Business Case'!G11*$C558*'Business Case'!G12*$B558)-'Business Case'!G11*$C558*'Business Case'!G13*$D558-'Business Case'!G14*$E558))*'Business Case'!$B$7-'Business Case'!$B$8*(('Business Case'!G11*$C558*'Business Case'!G12*$B558)-('Business Case'!F11*$C558*'Business Case'!F12*$B558))-'Business Case'!G15*$F558+'Business Case'!$B$8*('Business Case'!G11*$C558*'Business Case'!G12*$B558)</f>
        <v>1115425319.64871</v>
      </c>
      <c r="N558" s="53" t="n">
        <f aca="false">IF(COUNT('Business Case'!B11:G11)=0,"",H558+NPV(G558,I558:M558))</f>
        <v>198577296.146862</v>
      </c>
      <c r="P558" s="54" t="n">
        <f aca="true">RAND()</f>
        <v>0.700171622643993</v>
      </c>
      <c r="Q558" s="54" t="n">
        <f aca="true">RAND()</f>
        <v>0.935588676245468</v>
      </c>
      <c r="R558" s="54" t="n">
        <f aca="true">RAND()</f>
        <v>0.333576551709104</v>
      </c>
      <c r="S558" s="54" t="n">
        <f aca="true">RAND()</f>
        <v>0.967045025401263</v>
      </c>
      <c r="T558" s="54" t="n">
        <f aca="true">RAND()</f>
        <v>0.323980931066259</v>
      </c>
      <c r="U558" s="54" t="n">
        <f aca="true">RAND()</f>
        <v>0.168061685807313</v>
      </c>
    </row>
    <row r="559" customFormat="false" ht="15" hidden="false" customHeight="false" outlineLevel="0" collapsed="false">
      <c r="A559" s="50" t="n">
        <v>479</v>
      </c>
      <c r="B559" s="51" t="n">
        <f aca="false">1+IF($G$6=$E$6,$F$6,IF(P559&lt;($F$6-$E$6)/($G$6-$E$6),$E$6+SQRT(P559*($G$6-$E$6)*($F$6-$E$6)),$G$6-SQRT((1-P559)*($G$6-$E$6)*($G$6-$F$6))))</f>
        <v>0.982462184393998</v>
      </c>
      <c r="C559" s="51" t="n">
        <f aca="false">1+IF($G$7=$E$7,$F$7,IF(Q559&lt;($F$7-$E$7)/($G$7-$E$7),$E$7+SQRT(Q559*($G$7-$E$7)*($F$7-$E$7)),$G$7-SQRT((1-Q559)*($G$7-$E$7)*($G$7-$F$7))))</f>
        <v>0.961325361783303</v>
      </c>
      <c r="D559" s="51" t="n">
        <f aca="false">1+IF($G$8=$E$8,$F$8,IF(R559&lt;($F$8-$E$8)/($G$8-$E$8),$E$8+SQRT(R559*($G$8-$E$8)*($F$8-$E$8)),$G$8-SQRT((1-R559)*($G$8-$E$8)*($G$8-$F$8))))</f>
        <v>0.975877143525035</v>
      </c>
      <c r="E559" s="51" t="n">
        <f aca="false">1+IF($G$9=$E$9,$F$9,IF(S559&lt;($F$9-$E$9)/($G$9-$E$9),$E$9+SQRT(S559*($G$9-$E$9)*($F$9-$E$9)),$G$9-SQRT((1-S559)*($G$9-$E$9)*($G$9-$F$9))))</f>
        <v>0.996903581207362</v>
      </c>
      <c r="F559" s="51" t="n">
        <f aca="false">1+IF($G$10=$E$10,$F$10,IF(T559&lt;($F$10-$E$10)/($G$10-$E$10),$E$10+SQRT(T559*($G$10-$E$10)*($F$10-$E$10)),$G$10-SQRT((1-T559)*($G$10-$E$10)*($G$10-$F$10))))</f>
        <v>1.08181096632645</v>
      </c>
      <c r="G559" s="52" t="n">
        <f aca="false">IF($G$11=$E$11,$F$11,IF(U559&lt;($F$11-$E$11)/($G$11-$E$11),$E$11+SQRT(U559*($G$11-$E$11)*($F$11-$E$11)),$G$11-SQRT((1-U559)*($G$11-$E$11)*($G$11-$F$11))))</f>
        <v>0.103291667910407</v>
      </c>
      <c r="H559" s="53" t="n">
        <f aca="false">(('Business Case'!B11*$C559*'Business Case'!B12*$B559)-'Business Case'!B11*$C559*'Business Case'!B13*$D559-'Business Case'!B14*$E559)-MAX(0,(('Business Case'!B11*$C559*'Business Case'!B12*$B559)-'Business Case'!B11*$C559*'Business Case'!B13*$D559-'Business Case'!B14*$E559))*'Business Case'!$B$7-'Business Case'!$B$8*('Business Case'!B11*$C559*'Business Case'!B12*$B559)-'Business Case'!B15*$F559</f>
        <v>-2163621932.65291</v>
      </c>
      <c r="I559" s="53" t="n">
        <f aca="false">(('Business Case'!C11*$C559*'Business Case'!C12*$B559)-'Business Case'!C11*$C559*'Business Case'!C13*$D559-'Business Case'!C14*$E559)-MAX(0,(('Business Case'!C11*$C559*'Business Case'!C12*$B559)-'Business Case'!C11*$C559*'Business Case'!C13*$D559-'Business Case'!C14*$E559))*'Business Case'!$B$7-'Business Case'!$B$8*(('Business Case'!C11*$C559*'Business Case'!C12*$B559)-('Business Case'!B11*$C559*'Business Case'!B12*$B559))-'Business Case'!C15*$F559</f>
        <v>-5566688.38903849</v>
      </c>
      <c r="J559" s="53" t="n">
        <f aca="false">(('Business Case'!D11*$C559*'Business Case'!D12*$B559)-'Business Case'!D11*$C559*'Business Case'!D13*$D559-'Business Case'!D14*$E559)-MAX(0,(('Business Case'!D11*$C559*'Business Case'!D12*$B559)-'Business Case'!D11*$C559*'Business Case'!D13*$D559-'Business Case'!D14*$E559))*'Business Case'!$B$7-'Business Case'!$B$8*(('Business Case'!D11*$C559*'Business Case'!D12*$B559)-('Business Case'!C11*$C559*'Business Case'!C12*$B559))-'Business Case'!D15*$F559</f>
        <v>287768516.94413</v>
      </c>
      <c r="K559" s="53" t="n">
        <f aca="false">(('Business Case'!E11*$C559*'Business Case'!E12*$B559)-'Business Case'!E11*$C559*'Business Case'!E13*$D559-'Business Case'!E14*$E559)-MAX(0,(('Business Case'!E11*$C559*'Business Case'!E12*$B559)-'Business Case'!E11*$C559*'Business Case'!E13*$D559-'Business Case'!E14*$E559))*'Business Case'!$B$7-'Business Case'!$B$8*(('Business Case'!E11*$C559*'Business Case'!E12*$B559)-('Business Case'!D11*$C559*'Business Case'!D12*$B559))-'Business Case'!E15*$F559</f>
        <v>635194270.59362</v>
      </c>
      <c r="L559" s="53" t="n">
        <f aca="false">(('Business Case'!F11*$C559*'Business Case'!F12*$B559)-'Business Case'!F11*$C559*'Business Case'!F13*$D559-'Business Case'!F14*$E559)-MAX(0,(('Business Case'!F11*$C559*'Business Case'!F12*$B559)-'Business Case'!F11*$C559*'Business Case'!F13*$D559-'Business Case'!F14*$E559))*'Business Case'!$B$7-'Business Case'!$B$8*(('Business Case'!F11*$C559*'Business Case'!F12*$B559)-('Business Case'!E11*$C559*'Business Case'!E12*$B559))-'Business Case'!F15*$F559</f>
        <v>765613410.932593</v>
      </c>
      <c r="M559" s="53" t="n">
        <f aca="false">(('Business Case'!G11*$C559*'Business Case'!G12*$B559)-'Business Case'!G11*$C559*'Business Case'!G13*$D559-'Business Case'!G14*$E559)-MAX(0,(('Business Case'!G11*$C559*'Business Case'!G12*$B559)-'Business Case'!G11*$C559*'Business Case'!G13*$D559-'Business Case'!G14*$E559))*'Business Case'!$B$7-'Business Case'!$B$8*(('Business Case'!G11*$C559*'Business Case'!G12*$B559)-('Business Case'!F11*$C559*'Business Case'!F12*$B559))-'Business Case'!G15*$F559+'Business Case'!$B$8*('Business Case'!G11*$C559*'Business Case'!G12*$B559)</f>
        <v>945137473.019466</v>
      </c>
      <c r="N559" s="53" t="n">
        <f aca="false">IF(COUNT('Business Case'!B11:G11)=0,"",H559+NPV(G559,I559:M559))</f>
        <v>-364421851.439082</v>
      </c>
      <c r="P559" s="54" t="n">
        <f aca="true">RAND()</f>
        <v>0.406408799923937</v>
      </c>
      <c r="Q559" s="54" t="n">
        <f aca="true">RAND()</f>
        <v>0.37179817649305</v>
      </c>
      <c r="R559" s="54" t="n">
        <f aca="true">RAND()</f>
        <v>0.103019470310038</v>
      </c>
      <c r="S559" s="54" t="n">
        <f aca="true">RAND()</f>
        <v>0.293326124010076</v>
      </c>
      <c r="T559" s="54" t="n">
        <f aca="true">RAND()</f>
        <v>0.720627046386268</v>
      </c>
      <c r="U559" s="54" t="n">
        <f aca="true">RAND()</f>
        <v>0.534719397973154</v>
      </c>
    </row>
    <row r="560" customFormat="false" ht="15" hidden="false" customHeight="false" outlineLevel="0" collapsed="false">
      <c r="A560" s="50" t="n">
        <v>480</v>
      </c>
      <c r="B560" s="51" t="n">
        <f aca="false">1+IF($G$6=$E$6,$F$6,IF(P560&lt;($F$6-$E$6)/($G$6-$E$6),$E$6+SQRT(P560*($G$6-$E$6)*($F$6-$E$6)),$G$6-SQRT((1-P560)*($G$6-$E$6)*($G$6-$F$6))))</f>
        <v>0.983951930977404</v>
      </c>
      <c r="C560" s="51" t="n">
        <f aca="false">1+IF($G$7=$E$7,$F$7,IF(Q560&lt;($F$7-$E$7)/($G$7-$E$7),$E$7+SQRT(Q560*($G$7-$E$7)*($F$7-$E$7)),$G$7-SQRT((1-Q560)*($G$7-$E$7)*($G$7-$F$7))))</f>
        <v>1.09227152107615</v>
      </c>
      <c r="D560" s="51" t="n">
        <f aca="false">1+IF($G$8=$E$8,$F$8,IF(R560&lt;($F$8-$E$8)/($G$8-$E$8),$E$8+SQRT(R560*($G$8-$E$8)*($F$8-$E$8)),$G$8-SQRT((1-R560)*($G$8-$E$8)*($G$8-$F$8))))</f>
        <v>1.00432550994394</v>
      </c>
      <c r="E560" s="51" t="n">
        <f aca="false">1+IF($G$9=$E$9,$F$9,IF(S560&lt;($F$9-$E$9)/($G$9-$E$9),$E$9+SQRT(S560*($G$9-$E$9)*($F$9-$E$9)),$G$9-SQRT((1-S560)*($G$9-$E$9)*($G$9-$F$9))))</f>
        <v>1.01361819116769</v>
      </c>
      <c r="F560" s="51" t="n">
        <f aca="false">1+IF($G$10=$E$10,$F$10,IF(T560&lt;($F$10-$E$10)/($G$10-$E$10),$E$10+SQRT(T560*($G$10-$E$10)*($F$10-$E$10)),$G$10-SQRT((1-T560)*($G$10-$E$10)*($G$10-$F$10))))</f>
        <v>1.01570149605674</v>
      </c>
      <c r="G560" s="52" t="n">
        <f aca="false">IF($G$11=$E$11,$F$11,IF(U560&lt;($F$11-$E$11)/($G$11-$E$11),$E$11+SQRT(U560*($G$11-$E$11)*($F$11-$E$11)),$G$11-SQRT((1-U560)*($G$11-$E$11)*($G$11-$F$11))))</f>
        <v>0.100267988418986</v>
      </c>
      <c r="H560" s="53" t="n">
        <f aca="false">(('Business Case'!B11*$C560*'Business Case'!B12*$B560)-'Business Case'!B11*$C560*'Business Case'!B13*$D560-'Business Case'!B14*$E560)-MAX(0,(('Business Case'!B11*$C560*'Business Case'!B12*$B560)-'Business Case'!B11*$C560*'Business Case'!B13*$D560-'Business Case'!B14*$E560))*'Business Case'!$B$7-'Business Case'!$B$8*('Business Case'!B11*$C560*'Business Case'!B12*$B560)-'Business Case'!B15*$F560</f>
        <v>-2031402992.11348</v>
      </c>
      <c r="I560" s="53" t="n">
        <f aca="false">(('Business Case'!C11*$C560*'Business Case'!C12*$B560)-'Business Case'!C11*$C560*'Business Case'!C13*$D560-'Business Case'!C14*$E560)-MAX(0,(('Business Case'!C11*$C560*'Business Case'!C12*$B560)-'Business Case'!C11*$C560*'Business Case'!C13*$D560-'Business Case'!C14*$E560))*'Business Case'!$B$7-'Business Case'!$B$8*(('Business Case'!C11*$C560*'Business Case'!C12*$B560)-('Business Case'!B11*$C560*'Business Case'!B12*$B560))-'Business Case'!C15*$F560</f>
        <v>17296043.2378237</v>
      </c>
      <c r="J560" s="53" t="n">
        <f aca="false">(('Business Case'!D11*$C560*'Business Case'!D12*$B560)-'Business Case'!D11*$C560*'Business Case'!D13*$D560-'Business Case'!D14*$E560)-MAX(0,(('Business Case'!D11*$C560*'Business Case'!D12*$B560)-'Business Case'!D11*$C560*'Business Case'!D13*$D560-'Business Case'!D14*$E560))*'Business Case'!$B$7-'Business Case'!$B$8*(('Business Case'!D11*$C560*'Business Case'!D12*$B560)-('Business Case'!C11*$C560*'Business Case'!C12*$B560))-'Business Case'!D15*$F560</f>
        <v>336013402.998151</v>
      </c>
      <c r="K560" s="53" t="n">
        <f aca="false">(('Business Case'!E11*$C560*'Business Case'!E12*$B560)-'Business Case'!E11*$C560*'Business Case'!E13*$D560-'Business Case'!E14*$E560)-MAX(0,(('Business Case'!E11*$C560*'Business Case'!E12*$B560)-'Business Case'!E11*$C560*'Business Case'!E13*$D560-'Business Case'!E14*$E560))*'Business Case'!$B$7-'Business Case'!$B$8*(('Business Case'!E11*$C560*'Business Case'!E12*$B560)-('Business Case'!D11*$C560*'Business Case'!D12*$B560))-'Business Case'!E15*$F560</f>
        <v>705515837.561316</v>
      </c>
      <c r="L560" s="53" t="n">
        <f aca="false">(('Business Case'!F11*$C560*'Business Case'!F12*$B560)-'Business Case'!F11*$C560*'Business Case'!F13*$D560-'Business Case'!F14*$E560)-MAX(0,(('Business Case'!F11*$C560*'Business Case'!F12*$B560)-'Business Case'!F11*$C560*'Business Case'!F13*$D560-'Business Case'!F14*$E560))*'Business Case'!$B$7-'Business Case'!$B$8*(('Business Case'!F11*$C560*'Business Case'!F12*$B560)-('Business Case'!E11*$C560*'Business Case'!E12*$B560))-'Business Case'!F15*$F560</f>
        <v>848898064.236614</v>
      </c>
      <c r="M560" s="53" t="n">
        <f aca="false">(('Business Case'!G11*$C560*'Business Case'!G12*$B560)-'Business Case'!G11*$C560*'Business Case'!G13*$D560-'Business Case'!G14*$E560)-MAX(0,(('Business Case'!G11*$C560*'Business Case'!G12*$B560)-'Business Case'!G11*$C560*'Business Case'!G13*$D560-'Business Case'!G14*$E560))*'Business Case'!$B$7-'Business Case'!$B$8*(('Business Case'!G11*$C560*'Business Case'!G12*$B560)-('Business Case'!F11*$C560*'Business Case'!F12*$B560))-'Business Case'!G15*$F560+'Business Case'!$B$8*('Business Case'!G11*$C560*'Business Case'!G12*$B560)</f>
        <v>1053185151.39015</v>
      </c>
      <c r="N560" s="53" t="n">
        <f aca="false">IF(COUNT('Business Case'!B11:G11)=0,"",H560+NPV(G560,I560:M560))</f>
        <v>23949118.0068705</v>
      </c>
      <c r="P560" s="54" t="n">
        <f aca="true">RAND()</f>
        <v>0.426025987056115</v>
      </c>
      <c r="Q560" s="54" t="n">
        <f aca="true">RAND()</f>
        <v>0.93652233754549</v>
      </c>
      <c r="R560" s="54" t="n">
        <f aca="true">RAND()</f>
        <v>0.449362649495738</v>
      </c>
      <c r="S560" s="54" t="n">
        <f aca="true">RAND()</f>
        <v>0.502545540190569</v>
      </c>
      <c r="T560" s="54" t="n">
        <f aca="true">RAND()</f>
        <v>0.320681228885517</v>
      </c>
      <c r="U560" s="54" t="n">
        <f aca="true">RAND()</f>
        <v>0.351079531611231</v>
      </c>
    </row>
    <row r="561" customFormat="false" ht="15" hidden="false" customHeight="false" outlineLevel="0" collapsed="false">
      <c r="A561" s="50" t="n">
        <v>481</v>
      </c>
      <c r="B561" s="51" t="n">
        <f aca="false">1+IF($G$6=$E$6,$F$6,IF(P561&lt;($F$6-$E$6)/($G$6-$E$6),$E$6+SQRT(P561*($G$6-$E$6)*($F$6-$E$6)),$G$6-SQRT((1-P561)*($G$6-$E$6)*($G$6-$F$6))))</f>
        <v>0.978473981957401</v>
      </c>
      <c r="C561" s="51" t="n">
        <f aca="false">1+IF($G$7=$E$7,$F$7,IF(Q561&lt;($F$7-$E$7)/($G$7-$E$7),$E$7+SQRT(Q561*($G$7-$E$7)*($F$7-$E$7)),$G$7-SQRT((1-Q561)*($G$7-$E$7)*($G$7-$F$7))))</f>
        <v>1.00628250668415</v>
      </c>
      <c r="D561" s="51" t="n">
        <f aca="false">1+IF($G$8=$E$8,$F$8,IF(R561&lt;($F$8-$E$8)/($G$8-$E$8),$E$8+SQRT(R561*($G$8-$E$8)*($F$8-$E$8)),$G$8-SQRT((1-R561)*($G$8-$E$8)*($G$8-$F$8))))</f>
        <v>0.994945937138278</v>
      </c>
      <c r="E561" s="51" t="n">
        <f aca="false">1+IF($G$9=$E$9,$F$9,IF(S561&lt;($F$9-$E$9)/($G$9-$E$9),$E$9+SQRT(S561*($G$9-$E$9)*($F$9-$E$9)),$G$9-SQRT((1-S561)*($G$9-$E$9)*($G$9-$F$9))))</f>
        <v>0.967686356780637</v>
      </c>
      <c r="F561" s="51" t="n">
        <f aca="false">1+IF($G$10=$E$10,$F$10,IF(T561&lt;($F$10-$E$10)/($G$10-$E$10),$E$10+SQRT(T561*($G$10-$E$10)*($F$10-$E$10)),$G$10-SQRT((1-T561)*($G$10-$E$10)*($G$10-$F$10))))</f>
        <v>1.14870259319235</v>
      </c>
      <c r="G561" s="52" t="n">
        <f aca="false">IF($G$11=$E$11,$F$11,IF(U561&lt;($F$11-$E$11)/($G$11-$E$11),$E$11+SQRT(U561*($G$11-$E$11)*($F$11-$E$11)),$G$11-SQRT((1-U561)*($G$11-$E$11)*($G$11-$F$11))))</f>
        <v>0.1017326999294</v>
      </c>
      <c r="H561" s="53" t="n">
        <f aca="false">(('Business Case'!B11*$C561*'Business Case'!B12*$B561)-'Business Case'!B11*$C561*'Business Case'!B13*$D561-'Business Case'!B14*$E561)-MAX(0,(('Business Case'!B11*$C561*'Business Case'!B12*$B561)-'Business Case'!B11*$C561*'Business Case'!B13*$D561-'Business Case'!B14*$E561))*'Business Case'!$B$7-'Business Case'!$B$8*('Business Case'!B11*$C561*'Business Case'!B12*$B561)-'Business Case'!B15*$F561</f>
        <v>-2297405186.38471</v>
      </c>
      <c r="I561" s="53" t="n">
        <f aca="false">(('Business Case'!C11*$C561*'Business Case'!C12*$B561)-'Business Case'!C11*$C561*'Business Case'!C13*$D561-'Business Case'!C14*$E561)-MAX(0,(('Business Case'!C11*$C561*'Business Case'!C12*$B561)-'Business Case'!C11*$C561*'Business Case'!C13*$D561-'Business Case'!C14*$E561))*'Business Case'!$B$7-'Business Case'!$B$8*(('Business Case'!C11*$C561*'Business Case'!C12*$B561)-('Business Case'!B11*$C561*'Business Case'!B12*$B561))-'Business Case'!C15*$F561</f>
        <v>-9574937.76793146</v>
      </c>
      <c r="J561" s="53" t="n">
        <f aca="false">(('Business Case'!D11*$C561*'Business Case'!D12*$B561)-'Business Case'!D11*$C561*'Business Case'!D13*$D561-'Business Case'!D14*$E561)-MAX(0,(('Business Case'!D11*$C561*'Business Case'!D12*$B561)-'Business Case'!D11*$C561*'Business Case'!D13*$D561-'Business Case'!D14*$E561))*'Business Case'!$B$7-'Business Case'!$B$8*(('Business Case'!D11*$C561*'Business Case'!D12*$B561)-('Business Case'!C11*$C561*'Business Case'!C12*$B561))-'Business Case'!D15*$F561</f>
        <v>284368149.384417</v>
      </c>
      <c r="K561" s="53" t="n">
        <f aca="false">(('Business Case'!E11*$C561*'Business Case'!E12*$B561)-'Business Case'!E11*$C561*'Business Case'!E13*$D561-'Business Case'!E14*$E561)-MAX(0,(('Business Case'!E11*$C561*'Business Case'!E12*$B561)-'Business Case'!E11*$C561*'Business Case'!E13*$D561-'Business Case'!E14*$E561))*'Business Case'!$B$7-'Business Case'!$B$8*(('Business Case'!E11*$C561*'Business Case'!E12*$B561)-('Business Case'!D11*$C561*'Business Case'!D12*$B561))-'Business Case'!E15*$F561</f>
        <v>635746366.196383</v>
      </c>
      <c r="L561" s="53" t="n">
        <f aca="false">(('Business Case'!F11*$C561*'Business Case'!F12*$B561)-'Business Case'!F11*$C561*'Business Case'!F13*$D561-'Business Case'!F14*$E561)-MAX(0,(('Business Case'!F11*$C561*'Business Case'!F12*$B561)-'Business Case'!F11*$C561*'Business Case'!F13*$D561-'Business Case'!F14*$E561))*'Business Case'!$B$7-'Business Case'!$B$8*(('Business Case'!F11*$C561*'Business Case'!F12*$B561)-('Business Case'!E11*$C561*'Business Case'!E12*$B561))-'Business Case'!F15*$F561</f>
        <v>767755905.691724</v>
      </c>
      <c r="M561" s="53" t="n">
        <f aca="false">(('Business Case'!G11*$C561*'Business Case'!G12*$B561)-'Business Case'!G11*$C561*'Business Case'!G13*$D561-'Business Case'!G14*$E561)-MAX(0,(('Business Case'!G11*$C561*'Business Case'!G12*$B561)-'Business Case'!G11*$C561*'Business Case'!G13*$D561-'Business Case'!G14*$E561))*'Business Case'!$B$7-'Business Case'!$B$8*(('Business Case'!G11*$C561*'Business Case'!G12*$B561)-('Business Case'!F11*$C561*'Business Case'!F12*$B561))-'Business Case'!G15*$F561+'Business Case'!$B$8*('Business Case'!G11*$C561*'Business Case'!G12*$B561)</f>
        <v>954912713.136796</v>
      </c>
      <c r="N561" s="53" t="n">
        <f aca="false">IF(COUNT('Business Case'!B11:G11)=0,"",H561+NPV(G561,I561:M561))</f>
        <v>-487049628.149906</v>
      </c>
      <c r="P561" s="54" t="n">
        <f aca="true">RAND()</f>
        <v>0.356167350620252</v>
      </c>
      <c r="Q561" s="54" t="n">
        <f aca="true">RAND()</f>
        <v>0.606576802190612</v>
      </c>
      <c r="R561" s="54" t="n">
        <f aca="true">RAND()</f>
        <v>0.310790348498157</v>
      </c>
      <c r="S561" s="54" t="n">
        <f aca="true">RAND()</f>
        <v>0.0417076288229328</v>
      </c>
      <c r="T561" s="54" t="n">
        <f aca="true">RAND()</f>
        <v>0.947371521096215</v>
      </c>
      <c r="U561" s="54" t="n">
        <f aca="true">RAND()</f>
        <v>0.443842913551099</v>
      </c>
    </row>
    <row r="562" customFormat="false" ht="15" hidden="false" customHeight="false" outlineLevel="0" collapsed="false">
      <c r="A562" s="50" t="n">
        <v>482</v>
      </c>
      <c r="B562" s="51" t="n">
        <f aca="false">1+IF($G$6=$E$6,$F$6,IF(P562&lt;($F$6-$E$6)/($G$6-$E$6),$E$6+SQRT(P562*($G$6-$E$6)*($F$6-$E$6)),$G$6-SQRT((1-P562)*($G$6-$E$6)*($G$6-$F$6))))</f>
        <v>0.995794950509958</v>
      </c>
      <c r="C562" s="51" t="n">
        <f aca="false">1+IF($G$7=$E$7,$F$7,IF(Q562&lt;($F$7-$E$7)/($G$7-$E$7),$E$7+SQRT(Q562*($G$7-$E$7)*($F$7-$E$7)),$G$7-SQRT((1-Q562)*($G$7-$E$7)*($G$7-$F$7))))</f>
        <v>0.913817976977236</v>
      </c>
      <c r="D562" s="51" t="n">
        <f aca="false">1+IF($G$8=$E$8,$F$8,IF(R562&lt;($F$8-$E$8)/($G$8-$E$8),$E$8+SQRT(R562*($G$8-$E$8)*($F$8-$E$8)),$G$8-SQRT((1-R562)*($G$8-$E$8)*($G$8-$F$8))))</f>
        <v>0.971202899984592</v>
      </c>
      <c r="E562" s="51" t="n">
        <f aca="false">1+IF($G$9=$E$9,$F$9,IF(S562&lt;($F$9-$E$9)/($G$9-$E$9),$E$9+SQRT(S562*($G$9-$E$9)*($F$9-$E$9)),$G$9-SQRT((1-S562)*($G$9-$E$9)*($G$9-$F$9))))</f>
        <v>1.0010289372921</v>
      </c>
      <c r="F562" s="51" t="n">
        <f aca="false">1+IF($G$10=$E$10,$F$10,IF(T562&lt;($F$10-$E$10)/($G$10-$E$10),$E$10+SQRT(T562*($G$10-$E$10)*($F$10-$E$10)),$G$10-SQRT((1-T562)*($G$10-$E$10)*($G$10-$F$10))))</f>
        <v>0.972308378010587</v>
      </c>
      <c r="G562" s="52" t="n">
        <f aca="false">IF($G$11=$E$11,$F$11,IF(U562&lt;($F$11-$E$11)/($G$11-$E$11),$E$11+SQRT(U562*($G$11-$E$11)*($F$11-$E$11)),$G$11-SQRT((1-U562)*($G$11-$E$11)*($G$11-$F$11))))</f>
        <v>0.116623096213015</v>
      </c>
      <c r="H562" s="53" t="n">
        <f aca="false">(('Business Case'!B11*$C562*'Business Case'!B12*$B562)-'Business Case'!B11*$C562*'Business Case'!B13*$D562-'Business Case'!B14*$E562)-MAX(0,(('Business Case'!B11*$C562*'Business Case'!B12*$B562)-'Business Case'!B11*$C562*'Business Case'!B13*$D562-'Business Case'!B14*$E562))*'Business Case'!$B$7-'Business Case'!$B$8*('Business Case'!B11*$C562*'Business Case'!B12*$B562)-'Business Case'!B15*$F562</f>
        <v>-1944616756.02118</v>
      </c>
      <c r="I562" s="53" t="n">
        <f aca="false">(('Business Case'!C11*$C562*'Business Case'!C12*$B562)-'Business Case'!C11*$C562*'Business Case'!C13*$D562-'Business Case'!C14*$E562)-MAX(0,(('Business Case'!C11*$C562*'Business Case'!C12*$B562)-'Business Case'!C11*$C562*'Business Case'!C13*$D562-'Business Case'!C14*$E562))*'Business Case'!$B$7-'Business Case'!$B$8*(('Business Case'!C11*$C562*'Business Case'!C12*$B562)-('Business Case'!B11*$C562*'Business Case'!B12*$B562))-'Business Case'!C15*$F562</f>
        <v>4254671.05577062</v>
      </c>
      <c r="J562" s="53" t="n">
        <f aca="false">(('Business Case'!D11*$C562*'Business Case'!D12*$B562)-'Business Case'!D11*$C562*'Business Case'!D13*$D562-'Business Case'!D14*$E562)-MAX(0,(('Business Case'!D11*$C562*'Business Case'!D12*$B562)-'Business Case'!D11*$C562*'Business Case'!D13*$D562-'Business Case'!D14*$E562))*'Business Case'!$B$7-'Business Case'!$B$8*(('Business Case'!D11*$C562*'Business Case'!D12*$B562)-('Business Case'!C11*$C562*'Business Case'!C12*$B562))-'Business Case'!D15*$F562</f>
        <v>295259615.755467</v>
      </c>
      <c r="K562" s="53" t="n">
        <f aca="false">(('Business Case'!E11*$C562*'Business Case'!E12*$B562)-'Business Case'!E11*$C562*'Business Case'!E13*$D562-'Business Case'!E14*$E562)-MAX(0,(('Business Case'!E11*$C562*'Business Case'!E12*$B562)-'Business Case'!E11*$C562*'Business Case'!E13*$D562-'Business Case'!E14*$E562))*'Business Case'!$B$7-'Business Case'!$B$8*(('Business Case'!E11*$C562*'Business Case'!E12*$B562)-('Business Case'!D11*$C562*'Business Case'!D12*$B562))-'Business Case'!E15*$F562</f>
        <v>634879979.355692</v>
      </c>
      <c r="L562" s="53" t="n">
        <f aca="false">(('Business Case'!F11*$C562*'Business Case'!F12*$B562)-'Business Case'!F11*$C562*'Business Case'!F13*$D562-'Business Case'!F14*$E562)-MAX(0,(('Business Case'!F11*$C562*'Business Case'!F12*$B562)-'Business Case'!F11*$C562*'Business Case'!F13*$D562-'Business Case'!F14*$E562))*'Business Case'!$B$7-'Business Case'!$B$8*(('Business Case'!F11*$C562*'Business Case'!F12*$B562)-('Business Case'!E11*$C562*'Business Case'!E12*$B562))-'Business Case'!F15*$F562</f>
        <v>763330374.895545</v>
      </c>
      <c r="M562" s="53" t="n">
        <f aca="false">(('Business Case'!G11*$C562*'Business Case'!G12*$B562)-'Business Case'!G11*$C562*'Business Case'!G13*$D562-'Business Case'!G14*$E562)-MAX(0,(('Business Case'!G11*$C562*'Business Case'!G12*$B562)-'Business Case'!G11*$C562*'Business Case'!G13*$D562-'Business Case'!G14*$E562))*'Business Case'!$B$7-'Business Case'!$B$8*(('Business Case'!G11*$C562*'Business Case'!G12*$B562)-('Business Case'!F11*$C562*'Business Case'!F12*$B562))-'Business Case'!G15*$F562+'Business Case'!$B$8*('Business Case'!G11*$C562*'Business Case'!G12*$B562)</f>
        <v>936298485.081957</v>
      </c>
      <c r="N562" s="53" t="n">
        <f aca="false">IF(COUNT('Business Case'!B11:G11)=0,"",H562+NPV(G562,I562:M562))</f>
        <v>-217625752.342657</v>
      </c>
      <c r="P562" s="54" t="n">
        <f aca="true">RAND()</f>
        <v>0.598424429459057</v>
      </c>
      <c r="Q562" s="54" t="n">
        <f aca="true">RAND()</f>
        <v>0.185064741188438</v>
      </c>
      <c r="R562" s="54" t="n">
        <f aca="true">RAND()</f>
        <v>0.0691635335010171</v>
      </c>
      <c r="S562" s="54" t="n">
        <f aca="true">RAND()</f>
        <v>0.346981916431207</v>
      </c>
      <c r="T562" s="54" t="n">
        <f aca="true">RAND()</f>
        <v>0.0398130983570611</v>
      </c>
      <c r="U562" s="54" t="n">
        <f aca="true">RAND()</f>
        <v>0.980994201355748</v>
      </c>
    </row>
    <row r="563" customFormat="false" ht="15" hidden="false" customHeight="false" outlineLevel="0" collapsed="false">
      <c r="A563" s="50" t="n">
        <v>483</v>
      </c>
      <c r="B563" s="51" t="n">
        <f aca="false">1+IF($G$6=$E$6,$F$6,IF(P563&lt;($F$6-$E$6)/($G$6-$E$6),$E$6+SQRT(P563*($G$6-$E$6)*($F$6-$E$6)),$G$6-SQRT((1-P563)*($G$6-$E$6)*($G$6-$F$6))))</f>
        <v>0.981626040801401</v>
      </c>
      <c r="C563" s="51" t="n">
        <f aca="false">1+IF($G$7=$E$7,$F$7,IF(Q563&lt;($F$7-$E$7)/($G$7-$E$7),$E$7+SQRT(Q563*($G$7-$E$7)*($F$7-$E$7)),$G$7-SQRT((1-Q563)*($G$7-$E$7)*($G$7-$F$7))))</f>
        <v>1.00758897876175</v>
      </c>
      <c r="D563" s="51" t="n">
        <f aca="false">1+IF($G$8=$E$8,$F$8,IF(R563&lt;($F$8-$E$8)/($G$8-$E$8),$E$8+SQRT(R563*($G$8-$E$8)*($F$8-$E$8)),$G$8-SQRT((1-R563)*($G$8-$E$8)*($G$8-$F$8))))</f>
        <v>1.0362391217482</v>
      </c>
      <c r="E563" s="51" t="n">
        <f aca="false">1+IF($G$9=$E$9,$F$9,IF(S563&lt;($F$9-$E$9)/($G$9-$E$9),$E$9+SQRT(S563*($G$9-$E$9)*($F$9-$E$9)),$G$9-SQRT((1-S563)*($G$9-$E$9)*($G$9-$F$9))))</f>
        <v>1.04682339303464</v>
      </c>
      <c r="F563" s="51" t="n">
        <f aca="false">1+IF($G$10=$E$10,$F$10,IF(T563&lt;($F$10-$E$10)/($G$10-$E$10),$E$10+SQRT(T563*($G$10-$E$10)*($F$10-$E$10)),$G$10-SQRT((1-T563)*($G$10-$E$10)*($G$10-$F$10))))</f>
        <v>1.02437078018337</v>
      </c>
      <c r="G563" s="52" t="n">
        <f aca="false">IF($G$11=$E$11,$F$11,IF(U563&lt;($F$11-$E$11)/($G$11-$E$11),$E$11+SQRT(U563*($G$11-$E$11)*($F$11-$E$11)),$G$11-SQRT((1-U563)*($G$11-$E$11)*($G$11-$F$11))))</f>
        <v>0.0927098644984655</v>
      </c>
      <c r="H563" s="53" t="n">
        <f aca="false">(('Business Case'!B11*$C563*'Business Case'!B12*$B563)-'Business Case'!B11*$C563*'Business Case'!B13*$D563-'Business Case'!B14*$E563)-MAX(0,(('Business Case'!B11*$C563*'Business Case'!B12*$B563)-'Business Case'!B11*$C563*'Business Case'!B13*$D563-'Business Case'!B14*$E563))*'Business Case'!$B$7-'Business Case'!$B$8*('Business Case'!B11*$C563*'Business Case'!B12*$B563)-'Business Case'!B15*$F563</f>
        <v>-2048741560.36673</v>
      </c>
      <c r="I563" s="53" t="n">
        <f aca="false">(('Business Case'!C11*$C563*'Business Case'!C12*$B563)-'Business Case'!C11*$C563*'Business Case'!C13*$D563-'Business Case'!C14*$E563)-MAX(0,(('Business Case'!C11*$C563*'Business Case'!C12*$B563)-'Business Case'!C11*$C563*'Business Case'!C13*$D563-'Business Case'!C14*$E563))*'Business Case'!$B$7-'Business Case'!$B$8*(('Business Case'!C11*$C563*'Business Case'!C12*$B563)-('Business Case'!B11*$C563*'Business Case'!B12*$B563))-'Business Case'!C15*$F563</f>
        <v>-26942197.5202988</v>
      </c>
      <c r="J563" s="53" t="n">
        <f aca="false">(('Business Case'!D11*$C563*'Business Case'!D12*$B563)-'Business Case'!D11*$C563*'Business Case'!D13*$D563-'Business Case'!D14*$E563)-MAX(0,(('Business Case'!D11*$C563*'Business Case'!D12*$B563)-'Business Case'!D11*$C563*'Business Case'!D13*$D563-'Business Case'!D14*$E563))*'Business Case'!$B$7-'Business Case'!$B$8*(('Business Case'!D11*$C563*'Business Case'!D12*$B563)-('Business Case'!C11*$C563*'Business Case'!C12*$B563))-'Business Case'!D15*$F563</f>
        <v>248684647.533273</v>
      </c>
      <c r="K563" s="53" t="n">
        <f aca="false">(('Business Case'!E11*$C563*'Business Case'!E12*$B563)-'Business Case'!E11*$C563*'Business Case'!E13*$D563-'Business Case'!E14*$E563)-MAX(0,(('Business Case'!E11*$C563*'Business Case'!E12*$B563)-'Business Case'!E11*$C563*'Business Case'!E13*$D563-'Business Case'!E14*$E563))*'Business Case'!$B$7-'Business Case'!$B$8*(('Business Case'!E11*$C563*'Business Case'!E12*$B563)-('Business Case'!D11*$C563*'Business Case'!D12*$B563))-'Business Case'!E15*$F563</f>
        <v>575530031.596014</v>
      </c>
      <c r="L563" s="53" t="n">
        <f aca="false">(('Business Case'!F11*$C563*'Business Case'!F12*$B563)-'Business Case'!F11*$C563*'Business Case'!F13*$D563-'Business Case'!F14*$E563)-MAX(0,(('Business Case'!F11*$C563*'Business Case'!F12*$B563)-'Business Case'!F11*$C563*'Business Case'!F13*$D563-'Business Case'!F14*$E563))*'Business Case'!$B$7-'Business Case'!$B$8*(('Business Case'!F11*$C563*'Business Case'!F12*$B563)-('Business Case'!E11*$C563*'Business Case'!E12*$B563))-'Business Case'!F15*$F563</f>
        <v>701588098.657878</v>
      </c>
      <c r="M563" s="53" t="n">
        <f aca="false">(('Business Case'!G11*$C563*'Business Case'!G12*$B563)-'Business Case'!G11*$C563*'Business Case'!G13*$D563-'Business Case'!G14*$E563)-MAX(0,(('Business Case'!G11*$C563*'Business Case'!G12*$B563)-'Business Case'!G11*$C563*'Business Case'!G13*$D563-'Business Case'!G14*$E563))*'Business Case'!$B$7-'Business Case'!$B$8*(('Business Case'!G11*$C563*'Business Case'!G12*$B563)-('Business Case'!F11*$C563*'Business Case'!F12*$B563))-'Business Case'!G15*$F563+'Business Case'!$B$8*('Business Case'!G11*$C563*'Business Case'!G12*$B563)</f>
        <v>889591584.899911</v>
      </c>
      <c r="N563" s="53" t="n">
        <f aca="false">IF(COUNT('Business Case'!B11:G11)=0,"",H563+NPV(G563,I563:M563))</f>
        <v>-360854864.221946</v>
      </c>
      <c r="P563" s="54" t="n">
        <f aca="true">RAND()</f>
        <v>0.395600927589158</v>
      </c>
      <c r="Q563" s="54" t="n">
        <f aca="true">RAND()</f>
        <v>0.613697162473898</v>
      </c>
      <c r="R563" s="54" t="n">
        <f aca="true">RAND()</f>
        <v>0.815863993714536</v>
      </c>
      <c r="S563" s="54" t="n">
        <f aca="true">RAND()</f>
        <v>0.811483231443416</v>
      </c>
      <c r="T563" s="54" t="n">
        <f aca="true">RAND()</f>
        <v>0.383087542932018</v>
      </c>
      <c r="U563" s="54" t="n">
        <f aca="true">RAND()</f>
        <v>0.0244778853334788</v>
      </c>
    </row>
    <row r="564" customFormat="false" ht="15" hidden="false" customHeight="false" outlineLevel="0" collapsed="false">
      <c r="A564" s="50" t="n">
        <v>484</v>
      </c>
      <c r="B564" s="51" t="n">
        <f aca="false">1+IF($G$6=$E$6,$F$6,IF(P564&lt;($F$6-$E$6)/($G$6-$E$6),$E$6+SQRT(P564*($G$6-$E$6)*($F$6-$E$6)),$G$6-SQRT((1-P564)*($G$6-$E$6)*($G$6-$F$6))))</f>
        <v>1.01499659981751</v>
      </c>
      <c r="C564" s="51" t="n">
        <f aca="false">1+IF($G$7=$E$7,$F$7,IF(Q564&lt;($F$7-$E$7)/($G$7-$E$7),$E$7+SQRT(Q564*($G$7-$E$7)*($F$7-$E$7)),$G$7-SQRT((1-Q564)*($G$7-$E$7)*($G$7-$F$7))))</f>
        <v>0.938881307403023</v>
      </c>
      <c r="D564" s="51" t="n">
        <f aca="false">1+IF($G$8=$E$8,$F$8,IF(R564&lt;($F$8-$E$8)/($G$8-$E$8),$E$8+SQRT(R564*($G$8-$E$8)*($F$8-$E$8)),$G$8-SQRT((1-R564)*($G$8-$E$8)*($G$8-$F$8))))</f>
        <v>1.01868835063579</v>
      </c>
      <c r="E564" s="51" t="n">
        <f aca="false">1+IF($G$9=$E$9,$F$9,IF(S564&lt;($F$9-$E$9)/($G$9-$E$9),$E$9+SQRT(S564*($G$9-$E$9)*($F$9-$E$9)),$G$9-SQRT((1-S564)*($G$9-$E$9)*($G$9-$F$9))))</f>
        <v>1.0327522507173</v>
      </c>
      <c r="F564" s="51" t="n">
        <f aca="false">1+IF($G$10=$E$10,$F$10,IF(T564&lt;($F$10-$E$10)/($G$10-$E$10),$E$10+SQRT(T564*($G$10-$E$10)*($F$10-$E$10)),$G$10-SQRT((1-T564)*($G$10-$E$10)*($G$10-$F$10))))</f>
        <v>1.09011780482554</v>
      </c>
      <c r="G564" s="52" t="n">
        <f aca="false">IF($G$11=$E$11,$F$11,IF(U564&lt;($F$11-$E$11)/($G$11-$E$11),$E$11+SQRT(U564*($G$11-$E$11)*($F$11-$E$11)),$G$11-SQRT((1-U564)*($G$11-$E$11)*($G$11-$F$11))))</f>
        <v>0.0979684524275989</v>
      </c>
      <c r="H564" s="53" t="n">
        <f aca="false">(('Business Case'!B11*$C564*'Business Case'!B12*$B564)-'Business Case'!B11*$C564*'Business Case'!B13*$D564-'Business Case'!B14*$E564)-MAX(0,(('Business Case'!B11*$C564*'Business Case'!B12*$B564)-'Business Case'!B11*$C564*'Business Case'!B13*$D564-'Business Case'!B14*$E564))*'Business Case'!$B$7-'Business Case'!$B$8*('Business Case'!B11*$C564*'Business Case'!B12*$B564)-'Business Case'!B15*$F564</f>
        <v>-2180235609.65108</v>
      </c>
      <c r="I564" s="53" t="n">
        <f aca="false">(('Business Case'!C11*$C564*'Business Case'!C12*$B564)-'Business Case'!C11*$C564*'Business Case'!C13*$D564-'Business Case'!C14*$E564)-MAX(0,(('Business Case'!C11*$C564*'Business Case'!C12*$B564)-'Business Case'!C11*$C564*'Business Case'!C13*$D564-'Business Case'!C14*$E564))*'Business Case'!$B$7-'Business Case'!$B$8*(('Business Case'!C11*$C564*'Business Case'!C12*$B564)-('Business Case'!B11*$C564*'Business Case'!B12*$B564))-'Business Case'!C15*$F564</f>
        <v>-14341060.2815258</v>
      </c>
      <c r="J564" s="53" t="n">
        <f aca="false">(('Business Case'!D11*$C564*'Business Case'!D12*$B564)-'Business Case'!D11*$C564*'Business Case'!D13*$D564-'Business Case'!D14*$E564)-MAX(0,(('Business Case'!D11*$C564*'Business Case'!D12*$B564)-'Business Case'!D11*$C564*'Business Case'!D13*$D564-'Business Case'!D14*$E564))*'Business Case'!$B$7-'Business Case'!$B$8*(('Business Case'!D11*$C564*'Business Case'!D12*$B564)-('Business Case'!C11*$C564*'Business Case'!C12*$B564))-'Business Case'!D15*$F564</f>
        <v>276588545.559566</v>
      </c>
      <c r="K564" s="53" t="n">
        <f aca="false">(('Business Case'!E11*$C564*'Business Case'!E12*$B564)-'Business Case'!E11*$C564*'Business Case'!E13*$D564-'Business Case'!E14*$E564)-MAX(0,(('Business Case'!E11*$C564*'Business Case'!E12*$B564)-'Business Case'!E11*$C564*'Business Case'!E13*$D564-'Business Case'!E14*$E564))*'Business Case'!$B$7-'Business Case'!$B$8*(('Business Case'!E11*$C564*'Business Case'!E12*$B564)-('Business Case'!D11*$C564*'Business Case'!D12*$B564))-'Business Case'!E15*$F564</f>
        <v>622024041.641936</v>
      </c>
      <c r="L564" s="53" t="n">
        <f aca="false">(('Business Case'!F11*$C564*'Business Case'!F12*$B564)-'Business Case'!F11*$C564*'Business Case'!F13*$D564-'Business Case'!F14*$E564)-MAX(0,(('Business Case'!F11*$C564*'Business Case'!F12*$B564)-'Business Case'!F11*$C564*'Business Case'!F13*$D564-'Business Case'!F14*$E564))*'Business Case'!$B$7-'Business Case'!$B$8*(('Business Case'!F11*$C564*'Business Case'!F12*$B564)-('Business Case'!E11*$C564*'Business Case'!E12*$B564))-'Business Case'!F15*$F564</f>
        <v>751934920.647676</v>
      </c>
      <c r="M564" s="53" t="n">
        <f aca="false">(('Business Case'!G11*$C564*'Business Case'!G12*$B564)-'Business Case'!G11*$C564*'Business Case'!G13*$D564-'Business Case'!G14*$E564)-MAX(0,(('Business Case'!G11*$C564*'Business Case'!G12*$B564)-'Business Case'!G11*$C564*'Business Case'!G13*$D564-'Business Case'!G14*$E564))*'Business Case'!$B$7-'Business Case'!$B$8*(('Business Case'!G11*$C564*'Business Case'!G12*$B564)-('Business Case'!F11*$C564*'Business Case'!F12*$B564))-'Business Case'!G15*$F564+'Business Case'!$B$8*('Business Case'!G11*$C564*'Business Case'!G12*$B564)</f>
        <v>933073811.137243</v>
      </c>
      <c r="N564" s="53" t="n">
        <f aca="false">IF(COUNT('Business Case'!B11:G11)=0,"",H564+NPV(G564,I564:M564))</f>
        <v>-391791490.062239</v>
      </c>
      <c r="P564" s="54" t="n">
        <f aca="true">RAND()</f>
        <v>0.86975624569051</v>
      </c>
      <c r="Q564" s="54" t="n">
        <f aca="true">RAND()</f>
        <v>0.275543107799614</v>
      </c>
      <c r="R564" s="54" t="n">
        <f aca="true">RAND()</f>
        <v>0.63854631271537</v>
      </c>
      <c r="S564" s="54" t="n">
        <f aca="true">RAND()</f>
        <v>0.698516014427418</v>
      </c>
      <c r="T564" s="54" t="n">
        <f aca="true">RAND()</f>
        <v>0.758518063672844</v>
      </c>
      <c r="U564" s="54" t="n">
        <f aca="true">RAND()</f>
        <v>0.211654113636356</v>
      </c>
    </row>
    <row r="565" customFormat="false" ht="15" hidden="false" customHeight="false" outlineLevel="0" collapsed="false">
      <c r="A565" s="50" t="n">
        <v>485</v>
      </c>
      <c r="B565" s="51" t="n">
        <f aca="false">1+IF($G$6=$E$6,$F$6,IF(P565&lt;($F$6-$E$6)/($G$6-$E$6),$E$6+SQRT(P565*($G$6-$E$6)*($F$6-$E$6)),$G$6-SQRT((1-P565)*($G$6-$E$6)*($G$6-$F$6))))</f>
        <v>1.0054055844489</v>
      </c>
      <c r="C565" s="51" t="n">
        <f aca="false">1+IF($G$7=$E$7,$F$7,IF(Q565&lt;($F$7-$E$7)/($G$7-$E$7),$E$7+SQRT(Q565*($G$7-$E$7)*($F$7-$E$7)),$G$7-SQRT((1-Q565)*($G$7-$E$7)*($G$7-$F$7))))</f>
        <v>0.987236626609076</v>
      </c>
      <c r="D565" s="51" t="n">
        <f aca="false">1+IF($G$8=$E$8,$F$8,IF(R565&lt;($F$8-$E$8)/($G$8-$E$8),$E$8+SQRT(R565*($G$8-$E$8)*($F$8-$E$8)),$G$8-SQRT((1-R565)*($G$8-$E$8)*($G$8-$F$8))))</f>
        <v>0.98621294135624</v>
      </c>
      <c r="E565" s="51" t="n">
        <f aca="false">1+IF($G$9=$E$9,$F$9,IF(S565&lt;($F$9-$E$9)/($G$9-$E$9),$E$9+SQRT(S565*($G$9-$E$9)*($F$9-$E$9)),$G$9-SQRT((1-S565)*($G$9-$E$9)*($G$9-$F$9))))</f>
        <v>1.05949603376042</v>
      </c>
      <c r="F565" s="51" t="n">
        <f aca="false">1+IF($G$10=$E$10,$F$10,IF(T565&lt;($F$10-$E$10)/($G$10-$E$10),$E$10+SQRT(T565*($G$10-$E$10)*($F$10-$E$10)),$G$10-SQRT((1-T565)*($G$10-$E$10)*($G$10-$F$10))))</f>
        <v>1.19023808703193</v>
      </c>
      <c r="G565" s="52" t="n">
        <f aca="false">IF($G$11=$E$11,$F$11,IF(U565&lt;($F$11-$E$11)/($G$11-$E$11),$E$11+SQRT(U565*($G$11-$E$11)*($F$11-$E$11)),$G$11-SQRT((1-U565)*($G$11-$E$11)*($G$11-$F$11))))</f>
        <v>0.105599631925076</v>
      </c>
      <c r="H565" s="53" t="n">
        <f aca="false">(('Business Case'!B11*$C565*'Business Case'!B12*$B565)-'Business Case'!B11*$C565*'Business Case'!B13*$D565-'Business Case'!B14*$E565)-MAX(0,(('Business Case'!B11*$C565*'Business Case'!B12*$B565)-'Business Case'!B11*$C565*'Business Case'!B13*$D565-'Business Case'!B14*$E565))*'Business Case'!$B$7-'Business Case'!$B$8*('Business Case'!B11*$C565*'Business Case'!B12*$B565)-'Business Case'!B15*$F565</f>
        <v>-2380476174.06387</v>
      </c>
      <c r="I565" s="53" t="n">
        <f aca="false">(('Business Case'!C11*$C565*'Business Case'!C12*$B565)-'Business Case'!C11*$C565*'Business Case'!C13*$D565-'Business Case'!C14*$E565)-MAX(0,(('Business Case'!C11*$C565*'Business Case'!C12*$B565)-'Business Case'!C11*$C565*'Business Case'!C13*$D565-'Business Case'!C14*$E565))*'Business Case'!$B$7-'Business Case'!$B$8*(('Business Case'!C11*$C565*'Business Case'!C12*$B565)-('Business Case'!B11*$C565*'Business Case'!B12*$B565))-'Business Case'!C15*$F565</f>
        <v>-6568594.92139514</v>
      </c>
      <c r="J565" s="53" t="n">
        <f aca="false">(('Business Case'!D11*$C565*'Business Case'!D12*$B565)-'Business Case'!D11*$C565*'Business Case'!D13*$D565-'Business Case'!D14*$E565)-MAX(0,(('Business Case'!D11*$C565*'Business Case'!D12*$B565)-'Business Case'!D11*$C565*'Business Case'!D13*$D565-'Business Case'!D14*$E565))*'Business Case'!$B$7-'Business Case'!$B$8*(('Business Case'!D11*$C565*'Business Case'!D12*$B565)-('Business Case'!C11*$C565*'Business Case'!C12*$B565))-'Business Case'!D15*$F565</f>
        <v>308001950.459717</v>
      </c>
      <c r="K565" s="53" t="n">
        <f aca="false">(('Business Case'!E11*$C565*'Business Case'!E12*$B565)-'Business Case'!E11*$C565*'Business Case'!E13*$D565-'Business Case'!E14*$E565)-MAX(0,(('Business Case'!E11*$C565*'Business Case'!E12*$B565)-'Business Case'!E11*$C565*'Business Case'!E13*$D565-'Business Case'!E14*$E565))*'Business Case'!$B$7-'Business Case'!$B$8*(('Business Case'!E11*$C565*'Business Case'!E12*$B565)-('Business Case'!D11*$C565*'Business Case'!D12*$B565))-'Business Case'!E15*$F565</f>
        <v>682084400.192426</v>
      </c>
      <c r="L565" s="53" t="n">
        <f aca="false">(('Business Case'!F11*$C565*'Business Case'!F12*$B565)-'Business Case'!F11*$C565*'Business Case'!F13*$D565-'Business Case'!F14*$E565)-MAX(0,(('Business Case'!F11*$C565*'Business Case'!F12*$B565)-'Business Case'!F11*$C565*'Business Case'!F13*$D565-'Business Case'!F14*$E565))*'Business Case'!$B$7-'Business Case'!$B$8*(('Business Case'!F11*$C565*'Business Case'!F12*$B565)-('Business Case'!E11*$C565*'Business Case'!E12*$B565))-'Business Case'!F15*$F565</f>
        <v>821244579.051852</v>
      </c>
      <c r="M565" s="53" t="n">
        <f aca="false">(('Business Case'!G11*$C565*'Business Case'!G12*$B565)-'Business Case'!G11*$C565*'Business Case'!G13*$D565-'Business Case'!G14*$E565)-MAX(0,(('Business Case'!G11*$C565*'Business Case'!G12*$B565)-'Business Case'!G11*$C565*'Business Case'!G13*$D565-'Business Case'!G14*$E565))*'Business Case'!$B$7-'Business Case'!$B$8*(('Business Case'!G11*$C565*'Business Case'!G12*$B565)-('Business Case'!F11*$C565*'Business Case'!F12*$B565))-'Business Case'!G15*$F565+'Business Case'!$B$8*('Business Case'!G11*$C565*'Business Case'!G12*$B565)</f>
        <v>1009912896.24666</v>
      </c>
      <c r="N565" s="53" t="n">
        <f aca="false">IF(COUNT('Business Case'!B11:G11)=0,"",H565+NPV(G565,I565:M565))</f>
        <v>-468729490.55146</v>
      </c>
      <c r="P565" s="54" t="n">
        <f aca="true">RAND()</f>
        <v>0.750672169307889</v>
      </c>
      <c r="Q565" s="54" t="n">
        <f aca="true">RAND()</f>
        <v>0.500822204913523</v>
      </c>
      <c r="R565" s="54" t="n">
        <f aca="true">RAND()</f>
        <v>0.201750326410836</v>
      </c>
      <c r="S565" s="54" t="n">
        <f aca="true">RAND()</f>
        <v>0.890628581257503</v>
      </c>
      <c r="T565" s="54" t="n">
        <f aca="true">RAND()</f>
        <v>0.998094101104078</v>
      </c>
      <c r="U565" s="54" t="n">
        <f aca="true">RAND()</f>
        <v>0.654382332177863</v>
      </c>
    </row>
    <row r="566" customFormat="false" ht="15" hidden="false" customHeight="false" outlineLevel="0" collapsed="false">
      <c r="A566" s="50" t="n">
        <v>486</v>
      </c>
      <c r="B566" s="51" t="n">
        <f aca="false">1+IF($G$6=$E$6,$F$6,IF(P566&lt;($F$6-$E$6)/($G$6-$E$6),$E$6+SQRT(P566*($G$6-$E$6)*($F$6-$E$6)),$G$6-SQRT((1-P566)*($G$6-$E$6)*($G$6-$F$6))))</f>
        <v>0.963313813156076</v>
      </c>
      <c r="C566" s="51" t="n">
        <f aca="false">1+IF($G$7=$E$7,$F$7,IF(Q566&lt;($F$7-$E$7)/($G$7-$E$7),$E$7+SQRT(Q566*($G$7-$E$7)*($F$7-$E$7)),$G$7-SQRT((1-Q566)*($G$7-$E$7)*($G$7-$F$7))))</f>
        <v>0.985130478273656</v>
      </c>
      <c r="D566" s="51" t="n">
        <f aca="false">1+IF($G$8=$E$8,$F$8,IF(R566&lt;($F$8-$E$8)/($G$8-$E$8),$E$8+SQRT(R566*($G$8-$E$8)*($F$8-$E$8)),$G$8-SQRT((1-R566)*($G$8-$E$8)*($G$8-$F$8))))</f>
        <v>1.00062384287997</v>
      </c>
      <c r="E566" s="51" t="n">
        <f aca="false">1+IF($G$9=$E$9,$F$9,IF(S566&lt;($F$9-$E$9)/($G$9-$E$9),$E$9+SQRT(S566*($G$9-$E$9)*($F$9-$E$9)),$G$9-SQRT((1-S566)*($G$9-$E$9)*($G$9-$F$9))))</f>
        <v>0.98559921826019</v>
      </c>
      <c r="F566" s="51" t="n">
        <f aca="false">1+IF($G$10=$E$10,$F$10,IF(T566&lt;($F$10-$E$10)/($G$10-$E$10),$E$10+SQRT(T566*($G$10-$E$10)*($F$10-$E$10)),$G$10-SQRT((1-T566)*($G$10-$E$10)*($G$10-$F$10))))</f>
        <v>1.05122521980837</v>
      </c>
      <c r="G566" s="52" t="n">
        <f aca="false">IF($G$11=$E$11,$F$11,IF(U566&lt;($F$11-$E$11)/($G$11-$E$11),$E$11+SQRT(U566*($G$11-$E$11)*($F$11-$E$11)),$G$11-SQRT((1-U566)*($G$11-$E$11)*($G$11-$F$11))))</f>
        <v>0.104215087127799</v>
      </c>
      <c r="H566" s="53" t="n">
        <f aca="false">(('Business Case'!B11*$C566*'Business Case'!B12*$B566)-'Business Case'!B11*$C566*'Business Case'!B13*$D566-'Business Case'!B14*$E566)-MAX(0,(('Business Case'!B11*$C566*'Business Case'!B12*$B566)-'Business Case'!B11*$C566*'Business Case'!B13*$D566-'Business Case'!B14*$E566))*'Business Case'!$B$7-'Business Case'!$B$8*('Business Case'!B11*$C566*'Business Case'!B12*$B566)-'Business Case'!B15*$F566</f>
        <v>-2102450439.61675</v>
      </c>
      <c r="I566" s="53" t="n">
        <f aca="false">(('Business Case'!C11*$C566*'Business Case'!C12*$B566)-'Business Case'!C11*$C566*'Business Case'!C13*$D566-'Business Case'!C14*$E566)-MAX(0,(('Business Case'!C11*$C566*'Business Case'!C12*$B566)-'Business Case'!C11*$C566*'Business Case'!C13*$D566-'Business Case'!C14*$E566))*'Business Case'!$B$7-'Business Case'!$B$8*(('Business Case'!C11*$C566*'Business Case'!C12*$B566)-('Business Case'!B11*$C566*'Business Case'!B12*$B566))-'Business Case'!C15*$F566</f>
        <v>-21801993.9051694</v>
      </c>
      <c r="J566" s="53" t="n">
        <f aca="false">(('Business Case'!D11*$C566*'Business Case'!D12*$B566)-'Business Case'!D11*$C566*'Business Case'!D13*$D566-'Business Case'!D14*$E566)-MAX(0,(('Business Case'!D11*$C566*'Business Case'!D12*$B566)-'Business Case'!D11*$C566*'Business Case'!D13*$D566-'Business Case'!D14*$E566))*'Business Case'!$B$7-'Business Case'!$B$8*(('Business Case'!D11*$C566*'Business Case'!D12*$B566)-('Business Case'!C11*$C566*'Business Case'!C12*$B566))-'Business Case'!D15*$F566</f>
        <v>250866374.108568</v>
      </c>
      <c r="K566" s="53" t="n">
        <f aca="false">(('Business Case'!E11*$C566*'Business Case'!E12*$B566)-'Business Case'!E11*$C566*'Business Case'!E13*$D566-'Business Case'!E14*$E566)-MAX(0,(('Business Case'!E11*$C566*'Business Case'!E12*$B566)-'Business Case'!E11*$C566*'Business Case'!E13*$D566-'Business Case'!E14*$E566))*'Business Case'!$B$7-'Business Case'!$B$8*(('Business Case'!E11*$C566*'Business Case'!E12*$B566)-('Business Case'!D11*$C566*'Business Case'!D12*$B566))-'Business Case'!E15*$F566</f>
        <v>576096003.112724</v>
      </c>
      <c r="L566" s="53" t="n">
        <f aca="false">(('Business Case'!F11*$C566*'Business Case'!F12*$B566)-'Business Case'!F11*$C566*'Business Case'!F13*$D566-'Business Case'!F14*$E566)-MAX(0,(('Business Case'!F11*$C566*'Business Case'!F12*$B566)-'Business Case'!F11*$C566*'Business Case'!F13*$D566-'Business Case'!F14*$E566))*'Business Case'!$B$7-'Business Case'!$B$8*(('Business Case'!F11*$C566*'Business Case'!F12*$B566)-('Business Case'!E11*$C566*'Business Case'!E12*$B566))-'Business Case'!F15*$F566</f>
        <v>699782546.518283</v>
      </c>
      <c r="M566" s="53" t="n">
        <f aca="false">(('Business Case'!G11*$C566*'Business Case'!G12*$B566)-'Business Case'!G11*$C566*'Business Case'!G13*$D566-'Business Case'!G14*$E566)-MAX(0,(('Business Case'!G11*$C566*'Business Case'!G12*$B566)-'Business Case'!G11*$C566*'Business Case'!G13*$D566-'Business Case'!G14*$E566))*'Business Case'!$B$7-'Business Case'!$B$8*(('Business Case'!G11*$C566*'Business Case'!G12*$B566)-('Business Case'!F11*$C566*'Business Case'!F12*$B566))-'Business Case'!G15*$F566+'Business Case'!$B$8*('Business Case'!G11*$C566*'Business Case'!G12*$B566)</f>
        <v>880166527.223674</v>
      </c>
      <c r="N566" s="53" t="n">
        <f aca="false">IF(COUNT('Business Case'!B11:G11)=0,"",H566+NPV(G566,I566:M566))</f>
        <v>-481688263.770804</v>
      </c>
      <c r="P566" s="54" t="n">
        <f aca="true">RAND()</f>
        <v>0.195425667720774</v>
      </c>
      <c r="Q566" s="54" t="n">
        <f aca="true">RAND()</f>
        <v>0.489618485511894</v>
      </c>
      <c r="R566" s="54" t="n">
        <f aca="true">RAND()</f>
        <v>0.394175546236184</v>
      </c>
      <c r="S566" s="54" t="n">
        <f aca="true">RAND()</f>
        <v>0.168973912098217</v>
      </c>
      <c r="T566" s="54" t="n">
        <f aca="true">RAND()</f>
        <v>0.557321295578662</v>
      </c>
      <c r="U566" s="54" t="n">
        <f aca="true">RAND()</f>
        <v>0.584727542695014</v>
      </c>
    </row>
    <row r="567" customFormat="false" ht="15" hidden="false" customHeight="false" outlineLevel="0" collapsed="false">
      <c r="A567" s="50" t="n">
        <v>487</v>
      </c>
      <c r="B567" s="51" t="n">
        <f aca="false">1+IF($G$6=$E$6,$F$6,IF(P567&lt;($F$6-$E$6)/($G$6-$E$6),$E$6+SQRT(P567*($G$6-$E$6)*($F$6-$E$6)),$G$6-SQRT((1-P567)*($G$6-$E$6)*($G$6-$F$6))))</f>
        <v>0.954172994776197</v>
      </c>
      <c r="C567" s="51" t="n">
        <f aca="false">1+IF($G$7=$E$7,$F$7,IF(Q567&lt;($F$7-$E$7)/($G$7-$E$7),$E$7+SQRT(Q567*($G$7-$E$7)*($F$7-$E$7)),$G$7-SQRT((1-Q567)*($G$7-$E$7)*($G$7-$F$7))))</f>
        <v>0.988818226715616</v>
      </c>
      <c r="D567" s="51" t="n">
        <f aca="false">1+IF($G$8=$E$8,$F$8,IF(R567&lt;($F$8-$E$8)/($G$8-$E$8),$E$8+SQRT(R567*($G$8-$E$8)*($F$8-$E$8)),$G$8-SQRT((1-R567)*($G$8-$E$8)*($G$8-$F$8))))</f>
        <v>0.999616534093391</v>
      </c>
      <c r="E567" s="51" t="n">
        <f aca="false">1+IF($G$9=$E$9,$F$9,IF(S567&lt;($F$9-$E$9)/($G$9-$E$9),$E$9+SQRT(S567*($G$9-$E$9)*($F$9-$E$9)),$G$9-SQRT((1-S567)*($G$9-$E$9)*($G$9-$F$9))))</f>
        <v>1.04425771731232</v>
      </c>
      <c r="F567" s="51" t="n">
        <f aca="false">1+IF($G$10=$E$10,$F$10,IF(T567&lt;($F$10-$E$10)/($G$10-$E$10),$E$10+SQRT(T567*($G$10-$E$10)*($F$10-$E$10)),$G$10-SQRT((1-T567)*($G$10-$E$10)*($G$10-$F$10))))</f>
        <v>1.11092974025244</v>
      </c>
      <c r="G567" s="52" t="n">
        <f aca="false">IF($G$11=$E$11,$F$11,IF(U567&lt;($F$11-$E$11)/($G$11-$E$11),$E$11+SQRT(U567*($G$11-$E$11)*($F$11-$E$11)),$G$11-SQRT((1-U567)*($G$11-$E$11)*($G$11-$F$11))))</f>
        <v>0.106186928537524</v>
      </c>
      <c r="H567" s="53" t="n">
        <f aca="false">(('Business Case'!B11*$C567*'Business Case'!B12*$B567)-'Business Case'!B11*$C567*'Business Case'!B13*$D567-'Business Case'!B14*$E567)-MAX(0,(('Business Case'!B11*$C567*'Business Case'!B12*$B567)-'Business Case'!B11*$C567*'Business Case'!B13*$D567-'Business Case'!B14*$E567))*'Business Case'!$B$7-'Business Case'!$B$8*('Business Case'!B11*$C567*'Business Case'!B12*$B567)-'Business Case'!B15*$F567</f>
        <v>-2221859480.50488</v>
      </c>
      <c r="I567" s="53" t="n">
        <f aca="false">(('Business Case'!C11*$C567*'Business Case'!C12*$B567)-'Business Case'!C11*$C567*'Business Case'!C13*$D567-'Business Case'!C14*$E567)-MAX(0,(('Business Case'!C11*$C567*'Business Case'!C12*$B567)-'Business Case'!C11*$C567*'Business Case'!C13*$D567-'Business Case'!C14*$E567))*'Business Case'!$B$7-'Business Case'!$B$8*(('Business Case'!C11*$C567*'Business Case'!C12*$B567)-('Business Case'!B11*$C567*'Business Case'!B12*$B567))-'Business Case'!C15*$F567</f>
        <v>-41701947.8258823</v>
      </c>
      <c r="J567" s="53" t="n">
        <f aca="false">(('Business Case'!D11*$C567*'Business Case'!D12*$B567)-'Business Case'!D11*$C567*'Business Case'!D13*$D567-'Business Case'!D14*$E567)-MAX(0,(('Business Case'!D11*$C567*'Business Case'!D12*$B567)-'Business Case'!D11*$C567*'Business Case'!D13*$D567-'Business Case'!D14*$E567))*'Business Case'!$B$7-'Business Case'!$B$8*(('Business Case'!D11*$C567*'Business Case'!D12*$B567)-('Business Case'!C11*$C567*'Business Case'!C12*$B567))-'Business Case'!D15*$F567</f>
        <v>225093754.922579</v>
      </c>
      <c r="K567" s="53" t="n">
        <f aca="false">(('Business Case'!E11*$C567*'Business Case'!E12*$B567)-'Business Case'!E11*$C567*'Business Case'!E13*$D567-'Business Case'!E14*$E567)-MAX(0,(('Business Case'!E11*$C567*'Business Case'!E12*$B567)-'Business Case'!E11*$C567*'Business Case'!E13*$D567-'Business Case'!E14*$E567))*'Business Case'!$B$7-'Business Case'!$B$8*(('Business Case'!E11*$C567*'Business Case'!E12*$B567)-('Business Case'!D11*$C567*'Business Case'!D12*$B567))-'Business Case'!E15*$F567</f>
        <v>547435944.683662</v>
      </c>
      <c r="L567" s="53" t="n">
        <f aca="false">(('Business Case'!F11*$C567*'Business Case'!F12*$B567)-'Business Case'!F11*$C567*'Business Case'!F13*$D567-'Business Case'!F14*$E567)-MAX(0,(('Business Case'!F11*$C567*'Business Case'!F12*$B567)-'Business Case'!F11*$C567*'Business Case'!F13*$D567-'Business Case'!F14*$E567))*'Business Case'!$B$7-'Business Case'!$B$8*(('Business Case'!F11*$C567*'Business Case'!F12*$B567)-('Business Case'!E11*$C567*'Business Case'!E12*$B567))-'Business Case'!F15*$F567</f>
        <v>668975331.698008</v>
      </c>
      <c r="M567" s="53" t="n">
        <f aca="false">(('Business Case'!G11*$C567*'Business Case'!G12*$B567)-'Business Case'!G11*$C567*'Business Case'!G13*$D567-'Business Case'!G14*$E567)-MAX(0,(('Business Case'!G11*$C567*'Business Case'!G12*$B567)-'Business Case'!G11*$C567*'Business Case'!G13*$D567-'Business Case'!G14*$E567))*'Business Case'!$B$7-'Business Case'!$B$8*(('Business Case'!G11*$C567*'Business Case'!G12*$B567)-('Business Case'!F11*$C567*'Business Case'!F12*$B567))-'Business Case'!G15*$F567+'Business Case'!$B$8*('Business Case'!G11*$C567*'Business Case'!G12*$B567)</f>
        <v>848316505.238063</v>
      </c>
      <c r="N567" s="53" t="n">
        <f aca="false">IF(COUNT('Business Case'!B11:G11)=0,"",H567+NPV(G567,I567:M567))</f>
        <v>-712217692.202486</v>
      </c>
      <c r="P567" s="54" t="n">
        <f aca="true">RAND()</f>
        <v>0.121645163747293</v>
      </c>
      <c r="Q567" s="54" t="n">
        <f aca="true">RAND()</f>
        <v>0.509318896286137</v>
      </c>
      <c r="R567" s="54" t="n">
        <f aca="true">RAND()</f>
        <v>0.378738531606251</v>
      </c>
      <c r="S567" s="54" t="n">
        <f aca="true">RAND()</f>
        <v>0.792853194717807</v>
      </c>
      <c r="T567" s="54" t="n">
        <f aca="true">RAND()</f>
        <v>0.84132977657004</v>
      </c>
      <c r="U567" s="54" t="n">
        <f aca="true">RAND()</f>
        <v>0.681998427954205</v>
      </c>
    </row>
    <row r="568" customFormat="false" ht="15" hidden="false" customHeight="false" outlineLevel="0" collapsed="false">
      <c r="A568" s="50" t="n">
        <v>488</v>
      </c>
      <c r="B568" s="51" t="n">
        <f aca="false">1+IF($G$6=$E$6,$F$6,IF(P568&lt;($F$6-$E$6)/($G$6-$E$6),$E$6+SQRT(P568*($G$6-$E$6)*($F$6-$E$6)),$G$6-SQRT((1-P568)*($G$6-$E$6)*($G$6-$F$6))))</f>
        <v>1.01390149041693</v>
      </c>
      <c r="C568" s="51" t="n">
        <f aca="false">1+IF($G$7=$E$7,$F$7,IF(Q568&lt;($F$7-$E$7)/($G$7-$E$7),$E$7+SQRT(Q568*($G$7-$E$7)*($F$7-$E$7)),$G$7-SQRT((1-Q568)*($G$7-$E$7)*($G$7-$F$7))))</f>
        <v>0.911827674037018</v>
      </c>
      <c r="D568" s="51" t="n">
        <f aca="false">1+IF($G$8=$E$8,$F$8,IF(R568&lt;($F$8-$E$8)/($G$8-$E$8),$E$8+SQRT(R568*($G$8-$E$8)*($F$8-$E$8)),$G$8-SQRT((1-R568)*($G$8-$E$8)*($G$8-$F$8))))</f>
        <v>1.00363517894325</v>
      </c>
      <c r="E568" s="51" t="n">
        <f aca="false">1+IF($G$9=$E$9,$F$9,IF(S568&lt;($F$9-$E$9)/($G$9-$E$9),$E$9+SQRT(S568*($G$9-$E$9)*($F$9-$E$9)),$G$9-SQRT((1-S568)*($G$9-$E$9)*($G$9-$F$9))))</f>
        <v>0.989577807807265</v>
      </c>
      <c r="F568" s="51" t="n">
        <f aca="false">1+IF($G$10=$E$10,$F$10,IF(T568&lt;($F$10-$E$10)/($G$10-$E$10),$E$10+SQRT(T568*($G$10-$E$10)*($F$10-$E$10)),$G$10-SQRT((1-T568)*($G$10-$E$10)*($G$10-$F$10))))</f>
        <v>0.992711667775077</v>
      </c>
      <c r="G568" s="52" t="n">
        <f aca="false">IF($G$11=$E$11,$F$11,IF(U568&lt;($F$11-$E$11)/($G$11-$E$11),$E$11+SQRT(U568*($G$11-$E$11)*($F$11-$E$11)),$G$11-SQRT((1-U568)*($G$11-$E$11)*($G$11-$F$11))))</f>
        <v>0.094580523688921</v>
      </c>
      <c r="H568" s="53" t="n">
        <f aca="false">(('Business Case'!B11*$C568*'Business Case'!B12*$B568)-'Business Case'!B11*$C568*'Business Case'!B13*$D568-'Business Case'!B14*$E568)-MAX(0,(('Business Case'!B11*$C568*'Business Case'!B12*$B568)-'Business Case'!B11*$C568*'Business Case'!B13*$D568-'Business Case'!B14*$E568))*'Business Case'!$B$7-'Business Case'!$B$8*('Business Case'!B11*$C568*'Business Case'!B12*$B568)-'Business Case'!B15*$F568</f>
        <v>-1985423335.55015</v>
      </c>
      <c r="I568" s="53" t="n">
        <f aca="false">(('Business Case'!C11*$C568*'Business Case'!C12*$B568)-'Business Case'!C11*$C568*'Business Case'!C13*$D568-'Business Case'!C14*$E568)-MAX(0,(('Business Case'!C11*$C568*'Business Case'!C12*$B568)-'Business Case'!C11*$C568*'Business Case'!C13*$D568-'Business Case'!C14*$E568))*'Business Case'!$B$7-'Business Case'!$B$8*(('Business Case'!C11*$C568*'Business Case'!C12*$B568)-('Business Case'!B11*$C568*'Business Case'!B12*$B568))-'Business Case'!C15*$F568</f>
        <v>839828.491175562</v>
      </c>
      <c r="J568" s="53" t="n">
        <f aca="false">(('Business Case'!D11*$C568*'Business Case'!D12*$B568)-'Business Case'!D11*$C568*'Business Case'!D13*$D568-'Business Case'!D14*$E568)-MAX(0,(('Business Case'!D11*$C568*'Business Case'!D12*$B568)-'Business Case'!D11*$C568*'Business Case'!D13*$D568-'Business Case'!D14*$E568))*'Business Case'!$B$7-'Business Case'!$B$8*(('Business Case'!D11*$C568*'Business Case'!D12*$B568)-('Business Case'!C11*$C568*'Business Case'!C12*$B568))-'Business Case'!D15*$F568</f>
        <v>289595046.240914</v>
      </c>
      <c r="K568" s="53" t="n">
        <f aca="false">(('Business Case'!E11*$C568*'Business Case'!E12*$B568)-'Business Case'!E11*$C568*'Business Case'!E13*$D568-'Business Case'!E14*$E568)-MAX(0,(('Business Case'!E11*$C568*'Business Case'!E12*$B568)-'Business Case'!E11*$C568*'Business Case'!E13*$D568-'Business Case'!E14*$E568))*'Business Case'!$B$7-'Business Case'!$B$8*(('Business Case'!E11*$C568*'Business Case'!E12*$B568)-('Business Case'!D11*$C568*'Business Case'!D12*$B568))-'Business Case'!E15*$F568</f>
        <v>627985847.379406</v>
      </c>
      <c r="L568" s="53" t="n">
        <f aca="false">(('Business Case'!F11*$C568*'Business Case'!F12*$B568)-'Business Case'!F11*$C568*'Business Case'!F13*$D568-'Business Case'!F14*$E568)-MAX(0,(('Business Case'!F11*$C568*'Business Case'!F12*$B568)-'Business Case'!F11*$C568*'Business Case'!F13*$D568-'Business Case'!F14*$E568))*'Business Case'!$B$7-'Business Case'!$B$8*(('Business Case'!F11*$C568*'Business Case'!F12*$B568)-('Business Case'!E11*$C568*'Business Case'!E12*$B568))-'Business Case'!F15*$F568</f>
        <v>756188425.43656</v>
      </c>
      <c r="M568" s="53" t="n">
        <f aca="false">(('Business Case'!G11*$C568*'Business Case'!G12*$B568)-'Business Case'!G11*$C568*'Business Case'!G13*$D568-'Business Case'!G14*$E568)-MAX(0,(('Business Case'!G11*$C568*'Business Case'!G12*$B568)-'Business Case'!G11*$C568*'Business Case'!G13*$D568-'Business Case'!G14*$E568))*'Business Case'!$B$7-'Business Case'!$B$8*(('Business Case'!G11*$C568*'Business Case'!G12*$B568)-('Business Case'!F11*$C568*'Business Case'!F12*$B568))-'Business Case'!G15*$F568+'Business Case'!$B$8*('Business Case'!G11*$C568*'Business Case'!G12*$B568)</f>
        <v>931918038.876388</v>
      </c>
      <c r="N568" s="53" t="n">
        <f aca="false">IF(COUNT('Business Case'!B11:G11)=0,"",H568+NPV(G568,I568:M568))</f>
        <v>-144180218.949751</v>
      </c>
      <c r="P568" s="54" t="n">
        <f aca="true">RAND()</f>
        <v>0.858097457821289</v>
      </c>
      <c r="Q568" s="54" t="n">
        <f aca="true">RAND()</f>
        <v>0.178648981150421</v>
      </c>
      <c r="R568" s="54" t="n">
        <f aca="true">RAND()</f>
        <v>0.439270587016431</v>
      </c>
      <c r="S568" s="54" t="n">
        <f aca="true">RAND()</f>
        <v>0.208853716110506</v>
      </c>
      <c r="T568" s="54" t="n">
        <f aca="true">RAND()</f>
        <v>0.145942925130281</v>
      </c>
      <c r="U568" s="54" t="n">
        <f aca="true">RAND()</f>
        <v>0.069937324215888</v>
      </c>
    </row>
    <row r="569" customFormat="false" ht="15" hidden="false" customHeight="false" outlineLevel="0" collapsed="false">
      <c r="A569" s="50" t="n">
        <v>489</v>
      </c>
      <c r="B569" s="51" t="n">
        <f aca="false">1+IF($G$6=$E$6,$F$6,IF(P569&lt;($F$6-$E$6)/($G$6-$E$6),$E$6+SQRT(P569*($G$6-$E$6)*($F$6-$E$6)),$G$6-SQRT((1-P569)*($G$6-$E$6)*($G$6-$F$6))))</f>
        <v>0.986917629773447</v>
      </c>
      <c r="C569" s="51" t="n">
        <f aca="false">1+IF($G$7=$E$7,$F$7,IF(Q569&lt;($F$7-$E$7)/($G$7-$E$7),$E$7+SQRT(Q569*($G$7-$E$7)*($F$7-$E$7)),$G$7-SQRT((1-Q569)*($G$7-$E$7)*($G$7-$F$7))))</f>
        <v>0.96359291153769</v>
      </c>
      <c r="D569" s="51" t="n">
        <f aca="false">1+IF($G$8=$E$8,$F$8,IF(R569&lt;($F$8-$E$8)/($G$8-$E$8),$E$8+SQRT(R569*($G$8-$E$8)*($F$8-$E$8)),$G$8-SQRT((1-R569)*($G$8-$E$8)*($G$8-$F$8))))</f>
        <v>1.03725605042584</v>
      </c>
      <c r="E569" s="51" t="n">
        <f aca="false">1+IF($G$9=$E$9,$F$9,IF(S569&lt;($F$9-$E$9)/($G$9-$E$9),$E$9+SQRT(S569*($G$9-$E$9)*($F$9-$E$9)),$G$9-SQRT((1-S569)*($G$9-$E$9)*($G$9-$F$9))))</f>
        <v>1.04898913103545</v>
      </c>
      <c r="F569" s="51" t="n">
        <f aca="false">1+IF($G$10=$E$10,$F$10,IF(T569&lt;($F$10-$E$10)/($G$10-$E$10),$E$10+SQRT(T569*($G$10-$E$10)*($F$10-$E$10)),$G$10-SQRT((1-T569)*($G$10-$E$10)*($G$10-$F$10))))</f>
        <v>1.06835434057925</v>
      </c>
      <c r="G569" s="52" t="n">
        <f aca="false">IF($G$11=$E$11,$F$11,IF(U569&lt;($F$11-$E$11)/($G$11-$E$11),$E$11+SQRT(U569*($G$11-$E$11)*($F$11-$E$11)),$G$11-SQRT((1-U569)*($G$11-$E$11)*($G$11-$F$11))))</f>
        <v>0.0971846915094989</v>
      </c>
      <c r="H569" s="53" t="n">
        <f aca="false">(('Business Case'!B11*$C569*'Business Case'!B12*$B569)-'Business Case'!B11*$C569*'Business Case'!B13*$D569-'Business Case'!B14*$E569)-MAX(0,(('Business Case'!B11*$C569*'Business Case'!B12*$B569)-'Business Case'!B11*$C569*'Business Case'!B13*$D569-'Business Case'!B14*$E569))*'Business Case'!$B$7-'Business Case'!$B$8*('Business Case'!B11*$C569*'Business Case'!B12*$B569)-'Business Case'!B15*$F569</f>
        <v>-2136708681.15851</v>
      </c>
      <c r="I569" s="53" t="n">
        <f aca="false">(('Business Case'!C11*$C569*'Business Case'!C12*$B569)-'Business Case'!C11*$C569*'Business Case'!C13*$D569-'Business Case'!C14*$E569)-MAX(0,(('Business Case'!C11*$C569*'Business Case'!C12*$B569)-'Business Case'!C11*$C569*'Business Case'!C13*$D569-'Business Case'!C14*$E569))*'Business Case'!$B$7-'Business Case'!$B$8*(('Business Case'!C11*$C569*'Business Case'!C12*$B569)-('Business Case'!B11*$C569*'Business Case'!B12*$B569))-'Business Case'!C15*$F569</f>
        <v>-38034399.5010788</v>
      </c>
      <c r="J569" s="53" t="n">
        <f aca="false">(('Business Case'!D11*$C569*'Business Case'!D12*$B569)-'Business Case'!D11*$C569*'Business Case'!D13*$D569-'Business Case'!D14*$E569)-MAX(0,(('Business Case'!D11*$C569*'Business Case'!D12*$B569)-'Business Case'!D11*$C569*'Business Case'!D13*$D569-'Business Case'!D14*$E569))*'Business Case'!$B$7-'Business Case'!$B$8*(('Business Case'!D11*$C569*'Business Case'!D12*$B569)-('Business Case'!C11*$C569*'Business Case'!C12*$B569))-'Business Case'!D15*$F569</f>
        <v>229232046.876543</v>
      </c>
      <c r="K569" s="53" t="n">
        <f aca="false">(('Business Case'!E11*$C569*'Business Case'!E12*$B569)-'Business Case'!E11*$C569*'Business Case'!E13*$D569-'Business Case'!E14*$E569)-MAX(0,(('Business Case'!E11*$C569*'Business Case'!E12*$B569)-'Business Case'!E11*$C569*'Business Case'!E13*$D569-'Business Case'!E14*$E569))*'Business Case'!$B$7-'Business Case'!$B$8*(('Business Case'!E11*$C569*'Business Case'!E12*$B569)-('Business Case'!D11*$C569*'Business Case'!D12*$B569))-'Business Case'!E15*$F569</f>
        <v>549916210.283128</v>
      </c>
      <c r="L569" s="53" t="n">
        <f aca="false">(('Business Case'!F11*$C569*'Business Case'!F12*$B569)-'Business Case'!F11*$C569*'Business Case'!F13*$D569-'Business Case'!F14*$E569)-MAX(0,(('Business Case'!F11*$C569*'Business Case'!F12*$B569)-'Business Case'!F11*$C569*'Business Case'!F13*$D569-'Business Case'!F14*$E569))*'Business Case'!$B$7-'Business Case'!$B$8*(('Business Case'!F11*$C569*'Business Case'!F12*$B569)-('Business Case'!E11*$C569*'Business Case'!E12*$B569))-'Business Case'!F15*$F569</f>
        <v>671871130.667359</v>
      </c>
      <c r="M569" s="53" t="n">
        <f aca="false">(('Business Case'!G11*$C569*'Business Case'!G12*$B569)-'Business Case'!G11*$C569*'Business Case'!G13*$D569-'Business Case'!G14*$E569)-MAX(0,(('Business Case'!G11*$C569*'Business Case'!G12*$B569)-'Business Case'!G11*$C569*'Business Case'!G13*$D569-'Business Case'!G14*$E569))*'Business Case'!$B$7-'Business Case'!$B$8*(('Business Case'!G11*$C569*'Business Case'!G12*$B569)-('Business Case'!F11*$C569*'Business Case'!F12*$B569))-'Business Case'!G15*$F569+'Business Case'!$B$8*('Business Case'!G11*$C569*'Business Case'!G12*$B569)</f>
        <v>852634707.754986</v>
      </c>
      <c r="N569" s="53" t="n">
        <f aca="false">IF(COUNT('Business Case'!B11:G11)=0,"",H569+NPV(G569,I569:M569))</f>
        <v>-564732409.589798</v>
      </c>
      <c r="P569" s="54" t="n">
        <f aca="true">RAND()</f>
        <v>0.466455122343348</v>
      </c>
      <c r="Q569" s="54" t="n">
        <f aca="true">RAND()</f>
        <v>0.382323438648264</v>
      </c>
      <c r="R569" s="54" t="n">
        <f aca="true">RAND()</f>
        <v>0.824322574500141</v>
      </c>
      <c r="S569" s="54" t="n">
        <f aca="true">RAND()</f>
        <v>0.826526083165428</v>
      </c>
      <c r="T569" s="54" t="n">
        <f aca="true">RAND()</f>
        <v>0.653388407113534</v>
      </c>
      <c r="U569" s="54" t="n">
        <f aca="true">RAND()</f>
        <v>0.172065973622217</v>
      </c>
    </row>
    <row r="570" customFormat="false" ht="15" hidden="false" customHeight="false" outlineLevel="0" collapsed="false">
      <c r="A570" s="50" t="n">
        <v>490</v>
      </c>
      <c r="B570" s="51" t="n">
        <f aca="false">1+IF($G$6=$E$6,$F$6,IF(P570&lt;($F$6-$E$6)/($G$6-$E$6),$E$6+SQRT(P570*($G$6-$E$6)*($F$6-$E$6)),$G$6-SQRT((1-P570)*($G$6-$E$6)*($G$6-$F$6))))</f>
        <v>0.98947114888359</v>
      </c>
      <c r="C570" s="51" t="n">
        <f aca="false">1+IF($G$7=$E$7,$F$7,IF(Q570&lt;($F$7-$E$7)/($G$7-$E$7),$E$7+SQRT(Q570*($G$7-$E$7)*($F$7-$E$7)),$G$7-SQRT((1-Q570)*($G$7-$E$7)*($G$7-$F$7))))</f>
        <v>0.946076896614381</v>
      </c>
      <c r="D570" s="51" t="n">
        <f aca="false">1+IF($G$8=$E$8,$F$8,IF(R570&lt;($F$8-$E$8)/($G$8-$E$8),$E$8+SQRT(R570*($G$8-$E$8)*($F$8-$E$8)),$G$8-SQRT((1-R570)*($G$8-$E$8)*($G$8-$F$8))))</f>
        <v>1.02686568446341</v>
      </c>
      <c r="E570" s="51" t="n">
        <f aca="false">1+IF($G$9=$E$9,$F$9,IF(S570&lt;($F$9-$E$9)/($G$9-$E$9),$E$9+SQRT(S570*($G$9-$E$9)*($F$9-$E$9)),$G$9-SQRT((1-S570)*($G$9-$E$9)*($G$9-$F$9))))</f>
        <v>1.03941113145037</v>
      </c>
      <c r="F570" s="51" t="n">
        <f aca="false">1+IF($G$10=$E$10,$F$10,IF(T570&lt;($F$10-$E$10)/($G$10-$E$10),$E$10+SQRT(T570*($G$10-$E$10)*($F$10-$E$10)),$G$10-SQRT((1-T570)*($G$10-$E$10)*($G$10-$F$10))))</f>
        <v>1.03513999256364</v>
      </c>
      <c r="G570" s="52" t="n">
        <f aca="false">IF($G$11=$E$11,$F$11,IF(U570&lt;($F$11-$E$11)/($G$11-$E$11),$E$11+SQRT(U570*($G$11-$E$11)*($F$11-$E$11)),$G$11-SQRT((1-U570)*($G$11-$E$11)*($G$11-$F$11))))</f>
        <v>0.106542382980229</v>
      </c>
      <c r="H570" s="53" t="n">
        <f aca="false">(('Business Case'!B11*$C570*'Business Case'!B12*$B570)-'Business Case'!B11*$C570*'Business Case'!B13*$D570-'Business Case'!B14*$E570)-MAX(0,(('Business Case'!B11*$C570*'Business Case'!B12*$B570)-'Business Case'!B11*$C570*'Business Case'!B13*$D570-'Business Case'!B14*$E570))*'Business Case'!$B$7-'Business Case'!$B$8*('Business Case'!B11*$C570*'Business Case'!B12*$B570)-'Business Case'!B15*$F570</f>
        <v>-2070279985.12727</v>
      </c>
      <c r="I570" s="53" t="n">
        <f aca="false">(('Business Case'!C11*$C570*'Business Case'!C12*$B570)-'Business Case'!C11*$C570*'Business Case'!C13*$D570-'Business Case'!C14*$E570)-MAX(0,(('Business Case'!C11*$C570*'Business Case'!C12*$B570)-'Business Case'!C11*$C570*'Business Case'!C13*$D570-'Business Case'!C14*$E570))*'Business Case'!$B$7-'Business Case'!$B$8*(('Business Case'!C11*$C570*'Business Case'!C12*$B570)-('Business Case'!B11*$C570*'Business Case'!B12*$B570))-'Business Case'!C15*$F570</f>
        <v>-30427426.7069074</v>
      </c>
      <c r="J570" s="53" t="n">
        <f aca="false">(('Business Case'!D11*$C570*'Business Case'!D12*$B570)-'Business Case'!D11*$C570*'Business Case'!D13*$D570-'Business Case'!D14*$E570)-MAX(0,(('Business Case'!D11*$C570*'Business Case'!D12*$B570)-'Business Case'!D11*$C570*'Business Case'!D13*$D570-'Business Case'!D14*$E570))*'Business Case'!$B$7-'Business Case'!$B$8*(('Business Case'!D11*$C570*'Business Case'!D12*$B570)-('Business Case'!C11*$C570*'Business Case'!C12*$B570))-'Business Case'!D15*$F570</f>
        <v>238991651.486693</v>
      </c>
      <c r="K570" s="53" t="n">
        <f aca="false">(('Business Case'!E11*$C570*'Business Case'!E12*$B570)-'Business Case'!E11*$C570*'Business Case'!E13*$D570-'Business Case'!E14*$E570)-MAX(0,(('Business Case'!E11*$C570*'Business Case'!E12*$B570)-'Business Case'!E11*$C570*'Business Case'!E13*$D570-'Business Case'!E14*$E570))*'Business Case'!$B$7-'Business Case'!$B$8*(('Business Case'!E11*$C570*'Business Case'!E12*$B570)-('Business Case'!D11*$C570*'Business Case'!D12*$B570))-'Business Case'!E15*$F570</f>
        <v>560167729.308474</v>
      </c>
      <c r="L570" s="53" t="n">
        <f aca="false">(('Business Case'!F11*$C570*'Business Case'!F12*$B570)-'Business Case'!F11*$C570*'Business Case'!F13*$D570-'Business Case'!F14*$E570)-MAX(0,(('Business Case'!F11*$C570*'Business Case'!F12*$B570)-'Business Case'!F11*$C570*'Business Case'!F13*$D570-'Business Case'!F14*$E570))*'Business Case'!$B$7-'Business Case'!$B$8*(('Business Case'!F11*$C570*'Business Case'!F12*$B570)-('Business Case'!E11*$C570*'Business Case'!E12*$B570))-'Business Case'!F15*$F570</f>
        <v>682326250.540942</v>
      </c>
      <c r="M570" s="53" t="n">
        <f aca="false">(('Business Case'!G11*$C570*'Business Case'!G12*$B570)-'Business Case'!G11*$C570*'Business Case'!G13*$D570-'Business Case'!G14*$E570)-MAX(0,(('Business Case'!G11*$C570*'Business Case'!G12*$B570)-'Business Case'!G11*$C570*'Business Case'!G13*$D570-'Business Case'!G14*$E570))*'Business Case'!$B$7-'Business Case'!$B$8*(('Business Case'!G11*$C570*'Business Case'!G12*$B570)-('Business Case'!F11*$C570*'Business Case'!F12*$B570))-'Business Case'!G15*$F570+'Business Case'!$B$8*('Business Case'!G11*$C570*'Business Case'!G12*$B570)</f>
        <v>860263140.631246</v>
      </c>
      <c r="N570" s="53" t="n">
        <f aca="false">IF(COUNT('Business Case'!B11:G11)=0,"",H570+NPV(G570,I570:M570))</f>
        <v>-515487138.27721</v>
      </c>
      <c r="P570" s="54" t="n">
        <f aca="true">RAND()</f>
        <v>0.502733388250616</v>
      </c>
      <c r="Q570" s="54" t="n">
        <f aca="true">RAND()</f>
        <v>0.304835138921263</v>
      </c>
      <c r="R570" s="54" t="n">
        <f aca="true">RAND()</f>
        <v>0.728533126197919</v>
      </c>
      <c r="S570" s="54" t="n">
        <f aca="true">RAND()</f>
        <v>0.755265933858386</v>
      </c>
      <c r="T570" s="54" t="n">
        <f aca="true">RAND()</f>
        <v>0.45642355896164</v>
      </c>
      <c r="U570" s="54" t="n">
        <f aca="true">RAND()</f>
        <v>0.698154240248617</v>
      </c>
    </row>
    <row r="571" customFormat="false" ht="15" hidden="false" customHeight="false" outlineLevel="0" collapsed="false">
      <c r="A571" s="50" t="n">
        <v>491</v>
      </c>
      <c r="B571" s="51" t="n">
        <f aca="false">1+IF($G$6=$E$6,$F$6,IF(P571&lt;($F$6-$E$6)/($G$6-$E$6),$E$6+SQRT(P571*($G$6-$E$6)*($F$6-$E$6)),$G$6-SQRT((1-P571)*($G$6-$E$6)*($G$6-$F$6))))</f>
        <v>0.977111152790743</v>
      </c>
      <c r="C571" s="51" t="n">
        <f aca="false">1+IF($G$7=$E$7,$F$7,IF(Q571&lt;($F$7-$E$7)/($G$7-$E$7),$E$7+SQRT(Q571*($G$7-$E$7)*($F$7-$E$7)),$G$7-SQRT((1-Q571)*($G$7-$E$7)*($G$7-$F$7))))</f>
        <v>1.03980467735693</v>
      </c>
      <c r="D571" s="51" t="n">
        <f aca="false">1+IF($G$8=$E$8,$F$8,IF(R571&lt;($F$8-$E$8)/($G$8-$E$8),$E$8+SQRT(R571*($G$8-$E$8)*($F$8-$E$8)),$G$8-SQRT((1-R571)*($G$8-$E$8)*($G$8-$F$8))))</f>
        <v>1.00914518824248</v>
      </c>
      <c r="E571" s="51" t="n">
        <f aca="false">1+IF($G$9=$E$9,$F$9,IF(S571&lt;($F$9-$E$9)/($G$9-$E$9),$E$9+SQRT(S571*($G$9-$E$9)*($F$9-$E$9)),$G$9-SQRT((1-S571)*($G$9-$E$9)*($G$9-$F$9))))</f>
        <v>1.07028557581943</v>
      </c>
      <c r="F571" s="51" t="n">
        <f aca="false">1+IF($G$10=$E$10,$F$10,IF(T571&lt;($F$10-$E$10)/($G$10-$E$10),$E$10+SQRT(T571*($G$10-$E$10)*($F$10-$E$10)),$G$10-SQRT((1-T571)*($G$10-$E$10)*($G$10-$F$10))))</f>
        <v>1.10976085686346</v>
      </c>
      <c r="G571" s="52" t="n">
        <f aca="false">IF($G$11=$E$11,$F$11,IF(U571&lt;($F$11-$E$11)/($G$11-$E$11),$E$11+SQRT(U571*($G$11-$E$11)*($F$11-$E$11)),$G$11-SQRT((1-U571)*($G$11-$E$11)*($G$11-$F$11))))</f>
        <v>0.0968040951583837</v>
      </c>
      <c r="H571" s="53" t="n">
        <f aca="false">(('Business Case'!B11*$C571*'Business Case'!B12*$B571)-'Business Case'!B11*$C571*'Business Case'!B13*$D571-'Business Case'!B14*$E571)-MAX(0,(('Business Case'!B11*$C571*'Business Case'!B12*$B571)-'Business Case'!B11*$C571*'Business Case'!B13*$D571-'Business Case'!B14*$E571))*'Business Case'!$B$7-'Business Case'!$B$8*('Business Case'!B11*$C571*'Business Case'!B12*$B571)-'Business Case'!B15*$F571</f>
        <v>-2219521713.72693</v>
      </c>
      <c r="I571" s="53" t="n">
        <f aca="false">(('Business Case'!C11*$C571*'Business Case'!C12*$B571)-'Business Case'!C11*$C571*'Business Case'!C13*$D571-'Business Case'!C14*$E571)-MAX(0,(('Business Case'!C11*$C571*'Business Case'!C12*$B571)-'Business Case'!C11*$C571*'Business Case'!C13*$D571-'Business Case'!C14*$E571))*'Business Case'!$B$7-'Business Case'!$B$8*(('Business Case'!C11*$C571*'Business Case'!C12*$B571)-('Business Case'!B11*$C571*'Business Case'!B12*$B571))-'Business Case'!C15*$F571</f>
        <v>-20824105.5058496</v>
      </c>
      <c r="J571" s="53" t="n">
        <f aca="false">(('Business Case'!D11*$C571*'Business Case'!D12*$B571)-'Business Case'!D11*$C571*'Business Case'!D13*$D571-'Business Case'!D14*$E571)-MAX(0,(('Business Case'!D11*$C571*'Business Case'!D12*$B571)-'Business Case'!D11*$C571*'Business Case'!D13*$D571-'Business Case'!D14*$E571))*'Business Case'!$B$7-'Business Case'!$B$8*(('Business Case'!D11*$C571*'Business Case'!D12*$B571)-('Business Case'!C11*$C571*'Business Case'!C12*$B571))-'Business Case'!D15*$F571</f>
        <v>274192169.639065</v>
      </c>
      <c r="K571" s="53" t="n">
        <f aca="false">(('Business Case'!E11*$C571*'Business Case'!E12*$B571)-'Business Case'!E11*$C571*'Business Case'!E13*$D571-'Business Case'!E14*$E571)-MAX(0,(('Business Case'!E11*$C571*'Business Case'!E12*$B571)-'Business Case'!E11*$C571*'Business Case'!E13*$D571-'Business Case'!E14*$E571))*'Business Case'!$B$7-'Business Case'!$B$8*(('Business Case'!E11*$C571*'Business Case'!E12*$B571)-('Business Case'!D11*$C571*'Business Case'!D12*$B571))-'Business Case'!E15*$F571</f>
        <v>624696487.627153</v>
      </c>
      <c r="L571" s="53" t="n">
        <f aca="false">(('Business Case'!F11*$C571*'Business Case'!F12*$B571)-'Business Case'!F11*$C571*'Business Case'!F13*$D571-'Business Case'!F14*$E571)-MAX(0,(('Business Case'!F11*$C571*'Business Case'!F12*$B571)-'Business Case'!F11*$C571*'Business Case'!F13*$D571-'Business Case'!F14*$E571))*'Business Case'!$B$7-'Business Case'!$B$8*(('Business Case'!F11*$C571*'Business Case'!F12*$B571)-('Business Case'!E11*$C571*'Business Case'!E12*$B571))-'Business Case'!F15*$F571</f>
        <v>758148370.064056</v>
      </c>
      <c r="M571" s="53" t="n">
        <f aca="false">(('Business Case'!G11*$C571*'Business Case'!G12*$B571)-'Business Case'!G11*$C571*'Business Case'!G13*$D571-'Business Case'!G14*$E571)-MAX(0,(('Business Case'!G11*$C571*'Business Case'!G12*$B571)-'Business Case'!G11*$C571*'Business Case'!G13*$D571-'Business Case'!G14*$E571))*'Business Case'!$B$7-'Business Case'!$B$8*(('Business Case'!G11*$C571*'Business Case'!G12*$B571)-('Business Case'!F11*$C571*'Business Case'!F12*$B571))-'Business Case'!G15*$F571+'Business Case'!$B$8*('Business Case'!G11*$C571*'Business Case'!G12*$B571)</f>
        <v>951270552.368007</v>
      </c>
      <c r="N571" s="53" t="n">
        <f aca="false">IF(COUNT('Business Case'!B11:G11)=0,"",H571+NPV(G571,I571:M571))</f>
        <v>-413914475.015765</v>
      </c>
      <c r="P571" s="54" t="n">
        <f aca="true">RAND()</f>
        <v>0.33975872636329</v>
      </c>
      <c r="Q571" s="54" t="n">
        <f aca="true">RAND()</f>
        <v>0.76870458795409</v>
      </c>
      <c r="R571" s="54" t="n">
        <f aca="true">RAND()</f>
        <v>0.51726881257749</v>
      </c>
      <c r="S571" s="54" t="n">
        <f aca="true">RAND()</f>
        <v>0.94113686637447</v>
      </c>
      <c r="T571" s="54" t="n">
        <f aca="true">RAND()</f>
        <v>0.837137940919673</v>
      </c>
      <c r="U571" s="54" t="n">
        <f aca="true">RAND()</f>
        <v>0.154319036414468</v>
      </c>
    </row>
    <row r="572" customFormat="false" ht="15" hidden="false" customHeight="false" outlineLevel="0" collapsed="false">
      <c r="A572" s="50" t="n">
        <v>492</v>
      </c>
      <c r="B572" s="51" t="n">
        <f aca="false">1+IF($G$6=$E$6,$F$6,IF(P572&lt;($F$6-$E$6)/($G$6-$E$6),$E$6+SQRT(P572*($G$6-$E$6)*($F$6-$E$6)),$G$6-SQRT((1-P572)*($G$6-$E$6)*($G$6-$F$6))))</f>
        <v>1.01447904152482</v>
      </c>
      <c r="C572" s="51" t="n">
        <f aca="false">1+IF($G$7=$E$7,$F$7,IF(Q572&lt;($F$7-$E$7)/($G$7-$E$7),$E$7+SQRT(Q572*($G$7-$E$7)*($F$7-$E$7)),$G$7-SQRT((1-Q572)*($G$7-$E$7)*($G$7-$F$7))))</f>
        <v>1.12871077206141</v>
      </c>
      <c r="D572" s="51" t="n">
        <f aca="false">1+IF($G$8=$E$8,$F$8,IF(R572&lt;($F$8-$E$8)/($G$8-$E$8),$E$8+SQRT(R572*($G$8-$E$8)*($F$8-$E$8)),$G$8-SQRT((1-R572)*($G$8-$E$8)*($G$8-$F$8))))</f>
        <v>0.993024682300568</v>
      </c>
      <c r="E572" s="51" t="n">
        <f aca="false">1+IF($G$9=$E$9,$F$9,IF(S572&lt;($F$9-$E$9)/($G$9-$E$9),$E$9+SQRT(S572*($G$9-$E$9)*($F$9-$E$9)),$G$9-SQRT((1-S572)*($G$9-$E$9)*($G$9-$F$9))))</f>
        <v>1.01164142091072</v>
      </c>
      <c r="F572" s="51" t="n">
        <f aca="false">1+IF($G$10=$E$10,$F$10,IF(T572&lt;($F$10-$E$10)/($G$10-$E$10),$E$10+SQRT(T572*($G$10-$E$10)*($F$10-$E$10)),$G$10-SQRT((1-T572)*($G$10-$E$10)*($G$10-$F$10))))</f>
        <v>0.988640493847591</v>
      </c>
      <c r="G572" s="52" t="n">
        <f aca="false">IF($G$11=$E$11,$F$11,IF(U572&lt;($F$11-$E$11)/($G$11-$E$11),$E$11+SQRT(U572*($G$11-$E$11)*($F$11-$E$11)),$G$11-SQRT((1-U572)*($G$11-$E$11)*($G$11-$F$11))))</f>
        <v>0.10085370801885</v>
      </c>
      <c r="H572" s="53" t="n">
        <f aca="false">(('Business Case'!B11*$C572*'Business Case'!B12*$B572)-'Business Case'!B11*$C572*'Business Case'!B13*$D572-'Business Case'!B14*$E572)-MAX(0,(('Business Case'!B11*$C572*'Business Case'!B12*$B572)-'Business Case'!B11*$C572*'Business Case'!B13*$D572-'Business Case'!B14*$E572))*'Business Case'!$B$7-'Business Case'!$B$8*('Business Case'!B11*$C572*'Business Case'!B12*$B572)-'Business Case'!B15*$F572</f>
        <v>-1977280987.69518</v>
      </c>
      <c r="I572" s="53" t="n">
        <f aca="false">(('Business Case'!C11*$C572*'Business Case'!C12*$B572)-'Business Case'!C11*$C572*'Business Case'!C13*$D572-'Business Case'!C14*$E572)-MAX(0,(('Business Case'!C11*$C572*'Business Case'!C12*$B572)-'Business Case'!C11*$C572*'Business Case'!C13*$D572-'Business Case'!C14*$E572))*'Business Case'!$B$7-'Business Case'!$B$8*(('Business Case'!C11*$C572*'Business Case'!C12*$B572)-('Business Case'!B11*$C572*'Business Case'!B12*$B572))-'Business Case'!C15*$F572</f>
        <v>62022955.0074628</v>
      </c>
      <c r="J572" s="53" t="n">
        <f aca="false">(('Business Case'!D11*$C572*'Business Case'!D12*$B572)-'Business Case'!D11*$C572*'Business Case'!D13*$D572-'Business Case'!D14*$E572)-MAX(0,(('Business Case'!D11*$C572*'Business Case'!D12*$B572)-'Business Case'!D11*$C572*'Business Case'!D13*$D572-'Business Case'!D14*$E572))*'Business Case'!$B$7-'Business Case'!$B$8*(('Business Case'!D11*$C572*'Business Case'!D12*$B572)-('Business Case'!C11*$C572*'Business Case'!C12*$B572))-'Business Case'!D15*$F572</f>
        <v>426124938.860016</v>
      </c>
      <c r="K572" s="53" t="n">
        <f aca="false">(('Business Case'!E11*$C572*'Business Case'!E12*$B572)-'Business Case'!E11*$C572*'Business Case'!E13*$D572-'Business Case'!E14*$E572)-MAX(0,(('Business Case'!E11*$C572*'Business Case'!E12*$B572)-'Business Case'!E11*$C572*'Business Case'!E13*$D572-'Business Case'!E14*$E572))*'Business Case'!$B$7-'Business Case'!$B$8*(('Business Case'!E11*$C572*'Business Case'!E12*$B572)-('Business Case'!D11*$C572*'Business Case'!D12*$B572))-'Business Case'!E15*$F572</f>
        <v>839658947.40495</v>
      </c>
      <c r="L572" s="53" t="n">
        <f aca="false">(('Business Case'!F11*$C572*'Business Case'!F12*$B572)-'Business Case'!F11*$C572*'Business Case'!F13*$D572-'Business Case'!F14*$E572)-MAX(0,(('Business Case'!F11*$C572*'Business Case'!F12*$B572)-'Business Case'!F11*$C572*'Business Case'!F13*$D572-'Business Case'!F14*$E572))*'Business Case'!$B$7-'Business Case'!$B$8*(('Business Case'!F11*$C572*'Business Case'!F12*$B572)-('Business Case'!E11*$C572*'Business Case'!E12*$B572))-'Business Case'!F15*$F572</f>
        <v>1000599321.62702</v>
      </c>
      <c r="M572" s="53" t="n">
        <f aca="false">(('Business Case'!G11*$C572*'Business Case'!G12*$B572)-'Business Case'!G11*$C572*'Business Case'!G13*$D572-'Business Case'!G14*$E572)-MAX(0,(('Business Case'!G11*$C572*'Business Case'!G12*$B572)-'Business Case'!G11*$C572*'Business Case'!G13*$D572-'Business Case'!G14*$E572))*'Business Case'!$B$7-'Business Case'!$B$8*(('Business Case'!G11*$C572*'Business Case'!G12*$B572)-('Business Case'!F11*$C572*'Business Case'!F12*$B572))-'Business Case'!G15*$F572+'Business Case'!$B$8*('Business Case'!G11*$C572*'Business Case'!G12*$B572)</f>
        <v>1218251076.11872</v>
      </c>
      <c r="N572" s="53" t="n">
        <f aca="false">IF(COUNT('Business Case'!B11:G11)=0,"",H572+NPV(G572,I572:M572))</f>
        <v>494879671.129521</v>
      </c>
      <c r="P572" s="54" t="n">
        <f aca="true">RAND()</f>
        <v>0.864308474689177</v>
      </c>
      <c r="Q572" s="54" t="n">
        <f aca="true">RAND()</f>
        <v>0.991367024262453</v>
      </c>
      <c r="R572" s="54" t="n">
        <f aca="true">RAND()</f>
        <v>0.284788198009968</v>
      </c>
      <c r="S572" s="54" t="n">
        <f aca="true">RAND()</f>
        <v>0.479517433421588</v>
      </c>
      <c r="T572" s="54" t="n">
        <f aca="true">RAND()</f>
        <v>0.119447021182857</v>
      </c>
      <c r="U572" s="54" t="n">
        <f aca="true">RAND()</f>
        <v>0.389032505620942</v>
      </c>
    </row>
    <row r="573" customFormat="false" ht="15" hidden="false" customHeight="false" outlineLevel="0" collapsed="false">
      <c r="A573" s="50" t="n">
        <v>493</v>
      </c>
      <c r="B573" s="51" t="n">
        <f aca="false">1+IF($G$6=$E$6,$F$6,IF(P573&lt;($F$6-$E$6)/($G$6-$E$6),$E$6+SQRT(P573*($G$6-$E$6)*($F$6-$E$6)),$G$6-SQRT((1-P573)*($G$6-$E$6)*($G$6-$F$6))))</f>
        <v>0.956572436895676</v>
      </c>
      <c r="C573" s="51" t="n">
        <f aca="false">1+IF($G$7=$E$7,$F$7,IF(Q573&lt;($F$7-$E$7)/($G$7-$E$7),$E$7+SQRT(Q573*($G$7-$E$7)*($F$7-$E$7)),$G$7-SQRT((1-Q573)*($G$7-$E$7)*($G$7-$F$7))))</f>
        <v>0.886875944411874</v>
      </c>
      <c r="D573" s="51" t="n">
        <f aca="false">1+IF($G$8=$E$8,$F$8,IF(R573&lt;($F$8-$E$8)/($G$8-$E$8),$E$8+SQRT(R573*($G$8-$E$8)*($F$8-$E$8)),$G$8-SQRT((1-R573)*($G$8-$E$8)*($G$8-$F$8))))</f>
        <v>0.989584406934738</v>
      </c>
      <c r="E573" s="51" t="n">
        <f aca="false">1+IF($G$9=$E$9,$F$9,IF(S573&lt;($F$9-$E$9)/($G$9-$E$9),$E$9+SQRT(S573*($G$9-$E$9)*($F$9-$E$9)),$G$9-SQRT((1-S573)*($G$9-$E$9)*($G$9-$F$9))))</f>
        <v>1.0054430337311</v>
      </c>
      <c r="F573" s="51" t="n">
        <f aca="false">1+IF($G$10=$E$10,$F$10,IF(T573&lt;($F$10-$E$10)/($G$10-$E$10),$E$10+SQRT(T573*($G$10-$E$10)*($F$10-$E$10)),$G$10-SQRT((1-T573)*($G$10-$E$10)*($G$10-$F$10))))</f>
        <v>1.03195931341873</v>
      </c>
      <c r="G573" s="52" t="n">
        <f aca="false">IF($G$11=$E$11,$F$11,IF(U573&lt;($F$11-$E$11)/($G$11-$E$11),$E$11+SQRT(U573*($G$11-$E$11)*($F$11-$E$11)),$G$11-SQRT((1-U573)*($G$11-$E$11)*($G$11-$F$11))))</f>
        <v>0.101676170776389</v>
      </c>
      <c r="H573" s="53" t="n">
        <f aca="false">(('Business Case'!B11*$C573*'Business Case'!B12*$B573)-'Business Case'!B11*$C573*'Business Case'!B13*$D573-'Business Case'!B14*$E573)-MAX(0,(('Business Case'!B11*$C573*'Business Case'!B12*$B573)-'Business Case'!B11*$C573*'Business Case'!B13*$D573-'Business Case'!B14*$E573))*'Business Case'!$B$7-'Business Case'!$B$8*('Business Case'!B11*$C573*'Business Case'!B12*$B573)-'Business Case'!B15*$F573</f>
        <v>-2063918626.83747</v>
      </c>
      <c r="I573" s="53" t="n">
        <f aca="false">(('Business Case'!C11*$C573*'Business Case'!C12*$B573)-'Business Case'!C11*$C573*'Business Case'!C13*$D573-'Business Case'!C14*$E573)-MAX(0,(('Business Case'!C11*$C573*'Business Case'!C12*$B573)-'Business Case'!C11*$C573*'Business Case'!C13*$D573-'Business Case'!C14*$E573))*'Business Case'!$B$7-'Business Case'!$B$8*(('Business Case'!C11*$C573*'Business Case'!C12*$B573)-('Business Case'!B11*$C573*'Business Case'!B12*$B573))-'Business Case'!C15*$F573</f>
        <v>-44560914.9371575</v>
      </c>
      <c r="J573" s="53" t="n">
        <f aca="false">(('Business Case'!D11*$C573*'Business Case'!D12*$B573)-'Business Case'!D11*$C573*'Business Case'!D13*$D573-'Business Case'!D14*$E573)-MAX(0,(('Business Case'!D11*$C573*'Business Case'!D12*$B573)-'Business Case'!D11*$C573*'Business Case'!D13*$D573-'Business Case'!D14*$E573))*'Business Case'!$B$7-'Business Case'!$B$8*(('Business Case'!D11*$C573*'Business Case'!D12*$B573)-('Business Case'!C11*$C573*'Business Case'!C12*$B573))-'Business Case'!D15*$F573</f>
        <v>201027139.426032</v>
      </c>
      <c r="K573" s="53" t="n">
        <f aca="false">(('Business Case'!E11*$C573*'Business Case'!E12*$B573)-'Business Case'!E11*$C573*'Business Case'!E13*$D573-'Business Case'!E14*$E573)-MAX(0,(('Business Case'!E11*$C573*'Business Case'!E12*$B573)-'Business Case'!E11*$C573*'Business Case'!E13*$D573-'Business Case'!E14*$E573))*'Business Case'!$B$7-'Business Case'!$B$8*(('Business Case'!E11*$C573*'Business Case'!E12*$B573)-('Business Case'!D11*$C573*'Business Case'!D12*$B573))-'Business Case'!E15*$F573</f>
        <v>498213159.460159</v>
      </c>
      <c r="L573" s="53" t="n">
        <f aca="false">(('Business Case'!F11*$C573*'Business Case'!F12*$B573)-'Business Case'!F11*$C573*'Business Case'!F13*$D573-'Business Case'!F14*$E573)-MAX(0,(('Business Case'!F11*$C573*'Business Case'!F12*$B573)-'Business Case'!F11*$C573*'Business Case'!F13*$D573-'Business Case'!F14*$E573))*'Business Case'!$B$7-'Business Case'!$B$8*(('Business Case'!F11*$C573*'Business Case'!F12*$B573)-('Business Case'!E11*$C573*'Business Case'!E12*$B573))-'Business Case'!F15*$F573</f>
        <v>609395203.289164</v>
      </c>
      <c r="M573" s="53" t="n">
        <f aca="false">(('Business Case'!G11*$C573*'Business Case'!G12*$B573)-'Business Case'!G11*$C573*'Business Case'!G13*$D573-'Business Case'!G14*$E573)-MAX(0,(('Business Case'!G11*$C573*'Business Case'!G12*$B573)-'Business Case'!G11*$C573*'Business Case'!G13*$D573-'Business Case'!G14*$E573))*'Business Case'!$B$7-'Business Case'!$B$8*(('Business Case'!G11*$C573*'Business Case'!G12*$B573)-('Business Case'!F11*$C573*'Business Case'!F12*$B573))-'Business Case'!G15*$F573+'Business Case'!$B$8*('Business Case'!G11*$C573*'Business Case'!G12*$B573)</f>
        <v>770651678.016175</v>
      </c>
      <c r="N573" s="53" t="n">
        <f aca="false">IF(COUNT('Business Case'!B11:G11)=0,"",H573+NPV(G573,I573:M573))</f>
        <v>-677542274.015026</v>
      </c>
      <c r="P573" s="54" t="n">
        <f aca="true">RAND()</f>
        <v>0.139327410467522</v>
      </c>
      <c r="Q573" s="54" t="n">
        <f aca="true">RAND()</f>
        <v>0.107820424535071</v>
      </c>
      <c r="R573" s="54" t="n">
        <f aca="true">RAND()</f>
        <v>0.241065426519222</v>
      </c>
      <c r="S573" s="54" t="n">
        <f aca="true">RAND()</f>
        <v>0.403932008668097</v>
      </c>
      <c r="T573" s="54" t="n">
        <f aca="true">RAND()</f>
        <v>0.435246553065927</v>
      </c>
      <c r="U573" s="54" t="n">
        <f aca="true">RAND()</f>
        <v>0.440395470973211</v>
      </c>
    </row>
    <row r="574" customFormat="false" ht="15" hidden="false" customHeight="false" outlineLevel="0" collapsed="false">
      <c r="A574" s="50" t="n">
        <v>494</v>
      </c>
      <c r="B574" s="51" t="n">
        <f aca="false">1+IF($G$6=$E$6,$F$6,IF(P574&lt;($F$6-$E$6)/($G$6-$E$6),$E$6+SQRT(P574*($G$6-$E$6)*($F$6-$E$6)),$G$6-SQRT((1-P574)*($G$6-$E$6)*($G$6-$F$6))))</f>
        <v>0.999424873538191</v>
      </c>
      <c r="C574" s="51" t="n">
        <f aca="false">1+IF($G$7=$E$7,$F$7,IF(Q574&lt;($F$7-$E$7)/($G$7-$E$7),$E$7+SQRT(Q574*($G$7-$E$7)*($F$7-$E$7)),$G$7-SQRT((1-Q574)*($G$7-$E$7)*($G$7-$F$7))))</f>
        <v>0.871252177561829</v>
      </c>
      <c r="D574" s="51" t="n">
        <f aca="false">1+IF($G$8=$E$8,$F$8,IF(R574&lt;($F$8-$E$8)/($G$8-$E$8),$E$8+SQRT(R574*($G$8-$E$8)*($F$8-$E$8)),$G$8-SQRT((1-R574)*($G$8-$E$8)*($G$8-$F$8))))</f>
        <v>1.0103818962078</v>
      </c>
      <c r="E574" s="51" t="n">
        <f aca="false">1+IF($G$9=$E$9,$F$9,IF(S574&lt;($F$9-$E$9)/($G$9-$E$9),$E$9+SQRT(S574*($G$9-$E$9)*($F$9-$E$9)),$G$9-SQRT((1-S574)*($G$9-$E$9)*($G$9-$F$9))))</f>
        <v>1.04531816366964</v>
      </c>
      <c r="F574" s="51" t="n">
        <f aca="false">1+IF($G$10=$E$10,$F$10,IF(T574&lt;($F$10-$E$10)/($G$10-$E$10),$E$10+SQRT(T574*($G$10-$E$10)*($F$10-$E$10)),$G$10-SQRT((1-T574)*($G$10-$E$10)*($G$10-$F$10))))</f>
        <v>1.0104677593523</v>
      </c>
      <c r="G574" s="52" t="n">
        <f aca="false">IF($G$11=$E$11,$F$11,IF(U574&lt;($F$11-$E$11)/($G$11-$E$11),$E$11+SQRT(U574*($G$11-$E$11)*($F$11-$E$11)),$G$11-SQRT((1-U574)*($G$11-$E$11)*($G$11-$F$11))))</f>
        <v>0.0981315417022149</v>
      </c>
      <c r="H574" s="53" t="n">
        <f aca="false">(('Business Case'!B11*$C574*'Business Case'!B12*$B574)-'Business Case'!B11*$C574*'Business Case'!B13*$D574-'Business Case'!B14*$E574)-MAX(0,(('Business Case'!B11*$C574*'Business Case'!B12*$B574)-'Business Case'!B11*$C574*'Business Case'!B13*$D574-'Business Case'!B14*$E574))*'Business Case'!$B$7-'Business Case'!$B$8*('Business Case'!B11*$C574*'Business Case'!B12*$B574)-'Business Case'!B15*$F574</f>
        <v>-2020935518.7046</v>
      </c>
      <c r="I574" s="53" t="n">
        <f aca="false">(('Business Case'!C11*$C574*'Business Case'!C12*$B574)-'Business Case'!C11*$C574*'Business Case'!C13*$D574-'Business Case'!C14*$E574)-MAX(0,(('Business Case'!C11*$C574*'Business Case'!C12*$B574)-'Business Case'!C11*$C574*'Business Case'!C13*$D574-'Business Case'!C14*$E574))*'Business Case'!$B$7-'Business Case'!$B$8*(('Business Case'!C11*$C574*'Business Case'!C12*$B574)-('Business Case'!B11*$C574*'Business Case'!B12*$B574))-'Business Case'!C15*$F574</f>
        <v>-32264771.8170513</v>
      </c>
      <c r="J574" s="53" t="n">
        <f aca="false">(('Business Case'!D11*$C574*'Business Case'!D12*$B574)-'Business Case'!D11*$C574*'Business Case'!D13*$D574-'Business Case'!D14*$E574)-MAX(0,(('Business Case'!D11*$C574*'Business Case'!D12*$B574)-'Business Case'!D11*$C574*'Business Case'!D13*$D574-'Business Case'!D14*$E574))*'Business Case'!$B$7-'Business Case'!$B$8*(('Business Case'!D11*$C574*'Business Case'!D12*$B574)-('Business Case'!C11*$C574*'Business Case'!C12*$B574))-'Business Case'!D15*$F574</f>
        <v>230301212.063109</v>
      </c>
      <c r="K574" s="53" t="n">
        <f aca="false">(('Business Case'!E11*$C574*'Business Case'!E12*$B574)-'Business Case'!E11*$C574*'Business Case'!E13*$D574-'Business Case'!E14*$E574)-MAX(0,(('Business Case'!E11*$C574*'Business Case'!E12*$B574)-'Business Case'!E11*$C574*'Business Case'!E13*$D574-'Business Case'!E14*$E574))*'Business Case'!$B$7-'Business Case'!$B$8*(('Business Case'!E11*$C574*'Business Case'!E12*$B574)-('Business Case'!D11*$C574*'Business Case'!D12*$B574))-'Business Case'!E15*$F574</f>
        <v>543390583.910884</v>
      </c>
      <c r="L574" s="53" t="n">
        <f aca="false">(('Business Case'!F11*$C574*'Business Case'!F12*$B574)-'Business Case'!F11*$C574*'Business Case'!F13*$D574-'Business Case'!F14*$E574)-MAX(0,(('Business Case'!F11*$C574*'Business Case'!F12*$B574)-'Business Case'!F11*$C574*'Business Case'!F13*$D574-'Business Case'!F14*$E574))*'Business Case'!$B$7-'Business Case'!$B$8*(('Business Case'!F11*$C574*'Business Case'!F12*$B574)-('Business Case'!E11*$C574*'Business Case'!E12*$B574))-'Business Case'!F15*$F574</f>
        <v>661005736.463043</v>
      </c>
      <c r="M574" s="53" t="n">
        <f aca="false">(('Business Case'!G11*$C574*'Business Case'!G12*$B574)-'Business Case'!G11*$C574*'Business Case'!G13*$D574-'Business Case'!G14*$E574)-MAX(0,(('Business Case'!G11*$C574*'Business Case'!G12*$B574)-'Business Case'!G11*$C574*'Business Case'!G13*$D574-'Business Case'!G14*$E574))*'Business Case'!$B$7-'Business Case'!$B$8*(('Business Case'!G11*$C574*'Business Case'!G12*$B574)-('Business Case'!F11*$C574*'Business Case'!F12*$B574))-'Business Case'!G15*$F574+'Business Case'!$B$8*('Business Case'!G11*$C574*'Business Case'!G12*$B574)</f>
        <v>826518105.052958</v>
      </c>
      <c r="N574" s="53" t="n">
        <f aca="false">IF(COUNT('Business Case'!B11:G11)=0,"",H574+NPV(G574,I574:M574))</f>
        <v>-476852311.457891</v>
      </c>
      <c r="P574" s="54" t="n">
        <f aca="true">RAND()</f>
        <v>0.657115680891423</v>
      </c>
      <c r="Q574" s="54" t="n">
        <f aca="true">RAND()</f>
        <v>0.0725267543900344</v>
      </c>
      <c r="R574" s="54" t="n">
        <f aca="true">RAND()</f>
        <v>0.533973040805557</v>
      </c>
      <c r="S574" s="54" t="n">
        <f aca="true">RAND()</f>
        <v>0.800659785035959</v>
      </c>
      <c r="T574" s="54" t="n">
        <f aca="true">RAND()</f>
        <v>0.28155059510126</v>
      </c>
      <c r="U574" s="54" t="n">
        <f aca="true">RAND()</f>
        <v>0.220406568182869</v>
      </c>
    </row>
    <row r="575" customFormat="false" ht="15" hidden="false" customHeight="false" outlineLevel="0" collapsed="false">
      <c r="A575" s="50" t="n">
        <v>495</v>
      </c>
      <c r="B575" s="51" t="n">
        <f aca="false">1+IF($G$6=$E$6,$F$6,IF(P575&lt;($F$6-$E$6)/($G$6-$E$6),$E$6+SQRT(P575*($G$6-$E$6)*($F$6-$E$6)),$G$6-SQRT((1-P575)*($G$6-$E$6)*($G$6-$F$6))))</f>
        <v>1.01756382130831</v>
      </c>
      <c r="C575" s="51" t="n">
        <f aca="false">1+IF($G$7=$E$7,$F$7,IF(Q575&lt;($F$7-$E$7)/($G$7-$E$7),$E$7+SQRT(Q575*($G$7-$E$7)*($F$7-$E$7)),$G$7-SQRT((1-Q575)*($G$7-$E$7)*($G$7-$F$7))))</f>
        <v>1.06209246033746</v>
      </c>
      <c r="D575" s="51" t="n">
        <f aca="false">1+IF($G$8=$E$8,$F$8,IF(R575&lt;($F$8-$E$8)/($G$8-$E$8),$E$8+SQRT(R575*($G$8-$E$8)*($F$8-$E$8)),$G$8-SQRT((1-R575)*($G$8-$E$8)*($G$8-$F$8))))</f>
        <v>1.0460575445566</v>
      </c>
      <c r="E575" s="51" t="n">
        <f aca="false">1+IF($G$9=$E$9,$F$9,IF(S575&lt;($F$9-$E$9)/($G$9-$E$9),$E$9+SQRT(S575*($G$9-$E$9)*($F$9-$E$9)),$G$9-SQRT((1-S575)*($G$9-$E$9)*($G$9-$F$9))))</f>
        <v>1.01224211781572</v>
      </c>
      <c r="F575" s="51" t="n">
        <f aca="false">1+IF($G$10=$E$10,$F$10,IF(T575&lt;($F$10-$E$10)/($G$10-$E$10),$E$10+SQRT(T575*($G$10-$E$10)*($F$10-$E$10)),$G$10-SQRT((1-T575)*($G$10-$E$10)*($G$10-$F$10))))</f>
        <v>1.02649594574467</v>
      </c>
      <c r="G575" s="52" t="n">
        <f aca="false">IF($G$11=$E$11,$F$11,IF(U575&lt;($F$11-$E$11)/($G$11-$E$11),$E$11+SQRT(U575*($G$11-$E$11)*($F$11-$E$11)),$G$11-SQRT((1-U575)*($G$11-$E$11)*($G$11-$F$11))))</f>
        <v>0.105076700265073</v>
      </c>
      <c r="H575" s="53" t="n">
        <f aca="false">(('Business Case'!B11*$C575*'Business Case'!B12*$B575)-'Business Case'!B11*$C575*'Business Case'!B13*$D575-'Business Case'!B14*$E575)-MAX(0,(('Business Case'!B11*$C575*'Business Case'!B12*$B575)-'Business Case'!B11*$C575*'Business Case'!B13*$D575-'Business Case'!B14*$E575))*'Business Case'!$B$7-'Business Case'!$B$8*('Business Case'!B11*$C575*'Business Case'!B12*$B575)-'Business Case'!B15*$F575</f>
        <v>-2052991891.48934</v>
      </c>
      <c r="I575" s="53" t="n">
        <f aca="false">(('Business Case'!C11*$C575*'Business Case'!C12*$B575)-'Business Case'!C11*$C575*'Business Case'!C13*$D575-'Business Case'!C14*$E575)-MAX(0,(('Business Case'!C11*$C575*'Business Case'!C12*$B575)-'Business Case'!C11*$C575*'Business Case'!C13*$D575-'Business Case'!C14*$E575))*'Business Case'!$B$7-'Business Case'!$B$8*(('Business Case'!C11*$C575*'Business Case'!C12*$B575)-('Business Case'!B11*$C575*'Business Case'!B12*$B575))-'Business Case'!C15*$F575</f>
        <v>13845000.3362698</v>
      </c>
      <c r="J575" s="53" t="n">
        <f aca="false">(('Business Case'!D11*$C575*'Business Case'!D12*$B575)-'Business Case'!D11*$C575*'Business Case'!D13*$D575-'Business Case'!D14*$E575)-MAX(0,(('Business Case'!D11*$C575*'Business Case'!D12*$B575)-'Business Case'!D11*$C575*'Business Case'!D13*$D575-'Business Case'!D14*$E575))*'Business Case'!$B$7-'Business Case'!$B$8*(('Business Case'!D11*$C575*'Business Case'!D12*$B575)-('Business Case'!C11*$C575*'Business Case'!C12*$B575))-'Business Case'!D15*$F575</f>
        <v>330306341.753632</v>
      </c>
      <c r="K575" s="53" t="n">
        <f aca="false">(('Business Case'!E11*$C575*'Business Case'!E12*$B575)-'Business Case'!E11*$C575*'Business Case'!E13*$D575-'Business Case'!E14*$E575)-MAX(0,(('Business Case'!E11*$C575*'Business Case'!E12*$B575)-'Business Case'!E11*$C575*'Business Case'!E13*$D575-'Business Case'!E14*$E575))*'Business Case'!$B$7-'Business Case'!$B$8*(('Business Case'!E11*$C575*'Business Case'!E12*$B575)-('Business Case'!D11*$C575*'Business Case'!D12*$B575))-'Business Case'!E15*$F575</f>
        <v>698092480.458229</v>
      </c>
      <c r="L575" s="53" t="n">
        <f aca="false">(('Business Case'!F11*$C575*'Business Case'!F12*$B575)-'Business Case'!F11*$C575*'Business Case'!F13*$D575-'Business Case'!F14*$E575)-MAX(0,(('Business Case'!F11*$C575*'Business Case'!F12*$B575)-'Business Case'!F11*$C575*'Business Case'!F13*$D575-'Business Case'!F14*$E575))*'Business Case'!$B$7-'Business Case'!$B$8*(('Business Case'!F11*$C575*'Business Case'!F12*$B575)-('Business Case'!E11*$C575*'Business Case'!E12*$B575))-'Business Case'!F15*$F575</f>
        <v>840930205.832837</v>
      </c>
      <c r="M575" s="53" t="n">
        <f aca="false">(('Business Case'!G11*$C575*'Business Case'!G12*$B575)-'Business Case'!G11*$C575*'Business Case'!G13*$D575-'Business Case'!G14*$E575)-MAX(0,(('Business Case'!G11*$C575*'Business Case'!G12*$B575)-'Business Case'!G11*$C575*'Business Case'!G13*$D575-'Business Case'!G14*$E575))*'Business Case'!$B$7-'Business Case'!$B$8*(('Business Case'!G11*$C575*'Business Case'!G12*$B575)-('Business Case'!F11*$C575*'Business Case'!F12*$B575))-'Business Case'!G15*$F575+'Business Case'!$B$8*('Business Case'!G11*$C575*'Business Case'!G12*$B575)</f>
        <v>1046358569.46135</v>
      </c>
      <c r="N575" s="53" t="n">
        <f aca="false">IF(COUNT('Business Case'!B11:G11)=0,"",H575+NPV(G575,I575:M575))</f>
        <v>-53889569.7194331</v>
      </c>
      <c r="P575" s="54" t="n">
        <f aca="true">RAND()</f>
        <v>0.895128726190576</v>
      </c>
      <c r="Q575" s="54" t="n">
        <f aca="true">RAND()</f>
        <v>0.852805037532937</v>
      </c>
      <c r="R575" s="54" t="n">
        <f aca="true">RAND()</f>
        <v>0.889222088314668</v>
      </c>
      <c r="S575" s="54" t="n">
        <f aca="true">RAND()</f>
        <v>0.486570274302006</v>
      </c>
      <c r="T575" s="54" t="n">
        <f aca="true">RAND()</f>
        <v>0.397926863139268</v>
      </c>
      <c r="U575" s="54" t="n">
        <f aca="true">RAND()</f>
        <v>0.628825208369224</v>
      </c>
    </row>
    <row r="576" customFormat="false" ht="15" hidden="false" customHeight="false" outlineLevel="0" collapsed="false">
      <c r="A576" s="50" t="n">
        <v>496</v>
      </c>
      <c r="B576" s="51" t="n">
        <f aca="false">1+IF($G$6=$E$6,$F$6,IF(P576&lt;($F$6-$E$6)/($G$6-$E$6),$E$6+SQRT(P576*($G$6-$E$6)*($F$6-$E$6)),$G$6-SQRT((1-P576)*($G$6-$E$6)*($G$6-$F$6))))</f>
        <v>0.940095072367538</v>
      </c>
      <c r="C576" s="51" t="n">
        <f aca="false">1+IF($G$7=$E$7,$F$7,IF(Q576&lt;($F$7-$E$7)/($G$7-$E$7),$E$7+SQRT(Q576*($G$7-$E$7)*($F$7-$E$7)),$G$7-SQRT((1-Q576)*($G$7-$E$7)*($G$7-$F$7))))</f>
        <v>0.960502997311206</v>
      </c>
      <c r="D576" s="51" t="n">
        <f aca="false">1+IF($G$8=$E$8,$F$8,IF(R576&lt;($F$8-$E$8)/($G$8-$E$8),$E$8+SQRT(R576*($G$8-$E$8)*($F$8-$E$8)),$G$8-SQRT((1-R576)*($G$8-$E$8)*($G$8-$F$8))))</f>
        <v>0.995522475283631</v>
      </c>
      <c r="E576" s="51" t="n">
        <f aca="false">1+IF($G$9=$E$9,$F$9,IF(S576&lt;($F$9-$E$9)/($G$9-$E$9),$E$9+SQRT(S576*($G$9-$E$9)*($F$9-$E$9)),$G$9-SQRT((1-S576)*($G$9-$E$9)*($G$9-$F$9))))</f>
        <v>1.05373808484481</v>
      </c>
      <c r="F576" s="51" t="n">
        <f aca="false">1+IF($G$10=$E$10,$F$10,IF(T576&lt;($F$10-$E$10)/($G$10-$E$10),$E$10+SQRT(T576*($G$10-$E$10)*($F$10-$E$10)),$G$10-SQRT((1-T576)*($G$10-$E$10)*($G$10-$F$10))))</f>
        <v>1.06000049098268</v>
      </c>
      <c r="G576" s="52" t="n">
        <f aca="false">IF($G$11=$E$11,$F$11,IF(U576&lt;($F$11-$E$11)/($G$11-$E$11),$E$11+SQRT(U576*($G$11-$E$11)*($F$11-$E$11)),$G$11-SQRT((1-U576)*($G$11-$E$11)*($G$11-$F$11))))</f>
        <v>0.0961406173513955</v>
      </c>
      <c r="H576" s="53" t="n">
        <f aca="false">(('Business Case'!B11*$C576*'Business Case'!B12*$B576)-'Business Case'!B11*$C576*'Business Case'!B13*$D576-'Business Case'!B14*$E576)-MAX(0,(('Business Case'!B11*$C576*'Business Case'!B12*$B576)-'Business Case'!B11*$C576*'Business Case'!B13*$D576-'Business Case'!B14*$E576))*'Business Case'!$B$7-'Business Case'!$B$8*('Business Case'!B11*$C576*'Business Case'!B12*$B576)-'Business Case'!B15*$F576</f>
        <v>-2120000981.96536</v>
      </c>
      <c r="I576" s="53" t="n">
        <f aca="false">(('Business Case'!C11*$C576*'Business Case'!C12*$B576)-'Business Case'!C11*$C576*'Business Case'!C13*$D576-'Business Case'!C14*$E576)-MAX(0,(('Business Case'!C11*$C576*'Business Case'!C12*$B576)-'Business Case'!C11*$C576*'Business Case'!C13*$D576-'Business Case'!C14*$E576))*'Business Case'!$B$7-'Business Case'!$B$8*(('Business Case'!C11*$C576*'Business Case'!C12*$B576)-('Business Case'!B11*$C576*'Business Case'!B12*$B576))-'Business Case'!C15*$F576</f>
        <v>-52557718.0894109</v>
      </c>
      <c r="J576" s="53" t="n">
        <f aca="false">(('Business Case'!D11*$C576*'Business Case'!D12*$B576)-'Business Case'!D11*$C576*'Business Case'!D13*$D576-'Business Case'!D14*$E576)-MAX(0,(('Business Case'!D11*$C576*'Business Case'!D12*$B576)-'Business Case'!D11*$C576*'Business Case'!D13*$D576-'Business Case'!D14*$E576))*'Business Case'!$B$7-'Business Case'!$B$8*(('Business Case'!D11*$C576*'Business Case'!D12*$B576)-('Business Case'!C11*$C576*'Business Case'!C12*$B576))-'Business Case'!D15*$F576</f>
        <v>197535829.330674</v>
      </c>
      <c r="K576" s="53" t="n">
        <f aca="false">(('Business Case'!E11*$C576*'Business Case'!E12*$B576)-'Business Case'!E11*$C576*'Business Case'!E13*$D576-'Business Case'!E14*$E576)-MAX(0,(('Business Case'!E11*$C576*'Business Case'!E12*$B576)-'Business Case'!E11*$C576*'Business Case'!E13*$D576-'Business Case'!E14*$E576))*'Business Case'!$B$7-'Business Case'!$B$8*(('Business Case'!E11*$C576*'Business Case'!E12*$B576)-('Business Case'!D11*$C576*'Business Case'!D12*$B576))-'Business Case'!E15*$F576</f>
        <v>500629401.299893</v>
      </c>
      <c r="L576" s="53" t="n">
        <f aca="false">(('Business Case'!F11*$C576*'Business Case'!F12*$B576)-'Business Case'!F11*$C576*'Business Case'!F13*$D576-'Business Case'!F14*$E576)-MAX(0,(('Business Case'!F11*$C576*'Business Case'!F12*$B576)-'Business Case'!F11*$C576*'Business Case'!F13*$D576-'Business Case'!F14*$E576))*'Business Case'!$B$7-'Business Case'!$B$8*(('Business Case'!F11*$C576*'Business Case'!F12*$B576)-('Business Case'!E11*$C576*'Business Case'!E12*$B576))-'Business Case'!F15*$F576</f>
        <v>615200357.604118</v>
      </c>
      <c r="M576" s="53" t="n">
        <f aca="false">(('Business Case'!G11*$C576*'Business Case'!G12*$B576)-'Business Case'!G11*$C576*'Business Case'!G13*$D576-'Business Case'!G14*$E576)-MAX(0,(('Business Case'!G11*$C576*'Business Case'!G12*$B576)-'Business Case'!G11*$C576*'Business Case'!G13*$D576-'Business Case'!G14*$E576))*'Business Case'!$B$7-'Business Case'!$B$8*(('Business Case'!G11*$C576*'Business Case'!G12*$B576)-('Business Case'!F11*$C576*'Business Case'!F12*$B576))-'Business Case'!G15*$F576+'Business Case'!$B$8*('Business Case'!G11*$C576*'Business Case'!G12*$B576)</f>
        <v>786835780.340537</v>
      </c>
      <c r="N576" s="53" t="n">
        <f aca="false">IF(COUNT('Business Case'!B11:G11)=0,"",H576+NPV(G576,I576:M576))</f>
        <v>-700063404.43726</v>
      </c>
      <c r="P576" s="54" t="n">
        <f aca="true">RAND()</f>
        <v>0.0420637430683954</v>
      </c>
      <c r="Q576" s="54" t="n">
        <f aca="true">RAND()</f>
        <v>0.368017316369726</v>
      </c>
      <c r="R576" s="54" t="n">
        <f aca="true">RAND()</f>
        <v>0.318814731684432</v>
      </c>
      <c r="S576" s="54" t="n">
        <f aca="true">RAND()</f>
        <v>0.857322347078257</v>
      </c>
      <c r="T576" s="54" t="n">
        <f aca="true">RAND()</f>
        <v>0.60800274949818</v>
      </c>
      <c r="U576" s="54" t="n">
        <f aca="true">RAND()</f>
        <v>0.1256906048542</v>
      </c>
    </row>
    <row r="577" customFormat="false" ht="15" hidden="false" customHeight="false" outlineLevel="0" collapsed="false">
      <c r="A577" s="50" t="n">
        <v>497</v>
      </c>
      <c r="B577" s="51" t="n">
        <f aca="false">1+IF($G$6=$E$6,$F$6,IF(P577&lt;($F$6-$E$6)/($G$6-$E$6),$E$6+SQRT(P577*($G$6-$E$6)*($F$6-$E$6)),$G$6-SQRT((1-P577)*($G$6-$E$6)*($G$6-$F$6))))</f>
        <v>1.00004132426159</v>
      </c>
      <c r="C577" s="51" t="n">
        <f aca="false">1+IF($G$7=$E$7,$F$7,IF(Q577&lt;($F$7-$E$7)/($G$7-$E$7),$E$7+SQRT(Q577*($G$7-$E$7)*($F$7-$E$7)),$G$7-SQRT((1-Q577)*($G$7-$E$7)*($G$7-$F$7))))</f>
        <v>1.01552527270771</v>
      </c>
      <c r="D577" s="51" t="n">
        <f aca="false">1+IF($G$8=$E$8,$F$8,IF(R577&lt;($F$8-$E$8)/($G$8-$E$8),$E$8+SQRT(R577*($G$8-$E$8)*($F$8-$E$8)),$G$8-SQRT((1-R577)*($G$8-$E$8)*($G$8-$F$8))))</f>
        <v>0.974093923292071</v>
      </c>
      <c r="E577" s="51" t="n">
        <f aca="false">1+IF($G$9=$E$9,$F$9,IF(S577&lt;($F$9-$E$9)/($G$9-$E$9),$E$9+SQRT(S577*($G$9-$E$9)*($F$9-$E$9)),$G$9-SQRT((1-S577)*($G$9-$E$9)*($G$9-$F$9))))</f>
        <v>0.991794921209838</v>
      </c>
      <c r="F577" s="51" t="n">
        <f aca="false">1+IF($G$10=$E$10,$F$10,IF(T577&lt;($F$10-$E$10)/($G$10-$E$10),$E$10+SQRT(T577*($G$10-$E$10)*($F$10-$E$10)),$G$10-SQRT((1-T577)*($G$10-$E$10)*($G$10-$F$10))))</f>
        <v>1.16846219224849</v>
      </c>
      <c r="G577" s="52" t="n">
        <f aca="false">IF($G$11=$E$11,$F$11,IF(U577&lt;($F$11-$E$11)/($G$11-$E$11),$E$11+SQRT(U577*($G$11-$E$11)*($F$11-$E$11)),$G$11-SQRT((1-U577)*($G$11-$E$11)*($G$11-$F$11))))</f>
        <v>0.110475312112775</v>
      </c>
      <c r="H577" s="53" t="n">
        <f aca="false">(('Business Case'!B11*$C577*'Business Case'!B12*$B577)-'Business Case'!B11*$C577*'Business Case'!B13*$D577-'Business Case'!B14*$E577)-MAX(0,(('Business Case'!B11*$C577*'Business Case'!B12*$B577)-'Business Case'!B11*$C577*'Business Case'!B13*$D577-'Business Case'!B14*$E577))*'Business Case'!$B$7-'Business Case'!$B$8*('Business Case'!B11*$C577*'Business Case'!B12*$B577)-'Business Case'!B15*$F577</f>
        <v>-2336924384.49698</v>
      </c>
      <c r="I577" s="53" t="n">
        <f aca="false">(('Business Case'!C11*$C577*'Business Case'!C12*$B577)-'Business Case'!C11*$C577*'Business Case'!C13*$D577-'Business Case'!C14*$E577)-MAX(0,(('Business Case'!C11*$C577*'Business Case'!C12*$B577)-'Business Case'!C11*$C577*'Business Case'!C13*$D577-'Business Case'!C14*$E577))*'Business Case'!$B$7-'Business Case'!$B$8*(('Business Case'!C11*$C577*'Business Case'!C12*$B577)-('Business Case'!B11*$C577*'Business Case'!B12*$B577))-'Business Case'!C15*$F577</f>
        <v>14896261.3860123</v>
      </c>
      <c r="J577" s="53" t="n">
        <f aca="false">(('Business Case'!D11*$C577*'Business Case'!D12*$B577)-'Business Case'!D11*$C577*'Business Case'!D13*$D577-'Business Case'!D14*$E577)-MAX(0,(('Business Case'!D11*$C577*'Business Case'!D12*$B577)-'Business Case'!D11*$C577*'Business Case'!D13*$D577-'Business Case'!D14*$E577))*'Business Case'!$B$7-'Business Case'!$B$8*(('Business Case'!D11*$C577*'Business Case'!D12*$B577)-('Business Case'!C11*$C577*'Business Case'!C12*$B577))-'Business Case'!D15*$F577</f>
        <v>340318985.438812</v>
      </c>
      <c r="K577" s="53" t="n">
        <f aca="false">(('Business Case'!E11*$C577*'Business Case'!E12*$B577)-'Business Case'!E11*$C577*'Business Case'!E13*$D577-'Business Case'!E14*$E577)-MAX(0,(('Business Case'!E11*$C577*'Business Case'!E12*$B577)-'Business Case'!E11*$C577*'Business Case'!E13*$D577-'Business Case'!E14*$E577))*'Business Case'!$B$7-'Business Case'!$B$8*(('Business Case'!E11*$C577*'Business Case'!E12*$B577)-('Business Case'!D11*$C577*'Business Case'!D12*$B577))-'Business Case'!E15*$F577</f>
        <v>724164819.104036</v>
      </c>
      <c r="L577" s="53" t="n">
        <f aca="false">(('Business Case'!F11*$C577*'Business Case'!F12*$B577)-'Business Case'!F11*$C577*'Business Case'!F13*$D577-'Business Case'!F14*$E577)-MAX(0,(('Business Case'!F11*$C577*'Business Case'!F12*$B577)-'Business Case'!F11*$C577*'Business Case'!F13*$D577-'Business Case'!F14*$E577))*'Business Case'!$B$7-'Business Case'!$B$8*(('Business Case'!F11*$C577*'Business Case'!F12*$B577)-('Business Case'!E11*$C577*'Business Case'!E12*$B577))-'Business Case'!F15*$F577</f>
        <v>867737064.218903</v>
      </c>
      <c r="M577" s="53" t="n">
        <f aca="false">(('Business Case'!G11*$C577*'Business Case'!G12*$B577)-'Business Case'!G11*$C577*'Business Case'!G13*$D577-'Business Case'!G14*$E577)-MAX(0,(('Business Case'!G11*$C577*'Business Case'!G12*$B577)-'Business Case'!G11*$C577*'Business Case'!G13*$D577-'Business Case'!G14*$E577))*'Business Case'!$B$7-'Business Case'!$B$8*(('Business Case'!G11*$C577*'Business Case'!G12*$B577)-('Business Case'!F11*$C577*'Business Case'!F12*$B577))-'Business Case'!G15*$F577+'Business Case'!$B$8*('Business Case'!G11*$C577*'Business Case'!G12*$B577)</f>
        <v>1060776084.92054</v>
      </c>
      <c r="N577" s="53" t="n">
        <f aca="false">IF(COUNT('Business Case'!B11:G11)=0,"",H577+NPV(G577,I577:M577))</f>
        <v>-319912368.007115</v>
      </c>
      <c r="P577" s="54" t="n">
        <f aca="true">RAND()</f>
        <v>0.667355048590086</v>
      </c>
      <c r="Q577" s="54" t="n">
        <f aca="true">RAND()</f>
        <v>0.655553289898385</v>
      </c>
      <c r="R577" s="54" t="n">
        <f aca="true">RAND()</f>
        <v>0.0893103291698768</v>
      </c>
      <c r="S577" s="54" t="n">
        <f aca="true">RAND()</f>
        <v>0.232908725191547</v>
      </c>
      <c r="T577" s="54" t="n">
        <f aca="true">RAND()</f>
        <v>0.980107333644573</v>
      </c>
      <c r="U577" s="54" t="n">
        <f aca="true">RAND()</f>
        <v>0.848800534418259</v>
      </c>
    </row>
    <row r="578" customFormat="false" ht="15" hidden="false" customHeight="false" outlineLevel="0" collapsed="false">
      <c r="A578" s="50" t="n">
        <v>498</v>
      </c>
      <c r="B578" s="51" t="n">
        <f aca="false">1+IF($G$6=$E$6,$F$6,IF(P578&lt;($F$6-$E$6)/($G$6-$E$6),$E$6+SQRT(P578*($G$6-$E$6)*($F$6-$E$6)),$G$6-SQRT((1-P578)*($G$6-$E$6)*($G$6-$F$6))))</f>
        <v>1.00057696750005</v>
      </c>
      <c r="C578" s="51" t="n">
        <f aca="false">1+IF($G$7=$E$7,$F$7,IF(Q578&lt;($F$7-$E$7)/($G$7-$E$7),$E$7+SQRT(Q578*($G$7-$E$7)*($F$7-$E$7)),$G$7-SQRT((1-Q578)*($G$7-$E$7)*($G$7-$F$7))))</f>
        <v>1.14042956988095</v>
      </c>
      <c r="D578" s="51" t="n">
        <f aca="false">1+IF($G$8=$E$8,$F$8,IF(R578&lt;($F$8-$E$8)/($G$8-$E$8),$E$8+SQRT(R578*($G$8-$E$8)*($F$8-$E$8)),$G$8-SQRT((1-R578)*($G$8-$E$8)*($G$8-$F$8))))</f>
        <v>1.03862798821684</v>
      </c>
      <c r="E578" s="51" t="n">
        <f aca="false">1+IF($G$9=$E$9,$F$9,IF(S578&lt;($F$9-$E$9)/($G$9-$E$9),$E$9+SQRT(S578*($G$9-$E$9)*($F$9-$E$9)),$G$9-SQRT((1-S578)*($G$9-$E$9)*($G$9-$F$9))))</f>
        <v>1.00012781618549</v>
      </c>
      <c r="F578" s="51" t="n">
        <f aca="false">1+IF($G$10=$E$10,$F$10,IF(T578&lt;($F$10-$E$10)/($G$10-$E$10),$E$10+SQRT(T578*($G$10-$E$10)*($F$10-$E$10)),$G$10-SQRT((1-T578)*($G$10-$E$10)*($G$10-$F$10))))</f>
        <v>1.03085449232614</v>
      </c>
      <c r="G578" s="52" t="n">
        <f aca="false">IF($G$11=$E$11,$F$11,IF(U578&lt;($F$11-$E$11)/($G$11-$E$11),$E$11+SQRT(U578*($G$11-$E$11)*($F$11-$E$11)),$G$11-SQRT((1-U578)*($G$11-$E$11)*($G$11-$F$11))))</f>
        <v>0.0974096242645217</v>
      </c>
      <c r="H578" s="53" t="n">
        <f aca="false">(('Business Case'!B11*$C578*'Business Case'!B12*$B578)-'Business Case'!B11*$C578*'Business Case'!B13*$D578-'Business Case'!B14*$E578)-MAX(0,(('Business Case'!B11*$C578*'Business Case'!B12*$B578)-'Business Case'!B11*$C578*'Business Case'!B13*$D578-'Business Case'!B14*$E578))*'Business Case'!$B$7-'Business Case'!$B$8*('Business Case'!B11*$C578*'Business Case'!B12*$B578)-'Business Case'!B15*$F578</f>
        <v>-2061708984.65229</v>
      </c>
      <c r="I578" s="53" t="n">
        <f aca="false">(('Business Case'!C11*$C578*'Business Case'!C12*$B578)-'Business Case'!C11*$C578*'Business Case'!C13*$D578-'Business Case'!C14*$E578)-MAX(0,(('Business Case'!C11*$C578*'Business Case'!C12*$B578)-'Business Case'!C11*$C578*'Business Case'!C13*$D578-'Business Case'!C14*$E578))*'Business Case'!$B$7-'Business Case'!$B$8*(('Business Case'!C11*$C578*'Business Case'!C12*$B578)-('Business Case'!B11*$C578*'Business Case'!B12*$B578))-'Business Case'!C15*$F578</f>
        <v>23815205.4535215</v>
      </c>
      <c r="J578" s="53" t="n">
        <f aca="false">(('Business Case'!D11*$C578*'Business Case'!D12*$B578)-'Business Case'!D11*$C578*'Business Case'!D13*$D578-'Business Case'!D14*$E578)-MAX(0,(('Business Case'!D11*$C578*'Business Case'!D12*$B578)-'Business Case'!D11*$C578*'Business Case'!D13*$D578-'Business Case'!D14*$E578))*'Business Case'!$B$7-'Business Case'!$B$8*(('Business Case'!D11*$C578*'Business Case'!D12*$B578)-('Business Case'!C11*$C578*'Business Case'!C12*$B578))-'Business Case'!D15*$F578</f>
        <v>352088014.746826</v>
      </c>
      <c r="K578" s="53" t="n">
        <f aca="false">(('Business Case'!E11*$C578*'Business Case'!E12*$B578)-'Business Case'!E11*$C578*'Business Case'!E13*$D578-'Business Case'!E14*$E578)-MAX(0,(('Business Case'!E11*$C578*'Business Case'!E12*$B578)-'Business Case'!E11*$C578*'Business Case'!E13*$D578-'Business Case'!E14*$E578))*'Business Case'!$B$7-'Business Case'!$B$8*(('Business Case'!E11*$C578*'Business Case'!E12*$B578)-('Business Case'!D11*$C578*'Business Case'!D12*$B578))-'Business Case'!E15*$F578</f>
        <v>731903548.656438</v>
      </c>
      <c r="L578" s="53" t="n">
        <f aca="false">(('Business Case'!F11*$C578*'Business Case'!F12*$B578)-'Business Case'!F11*$C578*'Business Case'!F13*$D578-'Business Case'!F14*$E578)-MAX(0,(('Business Case'!F11*$C578*'Business Case'!F12*$B578)-'Business Case'!F11*$C578*'Business Case'!F13*$D578-'Business Case'!F14*$E578))*'Business Case'!$B$7-'Business Case'!$B$8*(('Business Case'!F11*$C578*'Business Case'!F12*$B578)-('Business Case'!E11*$C578*'Business Case'!E12*$B578))-'Business Case'!F15*$F578</f>
        <v>880763804.517935</v>
      </c>
      <c r="M578" s="53" t="n">
        <f aca="false">(('Business Case'!G11*$C578*'Business Case'!G12*$B578)-'Business Case'!G11*$C578*'Business Case'!G13*$D578-'Business Case'!G14*$E578)-MAX(0,(('Business Case'!G11*$C578*'Business Case'!G12*$B578)-'Business Case'!G11*$C578*'Business Case'!G13*$D578-'Business Case'!G14*$E578))*'Business Case'!$B$7-'Business Case'!$B$8*(('Business Case'!G11*$C578*'Business Case'!G12*$B578)-('Business Case'!F11*$C578*'Business Case'!F12*$B578))-'Business Case'!G15*$F578+'Business Case'!$B$8*('Business Case'!G11*$C578*'Business Case'!G12*$B578)</f>
        <v>1097661728.05177</v>
      </c>
      <c r="N578" s="53" t="n">
        <f aca="false">IF(COUNT('Business Case'!B11:G11)=0,"",H578+NPV(G578,I578:M578))</f>
        <v>103059755.352693</v>
      </c>
      <c r="P578" s="54" t="n">
        <f aca="true">RAND()</f>
        <v>0.676213439272422</v>
      </c>
      <c r="Q578" s="54" t="n">
        <f aca="true">RAND()</f>
        <v>0.998255368901647</v>
      </c>
      <c r="R578" s="54" t="n">
        <f aca="true">RAND()</f>
        <v>0.835418907789799</v>
      </c>
      <c r="S578" s="54" t="n">
        <f aca="true">RAND()</f>
        <v>0.335036460008037</v>
      </c>
      <c r="T578" s="54" t="n">
        <f aca="true">RAND()</f>
        <v>0.427795944675062</v>
      </c>
      <c r="U578" s="54" t="n">
        <f aca="true">RAND()</f>
        <v>0.183008439137964</v>
      </c>
    </row>
    <row r="579" customFormat="false" ht="15" hidden="false" customHeight="false" outlineLevel="0" collapsed="false">
      <c r="A579" s="50" t="n">
        <v>499</v>
      </c>
      <c r="B579" s="51" t="n">
        <f aca="false">1+IF($G$6=$E$6,$F$6,IF(P579&lt;($F$6-$E$6)/($G$6-$E$6),$E$6+SQRT(P579*($G$6-$E$6)*($F$6-$E$6)),$G$6-SQRT((1-P579)*($G$6-$E$6)*($G$6-$F$6))))</f>
        <v>0.948433351060678</v>
      </c>
      <c r="C579" s="51" t="n">
        <f aca="false">1+IF($G$7=$E$7,$F$7,IF(Q579&lt;($F$7-$E$7)/($G$7-$E$7),$E$7+SQRT(Q579*($G$7-$E$7)*($F$7-$E$7)),$G$7-SQRT((1-Q579)*($G$7-$E$7)*($G$7-$F$7))))</f>
        <v>0.918443414828663</v>
      </c>
      <c r="D579" s="51" t="n">
        <f aca="false">1+IF($G$8=$E$8,$F$8,IF(R579&lt;($F$8-$E$8)/($G$8-$E$8),$E$8+SQRT(R579*($G$8-$E$8)*($F$8-$E$8)),$G$8-SQRT((1-R579)*($G$8-$E$8)*($G$8-$F$8))))</f>
        <v>0.991631439795169</v>
      </c>
      <c r="E579" s="51" t="n">
        <f aca="false">1+IF($G$9=$E$9,$F$9,IF(S579&lt;($F$9-$E$9)/($G$9-$E$9),$E$9+SQRT(S579*($G$9-$E$9)*($F$9-$E$9)),$G$9-SQRT((1-S579)*($G$9-$E$9)*($G$9-$F$9))))</f>
        <v>1.05021395480833</v>
      </c>
      <c r="F579" s="51" t="n">
        <f aca="false">1+IF($G$10=$E$10,$F$10,IF(T579&lt;($F$10-$E$10)/($G$10-$E$10),$E$10+SQRT(T579*($G$10-$E$10)*($F$10-$E$10)),$G$10-SQRT((1-T579)*($G$10-$E$10)*($G$10-$F$10))))</f>
        <v>0.994943273046024</v>
      </c>
      <c r="G579" s="52" t="n">
        <f aca="false">IF($G$11=$E$11,$F$11,IF(U579&lt;($F$11-$E$11)/($G$11-$E$11),$E$11+SQRT(U579*($G$11-$E$11)*($F$11-$E$11)),$G$11-SQRT((1-U579)*($G$11-$E$11)*($G$11-$F$11))))</f>
        <v>0.0934706671435107</v>
      </c>
      <c r="H579" s="53" t="n">
        <f aca="false">(('Business Case'!B11*$C579*'Business Case'!B12*$B579)-'Business Case'!B11*$C579*'Business Case'!B13*$D579-'Business Case'!B14*$E579)-MAX(0,(('Business Case'!B11*$C579*'Business Case'!B12*$B579)-'Business Case'!B11*$C579*'Business Case'!B13*$D579-'Business Case'!B14*$E579))*'Business Case'!$B$7-'Business Case'!$B$8*('Business Case'!B11*$C579*'Business Case'!B12*$B579)-'Business Case'!B15*$F579</f>
        <v>-1989886546.09205</v>
      </c>
      <c r="I579" s="53" t="n">
        <f aca="false">(('Business Case'!C11*$C579*'Business Case'!C12*$B579)-'Business Case'!C11*$C579*'Business Case'!C13*$D579-'Business Case'!C14*$E579)-MAX(0,(('Business Case'!C11*$C579*'Business Case'!C12*$B579)-'Business Case'!C11*$C579*'Business Case'!C13*$D579-'Business Case'!C14*$E579))*'Business Case'!$B$7-'Business Case'!$B$8*(('Business Case'!C11*$C579*'Business Case'!C12*$B579)-('Business Case'!B11*$C579*'Business Case'!B12*$B579))-'Business Case'!C15*$F579</f>
        <v>-46747396.797689</v>
      </c>
      <c r="J579" s="53" t="n">
        <f aca="false">(('Business Case'!D11*$C579*'Business Case'!D12*$B579)-'Business Case'!D11*$C579*'Business Case'!D13*$D579-'Business Case'!D14*$E579)-MAX(0,(('Business Case'!D11*$C579*'Business Case'!D12*$B579)-'Business Case'!D11*$C579*'Business Case'!D13*$D579-'Business Case'!D14*$E579))*'Business Case'!$B$7-'Business Case'!$B$8*(('Business Case'!D11*$C579*'Business Case'!D12*$B579)-('Business Case'!C11*$C579*'Business Case'!C12*$B579))-'Business Case'!D15*$F579</f>
        <v>200496867.920108</v>
      </c>
      <c r="K579" s="53" t="n">
        <f aca="false">(('Business Case'!E11*$C579*'Business Case'!E12*$B579)-'Business Case'!E11*$C579*'Business Case'!E13*$D579-'Business Case'!E14*$E579)-MAX(0,(('Business Case'!E11*$C579*'Business Case'!E12*$B579)-'Business Case'!E11*$C579*'Business Case'!E13*$D579-'Business Case'!E14*$E579))*'Business Case'!$B$7-'Business Case'!$B$8*(('Business Case'!E11*$C579*'Business Case'!E12*$B579)-('Business Case'!D11*$C579*'Business Case'!D12*$B579))-'Business Case'!E15*$F579</f>
        <v>497488296.290206</v>
      </c>
      <c r="L579" s="53" t="n">
        <f aca="false">(('Business Case'!F11*$C579*'Business Case'!F12*$B579)-'Business Case'!F11*$C579*'Business Case'!F13*$D579-'Business Case'!F14*$E579)-MAX(0,(('Business Case'!F11*$C579*'Business Case'!F12*$B579)-'Business Case'!F11*$C579*'Business Case'!F13*$D579-'Business Case'!F14*$E579))*'Business Case'!$B$7-'Business Case'!$B$8*(('Business Case'!F11*$C579*'Business Case'!F12*$B579)-('Business Case'!E11*$C579*'Business Case'!E12*$B579))-'Business Case'!F15*$F579</f>
        <v>610007657.754231</v>
      </c>
      <c r="M579" s="53" t="n">
        <f aca="false">(('Business Case'!G11*$C579*'Business Case'!G12*$B579)-'Business Case'!G11*$C579*'Business Case'!G13*$D579-'Business Case'!G14*$E579)-MAX(0,(('Business Case'!G11*$C579*'Business Case'!G12*$B579)-'Business Case'!G11*$C579*'Business Case'!G13*$D579-'Business Case'!G14*$E579))*'Business Case'!$B$7-'Business Case'!$B$8*(('Business Case'!G11*$C579*'Business Case'!G12*$B579)-('Business Case'!F11*$C579*'Business Case'!F12*$B579))-'Business Case'!G15*$F579+'Business Case'!$B$8*('Business Case'!G11*$C579*'Business Case'!G12*$B579)</f>
        <v>775582993.823743</v>
      </c>
      <c r="N579" s="53" t="n">
        <f aca="false">IF(COUNT('Business Case'!B11:G11)=0,"",H579+NPV(G579,I579:M579))</f>
        <v>-561636272.083765</v>
      </c>
      <c r="P579" s="54" t="n">
        <f aca="true">RAND()</f>
        <v>0.0842141096395605</v>
      </c>
      <c r="Q579" s="54" t="n">
        <f aca="true">RAND()</f>
        <v>0.200412035946782</v>
      </c>
      <c r="R579" s="54" t="n">
        <f aca="true">RAND()</f>
        <v>0.266642581449047</v>
      </c>
      <c r="S579" s="54" t="n">
        <f aca="true">RAND()</f>
        <v>0.834756646944839</v>
      </c>
      <c r="T579" s="54" t="n">
        <f aca="true">RAND()</f>
        <v>0.161591823367158</v>
      </c>
      <c r="U579" s="54" t="n">
        <f aca="true">RAND()</f>
        <v>0.0401517680701489</v>
      </c>
    </row>
    <row r="580" customFormat="false" ht="15" hidden="false" customHeight="false" outlineLevel="0" collapsed="false">
      <c r="A580" s="50" t="n">
        <v>500</v>
      </c>
      <c r="B580" s="51" t="n">
        <f aca="false">1+IF($G$6=$E$6,$F$6,IF(P580&lt;($F$6-$E$6)/($G$6-$E$6),$E$6+SQRT(P580*($G$6-$E$6)*($F$6-$E$6)),$G$6-SQRT((1-P580)*($G$6-$E$6)*($G$6-$F$6))))</f>
        <v>0.985594907983827</v>
      </c>
      <c r="C580" s="51" t="n">
        <f aca="false">1+IF($G$7=$E$7,$F$7,IF(Q580&lt;($F$7-$E$7)/($G$7-$E$7),$E$7+SQRT(Q580*($G$7-$E$7)*($F$7-$E$7)),$G$7-SQRT((1-Q580)*($G$7-$E$7)*($G$7-$F$7))))</f>
        <v>1.00105895607538</v>
      </c>
      <c r="D580" s="51" t="n">
        <f aca="false">1+IF($G$8=$E$8,$F$8,IF(R580&lt;($F$8-$E$8)/($G$8-$E$8),$E$8+SQRT(R580*($G$8-$E$8)*($F$8-$E$8)),$G$8-SQRT((1-R580)*($G$8-$E$8)*($G$8-$F$8))))</f>
        <v>0.973915019279076</v>
      </c>
      <c r="E580" s="51" t="n">
        <f aca="false">1+IF($G$9=$E$9,$F$9,IF(S580&lt;($F$9-$E$9)/($G$9-$E$9),$E$9+SQRT(S580*($G$9-$E$9)*($F$9-$E$9)),$G$9-SQRT((1-S580)*($G$9-$E$9)*($G$9-$F$9))))</f>
        <v>1.03288940792154</v>
      </c>
      <c r="F580" s="51" t="n">
        <f aca="false">1+IF($G$10=$E$10,$F$10,IF(T580&lt;($F$10-$E$10)/($G$10-$E$10),$E$10+SQRT(T580*($G$10-$E$10)*($F$10-$E$10)),$G$10-SQRT((1-T580)*($G$10-$E$10)*($G$10-$F$10))))</f>
        <v>1.03592122431944</v>
      </c>
      <c r="G580" s="52" t="n">
        <f aca="false">IF($G$11=$E$11,$F$11,IF(U580&lt;($F$11-$E$11)/($G$11-$E$11),$E$11+SQRT(U580*($G$11-$E$11)*($F$11-$E$11)),$G$11-SQRT((1-U580)*($G$11-$E$11)*($G$11-$F$11))))</f>
        <v>0.0973539023710808</v>
      </c>
      <c r="H580" s="53" t="n">
        <f aca="false">(('Business Case'!B11*$C580*'Business Case'!B12*$B580)-'Business Case'!B11*$C580*'Business Case'!B13*$D580-'Business Case'!B14*$E580)-MAX(0,(('Business Case'!B11*$C580*'Business Case'!B12*$B580)-'Business Case'!B11*$C580*'Business Case'!B13*$D580-'Business Case'!B14*$E580))*'Business Case'!$B$7-'Business Case'!$B$8*('Business Case'!B11*$C580*'Business Case'!B12*$B580)-'Business Case'!B15*$F580</f>
        <v>-2071842448.63887</v>
      </c>
      <c r="I580" s="53" t="n">
        <f aca="false">(('Business Case'!C11*$C580*'Business Case'!C12*$B580)-'Business Case'!C11*$C580*'Business Case'!C13*$D580-'Business Case'!C14*$E580)-MAX(0,(('Business Case'!C11*$C580*'Business Case'!C12*$B580)-'Business Case'!C11*$C580*'Business Case'!C13*$D580-'Business Case'!C14*$E580))*'Business Case'!$B$7-'Business Case'!$B$8*(('Business Case'!C11*$C580*'Business Case'!C12*$B580)-('Business Case'!B11*$C580*'Business Case'!B12*$B580))-'Business Case'!C15*$F580</f>
        <v>7417180.78388916</v>
      </c>
      <c r="J580" s="53" t="n">
        <f aca="false">(('Business Case'!D11*$C580*'Business Case'!D12*$B580)-'Business Case'!D11*$C580*'Business Case'!D13*$D580-'Business Case'!D14*$E580)-MAX(0,(('Business Case'!D11*$C580*'Business Case'!D12*$B580)-'Business Case'!D11*$C580*'Business Case'!D13*$D580-'Business Case'!D14*$E580))*'Business Case'!$B$7-'Business Case'!$B$8*(('Business Case'!D11*$C580*'Business Case'!D12*$B580)-('Business Case'!C11*$C580*'Business Case'!C12*$B580))-'Business Case'!D15*$F580</f>
        <v>316450703.332987</v>
      </c>
      <c r="K580" s="53" t="n">
        <f aca="false">(('Business Case'!E11*$C580*'Business Case'!E12*$B580)-'Business Case'!E11*$C580*'Business Case'!E13*$D580-'Business Case'!E14*$E580)-MAX(0,(('Business Case'!E11*$C580*'Business Case'!E12*$B580)-'Business Case'!E11*$C580*'Business Case'!E13*$D580-'Business Case'!E14*$E580))*'Business Case'!$B$7-'Business Case'!$B$8*(('Business Case'!E11*$C580*'Business Case'!E12*$B580)-('Business Case'!D11*$C580*'Business Case'!D12*$B580))-'Business Case'!E15*$F580</f>
        <v>677280287.098056</v>
      </c>
      <c r="L580" s="53" t="n">
        <f aca="false">(('Business Case'!F11*$C580*'Business Case'!F12*$B580)-'Business Case'!F11*$C580*'Business Case'!F13*$D580-'Business Case'!F14*$E580)-MAX(0,(('Business Case'!F11*$C580*'Business Case'!F12*$B580)-'Business Case'!F11*$C580*'Business Case'!F13*$D580-'Business Case'!F14*$E580))*'Business Case'!$B$7-'Business Case'!$B$8*(('Business Case'!F11*$C580*'Business Case'!F12*$B580)-('Business Case'!E11*$C580*'Business Case'!E12*$B580))-'Business Case'!F15*$F580</f>
        <v>814389691.632304</v>
      </c>
      <c r="M580" s="53" t="n">
        <f aca="false">(('Business Case'!G11*$C580*'Business Case'!G12*$B580)-'Business Case'!G11*$C580*'Business Case'!G13*$D580-'Business Case'!G14*$E580)-MAX(0,(('Business Case'!G11*$C580*'Business Case'!G12*$B580)-'Business Case'!G11*$C580*'Business Case'!G13*$D580-'Business Case'!G14*$E580))*'Business Case'!$B$7-'Business Case'!$B$8*(('Business Case'!G11*$C580*'Business Case'!G12*$B580)-('Business Case'!F11*$C580*'Business Case'!F12*$B580))-'Business Case'!G15*$F580+'Business Case'!$B$8*('Business Case'!G11*$C580*'Business Case'!G12*$B580)</f>
        <v>1001929958.56398</v>
      </c>
      <c r="N580" s="53" t="n">
        <f aca="false">IF(COUNT('Business Case'!B11:G11)=0,"",H580+NPV(G580,I580:M580))</f>
        <v>-98470016.9661584</v>
      </c>
      <c r="P580" s="54" t="n">
        <f aca="true">RAND()</f>
        <v>0.448197078479868</v>
      </c>
      <c r="Q580" s="54" t="n">
        <f aca="true">RAND()</f>
        <v>0.577458389231302</v>
      </c>
      <c r="R580" s="54" t="n">
        <f aca="true">RAND()</f>
        <v>0.0879889457105509</v>
      </c>
      <c r="S580" s="54" t="n">
        <f aca="true">RAND()</f>
        <v>0.699744562058583</v>
      </c>
      <c r="T580" s="54" t="n">
        <f aca="true">RAND()</f>
        <v>0.461563107423336</v>
      </c>
      <c r="U580" s="54" t="n">
        <f aca="true">RAND()</f>
        <v>0.180266266944625</v>
      </c>
    </row>
    <row r="581" customFormat="false" ht="15" hidden="false" customHeight="false" outlineLevel="0" collapsed="false">
      <c r="A581" s="50" t="n">
        <v>501</v>
      </c>
      <c r="B581" s="51" t="n">
        <f aca="false">1+IF($G$6=$E$6,$F$6,IF(P581&lt;($F$6-$E$6)/($G$6-$E$6),$E$6+SQRT(P581*($G$6-$E$6)*($F$6-$E$6)),$G$6-SQRT((1-P581)*($G$6-$E$6)*($G$6-$F$6))))</f>
        <v>0.987730056936068</v>
      </c>
      <c r="C581" s="51" t="n">
        <f aca="false">1+IF($G$7=$E$7,$F$7,IF(Q581&lt;($F$7-$E$7)/($G$7-$E$7),$E$7+SQRT(Q581*($G$7-$E$7)*($F$7-$E$7)),$G$7-SQRT((1-Q581)*($G$7-$E$7)*($G$7-$F$7))))</f>
        <v>0.962203925443436</v>
      </c>
      <c r="D581" s="51" t="n">
        <f aca="false">1+IF($G$8=$E$8,$F$8,IF(R581&lt;($F$8-$E$8)/($G$8-$E$8),$E$8+SQRT(R581*($G$8-$E$8)*($F$8-$E$8)),$G$8-SQRT((1-R581)*($G$8-$E$8)*($G$8-$F$8))))</f>
        <v>1.03009065202935</v>
      </c>
      <c r="E581" s="51" t="n">
        <f aca="false">1+IF($G$9=$E$9,$F$9,IF(S581&lt;($F$9-$E$9)/($G$9-$E$9),$E$9+SQRT(S581*($G$9-$E$9)*($F$9-$E$9)),$G$9-SQRT((1-S581)*($G$9-$E$9)*($G$9-$F$9))))</f>
        <v>1.02787328998303</v>
      </c>
      <c r="F581" s="51" t="n">
        <f aca="false">1+IF($G$10=$E$10,$F$10,IF(T581&lt;($F$10-$E$10)/($G$10-$E$10),$E$10+SQRT(T581*($G$10-$E$10)*($F$10-$E$10)),$G$10-SQRT((1-T581)*($G$10-$E$10)*($G$10-$F$10))))</f>
        <v>1.06155056433376</v>
      </c>
      <c r="G581" s="52" t="n">
        <f aca="false">IF($G$11=$E$11,$F$11,IF(U581&lt;($F$11-$E$11)/($G$11-$E$11),$E$11+SQRT(U581*($G$11-$E$11)*($F$11-$E$11)),$G$11-SQRT((1-U581)*($G$11-$E$11)*($G$11-$F$11))))</f>
        <v>0.10579093339215</v>
      </c>
      <c r="H581" s="53" t="n">
        <f aca="false">(('Business Case'!B11*$C581*'Business Case'!B12*$B581)-'Business Case'!B11*$C581*'Business Case'!B13*$D581-'Business Case'!B14*$E581)-MAX(0,(('Business Case'!B11*$C581*'Business Case'!B12*$B581)-'Business Case'!B11*$C581*'Business Case'!B13*$D581-'Business Case'!B14*$E581))*'Business Case'!$B$7-'Business Case'!$B$8*('Business Case'!B11*$C581*'Business Case'!B12*$B581)-'Business Case'!B15*$F581</f>
        <v>-2123101128.66752</v>
      </c>
      <c r="I581" s="53" t="n">
        <f aca="false">(('Business Case'!C11*$C581*'Business Case'!C12*$B581)-'Business Case'!C11*$C581*'Business Case'!C13*$D581-'Business Case'!C14*$E581)-MAX(0,(('Business Case'!C11*$C581*'Business Case'!C12*$B581)-'Business Case'!C11*$C581*'Business Case'!C13*$D581-'Business Case'!C14*$E581))*'Business Case'!$B$7-'Business Case'!$B$8*(('Business Case'!C11*$C581*'Business Case'!C12*$B581)-('Business Case'!B11*$C581*'Business Case'!B12*$B581))-'Business Case'!C15*$F581</f>
        <v>-30536310.0183503</v>
      </c>
      <c r="J581" s="53" t="n">
        <f aca="false">(('Business Case'!D11*$C581*'Business Case'!D12*$B581)-'Business Case'!D11*$C581*'Business Case'!D13*$D581-'Business Case'!D14*$E581)-MAX(0,(('Business Case'!D11*$C581*'Business Case'!D12*$B581)-'Business Case'!D11*$C581*'Business Case'!D13*$D581-'Business Case'!D14*$E581))*'Business Case'!$B$7-'Business Case'!$B$8*(('Business Case'!D11*$C581*'Business Case'!D12*$B581)-('Business Case'!C11*$C581*'Business Case'!C12*$B581))-'Business Case'!D15*$F581</f>
        <v>240514636.973415</v>
      </c>
      <c r="K581" s="53" t="n">
        <f aca="false">(('Business Case'!E11*$C581*'Business Case'!E12*$B581)-'Business Case'!E11*$C581*'Business Case'!E13*$D581-'Business Case'!E14*$E581)-MAX(0,(('Business Case'!E11*$C581*'Business Case'!E12*$B581)-'Business Case'!E11*$C581*'Business Case'!E13*$D581-'Business Case'!E14*$E581))*'Business Case'!$B$7-'Business Case'!$B$8*(('Business Case'!E11*$C581*'Business Case'!E12*$B581)-('Business Case'!D11*$C581*'Business Case'!D12*$B581))-'Business Case'!E15*$F581</f>
        <v>564643112.181869</v>
      </c>
      <c r="L581" s="53" t="n">
        <f aca="false">(('Business Case'!F11*$C581*'Business Case'!F12*$B581)-'Business Case'!F11*$C581*'Business Case'!F13*$D581-'Business Case'!F14*$E581)-MAX(0,(('Business Case'!F11*$C581*'Business Case'!F12*$B581)-'Business Case'!F11*$C581*'Business Case'!F13*$D581-'Business Case'!F14*$E581))*'Business Case'!$B$7-'Business Case'!$B$8*(('Business Case'!F11*$C581*'Business Case'!F12*$B581)-('Business Case'!E11*$C581*'Business Case'!E12*$B581))-'Business Case'!F15*$F581</f>
        <v>687839173.673226</v>
      </c>
      <c r="M581" s="53" t="n">
        <f aca="false">(('Business Case'!G11*$C581*'Business Case'!G12*$B581)-'Business Case'!G11*$C581*'Business Case'!G13*$D581-'Business Case'!G14*$E581)-MAX(0,(('Business Case'!G11*$C581*'Business Case'!G12*$B581)-'Business Case'!G11*$C581*'Business Case'!G13*$D581-'Business Case'!G14*$E581))*'Business Case'!$B$7-'Business Case'!$B$8*(('Business Case'!G11*$C581*'Business Case'!G12*$B581)-('Business Case'!F11*$C581*'Business Case'!F12*$B581))-'Business Case'!G15*$F581+'Business Case'!$B$8*('Business Case'!G11*$C581*'Business Case'!G12*$B581)</f>
        <v>868490775.724118</v>
      </c>
      <c r="N581" s="53" t="n">
        <f aca="false">IF(COUNT('Business Case'!B11:G11)=0,"",H581+NPV(G581,I581:M581))</f>
        <v>-551095060.676563</v>
      </c>
      <c r="P581" s="54" t="n">
        <f aca="true">RAND()</f>
        <v>0.477850063808651</v>
      </c>
      <c r="Q581" s="54" t="n">
        <f aca="true">RAND()</f>
        <v>0.375858763275139</v>
      </c>
      <c r="R581" s="54" t="n">
        <f aca="true">RAND()</f>
        <v>0.760486248571607</v>
      </c>
      <c r="S581" s="54" t="n">
        <f aca="true">RAND()</f>
        <v>0.653182513475218</v>
      </c>
      <c r="T581" s="54" t="n">
        <f aca="true">RAND()</f>
        <v>0.616635075274007</v>
      </c>
      <c r="U581" s="54" t="n">
        <f aca="true">RAND()</f>
        <v>0.663504043556138</v>
      </c>
    </row>
    <row r="582" customFormat="false" ht="15" hidden="false" customHeight="false" outlineLevel="0" collapsed="false">
      <c r="A582" s="50" t="n">
        <v>502</v>
      </c>
      <c r="B582" s="51" t="n">
        <f aca="false">1+IF($G$6=$E$6,$F$6,IF(P582&lt;($F$6-$E$6)/($G$6-$E$6),$E$6+SQRT(P582*($G$6-$E$6)*($F$6-$E$6)),$G$6-SQRT((1-P582)*($G$6-$E$6)*($G$6-$F$6))))</f>
        <v>0.991157347111695</v>
      </c>
      <c r="C582" s="51" t="n">
        <f aca="false">1+IF($G$7=$E$7,$F$7,IF(Q582&lt;($F$7-$E$7)/($G$7-$E$7),$E$7+SQRT(Q582*($G$7-$E$7)*($F$7-$E$7)),$G$7-SQRT((1-Q582)*($G$7-$E$7)*($G$7-$F$7))))</f>
        <v>1.05769745105711</v>
      </c>
      <c r="D582" s="51" t="n">
        <f aca="false">1+IF($G$8=$E$8,$F$8,IF(R582&lt;($F$8-$E$8)/($G$8-$E$8),$E$8+SQRT(R582*($G$8-$E$8)*($F$8-$E$8)),$G$8-SQRT((1-R582)*($G$8-$E$8)*($G$8-$F$8))))</f>
        <v>1.00323630828399</v>
      </c>
      <c r="E582" s="51" t="n">
        <f aca="false">1+IF($G$9=$E$9,$F$9,IF(S582&lt;($F$9-$E$9)/($G$9-$E$9),$E$9+SQRT(S582*($G$9-$E$9)*($F$9-$E$9)),$G$9-SQRT((1-S582)*($G$9-$E$9)*($G$9-$F$9))))</f>
        <v>0.965035812382921</v>
      </c>
      <c r="F582" s="51" t="n">
        <f aca="false">1+IF($G$10=$E$10,$F$10,IF(T582&lt;($F$10-$E$10)/($G$10-$E$10),$E$10+SQRT(T582*($G$10-$E$10)*($F$10-$E$10)),$G$10-SQRT((1-T582)*($G$10-$E$10)*($G$10-$F$10))))</f>
        <v>1.06509964469897</v>
      </c>
      <c r="G582" s="52" t="n">
        <f aca="false">IF($G$11=$E$11,$F$11,IF(U582&lt;($F$11-$E$11)/($G$11-$E$11),$E$11+SQRT(U582*($G$11-$E$11)*($F$11-$E$11)),$G$11-SQRT((1-U582)*($G$11-$E$11)*($G$11-$F$11))))</f>
        <v>0.102966196136267</v>
      </c>
      <c r="H582" s="53" t="n">
        <f aca="false">(('Business Case'!B11*$C582*'Business Case'!B12*$B582)-'Business Case'!B11*$C582*'Business Case'!B13*$D582-'Business Case'!B14*$E582)-MAX(0,(('Business Case'!B11*$C582*'Business Case'!B12*$B582)-'Business Case'!B11*$C582*'Business Case'!B13*$D582-'Business Case'!B14*$E582))*'Business Case'!$B$7-'Business Case'!$B$8*('Business Case'!B11*$C582*'Business Case'!B12*$B582)-'Business Case'!B15*$F582</f>
        <v>-2130199289.39795</v>
      </c>
      <c r="I582" s="53" t="n">
        <f aca="false">(('Business Case'!C11*$C582*'Business Case'!C12*$B582)-'Business Case'!C11*$C582*'Business Case'!C13*$D582-'Business Case'!C14*$E582)-MAX(0,(('Business Case'!C11*$C582*'Business Case'!C12*$B582)-'Business Case'!C11*$C582*'Business Case'!C13*$D582-'Business Case'!C14*$E582))*'Business Case'!$B$7-'Business Case'!$B$8*(('Business Case'!C11*$C582*'Business Case'!C12*$B582)-('Business Case'!B11*$C582*'Business Case'!B12*$B582))-'Business Case'!C15*$F582</f>
        <v>17376667.6435795</v>
      </c>
      <c r="J582" s="53" t="n">
        <f aca="false">(('Business Case'!D11*$C582*'Business Case'!D12*$B582)-'Business Case'!D11*$C582*'Business Case'!D13*$D582-'Business Case'!D14*$E582)-MAX(0,(('Business Case'!D11*$C582*'Business Case'!D12*$B582)-'Business Case'!D11*$C582*'Business Case'!D13*$D582-'Business Case'!D14*$E582))*'Business Case'!$B$7-'Business Case'!$B$8*(('Business Case'!D11*$C582*'Business Case'!D12*$B582)-('Business Case'!C11*$C582*'Business Case'!C12*$B582))-'Business Case'!D15*$F582</f>
        <v>332837576.323068</v>
      </c>
      <c r="K582" s="53" t="n">
        <f aca="false">(('Business Case'!E11*$C582*'Business Case'!E12*$B582)-'Business Case'!E11*$C582*'Business Case'!E13*$D582-'Business Case'!E14*$E582)-MAX(0,(('Business Case'!E11*$C582*'Business Case'!E12*$B582)-'Business Case'!E11*$C582*'Business Case'!E13*$D582-'Business Case'!E14*$E582))*'Business Case'!$B$7-'Business Case'!$B$8*(('Business Case'!E11*$C582*'Business Case'!E12*$B582)-('Business Case'!D11*$C582*'Business Case'!D12*$B582))-'Business Case'!E15*$F582</f>
        <v>701553467.237505</v>
      </c>
      <c r="L582" s="53" t="n">
        <f aca="false">(('Business Case'!F11*$C582*'Business Case'!F12*$B582)-'Business Case'!F11*$C582*'Business Case'!F13*$D582-'Business Case'!F14*$E582)-MAX(0,(('Business Case'!F11*$C582*'Business Case'!F12*$B582)-'Business Case'!F11*$C582*'Business Case'!F13*$D582-'Business Case'!F14*$E582))*'Business Case'!$B$7-'Business Case'!$B$8*(('Business Case'!F11*$C582*'Business Case'!F12*$B582)-('Business Case'!E11*$C582*'Business Case'!E12*$B582))-'Business Case'!F15*$F582</f>
        <v>842937892.827441</v>
      </c>
      <c r="M582" s="53" t="n">
        <f aca="false">(('Business Case'!G11*$C582*'Business Case'!G12*$B582)-'Business Case'!G11*$C582*'Business Case'!G13*$D582-'Business Case'!G14*$E582)-MAX(0,(('Business Case'!G11*$C582*'Business Case'!G12*$B582)-'Business Case'!G11*$C582*'Business Case'!G13*$D582-'Business Case'!G14*$E582))*'Business Case'!$B$7-'Business Case'!$B$8*(('Business Case'!G11*$C582*'Business Case'!G12*$B582)-('Business Case'!F11*$C582*'Business Case'!F12*$B582))-'Business Case'!G15*$F582+'Business Case'!$B$8*('Business Case'!G11*$C582*'Business Case'!G12*$B582)</f>
        <v>1042207234.32636</v>
      </c>
      <c r="N582" s="53" t="n">
        <f aca="false">IF(COUNT('Business Case'!B11:G11)=0,"",H582+NPV(G582,I582:M582))</f>
        <v>-109960134.747821</v>
      </c>
      <c r="P582" s="54" t="n">
        <f aca="true">RAND()</f>
        <v>0.527434171663984</v>
      </c>
      <c r="Q582" s="54" t="n">
        <f aca="true">RAND()</f>
        <v>0.837718846831352</v>
      </c>
      <c r="R582" s="54" t="n">
        <f aca="true">RAND()</f>
        <v>0.433397657127871</v>
      </c>
      <c r="S582" s="54" t="n">
        <f aca="true">RAND()</f>
        <v>0.0301434205352524</v>
      </c>
      <c r="T582" s="54" t="n">
        <f aca="true">RAND()</f>
        <v>0.63603788279314</v>
      </c>
      <c r="U582" s="54" t="n">
        <f aca="true">RAND()</f>
        <v>0.516415876553099</v>
      </c>
    </row>
    <row r="583" customFormat="false" ht="15" hidden="false" customHeight="false" outlineLevel="0" collapsed="false">
      <c r="A583" s="50" t="n">
        <v>503</v>
      </c>
      <c r="B583" s="51" t="n">
        <f aca="false">1+IF($G$6=$E$6,$F$6,IF(P583&lt;($F$6-$E$6)/($G$6-$E$6),$E$6+SQRT(P583*($G$6-$E$6)*($F$6-$E$6)),$G$6-SQRT((1-P583)*($G$6-$E$6)*($G$6-$F$6))))</f>
        <v>0.978178475814607</v>
      </c>
      <c r="C583" s="51" t="n">
        <f aca="false">1+IF($G$7=$E$7,$F$7,IF(Q583&lt;($F$7-$E$7)/($G$7-$E$7),$E$7+SQRT(Q583*($G$7-$E$7)*($F$7-$E$7)),$G$7-SQRT((1-Q583)*($G$7-$E$7)*($G$7-$F$7))))</f>
        <v>1.00990192533702</v>
      </c>
      <c r="D583" s="51" t="n">
        <f aca="false">1+IF($G$8=$E$8,$F$8,IF(R583&lt;($F$8-$E$8)/($G$8-$E$8),$E$8+SQRT(R583*($G$8-$E$8)*($F$8-$E$8)),$G$8-SQRT((1-R583)*($G$8-$E$8)*($G$8-$F$8))))</f>
        <v>1.05103471533642</v>
      </c>
      <c r="E583" s="51" t="n">
        <f aca="false">1+IF($G$9=$E$9,$F$9,IF(S583&lt;($F$9-$E$9)/($G$9-$E$9),$E$9+SQRT(S583*($G$9-$E$9)*($F$9-$E$9)),$G$9-SQRT((1-S583)*($G$9-$E$9)*($G$9-$F$9))))</f>
        <v>1.02192107590971</v>
      </c>
      <c r="F583" s="51" t="n">
        <f aca="false">1+IF($G$10=$E$10,$F$10,IF(T583&lt;($F$10-$E$10)/($G$10-$E$10),$E$10+SQRT(T583*($G$10-$E$10)*($F$10-$E$10)),$G$10-SQRT((1-T583)*($G$10-$E$10)*($G$10-$F$10))))</f>
        <v>1.10055710969002</v>
      </c>
      <c r="G583" s="52" t="n">
        <f aca="false">IF($G$11=$E$11,$F$11,IF(U583&lt;($F$11-$E$11)/($G$11-$E$11),$E$11+SQRT(U583*($G$11-$E$11)*($F$11-$E$11)),$G$11-SQRT((1-U583)*($G$11-$E$11)*($G$11-$F$11))))</f>
        <v>0.106152453211616</v>
      </c>
      <c r="H583" s="53" t="n">
        <f aca="false">(('Business Case'!B11*$C583*'Business Case'!B12*$B583)-'Business Case'!B11*$C583*'Business Case'!B13*$D583-'Business Case'!B14*$E583)-MAX(0,(('Business Case'!B11*$C583*'Business Case'!B12*$B583)-'Business Case'!B11*$C583*'Business Case'!B13*$D583-'Business Case'!B14*$E583))*'Business Case'!$B$7-'Business Case'!$B$8*('Business Case'!B11*$C583*'Business Case'!B12*$B583)-'Business Case'!B15*$F583</f>
        <v>-2201114219.38004</v>
      </c>
      <c r="I583" s="53" t="n">
        <f aca="false">(('Business Case'!C11*$C583*'Business Case'!C12*$B583)-'Business Case'!C11*$C583*'Business Case'!C13*$D583-'Business Case'!C14*$E583)-MAX(0,(('Business Case'!C11*$C583*'Business Case'!C12*$B583)-'Business Case'!C11*$C583*'Business Case'!C13*$D583-'Business Case'!C14*$E583))*'Business Case'!$B$7-'Business Case'!$B$8*(('Business Case'!C11*$C583*'Business Case'!C12*$B583)-('Business Case'!B11*$C583*'Business Case'!B12*$B583))-'Business Case'!C15*$F583</f>
        <v>-40825145.1005043</v>
      </c>
      <c r="J583" s="53" t="n">
        <f aca="false">(('Business Case'!D11*$C583*'Business Case'!D12*$B583)-'Business Case'!D11*$C583*'Business Case'!D13*$D583-'Business Case'!D14*$E583)-MAX(0,(('Business Case'!D11*$C583*'Business Case'!D12*$B583)-'Business Case'!D11*$C583*'Business Case'!D13*$D583-'Business Case'!D14*$E583))*'Business Case'!$B$7-'Business Case'!$B$8*(('Business Case'!D11*$C583*'Business Case'!D12*$B583)-('Business Case'!C11*$C583*'Business Case'!C12*$B583))-'Business Case'!D15*$F583</f>
        <v>224933484.424704</v>
      </c>
      <c r="K583" s="53" t="n">
        <f aca="false">(('Business Case'!E11*$C583*'Business Case'!E12*$B583)-'Business Case'!E11*$C583*'Business Case'!E13*$D583-'Business Case'!E14*$E583)-MAX(0,(('Business Case'!E11*$C583*'Business Case'!E12*$B583)-'Business Case'!E11*$C583*'Business Case'!E13*$D583-'Business Case'!E14*$E583))*'Business Case'!$B$7-'Business Case'!$B$8*(('Business Case'!E11*$C583*'Business Case'!E12*$B583)-('Business Case'!D11*$C583*'Business Case'!D12*$B583))-'Business Case'!E15*$F583</f>
        <v>545719969.434413</v>
      </c>
      <c r="L583" s="53" t="n">
        <f aca="false">(('Business Case'!F11*$C583*'Business Case'!F12*$B583)-'Business Case'!F11*$C583*'Business Case'!F13*$D583-'Business Case'!F14*$E583)-MAX(0,(('Business Case'!F11*$C583*'Business Case'!F12*$B583)-'Business Case'!F11*$C583*'Business Case'!F13*$D583-'Business Case'!F14*$E583))*'Business Case'!$B$7-'Business Case'!$B$8*(('Business Case'!F11*$C583*'Business Case'!F12*$B583)-('Business Case'!E11*$C583*'Business Case'!E12*$B583))-'Business Case'!F15*$F583</f>
        <v>668446770.384382</v>
      </c>
      <c r="M583" s="53" t="n">
        <f aca="false">(('Business Case'!G11*$C583*'Business Case'!G12*$B583)-'Business Case'!G11*$C583*'Business Case'!G13*$D583-'Business Case'!G14*$E583)-MAX(0,(('Business Case'!G11*$C583*'Business Case'!G12*$B583)-'Business Case'!G11*$C583*'Business Case'!G13*$D583-'Business Case'!G14*$E583))*'Business Case'!$B$7-'Business Case'!$B$8*(('Business Case'!G11*$C583*'Business Case'!G12*$B583)-('Business Case'!F11*$C583*'Business Case'!F12*$B583))-'Business Case'!G15*$F583+'Business Case'!$B$8*('Business Case'!G11*$C583*'Business Case'!G12*$B583)</f>
        <v>856220021.479664</v>
      </c>
      <c r="N583" s="53" t="n">
        <f aca="false">IF(COUNT('Business Case'!B11:G11)=0,"",H583+NPV(G583,I583:M583))</f>
        <v>-687475528.057583</v>
      </c>
      <c r="P583" s="54" t="n">
        <f aca="true">RAND()</f>
        <v>0.352576567511546</v>
      </c>
      <c r="Q583" s="54" t="n">
        <f aca="true">RAND()</f>
        <v>0.626143418585284</v>
      </c>
      <c r="R583" s="54" t="n">
        <f aca="true">RAND()</f>
        <v>0.919328104265169</v>
      </c>
      <c r="S583" s="54" t="n">
        <f aca="true">RAND()</f>
        <v>0.593578774193547</v>
      </c>
      <c r="T583" s="54" t="n">
        <f aca="true">RAND()</f>
        <v>0.802222231335943</v>
      </c>
      <c r="U583" s="54" t="n">
        <f aca="true">RAND()</f>
        <v>0.680409079905837</v>
      </c>
    </row>
    <row r="584" customFormat="false" ht="15" hidden="false" customHeight="false" outlineLevel="0" collapsed="false">
      <c r="A584" s="50" t="n">
        <v>504</v>
      </c>
      <c r="B584" s="51" t="n">
        <f aca="false">1+IF($G$6=$E$6,$F$6,IF(P584&lt;($F$6-$E$6)/($G$6-$E$6),$E$6+SQRT(P584*($G$6-$E$6)*($F$6-$E$6)),$G$6-SQRT((1-P584)*($G$6-$E$6)*($G$6-$F$6))))</f>
        <v>0.944155492019796</v>
      </c>
      <c r="C584" s="51" t="n">
        <f aca="false">1+IF($G$7=$E$7,$F$7,IF(Q584&lt;($F$7-$E$7)/($G$7-$E$7),$E$7+SQRT(Q584*($G$7-$E$7)*($F$7-$E$7)),$G$7-SQRT((1-Q584)*($G$7-$E$7)*($G$7-$F$7))))</f>
        <v>1.08221078317424</v>
      </c>
      <c r="D584" s="51" t="n">
        <f aca="false">1+IF($G$8=$E$8,$F$8,IF(R584&lt;($F$8-$E$8)/($G$8-$E$8),$E$8+SQRT(R584*($G$8-$E$8)*($F$8-$E$8)),$G$8-SQRT((1-R584)*($G$8-$E$8)*($G$8-$F$8))))</f>
        <v>1.02743527998076</v>
      </c>
      <c r="E584" s="51" t="n">
        <f aca="false">1+IF($G$9=$E$9,$F$9,IF(S584&lt;($F$9-$E$9)/($G$9-$E$9),$E$9+SQRT(S584*($G$9-$E$9)*($F$9-$E$9)),$G$9-SQRT((1-S584)*($G$9-$E$9)*($G$9-$F$9))))</f>
        <v>0.989856051836214</v>
      </c>
      <c r="F584" s="51" t="n">
        <f aca="false">1+IF($G$10=$E$10,$F$10,IF(T584&lt;($F$10-$E$10)/($G$10-$E$10),$E$10+SQRT(T584*($G$10-$E$10)*($F$10-$E$10)),$G$10-SQRT((1-T584)*($G$10-$E$10)*($G$10-$F$10))))</f>
        <v>1.07837889404808</v>
      </c>
      <c r="G584" s="52" t="n">
        <f aca="false">IF($G$11=$E$11,$F$11,IF(U584&lt;($F$11-$E$11)/($G$11-$E$11),$E$11+SQRT(U584*($G$11-$E$11)*($F$11-$E$11)),$G$11-SQRT((1-U584)*($G$11-$E$11)*($G$11-$F$11))))</f>
        <v>0.108512637961066</v>
      </c>
      <c r="H584" s="53" t="n">
        <f aca="false">(('Business Case'!B11*$C584*'Business Case'!B12*$B584)-'Business Case'!B11*$C584*'Business Case'!B13*$D584-'Business Case'!B14*$E584)-MAX(0,(('Business Case'!B11*$C584*'Business Case'!B12*$B584)-'Business Case'!B11*$C584*'Business Case'!B13*$D584-'Business Case'!B14*$E584))*'Business Case'!$B$7-'Business Case'!$B$8*('Business Case'!B11*$C584*'Business Case'!B12*$B584)-'Business Case'!B15*$F584</f>
        <v>-2156757788.09616</v>
      </c>
      <c r="I584" s="53" t="n">
        <f aca="false">(('Business Case'!C11*$C584*'Business Case'!C12*$B584)-'Business Case'!C11*$C584*'Business Case'!C13*$D584-'Business Case'!C14*$E584)-MAX(0,(('Business Case'!C11*$C584*'Business Case'!C12*$B584)-'Business Case'!C11*$C584*'Business Case'!C13*$D584-'Business Case'!C14*$E584))*'Business Case'!$B$7-'Business Case'!$B$8*(('Business Case'!C11*$C584*'Business Case'!C12*$B584)-('Business Case'!B11*$C584*'Business Case'!B12*$B584))-'Business Case'!C15*$F584</f>
        <v>-33861383.7977569</v>
      </c>
      <c r="J584" s="53" t="n">
        <f aca="false">(('Business Case'!D11*$C584*'Business Case'!D12*$B584)-'Business Case'!D11*$C584*'Business Case'!D13*$D584-'Business Case'!D14*$E584)-MAX(0,(('Business Case'!D11*$C584*'Business Case'!D12*$B584)-'Business Case'!D11*$C584*'Business Case'!D13*$D584-'Business Case'!D14*$E584))*'Business Case'!$B$7-'Business Case'!$B$8*(('Business Case'!D11*$C584*'Business Case'!D12*$B584)-('Business Case'!C11*$C584*'Business Case'!C12*$B584))-'Business Case'!D15*$F584</f>
        <v>233841481.571455</v>
      </c>
      <c r="K584" s="53" t="n">
        <f aca="false">(('Business Case'!E11*$C584*'Business Case'!E12*$B584)-'Business Case'!E11*$C584*'Business Case'!E13*$D584-'Business Case'!E14*$E584)-MAX(0,(('Business Case'!E11*$C584*'Business Case'!E12*$B584)-'Business Case'!E11*$C584*'Business Case'!E13*$D584-'Business Case'!E14*$E584))*'Business Case'!$B$7-'Business Case'!$B$8*(('Business Case'!E11*$C584*'Business Case'!E12*$B584)-('Business Case'!D11*$C584*'Business Case'!D12*$B584))-'Business Case'!E15*$F584</f>
        <v>555463291.643071</v>
      </c>
      <c r="L584" s="53" t="n">
        <f aca="false">(('Business Case'!F11*$C584*'Business Case'!F12*$B584)-'Business Case'!F11*$C584*'Business Case'!F13*$D584-'Business Case'!F14*$E584)-MAX(0,(('Business Case'!F11*$C584*'Business Case'!F12*$B584)-'Business Case'!F11*$C584*'Business Case'!F13*$D584-'Business Case'!F14*$E584))*'Business Case'!$B$7-'Business Case'!$B$8*(('Business Case'!F11*$C584*'Business Case'!F12*$B584)-('Business Case'!E11*$C584*'Business Case'!E12*$B584))-'Business Case'!F15*$F584</f>
        <v>680010132.893509</v>
      </c>
      <c r="M584" s="53" t="n">
        <f aca="false">(('Business Case'!G11*$C584*'Business Case'!G12*$B584)-'Business Case'!G11*$C584*'Business Case'!G13*$D584-'Business Case'!G14*$E584)-MAX(0,(('Business Case'!G11*$C584*'Business Case'!G12*$B584)-'Business Case'!G11*$C584*'Business Case'!G13*$D584-'Business Case'!G14*$E584))*'Business Case'!$B$7-'Business Case'!$B$8*(('Business Case'!G11*$C584*'Business Case'!G12*$B584)-('Business Case'!F11*$C584*'Business Case'!F12*$B584))-'Business Case'!G15*$F584+'Business Case'!$B$8*('Business Case'!G11*$C584*'Business Case'!G12*$B584)</f>
        <v>874229173.260697</v>
      </c>
      <c r="N584" s="53" t="n">
        <f aca="false">IF(COUNT('Business Case'!B11:G11)=0,"",H584+NPV(G584,I584:M584))</f>
        <v>-616561635.1531</v>
      </c>
      <c r="P584" s="54" t="n">
        <f aca="true">RAND()</f>
        <v>0.0607799786165049</v>
      </c>
      <c r="Q584" s="54" t="n">
        <f aca="true">RAND()</f>
        <v>0.912468992040959</v>
      </c>
      <c r="R584" s="54" t="n">
        <f aca="true">RAND()</f>
        <v>0.734322135509493</v>
      </c>
      <c r="S584" s="54" t="n">
        <f aca="true">RAND()</f>
        <v>0.211800649062799</v>
      </c>
      <c r="T584" s="54" t="n">
        <f aca="true">RAND()</f>
        <v>0.704166131740635</v>
      </c>
      <c r="U584" s="54" t="n">
        <f aca="true">RAND()</f>
        <v>0.780067522310773</v>
      </c>
    </row>
    <row r="585" customFormat="false" ht="15" hidden="false" customHeight="false" outlineLevel="0" collapsed="false">
      <c r="A585" s="50" t="n">
        <v>505</v>
      </c>
      <c r="B585" s="51" t="n">
        <f aca="false">1+IF($G$6=$E$6,$F$6,IF(P585&lt;($F$6-$E$6)/($G$6-$E$6),$E$6+SQRT(P585*($G$6-$E$6)*($F$6-$E$6)),$G$6-SQRT((1-P585)*($G$6-$E$6)*($G$6-$F$6))))</f>
        <v>0.993697104332385</v>
      </c>
      <c r="C585" s="51" t="n">
        <f aca="false">1+IF($G$7=$E$7,$F$7,IF(Q585&lt;($F$7-$E$7)/($G$7-$E$7),$E$7+SQRT(Q585*($G$7-$E$7)*($F$7-$E$7)),$G$7-SQRT((1-Q585)*($G$7-$E$7)*($G$7-$F$7))))</f>
        <v>0.958530164913061</v>
      </c>
      <c r="D585" s="51" t="n">
        <f aca="false">1+IF($G$8=$E$8,$F$8,IF(R585&lt;($F$8-$E$8)/($G$8-$E$8),$E$8+SQRT(R585*($G$8-$E$8)*($F$8-$E$8)),$G$8-SQRT((1-R585)*($G$8-$E$8)*($G$8-$F$8))))</f>
        <v>0.984554687210228</v>
      </c>
      <c r="E585" s="51" t="n">
        <f aca="false">1+IF($G$9=$E$9,$F$9,IF(S585&lt;($F$9-$E$9)/($G$9-$E$9),$E$9+SQRT(S585*($G$9-$E$9)*($F$9-$E$9)),$G$9-SQRT((1-S585)*($G$9-$E$9)*($G$9-$F$9))))</f>
        <v>1.01004477974389</v>
      </c>
      <c r="F585" s="51" t="n">
        <f aca="false">1+IF($G$10=$E$10,$F$10,IF(T585&lt;($F$10-$E$10)/($G$10-$E$10),$E$10+SQRT(T585*($G$10-$E$10)*($F$10-$E$10)),$G$10-SQRT((1-T585)*($G$10-$E$10)*($G$10-$F$10))))</f>
        <v>1.06158248201167</v>
      </c>
      <c r="G585" s="52" t="n">
        <f aca="false">IF($G$11=$E$11,$F$11,IF(U585&lt;($F$11-$E$11)/($G$11-$E$11),$E$11+SQRT(U585*($G$11-$E$11)*($F$11-$E$11)),$G$11-SQRT((1-U585)*($G$11-$E$11)*($G$11-$F$11))))</f>
        <v>0.0996436992871276</v>
      </c>
      <c r="H585" s="53" t="n">
        <f aca="false">(('Business Case'!B11*$C585*'Business Case'!B12*$B585)-'Business Case'!B11*$C585*'Business Case'!B13*$D585-'Business Case'!B14*$E585)-MAX(0,(('Business Case'!B11*$C585*'Business Case'!B12*$B585)-'Business Case'!B11*$C585*'Business Case'!B13*$D585-'Business Case'!B14*$E585))*'Business Case'!$B$7-'Business Case'!$B$8*('Business Case'!B11*$C585*'Business Case'!B12*$B585)-'Business Case'!B15*$F585</f>
        <v>-2123164964.02333</v>
      </c>
      <c r="I585" s="53" t="n">
        <f aca="false">(('Business Case'!C11*$C585*'Business Case'!C12*$B585)-'Business Case'!C11*$C585*'Business Case'!C13*$D585-'Business Case'!C14*$E585)-MAX(0,(('Business Case'!C11*$C585*'Business Case'!C12*$B585)-'Business Case'!C11*$C585*'Business Case'!C13*$D585-'Business Case'!C14*$E585))*'Business Case'!$B$7-'Business Case'!$B$8*(('Business Case'!C11*$C585*'Business Case'!C12*$B585)-('Business Case'!B11*$C585*'Business Case'!B12*$B585))-'Business Case'!C15*$F585</f>
        <v>-2118734.22898704</v>
      </c>
      <c r="J585" s="53" t="n">
        <f aca="false">(('Business Case'!D11*$C585*'Business Case'!D12*$B585)-'Business Case'!D11*$C585*'Business Case'!D13*$D585-'Business Case'!D14*$E585)-MAX(0,(('Business Case'!D11*$C585*'Business Case'!D12*$B585)-'Business Case'!D11*$C585*'Business Case'!D13*$D585-'Business Case'!D14*$E585))*'Business Case'!$B$7-'Business Case'!$B$8*(('Business Case'!D11*$C585*'Business Case'!D12*$B585)-('Business Case'!C11*$C585*'Business Case'!C12*$B585))-'Business Case'!D15*$F585</f>
        <v>294926159.001933</v>
      </c>
      <c r="K585" s="53" t="n">
        <f aca="false">(('Business Case'!E11*$C585*'Business Case'!E12*$B585)-'Business Case'!E11*$C585*'Business Case'!E13*$D585-'Business Case'!E14*$E585)-MAX(0,(('Business Case'!E11*$C585*'Business Case'!E12*$B585)-'Business Case'!E11*$C585*'Business Case'!E13*$D585-'Business Case'!E14*$E585))*'Business Case'!$B$7-'Business Case'!$B$8*(('Business Case'!E11*$C585*'Business Case'!E12*$B585)-('Business Case'!D11*$C585*'Business Case'!D12*$B585))-'Business Case'!E15*$F585</f>
        <v>645050176.333437</v>
      </c>
      <c r="L585" s="53" t="n">
        <f aca="false">(('Business Case'!F11*$C585*'Business Case'!F12*$B585)-'Business Case'!F11*$C585*'Business Case'!F13*$D585-'Business Case'!F14*$E585)-MAX(0,(('Business Case'!F11*$C585*'Business Case'!F12*$B585)-'Business Case'!F11*$C585*'Business Case'!F13*$D585-'Business Case'!F14*$E585))*'Business Case'!$B$7-'Business Case'!$B$8*(('Business Case'!F11*$C585*'Business Case'!F12*$B585)-('Business Case'!E11*$C585*'Business Case'!E12*$B585))-'Business Case'!F15*$F585</f>
        <v>776983148.463184</v>
      </c>
      <c r="M585" s="53" t="n">
        <f aca="false">(('Business Case'!G11*$C585*'Business Case'!G12*$B585)-'Business Case'!G11*$C585*'Business Case'!G13*$D585-'Business Case'!G14*$E585)-MAX(0,(('Business Case'!G11*$C585*'Business Case'!G12*$B585)-'Business Case'!G11*$C585*'Business Case'!G13*$D585-'Business Case'!G14*$E585))*'Business Case'!$B$7-'Business Case'!$B$8*(('Business Case'!G11*$C585*'Business Case'!G12*$B585)-('Business Case'!F11*$C585*'Business Case'!F12*$B585))-'Business Case'!G15*$F585+'Business Case'!$B$8*('Business Case'!G11*$C585*'Business Case'!G12*$B585)</f>
        <v>958032190.920104</v>
      </c>
      <c r="N585" s="53" t="n">
        <f aca="false">IF(COUNT('Business Case'!B11:G11)=0,"",H585+NPV(G585,I585:M585))</f>
        <v>-268881075.349658</v>
      </c>
      <c r="P585" s="54" t="n">
        <f aca="true">RAND()</f>
        <v>0.565756581976925</v>
      </c>
      <c r="Q585" s="54" t="n">
        <f aca="true">RAND()</f>
        <v>0.359025902676604</v>
      </c>
      <c r="R585" s="54" t="n">
        <f aca="true">RAND()</f>
        <v>0.183696370491797</v>
      </c>
      <c r="S585" s="54" t="n">
        <f aca="true">RAND()</f>
        <v>0.460537223244932</v>
      </c>
      <c r="T585" s="54" t="n">
        <f aca="true">RAND()</f>
        <v>0.616811814278985</v>
      </c>
      <c r="U585" s="54" t="n">
        <f aca="true">RAND()</f>
        <v>0.310003119801819</v>
      </c>
    </row>
    <row r="586" customFormat="false" ht="15" hidden="false" customHeight="false" outlineLevel="0" collapsed="false">
      <c r="A586" s="50" t="n">
        <v>506</v>
      </c>
      <c r="B586" s="51" t="n">
        <f aca="false">1+IF($G$6=$E$6,$F$6,IF(P586&lt;($F$6-$E$6)/($G$6-$E$6),$E$6+SQRT(P586*($G$6-$E$6)*($F$6-$E$6)),$G$6-SQRT((1-P586)*($G$6-$E$6)*($G$6-$F$6))))</f>
        <v>1.02461074836197</v>
      </c>
      <c r="C586" s="51" t="n">
        <f aca="false">1+IF($G$7=$E$7,$F$7,IF(Q586&lt;($F$7-$E$7)/($G$7-$E$7),$E$7+SQRT(Q586*($G$7-$E$7)*($F$7-$E$7)),$G$7-SQRT((1-Q586)*($G$7-$E$7)*($G$7-$F$7))))</f>
        <v>0.991085951027277</v>
      </c>
      <c r="D586" s="51" t="n">
        <f aca="false">1+IF($G$8=$E$8,$F$8,IF(R586&lt;($F$8-$E$8)/($G$8-$E$8),$E$8+SQRT(R586*($G$8-$E$8)*($F$8-$E$8)),$G$8-SQRT((1-R586)*($G$8-$E$8)*($G$8-$F$8))))</f>
        <v>0.982221753169478</v>
      </c>
      <c r="E586" s="51" t="n">
        <f aca="false">1+IF($G$9=$E$9,$F$9,IF(S586&lt;($F$9-$E$9)/($G$9-$E$9),$E$9+SQRT(S586*($G$9-$E$9)*($F$9-$E$9)),$G$9-SQRT((1-S586)*($G$9-$E$9)*($G$9-$F$9))))</f>
        <v>1.00214684289617</v>
      </c>
      <c r="F586" s="51" t="n">
        <f aca="false">1+IF($G$10=$E$10,$F$10,IF(T586&lt;($F$10-$E$10)/($G$10-$E$10),$E$10+SQRT(T586*($G$10-$E$10)*($F$10-$E$10)),$G$10-SQRT((1-T586)*($G$10-$E$10)*($G$10-$F$10))))</f>
        <v>0.977770447636835</v>
      </c>
      <c r="G586" s="52" t="n">
        <f aca="false">IF($G$11=$E$11,$F$11,IF(U586&lt;($F$11-$E$11)/($G$11-$E$11),$E$11+SQRT(U586*($G$11-$E$11)*($F$11-$E$11)),$G$11-SQRT((1-U586)*($G$11-$E$11)*($G$11-$F$11))))</f>
        <v>0.109743624765622</v>
      </c>
      <c r="H586" s="53" t="n">
        <f aca="false">(('Business Case'!B11*$C586*'Business Case'!B12*$B586)-'Business Case'!B11*$C586*'Business Case'!B13*$D586-'Business Case'!B14*$E586)-MAX(0,(('Business Case'!B11*$C586*'Business Case'!B12*$B586)-'Business Case'!B11*$C586*'Business Case'!B13*$D586-'Business Case'!B14*$E586))*'Business Case'!$B$7-'Business Case'!$B$8*('Business Case'!B11*$C586*'Business Case'!B12*$B586)-'Business Case'!B15*$F586</f>
        <v>-1955540895.27367</v>
      </c>
      <c r="I586" s="53" t="n">
        <f aca="false">(('Business Case'!C11*$C586*'Business Case'!C12*$B586)-'Business Case'!C11*$C586*'Business Case'!C13*$D586-'Business Case'!C14*$E586)-MAX(0,(('Business Case'!C11*$C586*'Business Case'!C12*$B586)-'Business Case'!C11*$C586*'Business Case'!C13*$D586-'Business Case'!C14*$E586))*'Business Case'!$B$7-'Business Case'!$B$8*(('Business Case'!C11*$C586*'Business Case'!C12*$B586)-('Business Case'!B11*$C586*'Business Case'!B12*$B586))-'Business Case'!C15*$F586</f>
        <v>40487560.7498973</v>
      </c>
      <c r="J586" s="53" t="n">
        <f aca="false">(('Business Case'!D11*$C586*'Business Case'!D12*$B586)-'Business Case'!D11*$C586*'Business Case'!D13*$D586-'Business Case'!D14*$E586)-MAX(0,(('Business Case'!D11*$C586*'Business Case'!D12*$B586)-'Business Case'!D11*$C586*'Business Case'!D13*$D586-'Business Case'!D14*$E586))*'Business Case'!$B$7-'Business Case'!$B$8*(('Business Case'!D11*$C586*'Business Case'!D12*$B586)-('Business Case'!C11*$C586*'Business Case'!C12*$B586))-'Business Case'!D15*$F586</f>
        <v>373899791.487039</v>
      </c>
      <c r="K586" s="53" t="n">
        <f aca="false">(('Business Case'!E11*$C586*'Business Case'!E12*$B586)-'Business Case'!E11*$C586*'Business Case'!E13*$D586-'Business Case'!E14*$E586)-MAX(0,(('Business Case'!E11*$C586*'Business Case'!E12*$B586)-'Business Case'!E11*$C586*'Business Case'!E13*$D586-'Business Case'!E14*$E586))*'Business Case'!$B$7-'Business Case'!$B$8*(('Business Case'!E11*$C586*'Business Case'!E12*$B586)-('Business Case'!D11*$C586*'Business Case'!D12*$B586))-'Business Case'!E15*$F586</f>
        <v>756200544.606023</v>
      </c>
      <c r="L586" s="53" t="n">
        <f aca="false">(('Business Case'!F11*$C586*'Business Case'!F12*$B586)-'Business Case'!F11*$C586*'Business Case'!F13*$D586-'Business Case'!F14*$E586)-MAX(0,(('Business Case'!F11*$C586*'Business Case'!F12*$B586)-'Business Case'!F11*$C586*'Business Case'!F13*$D586-'Business Case'!F14*$E586))*'Business Case'!$B$7-'Business Case'!$B$8*(('Business Case'!F11*$C586*'Business Case'!F12*$B586)-('Business Case'!E11*$C586*'Business Case'!E12*$B586))-'Business Case'!F15*$F586</f>
        <v>902432850.960887</v>
      </c>
      <c r="M586" s="53" t="n">
        <f aca="false">(('Business Case'!G11*$C586*'Business Case'!G12*$B586)-'Business Case'!G11*$C586*'Business Case'!G13*$D586-'Business Case'!G14*$E586)-MAX(0,(('Business Case'!G11*$C586*'Business Case'!G12*$B586)-'Business Case'!G11*$C586*'Business Case'!G13*$D586-'Business Case'!G14*$E586))*'Business Case'!$B$7-'Business Case'!$B$8*(('Business Case'!G11*$C586*'Business Case'!G12*$B586)-('Business Case'!F11*$C586*'Business Case'!F12*$B586))-'Business Case'!G15*$F586+'Business Case'!$B$8*('Business Case'!G11*$C586*'Business Case'!G12*$B586)</f>
        <v>1095454779.56121</v>
      </c>
      <c r="N586" s="53" t="n">
        <f aca="false">IF(COUNT('Business Case'!B11:G11)=0,"",H586+NPV(G586,I586:M586))</f>
        <v>183719497.10266</v>
      </c>
      <c r="P586" s="54" t="n">
        <f aca="true">RAND()</f>
        <v>0.950660611254435</v>
      </c>
      <c r="Q586" s="54" t="n">
        <f aca="true">RAND()</f>
        <v>0.521626295428556</v>
      </c>
      <c r="R586" s="54" t="n">
        <f aca="true">RAND()</f>
        <v>0.15972944266381</v>
      </c>
      <c r="S586" s="54" t="n">
        <f aca="true">RAND()</f>
        <v>0.361650642987605</v>
      </c>
      <c r="T586" s="54" t="n">
        <f aca="true">RAND()</f>
        <v>0.0616958209560158</v>
      </c>
      <c r="U586" s="54" t="n">
        <f aca="true">RAND()</f>
        <v>0.824677945086048</v>
      </c>
    </row>
    <row r="587" customFormat="false" ht="15" hidden="false" customHeight="false" outlineLevel="0" collapsed="false">
      <c r="A587" s="50" t="n">
        <v>507</v>
      </c>
      <c r="B587" s="51" t="n">
        <f aca="false">1+IF($G$6=$E$6,$F$6,IF(P587&lt;($F$6-$E$6)/($G$6-$E$6),$E$6+SQRT(P587*($G$6-$E$6)*($F$6-$E$6)),$G$6-SQRT((1-P587)*($G$6-$E$6)*($G$6-$F$6))))</f>
        <v>0.993228134511234</v>
      </c>
      <c r="C587" s="51" t="n">
        <f aca="false">1+IF($G$7=$E$7,$F$7,IF(Q587&lt;($F$7-$E$7)/($G$7-$E$7),$E$7+SQRT(Q587*($G$7-$E$7)*($F$7-$E$7)),$G$7-SQRT((1-Q587)*($G$7-$E$7)*($G$7-$F$7))))</f>
        <v>1.0038086844422</v>
      </c>
      <c r="D587" s="51" t="n">
        <f aca="false">1+IF($G$8=$E$8,$F$8,IF(R587&lt;($F$8-$E$8)/($G$8-$E$8),$E$8+SQRT(R587*($G$8-$E$8)*($F$8-$E$8)),$G$8-SQRT((1-R587)*($G$8-$E$8)*($G$8-$F$8))))</f>
        <v>1.02154472073178</v>
      </c>
      <c r="E587" s="51" t="n">
        <f aca="false">1+IF($G$9=$E$9,$F$9,IF(S587&lt;($F$9-$E$9)/($G$9-$E$9),$E$9+SQRT(S587*($G$9-$E$9)*($F$9-$E$9)),$G$9-SQRT((1-S587)*($G$9-$E$9)*($G$9-$F$9))))</f>
        <v>1.02724264955624</v>
      </c>
      <c r="F587" s="51" t="n">
        <f aca="false">1+IF($G$10=$E$10,$F$10,IF(T587&lt;($F$10-$E$10)/($G$10-$E$10),$E$10+SQRT(T587*($G$10-$E$10)*($F$10-$E$10)),$G$10-SQRT((1-T587)*($G$10-$E$10)*($G$10-$F$10))))</f>
        <v>1.00532775890596</v>
      </c>
      <c r="G587" s="52" t="n">
        <f aca="false">IF($G$11=$E$11,$F$11,IF(U587&lt;($F$11-$E$11)/($G$11-$E$11),$E$11+SQRT(U587*($G$11-$E$11)*($F$11-$E$11)),$G$11-SQRT((1-U587)*($G$11-$E$11)*($G$11-$F$11))))</f>
        <v>0.100649626716956</v>
      </c>
      <c r="H587" s="53" t="n">
        <f aca="false">(('Business Case'!B11*$C587*'Business Case'!B12*$B587)-'Business Case'!B11*$C587*'Business Case'!B13*$D587-'Business Case'!B14*$E587)-MAX(0,(('Business Case'!B11*$C587*'Business Case'!B12*$B587)-'Business Case'!B11*$C587*'Business Case'!B13*$D587-'Business Case'!B14*$E587))*'Business Case'!$B$7-'Business Case'!$B$8*('Business Case'!B11*$C587*'Business Case'!B12*$B587)-'Business Case'!B15*$F587</f>
        <v>-2010655517.81191</v>
      </c>
      <c r="I587" s="53" t="n">
        <f aca="false">(('Business Case'!C11*$C587*'Business Case'!C12*$B587)-'Business Case'!C11*$C587*'Business Case'!C13*$D587-'Business Case'!C14*$E587)-MAX(0,(('Business Case'!C11*$C587*'Business Case'!C12*$B587)-'Business Case'!C11*$C587*'Business Case'!C13*$D587-'Business Case'!C14*$E587))*'Business Case'!$B$7-'Business Case'!$B$8*(('Business Case'!C11*$C587*'Business Case'!C12*$B587)-('Business Case'!B11*$C587*'Business Case'!B12*$B587))-'Business Case'!C15*$F587</f>
        <v>-6608838.1662018</v>
      </c>
      <c r="J587" s="53" t="n">
        <f aca="false">(('Business Case'!D11*$C587*'Business Case'!D12*$B587)-'Business Case'!D11*$C587*'Business Case'!D13*$D587-'Business Case'!D14*$E587)-MAX(0,(('Business Case'!D11*$C587*'Business Case'!D12*$B587)-'Business Case'!D11*$C587*'Business Case'!D13*$D587-'Business Case'!D14*$E587))*'Business Case'!$B$7-'Business Case'!$B$8*(('Business Case'!D11*$C587*'Business Case'!D12*$B587)-('Business Case'!C11*$C587*'Business Case'!C12*$B587))-'Business Case'!D15*$F587</f>
        <v>285074055.967605</v>
      </c>
      <c r="K587" s="53" t="n">
        <f aca="false">(('Business Case'!E11*$C587*'Business Case'!E12*$B587)-'Business Case'!E11*$C587*'Business Case'!E13*$D587-'Business Case'!E14*$E587)-MAX(0,(('Business Case'!E11*$C587*'Business Case'!E12*$B587)-'Business Case'!E11*$C587*'Business Case'!E13*$D587-'Business Case'!E14*$E587))*'Business Case'!$B$7-'Business Case'!$B$8*(('Business Case'!E11*$C587*'Business Case'!E12*$B587)-('Business Case'!D11*$C587*'Business Case'!D12*$B587))-'Business Case'!E15*$F587</f>
        <v>627023338.04671</v>
      </c>
      <c r="L587" s="53" t="n">
        <f aca="false">(('Business Case'!F11*$C587*'Business Case'!F12*$B587)-'Business Case'!F11*$C587*'Business Case'!F13*$D587-'Business Case'!F14*$E587)-MAX(0,(('Business Case'!F11*$C587*'Business Case'!F12*$B587)-'Business Case'!F11*$C587*'Business Case'!F13*$D587-'Business Case'!F14*$E587))*'Business Case'!$B$7-'Business Case'!$B$8*(('Business Case'!F11*$C587*'Business Case'!F12*$B587)-('Business Case'!E11*$C587*'Business Case'!E12*$B587))-'Business Case'!F15*$F587</f>
        <v>758707670.519656</v>
      </c>
      <c r="M587" s="53" t="n">
        <f aca="false">(('Business Case'!G11*$C587*'Business Case'!G12*$B587)-'Business Case'!G11*$C587*'Business Case'!G13*$D587-'Business Case'!G14*$E587)-MAX(0,(('Business Case'!G11*$C587*'Business Case'!G12*$B587)-'Business Case'!G11*$C587*'Business Case'!G13*$D587-'Business Case'!G14*$E587))*'Business Case'!$B$7-'Business Case'!$B$8*(('Business Case'!G11*$C587*'Business Case'!G12*$B587)-('Business Case'!F11*$C587*'Business Case'!F12*$B587))-'Business Case'!G15*$F587+'Business Case'!$B$8*('Business Case'!G11*$C587*'Business Case'!G12*$B587)</f>
        <v>948219526.542214</v>
      </c>
      <c r="N587" s="53" t="n">
        <f aca="false">IF(COUNT('Business Case'!B11:G11)=0,"",H587+NPV(G587,I587:M587))</f>
        <v>-207061926.869386</v>
      </c>
      <c r="P587" s="54" t="n">
        <f aca="true">RAND()</f>
        <v>0.558579133749515</v>
      </c>
      <c r="Q587" s="54" t="n">
        <f aca="true">RAND()</f>
        <v>0.592916176294859</v>
      </c>
      <c r="R587" s="54" t="n">
        <f aca="true">RAND()</f>
        <v>0.671440415930199</v>
      </c>
      <c r="S587" s="54" t="n">
        <f aca="true">RAND()</f>
        <v>0.647091197093595</v>
      </c>
      <c r="T587" s="54" t="n">
        <f aca="true">RAND()</f>
        <v>0.242054370948443</v>
      </c>
      <c r="U587" s="54" t="n">
        <f aca="true">RAND()</f>
        <v>0.37593842301141</v>
      </c>
    </row>
    <row r="588" customFormat="false" ht="15" hidden="false" customHeight="false" outlineLevel="0" collapsed="false">
      <c r="A588" s="50" t="n">
        <v>508</v>
      </c>
      <c r="B588" s="51" t="n">
        <f aca="false">1+IF($G$6=$E$6,$F$6,IF(P588&lt;($F$6-$E$6)/($G$6-$E$6),$E$6+SQRT(P588*($G$6-$E$6)*($F$6-$E$6)),$G$6-SQRT((1-P588)*($G$6-$E$6)*($G$6-$F$6))))</f>
        <v>0.998636161660275</v>
      </c>
      <c r="C588" s="51" t="n">
        <f aca="false">1+IF($G$7=$E$7,$F$7,IF(Q588&lt;($F$7-$E$7)/($G$7-$E$7),$E$7+SQRT(Q588*($G$7-$E$7)*($F$7-$E$7)),$G$7-SQRT((1-Q588)*($G$7-$E$7)*($G$7-$F$7))))</f>
        <v>0.994242979682481</v>
      </c>
      <c r="D588" s="51" t="n">
        <f aca="false">1+IF($G$8=$E$8,$F$8,IF(R588&lt;($F$8-$E$8)/($G$8-$E$8),$E$8+SQRT(R588*($G$8-$E$8)*($F$8-$E$8)),$G$8-SQRT((1-R588)*($G$8-$E$8)*($G$8-$F$8))))</f>
        <v>0.971577842323039</v>
      </c>
      <c r="E588" s="51" t="n">
        <f aca="false">1+IF($G$9=$E$9,$F$9,IF(S588&lt;($F$9-$E$9)/($G$9-$E$9),$E$9+SQRT(S588*($G$9-$E$9)*($F$9-$E$9)),$G$9-SQRT((1-S588)*($G$9-$E$9)*($G$9-$F$9))))</f>
        <v>1.03694794634606</v>
      </c>
      <c r="F588" s="51" t="n">
        <f aca="false">1+IF($G$10=$E$10,$F$10,IF(T588&lt;($F$10-$E$10)/($G$10-$E$10),$E$10+SQRT(T588*($G$10-$E$10)*($F$10-$E$10)),$G$10-SQRT((1-T588)*($G$10-$E$10)*($G$10-$F$10))))</f>
        <v>1.00263711163978</v>
      </c>
      <c r="G588" s="52" t="n">
        <f aca="false">IF($G$11=$E$11,$F$11,IF(U588&lt;($F$11-$E$11)/($G$11-$E$11),$E$11+SQRT(U588*($G$11-$E$11)*($F$11-$E$11)),$G$11-SQRT((1-U588)*($G$11-$E$11)*($G$11-$F$11))))</f>
        <v>0.103977204058812</v>
      </c>
      <c r="H588" s="53" t="n">
        <f aca="false">(('Business Case'!B11*$C588*'Business Case'!B12*$B588)-'Business Case'!B11*$C588*'Business Case'!B13*$D588-'Business Case'!B14*$E588)-MAX(0,(('Business Case'!B11*$C588*'Business Case'!B12*$B588)-'Business Case'!B11*$C588*'Business Case'!B13*$D588-'Business Case'!B14*$E588))*'Business Case'!$B$7-'Business Case'!$B$8*('Business Case'!B11*$C588*'Business Case'!B12*$B588)-'Business Case'!B15*$F588</f>
        <v>-2005274223.27956</v>
      </c>
      <c r="I588" s="53" t="n">
        <f aca="false">(('Business Case'!C11*$C588*'Business Case'!C12*$B588)-'Business Case'!C11*$C588*'Business Case'!C13*$D588-'Business Case'!C14*$E588)-MAX(0,(('Business Case'!C11*$C588*'Business Case'!C12*$B588)-'Business Case'!C11*$C588*'Business Case'!C13*$D588-'Business Case'!C14*$E588))*'Business Case'!$B$7-'Business Case'!$B$8*(('Business Case'!C11*$C588*'Business Case'!C12*$B588)-('Business Case'!B11*$C588*'Business Case'!B12*$B588))-'Business Case'!C15*$F588</f>
        <v>19550205.1658305</v>
      </c>
      <c r="J588" s="53" t="n">
        <f aca="false">(('Business Case'!D11*$C588*'Business Case'!D12*$B588)-'Business Case'!D11*$C588*'Business Case'!D13*$D588-'Business Case'!D14*$E588)-MAX(0,(('Business Case'!D11*$C588*'Business Case'!D12*$B588)-'Business Case'!D11*$C588*'Business Case'!D13*$D588-'Business Case'!D14*$E588))*'Business Case'!$B$7-'Business Case'!$B$8*(('Business Case'!D11*$C588*'Business Case'!D12*$B588)-('Business Case'!C11*$C588*'Business Case'!C12*$B588))-'Business Case'!D15*$F588</f>
        <v>338289381.182535</v>
      </c>
      <c r="K588" s="53" t="n">
        <f aca="false">(('Business Case'!E11*$C588*'Business Case'!E12*$B588)-'Business Case'!E11*$C588*'Business Case'!E13*$D588-'Business Case'!E14*$E588)-MAX(0,(('Business Case'!E11*$C588*'Business Case'!E12*$B588)-'Business Case'!E11*$C588*'Business Case'!E13*$D588-'Business Case'!E14*$E588))*'Business Case'!$B$7-'Business Case'!$B$8*(('Business Case'!E11*$C588*'Business Case'!E12*$B588)-('Business Case'!D11*$C588*'Business Case'!D12*$B588))-'Business Case'!E15*$F588</f>
        <v>707160412.781229</v>
      </c>
      <c r="L588" s="53" t="n">
        <f aca="false">(('Business Case'!F11*$C588*'Business Case'!F12*$B588)-'Business Case'!F11*$C588*'Business Case'!F13*$D588-'Business Case'!F14*$E588)-MAX(0,(('Business Case'!F11*$C588*'Business Case'!F12*$B588)-'Business Case'!F11*$C588*'Business Case'!F13*$D588-'Business Case'!F14*$E588))*'Business Case'!$B$7-'Business Case'!$B$8*(('Business Case'!F11*$C588*'Business Case'!F12*$B588)-('Business Case'!E11*$C588*'Business Case'!E12*$B588))-'Business Case'!F15*$F588</f>
        <v>847720979.264455</v>
      </c>
      <c r="M588" s="53" t="n">
        <f aca="false">(('Business Case'!G11*$C588*'Business Case'!G12*$B588)-'Business Case'!G11*$C588*'Business Case'!G13*$D588-'Business Case'!G14*$E588)-MAX(0,(('Business Case'!G11*$C588*'Business Case'!G12*$B588)-'Business Case'!G11*$C588*'Business Case'!G13*$D588-'Business Case'!G14*$E588))*'Business Case'!$B$7-'Business Case'!$B$8*(('Business Case'!G11*$C588*'Business Case'!G12*$B588)-('Business Case'!F11*$C588*'Business Case'!F12*$B588))-'Business Case'!G15*$F588+'Business Case'!$B$8*('Business Case'!G11*$C588*'Business Case'!G12*$B588)</f>
        <v>1036448938.89157</v>
      </c>
      <c r="N588" s="53" t="n">
        <f aca="false">IF(COUNT('Business Case'!B11:G11)=0,"",H588+NPV(G588,I588:M588))</f>
        <v>18330599.3075562</v>
      </c>
      <c r="P588" s="54" t="n">
        <f aca="true">RAND()</f>
        <v>0.644129783402174</v>
      </c>
      <c r="Q588" s="54" t="n">
        <f aca="true">RAND()</f>
        <v>0.53900478794184</v>
      </c>
      <c r="R588" s="54" t="n">
        <f aca="true">RAND()</f>
        <v>0.0716312737412198</v>
      </c>
      <c r="S588" s="54" t="n">
        <f aca="true">RAND()</f>
        <v>0.734962568668042</v>
      </c>
      <c r="T588" s="54" t="n">
        <f aca="true">RAND()</f>
        <v>0.220957805962219</v>
      </c>
      <c r="U588" s="54" t="n">
        <f aca="true">RAND()</f>
        <v>0.572116683711772</v>
      </c>
    </row>
    <row r="589" customFormat="false" ht="15" hidden="false" customHeight="false" outlineLevel="0" collapsed="false">
      <c r="A589" s="50" t="n">
        <v>509</v>
      </c>
      <c r="B589" s="51" t="n">
        <f aca="false">1+IF($G$6=$E$6,$F$6,IF(P589&lt;($F$6-$E$6)/($G$6-$E$6),$E$6+SQRT(P589*($G$6-$E$6)*($F$6-$E$6)),$G$6-SQRT((1-P589)*($G$6-$E$6)*($G$6-$F$6))))</f>
        <v>0.950657091837464</v>
      </c>
      <c r="C589" s="51" t="n">
        <f aca="false">1+IF($G$7=$E$7,$F$7,IF(Q589&lt;($F$7-$E$7)/($G$7-$E$7),$E$7+SQRT(Q589*($G$7-$E$7)*($F$7-$E$7)),$G$7-SQRT((1-Q589)*($G$7-$E$7)*($G$7-$F$7))))</f>
        <v>1.02211077463878</v>
      </c>
      <c r="D589" s="51" t="n">
        <f aca="false">1+IF($G$8=$E$8,$F$8,IF(R589&lt;($F$8-$E$8)/($G$8-$E$8),$E$8+SQRT(R589*($G$8-$E$8)*($F$8-$E$8)),$G$8-SQRT((1-R589)*($G$8-$E$8)*($G$8-$F$8))))</f>
        <v>1.01804977458614</v>
      </c>
      <c r="E589" s="51" t="n">
        <f aca="false">1+IF($G$9=$E$9,$F$9,IF(S589&lt;($F$9-$E$9)/($G$9-$E$9),$E$9+SQRT(S589*($G$9-$E$9)*($F$9-$E$9)),$G$9-SQRT((1-S589)*($G$9-$E$9)*($G$9-$F$9))))</f>
        <v>0.988990715773909</v>
      </c>
      <c r="F589" s="51" t="n">
        <f aca="false">1+IF($G$10=$E$10,$F$10,IF(T589&lt;($F$10-$E$10)/($G$10-$E$10),$E$10+SQRT(T589*($G$10-$E$10)*($F$10-$E$10)),$G$10-SQRT((1-T589)*($G$10-$E$10)*($G$10-$F$10))))</f>
        <v>1.13865631566964</v>
      </c>
      <c r="G589" s="52" t="n">
        <f aca="false">IF($G$11=$E$11,$F$11,IF(U589&lt;($F$11-$E$11)/($G$11-$E$11),$E$11+SQRT(U589*($G$11-$E$11)*($F$11-$E$11)),$G$11-SQRT((1-U589)*($G$11-$E$11)*($G$11-$F$11))))</f>
        <v>0.100267457253505</v>
      </c>
      <c r="H589" s="53" t="n">
        <f aca="false">(('Business Case'!B11*$C589*'Business Case'!B12*$B589)-'Business Case'!B11*$C589*'Business Case'!B13*$D589-'Business Case'!B14*$E589)-MAX(0,(('Business Case'!B11*$C589*'Business Case'!B12*$B589)-'Business Case'!B11*$C589*'Business Case'!B13*$D589-'Business Case'!B14*$E589))*'Business Case'!$B$7-'Business Case'!$B$8*('Business Case'!B11*$C589*'Business Case'!B12*$B589)-'Business Case'!B15*$F589</f>
        <v>-2277312631.33928</v>
      </c>
      <c r="I589" s="53" t="n">
        <f aca="false">(('Business Case'!C11*$C589*'Business Case'!C12*$B589)-'Business Case'!C11*$C589*'Business Case'!C13*$D589-'Business Case'!C14*$E589)-MAX(0,(('Business Case'!C11*$C589*'Business Case'!C12*$B589)-'Business Case'!C11*$C589*'Business Case'!C13*$D589-'Business Case'!C14*$E589))*'Business Case'!$B$7-'Business Case'!$B$8*(('Business Case'!C11*$C589*'Business Case'!C12*$B589)-('Business Case'!B11*$C589*'Business Case'!B12*$B589))-'Business Case'!C15*$F589</f>
        <v>-41681826.1572158</v>
      </c>
      <c r="J589" s="53" t="n">
        <f aca="false">(('Business Case'!D11*$C589*'Business Case'!D12*$B589)-'Business Case'!D11*$C589*'Business Case'!D13*$D589-'Business Case'!D14*$E589)-MAX(0,(('Business Case'!D11*$C589*'Business Case'!D12*$B589)-'Business Case'!D11*$C589*'Business Case'!D13*$D589-'Business Case'!D14*$E589))*'Business Case'!$B$7-'Business Case'!$B$8*(('Business Case'!D11*$C589*'Business Case'!D12*$B589)-('Business Case'!C11*$C589*'Business Case'!C12*$B589))-'Business Case'!D15*$F589</f>
        <v>221508187.279333</v>
      </c>
      <c r="K589" s="53" t="n">
        <f aca="false">(('Business Case'!E11*$C589*'Business Case'!E12*$B589)-'Business Case'!E11*$C589*'Business Case'!E13*$D589-'Business Case'!E14*$E589)-MAX(0,(('Business Case'!E11*$C589*'Business Case'!E12*$B589)-'Business Case'!E11*$C589*'Business Case'!E13*$D589-'Business Case'!E14*$E589))*'Business Case'!$B$7-'Business Case'!$B$8*(('Business Case'!E11*$C589*'Business Case'!E12*$B589)-('Business Case'!D11*$C589*'Business Case'!D12*$B589))-'Business Case'!E15*$F589</f>
        <v>541631016.499364</v>
      </c>
      <c r="L589" s="53" t="n">
        <f aca="false">(('Business Case'!F11*$C589*'Business Case'!F12*$B589)-'Business Case'!F11*$C589*'Business Case'!F13*$D589-'Business Case'!F14*$E589)-MAX(0,(('Business Case'!F11*$C589*'Business Case'!F12*$B589)-'Business Case'!F11*$C589*'Business Case'!F13*$D589-'Business Case'!F14*$E589))*'Business Case'!$B$7-'Business Case'!$B$8*(('Business Case'!F11*$C589*'Business Case'!F12*$B589)-('Business Case'!E11*$C589*'Business Case'!E12*$B589))-'Business Case'!F15*$F589</f>
        <v>662942173.140714</v>
      </c>
      <c r="M589" s="53" t="n">
        <f aca="false">(('Business Case'!G11*$C589*'Business Case'!G12*$B589)-'Business Case'!G11*$C589*'Business Case'!G13*$D589-'Business Case'!G14*$E589)-MAX(0,(('Business Case'!G11*$C589*'Business Case'!G12*$B589)-'Business Case'!G11*$C589*'Business Case'!G13*$D589-'Business Case'!G14*$E589))*'Business Case'!$B$7-'Business Case'!$B$8*(('Business Case'!G11*$C589*'Business Case'!G12*$B589)-('Business Case'!F11*$C589*'Business Case'!F12*$B589))-'Business Case'!G15*$F589+'Business Case'!$B$8*('Business Case'!G11*$C589*'Business Case'!G12*$B589)</f>
        <v>847638510.034468</v>
      </c>
      <c r="N589" s="53" t="n">
        <f aca="false">IF(COUNT('Business Case'!B11:G11)=0,"",H589+NPV(G589,I589:M589))</f>
        <v>-747545894.634914</v>
      </c>
      <c r="P589" s="54" t="n">
        <f aca="true">RAND()</f>
        <v>0.0979017999927839</v>
      </c>
      <c r="Q589" s="54" t="n">
        <f aca="true">RAND()</f>
        <v>0.688463734028697</v>
      </c>
      <c r="R589" s="54" t="n">
        <f aca="true">RAND()</f>
        <v>0.630977843381946</v>
      </c>
      <c r="S589" s="54" t="n">
        <f aca="true">RAND()</f>
        <v>0.202703455541569</v>
      </c>
      <c r="T589" s="54" t="n">
        <f aca="true">RAND()</f>
        <v>0.924739047855538</v>
      </c>
      <c r="U589" s="54" t="n">
        <f aca="true">RAND()</f>
        <v>0.351044594596222</v>
      </c>
    </row>
    <row r="590" customFormat="false" ht="15" hidden="false" customHeight="false" outlineLevel="0" collapsed="false">
      <c r="A590" s="50" t="n">
        <v>510</v>
      </c>
      <c r="B590" s="51" t="n">
        <f aca="false">1+IF($G$6=$E$6,$F$6,IF(P590&lt;($F$6-$E$6)/($G$6-$E$6),$E$6+SQRT(P590*($G$6-$E$6)*($F$6-$E$6)),$G$6-SQRT((1-P590)*($G$6-$E$6)*($G$6-$F$6))))</f>
        <v>0.954214641413107</v>
      </c>
      <c r="C590" s="51" t="n">
        <f aca="false">1+IF($G$7=$E$7,$F$7,IF(Q590&lt;($F$7-$E$7)/($G$7-$E$7),$E$7+SQRT(Q590*($G$7-$E$7)*($F$7-$E$7)),$G$7-SQRT((1-Q590)*($G$7-$E$7)*($G$7-$F$7))))</f>
        <v>1.03058936296698</v>
      </c>
      <c r="D590" s="51" t="n">
        <f aca="false">1+IF($G$8=$E$8,$F$8,IF(R590&lt;($F$8-$E$8)/($G$8-$E$8),$E$8+SQRT(R590*($G$8-$E$8)*($F$8-$E$8)),$G$8-SQRT((1-R590)*($G$8-$E$8)*($G$8-$F$8))))</f>
        <v>1.06874786676153</v>
      </c>
      <c r="E590" s="51" t="n">
        <f aca="false">1+IF($G$9=$E$9,$F$9,IF(S590&lt;($F$9-$E$9)/($G$9-$E$9),$E$9+SQRT(S590*($G$9-$E$9)*($F$9-$E$9)),$G$9-SQRT((1-S590)*($G$9-$E$9)*($G$9-$F$9))))</f>
        <v>1.07506997864594</v>
      </c>
      <c r="F590" s="51" t="n">
        <f aca="false">1+IF($G$10=$E$10,$F$10,IF(T590&lt;($F$10-$E$10)/($G$10-$E$10),$E$10+SQRT(T590*($G$10-$E$10)*($F$10-$E$10)),$G$10-SQRT((1-T590)*($G$10-$E$10)*($G$10-$F$10))))</f>
        <v>1.13636755102925</v>
      </c>
      <c r="G590" s="52" t="n">
        <f aca="false">IF($G$11=$E$11,$F$11,IF(U590&lt;($F$11-$E$11)/($G$11-$E$11),$E$11+SQRT(U590*($G$11-$E$11)*($F$11-$E$11)),$G$11-SQRT((1-U590)*($G$11-$E$11)*($G$11-$F$11))))</f>
        <v>0.0975871265964226</v>
      </c>
      <c r="H590" s="53" t="n">
        <f aca="false">(('Business Case'!B11*$C590*'Business Case'!B12*$B590)-'Business Case'!B11*$C590*'Business Case'!B13*$D590-'Business Case'!B14*$E590)-MAX(0,(('Business Case'!B11*$C590*'Business Case'!B12*$B590)-'Business Case'!B11*$C590*'Business Case'!B13*$D590-'Business Case'!B14*$E590))*'Business Case'!$B$7-'Business Case'!$B$8*('Business Case'!B11*$C590*'Business Case'!B12*$B590)-'Business Case'!B15*$F590</f>
        <v>-2272735102.05851</v>
      </c>
      <c r="I590" s="53" t="n">
        <f aca="false">(('Business Case'!C11*$C590*'Business Case'!C12*$B590)-'Business Case'!C11*$C590*'Business Case'!C13*$D590-'Business Case'!C14*$E590)-MAX(0,(('Business Case'!C11*$C590*'Business Case'!C12*$B590)-'Business Case'!C11*$C590*'Business Case'!C13*$D590-'Business Case'!C14*$E590))*'Business Case'!$B$7-'Business Case'!$B$8*(('Business Case'!C11*$C590*'Business Case'!C12*$B590)-('Business Case'!B11*$C590*'Business Case'!B12*$B590))-'Business Case'!C15*$F590</f>
        <v>-75862361.6552719</v>
      </c>
      <c r="J590" s="53" t="n">
        <f aca="false">(('Business Case'!D11*$C590*'Business Case'!D12*$B590)-'Business Case'!D11*$C590*'Business Case'!D13*$D590-'Business Case'!D14*$E590)-MAX(0,(('Business Case'!D11*$C590*'Business Case'!D12*$B590)-'Business Case'!D11*$C590*'Business Case'!D13*$D590-'Business Case'!D14*$E590))*'Business Case'!$B$7-'Business Case'!$B$8*(('Business Case'!D11*$C590*'Business Case'!D12*$B590)-('Business Case'!C11*$C590*'Business Case'!C12*$B590))-'Business Case'!D15*$F590</f>
        <v>165766618.092567</v>
      </c>
      <c r="K590" s="53" t="n">
        <f aca="false">(('Business Case'!E11*$C590*'Business Case'!E12*$B590)-'Business Case'!E11*$C590*'Business Case'!E13*$D590-'Business Case'!E14*$E590)-MAX(0,(('Business Case'!E11*$C590*'Business Case'!E12*$B590)-'Business Case'!E11*$C590*'Business Case'!E13*$D590-'Business Case'!E14*$E590))*'Business Case'!$B$7-'Business Case'!$B$8*(('Business Case'!E11*$C590*'Business Case'!E12*$B590)-('Business Case'!D11*$C590*'Business Case'!D12*$B590))-'Business Case'!E15*$F590</f>
        <v>464213975.391868</v>
      </c>
      <c r="L590" s="53" t="n">
        <f aca="false">(('Business Case'!F11*$C590*'Business Case'!F12*$B590)-'Business Case'!F11*$C590*'Business Case'!F13*$D590-'Business Case'!F14*$E590)-MAX(0,(('Business Case'!F11*$C590*'Business Case'!F12*$B590)-'Business Case'!F11*$C590*'Business Case'!F13*$D590-'Business Case'!F14*$E590))*'Business Case'!$B$7-'Business Case'!$B$8*(('Business Case'!F11*$C590*'Business Case'!F12*$B590)-('Business Case'!E11*$C590*'Business Case'!E12*$B590))-'Business Case'!F15*$F590</f>
        <v>578743392.198969</v>
      </c>
      <c r="M590" s="53" t="n">
        <f aca="false">(('Business Case'!G11*$C590*'Business Case'!G12*$B590)-'Business Case'!G11*$C590*'Business Case'!G13*$D590-'Business Case'!G14*$E590)-MAX(0,(('Business Case'!G11*$C590*'Business Case'!G12*$B590)-'Business Case'!G11*$C590*'Business Case'!G13*$D590-'Business Case'!G14*$E590))*'Business Case'!$B$7-'Business Case'!$B$8*(('Business Case'!G11*$C590*'Business Case'!G12*$B590)-('Business Case'!F11*$C590*'Business Case'!F12*$B590))-'Business Case'!G15*$F590+'Business Case'!$B$8*('Business Case'!G11*$C590*'Business Case'!G12*$B590)</f>
        <v>765668721.766986</v>
      </c>
      <c r="N590" s="53" t="n">
        <f aca="false">IF(COUNT('Business Case'!B11:G11)=0,"",H590+NPV(G590,I590:M590))</f>
        <v>-973730574.35442</v>
      </c>
      <c r="P590" s="54" t="n">
        <f aca="true">RAND()</f>
        <v>0.121941842398698</v>
      </c>
      <c r="Q590" s="54" t="n">
        <f aca="true">RAND()</f>
        <v>0.728401900254655</v>
      </c>
      <c r="R590" s="54" t="n">
        <f aca="true">RAND()</f>
        <v>0.987825913229212</v>
      </c>
      <c r="S590" s="54" t="n">
        <f aca="true">RAND()</f>
        <v>0.958566269019085</v>
      </c>
      <c r="T590" s="54" t="n">
        <f aca="true">RAND()</f>
        <v>0.919018228759705</v>
      </c>
      <c r="U590" s="54" t="n">
        <f aca="true">RAND()</f>
        <v>0.191881633300474</v>
      </c>
    </row>
    <row r="591" customFormat="false" ht="15" hidden="false" customHeight="false" outlineLevel="0" collapsed="false">
      <c r="A591" s="50" t="n">
        <v>511</v>
      </c>
      <c r="B591" s="51" t="n">
        <f aca="false">1+IF($G$6=$E$6,$F$6,IF(P591&lt;($F$6-$E$6)/($G$6-$E$6),$E$6+SQRT(P591*($G$6-$E$6)*($F$6-$E$6)),$G$6-SQRT((1-P591)*($G$6-$E$6)*($G$6-$F$6))))</f>
        <v>1.00379783156076</v>
      </c>
      <c r="C591" s="51" t="n">
        <f aca="false">1+IF($G$7=$E$7,$F$7,IF(Q591&lt;($F$7-$E$7)/($G$7-$E$7),$E$7+SQRT(Q591*($G$7-$E$7)*($F$7-$E$7)),$G$7-SQRT((1-Q591)*($G$7-$E$7)*($G$7-$F$7))))</f>
        <v>0.999905575169002</v>
      </c>
      <c r="D591" s="51" t="n">
        <f aca="false">1+IF($G$8=$E$8,$F$8,IF(R591&lt;($F$8-$E$8)/($G$8-$E$8),$E$8+SQRT(R591*($G$8-$E$8)*($F$8-$E$8)),$G$8-SQRT((1-R591)*($G$8-$E$8)*($G$8-$F$8))))</f>
        <v>1.0340228611708</v>
      </c>
      <c r="E591" s="51" t="n">
        <f aca="false">1+IF($G$9=$E$9,$F$9,IF(S591&lt;($F$9-$E$9)/($G$9-$E$9),$E$9+SQRT(S591*($G$9-$E$9)*($F$9-$E$9)),$G$9-SQRT((1-S591)*($G$9-$E$9)*($G$9-$F$9))))</f>
        <v>1.01213847958949</v>
      </c>
      <c r="F591" s="51" t="n">
        <f aca="false">1+IF($G$10=$E$10,$F$10,IF(T591&lt;($F$10-$E$10)/($G$10-$E$10),$E$10+SQRT(T591*($G$10-$E$10)*($F$10-$E$10)),$G$10-SQRT((1-T591)*($G$10-$E$10)*($G$10-$F$10))))</f>
        <v>1.05179272567178</v>
      </c>
      <c r="G591" s="52" t="n">
        <f aca="false">IF($G$11=$E$11,$F$11,IF(U591&lt;($F$11-$E$11)/($G$11-$E$11),$E$11+SQRT(U591*($G$11-$E$11)*($F$11-$E$11)),$G$11-SQRT((1-U591)*($G$11-$E$11)*($G$11-$F$11))))</f>
        <v>0.102553010839791</v>
      </c>
      <c r="H591" s="53" t="n">
        <f aca="false">(('Business Case'!B11*$C591*'Business Case'!B12*$B591)-'Business Case'!B11*$C591*'Business Case'!B13*$D591-'Business Case'!B14*$E591)-MAX(0,(('Business Case'!B11*$C591*'Business Case'!B12*$B591)-'Business Case'!B11*$C591*'Business Case'!B13*$D591-'Business Case'!B14*$E591))*'Business Case'!$B$7-'Business Case'!$B$8*('Business Case'!B11*$C591*'Business Case'!B12*$B591)-'Business Case'!B15*$F591</f>
        <v>-2103585451.34357</v>
      </c>
      <c r="I591" s="53" t="n">
        <f aca="false">(('Business Case'!C11*$C591*'Business Case'!C12*$B591)-'Business Case'!C11*$C591*'Business Case'!C13*$D591-'Business Case'!C14*$E591)-MAX(0,(('Business Case'!C11*$C591*'Business Case'!C12*$B591)-'Business Case'!C11*$C591*'Business Case'!C13*$D591-'Business Case'!C14*$E591))*'Business Case'!$B$7-'Business Case'!$B$8*(('Business Case'!C11*$C591*'Business Case'!C12*$B591)-('Business Case'!B11*$C591*'Business Case'!B12*$B591))-'Business Case'!C15*$F591</f>
        <v>-8319267.88486238</v>
      </c>
      <c r="J591" s="53" t="n">
        <f aca="false">(('Business Case'!D11*$C591*'Business Case'!D12*$B591)-'Business Case'!D11*$C591*'Business Case'!D13*$D591-'Business Case'!D14*$E591)-MAX(0,(('Business Case'!D11*$C591*'Business Case'!D12*$B591)-'Business Case'!D11*$C591*'Business Case'!D13*$D591-'Business Case'!D14*$E591))*'Business Case'!$B$7-'Business Case'!$B$8*(('Business Case'!D11*$C591*'Business Case'!D12*$B591)-('Business Case'!C11*$C591*'Business Case'!C12*$B591))-'Business Case'!D15*$F591</f>
        <v>284498794.609629</v>
      </c>
      <c r="K591" s="53" t="n">
        <f aca="false">(('Business Case'!E11*$C591*'Business Case'!E12*$B591)-'Business Case'!E11*$C591*'Business Case'!E13*$D591-'Business Case'!E14*$E591)-MAX(0,(('Business Case'!E11*$C591*'Business Case'!E12*$B591)-'Business Case'!E11*$C591*'Business Case'!E13*$D591-'Business Case'!E14*$E591))*'Business Case'!$B$7-'Business Case'!$B$8*(('Business Case'!E11*$C591*'Business Case'!E12*$B591)-('Business Case'!D11*$C591*'Business Case'!D12*$B591))-'Business Case'!E15*$F591</f>
        <v>629906493.387709</v>
      </c>
      <c r="L591" s="53" t="n">
        <f aca="false">(('Business Case'!F11*$C591*'Business Case'!F12*$B591)-'Business Case'!F11*$C591*'Business Case'!F13*$D591-'Business Case'!F14*$E591)-MAX(0,(('Business Case'!F11*$C591*'Business Case'!F12*$B591)-'Business Case'!F11*$C591*'Business Case'!F13*$D591-'Business Case'!F14*$E591))*'Business Case'!$B$7-'Business Case'!$B$8*(('Business Case'!F11*$C591*'Business Case'!F12*$B591)-('Business Case'!E11*$C591*'Business Case'!E12*$B591))-'Business Case'!F15*$F591</f>
        <v>762200491.562239</v>
      </c>
      <c r="M591" s="53" t="n">
        <f aca="false">(('Business Case'!G11*$C591*'Business Case'!G12*$B591)-'Business Case'!G11*$C591*'Business Case'!G13*$D591-'Business Case'!G14*$E591)-MAX(0,(('Business Case'!G11*$C591*'Business Case'!G12*$B591)-'Business Case'!G11*$C591*'Business Case'!G13*$D591-'Business Case'!G14*$E591))*'Business Case'!$B$7-'Business Case'!$B$8*(('Business Case'!G11*$C591*'Business Case'!G12*$B591)-('Business Case'!F11*$C591*'Business Case'!F12*$B591))-'Business Case'!G15*$F591+'Business Case'!$B$8*('Business Case'!G11*$C591*'Business Case'!G12*$B591)</f>
        <v>952984366.948919</v>
      </c>
      <c r="N591" s="53" t="n">
        <f aca="false">IF(COUNT('Business Case'!B11:G11)=0,"",H591+NPV(G591,I591:M591))</f>
        <v>-306420239.724106</v>
      </c>
      <c r="P591" s="54" t="n">
        <f aca="true">RAND()</f>
        <v>0.726958958395252</v>
      </c>
      <c r="Q591" s="54" t="n">
        <f aca="true">RAND()</f>
        <v>0.570889128337849</v>
      </c>
      <c r="R591" s="54" t="n">
        <f aca="true">RAND()</f>
        <v>0.796740644719284</v>
      </c>
      <c r="S591" s="54" t="n">
        <f aca="true">RAND()</f>
        <v>0.485356882076933</v>
      </c>
      <c r="T591" s="54" t="n">
        <f aca="true">RAND()</f>
        <v>0.56069207672401</v>
      </c>
      <c r="U591" s="54" t="n">
        <f aca="true">RAND()</f>
        <v>0.492670948739266</v>
      </c>
    </row>
    <row r="592" customFormat="false" ht="15" hidden="false" customHeight="false" outlineLevel="0" collapsed="false">
      <c r="A592" s="50" t="n">
        <v>512</v>
      </c>
      <c r="B592" s="51" t="n">
        <f aca="false">1+IF($G$6=$E$6,$F$6,IF(P592&lt;($F$6-$E$6)/($G$6-$E$6),$E$6+SQRT(P592*($G$6-$E$6)*($F$6-$E$6)),$G$6-SQRT((1-P592)*($G$6-$E$6)*($G$6-$F$6))))</f>
        <v>1.01859856493256</v>
      </c>
      <c r="C592" s="51" t="n">
        <f aca="false">1+IF($G$7=$E$7,$F$7,IF(Q592&lt;($F$7-$E$7)/($G$7-$E$7),$E$7+SQRT(Q592*($G$7-$E$7)*($F$7-$E$7)),$G$7-SQRT((1-Q592)*($G$7-$E$7)*($G$7-$F$7))))</f>
        <v>0.863751534209074</v>
      </c>
      <c r="D592" s="51" t="n">
        <f aca="false">1+IF($G$8=$E$8,$F$8,IF(R592&lt;($F$8-$E$8)/($G$8-$E$8),$E$8+SQRT(R592*($G$8-$E$8)*($F$8-$E$8)),$G$8-SQRT((1-R592)*($G$8-$E$8)*($G$8-$F$8))))</f>
        <v>0.975419643821764</v>
      </c>
      <c r="E592" s="51" t="n">
        <f aca="false">1+IF($G$9=$E$9,$F$9,IF(S592&lt;($F$9-$E$9)/($G$9-$E$9),$E$9+SQRT(S592*($G$9-$E$9)*($F$9-$E$9)),$G$9-SQRT((1-S592)*($G$9-$E$9)*($G$9-$F$9))))</f>
        <v>1.01410119772851</v>
      </c>
      <c r="F592" s="51" t="n">
        <f aca="false">1+IF($G$10=$E$10,$F$10,IF(T592&lt;($F$10-$E$10)/($G$10-$E$10),$E$10+SQRT(T592*($G$10-$E$10)*($F$10-$E$10)),$G$10-SQRT((1-T592)*($G$10-$E$10)*($G$10-$F$10))))</f>
        <v>1.03339207622134</v>
      </c>
      <c r="G592" s="52" t="n">
        <f aca="false">IF($G$11=$E$11,$F$11,IF(U592&lt;($F$11-$E$11)/($G$11-$E$11),$E$11+SQRT(U592*($G$11-$E$11)*($F$11-$E$11)),$G$11-SQRT((1-U592)*($G$11-$E$11)*($G$11-$F$11))))</f>
        <v>0.0988378557228446</v>
      </c>
      <c r="H592" s="53" t="n">
        <f aca="false">(('Business Case'!B11*$C592*'Business Case'!B12*$B592)-'Business Case'!B11*$C592*'Business Case'!B13*$D592-'Business Case'!B14*$E592)-MAX(0,(('Business Case'!B11*$C592*'Business Case'!B12*$B592)-'Business Case'!B11*$C592*'Business Case'!B13*$D592-'Business Case'!B14*$E592))*'Business Case'!$B$7-'Business Case'!$B$8*('Business Case'!B11*$C592*'Business Case'!B12*$B592)-'Business Case'!B15*$F592</f>
        <v>-2066784152.44267</v>
      </c>
      <c r="I592" s="53" t="n">
        <f aca="false">(('Business Case'!C11*$C592*'Business Case'!C12*$B592)-'Business Case'!C11*$C592*'Business Case'!C13*$D592-'Business Case'!C14*$E592)-MAX(0,(('Business Case'!C11*$C592*'Business Case'!C12*$B592)-'Business Case'!C11*$C592*'Business Case'!C13*$D592-'Business Case'!C14*$E592))*'Business Case'!$B$7-'Business Case'!$B$8*(('Business Case'!C11*$C592*'Business Case'!C12*$B592)-('Business Case'!B11*$C592*'Business Case'!B12*$B592))-'Business Case'!C15*$F592</f>
        <v>-3824300.3363736</v>
      </c>
      <c r="J592" s="53" t="n">
        <f aca="false">(('Business Case'!D11*$C592*'Business Case'!D12*$B592)-'Business Case'!D11*$C592*'Business Case'!D13*$D592-'Business Case'!D14*$E592)-MAX(0,(('Business Case'!D11*$C592*'Business Case'!D12*$B592)-'Business Case'!D11*$C592*'Business Case'!D13*$D592-'Business Case'!D14*$E592))*'Business Case'!$B$7-'Business Case'!$B$8*(('Business Case'!D11*$C592*'Business Case'!D12*$B592)-('Business Case'!C11*$C592*'Business Case'!C12*$B592))-'Business Case'!D15*$F592</f>
        <v>285505462.501258</v>
      </c>
      <c r="K592" s="53" t="n">
        <f aca="false">(('Business Case'!E11*$C592*'Business Case'!E12*$B592)-'Business Case'!E11*$C592*'Business Case'!E13*$D592-'Business Case'!E14*$E592)-MAX(0,(('Business Case'!E11*$C592*'Business Case'!E12*$B592)-'Business Case'!E11*$C592*'Business Case'!E13*$D592-'Business Case'!E14*$E592))*'Business Case'!$B$7-'Business Case'!$B$8*(('Business Case'!E11*$C592*'Business Case'!E12*$B592)-('Business Case'!D11*$C592*'Business Case'!D12*$B592))-'Business Case'!E15*$F592</f>
        <v>626504829.149957</v>
      </c>
      <c r="L592" s="53" t="n">
        <f aca="false">(('Business Case'!F11*$C592*'Business Case'!F12*$B592)-'Business Case'!F11*$C592*'Business Case'!F13*$D592-'Business Case'!F14*$E592)-MAX(0,(('Business Case'!F11*$C592*'Business Case'!F12*$B592)-'Business Case'!F11*$C592*'Business Case'!F13*$D592-'Business Case'!F14*$E592))*'Business Case'!$B$7-'Business Case'!$B$8*(('Business Case'!F11*$C592*'Business Case'!F12*$B592)-('Business Case'!E11*$C592*'Business Case'!E12*$B592))-'Business Case'!F15*$F592</f>
        <v>753354526.919086</v>
      </c>
      <c r="M592" s="53" t="n">
        <f aca="false">(('Business Case'!G11*$C592*'Business Case'!G12*$B592)-'Business Case'!G11*$C592*'Business Case'!G13*$D592-'Business Case'!G14*$E592)-MAX(0,(('Business Case'!G11*$C592*'Business Case'!G12*$B592)-'Business Case'!G11*$C592*'Business Case'!G13*$D592-'Business Case'!G14*$E592))*'Business Case'!$B$7-'Business Case'!$B$8*(('Business Case'!G11*$C592*'Business Case'!G12*$B592)-('Business Case'!F11*$C592*'Business Case'!F12*$B592))-'Business Case'!G15*$F592+'Business Case'!$B$8*('Business Case'!G11*$C592*'Business Case'!G12*$B592)</f>
        <v>920589966.113637</v>
      </c>
      <c r="N592" s="53" t="n">
        <f aca="false">IF(COUNT('Business Case'!B11:G11)=0,"",H592+NPV(G592,I592:M592))</f>
        <v>-270238197.64596</v>
      </c>
      <c r="P592" s="54" t="n">
        <f aca="true">RAND()</f>
        <v>0.9045788702196</v>
      </c>
      <c r="Q592" s="54" t="n">
        <f aca="true">RAND()</f>
        <v>0.058060830200154</v>
      </c>
      <c r="R592" s="54" t="n">
        <f aca="true">RAND()</f>
        <v>0.0994089680038976</v>
      </c>
      <c r="S592" s="54" t="n">
        <f aca="true">RAND()</f>
        <v>0.508093051221558</v>
      </c>
      <c r="T592" s="54" t="n">
        <f aca="true">RAND()</f>
        <v>0.444835994683267</v>
      </c>
      <c r="U592" s="54" t="n">
        <f aca="true">RAND()</f>
        <v>0.260358979259388</v>
      </c>
    </row>
    <row r="593" customFormat="false" ht="15" hidden="false" customHeight="false" outlineLevel="0" collapsed="false">
      <c r="A593" s="50" t="n">
        <v>513</v>
      </c>
      <c r="B593" s="51" t="n">
        <f aca="false">1+IF($G$6=$E$6,$F$6,IF(P593&lt;($F$6-$E$6)/($G$6-$E$6),$E$6+SQRT(P593*($G$6-$E$6)*($F$6-$E$6)),$G$6-SQRT((1-P593)*($G$6-$E$6)*($G$6-$F$6))))</f>
        <v>1.01533392216792</v>
      </c>
      <c r="C593" s="51" t="n">
        <f aca="false">1+IF($G$7=$E$7,$F$7,IF(Q593&lt;($F$7-$E$7)/($G$7-$E$7),$E$7+SQRT(Q593*($G$7-$E$7)*($F$7-$E$7)),$G$7-SQRT((1-Q593)*($G$7-$E$7)*($G$7-$F$7))))</f>
        <v>0.991808082517662</v>
      </c>
      <c r="D593" s="51" t="n">
        <f aca="false">1+IF($G$8=$E$8,$F$8,IF(R593&lt;($F$8-$E$8)/($G$8-$E$8),$E$8+SQRT(R593*($G$8-$E$8)*($F$8-$E$8)),$G$8-SQRT((1-R593)*($G$8-$E$8)*($G$8-$F$8))))</f>
        <v>1.01349279187198</v>
      </c>
      <c r="E593" s="51" t="n">
        <f aca="false">1+IF($G$9=$E$9,$F$9,IF(S593&lt;($F$9-$E$9)/($G$9-$E$9),$E$9+SQRT(S593*($G$9-$E$9)*($F$9-$E$9)),$G$9-SQRT((1-S593)*($G$9-$E$9)*($G$9-$F$9))))</f>
        <v>1.00987459103656</v>
      </c>
      <c r="F593" s="51" t="n">
        <f aca="false">1+IF($G$10=$E$10,$F$10,IF(T593&lt;($F$10-$E$10)/($G$10-$E$10),$E$10+SQRT(T593*($G$10-$E$10)*($F$10-$E$10)),$G$10-SQRT((1-T593)*($G$10-$E$10)*($G$10-$F$10))))</f>
        <v>1.00982854407925</v>
      </c>
      <c r="G593" s="52" t="n">
        <f aca="false">IF($G$11=$E$11,$F$11,IF(U593&lt;($F$11-$E$11)/($G$11-$E$11),$E$11+SQRT(U593*($G$11-$E$11)*($F$11-$E$11)),$G$11-SQRT((1-U593)*($G$11-$E$11)*($G$11-$F$11))))</f>
        <v>0.117443177892265</v>
      </c>
      <c r="H593" s="53" t="n">
        <f aca="false">(('Business Case'!B11*$C593*'Business Case'!B12*$B593)-'Business Case'!B11*$C593*'Business Case'!B13*$D593-'Business Case'!B14*$E593)-MAX(0,(('Business Case'!B11*$C593*'Business Case'!B12*$B593)-'Business Case'!B11*$C593*'Business Case'!B13*$D593-'Business Case'!B14*$E593))*'Business Case'!$B$7-'Business Case'!$B$8*('Business Case'!B11*$C593*'Business Case'!B12*$B593)-'Business Case'!B15*$F593</f>
        <v>-2019657088.1585</v>
      </c>
      <c r="I593" s="53" t="n">
        <f aca="false">(('Business Case'!C11*$C593*'Business Case'!C12*$B593)-'Business Case'!C11*$C593*'Business Case'!C13*$D593-'Business Case'!C14*$E593)-MAX(0,(('Business Case'!C11*$C593*'Business Case'!C12*$B593)-'Business Case'!C11*$C593*'Business Case'!C13*$D593-'Business Case'!C14*$E593))*'Business Case'!$B$7-'Business Case'!$B$8*(('Business Case'!C11*$C593*'Business Case'!C12*$B593)-('Business Case'!B11*$C593*'Business Case'!B12*$B593))-'Business Case'!C15*$F593</f>
        <v>13451137.873241</v>
      </c>
      <c r="J593" s="53" t="n">
        <f aca="false">(('Business Case'!D11*$C593*'Business Case'!D12*$B593)-'Business Case'!D11*$C593*'Business Case'!D13*$D593-'Business Case'!D14*$E593)-MAX(0,(('Business Case'!D11*$C593*'Business Case'!D12*$B593)-'Business Case'!D11*$C593*'Business Case'!D13*$D593-'Business Case'!D14*$E593))*'Business Case'!$B$7-'Business Case'!$B$8*(('Business Case'!D11*$C593*'Business Case'!D12*$B593)-('Business Case'!C11*$C593*'Business Case'!C12*$B593))-'Business Case'!D15*$F593</f>
        <v>323693026.681278</v>
      </c>
      <c r="K593" s="53" t="n">
        <f aca="false">(('Business Case'!E11*$C593*'Business Case'!E12*$B593)-'Business Case'!E11*$C593*'Business Case'!E13*$D593-'Business Case'!E14*$E593)-MAX(0,(('Business Case'!E11*$C593*'Business Case'!E12*$B593)-'Business Case'!E11*$C593*'Business Case'!E13*$D593-'Business Case'!E14*$E593))*'Business Case'!$B$7-'Business Case'!$B$8*(('Business Case'!E11*$C593*'Business Case'!E12*$B593)-('Business Case'!D11*$C593*'Business Case'!D12*$B593))-'Business Case'!E15*$F593</f>
        <v>684426342.693278</v>
      </c>
      <c r="L593" s="53" t="n">
        <f aca="false">(('Business Case'!F11*$C593*'Business Case'!F12*$B593)-'Business Case'!F11*$C593*'Business Case'!F13*$D593-'Business Case'!F14*$E593)-MAX(0,(('Business Case'!F11*$C593*'Business Case'!F12*$B593)-'Business Case'!F11*$C593*'Business Case'!F13*$D593-'Business Case'!F14*$E593))*'Business Case'!$B$7-'Business Case'!$B$8*(('Business Case'!F11*$C593*'Business Case'!F12*$B593)-('Business Case'!E11*$C593*'Business Case'!E12*$B593))-'Business Case'!F15*$F593</f>
        <v>822642792.083605</v>
      </c>
      <c r="M593" s="53" t="n">
        <f aca="false">(('Business Case'!G11*$C593*'Business Case'!G12*$B593)-'Business Case'!G11*$C593*'Business Case'!G13*$D593-'Business Case'!G14*$E593)-MAX(0,(('Business Case'!G11*$C593*'Business Case'!G12*$B593)-'Business Case'!G11*$C593*'Business Case'!G13*$D593-'Business Case'!G14*$E593))*'Business Case'!$B$7-'Business Case'!$B$8*(('Business Case'!G11*$C593*'Business Case'!G12*$B593)-('Business Case'!F11*$C593*'Business Case'!F12*$B593))-'Business Case'!G15*$F593+'Business Case'!$B$8*('Business Case'!G11*$C593*'Business Case'!G12*$B593)</f>
        <v>1014056467.58234</v>
      </c>
      <c r="N593" s="53" t="n">
        <f aca="false">IF(COUNT('Business Case'!B11:G11)=0,"",H593+NPV(G593,I593:M593))</f>
        <v>-148256819.45514</v>
      </c>
      <c r="P593" s="54" t="n">
        <f aca="true">RAND()</f>
        <v>0.873246792579578</v>
      </c>
      <c r="Q593" s="54" t="n">
        <f aca="true">RAND()</f>
        <v>0.525576293130034</v>
      </c>
      <c r="R593" s="54" t="n">
        <f aca="true">RAND()</f>
        <v>0.574691467982332</v>
      </c>
      <c r="S593" s="54" t="n">
        <f aca="true">RAND()</f>
        <v>0.458494043944807</v>
      </c>
      <c r="T593" s="54" t="n">
        <f aca="true">RAND()</f>
        <v>0.276696347059654</v>
      </c>
      <c r="U593" s="54" t="n">
        <f aca="true">RAND()</f>
        <v>0.989104434515666</v>
      </c>
    </row>
    <row r="594" customFormat="false" ht="15" hidden="false" customHeight="false" outlineLevel="0" collapsed="false">
      <c r="A594" s="50" t="n">
        <v>514</v>
      </c>
      <c r="B594" s="51" t="n">
        <f aca="false">1+IF($G$6=$E$6,$F$6,IF(P594&lt;($F$6-$E$6)/($G$6-$E$6),$E$6+SQRT(P594*($G$6-$E$6)*($F$6-$E$6)),$G$6-SQRT((1-P594)*($G$6-$E$6)*($G$6-$F$6))))</f>
        <v>0.938777822965568</v>
      </c>
      <c r="C594" s="51" t="n">
        <f aca="false">1+IF($G$7=$E$7,$F$7,IF(Q594&lt;($F$7-$E$7)/($G$7-$E$7),$E$7+SQRT(Q594*($G$7-$E$7)*($F$7-$E$7)),$G$7-SQRT((1-Q594)*($G$7-$E$7)*($G$7-$F$7))))</f>
        <v>0.977452633848266</v>
      </c>
      <c r="D594" s="51" t="n">
        <f aca="false">1+IF($G$8=$E$8,$F$8,IF(R594&lt;($F$8-$E$8)/($G$8-$E$8),$E$8+SQRT(R594*($G$8-$E$8)*($F$8-$E$8)),$G$8-SQRT((1-R594)*($G$8-$E$8)*($G$8-$F$8))))</f>
        <v>1.01882503780744</v>
      </c>
      <c r="E594" s="51" t="n">
        <f aca="false">1+IF($G$9=$E$9,$F$9,IF(S594&lt;($F$9-$E$9)/($G$9-$E$9),$E$9+SQRT(S594*($G$9-$E$9)*($F$9-$E$9)),$G$9-SQRT((1-S594)*($G$9-$E$9)*($G$9-$F$9))))</f>
        <v>0.986315461726228</v>
      </c>
      <c r="F594" s="51" t="n">
        <f aca="false">1+IF($G$10=$E$10,$F$10,IF(T594&lt;($F$10-$E$10)/($G$10-$E$10),$E$10+SQRT(T594*($G$10-$E$10)*($F$10-$E$10)),$G$10-SQRT((1-T594)*($G$10-$E$10)*($G$10-$F$10))))</f>
        <v>0.954066178372202</v>
      </c>
      <c r="G594" s="52" t="n">
        <f aca="false">IF($G$11=$E$11,$F$11,IF(U594&lt;($F$11-$E$11)/($G$11-$E$11),$E$11+SQRT(U594*($G$11-$E$11)*($F$11-$E$11)),$G$11-SQRT((1-U594)*($G$11-$E$11)*($G$11-$F$11))))</f>
        <v>0.106056751866724</v>
      </c>
      <c r="H594" s="53" t="n">
        <f aca="false">(('Business Case'!B11*$C594*'Business Case'!B12*$B594)-'Business Case'!B11*$C594*'Business Case'!B13*$D594-'Business Case'!B14*$E594)-MAX(0,(('Business Case'!B11*$C594*'Business Case'!B12*$B594)-'Business Case'!B11*$C594*'Business Case'!B13*$D594-'Business Case'!B14*$E594))*'Business Case'!$B$7-'Business Case'!$B$8*('Business Case'!B11*$C594*'Business Case'!B12*$B594)-'Business Case'!B15*$F594</f>
        <v>-1908132356.7444</v>
      </c>
      <c r="I594" s="53" t="n">
        <f aca="false">(('Business Case'!C11*$C594*'Business Case'!C12*$B594)-'Business Case'!C11*$C594*'Business Case'!C13*$D594-'Business Case'!C14*$E594)-MAX(0,(('Business Case'!C11*$C594*'Business Case'!C12*$B594)-'Business Case'!C11*$C594*'Business Case'!C13*$D594-'Business Case'!C14*$E594))*'Business Case'!$B$7-'Business Case'!$B$8*(('Business Case'!C11*$C594*'Business Case'!C12*$B594)-('Business Case'!B11*$C594*'Business Case'!B12*$B594))-'Business Case'!C15*$F594</f>
        <v>-41437443.1480122</v>
      </c>
      <c r="J594" s="53" t="n">
        <f aca="false">(('Business Case'!D11*$C594*'Business Case'!D12*$B594)-'Business Case'!D11*$C594*'Business Case'!D13*$D594-'Business Case'!D14*$E594)-MAX(0,(('Business Case'!D11*$C594*'Business Case'!D12*$B594)-'Business Case'!D11*$C594*'Business Case'!D13*$D594-'Business Case'!D14*$E594))*'Business Case'!$B$7-'Business Case'!$B$8*(('Business Case'!D11*$C594*'Business Case'!D12*$B594)-('Business Case'!C11*$C594*'Business Case'!C12*$B594))-'Business Case'!D15*$F594</f>
        <v>200354736.955874</v>
      </c>
      <c r="K594" s="53" t="n">
        <f aca="false">(('Business Case'!E11*$C594*'Business Case'!E12*$B594)-'Business Case'!E11*$C594*'Business Case'!E13*$D594-'Business Case'!E14*$E594)-MAX(0,(('Business Case'!E11*$C594*'Business Case'!E12*$B594)-'Business Case'!E11*$C594*'Business Case'!E13*$D594-'Business Case'!E14*$E594))*'Business Case'!$B$7-'Business Case'!$B$8*(('Business Case'!E11*$C594*'Business Case'!E12*$B594)-('Business Case'!D11*$C594*'Business Case'!D12*$B594))-'Business Case'!E15*$F594</f>
        <v>489850225.978371</v>
      </c>
      <c r="L594" s="53" t="n">
        <f aca="false">(('Business Case'!F11*$C594*'Business Case'!F12*$B594)-'Business Case'!F11*$C594*'Business Case'!F13*$D594-'Business Case'!F14*$E594)-MAX(0,(('Business Case'!F11*$C594*'Business Case'!F12*$B594)-'Business Case'!F11*$C594*'Business Case'!F13*$D594-'Business Case'!F14*$E594))*'Business Case'!$B$7-'Business Case'!$B$8*(('Business Case'!F11*$C594*'Business Case'!F12*$B594)-('Business Case'!E11*$C594*'Business Case'!E12*$B594))-'Business Case'!F15*$F594</f>
        <v>602160250.517806</v>
      </c>
      <c r="M594" s="53" t="n">
        <f aca="false">(('Business Case'!G11*$C594*'Business Case'!G12*$B594)-'Business Case'!G11*$C594*'Business Case'!G13*$D594-'Business Case'!G14*$E594)-MAX(0,(('Business Case'!G11*$C594*'Business Case'!G12*$B594)-'Business Case'!G11*$C594*'Business Case'!G13*$D594-'Business Case'!G14*$E594))*'Business Case'!$B$7-'Business Case'!$B$8*(('Business Case'!G11*$C594*'Business Case'!G12*$B594)-('Business Case'!F11*$C594*'Business Case'!F12*$B594))-'Business Case'!G15*$F594+'Business Case'!$B$8*('Business Case'!G11*$C594*'Business Case'!G12*$B594)</f>
        <v>776579721.960905</v>
      </c>
      <c r="N594" s="53" t="n">
        <f aca="false">IF(COUNT('Business Case'!B11:G11)=0,"",H594+NPV(G594,I594:M594))</f>
        <v>-548318980.548121</v>
      </c>
      <c r="P594" s="54" t="n">
        <f aca="true">RAND()</f>
        <v>0.0367298578464818</v>
      </c>
      <c r="Q594" s="54" t="n">
        <f aca="true">RAND()</f>
        <v>0.449849103709811</v>
      </c>
      <c r="R594" s="54" t="n">
        <f aca="true">RAND()</f>
        <v>0.640156153917174</v>
      </c>
      <c r="S594" s="54" t="n">
        <f aca="true">RAND()</f>
        <v>0.17584170138522</v>
      </c>
      <c r="T594" s="54" t="n">
        <f aca="true">RAND()</f>
        <v>0.00132270452436497</v>
      </c>
      <c r="U594" s="54" t="n">
        <f aca="true">RAND()</f>
        <v>0.675976385823147</v>
      </c>
    </row>
    <row r="595" customFormat="false" ht="15" hidden="false" customHeight="false" outlineLevel="0" collapsed="false">
      <c r="A595" s="50" t="n">
        <v>515</v>
      </c>
      <c r="B595" s="51" t="n">
        <f aca="false">1+IF($G$6=$E$6,$F$6,IF(P595&lt;($F$6-$E$6)/($G$6-$E$6),$E$6+SQRT(P595*($G$6-$E$6)*($F$6-$E$6)),$G$6-SQRT((1-P595)*($G$6-$E$6)*($G$6-$F$6))))</f>
        <v>0.977568811436152</v>
      </c>
      <c r="C595" s="51" t="n">
        <f aca="false">1+IF($G$7=$E$7,$F$7,IF(Q595&lt;($F$7-$E$7)/($G$7-$E$7),$E$7+SQRT(Q595*($G$7-$E$7)*($F$7-$E$7)),$G$7-SQRT((1-Q595)*($G$7-$E$7)*($G$7-$F$7))))</f>
        <v>1.00262235778514</v>
      </c>
      <c r="D595" s="51" t="n">
        <f aca="false">1+IF($G$8=$E$8,$F$8,IF(R595&lt;($F$8-$E$8)/($G$8-$E$8),$E$8+SQRT(R595*($G$8-$E$8)*($F$8-$E$8)),$G$8-SQRT((1-R595)*($G$8-$E$8)*($G$8-$F$8))))</f>
        <v>1.03435918819477</v>
      </c>
      <c r="E595" s="51" t="n">
        <f aca="false">1+IF($G$9=$E$9,$F$9,IF(S595&lt;($F$9-$E$9)/($G$9-$E$9),$E$9+SQRT(S595*($G$9-$E$9)*($F$9-$E$9)),$G$9-SQRT((1-S595)*($G$9-$E$9)*($G$9-$F$9))))</f>
        <v>0.964039879800496</v>
      </c>
      <c r="F595" s="51" t="n">
        <f aca="false">1+IF($G$10=$E$10,$F$10,IF(T595&lt;($F$10-$E$10)/($G$10-$E$10),$E$10+SQRT(T595*($G$10-$E$10)*($F$10-$E$10)),$G$10-SQRT((1-T595)*($G$10-$E$10)*($G$10-$F$10))))</f>
        <v>1.00183990480553</v>
      </c>
      <c r="G595" s="52" t="n">
        <f aca="false">IF($G$11=$E$11,$F$11,IF(U595&lt;($F$11-$E$11)/($G$11-$E$11),$E$11+SQRT(U595*($G$11-$E$11)*($F$11-$E$11)),$G$11-SQRT((1-U595)*($G$11-$E$11)*($G$11-$F$11))))</f>
        <v>0.10530872797655</v>
      </c>
      <c r="H595" s="53" t="n">
        <f aca="false">(('Business Case'!B11*$C595*'Business Case'!B12*$B595)-'Business Case'!B11*$C595*'Business Case'!B13*$D595-'Business Case'!B14*$E595)-MAX(0,(('Business Case'!B11*$C595*'Business Case'!B12*$B595)-'Business Case'!B11*$C595*'Business Case'!B13*$D595-'Business Case'!B14*$E595))*'Business Case'!$B$7-'Business Case'!$B$8*('Business Case'!B11*$C595*'Business Case'!B12*$B595)-'Business Case'!B15*$F595</f>
        <v>-2003679809.61106</v>
      </c>
      <c r="I595" s="53" t="n">
        <f aca="false">(('Business Case'!C11*$C595*'Business Case'!C12*$B595)-'Business Case'!C11*$C595*'Business Case'!C13*$D595-'Business Case'!C14*$E595)-MAX(0,(('Business Case'!C11*$C595*'Business Case'!C12*$B595)-'Business Case'!C11*$C595*'Business Case'!C13*$D595-'Business Case'!C14*$E595))*'Business Case'!$B$7-'Business Case'!$B$8*(('Business Case'!C11*$C595*'Business Case'!C12*$B595)-('Business Case'!B11*$C595*'Business Case'!B12*$B595))-'Business Case'!C15*$F595</f>
        <v>-16179278.9039526</v>
      </c>
      <c r="J595" s="53" t="n">
        <f aca="false">(('Business Case'!D11*$C595*'Business Case'!D12*$B595)-'Business Case'!D11*$C595*'Business Case'!D13*$D595-'Business Case'!D14*$E595)-MAX(0,(('Business Case'!D11*$C595*'Business Case'!D12*$B595)-'Business Case'!D11*$C595*'Business Case'!D13*$D595-'Business Case'!D14*$E595))*'Business Case'!$B$7-'Business Case'!$B$8*(('Business Case'!D11*$C595*'Business Case'!D12*$B595)-('Business Case'!C11*$C595*'Business Case'!C12*$B595))-'Business Case'!D15*$F595</f>
        <v>255721964.429025</v>
      </c>
      <c r="K595" s="53" t="n">
        <f aca="false">(('Business Case'!E11*$C595*'Business Case'!E12*$B595)-'Business Case'!E11*$C595*'Business Case'!E13*$D595-'Business Case'!E14*$E595)-MAX(0,(('Business Case'!E11*$C595*'Business Case'!E12*$B595)-'Business Case'!E11*$C595*'Business Case'!E13*$D595-'Business Case'!E14*$E595))*'Business Case'!$B$7-'Business Case'!$B$8*(('Business Case'!E11*$C595*'Business Case'!E12*$B595)-('Business Case'!D11*$C595*'Business Case'!D12*$B595))-'Business Case'!E15*$F595</f>
        <v>577715203.002279</v>
      </c>
      <c r="L595" s="53" t="n">
        <f aca="false">(('Business Case'!F11*$C595*'Business Case'!F12*$B595)-'Business Case'!F11*$C595*'Business Case'!F13*$D595-'Business Case'!F14*$E595)-MAX(0,(('Business Case'!F11*$C595*'Business Case'!F12*$B595)-'Business Case'!F11*$C595*'Business Case'!F13*$D595-'Business Case'!F14*$E595))*'Business Case'!$B$7-'Business Case'!$B$8*(('Business Case'!F11*$C595*'Business Case'!F12*$B595)-('Business Case'!E11*$C595*'Business Case'!E12*$B595))-'Business Case'!F15*$F595</f>
        <v>702222324.679102</v>
      </c>
      <c r="M595" s="53" t="n">
        <f aca="false">(('Business Case'!G11*$C595*'Business Case'!G12*$B595)-'Business Case'!G11*$C595*'Business Case'!G13*$D595-'Business Case'!G14*$E595)-MAX(0,(('Business Case'!G11*$C595*'Business Case'!G12*$B595)-'Business Case'!G11*$C595*'Business Case'!G13*$D595-'Business Case'!G14*$E595))*'Business Case'!$B$7-'Business Case'!$B$8*(('Business Case'!G11*$C595*'Business Case'!G12*$B595)-('Business Case'!F11*$C595*'Business Case'!F12*$B595))-'Business Case'!G15*$F595+'Business Case'!$B$8*('Business Case'!G11*$C595*'Business Case'!G12*$B595)</f>
        <v>888525881.124505</v>
      </c>
      <c r="N595" s="53" t="n">
        <f aca="false">IF(COUNT('Business Case'!B11:G11)=0,"",H595+NPV(G595,I595:M595))</f>
        <v>-372119181.511265</v>
      </c>
      <c r="P595" s="54" t="n">
        <f aca="true">RAND()</f>
        <v>0.345225838559497</v>
      </c>
      <c r="Q595" s="54" t="n">
        <f aca="true">RAND()</f>
        <v>0.586282487146457</v>
      </c>
      <c r="R595" s="54" t="n">
        <f aca="true">RAND()</f>
        <v>0.799703490169196</v>
      </c>
      <c r="S595" s="54" t="n">
        <f aca="true">RAND()</f>
        <v>0.0262824299749849</v>
      </c>
      <c r="T595" s="54" t="n">
        <f aca="true">RAND()</f>
        <v>0.214651533450383</v>
      </c>
      <c r="U595" s="54" t="n">
        <f aca="true">RAND()</f>
        <v>0.640277543888301</v>
      </c>
    </row>
    <row r="596" customFormat="false" ht="15" hidden="false" customHeight="false" outlineLevel="0" collapsed="false">
      <c r="A596" s="50" t="n">
        <v>516</v>
      </c>
      <c r="B596" s="51" t="n">
        <f aca="false">1+IF($G$6=$E$6,$F$6,IF(P596&lt;($F$6-$E$6)/($G$6-$E$6),$E$6+SQRT(P596*($G$6-$E$6)*($F$6-$E$6)),$G$6-SQRT((1-P596)*($G$6-$E$6)*($G$6-$F$6))))</f>
        <v>0.957323569349873</v>
      </c>
      <c r="C596" s="51" t="n">
        <f aca="false">1+IF($G$7=$E$7,$F$7,IF(Q596&lt;($F$7-$E$7)/($G$7-$E$7),$E$7+SQRT(Q596*($G$7-$E$7)*($F$7-$E$7)),$G$7-SQRT((1-Q596)*($G$7-$E$7)*($G$7-$F$7))))</f>
        <v>0.858507211918427</v>
      </c>
      <c r="D596" s="51" t="n">
        <f aca="false">1+IF($G$8=$E$8,$F$8,IF(R596&lt;($F$8-$E$8)/($G$8-$E$8),$E$8+SQRT(R596*($G$8-$E$8)*($F$8-$E$8)),$G$8-SQRT((1-R596)*($G$8-$E$8)*($G$8-$F$8))))</f>
        <v>1.00266970084519</v>
      </c>
      <c r="E596" s="51" t="n">
        <f aca="false">1+IF($G$9=$E$9,$F$9,IF(S596&lt;($F$9-$E$9)/($G$9-$E$9),$E$9+SQRT(S596*($G$9-$E$9)*($F$9-$E$9)),$G$9-SQRT((1-S596)*($G$9-$E$9)*($G$9-$F$9))))</f>
        <v>1.01202272214609</v>
      </c>
      <c r="F596" s="51" t="n">
        <f aca="false">1+IF($G$10=$E$10,$F$10,IF(T596&lt;($F$10-$E$10)/($G$10-$E$10),$E$10+SQRT(T596*($G$10-$E$10)*($F$10-$E$10)),$G$10-SQRT((1-T596)*($G$10-$E$10)*($G$10-$F$10))))</f>
        <v>1.13212398127933</v>
      </c>
      <c r="G596" s="52" t="n">
        <f aca="false">IF($G$11=$E$11,$F$11,IF(U596&lt;($F$11-$E$11)/($G$11-$E$11),$E$11+SQRT(U596*($G$11-$E$11)*($F$11-$E$11)),$G$11-SQRT((1-U596)*($G$11-$E$11)*($G$11-$F$11))))</f>
        <v>0.102611329091194</v>
      </c>
      <c r="H596" s="53" t="n">
        <f aca="false">(('Business Case'!B11*$C596*'Business Case'!B12*$B596)-'Business Case'!B11*$C596*'Business Case'!B13*$D596-'Business Case'!B14*$E596)-MAX(0,(('Business Case'!B11*$C596*'Business Case'!B12*$B596)-'Business Case'!B11*$C596*'Business Case'!B13*$D596-'Business Case'!B14*$E596))*'Business Case'!$B$7-'Business Case'!$B$8*('Business Case'!B11*$C596*'Business Case'!B12*$B596)-'Business Case'!B15*$F596</f>
        <v>-2264247962.55867</v>
      </c>
      <c r="I596" s="53" t="n">
        <f aca="false">(('Business Case'!C11*$C596*'Business Case'!C12*$B596)-'Business Case'!C11*$C596*'Business Case'!C13*$D596-'Business Case'!C14*$E596)-MAX(0,(('Business Case'!C11*$C596*'Business Case'!C12*$B596)-'Business Case'!C11*$C596*'Business Case'!C13*$D596-'Business Case'!C14*$E596))*'Business Case'!$B$7-'Business Case'!$B$8*(('Business Case'!C11*$C596*'Business Case'!C12*$B596)-('Business Case'!B11*$C596*'Business Case'!B12*$B596))-'Business Case'!C15*$F596</f>
        <v>-67217998.8148432</v>
      </c>
      <c r="J596" s="53" t="n">
        <f aca="false">(('Business Case'!D11*$C596*'Business Case'!D12*$B596)-'Business Case'!D11*$C596*'Business Case'!D13*$D596-'Business Case'!D14*$E596)-MAX(0,(('Business Case'!D11*$C596*'Business Case'!D12*$B596)-'Business Case'!D11*$C596*'Business Case'!D13*$D596-'Business Case'!D14*$E596))*'Business Case'!$B$7-'Business Case'!$B$8*(('Business Case'!D11*$C596*'Business Case'!D12*$B596)-('Business Case'!C11*$C596*'Business Case'!C12*$B596))-'Business Case'!D15*$F596</f>
        <v>165291730.315443</v>
      </c>
      <c r="K596" s="53" t="n">
        <f aca="false">(('Business Case'!E11*$C596*'Business Case'!E12*$B596)-'Business Case'!E11*$C596*'Business Case'!E13*$D596-'Business Case'!E14*$E596)-MAX(0,(('Business Case'!E11*$C596*'Business Case'!E12*$B596)-'Business Case'!E11*$C596*'Business Case'!E13*$D596-'Business Case'!E14*$E596))*'Business Case'!$B$7-'Business Case'!$B$8*(('Business Case'!E11*$C596*'Business Case'!E12*$B596)-('Business Case'!D11*$C596*'Business Case'!D12*$B596))-'Business Case'!E15*$F596</f>
        <v>454407658.509697</v>
      </c>
      <c r="L596" s="53" t="n">
        <f aca="false">(('Business Case'!F11*$C596*'Business Case'!F12*$B596)-'Business Case'!F11*$C596*'Business Case'!F13*$D596-'Business Case'!F14*$E596)-MAX(0,(('Business Case'!F11*$C596*'Business Case'!F12*$B596)-'Business Case'!F11*$C596*'Business Case'!F13*$D596-'Business Case'!F14*$E596))*'Business Case'!$B$7-'Business Case'!$B$8*(('Business Case'!F11*$C596*'Business Case'!F12*$B596)-('Business Case'!E11*$C596*'Business Case'!E12*$B596))-'Business Case'!F15*$F596</f>
        <v>560314700.705141</v>
      </c>
      <c r="M596" s="53" t="n">
        <f aca="false">(('Business Case'!G11*$C596*'Business Case'!G12*$B596)-'Business Case'!G11*$C596*'Business Case'!G13*$D596-'Business Case'!G14*$E596)-MAX(0,(('Business Case'!G11*$C596*'Business Case'!G12*$B596)-'Business Case'!G11*$C596*'Business Case'!G13*$D596-'Business Case'!G14*$E596))*'Business Case'!$B$7-'Business Case'!$B$8*(('Business Case'!G11*$C596*'Business Case'!G12*$B596)-('Business Case'!F11*$C596*'Business Case'!F12*$B596))-'Business Case'!G15*$F596+'Business Case'!$B$8*('Business Case'!G11*$C596*'Business Case'!G12*$B596)</f>
        <v>716535596.041223</v>
      </c>
      <c r="N596" s="53" t="n">
        <f aca="false">IF(COUNT('Business Case'!B11:G11)=0,"",H596+NPV(G596,I596:M596))</f>
        <v>-1031510196.80823</v>
      </c>
      <c r="P596" s="54" t="n">
        <f aca="true">RAND()</f>
        <v>0.145109253022375</v>
      </c>
      <c r="Q596" s="54" t="n">
        <f aca="true">RAND()</f>
        <v>0.048901340663825</v>
      </c>
      <c r="R596" s="54" t="n">
        <f aca="true">RAND()</f>
        <v>0.425002387752588</v>
      </c>
      <c r="S596" s="54" t="n">
        <f aca="true">RAND()</f>
        <v>0.483999905427727</v>
      </c>
      <c r="T596" s="54" t="n">
        <f aca="true">RAND()</f>
        <v>0.907856921652636</v>
      </c>
      <c r="U596" s="54" t="n">
        <f aca="true">RAND()</f>
        <v>0.496056873375396</v>
      </c>
    </row>
    <row r="597" customFormat="false" ht="15" hidden="false" customHeight="false" outlineLevel="0" collapsed="false">
      <c r="A597" s="50" t="n">
        <v>517</v>
      </c>
      <c r="B597" s="51" t="n">
        <f aca="false">1+IF($G$6=$E$6,$F$6,IF(P597&lt;($F$6-$E$6)/($G$6-$E$6),$E$6+SQRT(P597*($G$6-$E$6)*($F$6-$E$6)),$G$6-SQRT((1-P597)*($G$6-$E$6)*($G$6-$F$6))))</f>
        <v>1.01913489554936</v>
      </c>
      <c r="C597" s="51" t="n">
        <f aca="false">1+IF($G$7=$E$7,$F$7,IF(Q597&lt;($F$7-$E$7)/($G$7-$E$7),$E$7+SQRT(Q597*($G$7-$E$7)*($F$7-$E$7)),$G$7-SQRT((1-Q597)*($G$7-$E$7)*($G$7-$F$7))))</f>
        <v>1.03304279974993</v>
      </c>
      <c r="D597" s="51" t="n">
        <f aca="false">1+IF($G$8=$E$8,$F$8,IF(R597&lt;($F$8-$E$8)/($G$8-$E$8),$E$8+SQRT(R597*($G$8-$E$8)*($F$8-$E$8)),$G$8-SQRT((1-R597)*($G$8-$E$8)*($G$8-$F$8))))</f>
        <v>1.0376458766869</v>
      </c>
      <c r="E597" s="51" t="n">
        <f aca="false">1+IF($G$9=$E$9,$F$9,IF(S597&lt;($F$9-$E$9)/($G$9-$E$9),$E$9+SQRT(S597*($G$9-$E$9)*($F$9-$E$9)),$G$9-SQRT((1-S597)*($G$9-$E$9)*($G$9-$F$9))))</f>
        <v>0.989928355778045</v>
      </c>
      <c r="F597" s="51" t="n">
        <f aca="false">1+IF($G$10=$E$10,$F$10,IF(T597&lt;($F$10-$E$10)/($G$10-$E$10),$E$10+SQRT(T597*($G$10-$E$10)*($F$10-$E$10)),$G$10-SQRT((1-T597)*($G$10-$E$10)*($G$10-$F$10))))</f>
        <v>0.991033749012376</v>
      </c>
      <c r="G597" s="52" t="n">
        <f aca="false">IF($G$11=$E$11,$F$11,IF(U597&lt;($F$11-$E$11)/($G$11-$E$11),$E$11+SQRT(U597*($G$11-$E$11)*($F$11-$E$11)),$G$11-SQRT((1-U597)*($G$11-$E$11)*($G$11-$F$11))))</f>
        <v>0.105483163144005</v>
      </c>
      <c r="H597" s="53" t="n">
        <f aca="false">(('Business Case'!B11*$C597*'Business Case'!B12*$B597)-'Business Case'!B11*$C597*'Business Case'!B13*$D597-'Business Case'!B14*$E597)-MAX(0,(('Business Case'!B11*$C597*'Business Case'!B12*$B597)-'Business Case'!B11*$C597*'Business Case'!B13*$D597-'Business Case'!B14*$E597))*'Business Case'!$B$7-'Business Case'!$B$8*('Business Case'!B11*$C597*'Business Case'!B12*$B597)-'Business Case'!B15*$F597</f>
        <v>-1982067498.02475</v>
      </c>
      <c r="I597" s="53" t="n">
        <f aca="false">(('Business Case'!C11*$C597*'Business Case'!C12*$B597)-'Business Case'!C11*$C597*'Business Case'!C13*$D597-'Business Case'!C14*$E597)-MAX(0,(('Business Case'!C11*$C597*'Business Case'!C12*$B597)-'Business Case'!C11*$C597*'Business Case'!C13*$D597-'Business Case'!C14*$E597))*'Business Case'!$B$7-'Business Case'!$B$8*(('Business Case'!C11*$C597*'Business Case'!C12*$B597)-('Business Case'!B11*$C597*'Business Case'!B12*$B597))-'Business Case'!C15*$F597</f>
        <v>19134571.1921337</v>
      </c>
      <c r="J597" s="53" t="n">
        <f aca="false">(('Business Case'!D11*$C597*'Business Case'!D12*$B597)-'Business Case'!D11*$C597*'Business Case'!D13*$D597-'Business Case'!D14*$E597)-MAX(0,(('Business Case'!D11*$C597*'Business Case'!D12*$B597)-'Business Case'!D11*$C597*'Business Case'!D13*$D597-'Business Case'!D14*$E597))*'Business Case'!$B$7-'Business Case'!$B$8*(('Business Case'!D11*$C597*'Business Case'!D12*$B597)-('Business Case'!C11*$C597*'Business Case'!C12*$B597))-'Business Case'!D15*$F597</f>
        <v>332717998.105312</v>
      </c>
      <c r="K597" s="53" t="n">
        <f aca="false">(('Business Case'!E11*$C597*'Business Case'!E12*$B597)-'Business Case'!E11*$C597*'Business Case'!E13*$D597-'Business Case'!E14*$E597)-MAX(0,(('Business Case'!E11*$C597*'Business Case'!E12*$B597)-'Business Case'!E11*$C597*'Business Case'!E13*$D597-'Business Case'!E14*$E597))*'Business Case'!$B$7-'Business Case'!$B$8*(('Business Case'!E11*$C597*'Business Case'!E12*$B597)-('Business Case'!D11*$C597*'Business Case'!D12*$B597))-'Business Case'!E15*$F597</f>
        <v>695853112.469109</v>
      </c>
      <c r="L597" s="53" t="n">
        <f aca="false">(('Business Case'!F11*$C597*'Business Case'!F12*$B597)-'Business Case'!F11*$C597*'Business Case'!F13*$D597-'Business Case'!F14*$E597)-MAX(0,(('Business Case'!F11*$C597*'Business Case'!F12*$B597)-'Business Case'!F11*$C597*'Business Case'!F13*$D597-'Business Case'!F14*$E597))*'Business Case'!$B$7-'Business Case'!$B$8*(('Business Case'!F11*$C597*'Business Case'!F12*$B597)-('Business Case'!E11*$C597*'Business Case'!E12*$B597))-'Business Case'!F15*$F597</f>
        <v>836766033.858948</v>
      </c>
      <c r="M597" s="53" t="n">
        <f aca="false">(('Business Case'!G11*$C597*'Business Case'!G12*$B597)-'Business Case'!G11*$C597*'Business Case'!G13*$D597-'Business Case'!G14*$E597)-MAX(0,(('Business Case'!G11*$C597*'Business Case'!G12*$B597)-'Business Case'!G11*$C597*'Business Case'!G13*$D597-'Business Case'!G14*$E597))*'Business Case'!$B$7-'Business Case'!$B$8*(('Business Case'!G11*$C597*'Business Case'!G12*$B597)-('Business Case'!F11*$C597*'Business Case'!F12*$B597))-'Business Case'!G15*$F597+'Business Case'!$B$8*('Business Case'!G11*$C597*'Business Case'!G12*$B597)</f>
        <v>1036884152.16223</v>
      </c>
      <c r="N597" s="53" t="n">
        <f aca="false">IF(COUNT('Business Case'!B11:G11)=0,"",H597+NPV(G597,I597:M597))</f>
        <v>10839825.8885927</v>
      </c>
      <c r="P597" s="54" t="n">
        <f aca="true">RAND()</f>
        <v>0.909301545054968</v>
      </c>
      <c r="Q597" s="54" t="n">
        <f aca="true">RAND()</f>
        <v>0.739447872565031</v>
      </c>
      <c r="R597" s="54" t="n">
        <f aca="true">RAND()</f>
        <v>0.827512330613303</v>
      </c>
      <c r="S597" s="54" t="n">
        <f aca="true">RAND()</f>
        <v>0.212569812685086</v>
      </c>
      <c r="T597" s="54" t="n">
        <f aca="true">RAND()</f>
        <v>0.134701484640853</v>
      </c>
      <c r="U597" s="54" t="n">
        <f aca="true">RAND()</f>
        <v>0.648769079494032</v>
      </c>
    </row>
    <row r="598" customFormat="false" ht="15" hidden="false" customHeight="false" outlineLevel="0" collapsed="false">
      <c r="A598" s="50" t="n">
        <v>518</v>
      </c>
      <c r="B598" s="51" t="n">
        <f aca="false">1+IF($G$6=$E$6,$F$6,IF(P598&lt;($F$6-$E$6)/($G$6-$E$6),$E$6+SQRT(P598*($G$6-$E$6)*($F$6-$E$6)),$G$6-SQRT((1-P598)*($G$6-$E$6)*($G$6-$F$6))))</f>
        <v>0.959300634741253</v>
      </c>
      <c r="C598" s="51" t="n">
        <f aca="false">1+IF($G$7=$E$7,$F$7,IF(Q598&lt;($F$7-$E$7)/($G$7-$E$7),$E$7+SQRT(Q598*($G$7-$E$7)*($F$7-$E$7)),$G$7-SQRT((1-Q598)*($G$7-$E$7)*($G$7-$F$7))))</f>
        <v>1.01192183886832</v>
      </c>
      <c r="D598" s="51" t="n">
        <f aca="false">1+IF($G$8=$E$8,$F$8,IF(R598&lt;($F$8-$E$8)/($G$8-$E$8),$E$8+SQRT(R598*($G$8-$E$8)*($F$8-$E$8)),$G$8-SQRT((1-R598)*($G$8-$E$8)*($G$8-$F$8))))</f>
        <v>0.994262909243825</v>
      </c>
      <c r="E598" s="51" t="n">
        <f aca="false">1+IF($G$9=$E$9,$F$9,IF(S598&lt;($F$9-$E$9)/($G$9-$E$9),$E$9+SQRT(S598*($G$9-$E$9)*($F$9-$E$9)),$G$9-SQRT((1-S598)*($G$9-$E$9)*($G$9-$F$9))))</f>
        <v>1.06260355586072</v>
      </c>
      <c r="F598" s="51" t="n">
        <f aca="false">1+IF($G$10=$E$10,$F$10,IF(T598&lt;($F$10-$E$10)/($G$10-$E$10),$E$10+SQRT(T598*($G$10-$E$10)*($F$10-$E$10)),$G$10-SQRT((1-T598)*($G$10-$E$10)*($G$10-$F$10))))</f>
        <v>1.14402424520314</v>
      </c>
      <c r="G598" s="52" t="n">
        <f aca="false">IF($G$11=$E$11,$F$11,IF(U598&lt;($F$11-$E$11)/($G$11-$E$11),$E$11+SQRT(U598*($G$11-$E$11)*($F$11-$E$11)),$G$11-SQRT((1-U598)*($G$11-$E$11)*($G$11-$F$11))))</f>
        <v>0.102690030014959</v>
      </c>
      <c r="H598" s="53" t="n">
        <f aca="false">(('Business Case'!B11*$C598*'Business Case'!B12*$B598)-'Business Case'!B11*$C598*'Business Case'!B13*$D598-'Business Case'!B14*$E598)-MAX(0,(('Business Case'!B11*$C598*'Business Case'!B12*$B598)-'Business Case'!B11*$C598*'Business Case'!B13*$D598-'Business Case'!B14*$E598))*'Business Case'!$B$7-'Business Case'!$B$8*('Business Case'!B11*$C598*'Business Case'!B12*$B598)-'Business Case'!B15*$F598</f>
        <v>-2288048490.40628</v>
      </c>
      <c r="I598" s="53" t="n">
        <f aca="false">(('Business Case'!C11*$C598*'Business Case'!C12*$B598)-'Business Case'!C11*$C598*'Business Case'!C13*$D598-'Business Case'!C14*$E598)-MAX(0,(('Business Case'!C11*$C598*'Business Case'!C12*$B598)-'Business Case'!C11*$C598*'Business Case'!C13*$D598-'Business Case'!C14*$E598))*'Business Case'!$B$7-'Business Case'!$B$8*(('Business Case'!C11*$C598*'Business Case'!C12*$B598)-('Business Case'!B11*$C598*'Business Case'!B12*$B598))-'Business Case'!C15*$F598</f>
        <v>-35775041.5374267</v>
      </c>
      <c r="J598" s="53" t="n">
        <f aca="false">(('Business Case'!D11*$C598*'Business Case'!D12*$B598)-'Business Case'!D11*$C598*'Business Case'!D13*$D598-'Business Case'!D14*$E598)-MAX(0,(('Business Case'!D11*$C598*'Business Case'!D12*$B598)-'Business Case'!D11*$C598*'Business Case'!D13*$D598-'Business Case'!D14*$E598))*'Business Case'!$B$7-'Business Case'!$B$8*(('Business Case'!D11*$C598*'Business Case'!D12*$B598)-('Business Case'!C11*$C598*'Business Case'!C12*$B598))-'Business Case'!D15*$F598</f>
        <v>244277586.768297</v>
      </c>
      <c r="K598" s="53" t="n">
        <f aca="false">(('Business Case'!E11*$C598*'Business Case'!E12*$B598)-'Business Case'!E11*$C598*'Business Case'!E13*$D598-'Business Case'!E14*$E598)-MAX(0,(('Business Case'!E11*$C598*'Business Case'!E12*$B598)-'Business Case'!E11*$C598*'Business Case'!E13*$D598-'Business Case'!E14*$E598))*'Business Case'!$B$7-'Business Case'!$B$8*(('Business Case'!E11*$C598*'Business Case'!E12*$B598)-('Business Case'!D11*$C598*'Business Case'!D12*$B598))-'Business Case'!E15*$F598</f>
        <v>581531427.334178</v>
      </c>
      <c r="L598" s="53" t="n">
        <f aca="false">(('Business Case'!F11*$C598*'Business Case'!F12*$B598)-'Business Case'!F11*$C598*'Business Case'!F13*$D598-'Business Case'!F14*$E598)-MAX(0,(('Business Case'!F11*$C598*'Business Case'!F12*$B598)-'Business Case'!F11*$C598*'Business Case'!F13*$D598-'Business Case'!F14*$E598))*'Business Case'!$B$7-'Business Case'!$B$8*(('Business Case'!F11*$C598*'Business Case'!F12*$B598)-('Business Case'!E11*$C598*'Business Case'!E12*$B598))-'Business Case'!F15*$F598</f>
        <v>708430983.222381</v>
      </c>
      <c r="M598" s="53" t="n">
        <f aca="false">(('Business Case'!G11*$C598*'Business Case'!G12*$B598)-'Business Case'!G11*$C598*'Business Case'!G13*$D598-'Business Case'!G14*$E598)-MAX(0,(('Business Case'!G11*$C598*'Business Case'!G12*$B598)-'Business Case'!G11*$C598*'Business Case'!G13*$D598-'Business Case'!G14*$E598))*'Business Case'!$B$7-'Business Case'!$B$8*(('Business Case'!G11*$C598*'Business Case'!G12*$B598)-('Business Case'!F11*$C598*'Business Case'!F12*$B598))-'Business Case'!G15*$F598+'Business Case'!$B$8*('Business Case'!G11*$C598*'Business Case'!G12*$B598)</f>
        <v>892948722.047001</v>
      </c>
      <c r="N598" s="53" t="n">
        <f aca="false">IF(COUNT('Business Case'!B11:G11)=0,"",H598+NPV(G598,I598:M598))</f>
        <v>-658985620.367109</v>
      </c>
      <c r="P598" s="54" t="n">
        <f aca="true">RAND()</f>
        <v>0.160889571985976</v>
      </c>
      <c r="Q598" s="54" t="n">
        <f aca="true">RAND()</f>
        <v>0.636846122257026</v>
      </c>
      <c r="R598" s="54" t="n">
        <f aca="true">RAND()</f>
        <v>0.301416174573395</v>
      </c>
      <c r="S598" s="54" t="n">
        <f aca="true">RAND()</f>
        <v>0.906767064382508</v>
      </c>
      <c r="T598" s="54" t="n">
        <f aca="true">RAND()</f>
        <v>0.937334297498439</v>
      </c>
      <c r="U598" s="54" t="n">
        <f aca="true">RAND()</f>
        <v>0.500608231861631</v>
      </c>
    </row>
    <row r="599" customFormat="false" ht="15" hidden="false" customHeight="false" outlineLevel="0" collapsed="false">
      <c r="A599" s="50" t="n">
        <v>519</v>
      </c>
      <c r="B599" s="51" t="n">
        <f aca="false">1+IF($G$6=$E$6,$F$6,IF(P599&lt;($F$6-$E$6)/($G$6-$E$6),$E$6+SQRT(P599*($G$6-$E$6)*($F$6-$E$6)),$G$6-SQRT((1-P599)*($G$6-$E$6)*($G$6-$F$6))))</f>
        <v>1.00175240837974</v>
      </c>
      <c r="C599" s="51" t="n">
        <f aca="false">1+IF($G$7=$E$7,$F$7,IF(Q599&lt;($F$7-$E$7)/($G$7-$E$7),$E$7+SQRT(Q599*($G$7-$E$7)*($F$7-$E$7)),$G$7-SQRT((1-Q599)*($G$7-$E$7)*($G$7-$F$7))))</f>
        <v>0.974452990433388</v>
      </c>
      <c r="D599" s="51" t="n">
        <f aca="false">1+IF($G$8=$E$8,$F$8,IF(R599&lt;($F$8-$E$8)/($G$8-$E$8),$E$8+SQRT(R599*($G$8-$E$8)*($F$8-$E$8)),$G$8-SQRT((1-R599)*($G$8-$E$8)*($G$8-$F$8))))</f>
        <v>0.969637331308978</v>
      </c>
      <c r="E599" s="51" t="n">
        <f aca="false">1+IF($G$9=$E$9,$F$9,IF(S599&lt;($F$9-$E$9)/($G$9-$E$9),$E$9+SQRT(S599*($G$9-$E$9)*($F$9-$E$9)),$G$9-SQRT((1-S599)*($G$9-$E$9)*($G$9-$F$9))))</f>
        <v>1.00880599800841</v>
      </c>
      <c r="F599" s="51" t="n">
        <f aca="false">1+IF($G$10=$E$10,$F$10,IF(T599&lt;($F$10-$E$10)/($G$10-$E$10),$E$10+SQRT(T599*($G$10-$E$10)*($F$10-$E$10)),$G$10-SQRT((1-T599)*($G$10-$E$10)*($G$10-$F$10))))</f>
        <v>1.13593483368929</v>
      </c>
      <c r="G599" s="52" t="n">
        <f aca="false">IF($G$11=$E$11,$F$11,IF(U599&lt;($F$11-$E$11)/($G$11-$E$11),$E$11+SQRT(U599*($G$11-$E$11)*($F$11-$E$11)),$G$11-SQRT((1-U599)*($G$11-$E$11)*($G$11-$F$11))))</f>
        <v>0.101580843111239</v>
      </c>
      <c r="H599" s="53" t="n">
        <f aca="false">(('Business Case'!B11*$C599*'Business Case'!B12*$B599)-'Business Case'!B11*$C599*'Business Case'!B13*$D599-'Business Case'!B14*$E599)-MAX(0,(('Business Case'!B11*$C599*'Business Case'!B12*$B599)-'Business Case'!B11*$C599*'Business Case'!B13*$D599-'Business Case'!B14*$E599))*'Business Case'!$B$7-'Business Case'!$B$8*('Business Case'!B11*$C599*'Business Case'!B12*$B599)-'Business Case'!B15*$F599</f>
        <v>-2271869667.37857</v>
      </c>
      <c r="I599" s="53" t="n">
        <f aca="false">(('Business Case'!C11*$C599*'Business Case'!C12*$B599)-'Business Case'!C11*$C599*'Business Case'!C13*$D599-'Business Case'!C14*$E599)-MAX(0,(('Business Case'!C11*$C599*'Business Case'!C12*$B599)-'Business Case'!C11*$C599*'Business Case'!C13*$D599-'Business Case'!C14*$E599))*'Business Case'!$B$7-'Business Case'!$B$8*(('Business Case'!C11*$C599*'Business Case'!C12*$B599)-('Business Case'!B11*$C599*'Business Case'!B12*$B599))-'Business Case'!C15*$F599</f>
        <v>8200174.95465623</v>
      </c>
      <c r="J599" s="53" t="n">
        <f aca="false">(('Business Case'!D11*$C599*'Business Case'!D12*$B599)-'Business Case'!D11*$C599*'Business Case'!D13*$D599-'Business Case'!D14*$E599)-MAX(0,(('Business Case'!D11*$C599*'Business Case'!D12*$B599)-'Business Case'!D11*$C599*'Business Case'!D13*$D599-'Business Case'!D14*$E599))*'Business Case'!$B$7-'Business Case'!$B$8*(('Business Case'!D11*$C599*'Business Case'!D12*$B599)-('Business Case'!C11*$C599*'Business Case'!C12*$B599))-'Business Case'!D15*$F599</f>
        <v>324050213.255248</v>
      </c>
      <c r="K599" s="53" t="n">
        <f aca="false">(('Business Case'!E11*$C599*'Business Case'!E12*$B599)-'Business Case'!E11*$C599*'Business Case'!E13*$D599-'Business Case'!E14*$E599)-MAX(0,(('Business Case'!E11*$C599*'Business Case'!E12*$B599)-'Business Case'!E11*$C599*'Business Case'!E13*$D599-'Business Case'!E14*$E599))*'Business Case'!$B$7-'Business Case'!$B$8*(('Business Case'!E11*$C599*'Business Case'!E12*$B599)-('Business Case'!D11*$C599*'Business Case'!D12*$B599))-'Business Case'!E15*$F599</f>
        <v>696696993.240304</v>
      </c>
      <c r="L599" s="53" t="n">
        <f aca="false">(('Business Case'!F11*$C599*'Business Case'!F12*$B599)-'Business Case'!F11*$C599*'Business Case'!F13*$D599-'Business Case'!F14*$E599)-MAX(0,(('Business Case'!F11*$C599*'Business Case'!F12*$B599)-'Business Case'!F11*$C599*'Business Case'!F13*$D599-'Business Case'!F14*$E599))*'Business Case'!$B$7-'Business Case'!$B$8*(('Business Case'!F11*$C599*'Business Case'!F12*$B599)-('Business Case'!E11*$C599*'Business Case'!E12*$B599))-'Business Case'!F15*$F599</f>
        <v>835716450.713975</v>
      </c>
      <c r="M599" s="53" t="n">
        <f aca="false">(('Business Case'!G11*$C599*'Business Case'!G12*$B599)-'Business Case'!G11*$C599*'Business Case'!G13*$D599-'Business Case'!G14*$E599)-MAX(0,(('Business Case'!G11*$C599*'Business Case'!G12*$B599)-'Business Case'!G11*$C599*'Business Case'!G13*$D599-'Business Case'!G14*$E599))*'Business Case'!$B$7-'Business Case'!$B$8*(('Business Case'!G11*$C599*'Business Case'!G12*$B599)-('Business Case'!F11*$C599*'Business Case'!F12*$B599))-'Business Case'!G15*$F599+'Business Case'!$B$8*('Business Case'!G11*$C599*'Business Case'!G12*$B599)</f>
        <v>1021265063.26808</v>
      </c>
      <c r="N599" s="53" t="n">
        <f aca="false">IF(COUNT('Business Case'!B11:G11)=0,"",H599+NPV(G599,I599:M599))</f>
        <v>-279070902.149386</v>
      </c>
      <c r="P599" s="54" t="n">
        <f aca="true">RAND()</f>
        <v>0.695233694843735</v>
      </c>
      <c r="Q599" s="54" t="n">
        <f aca="true">RAND()</f>
        <v>0.434769226730737</v>
      </c>
      <c r="R599" s="54" t="n">
        <f aca="true">RAND()</f>
        <v>0.0593268893751642</v>
      </c>
      <c r="S599" s="54" t="n">
        <f aca="true">RAND()</f>
        <v>0.445576933383909</v>
      </c>
      <c r="T599" s="54" t="n">
        <f aca="true">RAND()</f>
        <v>0.917913089311612</v>
      </c>
      <c r="U599" s="54" t="n">
        <f aca="true">RAND()</f>
        <v>0.434557765845352</v>
      </c>
    </row>
    <row r="600" customFormat="false" ht="15" hidden="false" customHeight="false" outlineLevel="0" collapsed="false">
      <c r="A600" s="50" t="n">
        <v>520</v>
      </c>
      <c r="B600" s="51" t="n">
        <f aca="false">1+IF($G$6=$E$6,$F$6,IF(P600&lt;($F$6-$E$6)/($G$6-$E$6),$E$6+SQRT(P600*($G$6-$E$6)*($F$6-$E$6)),$G$6-SQRT((1-P600)*($G$6-$E$6)*($G$6-$F$6))))</f>
        <v>0.987983130473909</v>
      </c>
      <c r="C600" s="51" t="n">
        <f aca="false">1+IF($G$7=$E$7,$F$7,IF(Q600&lt;($F$7-$E$7)/($G$7-$E$7),$E$7+SQRT(Q600*($G$7-$E$7)*($F$7-$E$7)),$G$7-SQRT((1-Q600)*($G$7-$E$7)*($G$7-$F$7))))</f>
        <v>1.02156176108976</v>
      </c>
      <c r="D600" s="51" t="n">
        <f aca="false">1+IF($G$8=$E$8,$F$8,IF(R600&lt;($F$8-$E$8)/($G$8-$E$8),$E$8+SQRT(R600*($G$8-$E$8)*($F$8-$E$8)),$G$8-SQRT((1-R600)*($G$8-$E$8)*($G$8-$F$8))))</f>
        <v>0.982996986836432</v>
      </c>
      <c r="E600" s="51" t="n">
        <f aca="false">1+IF($G$9=$E$9,$F$9,IF(S600&lt;($F$9-$E$9)/($G$9-$E$9),$E$9+SQRT(S600*($G$9-$E$9)*($F$9-$E$9)),$G$9-SQRT((1-S600)*($G$9-$E$9)*($G$9-$F$9))))</f>
        <v>1.0137278214973</v>
      </c>
      <c r="F600" s="51" t="n">
        <f aca="false">1+IF($G$10=$E$10,$F$10,IF(T600&lt;($F$10-$E$10)/($G$10-$E$10),$E$10+SQRT(T600*($G$10-$E$10)*($F$10-$E$10)),$G$10-SQRT((1-T600)*($G$10-$E$10)*($G$10-$F$10))))</f>
        <v>1.03263434744914</v>
      </c>
      <c r="G600" s="52" t="n">
        <f aca="false">IF($G$11=$E$11,$F$11,IF(U600&lt;($F$11-$E$11)/($G$11-$E$11),$E$11+SQRT(U600*($G$11-$E$11)*($F$11-$E$11)),$G$11-SQRT((1-U600)*($G$11-$E$11)*($G$11-$F$11))))</f>
        <v>0.0943350174525544</v>
      </c>
      <c r="H600" s="53" t="n">
        <f aca="false">(('Business Case'!B11*$C600*'Business Case'!B12*$B600)-'Business Case'!B11*$C600*'Business Case'!B13*$D600-'Business Case'!B14*$E600)-MAX(0,(('Business Case'!B11*$C600*'Business Case'!B12*$B600)-'Business Case'!B11*$C600*'Business Case'!B13*$D600-'Business Case'!B14*$E600))*'Business Case'!$B$7-'Business Case'!$B$8*('Business Case'!B11*$C600*'Business Case'!B12*$B600)-'Business Case'!B15*$F600</f>
        <v>-2065268694.89827</v>
      </c>
      <c r="I600" s="53" t="n">
        <f aca="false">(('Business Case'!C11*$C600*'Business Case'!C12*$B600)-'Business Case'!C11*$C600*'Business Case'!C13*$D600-'Business Case'!C14*$E600)-MAX(0,(('Business Case'!C11*$C600*'Business Case'!C12*$B600)-'Business Case'!C11*$C600*'Business Case'!C13*$D600-'Business Case'!C14*$E600))*'Business Case'!$B$7-'Business Case'!$B$8*(('Business Case'!C11*$C600*'Business Case'!C12*$B600)-('Business Case'!B11*$C600*'Business Case'!B12*$B600))-'Business Case'!C15*$F600</f>
        <v>12874785.0000474</v>
      </c>
      <c r="J600" s="53" t="n">
        <f aca="false">(('Business Case'!D11*$C600*'Business Case'!D12*$B600)-'Business Case'!D11*$C600*'Business Case'!D13*$D600-'Business Case'!D14*$E600)-MAX(0,(('Business Case'!D11*$C600*'Business Case'!D12*$B600)-'Business Case'!D11*$C600*'Business Case'!D13*$D600-'Business Case'!D14*$E600))*'Business Case'!$B$7-'Business Case'!$B$8*(('Business Case'!D11*$C600*'Business Case'!D12*$B600)-('Business Case'!C11*$C600*'Business Case'!C12*$B600))-'Business Case'!D15*$F600</f>
        <v>325486476.144135</v>
      </c>
      <c r="K600" s="53" t="n">
        <f aca="false">(('Business Case'!E11*$C600*'Business Case'!E12*$B600)-'Business Case'!E11*$C600*'Business Case'!E13*$D600-'Business Case'!E14*$E600)-MAX(0,(('Business Case'!E11*$C600*'Business Case'!E12*$B600)-'Business Case'!E11*$C600*'Business Case'!E13*$D600-'Business Case'!E14*$E600))*'Business Case'!$B$7-'Business Case'!$B$8*(('Business Case'!E11*$C600*'Business Case'!E12*$B600)-('Business Case'!D11*$C600*'Business Case'!D12*$B600))-'Business Case'!E15*$F600</f>
        <v>689729884.66068</v>
      </c>
      <c r="L600" s="53" t="n">
        <f aca="false">(('Business Case'!F11*$C600*'Business Case'!F12*$B600)-'Business Case'!F11*$C600*'Business Case'!F13*$D600-'Business Case'!F14*$E600)-MAX(0,(('Business Case'!F11*$C600*'Business Case'!F12*$B600)-'Business Case'!F11*$C600*'Business Case'!F13*$D600-'Business Case'!F14*$E600))*'Business Case'!$B$7-'Business Case'!$B$8*(('Business Case'!F11*$C600*'Business Case'!F12*$B600)-('Business Case'!E11*$C600*'Business Case'!E12*$B600))-'Business Case'!F15*$F600</f>
        <v>828814698.496851</v>
      </c>
      <c r="M600" s="53" t="n">
        <f aca="false">(('Business Case'!G11*$C600*'Business Case'!G12*$B600)-'Business Case'!G11*$C600*'Business Case'!G13*$D600-'Business Case'!G14*$E600)-MAX(0,(('Business Case'!G11*$C600*'Business Case'!G12*$B600)-'Business Case'!G11*$C600*'Business Case'!G13*$D600-'Business Case'!G14*$E600))*'Business Case'!$B$7-'Business Case'!$B$8*(('Business Case'!G11*$C600*'Business Case'!G12*$B600)-('Business Case'!F11*$C600*'Business Case'!F12*$B600))-'Business Case'!G15*$F600+'Business Case'!$B$8*('Business Case'!G11*$C600*'Business Case'!G12*$B600)</f>
        <v>1020659740.83163</v>
      </c>
      <c r="N600" s="53" t="n">
        <f aca="false">IF(COUNT('Business Case'!B11:G11)=0,"",H600+NPV(G600,I600:M600))</f>
        <v>-27192450.2555916</v>
      </c>
      <c r="P600" s="54" t="n">
        <f aca="true">RAND()</f>
        <v>0.481427711357552</v>
      </c>
      <c r="Q600" s="54" t="n">
        <f aca="true">RAND()</f>
        <v>0.685783214964486</v>
      </c>
      <c r="R600" s="54" t="n">
        <f aca="true">RAND()</f>
        <v>0.167507867735946</v>
      </c>
      <c r="S600" s="54" t="n">
        <f aca="true">RAND()</f>
        <v>0.503807414426502</v>
      </c>
      <c r="T600" s="54" t="n">
        <f aca="true">RAND()</f>
        <v>0.439774766924465</v>
      </c>
      <c r="U600" s="54" t="n">
        <f aca="true">RAND()</f>
        <v>0.062641254379837</v>
      </c>
    </row>
    <row r="601" customFormat="false" ht="15" hidden="false" customHeight="false" outlineLevel="0" collapsed="false">
      <c r="A601" s="50" t="n">
        <v>521</v>
      </c>
      <c r="B601" s="51" t="n">
        <f aca="false">1+IF($G$6=$E$6,$F$6,IF(P601&lt;($F$6-$E$6)/($G$6-$E$6),$E$6+SQRT(P601*($G$6-$E$6)*($F$6-$E$6)),$G$6-SQRT((1-P601)*($G$6-$E$6)*($G$6-$F$6))))</f>
        <v>0.951342792107309</v>
      </c>
      <c r="C601" s="51" t="n">
        <f aca="false">1+IF($G$7=$E$7,$F$7,IF(Q601&lt;($F$7-$E$7)/($G$7-$E$7),$E$7+SQRT(Q601*($G$7-$E$7)*($F$7-$E$7)),$G$7-SQRT((1-Q601)*($G$7-$E$7)*($G$7-$F$7))))</f>
        <v>1.02183085071925</v>
      </c>
      <c r="D601" s="51" t="n">
        <f aca="false">1+IF($G$8=$E$8,$F$8,IF(R601&lt;($F$8-$E$8)/($G$8-$E$8),$E$8+SQRT(R601*($G$8-$E$8)*($F$8-$E$8)),$G$8-SQRT((1-R601)*($G$8-$E$8)*($G$8-$F$8))))</f>
        <v>0.976775543335671</v>
      </c>
      <c r="E601" s="51" t="n">
        <f aca="false">1+IF($G$9=$E$9,$F$9,IF(S601&lt;($F$9-$E$9)/($G$9-$E$9),$E$9+SQRT(S601*($G$9-$E$9)*($F$9-$E$9)),$G$9-SQRT((1-S601)*($G$9-$E$9)*($G$9-$F$9))))</f>
        <v>0.979437027840145</v>
      </c>
      <c r="F601" s="51" t="n">
        <f aca="false">1+IF($G$10=$E$10,$F$10,IF(T601&lt;($F$10-$E$10)/($G$10-$E$10),$E$10+SQRT(T601*($G$10-$E$10)*($F$10-$E$10)),$G$10-SQRT((1-T601)*($G$10-$E$10)*($G$10-$F$10))))</f>
        <v>1.16032400931637</v>
      </c>
      <c r="G601" s="52" t="n">
        <f aca="false">IF($G$11=$E$11,$F$11,IF(U601&lt;($F$11-$E$11)/($G$11-$E$11),$E$11+SQRT(U601*($G$11-$E$11)*($F$11-$E$11)),$G$11-SQRT((1-U601)*($G$11-$E$11)*($G$11-$F$11))))</f>
        <v>0.109278318211539</v>
      </c>
      <c r="H601" s="53" t="n">
        <f aca="false">(('Business Case'!B11*$C601*'Business Case'!B12*$B601)-'Business Case'!B11*$C601*'Business Case'!B13*$D601-'Business Case'!B14*$E601)-MAX(0,(('Business Case'!B11*$C601*'Business Case'!B12*$B601)-'Business Case'!B11*$C601*'Business Case'!B13*$D601-'Business Case'!B14*$E601))*'Business Case'!$B$7-'Business Case'!$B$8*('Business Case'!B11*$C601*'Business Case'!B12*$B601)-'Business Case'!B15*$F601</f>
        <v>-2320648018.63273</v>
      </c>
      <c r="I601" s="53" t="n">
        <f aca="false">(('Business Case'!C11*$C601*'Business Case'!C12*$B601)-'Business Case'!C11*$C601*'Business Case'!C13*$D601-'Business Case'!C14*$E601)-MAX(0,(('Business Case'!C11*$C601*'Business Case'!C12*$B601)-'Business Case'!C11*$C601*'Business Case'!C13*$D601-'Business Case'!C14*$E601))*'Business Case'!$B$7-'Business Case'!$B$8*(('Business Case'!C11*$C601*'Business Case'!C12*$B601)-('Business Case'!B11*$C601*'Business Case'!B12*$B601))-'Business Case'!C15*$F601</f>
        <v>-20420398.3222757</v>
      </c>
      <c r="J601" s="53" t="n">
        <f aca="false">(('Business Case'!D11*$C601*'Business Case'!D12*$B601)-'Business Case'!D11*$C601*'Business Case'!D13*$D601-'Business Case'!D14*$E601)-MAX(0,(('Business Case'!D11*$C601*'Business Case'!D12*$B601)-'Business Case'!D11*$C601*'Business Case'!D13*$D601-'Business Case'!D14*$E601))*'Business Case'!$B$7-'Business Case'!$B$8*(('Business Case'!D11*$C601*'Business Case'!D12*$B601)-('Business Case'!C11*$C601*'Business Case'!C12*$B601))-'Business Case'!D15*$F601</f>
        <v>264861805.378022</v>
      </c>
      <c r="K601" s="53" t="n">
        <f aca="false">(('Business Case'!E11*$C601*'Business Case'!E12*$B601)-'Business Case'!E11*$C601*'Business Case'!E13*$D601-'Business Case'!E14*$E601)-MAX(0,(('Business Case'!E11*$C601*'Business Case'!E12*$B601)-'Business Case'!E11*$C601*'Business Case'!E13*$D601-'Business Case'!E14*$E601))*'Business Case'!$B$7-'Business Case'!$B$8*(('Business Case'!E11*$C601*'Business Case'!E12*$B601)-('Business Case'!D11*$C601*'Business Case'!D12*$B601))-'Business Case'!E15*$F601</f>
        <v>608160209.544138</v>
      </c>
      <c r="L601" s="53" t="n">
        <f aca="false">(('Business Case'!F11*$C601*'Business Case'!F12*$B601)-'Business Case'!F11*$C601*'Business Case'!F13*$D601-'Business Case'!F14*$E601)-MAX(0,(('Business Case'!F11*$C601*'Business Case'!F12*$B601)-'Business Case'!F11*$C601*'Business Case'!F13*$D601-'Business Case'!F14*$E601))*'Business Case'!$B$7-'Business Case'!$B$8*(('Business Case'!F11*$C601*'Business Case'!F12*$B601)-('Business Case'!E11*$C601*'Business Case'!E12*$B601))-'Business Case'!F15*$F601</f>
        <v>736850447.932282</v>
      </c>
      <c r="M601" s="53" t="n">
        <f aca="false">(('Business Case'!G11*$C601*'Business Case'!G12*$B601)-'Business Case'!G11*$C601*'Business Case'!G13*$D601-'Business Case'!G14*$E601)-MAX(0,(('Business Case'!G11*$C601*'Business Case'!G12*$B601)-'Business Case'!G11*$C601*'Business Case'!G13*$D601-'Business Case'!G14*$E601))*'Business Case'!$B$7-'Business Case'!$B$8*(('Business Case'!G11*$C601*'Business Case'!G12*$B601)-('Business Case'!F11*$C601*'Business Case'!F12*$B601))-'Business Case'!G15*$F601+'Business Case'!$B$8*('Business Case'!G11*$C601*'Business Case'!G12*$B601)</f>
        <v>921629385.61653</v>
      </c>
      <c r="N601" s="53" t="n">
        <f aca="false">IF(COUNT('Business Case'!B11:G11)=0,"",H601+NPV(G601,I601:M601))</f>
        <v>-642884922.037542</v>
      </c>
      <c r="P601" s="54" t="n">
        <f aca="true">RAND()</f>
        <v>0.102330272612705</v>
      </c>
      <c r="Q601" s="54" t="n">
        <f aca="true">RAND()</f>
        <v>0.687098460431421</v>
      </c>
      <c r="R601" s="54" t="n">
        <f aca="true">RAND()</f>
        <v>0.110296880141599</v>
      </c>
      <c r="S601" s="54" t="n">
        <f aca="true">RAND()</f>
        <v>0.115538481074864</v>
      </c>
      <c r="T601" s="54" t="n">
        <f aca="true">RAND()</f>
        <v>0.968516315265446</v>
      </c>
      <c r="U601" s="54" t="n">
        <f aca="true">RAND()</f>
        <v>0.808409232711629</v>
      </c>
    </row>
    <row r="602" customFormat="false" ht="15" hidden="false" customHeight="false" outlineLevel="0" collapsed="false">
      <c r="A602" s="50" t="n">
        <v>522</v>
      </c>
      <c r="B602" s="51" t="n">
        <f aca="false">1+IF($G$6=$E$6,$F$6,IF(P602&lt;($F$6-$E$6)/($G$6-$E$6),$E$6+SQRT(P602*($G$6-$E$6)*($F$6-$E$6)),$G$6-SQRT((1-P602)*($G$6-$E$6)*($G$6-$F$6))))</f>
        <v>1.02695574653242</v>
      </c>
      <c r="C602" s="51" t="n">
        <f aca="false">1+IF($G$7=$E$7,$F$7,IF(Q602&lt;($F$7-$E$7)/($G$7-$E$7),$E$7+SQRT(Q602*($G$7-$E$7)*($F$7-$E$7)),$G$7-SQRT((1-Q602)*($G$7-$E$7)*($G$7-$F$7))))</f>
        <v>1.01681997927496</v>
      </c>
      <c r="D602" s="51" t="n">
        <f aca="false">1+IF($G$8=$E$8,$F$8,IF(R602&lt;($F$8-$E$8)/($G$8-$E$8),$E$8+SQRT(R602*($G$8-$E$8)*($F$8-$E$8)),$G$8-SQRT((1-R602)*($G$8-$E$8)*($G$8-$F$8))))</f>
        <v>1.06529985885716</v>
      </c>
      <c r="E602" s="51" t="n">
        <f aca="false">1+IF($G$9=$E$9,$F$9,IF(S602&lt;($F$9-$E$9)/($G$9-$E$9),$E$9+SQRT(S602*($G$9-$E$9)*($F$9-$E$9)),$G$9-SQRT((1-S602)*($G$9-$E$9)*($G$9-$F$9))))</f>
        <v>1.03863529067012</v>
      </c>
      <c r="F602" s="51" t="n">
        <f aca="false">1+IF($G$10=$E$10,$F$10,IF(T602&lt;($F$10-$E$10)/($G$10-$E$10),$E$10+SQRT(T602*($G$10-$E$10)*($F$10-$E$10)),$G$10-SQRT((1-T602)*($G$10-$E$10)*($G$10-$F$10))))</f>
        <v>1.00128693714712</v>
      </c>
      <c r="G602" s="52" t="n">
        <f aca="false">IF($G$11=$E$11,$F$11,IF(U602&lt;($F$11-$E$11)/($G$11-$E$11),$E$11+SQRT(U602*($G$11-$E$11)*($F$11-$E$11)),$G$11-SQRT((1-U602)*($G$11-$E$11)*($G$11-$F$11))))</f>
        <v>0.0974131784471411</v>
      </c>
      <c r="H602" s="53" t="n">
        <f aca="false">(('Business Case'!B11*$C602*'Business Case'!B12*$B602)-'Business Case'!B11*$C602*'Business Case'!B13*$D602-'Business Case'!B14*$E602)-MAX(0,(('Business Case'!B11*$C602*'Business Case'!B12*$B602)-'Business Case'!B11*$C602*'Business Case'!B13*$D602-'Business Case'!B14*$E602))*'Business Case'!$B$7-'Business Case'!$B$8*('Business Case'!B11*$C602*'Business Case'!B12*$B602)-'Business Case'!B15*$F602</f>
        <v>-2002573874.29423</v>
      </c>
      <c r="I602" s="53" t="n">
        <f aca="false">(('Business Case'!C11*$C602*'Business Case'!C12*$B602)-'Business Case'!C11*$C602*'Business Case'!C13*$D602-'Business Case'!C14*$E602)-MAX(0,(('Business Case'!C11*$C602*'Business Case'!C12*$B602)-'Business Case'!C11*$C602*'Business Case'!C13*$D602-'Business Case'!C14*$E602))*'Business Case'!$B$7-'Business Case'!$B$8*(('Business Case'!C11*$C602*'Business Case'!C12*$B602)-('Business Case'!B11*$C602*'Business Case'!B12*$B602))-'Business Case'!C15*$F602</f>
        <v>-1177686.07031544</v>
      </c>
      <c r="J602" s="53" t="n">
        <f aca="false">(('Business Case'!D11*$C602*'Business Case'!D12*$B602)-'Business Case'!D11*$C602*'Business Case'!D13*$D602-'Business Case'!D14*$E602)-MAX(0,(('Business Case'!D11*$C602*'Business Case'!D12*$B602)-'Business Case'!D11*$C602*'Business Case'!D13*$D602-'Business Case'!D14*$E602))*'Business Case'!$B$7-'Business Case'!$B$8*(('Business Case'!D11*$C602*'Business Case'!D12*$B602)-('Business Case'!C11*$C602*'Business Case'!C12*$B602))-'Business Case'!D15*$F602</f>
        <v>299600097.535107</v>
      </c>
      <c r="K602" s="53" t="n">
        <f aca="false">(('Business Case'!E11*$C602*'Business Case'!E12*$B602)-'Business Case'!E11*$C602*'Business Case'!E13*$D602-'Business Case'!E14*$E602)-MAX(0,(('Business Case'!E11*$C602*'Business Case'!E12*$B602)-'Business Case'!E11*$C602*'Business Case'!E13*$D602-'Business Case'!E14*$E602))*'Business Case'!$B$7-'Business Case'!$B$8*(('Business Case'!E11*$C602*'Business Case'!E12*$B602)-('Business Case'!D11*$C602*'Business Case'!D12*$B602))-'Business Case'!E15*$F602</f>
        <v>650442227.997886</v>
      </c>
      <c r="L602" s="53" t="n">
        <f aca="false">(('Business Case'!F11*$C602*'Business Case'!F12*$B602)-'Business Case'!F11*$C602*'Business Case'!F13*$D602-'Business Case'!F14*$E602)-MAX(0,(('Business Case'!F11*$C602*'Business Case'!F12*$B602)-'Business Case'!F11*$C602*'Business Case'!F13*$D602-'Business Case'!F14*$E602))*'Business Case'!$B$7-'Business Case'!$B$8*(('Business Case'!F11*$C602*'Business Case'!F12*$B602)-('Business Case'!E11*$C602*'Business Case'!E12*$B602))-'Business Case'!F15*$F602</f>
        <v>786790047.618184</v>
      </c>
      <c r="M602" s="53" t="n">
        <f aca="false">(('Business Case'!G11*$C602*'Business Case'!G12*$B602)-'Business Case'!G11*$C602*'Business Case'!G13*$D602-'Business Case'!G14*$E602)-MAX(0,(('Business Case'!G11*$C602*'Business Case'!G12*$B602)-'Business Case'!G11*$C602*'Business Case'!G13*$D602-'Business Case'!G14*$E602))*'Business Case'!$B$7-'Business Case'!$B$8*(('Business Case'!G11*$C602*'Business Case'!G12*$B602)-('Business Case'!F11*$C602*'Business Case'!F12*$B602))-'Business Case'!G15*$F602+'Business Case'!$B$8*('Business Case'!G11*$C602*'Business Case'!G12*$B602)</f>
        <v>985277118.919882</v>
      </c>
      <c r="N602" s="53" t="n">
        <f aca="false">IF(COUNT('Business Case'!B11:G11)=0,"",H602+NPV(G602,I602:M602))</f>
        <v>-101227001.746502</v>
      </c>
      <c r="P602" s="54" t="n">
        <f aca="true">RAND()</f>
        <v>0.964551552390308</v>
      </c>
      <c r="Q602" s="54" t="n">
        <f aca="true">RAND()</f>
        <v>0.662153944374838</v>
      </c>
      <c r="R602" s="54" t="n">
        <f aca="true">RAND()</f>
        <v>0.979221716382746</v>
      </c>
      <c r="S602" s="54" t="n">
        <f aca="true">RAND()</f>
        <v>0.748958163257258</v>
      </c>
      <c r="T602" s="54" t="n">
        <f aca="true">RAND()</f>
        <v>0.210262373032515</v>
      </c>
      <c r="U602" s="54" t="n">
        <f aca="true">RAND()</f>
        <v>0.183184048963856</v>
      </c>
    </row>
    <row r="603" customFormat="false" ht="15" hidden="false" customHeight="false" outlineLevel="0" collapsed="false">
      <c r="A603" s="50" t="n">
        <v>523</v>
      </c>
      <c r="B603" s="51" t="n">
        <f aca="false">1+IF($G$6=$E$6,$F$6,IF(P603&lt;($F$6-$E$6)/($G$6-$E$6),$E$6+SQRT(P603*($G$6-$E$6)*($F$6-$E$6)),$G$6-SQRT((1-P603)*($G$6-$E$6)*($G$6-$F$6))))</f>
        <v>0.969098271508424</v>
      </c>
      <c r="C603" s="51" t="n">
        <f aca="false">1+IF($G$7=$E$7,$F$7,IF(Q603&lt;($F$7-$E$7)/($G$7-$E$7),$E$7+SQRT(Q603*($G$7-$E$7)*($F$7-$E$7)),$G$7-SQRT((1-Q603)*($G$7-$E$7)*($G$7-$F$7))))</f>
        <v>1.04684833437708</v>
      </c>
      <c r="D603" s="51" t="n">
        <f aca="false">1+IF($G$8=$E$8,$F$8,IF(R603&lt;($F$8-$E$8)/($G$8-$E$8),$E$8+SQRT(R603*($G$8-$E$8)*($F$8-$E$8)),$G$8-SQRT((1-R603)*($G$8-$E$8)*($G$8-$F$8))))</f>
        <v>0.999895474787498</v>
      </c>
      <c r="E603" s="51" t="n">
        <f aca="false">1+IF($G$9=$E$9,$F$9,IF(S603&lt;($F$9-$E$9)/($G$9-$E$9),$E$9+SQRT(S603*($G$9-$E$9)*($F$9-$E$9)),$G$9-SQRT((1-S603)*($G$9-$E$9)*($G$9-$F$9))))</f>
        <v>0.968532638914114</v>
      </c>
      <c r="F603" s="51" t="n">
        <f aca="false">1+IF($G$10=$E$10,$F$10,IF(T603&lt;($F$10-$E$10)/($G$10-$E$10),$E$10+SQRT(T603*($G$10-$E$10)*($F$10-$E$10)),$G$10-SQRT((1-T603)*($G$10-$E$10)*($G$10-$F$10))))</f>
        <v>1.00188699895287</v>
      </c>
      <c r="G603" s="52" t="n">
        <f aca="false">IF($G$11=$E$11,$F$11,IF(U603&lt;($F$11-$E$11)/($G$11-$E$11),$E$11+SQRT(U603*($G$11-$E$11)*($F$11-$E$11)),$G$11-SQRT((1-U603)*($G$11-$E$11)*($G$11-$F$11))))</f>
        <v>0.101158665437368</v>
      </c>
      <c r="H603" s="53" t="n">
        <f aca="false">(('Business Case'!B11*$C603*'Business Case'!B12*$B603)-'Business Case'!B11*$C603*'Business Case'!B13*$D603-'Business Case'!B14*$E603)-MAX(0,(('Business Case'!B11*$C603*'Business Case'!B12*$B603)-'Business Case'!B11*$C603*'Business Case'!B13*$D603-'Business Case'!B14*$E603))*'Business Case'!$B$7-'Business Case'!$B$8*('Business Case'!B11*$C603*'Business Case'!B12*$B603)-'Business Case'!B15*$F603</f>
        <v>-2003773997.90574</v>
      </c>
      <c r="I603" s="53" t="n">
        <f aca="false">(('Business Case'!C11*$C603*'Business Case'!C12*$B603)-'Business Case'!C11*$C603*'Business Case'!C13*$D603-'Business Case'!C14*$E603)-MAX(0,(('Business Case'!C11*$C603*'Business Case'!C12*$B603)-'Business Case'!C11*$C603*'Business Case'!C13*$D603-'Business Case'!C14*$E603))*'Business Case'!$B$7-'Business Case'!$B$8*(('Business Case'!C11*$C603*'Business Case'!C12*$B603)-('Business Case'!B11*$C603*'Business Case'!B12*$B603))-'Business Case'!C15*$F603</f>
        <v>4595403.62294993</v>
      </c>
      <c r="J603" s="53" t="n">
        <f aca="false">(('Business Case'!D11*$C603*'Business Case'!D12*$B603)-'Business Case'!D11*$C603*'Business Case'!D13*$D603-'Business Case'!D14*$E603)-MAX(0,(('Business Case'!D11*$C603*'Business Case'!D12*$B603)-'Business Case'!D11*$C603*'Business Case'!D13*$D603-'Business Case'!D14*$E603))*'Business Case'!$B$7-'Business Case'!$B$8*(('Business Case'!D11*$C603*'Business Case'!D12*$B603)-('Business Case'!C11*$C603*'Business Case'!C12*$B603))-'Business Case'!D15*$F603</f>
        <v>299696471.960522</v>
      </c>
      <c r="K603" s="53" t="n">
        <f aca="false">(('Business Case'!E11*$C603*'Business Case'!E12*$B603)-'Business Case'!E11*$C603*'Business Case'!E13*$D603-'Business Case'!E14*$E603)-MAX(0,(('Business Case'!E11*$C603*'Business Case'!E12*$B603)-'Business Case'!E11*$C603*'Business Case'!E13*$D603-'Business Case'!E14*$E603))*'Business Case'!$B$7-'Business Case'!$B$8*(('Business Case'!E11*$C603*'Business Case'!E12*$B603)-('Business Case'!D11*$C603*'Business Case'!D12*$B603))-'Business Case'!E15*$F603</f>
        <v>644891890.245737</v>
      </c>
      <c r="L603" s="53" t="n">
        <f aca="false">(('Business Case'!F11*$C603*'Business Case'!F12*$B603)-'Business Case'!F11*$C603*'Business Case'!F13*$D603-'Business Case'!F14*$E603)-MAX(0,(('Business Case'!F11*$C603*'Business Case'!F12*$B603)-'Business Case'!F11*$C603*'Business Case'!F13*$D603-'Business Case'!F14*$E603))*'Business Case'!$B$7-'Business Case'!$B$8*(('Business Case'!F11*$C603*'Business Case'!F12*$B603)-('Business Case'!E11*$C603*'Business Case'!E12*$B603))-'Business Case'!F15*$F603</f>
        <v>778319995.402093</v>
      </c>
      <c r="M603" s="53" t="n">
        <f aca="false">(('Business Case'!G11*$C603*'Business Case'!G12*$B603)-'Business Case'!G11*$C603*'Business Case'!G13*$D603-'Business Case'!G14*$E603)-MAX(0,(('Business Case'!G11*$C603*'Business Case'!G12*$B603)-'Business Case'!G11*$C603*'Business Case'!G13*$D603-'Business Case'!G14*$E603))*'Business Case'!$B$7-'Business Case'!$B$8*(('Business Case'!G11*$C603*'Business Case'!G12*$B603)-('Business Case'!F11*$C603*'Business Case'!F12*$B603))-'Business Case'!G15*$F603+'Business Case'!$B$8*('Business Case'!G11*$C603*'Business Case'!G12*$B603)</f>
        <v>971155948.476501</v>
      </c>
      <c r="N603" s="53" t="n">
        <f aca="false">IF(COUNT('Business Case'!B11:G11)=0,"",H603+NPV(G603,I603:M603))</f>
        <v>-140235023.291951</v>
      </c>
      <c r="P603" s="54" t="n">
        <f aca="true">RAND()</f>
        <v>0.251108360949469</v>
      </c>
      <c r="Q603" s="54" t="n">
        <f aca="true">RAND()</f>
        <v>0.797328264366062</v>
      </c>
      <c r="R603" s="54" t="n">
        <f aca="true">RAND()</f>
        <v>0.383008985272282</v>
      </c>
      <c r="S603" s="54" t="n">
        <f aca="true">RAND()</f>
        <v>0.0457944940161223</v>
      </c>
      <c r="T603" s="54" t="n">
        <f aca="true">RAND()</f>
        <v>0.215024776322009</v>
      </c>
      <c r="U603" s="54" t="n">
        <f aca="true">RAND()</f>
        <v>0.408340186498309</v>
      </c>
    </row>
    <row r="604" customFormat="false" ht="15" hidden="false" customHeight="false" outlineLevel="0" collapsed="false">
      <c r="A604" s="50" t="n">
        <v>524</v>
      </c>
      <c r="B604" s="51" t="n">
        <f aca="false">1+IF($G$6=$E$6,$F$6,IF(P604&lt;($F$6-$E$6)/($G$6-$E$6),$E$6+SQRT(P604*($G$6-$E$6)*($F$6-$E$6)),$G$6-SQRT((1-P604)*($G$6-$E$6)*($G$6-$F$6))))</f>
        <v>0.965530945981334</v>
      </c>
      <c r="C604" s="51" t="n">
        <f aca="false">1+IF($G$7=$E$7,$F$7,IF(Q604&lt;($F$7-$E$7)/($G$7-$E$7),$E$7+SQRT(Q604*($G$7-$E$7)*($F$7-$E$7)),$G$7-SQRT((1-Q604)*($G$7-$E$7)*($G$7-$F$7))))</f>
        <v>0.836979890379539</v>
      </c>
      <c r="D604" s="51" t="n">
        <f aca="false">1+IF($G$8=$E$8,$F$8,IF(R604&lt;($F$8-$E$8)/($G$8-$E$8),$E$8+SQRT(R604*($G$8-$E$8)*($F$8-$E$8)),$G$8-SQRT((1-R604)*($G$8-$E$8)*($G$8-$F$8))))</f>
        <v>1.01780284213481</v>
      </c>
      <c r="E604" s="51" t="n">
        <f aca="false">1+IF($G$9=$E$9,$F$9,IF(S604&lt;($F$9-$E$9)/($G$9-$E$9),$E$9+SQRT(S604*($G$9-$E$9)*($F$9-$E$9)),$G$9-SQRT((1-S604)*($G$9-$E$9)*($G$9-$F$9))))</f>
        <v>1.02166022336872</v>
      </c>
      <c r="F604" s="51" t="n">
        <f aca="false">1+IF($G$10=$E$10,$F$10,IF(T604&lt;($F$10-$E$10)/($G$10-$E$10),$E$10+SQRT(T604*($G$10-$E$10)*($F$10-$E$10)),$G$10-SQRT((1-T604)*($G$10-$E$10)*($G$10-$F$10))))</f>
        <v>1.08747385094547</v>
      </c>
      <c r="G604" s="52" t="n">
        <f aca="false">IF($G$11=$E$11,$F$11,IF(U604&lt;($F$11-$E$11)/($G$11-$E$11),$E$11+SQRT(U604*($G$11-$E$11)*($F$11-$E$11)),$G$11-SQRT((1-U604)*($G$11-$E$11)*($G$11-$F$11))))</f>
        <v>0.111621215922592</v>
      </c>
      <c r="H604" s="53" t="n">
        <f aca="false">(('Business Case'!B11*$C604*'Business Case'!B12*$B604)-'Business Case'!B11*$C604*'Business Case'!B13*$D604-'Business Case'!B14*$E604)-MAX(0,(('Business Case'!B11*$C604*'Business Case'!B12*$B604)-'Business Case'!B11*$C604*'Business Case'!B13*$D604-'Business Case'!B14*$E604))*'Business Case'!$B$7-'Business Case'!$B$8*('Business Case'!B11*$C604*'Business Case'!B12*$B604)-'Business Case'!B15*$F604</f>
        <v>-2174947701.89093</v>
      </c>
      <c r="I604" s="53" t="n">
        <f aca="false">(('Business Case'!C11*$C604*'Business Case'!C12*$B604)-'Business Case'!C11*$C604*'Business Case'!C13*$D604-'Business Case'!C14*$E604)-MAX(0,(('Business Case'!C11*$C604*'Business Case'!C12*$B604)-'Business Case'!C11*$C604*'Business Case'!C13*$D604-'Business Case'!C14*$E604))*'Business Case'!$B$7-'Business Case'!$B$8*(('Business Case'!C11*$C604*'Business Case'!C12*$B604)-('Business Case'!B11*$C604*'Business Case'!B12*$B604))-'Business Case'!C15*$F604</f>
        <v>-70098955.2692595</v>
      </c>
      <c r="J604" s="53" t="n">
        <f aca="false">(('Business Case'!D11*$C604*'Business Case'!D12*$B604)-'Business Case'!D11*$C604*'Business Case'!D13*$D604-'Business Case'!D14*$E604)-MAX(0,(('Business Case'!D11*$C604*'Business Case'!D12*$B604)-'Business Case'!D11*$C604*'Business Case'!D13*$D604-'Business Case'!D14*$E604))*'Business Case'!$B$7-'Business Case'!$B$8*(('Business Case'!D11*$C604*'Business Case'!D12*$B604)-('Business Case'!C11*$C604*'Business Case'!C12*$B604))-'Business Case'!D15*$F604</f>
        <v>155723016.758333</v>
      </c>
      <c r="K604" s="53" t="n">
        <f aca="false">(('Business Case'!E11*$C604*'Business Case'!E12*$B604)-'Business Case'!E11*$C604*'Business Case'!E13*$D604-'Business Case'!E14*$E604)-MAX(0,(('Business Case'!E11*$C604*'Business Case'!E12*$B604)-'Business Case'!E11*$C604*'Business Case'!E13*$D604-'Business Case'!E14*$E604))*'Business Case'!$B$7-'Business Case'!$B$8*(('Business Case'!E11*$C604*'Business Case'!E12*$B604)-('Business Case'!D11*$C604*'Business Case'!D12*$B604))-'Business Case'!E15*$F604</f>
        <v>435918681.3332</v>
      </c>
      <c r="L604" s="53" t="n">
        <f aca="false">(('Business Case'!F11*$C604*'Business Case'!F12*$B604)-'Business Case'!F11*$C604*'Business Case'!F13*$D604-'Business Case'!F14*$E604)-MAX(0,(('Business Case'!F11*$C604*'Business Case'!F12*$B604)-'Business Case'!F11*$C604*'Business Case'!F13*$D604-'Business Case'!F14*$E604))*'Business Case'!$B$7-'Business Case'!$B$8*(('Business Case'!F11*$C604*'Business Case'!F12*$B604)-('Business Case'!E11*$C604*'Business Case'!E12*$B604))-'Business Case'!F15*$F604</f>
        <v>539121644.301914</v>
      </c>
      <c r="M604" s="53" t="n">
        <f aca="false">(('Business Case'!G11*$C604*'Business Case'!G12*$B604)-'Business Case'!G11*$C604*'Business Case'!G13*$D604-'Business Case'!G14*$E604)-MAX(0,(('Business Case'!G11*$C604*'Business Case'!G12*$B604)-'Business Case'!G11*$C604*'Business Case'!G13*$D604-'Business Case'!G14*$E604))*'Business Case'!$B$7-'Business Case'!$B$8*(('Business Case'!G11*$C604*'Business Case'!G12*$B604)-('Business Case'!F11*$C604*'Business Case'!F12*$B604))-'Business Case'!G15*$F604+'Business Case'!$B$8*('Business Case'!G11*$C604*'Business Case'!G12*$B604)</f>
        <v>692730991.912586</v>
      </c>
      <c r="N604" s="53" t="n">
        <f aca="false">IF(COUNT('Business Case'!B11:G11)=0,"",H604+NPV(G604,I604:M604))</f>
        <v>-1033458515.96894</v>
      </c>
      <c r="P604" s="54" t="n">
        <f aca="true">RAND()</f>
        <v>0.215944483536998</v>
      </c>
      <c r="Q604" s="54" t="n">
        <f aca="true">RAND()</f>
        <v>0.0195358898926099</v>
      </c>
      <c r="R604" s="54" t="n">
        <f aca="true">RAND()</f>
        <v>0.628030149374237</v>
      </c>
      <c r="S604" s="54" t="n">
        <f aca="true">RAND()</f>
        <v>0.590858626490704</v>
      </c>
      <c r="T604" s="54" t="n">
        <f aca="true">RAND()</f>
        <v>0.746757315579135</v>
      </c>
      <c r="U604" s="54" t="n">
        <f aca="true">RAND()</f>
        <v>0.882993295640279</v>
      </c>
    </row>
    <row r="605" customFormat="false" ht="15" hidden="false" customHeight="false" outlineLevel="0" collapsed="false">
      <c r="A605" s="50" t="n">
        <v>525</v>
      </c>
      <c r="B605" s="51" t="n">
        <f aca="false">1+IF($G$6=$E$6,$F$6,IF(P605&lt;($F$6-$E$6)/($G$6-$E$6),$E$6+SQRT(P605*($G$6-$E$6)*($F$6-$E$6)),$G$6-SQRT((1-P605)*($G$6-$E$6)*($G$6-$F$6))))</f>
        <v>1.02905125975144</v>
      </c>
      <c r="C605" s="51" t="n">
        <f aca="false">1+IF($G$7=$E$7,$F$7,IF(Q605&lt;($F$7-$E$7)/($G$7-$E$7),$E$7+SQRT(Q605*($G$7-$E$7)*($F$7-$E$7)),$G$7-SQRT((1-Q605)*($G$7-$E$7)*($G$7-$F$7))))</f>
        <v>1.08086123684906</v>
      </c>
      <c r="D605" s="51" t="n">
        <f aca="false">1+IF($G$8=$E$8,$F$8,IF(R605&lt;($F$8-$E$8)/($G$8-$E$8),$E$8+SQRT(R605*($G$8-$E$8)*($F$8-$E$8)),$G$8-SQRT((1-R605)*($G$8-$E$8)*($G$8-$F$8))))</f>
        <v>1.00952352413614</v>
      </c>
      <c r="E605" s="51" t="n">
        <f aca="false">1+IF($G$9=$E$9,$F$9,IF(S605&lt;($F$9-$E$9)/($G$9-$E$9),$E$9+SQRT(S605*($G$9-$E$9)*($F$9-$E$9)),$G$9-SQRT((1-S605)*($G$9-$E$9)*($G$9-$F$9))))</f>
        <v>1.02435991265415</v>
      </c>
      <c r="F605" s="51" t="n">
        <f aca="false">1+IF($G$10=$E$10,$F$10,IF(T605&lt;($F$10-$E$10)/($G$10-$E$10),$E$10+SQRT(T605*($G$10-$E$10)*($F$10-$E$10)),$G$10-SQRT((1-T605)*($G$10-$E$10)*($G$10-$F$10))))</f>
        <v>0.995103701563183</v>
      </c>
      <c r="G605" s="52" t="n">
        <f aca="false">IF($G$11=$E$11,$F$11,IF(U605&lt;($F$11-$E$11)/($G$11-$E$11),$E$11+SQRT(U605*($G$11-$E$11)*($F$11-$E$11)),$G$11-SQRT((1-U605)*($G$11-$E$11)*($G$11-$F$11))))</f>
        <v>0.0973896907797515</v>
      </c>
      <c r="H605" s="53" t="n">
        <f aca="false">(('Business Case'!B11*$C605*'Business Case'!B12*$B605)-'Business Case'!B11*$C605*'Business Case'!B13*$D605-'Business Case'!B14*$E605)-MAX(0,(('Business Case'!B11*$C605*'Business Case'!B12*$B605)-'Business Case'!B11*$C605*'Business Case'!B13*$D605-'Business Case'!B14*$E605))*'Business Case'!$B$7-'Business Case'!$B$8*('Business Case'!B11*$C605*'Business Case'!B12*$B605)-'Business Case'!B15*$F605</f>
        <v>-1990207403.12637</v>
      </c>
      <c r="I605" s="53" t="n">
        <f aca="false">(('Business Case'!C11*$C605*'Business Case'!C12*$B605)-'Business Case'!C11*$C605*'Business Case'!C13*$D605-'Business Case'!C14*$E605)-MAX(0,(('Business Case'!C11*$C605*'Business Case'!C12*$B605)-'Business Case'!C11*$C605*'Business Case'!C13*$D605-'Business Case'!C14*$E605))*'Business Case'!$B$7-'Business Case'!$B$8*(('Business Case'!C11*$C605*'Business Case'!C12*$B605)-('Business Case'!B11*$C605*'Business Case'!B12*$B605))-'Business Case'!C15*$F605</f>
        <v>49604367.2877273</v>
      </c>
      <c r="J605" s="53" t="n">
        <f aca="false">(('Business Case'!D11*$C605*'Business Case'!D12*$B605)-'Business Case'!D11*$C605*'Business Case'!D13*$D605-'Business Case'!D14*$E605)-MAX(0,(('Business Case'!D11*$C605*'Business Case'!D12*$B605)-'Business Case'!D11*$C605*'Business Case'!D13*$D605-'Business Case'!D14*$E605))*'Business Case'!$B$7-'Business Case'!$B$8*(('Business Case'!D11*$C605*'Business Case'!D12*$B605)-('Business Case'!C11*$C605*'Business Case'!C12*$B605))-'Business Case'!D15*$F605</f>
        <v>402042726.557004</v>
      </c>
      <c r="K605" s="53" t="n">
        <f aca="false">(('Business Case'!E11*$C605*'Business Case'!E12*$B605)-'Business Case'!E11*$C605*'Business Case'!E13*$D605-'Business Case'!E14*$E605)-MAX(0,(('Business Case'!E11*$C605*'Business Case'!E12*$B605)-'Business Case'!E11*$C605*'Business Case'!E13*$D605-'Business Case'!E14*$E605))*'Business Case'!$B$7-'Business Case'!$B$8*(('Business Case'!E11*$C605*'Business Case'!E12*$B605)-('Business Case'!D11*$C605*'Business Case'!D12*$B605))-'Business Case'!E15*$F605</f>
        <v>804236270.904439</v>
      </c>
      <c r="L605" s="53" t="n">
        <f aca="false">(('Business Case'!F11*$C605*'Business Case'!F12*$B605)-'Business Case'!F11*$C605*'Business Case'!F13*$D605-'Business Case'!F14*$E605)-MAX(0,(('Business Case'!F11*$C605*'Business Case'!F12*$B605)-'Business Case'!F11*$C605*'Business Case'!F13*$D605-'Business Case'!F14*$E605))*'Business Case'!$B$7-'Business Case'!$B$8*(('Business Case'!F11*$C605*'Business Case'!F12*$B605)-('Business Case'!E11*$C605*'Business Case'!E12*$B605))-'Business Case'!F15*$F605</f>
        <v>960155485.491404</v>
      </c>
      <c r="M605" s="53" t="n">
        <f aca="false">(('Business Case'!G11*$C605*'Business Case'!G12*$B605)-'Business Case'!G11*$C605*'Business Case'!G13*$D605-'Business Case'!G14*$E605)-MAX(0,(('Business Case'!G11*$C605*'Business Case'!G12*$B605)-'Business Case'!G11*$C605*'Business Case'!G13*$D605-'Business Case'!G14*$E605))*'Business Case'!$B$7-'Business Case'!$B$8*(('Business Case'!G11*$C605*'Business Case'!G12*$B605)-('Business Case'!F11*$C605*'Business Case'!F12*$B605))-'Business Case'!G15*$F605+'Business Case'!$B$8*('Business Case'!G11*$C605*'Business Case'!G12*$B605)</f>
        <v>1171574173.72604</v>
      </c>
      <c r="N605" s="53" t="n">
        <f aca="false">IF(COUNT('Business Case'!B11:G11)=0,"",H605+NPV(G605,I605:M605))</f>
        <v>395610254.347413</v>
      </c>
      <c r="P605" s="54" t="n">
        <f aca="true">RAND()</f>
        <v>0.975026059785334</v>
      </c>
      <c r="Q605" s="54" t="n">
        <f aca="true">RAND()</f>
        <v>0.908949170094449</v>
      </c>
      <c r="R605" s="54" t="n">
        <f aca="true">RAND()</f>
        <v>0.522410225943342</v>
      </c>
      <c r="S605" s="54" t="n">
        <f aca="true">RAND()</f>
        <v>0.61857181242084</v>
      </c>
      <c r="T605" s="54" t="n">
        <f aca="true">RAND()</f>
        <v>0.162747511576051</v>
      </c>
      <c r="U605" s="54" t="n">
        <f aca="true">RAND()</f>
        <v>0.182025099401146</v>
      </c>
    </row>
    <row r="606" customFormat="false" ht="15" hidden="false" customHeight="false" outlineLevel="0" collapsed="false">
      <c r="A606" s="50" t="n">
        <v>526</v>
      </c>
      <c r="B606" s="51" t="n">
        <f aca="false">1+IF($G$6=$E$6,$F$6,IF(P606&lt;($F$6-$E$6)/($G$6-$E$6),$E$6+SQRT(P606*($G$6-$E$6)*($F$6-$E$6)),$G$6-SQRT((1-P606)*($G$6-$E$6)*($G$6-$F$6))))</f>
        <v>0.992062154875112</v>
      </c>
      <c r="C606" s="51" t="n">
        <f aca="false">1+IF($G$7=$E$7,$F$7,IF(Q606&lt;($F$7-$E$7)/($G$7-$E$7),$E$7+SQRT(Q606*($G$7-$E$7)*($F$7-$E$7)),$G$7-SQRT((1-Q606)*($G$7-$E$7)*($G$7-$F$7))))</f>
        <v>0.920641420894437</v>
      </c>
      <c r="D606" s="51" t="n">
        <f aca="false">1+IF($G$8=$E$8,$F$8,IF(R606&lt;($F$8-$E$8)/($G$8-$E$8),$E$8+SQRT(R606*($G$8-$E$8)*($F$8-$E$8)),$G$8-SQRT((1-R606)*($G$8-$E$8)*($G$8-$F$8))))</f>
        <v>0.95796044344003</v>
      </c>
      <c r="E606" s="51" t="n">
        <f aca="false">1+IF($G$9=$E$9,$F$9,IF(S606&lt;($F$9-$E$9)/($G$9-$E$9),$E$9+SQRT(S606*($G$9-$E$9)*($F$9-$E$9)),$G$9-SQRT((1-S606)*($G$9-$E$9)*($G$9-$F$9))))</f>
        <v>1.01179630968432</v>
      </c>
      <c r="F606" s="51" t="n">
        <f aca="false">1+IF($G$10=$E$10,$F$10,IF(T606&lt;($F$10-$E$10)/($G$10-$E$10),$E$10+SQRT(T606*($G$10-$E$10)*($F$10-$E$10)),$G$10-SQRT((1-T606)*($G$10-$E$10)*($G$10-$F$10))))</f>
        <v>1.13367874823023</v>
      </c>
      <c r="G606" s="52" t="n">
        <f aca="false">IF($G$11=$E$11,$F$11,IF(U606&lt;($F$11-$E$11)/($G$11-$E$11),$E$11+SQRT(U606*($G$11-$E$11)*($F$11-$E$11)),$G$11-SQRT((1-U606)*($G$11-$E$11)*($G$11-$F$11))))</f>
        <v>0.103365823053321</v>
      </c>
      <c r="H606" s="53" t="n">
        <f aca="false">(('Business Case'!B11*$C606*'Business Case'!B12*$B606)-'Business Case'!B11*$C606*'Business Case'!B13*$D606-'Business Case'!B14*$E606)-MAX(0,(('Business Case'!B11*$C606*'Business Case'!B12*$B606)-'Business Case'!B11*$C606*'Business Case'!B13*$D606-'Business Case'!B14*$E606))*'Business Case'!$B$7-'Business Case'!$B$8*('Business Case'!B11*$C606*'Business Case'!B12*$B606)-'Business Case'!B15*$F606</f>
        <v>-2267357496.46046</v>
      </c>
      <c r="I606" s="53" t="n">
        <f aca="false">(('Business Case'!C11*$C606*'Business Case'!C12*$B606)-'Business Case'!C11*$C606*'Business Case'!C13*$D606-'Business Case'!C14*$E606)-MAX(0,(('Business Case'!C11*$C606*'Business Case'!C12*$B606)-'Business Case'!C11*$C606*'Business Case'!C13*$D606-'Business Case'!C14*$E606))*'Business Case'!$B$7-'Business Case'!$B$8*(('Business Case'!C11*$C606*'Business Case'!C12*$B606)-('Business Case'!B11*$C606*'Business Case'!B12*$B606))-'Business Case'!C15*$F606</f>
        <v>-7988346.69880894</v>
      </c>
      <c r="J606" s="53" t="n">
        <f aca="false">(('Business Case'!D11*$C606*'Business Case'!D12*$B606)-'Business Case'!D11*$C606*'Business Case'!D13*$D606-'Business Case'!D14*$E606)-MAX(0,(('Business Case'!D11*$C606*'Business Case'!D12*$B606)-'Business Case'!D11*$C606*'Business Case'!D13*$D606-'Business Case'!D14*$E606))*'Business Case'!$B$7-'Business Case'!$B$8*(('Business Case'!D11*$C606*'Business Case'!D12*$B606)-('Business Case'!C11*$C606*'Business Case'!C12*$B606))-'Business Case'!D15*$F606</f>
        <v>288615825.918365</v>
      </c>
      <c r="K606" s="53" t="n">
        <f aca="false">(('Business Case'!E11*$C606*'Business Case'!E12*$B606)-'Business Case'!E11*$C606*'Business Case'!E13*$D606-'Business Case'!E14*$E606)-MAX(0,(('Business Case'!E11*$C606*'Business Case'!E12*$B606)-'Business Case'!E11*$C606*'Business Case'!E13*$D606-'Business Case'!E14*$E606))*'Business Case'!$B$7-'Business Case'!$B$8*(('Business Case'!E11*$C606*'Business Case'!E12*$B606)-('Business Case'!D11*$C606*'Business Case'!D12*$B606))-'Business Case'!E15*$F606</f>
        <v>641903935.947051</v>
      </c>
      <c r="L606" s="53" t="n">
        <f aca="false">(('Business Case'!F11*$C606*'Business Case'!F12*$B606)-'Business Case'!F11*$C606*'Business Case'!F13*$D606-'Business Case'!F14*$E606)-MAX(0,(('Business Case'!F11*$C606*'Business Case'!F12*$B606)-'Business Case'!F11*$C606*'Business Case'!F13*$D606-'Business Case'!F14*$E606))*'Business Case'!$B$7-'Business Case'!$B$8*(('Business Case'!F11*$C606*'Business Case'!F12*$B606)-('Business Case'!E11*$C606*'Business Case'!E12*$B606))-'Business Case'!F15*$F606</f>
        <v>772336799.656676</v>
      </c>
      <c r="M606" s="53" t="n">
        <f aca="false">(('Business Case'!G11*$C606*'Business Case'!G12*$B606)-'Business Case'!G11*$C606*'Business Case'!G13*$D606-'Business Case'!G14*$E606)-MAX(0,(('Business Case'!G11*$C606*'Business Case'!G12*$B606)-'Business Case'!G11*$C606*'Business Case'!G13*$D606-'Business Case'!G14*$E606))*'Business Case'!$B$7-'Business Case'!$B$8*(('Business Case'!G11*$C606*'Business Case'!G12*$B606)-('Business Case'!F11*$C606*'Business Case'!F12*$B606))-'Business Case'!G15*$F606+'Business Case'!$B$8*('Business Case'!G11*$C606*'Business Case'!G12*$B606)</f>
        <v>945943233.594792</v>
      </c>
      <c r="N606" s="53" t="n">
        <f aca="false">IF(COUNT('Business Case'!B11:G11)=0,"",H606+NPV(G606,I606:M606))</f>
        <v>-460091968.090585</v>
      </c>
      <c r="P606" s="54" t="n">
        <f aca="true">RAND()</f>
        <v>0.54093272554632</v>
      </c>
      <c r="Q606" s="54" t="n">
        <f aca="true">RAND()</f>
        <v>0.207919320506124</v>
      </c>
      <c r="R606" s="54" t="n">
        <f aca="true">RAND()</f>
        <v>0.00974902457875686</v>
      </c>
      <c r="S606" s="54" t="n">
        <f aca="true">RAND()</f>
        <v>0.481340600979696</v>
      </c>
      <c r="T606" s="54" t="n">
        <f aca="true">RAND()</f>
        <v>0.912029831273821</v>
      </c>
      <c r="U606" s="54" t="n">
        <f aca="true">RAND()</f>
        <v>0.538840262177634</v>
      </c>
    </row>
    <row r="607" customFormat="false" ht="15" hidden="false" customHeight="false" outlineLevel="0" collapsed="false">
      <c r="A607" s="50" t="n">
        <v>527</v>
      </c>
      <c r="B607" s="51" t="n">
        <f aca="false">1+IF($G$6=$E$6,$F$6,IF(P607&lt;($F$6-$E$6)/($G$6-$E$6),$E$6+SQRT(P607*($G$6-$E$6)*($F$6-$E$6)),$G$6-SQRT((1-P607)*($G$6-$E$6)*($G$6-$F$6))))</f>
        <v>0.987201393245049</v>
      </c>
      <c r="C607" s="51" t="n">
        <f aca="false">1+IF($G$7=$E$7,$F$7,IF(Q607&lt;($F$7-$E$7)/($G$7-$E$7),$E$7+SQRT(Q607*($G$7-$E$7)*($F$7-$E$7)),$G$7-SQRT((1-Q607)*($G$7-$E$7)*($G$7-$F$7))))</f>
        <v>0.91902095378219</v>
      </c>
      <c r="D607" s="51" t="n">
        <f aca="false">1+IF($G$8=$E$8,$F$8,IF(R607&lt;($F$8-$E$8)/($G$8-$E$8),$E$8+SQRT(R607*($G$8-$E$8)*($F$8-$E$8)),$G$8-SQRT((1-R607)*($G$8-$E$8)*($G$8-$F$8))))</f>
        <v>0.997222354342329</v>
      </c>
      <c r="E607" s="51" t="n">
        <f aca="false">1+IF($G$9=$E$9,$F$9,IF(S607&lt;($F$9-$E$9)/($G$9-$E$9),$E$9+SQRT(S607*($G$9-$E$9)*($F$9-$E$9)),$G$9-SQRT((1-S607)*($G$9-$E$9)*($G$9-$F$9))))</f>
        <v>1.02541337259388</v>
      </c>
      <c r="F607" s="51" t="n">
        <f aca="false">1+IF($G$10=$E$10,$F$10,IF(T607&lt;($F$10-$E$10)/($G$10-$E$10),$E$10+SQRT(T607*($G$10-$E$10)*($F$10-$E$10)),$G$10-SQRT((1-T607)*($G$10-$E$10)*($G$10-$F$10))))</f>
        <v>1.01455356383524</v>
      </c>
      <c r="G607" s="52" t="n">
        <f aca="false">IF($G$11=$E$11,$F$11,IF(U607&lt;($F$11-$E$11)/($G$11-$E$11),$E$11+SQRT(U607*($G$11-$E$11)*($F$11-$E$11)),$G$11-SQRT((1-U607)*($G$11-$E$11)*($G$11-$F$11))))</f>
        <v>0.0956590236823973</v>
      </c>
      <c r="H607" s="53" t="n">
        <f aca="false">(('Business Case'!B11*$C607*'Business Case'!B12*$B607)-'Business Case'!B11*$C607*'Business Case'!B13*$D607-'Business Case'!B14*$E607)-MAX(0,(('Business Case'!B11*$C607*'Business Case'!B12*$B607)-'Business Case'!B11*$C607*'Business Case'!B13*$D607-'Business Case'!B14*$E607))*'Business Case'!$B$7-'Business Case'!$B$8*('Business Case'!B11*$C607*'Business Case'!B12*$B607)-'Business Case'!B15*$F607</f>
        <v>-2029107127.67048</v>
      </c>
      <c r="I607" s="53" t="n">
        <f aca="false">(('Business Case'!C11*$C607*'Business Case'!C12*$B607)-'Business Case'!C11*$C607*'Business Case'!C13*$D607-'Business Case'!C14*$E607)-MAX(0,(('Business Case'!C11*$C607*'Business Case'!C12*$B607)-'Business Case'!C11*$C607*'Business Case'!C13*$D607-'Business Case'!C14*$E607))*'Business Case'!$B$7-'Business Case'!$B$8*(('Business Case'!C11*$C607*'Business Case'!C12*$B607)-('Business Case'!B11*$C607*'Business Case'!B12*$B607))-'Business Case'!C15*$F607</f>
        <v>-20349601.4361804</v>
      </c>
      <c r="J607" s="53" t="n">
        <f aca="false">(('Business Case'!D11*$C607*'Business Case'!D12*$B607)-'Business Case'!D11*$C607*'Business Case'!D13*$D607-'Business Case'!D14*$E607)-MAX(0,(('Business Case'!D11*$C607*'Business Case'!D12*$B607)-'Business Case'!D11*$C607*'Business Case'!D13*$D607-'Business Case'!D14*$E607))*'Business Case'!$B$7-'Business Case'!$B$8*(('Business Case'!D11*$C607*'Business Case'!D12*$B607)-('Business Case'!C11*$C607*'Business Case'!C12*$B607))-'Business Case'!D15*$F607</f>
        <v>253602229.523203</v>
      </c>
      <c r="K607" s="53" t="n">
        <f aca="false">(('Business Case'!E11*$C607*'Business Case'!E12*$B607)-'Business Case'!E11*$C607*'Business Case'!E13*$D607-'Business Case'!E14*$E607)-MAX(0,(('Business Case'!E11*$C607*'Business Case'!E12*$B607)-'Business Case'!E11*$C607*'Business Case'!E13*$D607-'Business Case'!E14*$E607))*'Business Case'!$B$7-'Business Case'!$B$8*(('Business Case'!E11*$C607*'Business Case'!E12*$B607)-('Business Case'!D11*$C607*'Business Case'!D12*$B607))-'Business Case'!E15*$F607</f>
        <v>578281738.674349</v>
      </c>
      <c r="L607" s="53" t="n">
        <f aca="false">(('Business Case'!F11*$C607*'Business Case'!F12*$B607)-'Business Case'!F11*$C607*'Business Case'!F13*$D607-'Business Case'!F14*$E607)-MAX(0,(('Business Case'!F11*$C607*'Business Case'!F12*$B607)-'Business Case'!F11*$C607*'Business Case'!F13*$D607-'Business Case'!F14*$E607))*'Business Case'!$B$7-'Business Case'!$B$8*(('Business Case'!F11*$C607*'Business Case'!F12*$B607)-('Business Case'!E11*$C607*'Business Case'!E12*$B607))-'Business Case'!F15*$F607</f>
        <v>700953878.613603</v>
      </c>
      <c r="M607" s="53" t="n">
        <f aca="false">(('Business Case'!G11*$C607*'Business Case'!G12*$B607)-'Business Case'!G11*$C607*'Business Case'!G13*$D607-'Business Case'!G14*$E607)-MAX(0,(('Business Case'!G11*$C607*'Business Case'!G12*$B607)-'Business Case'!G11*$C607*'Business Case'!G13*$D607-'Business Case'!G14*$E607))*'Business Case'!$B$7-'Business Case'!$B$8*(('Business Case'!G11*$C607*'Business Case'!G12*$B607)-('Business Case'!F11*$C607*'Business Case'!F12*$B607))-'Business Case'!G15*$F607+'Business Case'!$B$8*('Business Case'!G11*$C607*'Business Case'!G12*$B607)</f>
        <v>873405624.853965</v>
      </c>
      <c r="N607" s="53" t="n">
        <f aca="false">IF(COUNT('Business Case'!B11:G11)=0,"",H607+NPV(G607,I607:M607))</f>
        <v>-357232797.064361</v>
      </c>
      <c r="P607" s="54" t="n">
        <f aca="true">RAND()</f>
        <v>0.47041950563289</v>
      </c>
      <c r="Q607" s="54" t="n">
        <f aca="true">RAND()</f>
        <v>0.202371249131746</v>
      </c>
      <c r="R607" s="54" t="n">
        <f aca="true">RAND()</f>
        <v>0.343069346097308</v>
      </c>
      <c r="S607" s="54" t="n">
        <f aca="true">RAND()</f>
        <v>0.629122334145415</v>
      </c>
      <c r="T607" s="54" t="n">
        <f aca="true">RAND()</f>
        <v>0.312192386275787</v>
      </c>
      <c r="U607" s="54" t="n">
        <f aca="true">RAND()</f>
        <v>0.106748496793111</v>
      </c>
    </row>
    <row r="608" customFormat="false" ht="15" hidden="false" customHeight="false" outlineLevel="0" collapsed="false">
      <c r="A608" s="50" t="n">
        <v>528</v>
      </c>
      <c r="B608" s="51" t="n">
        <f aca="false">1+IF($G$6=$E$6,$F$6,IF(P608&lt;($F$6-$E$6)/($G$6-$E$6),$E$6+SQRT(P608*($G$6-$E$6)*($F$6-$E$6)),$G$6-SQRT((1-P608)*($G$6-$E$6)*($G$6-$F$6))))</f>
        <v>0.974707522433328</v>
      </c>
      <c r="C608" s="51" t="n">
        <f aca="false">1+IF($G$7=$E$7,$F$7,IF(Q608&lt;($F$7-$E$7)/($G$7-$E$7),$E$7+SQRT(Q608*($G$7-$E$7)*($F$7-$E$7)),$G$7-SQRT((1-Q608)*($G$7-$E$7)*($G$7-$F$7))))</f>
        <v>0.948434141106326</v>
      </c>
      <c r="D608" s="51" t="n">
        <f aca="false">1+IF($G$8=$E$8,$F$8,IF(R608&lt;($F$8-$E$8)/($G$8-$E$8),$E$8+SQRT(R608*($G$8-$E$8)*($F$8-$E$8)),$G$8-SQRT((1-R608)*($G$8-$E$8)*($G$8-$F$8))))</f>
        <v>0.96351969409537</v>
      </c>
      <c r="E608" s="51" t="n">
        <f aca="false">1+IF($G$9=$E$9,$F$9,IF(S608&lt;($F$9-$E$9)/($G$9-$E$9),$E$9+SQRT(S608*($G$9-$E$9)*($F$9-$E$9)),$G$9-SQRT((1-S608)*($G$9-$E$9)*($G$9-$F$9))))</f>
        <v>1.00640880842909</v>
      </c>
      <c r="F608" s="51" t="n">
        <f aca="false">1+IF($G$10=$E$10,$F$10,IF(T608&lt;($F$10-$E$10)/($G$10-$E$10),$E$10+SQRT(T608*($G$10-$E$10)*($F$10-$E$10)),$G$10-SQRT((1-T608)*($G$10-$E$10)*($G$10-$F$10))))</f>
        <v>1.12664553738998</v>
      </c>
      <c r="G608" s="52" t="n">
        <f aca="false">IF($G$11=$E$11,$F$11,IF(U608&lt;($F$11-$E$11)/($G$11-$E$11),$E$11+SQRT(U608*($G$11-$E$11)*($F$11-$E$11)),$G$11-SQRT((1-U608)*($G$11-$E$11)*($G$11-$F$11))))</f>
        <v>0.101992242920739</v>
      </c>
      <c r="H608" s="53" t="n">
        <f aca="false">(('Business Case'!B11*$C608*'Business Case'!B12*$B608)-'Business Case'!B11*$C608*'Business Case'!B13*$D608-'Business Case'!B14*$E608)-MAX(0,(('Business Case'!B11*$C608*'Business Case'!B12*$B608)-'Business Case'!B11*$C608*'Business Case'!B13*$D608-'Business Case'!B14*$E608))*'Business Case'!$B$7-'Business Case'!$B$8*('Business Case'!B11*$C608*'Business Case'!B12*$B608)-'Business Case'!B15*$F608</f>
        <v>-2253291074.77996</v>
      </c>
      <c r="I608" s="53" t="n">
        <f aca="false">(('Business Case'!C11*$C608*'Business Case'!C12*$B608)-'Business Case'!C11*$C608*'Business Case'!C13*$D608-'Business Case'!C14*$E608)-MAX(0,(('Business Case'!C11*$C608*'Business Case'!C12*$B608)-'Business Case'!C11*$C608*'Business Case'!C13*$D608-'Business Case'!C14*$E608))*'Business Case'!$B$7-'Business Case'!$B$8*(('Business Case'!C11*$C608*'Business Case'!C12*$B608)-('Business Case'!B11*$C608*'Business Case'!B12*$B608))-'Business Case'!C15*$F608</f>
        <v>-14321815.4256386</v>
      </c>
      <c r="J608" s="53" t="n">
        <f aca="false">(('Business Case'!D11*$C608*'Business Case'!D12*$B608)-'Business Case'!D11*$C608*'Business Case'!D13*$D608-'Business Case'!D14*$E608)-MAX(0,(('Business Case'!D11*$C608*'Business Case'!D12*$B608)-'Business Case'!D11*$C608*'Business Case'!D13*$D608-'Business Case'!D14*$E608))*'Business Case'!$B$7-'Business Case'!$B$8*(('Business Case'!D11*$C608*'Business Case'!D12*$B608)-('Business Case'!C11*$C608*'Business Case'!C12*$B608))-'Business Case'!D15*$F608</f>
        <v>275055530.480823</v>
      </c>
      <c r="K608" s="53" t="n">
        <f aca="false">(('Business Case'!E11*$C608*'Business Case'!E12*$B608)-'Business Case'!E11*$C608*'Business Case'!E13*$D608-'Business Case'!E14*$E608)-MAX(0,(('Business Case'!E11*$C608*'Business Case'!E12*$B608)-'Business Case'!E11*$C608*'Business Case'!E13*$D608-'Business Case'!E14*$E608))*'Business Case'!$B$7-'Business Case'!$B$8*(('Business Case'!E11*$C608*'Business Case'!E12*$B608)-('Business Case'!D11*$C608*'Business Case'!D12*$B608))-'Business Case'!E15*$F608</f>
        <v>620765153.256783</v>
      </c>
      <c r="L608" s="53" t="n">
        <f aca="false">(('Business Case'!F11*$C608*'Business Case'!F12*$B608)-'Business Case'!F11*$C608*'Business Case'!F13*$D608-'Business Case'!F14*$E608)-MAX(0,(('Business Case'!F11*$C608*'Business Case'!F12*$B608)-'Business Case'!F11*$C608*'Business Case'!F13*$D608-'Business Case'!F14*$E608))*'Business Case'!$B$7-'Business Case'!$B$8*(('Business Case'!F11*$C608*'Business Case'!F12*$B608)-('Business Case'!E11*$C608*'Business Case'!E12*$B608))-'Business Case'!F15*$F608</f>
        <v>749173118.581927</v>
      </c>
      <c r="M608" s="53" t="n">
        <f aca="false">(('Business Case'!G11*$C608*'Business Case'!G12*$B608)-'Business Case'!G11*$C608*'Business Case'!G13*$D608-'Business Case'!G14*$E608)-MAX(0,(('Business Case'!G11*$C608*'Business Case'!G12*$B608)-'Business Case'!G11*$C608*'Business Case'!G13*$D608-'Business Case'!G14*$E608))*'Business Case'!$B$7-'Business Case'!$B$8*(('Business Case'!G11*$C608*'Business Case'!G12*$B608)-('Business Case'!F11*$C608*'Business Case'!F12*$B608))-'Business Case'!G15*$F608+'Business Case'!$B$8*('Business Case'!G11*$C608*'Business Case'!G12*$B608)</f>
        <v>924891793.708373</v>
      </c>
      <c r="N608" s="53" t="n">
        <f aca="false">IF(COUNT('Business Case'!B11:G11)=0,"",H608+NPV(G608,I608:M608))</f>
        <v>-498807097.081483</v>
      </c>
      <c r="P608" s="54" t="n">
        <f aca="true">RAND()</f>
        <v>0.311761771957616</v>
      </c>
      <c r="Q608" s="54" t="n">
        <f aca="true">RAND()</f>
        <v>0.314752774942469</v>
      </c>
      <c r="R608" s="54" t="n">
        <f aca="true">RAND()</f>
        <v>0.0281203274511376</v>
      </c>
      <c r="S608" s="54" t="n">
        <f aca="true">RAND()</f>
        <v>0.41604592402246</v>
      </c>
      <c r="T608" s="54" t="n">
        <f aca="true">RAND()</f>
        <v>0.892382456303903</v>
      </c>
      <c r="U608" s="54" t="n">
        <f aca="true">RAND()</f>
        <v>0.459534474957219</v>
      </c>
    </row>
    <row r="609" customFormat="false" ht="15" hidden="false" customHeight="false" outlineLevel="0" collapsed="false">
      <c r="A609" s="50" t="n">
        <v>529</v>
      </c>
      <c r="B609" s="51" t="n">
        <f aca="false">1+IF($G$6=$E$6,$F$6,IF(P609&lt;($F$6-$E$6)/($G$6-$E$6),$E$6+SQRT(P609*($G$6-$E$6)*($F$6-$E$6)),$G$6-SQRT((1-P609)*($G$6-$E$6)*($G$6-$F$6))))</f>
        <v>1.01863656710626</v>
      </c>
      <c r="C609" s="51" t="n">
        <f aca="false">1+IF($G$7=$E$7,$F$7,IF(Q609&lt;($F$7-$E$7)/($G$7-$E$7),$E$7+SQRT(Q609*($G$7-$E$7)*($F$7-$E$7)),$G$7-SQRT((1-Q609)*($G$7-$E$7)*($G$7-$F$7))))</f>
        <v>1.04411473733535</v>
      </c>
      <c r="D609" s="51" t="n">
        <f aca="false">1+IF($G$8=$E$8,$F$8,IF(R609&lt;($F$8-$E$8)/($G$8-$E$8),$E$8+SQRT(R609*($G$8-$E$8)*($F$8-$E$8)),$G$8-SQRT((1-R609)*($G$8-$E$8)*($G$8-$F$8))))</f>
        <v>0.984838679149898</v>
      </c>
      <c r="E609" s="51" t="n">
        <f aca="false">1+IF($G$9=$E$9,$F$9,IF(S609&lt;($F$9-$E$9)/($G$9-$E$9),$E$9+SQRT(S609*($G$9-$E$9)*($F$9-$E$9)),$G$9-SQRT((1-S609)*($G$9-$E$9)*($G$9-$F$9))))</f>
        <v>0.983204033675593</v>
      </c>
      <c r="F609" s="51" t="n">
        <f aca="false">1+IF($G$10=$E$10,$F$10,IF(T609&lt;($F$10-$E$10)/($G$10-$E$10),$E$10+SQRT(T609*($G$10-$E$10)*($F$10-$E$10)),$G$10-SQRT((1-T609)*($G$10-$E$10)*($G$10-$F$10))))</f>
        <v>1.00712566099892</v>
      </c>
      <c r="G609" s="52" t="n">
        <f aca="false">IF($G$11=$E$11,$F$11,IF(U609&lt;($F$11-$E$11)/($G$11-$E$11),$E$11+SQRT(U609*($G$11-$E$11)*($F$11-$E$11)),$G$11-SQRT((1-U609)*($G$11-$E$11)*($G$11-$F$11))))</f>
        <v>0.0960524046338516</v>
      </c>
      <c r="H609" s="53" t="n">
        <f aca="false">(('Business Case'!B11*$C609*'Business Case'!B12*$B609)-'Business Case'!B11*$C609*'Business Case'!B13*$D609-'Business Case'!B14*$E609)-MAX(0,(('Business Case'!B11*$C609*'Business Case'!B12*$B609)-'Business Case'!B11*$C609*'Business Case'!B13*$D609-'Business Case'!B14*$E609))*'Business Case'!$B$7-'Business Case'!$B$8*('Business Case'!B11*$C609*'Business Case'!B12*$B609)-'Business Case'!B15*$F609</f>
        <v>-2014251321.99784</v>
      </c>
      <c r="I609" s="53" t="n">
        <f aca="false">(('Business Case'!C11*$C609*'Business Case'!C12*$B609)-'Business Case'!C11*$C609*'Business Case'!C13*$D609-'Business Case'!C14*$E609)-MAX(0,(('Business Case'!C11*$C609*'Business Case'!C12*$B609)-'Business Case'!C11*$C609*'Business Case'!C13*$D609-'Business Case'!C14*$E609))*'Business Case'!$B$7-'Business Case'!$B$8*(('Business Case'!C11*$C609*'Business Case'!C12*$B609)-('Business Case'!B11*$C609*'Business Case'!B12*$B609))-'Business Case'!C15*$F609</f>
        <v>49083965.2310386</v>
      </c>
      <c r="J609" s="53" t="n">
        <f aca="false">(('Business Case'!D11*$C609*'Business Case'!D12*$B609)-'Business Case'!D11*$C609*'Business Case'!D13*$D609-'Business Case'!D14*$E609)-MAX(0,(('Business Case'!D11*$C609*'Business Case'!D12*$B609)-'Business Case'!D11*$C609*'Business Case'!D13*$D609-'Business Case'!D14*$E609))*'Business Case'!$B$7-'Business Case'!$B$8*(('Business Case'!D11*$C609*'Business Case'!D12*$B609)-('Business Case'!C11*$C609*'Business Case'!C12*$B609))-'Business Case'!D15*$F609</f>
        <v>393827757.886991</v>
      </c>
      <c r="K609" s="53" t="n">
        <f aca="false">(('Business Case'!E11*$C609*'Business Case'!E12*$B609)-'Business Case'!E11*$C609*'Business Case'!E13*$D609-'Business Case'!E14*$E609)-MAX(0,(('Business Case'!E11*$C609*'Business Case'!E12*$B609)-'Business Case'!E11*$C609*'Business Case'!E13*$D609-'Business Case'!E14*$E609))*'Business Case'!$B$7-'Business Case'!$B$8*(('Business Case'!E11*$C609*'Business Case'!E12*$B609)-('Business Case'!D11*$C609*'Business Case'!D12*$B609))-'Business Case'!E15*$F609</f>
        <v>788927833.59289</v>
      </c>
      <c r="L609" s="53" t="n">
        <f aca="false">(('Business Case'!F11*$C609*'Business Case'!F12*$B609)-'Business Case'!F11*$C609*'Business Case'!F13*$D609-'Business Case'!F14*$E609)-MAX(0,(('Business Case'!F11*$C609*'Business Case'!F12*$B609)-'Business Case'!F11*$C609*'Business Case'!F13*$D609-'Business Case'!F14*$E609))*'Business Case'!$B$7-'Business Case'!$B$8*(('Business Case'!F11*$C609*'Business Case'!F12*$B609)-('Business Case'!E11*$C609*'Business Case'!E12*$B609))-'Business Case'!F15*$F609</f>
        <v>940599529.635776</v>
      </c>
      <c r="M609" s="53" t="n">
        <f aca="false">(('Business Case'!G11*$C609*'Business Case'!G12*$B609)-'Business Case'!G11*$C609*'Business Case'!G13*$D609-'Business Case'!G14*$E609)-MAX(0,(('Business Case'!G11*$C609*'Business Case'!G12*$B609)-'Business Case'!G11*$C609*'Business Case'!G13*$D609-'Business Case'!G14*$E609))*'Business Case'!$B$7-'Business Case'!$B$8*(('Business Case'!G11*$C609*'Business Case'!G12*$B609)-('Business Case'!F11*$C609*'Business Case'!F12*$B609))-'Business Case'!G15*$F609+'Business Case'!$B$8*('Business Case'!G11*$C609*'Business Case'!G12*$B609)</f>
        <v>1142763571.33574</v>
      </c>
      <c r="N609" s="53" t="n">
        <f aca="false">IF(COUNT('Business Case'!B11:G11)=0,"",H609+NPV(G609,I609:M609))</f>
        <v>331702442.696155</v>
      </c>
      <c r="P609" s="54" t="n">
        <f aca="true">RAND()</f>
        <v>0.904917444790548</v>
      </c>
      <c r="Q609" s="54" t="n">
        <f aca="true">RAND()</f>
        <v>0.786444021913106</v>
      </c>
      <c r="R609" s="54" t="n">
        <f aca="true">RAND()</f>
        <v>0.18672824075531</v>
      </c>
      <c r="S609" s="54" t="n">
        <f aca="true">RAND()</f>
        <v>0.147001046977322</v>
      </c>
      <c r="T609" s="54" t="n">
        <f aca="true">RAND()</f>
        <v>0.255989787097938</v>
      </c>
      <c r="U609" s="54" t="n">
        <f aca="true">RAND()</f>
        <v>0.122105339506225</v>
      </c>
    </row>
    <row r="610" customFormat="false" ht="15" hidden="false" customHeight="false" outlineLevel="0" collapsed="false">
      <c r="A610" s="50" t="n">
        <v>530</v>
      </c>
      <c r="B610" s="51" t="n">
        <f aca="false">1+IF($G$6=$E$6,$F$6,IF(P610&lt;($F$6-$E$6)/($G$6-$E$6),$E$6+SQRT(P610*($G$6-$E$6)*($F$6-$E$6)),$G$6-SQRT((1-P610)*($G$6-$E$6)*($G$6-$F$6))))</f>
        <v>0.941777335575766</v>
      </c>
      <c r="C610" s="51" t="n">
        <f aca="false">1+IF($G$7=$E$7,$F$7,IF(Q610&lt;($F$7-$E$7)/($G$7-$E$7),$E$7+SQRT(Q610*($G$7-$E$7)*($F$7-$E$7)),$G$7-SQRT((1-Q610)*($G$7-$E$7)*($G$7-$F$7))))</f>
        <v>1.02509788590773</v>
      </c>
      <c r="D610" s="51" t="n">
        <f aca="false">1+IF($G$8=$E$8,$F$8,IF(R610&lt;($F$8-$E$8)/($G$8-$E$8),$E$8+SQRT(R610*($G$8-$E$8)*($F$8-$E$8)),$G$8-SQRT((1-R610)*($G$8-$E$8)*($G$8-$F$8))))</f>
        <v>1.05049861516558</v>
      </c>
      <c r="E610" s="51" t="n">
        <f aca="false">1+IF($G$9=$E$9,$F$9,IF(S610&lt;($F$9-$E$9)/($G$9-$E$9),$E$9+SQRT(S610*($G$9-$E$9)*($F$9-$E$9)),$G$9-SQRT((1-S610)*($G$9-$E$9)*($G$9-$F$9))))</f>
        <v>1.01992099532044</v>
      </c>
      <c r="F610" s="51" t="n">
        <f aca="false">1+IF($G$10=$E$10,$F$10,IF(T610&lt;($F$10-$E$10)/($G$10-$E$10),$E$10+SQRT(T610*($G$10-$E$10)*($F$10-$E$10)),$G$10-SQRT((1-T610)*($G$10-$E$10)*($G$10-$F$10))))</f>
        <v>1.02308347954242</v>
      </c>
      <c r="G610" s="52" t="n">
        <f aca="false">IF($G$11=$E$11,$F$11,IF(U610&lt;($F$11-$E$11)/($G$11-$E$11),$E$11+SQRT(U610*($G$11-$E$11)*($F$11-$E$11)),$G$11-SQRT((1-U610)*($G$11-$E$11)*($G$11-$F$11))))</f>
        <v>0.109033898331179</v>
      </c>
      <c r="H610" s="53" t="n">
        <f aca="false">(('Business Case'!B11*$C610*'Business Case'!B12*$B610)-'Business Case'!B11*$C610*'Business Case'!B13*$D610-'Business Case'!B14*$E610)-MAX(0,(('Business Case'!B11*$C610*'Business Case'!B12*$B610)-'Business Case'!B11*$C610*'Business Case'!B13*$D610-'Business Case'!B14*$E610))*'Business Case'!$B$7-'Business Case'!$B$8*('Business Case'!B11*$C610*'Business Case'!B12*$B610)-'Business Case'!B15*$F610</f>
        <v>-2046166959.08484</v>
      </c>
      <c r="I610" s="53" t="n">
        <f aca="false">(('Business Case'!C11*$C610*'Business Case'!C12*$B610)-'Business Case'!C11*$C610*'Business Case'!C13*$D610-'Business Case'!C14*$E610)-MAX(0,(('Business Case'!C11*$C610*'Business Case'!C12*$B610)-'Business Case'!C11*$C610*'Business Case'!C13*$D610-'Business Case'!C14*$E610))*'Business Case'!$B$7-'Business Case'!$B$8*(('Business Case'!C11*$C610*'Business Case'!C12*$B610)-('Business Case'!B11*$C610*'Business Case'!B12*$B610))-'Business Case'!C15*$F610</f>
        <v>-57912806.0128962</v>
      </c>
      <c r="J610" s="53" t="n">
        <f aca="false">(('Business Case'!D11*$C610*'Business Case'!D12*$B610)-'Business Case'!D11*$C610*'Business Case'!D13*$D610-'Business Case'!D14*$E610)-MAX(0,(('Business Case'!D11*$C610*'Business Case'!D12*$B610)-'Business Case'!D11*$C610*'Business Case'!D13*$D610-'Business Case'!D14*$E610))*'Business Case'!$B$7-'Business Case'!$B$8*(('Business Case'!D11*$C610*'Business Case'!D12*$B610)-('Business Case'!C11*$C610*'Business Case'!C12*$B610))-'Business Case'!D15*$F610</f>
        <v>181562560.92622</v>
      </c>
      <c r="K610" s="53" t="n">
        <f aca="false">(('Business Case'!E11*$C610*'Business Case'!E12*$B610)-'Business Case'!E11*$C610*'Business Case'!E13*$D610-'Business Case'!E14*$E610)-MAX(0,(('Business Case'!E11*$C610*'Business Case'!E12*$B610)-'Business Case'!E11*$C610*'Business Case'!E13*$D610-'Business Case'!E14*$E610))*'Business Case'!$B$7-'Business Case'!$B$8*(('Business Case'!E11*$C610*'Business Case'!E12*$B610)-('Business Case'!D11*$C610*'Business Case'!D12*$B610))-'Business Case'!E15*$F610</f>
        <v>472192101.842458</v>
      </c>
      <c r="L610" s="53" t="n">
        <f aca="false">(('Business Case'!F11*$C610*'Business Case'!F12*$B610)-'Business Case'!F11*$C610*'Business Case'!F13*$D610-'Business Case'!F14*$E610)-MAX(0,(('Business Case'!F11*$C610*'Business Case'!F12*$B610)-'Business Case'!F11*$C610*'Business Case'!F13*$D610-'Business Case'!F14*$E610))*'Business Case'!$B$7-'Business Case'!$B$8*(('Business Case'!F11*$C610*'Business Case'!F12*$B610)-('Business Case'!E11*$C610*'Business Case'!E12*$B610))-'Business Case'!F15*$F610</f>
        <v>585381930.4643</v>
      </c>
      <c r="M610" s="53" t="n">
        <f aca="false">(('Business Case'!G11*$C610*'Business Case'!G12*$B610)-'Business Case'!G11*$C610*'Business Case'!G13*$D610-'Business Case'!G14*$E610)-MAX(0,(('Business Case'!G11*$C610*'Business Case'!G12*$B610)-'Business Case'!G11*$C610*'Business Case'!G13*$D610-'Business Case'!G14*$E610))*'Business Case'!$B$7-'Business Case'!$B$8*(('Business Case'!G11*$C610*'Business Case'!G12*$B610)-('Business Case'!F11*$C610*'Business Case'!F12*$B610))-'Business Case'!G15*$F610+'Business Case'!$B$8*('Business Case'!G11*$C610*'Business Case'!G12*$B610)</f>
        <v>768887815.162716</v>
      </c>
      <c r="N610" s="53" t="n">
        <f aca="false">IF(COUNT('Business Case'!B11:G11)=0,"",H610+NPV(G610,I610:M610))</f>
        <v>-759360110.193817</v>
      </c>
      <c r="P610" s="54" t="n">
        <f aca="true">RAND()</f>
        <v>0.0494012859145341</v>
      </c>
      <c r="Q610" s="54" t="n">
        <f aca="true">RAND()</f>
        <v>0.702846893243451</v>
      </c>
      <c r="R610" s="54" t="n">
        <f aca="true">RAND()</f>
        <v>0.916314258928022</v>
      </c>
      <c r="S610" s="54" t="n">
        <f aca="true">RAND()</f>
        <v>0.572490200635391</v>
      </c>
      <c r="T610" s="54" t="n">
        <f aca="true">RAND()</f>
        <v>0.374010895783647</v>
      </c>
      <c r="U610" s="54" t="n">
        <f aca="true">RAND()</f>
        <v>0.799574356981799</v>
      </c>
    </row>
    <row r="611" customFormat="false" ht="15" hidden="false" customHeight="false" outlineLevel="0" collapsed="false">
      <c r="A611" s="50" t="n">
        <v>531</v>
      </c>
      <c r="B611" s="51" t="n">
        <f aca="false">1+IF($G$6=$E$6,$F$6,IF(P611&lt;($F$6-$E$6)/($G$6-$E$6),$E$6+SQRT(P611*($G$6-$E$6)*($F$6-$E$6)),$G$6-SQRT((1-P611)*($G$6-$E$6)*($G$6-$F$6))))</f>
        <v>0.973856632213595</v>
      </c>
      <c r="C611" s="51" t="n">
        <f aca="false">1+IF($G$7=$E$7,$F$7,IF(Q611&lt;($F$7-$E$7)/($G$7-$E$7),$E$7+SQRT(Q611*($G$7-$E$7)*($F$7-$E$7)),$G$7-SQRT((1-Q611)*($G$7-$E$7)*($G$7-$F$7))))</f>
        <v>0.863686456287967</v>
      </c>
      <c r="D611" s="51" t="n">
        <f aca="false">1+IF($G$8=$E$8,$F$8,IF(R611&lt;($F$8-$E$8)/($G$8-$E$8),$E$8+SQRT(R611*($G$8-$E$8)*($F$8-$E$8)),$G$8-SQRT((1-R611)*($G$8-$E$8)*($G$8-$F$8))))</f>
        <v>0.989561712785832</v>
      </c>
      <c r="E611" s="51" t="n">
        <f aca="false">1+IF($G$9=$E$9,$F$9,IF(S611&lt;($F$9-$E$9)/($G$9-$E$9),$E$9+SQRT(S611*($G$9-$E$9)*($F$9-$E$9)),$G$9-SQRT((1-S611)*($G$9-$E$9)*($G$9-$F$9))))</f>
        <v>0.994921731088834</v>
      </c>
      <c r="F611" s="51" t="n">
        <f aca="false">1+IF($G$10=$E$10,$F$10,IF(T611&lt;($F$10-$E$10)/($G$10-$E$10),$E$10+SQRT(T611*($G$10-$E$10)*($F$10-$E$10)),$G$10-SQRT((1-T611)*($G$10-$E$10)*($G$10-$F$10))))</f>
        <v>0.990836278449289</v>
      </c>
      <c r="G611" s="52" t="n">
        <f aca="false">IF($G$11=$E$11,$F$11,IF(U611&lt;($F$11-$E$11)/($G$11-$E$11),$E$11+SQRT(U611*($G$11-$E$11)*($F$11-$E$11)),$G$11-SQRT((1-U611)*($G$11-$E$11)*($G$11-$F$11))))</f>
        <v>0.111725221010671</v>
      </c>
      <c r="H611" s="53" t="n">
        <f aca="false">(('Business Case'!B11*$C611*'Business Case'!B12*$B611)-'Business Case'!B11*$C611*'Business Case'!B13*$D611-'Business Case'!B14*$E611)-MAX(0,(('Business Case'!B11*$C611*'Business Case'!B12*$B611)-'Business Case'!B11*$C611*'Business Case'!B13*$D611-'Business Case'!B14*$E611))*'Business Case'!$B$7-'Business Case'!$B$8*('Business Case'!B11*$C611*'Business Case'!B12*$B611)-'Business Case'!B15*$F611</f>
        <v>-1981672556.89858</v>
      </c>
      <c r="I611" s="53" t="n">
        <f aca="false">(('Business Case'!C11*$C611*'Business Case'!C12*$B611)-'Business Case'!C11*$C611*'Business Case'!C13*$D611-'Business Case'!C14*$E611)-MAX(0,(('Business Case'!C11*$C611*'Business Case'!C12*$B611)-'Business Case'!C11*$C611*'Business Case'!C13*$D611-'Business Case'!C14*$E611))*'Business Case'!$B$7-'Business Case'!$B$8*(('Business Case'!C11*$C611*'Business Case'!C12*$B611)-('Business Case'!B11*$C611*'Business Case'!B12*$B611))-'Business Case'!C15*$F611</f>
        <v>-32760661.6049232</v>
      </c>
      <c r="J611" s="53" t="n">
        <f aca="false">(('Business Case'!D11*$C611*'Business Case'!D12*$B611)-'Business Case'!D11*$C611*'Business Case'!D13*$D611-'Business Case'!D14*$E611)-MAX(0,(('Business Case'!D11*$C611*'Business Case'!D12*$B611)-'Business Case'!D11*$C611*'Business Case'!D13*$D611-'Business Case'!D14*$E611))*'Business Case'!$B$7-'Business Case'!$B$8*(('Business Case'!D11*$C611*'Business Case'!D12*$B611)-('Business Case'!C11*$C611*'Business Case'!C12*$B611))-'Business Case'!D15*$F611</f>
        <v>218643150.45821</v>
      </c>
      <c r="K611" s="53" t="n">
        <f aca="false">(('Business Case'!E11*$C611*'Business Case'!E12*$B611)-'Business Case'!E11*$C611*'Business Case'!E13*$D611-'Business Case'!E14*$E611)-MAX(0,(('Business Case'!E11*$C611*'Business Case'!E12*$B611)-'Business Case'!E11*$C611*'Business Case'!E13*$D611-'Business Case'!E14*$E611))*'Business Case'!$B$7-'Business Case'!$B$8*(('Business Case'!E11*$C611*'Business Case'!E12*$B611)-('Business Case'!D11*$C611*'Business Case'!D12*$B611))-'Business Case'!E15*$F611</f>
        <v>519588776.443808</v>
      </c>
      <c r="L611" s="53" t="n">
        <f aca="false">(('Business Case'!F11*$C611*'Business Case'!F12*$B611)-'Business Case'!F11*$C611*'Business Case'!F13*$D611-'Business Case'!F14*$E611)-MAX(0,(('Business Case'!F11*$C611*'Business Case'!F12*$B611)-'Business Case'!F11*$C611*'Business Case'!F13*$D611-'Business Case'!F14*$E611))*'Business Case'!$B$7-'Business Case'!$B$8*(('Business Case'!F11*$C611*'Business Case'!F12*$B611)-('Business Case'!E11*$C611*'Business Case'!E12*$B611))-'Business Case'!F15*$F611</f>
        <v>632458697.573049</v>
      </c>
      <c r="M611" s="53" t="n">
        <f aca="false">(('Business Case'!G11*$C611*'Business Case'!G12*$B611)-'Business Case'!G11*$C611*'Business Case'!G13*$D611-'Business Case'!G14*$E611)-MAX(0,(('Business Case'!G11*$C611*'Business Case'!G12*$B611)-'Business Case'!G11*$C611*'Business Case'!G13*$D611-'Business Case'!G14*$E611))*'Business Case'!$B$7-'Business Case'!$B$8*(('Business Case'!G11*$C611*'Business Case'!G12*$B611)-('Business Case'!F11*$C611*'Business Case'!F12*$B611))-'Business Case'!G15*$F611+'Business Case'!$B$8*('Business Case'!G11*$C611*'Business Case'!G12*$B611)</f>
        <v>792336275.001466</v>
      </c>
      <c r="N611" s="53" t="n">
        <f aca="false">IF(COUNT('Business Case'!B11:G11)=0,"",H611+NPV(G611,I611:M611))</f>
        <v>-575466785.210711</v>
      </c>
      <c r="P611" s="54" t="n">
        <f aca="true">RAND()</f>
        <v>0.302139253478172</v>
      </c>
      <c r="Q611" s="54" t="n">
        <f aca="true">RAND()</f>
        <v>0.0579423530645598</v>
      </c>
      <c r="R611" s="54" t="n">
        <f aca="true">RAND()</f>
        <v>0.240789095161334</v>
      </c>
      <c r="S611" s="54" t="n">
        <f aca="true">RAND()</f>
        <v>0.269061589868998</v>
      </c>
      <c r="T611" s="54" t="n">
        <f aca="true">RAND()</f>
        <v>0.133408131007028</v>
      </c>
      <c r="U611" s="54" t="n">
        <f aca="true">RAND()</f>
        <v>0.88588005446293</v>
      </c>
    </row>
    <row r="612" customFormat="false" ht="15" hidden="false" customHeight="false" outlineLevel="0" collapsed="false">
      <c r="A612" s="50" t="n">
        <v>532</v>
      </c>
      <c r="B612" s="51" t="n">
        <f aca="false">1+IF($G$6=$E$6,$F$6,IF(P612&lt;($F$6-$E$6)/($G$6-$E$6),$E$6+SQRT(P612*($G$6-$E$6)*($F$6-$E$6)),$G$6-SQRT((1-P612)*($G$6-$E$6)*($G$6-$F$6))))</f>
        <v>0.984274137894066</v>
      </c>
      <c r="C612" s="51" t="n">
        <f aca="false">1+IF($G$7=$E$7,$F$7,IF(Q612&lt;($F$7-$E$7)/($G$7-$E$7),$E$7+SQRT(Q612*($G$7-$E$7)*($F$7-$E$7)),$G$7-SQRT((1-Q612)*($G$7-$E$7)*($G$7-$F$7))))</f>
        <v>0.991423939862555</v>
      </c>
      <c r="D612" s="51" t="n">
        <f aca="false">1+IF($G$8=$E$8,$F$8,IF(R612&lt;($F$8-$E$8)/($G$8-$E$8),$E$8+SQRT(R612*($G$8-$E$8)*($F$8-$E$8)),$G$8-SQRT((1-R612)*($G$8-$E$8)*($G$8-$F$8))))</f>
        <v>1.03120705672644</v>
      </c>
      <c r="E612" s="51" t="n">
        <f aca="false">1+IF($G$9=$E$9,$F$9,IF(S612&lt;($F$9-$E$9)/($G$9-$E$9),$E$9+SQRT(S612*($G$9-$E$9)*($F$9-$E$9)),$G$9-SQRT((1-S612)*($G$9-$E$9)*($G$9-$F$9))))</f>
        <v>1.02798392480324</v>
      </c>
      <c r="F612" s="51" t="n">
        <f aca="false">1+IF($G$10=$E$10,$F$10,IF(T612&lt;($F$10-$E$10)/($G$10-$E$10),$E$10+SQRT(T612*($G$10-$E$10)*($F$10-$E$10)),$G$10-SQRT((1-T612)*($G$10-$E$10)*($G$10-$F$10))))</f>
        <v>1.0101995113634</v>
      </c>
      <c r="G612" s="52" t="n">
        <f aca="false">IF($G$11=$E$11,$F$11,IF(U612&lt;($F$11-$E$11)/($G$11-$E$11),$E$11+SQRT(U612*($G$11-$E$11)*($F$11-$E$11)),$G$11-SQRT((1-U612)*($G$11-$E$11)*($G$11-$F$11))))</f>
        <v>0.110163994964391</v>
      </c>
      <c r="H612" s="53" t="n">
        <f aca="false">(('Business Case'!B11*$C612*'Business Case'!B12*$B612)-'Business Case'!B11*$C612*'Business Case'!B13*$D612-'Business Case'!B14*$E612)-MAX(0,(('Business Case'!B11*$C612*'Business Case'!B12*$B612)-'Business Case'!B11*$C612*'Business Case'!B13*$D612-'Business Case'!B14*$E612))*'Business Case'!$B$7-'Business Case'!$B$8*('Business Case'!B11*$C612*'Business Case'!B12*$B612)-'Business Case'!B15*$F612</f>
        <v>-2020399022.72679</v>
      </c>
      <c r="I612" s="53" t="n">
        <f aca="false">(('Business Case'!C11*$C612*'Business Case'!C12*$B612)-'Business Case'!C11*$C612*'Business Case'!C13*$D612-'Business Case'!C14*$E612)-MAX(0,(('Business Case'!C11*$C612*'Business Case'!C12*$B612)-'Business Case'!C11*$C612*'Business Case'!C13*$D612-'Business Case'!C14*$E612))*'Business Case'!$B$7-'Business Case'!$B$8*(('Business Case'!C11*$C612*'Business Case'!C12*$B612)-('Business Case'!B11*$C612*'Business Case'!B12*$B612))-'Business Case'!C15*$F612</f>
        <v>-21877256.9695646</v>
      </c>
      <c r="J612" s="53" t="n">
        <f aca="false">(('Business Case'!D11*$C612*'Business Case'!D12*$B612)-'Business Case'!D11*$C612*'Business Case'!D13*$D612-'Business Case'!D14*$E612)-MAX(0,(('Business Case'!D11*$C612*'Business Case'!D12*$B612)-'Business Case'!D11*$C612*'Business Case'!D13*$D612-'Business Case'!D14*$E612))*'Business Case'!$B$7-'Business Case'!$B$8*(('Business Case'!D11*$C612*'Business Case'!D12*$B612)-('Business Case'!C11*$C612*'Business Case'!C12*$B612))-'Business Case'!D15*$F612</f>
        <v>254031931.105419</v>
      </c>
      <c r="K612" s="53" t="n">
        <f aca="false">(('Business Case'!E11*$C612*'Business Case'!E12*$B612)-'Business Case'!E11*$C612*'Business Case'!E13*$D612-'Business Case'!E14*$E612)-MAX(0,(('Business Case'!E11*$C612*'Business Case'!E12*$B612)-'Business Case'!E11*$C612*'Business Case'!E13*$D612-'Business Case'!E14*$E612))*'Business Case'!$B$7-'Business Case'!$B$8*(('Business Case'!E11*$C612*'Business Case'!E12*$B612)-('Business Case'!D11*$C612*'Business Case'!D12*$B612))-'Business Case'!E15*$F612</f>
        <v>580451094.748573</v>
      </c>
      <c r="L612" s="53" t="n">
        <f aca="false">(('Business Case'!F11*$C612*'Business Case'!F12*$B612)-'Business Case'!F11*$C612*'Business Case'!F13*$D612-'Business Case'!F14*$E612)-MAX(0,(('Business Case'!F11*$C612*'Business Case'!F12*$B612)-'Business Case'!F11*$C612*'Business Case'!F13*$D612-'Business Case'!F14*$E612))*'Business Case'!$B$7-'Business Case'!$B$8*(('Business Case'!F11*$C612*'Business Case'!F12*$B612)-('Business Case'!E11*$C612*'Business Case'!E12*$B612))-'Business Case'!F15*$F612</f>
        <v>706145610.641026</v>
      </c>
      <c r="M612" s="53" t="n">
        <f aca="false">(('Business Case'!G11*$C612*'Business Case'!G12*$B612)-'Business Case'!G11*$C612*'Business Case'!G13*$D612-'Business Case'!G14*$E612)-MAX(0,(('Business Case'!G11*$C612*'Business Case'!G12*$B612)-'Business Case'!G11*$C612*'Business Case'!G13*$D612-'Business Case'!G14*$E612))*'Business Case'!$B$7-'Business Case'!$B$8*(('Business Case'!G11*$C612*'Business Case'!G12*$B612)-('Business Case'!F11*$C612*'Business Case'!F12*$B612))-'Business Case'!G15*$F612+'Business Case'!$B$8*('Business Case'!G11*$C612*'Business Case'!G12*$B612)</f>
        <v>891631936.578715</v>
      </c>
      <c r="N612" s="53" t="n">
        <f aca="false">IF(COUNT('Business Case'!B11:G11)=0,"",H612+NPV(G612,I612:M612))</f>
        <v>-416120833.261375</v>
      </c>
      <c r="P612" s="54" t="n">
        <f aca="true">RAND()</f>
        <v>0.430329666877646</v>
      </c>
      <c r="Q612" s="54" t="n">
        <f aca="true">RAND()</f>
        <v>0.523473210750042</v>
      </c>
      <c r="R612" s="54" t="n">
        <f aca="true">RAND()</f>
        <v>0.771081604490706</v>
      </c>
      <c r="S612" s="54" t="n">
        <f aca="true">RAND()</f>
        <v>0.654245660883652</v>
      </c>
      <c r="T612" s="54" t="n">
        <f aca="true">RAND()</f>
        <v>0.27951549026612</v>
      </c>
      <c r="U612" s="54" t="n">
        <f aca="true">RAND()</f>
        <v>0.838755008232447</v>
      </c>
    </row>
    <row r="613" customFormat="false" ht="15" hidden="false" customHeight="false" outlineLevel="0" collapsed="false">
      <c r="A613" s="50" t="n">
        <v>533</v>
      </c>
      <c r="B613" s="51" t="n">
        <f aca="false">1+IF($G$6=$E$6,$F$6,IF(P613&lt;($F$6-$E$6)/($G$6-$E$6),$E$6+SQRT(P613*($G$6-$E$6)*($F$6-$E$6)),$G$6-SQRT((1-P613)*($G$6-$E$6)*($G$6-$F$6))))</f>
        <v>0.95627785426046</v>
      </c>
      <c r="C613" s="51" t="n">
        <f aca="false">1+IF($G$7=$E$7,$F$7,IF(Q613&lt;($F$7-$E$7)/($G$7-$E$7),$E$7+SQRT(Q613*($G$7-$E$7)*($F$7-$E$7)),$G$7-SQRT((1-Q613)*($G$7-$E$7)*($G$7-$F$7))))</f>
        <v>0.9849697375434</v>
      </c>
      <c r="D613" s="51" t="n">
        <f aca="false">1+IF($G$8=$E$8,$F$8,IF(R613&lt;($F$8-$E$8)/($G$8-$E$8),$E$8+SQRT(R613*($G$8-$E$8)*($F$8-$E$8)),$G$8-SQRT((1-R613)*($G$8-$E$8)*($G$8-$F$8))))</f>
        <v>0.967582948533038</v>
      </c>
      <c r="E613" s="51" t="n">
        <f aca="false">1+IF($G$9=$E$9,$F$9,IF(S613&lt;($F$9-$E$9)/($G$9-$E$9),$E$9+SQRT(S613*($G$9-$E$9)*($F$9-$E$9)),$G$9-SQRT((1-S613)*($G$9-$E$9)*($G$9-$F$9))))</f>
        <v>1.01097845318473</v>
      </c>
      <c r="F613" s="51" t="n">
        <f aca="false">1+IF($G$10=$E$10,$F$10,IF(T613&lt;($F$10-$E$10)/($G$10-$E$10),$E$10+SQRT(T613*($G$10-$E$10)*($F$10-$E$10)),$G$10-SQRT((1-T613)*($G$10-$E$10)*($G$10-$F$10))))</f>
        <v>1.08238504368916</v>
      </c>
      <c r="G613" s="52" t="n">
        <f aca="false">IF($G$11=$E$11,$F$11,IF(U613&lt;($F$11-$E$11)/($G$11-$E$11),$E$11+SQRT(U613*($G$11-$E$11)*($F$11-$E$11)),$G$11-SQRT((1-U613)*($G$11-$E$11)*($G$11-$F$11))))</f>
        <v>0.104977909292631</v>
      </c>
      <c r="H613" s="53" t="n">
        <f aca="false">(('Business Case'!B11*$C613*'Business Case'!B12*$B613)-'Business Case'!B11*$C613*'Business Case'!B13*$D613-'Business Case'!B14*$E613)-MAX(0,(('Business Case'!B11*$C613*'Business Case'!B12*$B613)-'Business Case'!B11*$C613*'Business Case'!B13*$D613-'Business Case'!B14*$E613))*'Business Case'!$B$7-'Business Case'!$B$8*('Business Case'!B11*$C613*'Business Case'!B12*$B613)-'Business Case'!B15*$F613</f>
        <v>-2164770087.37833</v>
      </c>
      <c r="I613" s="53" t="n">
        <f aca="false">(('Business Case'!C11*$C613*'Business Case'!C12*$B613)-'Business Case'!C11*$C613*'Business Case'!C13*$D613-'Business Case'!C14*$E613)-MAX(0,(('Business Case'!C11*$C613*'Business Case'!C12*$B613)-'Business Case'!C11*$C613*'Business Case'!C13*$D613-'Business Case'!C14*$E613))*'Business Case'!$B$7-'Business Case'!$B$8*(('Business Case'!C11*$C613*'Business Case'!C12*$B613)-('Business Case'!B11*$C613*'Business Case'!B12*$B613))-'Business Case'!C15*$F613</f>
        <v>-17220374.7767468</v>
      </c>
      <c r="J613" s="53" t="n">
        <f aca="false">(('Business Case'!D11*$C613*'Business Case'!D12*$B613)-'Business Case'!D11*$C613*'Business Case'!D13*$D613-'Business Case'!D14*$E613)-MAX(0,(('Business Case'!D11*$C613*'Business Case'!D12*$B613)-'Business Case'!D11*$C613*'Business Case'!D13*$D613-'Business Case'!D14*$E613))*'Business Case'!$B$7-'Business Case'!$B$8*(('Business Case'!D11*$C613*'Business Case'!D12*$B613)-('Business Case'!C11*$C613*'Business Case'!C12*$B613))-'Business Case'!D15*$F613</f>
        <v>266387232.949484</v>
      </c>
      <c r="K613" s="53" t="n">
        <f aca="false">(('Business Case'!E11*$C613*'Business Case'!E12*$B613)-'Business Case'!E11*$C613*'Business Case'!E13*$D613-'Business Case'!E14*$E613)-MAX(0,(('Business Case'!E11*$C613*'Business Case'!E12*$B613)-'Business Case'!E11*$C613*'Business Case'!E13*$D613-'Business Case'!E14*$E613))*'Business Case'!$B$7-'Business Case'!$B$8*(('Business Case'!E11*$C613*'Business Case'!E12*$B613)-('Business Case'!D11*$C613*'Business Case'!D12*$B613))-'Business Case'!E15*$F613</f>
        <v>604114092.860174</v>
      </c>
      <c r="L613" s="53" t="n">
        <f aca="false">(('Business Case'!F11*$C613*'Business Case'!F12*$B613)-'Business Case'!F11*$C613*'Business Case'!F13*$D613-'Business Case'!F14*$E613)-MAX(0,(('Business Case'!F11*$C613*'Business Case'!F12*$B613)-'Business Case'!F11*$C613*'Business Case'!F13*$D613-'Business Case'!F14*$E613))*'Business Case'!$B$7-'Business Case'!$B$8*(('Business Case'!F11*$C613*'Business Case'!F12*$B613)-('Business Case'!E11*$C613*'Business Case'!E12*$B613))-'Business Case'!F15*$F613</f>
        <v>731202190.163046</v>
      </c>
      <c r="M613" s="53" t="n">
        <f aca="false">(('Business Case'!G11*$C613*'Business Case'!G12*$B613)-'Business Case'!G11*$C613*'Business Case'!G13*$D613-'Business Case'!G14*$E613)-MAX(0,(('Business Case'!G11*$C613*'Business Case'!G12*$B613)-'Business Case'!G11*$C613*'Business Case'!G13*$D613-'Business Case'!G14*$E613))*'Business Case'!$B$7-'Business Case'!$B$8*(('Business Case'!G11*$C613*'Business Case'!G12*$B613)-('Business Case'!F11*$C613*'Business Case'!F12*$B613))-'Business Case'!G15*$F613+'Business Case'!$B$8*('Business Case'!G11*$C613*'Business Case'!G12*$B613)</f>
        <v>910239444.49742</v>
      </c>
      <c r="N613" s="53" t="n">
        <f aca="false">IF(COUNT('Business Case'!B11:G11)=0,"",H613+NPV(G613,I613:M613))</f>
        <v>-471353043.008039</v>
      </c>
      <c r="P613" s="54" t="n">
        <f aca="true">RAND()</f>
        <v>0.137091948931578</v>
      </c>
      <c r="Q613" s="54" t="n">
        <f aca="true">RAND()</f>
        <v>0.48876862581249</v>
      </c>
      <c r="R613" s="54" t="n">
        <f aca="true">RAND()</f>
        <v>0.0475630890946872</v>
      </c>
      <c r="S613" s="54" t="n">
        <f aca="true">RAND()</f>
        <v>0.471677613507807</v>
      </c>
      <c r="T613" s="54" t="n">
        <f aca="true">RAND()</f>
        <v>0.723334441039995</v>
      </c>
      <c r="U613" s="54" t="n">
        <f aca="true">RAND()</f>
        <v>0.623894651299311</v>
      </c>
    </row>
    <row r="614" customFormat="false" ht="15" hidden="false" customHeight="false" outlineLevel="0" collapsed="false">
      <c r="A614" s="50" t="n">
        <v>534</v>
      </c>
      <c r="B614" s="51" t="n">
        <f aca="false">1+IF($G$6=$E$6,$F$6,IF(P614&lt;($F$6-$E$6)/($G$6-$E$6),$E$6+SQRT(P614*($G$6-$E$6)*($F$6-$E$6)),$G$6-SQRT((1-P614)*($G$6-$E$6)*($G$6-$F$6))))</f>
        <v>0.986124473414953</v>
      </c>
      <c r="C614" s="51" t="n">
        <f aca="false">1+IF($G$7=$E$7,$F$7,IF(Q614&lt;($F$7-$E$7)/($G$7-$E$7),$E$7+SQRT(Q614*($G$7-$E$7)*($F$7-$E$7)),$G$7-SQRT((1-Q614)*($G$7-$E$7)*($G$7-$F$7))))</f>
        <v>0.896230481437539</v>
      </c>
      <c r="D614" s="51" t="n">
        <f aca="false">1+IF($G$8=$E$8,$F$8,IF(R614&lt;($F$8-$E$8)/($G$8-$E$8),$E$8+SQRT(R614*($G$8-$E$8)*($F$8-$E$8)),$G$8-SQRT((1-R614)*($G$8-$E$8)*($G$8-$F$8))))</f>
        <v>1.03496054104406</v>
      </c>
      <c r="E614" s="51" t="n">
        <f aca="false">1+IF($G$9=$E$9,$F$9,IF(S614&lt;($F$9-$E$9)/($G$9-$E$9),$E$9+SQRT(S614*($G$9-$E$9)*($F$9-$E$9)),$G$9-SQRT((1-S614)*($G$9-$E$9)*($G$9-$F$9))))</f>
        <v>0.968537541650563</v>
      </c>
      <c r="F614" s="51" t="n">
        <f aca="false">1+IF($G$10=$E$10,$F$10,IF(T614&lt;($F$10-$E$10)/($G$10-$E$10),$E$10+SQRT(T614*($G$10-$E$10)*($F$10-$E$10)),$G$10-SQRT((1-T614)*($G$10-$E$10)*($G$10-$F$10))))</f>
        <v>1.01969548221926</v>
      </c>
      <c r="G614" s="52" t="n">
        <f aca="false">IF($G$11=$E$11,$F$11,IF(U614&lt;($F$11-$E$11)/($G$11-$E$11),$E$11+SQRT(U614*($G$11-$E$11)*($F$11-$E$11)),$G$11-SQRT((1-U614)*($G$11-$E$11)*($G$11-$F$11))))</f>
        <v>0.104005606830013</v>
      </c>
      <c r="H614" s="53" t="n">
        <f aca="false">(('Business Case'!B11*$C614*'Business Case'!B12*$B614)-'Business Case'!B11*$C614*'Business Case'!B13*$D614-'Business Case'!B14*$E614)-MAX(0,(('Business Case'!B11*$C614*'Business Case'!B12*$B614)-'Business Case'!B11*$C614*'Business Case'!B13*$D614-'Business Case'!B14*$E614))*'Business Case'!$B$7-'Business Case'!$B$8*('Business Case'!B11*$C614*'Business Case'!B12*$B614)-'Business Case'!B15*$F614</f>
        <v>-2039390964.43852</v>
      </c>
      <c r="I614" s="53" t="n">
        <f aca="false">(('Business Case'!C11*$C614*'Business Case'!C12*$B614)-'Business Case'!C11*$C614*'Business Case'!C13*$D614-'Business Case'!C14*$E614)-MAX(0,(('Business Case'!C11*$C614*'Business Case'!C12*$B614)-'Business Case'!C11*$C614*'Business Case'!C13*$D614-'Business Case'!C14*$E614))*'Business Case'!$B$7-'Business Case'!$B$8*(('Business Case'!C11*$C614*'Business Case'!C12*$B614)-('Business Case'!B11*$C614*'Business Case'!B12*$B614))-'Business Case'!C15*$F614</f>
        <v>-36458070.91451</v>
      </c>
      <c r="J614" s="53" t="n">
        <f aca="false">(('Business Case'!D11*$C614*'Business Case'!D12*$B614)-'Business Case'!D11*$C614*'Business Case'!D13*$D614-'Business Case'!D14*$E614)-MAX(0,(('Business Case'!D11*$C614*'Business Case'!D12*$B614)-'Business Case'!D11*$C614*'Business Case'!D13*$D614-'Business Case'!D14*$E614))*'Business Case'!$B$7-'Business Case'!$B$8*(('Business Case'!D11*$C614*'Business Case'!D12*$B614)-('Business Case'!C11*$C614*'Business Case'!C12*$B614))-'Business Case'!D15*$F614</f>
        <v>212595367.847199</v>
      </c>
      <c r="K614" s="53" t="n">
        <f aca="false">(('Business Case'!E11*$C614*'Business Case'!E12*$B614)-'Business Case'!E11*$C614*'Business Case'!E13*$D614-'Business Case'!E14*$E614)-MAX(0,(('Business Case'!E11*$C614*'Business Case'!E12*$B614)-'Business Case'!E11*$C614*'Business Case'!E13*$D614-'Business Case'!E14*$E614))*'Business Case'!$B$7-'Business Case'!$B$8*(('Business Case'!E11*$C614*'Business Case'!E12*$B614)-('Business Case'!D11*$C614*'Business Case'!D12*$B614))-'Business Case'!E15*$F614</f>
        <v>512633580.719871</v>
      </c>
      <c r="L614" s="53" t="n">
        <f aca="false">(('Business Case'!F11*$C614*'Business Case'!F12*$B614)-'Business Case'!F11*$C614*'Business Case'!F13*$D614-'Business Case'!F14*$E614)-MAX(0,(('Business Case'!F11*$C614*'Business Case'!F12*$B614)-'Business Case'!F11*$C614*'Business Case'!F13*$D614-'Business Case'!F14*$E614))*'Business Case'!$B$7-'Business Case'!$B$8*(('Business Case'!F11*$C614*'Business Case'!F12*$B614)-('Business Case'!E11*$C614*'Business Case'!E12*$B614))-'Business Case'!F15*$F614</f>
        <v>626195342.328162</v>
      </c>
      <c r="M614" s="53" t="n">
        <f aca="false">(('Business Case'!G11*$C614*'Business Case'!G12*$B614)-'Business Case'!G11*$C614*'Business Case'!G13*$D614-'Business Case'!G14*$E614)-MAX(0,(('Business Case'!G11*$C614*'Business Case'!G12*$B614)-'Business Case'!G11*$C614*'Business Case'!G13*$D614-'Business Case'!G14*$E614))*'Business Case'!$B$7-'Business Case'!$B$8*(('Business Case'!G11*$C614*'Business Case'!G12*$B614)-('Business Case'!F11*$C614*'Business Case'!F12*$B614))-'Business Case'!G15*$F614+'Business Case'!$B$8*('Business Case'!G11*$C614*'Business Case'!G12*$B614)</f>
        <v>794187060.110631</v>
      </c>
      <c r="N614" s="53" t="n">
        <f aca="false">IF(COUNT('Business Case'!B11:G11)=0,"",H614+NPV(G614,I614:M614))</f>
        <v>-611243515.377048</v>
      </c>
      <c r="P614" s="54" t="n">
        <f aca="true">RAND()</f>
        <v>0.455463123375498</v>
      </c>
      <c r="Q614" s="54" t="n">
        <f aca="true">RAND()</f>
        <v>0.132290079395721</v>
      </c>
      <c r="R614" s="54" t="n">
        <f aca="true">RAND()</f>
        <v>0.804946840091976</v>
      </c>
      <c r="S614" s="54" t="n">
        <f aca="true">RAND()</f>
        <v>0.045818726726181</v>
      </c>
      <c r="T614" s="54" t="n">
        <f aca="true">RAND()</f>
        <v>0.349805617357098</v>
      </c>
      <c r="U614" s="54" t="n">
        <f aca="true">RAND()</f>
        <v>0.573632311873115</v>
      </c>
    </row>
    <row r="615" customFormat="false" ht="15" hidden="false" customHeight="false" outlineLevel="0" collapsed="false">
      <c r="A615" s="50" t="n">
        <v>535</v>
      </c>
      <c r="B615" s="51" t="n">
        <f aca="false">1+IF($G$6=$E$6,$F$6,IF(P615&lt;($F$6-$E$6)/($G$6-$E$6),$E$6+SQRT(P615*($G$6-$E$6)*($F$6-$E$6)),$G$6-SQRT((1-P615)*($G$6-$E$6)*($G$6-$F$6))))</f>
        <v>1.00549155785652</v>
      </c>
      <c r="C615" s="51" t="n">
        <f aca="false">1+IF($G$7=$E$7,$F$7,IF(Q615&lt;($F$7-$E$7)/($G$7-$E$7),$E$7+SQRT(Q615*($G$7-$E$7)*($F$7-$E$7)),$G$7-SQRT((1-Q615)*($G$7-$E$7)*($G$7-$F$7))))</f>
        <v>1.03482138515997</v>
      </c>
      <c r="D615" s="51" t="n">
        <f aca="false">1+IF($G$8=$E$8,$F$8,IF(R615&lt;($F$8-$E$8)/($G$8-$E$8),$E$8+SQRT(R615*($G$8-$E$8)*($F$8-$E$8)),$G$8-SQRT((1-R615)*($G$8-$E$8)*($G$8-$F$8))))</f>
        <v>0.999695207565524</v>
      </c>
      <c r="E615" s="51" t="n">
        <f aca="false">1+IF($G$9=$E$9,$F$9,IF(S615&lt;($F$9-$E$9)/($G$9-$E$9),$E$9+SQRT(S615*($G$9-$E$9)*($F$9-$E$9)),$G$9-SQRT((1-S615)*($G$9-$E$9)*($G$9-$F$9))))</f>
        <v>1.02404975801479</v>
      </c>
      <c r="F615" s="51" t="n">
        <f aca="false">1+IF($G$10=$E$10,$F$10,IF(T615&lt;($F$10-$E$10)/($G$10-$E$10),$E$10+SQRT(T615*($G$10-$E$10)*($F$10-$E$10)),$G$10-SQRT((1-T615)*($G$10-$E$10)*($G$10-$F$10))))</f>
        <v>1.04460684413882</v>
      </c>
      <c r="G615" s="52" t="n">
        <f aca="false">IF($G$11=$E$11,$F$11,IF(U615&lt;($F$11-$E$11)/($G$11-$E$11),$E$11+SQRT(U615*($G$11-$E$11)*($F$11-$E$11)),$G$11-SQRT((1-U615)*($G$11-$E$11)*($G$11-$F$11))))</f>
        <v>0.10253174971114</v>
      </c>
      <c r="H615" s="53" t="n">
        <f aca="false">(('Business Case'!B11*$C615*'Business Case'!B12*$B615)-'Business Case'!B11*$C615*'Business Case'!B13*$D615-'Business Case'!B14*$E615)-MAX(0,(('Business Case'!B11*$C615*'Business Case'!B12*$B615)-'Business Case'!B11*$C615*'Business Case'!B13*$D615-'Business Case'!B14*$E615))*'Business Case'!$B$7-'Business Case'!$B$8*('Business Case'!B11*$C615*'Business Case'!B12*$B615)-'Business Case'!B15*$F615</f>
        <v>-2089213688.27764</v>
      </c>
      <c r="I615" s="53" t="n">
        <f aca="false">(('Business Case'!C11*$C615*'Business Case'!C12*$B615)-'Business Case'!C11*$C615*'Business Case'!C13*$D615-'Business Case'!C14*$E615)-MAX(0,(('Business Case'!C11*$C615*'Business Case'!C12*$B615)-'Business Case'!C11*$C615*'Business Case'!C13*$D615-'Business Case'!C14*$E615))*'Business Case'!$B$7-'Business Case'!$B$8*(('Business Case'!C11*$C615*'Business Case'!C12*$B615)-('Business Case'!B11*$C615*'Business Case'!B12*$B615))-'Business Case'!C15*$F615</f>
        <v>18643231.8070563</v>
      </c>
      <c r="J615" s="53" t="n">
        <f aca="false">(('Business Case'!D11*$C615*'Business Case'!D12*$B615)-'Business Case'!D11*$C615*'Business Case'!D13*$D615-'Business Case'!D14*$E615)-MAX(0,(('Business Case'!D11*$C615*'Business Case'!D12*$B615)-'Business Case'!D11*$C615*'Business Case'!D13*$D615-'Business Case'!D14*$E615))*'Business Case'!$B$7-'Business Case'!$B$8*(('Business Case'!D11*$C615*'Business Case'!D12*$B615)-('Business Case'!C11*$C615*'Business Case'!C12*$B615))-'Business Case'!D15*$F615</f>
        <v>341306759.617754</v>
      </c>
      <c r="K615" s="53" t="n">
        <f aca="false">(('Business Case'!E11*$C615*'Business Case'!E12*$B615)-'Business Case'!E11*$C615*'Business Case'!E13*$D615-'Business Case'!E14*$E615)-MAX(0,(('Business Case'!E11*$C615*'Business Case'!E12*$B615)-'Business Case'!E11*$C615*'Business Case'!E13*$D615-'Business Case'!E14*$E615))*'Business Case'!$B$7-'Business Case'!$B$8*(('Business Case'!E11*$C615*'Business Case'!E12*$B615)-('Business Case'!D11*$C615*'Business Case'!D12*$B615))-'Business Case'!E15*$F615</f>
        <v>716200629.635392</v>
      </c>
      <c r="L615" s="53" t="n">
        <f aca="false">(('Business Case'!F11*$C615*'Business Case'!F12*$B615)-'Business Case'!F11*$C615*'Business Case'!F13*$D615-'Business Case'!F14*$E615)-MAX(0,(('Business Case'!F11*$C615*'Business Case'!F12*$B615)-'Business Case'!F11*$C615*'Business Case'!F13*$D615-'Business Case'!F14*$E615))*'Business Case'!$B$7-'Business Case'!$B$8*(('Business Case'!F11*$C615*'Business Case'!F12*$B615)-('Business Case'!E11*$C615*'Business Case'!E12*$B615))-'Business Case'!F15*$F615</f>
        <v>859714962.905662</v>
      </c>
      <c r="M615" s="53" t="n">
        <f aca="false">(('Business Case'!G11*$C615*'Business Case'!G12*$B615)-'Business Case'!G11*$C615*'Business Case'!G13*$D615-'Business Case'!G14*$E615)-MAX(0,(('Business Case'!G11*$C615*'Business Case'!G12*$B615)-'Business Case'!G11*$C615*'Business Case'!G13*$D615-'Business Case'!G14*$E615))*'Business Case'!$B$7-'Business Case'!$B$8*(('Business Case'!G11*$C615*'Business Case'!G12*$B615)-('Business Case'!F11*$C615*'Business Case'!F12*$B615))-'Business Case'!G15*$F615+'Business Case'!$B$8*('Business Case'!G11*$C615*'Business Case'!G12*$B615)</f>
        <v>1057493994.90587</v>
      </c>
      <c r="N615" s="53" t="n">
        <f aca="false">IF(COUNT('Business Case'!B11:G11)=0,"",H615+NPV(G615,I615:M615))</f>
        <v>-26194692.4645989</v>
      </c>
      <c r="P615" s="54" t="n">
        <f aca="true">RAND()</f>
        <v>0.751909879339643</v>
      </c>
      <c r="Q615" s="54" t="n">
        <f aca="true">RAND()</f>
        <v>0.747312127305366</v>
      </c>
      <c r="R615" s="54" t="n">
        <f aca="true">RAND()</f>
        <v>0.379940562304693</v>
      </c>
      <c r="S615" s="54" t="n">
        <f aca="true">RAND()</f>
        <v>0.615437382825885</v>
      </c>
      <c r="T615" s="54" t="n">
        <f aca="true">RAND()</f>
        <v>0.517059342230057</v>
      </c>
      <c r="U615" s="54" t="n">
        <f aca="true">RAND()</f>
        <v>0.491433719742915</v>
      </c>
    </row>
    <row r="616" customFormat="false" ht="15" hidden="false" customHeight="false" outlineLevel="0" collapsed="false">
      <c r="A616" s="50" t="n">
        <v>536</v>
      </c>
      <c r="B616" s="51" t="n">
        <f aca="false">1+IF($G$6=$E$6,$F$6,IF(P616&lt;($F$6-$E$6)/($G$6-$E$6),$E$6+SQRT(P616*($G$6-$E$6)*($F$6-$E$6)),$G$6-SQRT((1-P616)*($G$6-$E$6)*($G$6-$F$6))))</f>
        <v>1.00656452596988</v>
      </c>
      <c r="C616" s="51" t="n">
        <f aca="false">1+IF($G$7=$E$7,$F$7,IF(Q616&lt;($F$7-$E$7)/($G$7-$E$7),$E$7+SQRT(Q616*($G$7-$E$7)*($F$7-$E$7)),$G$7-SQRT((1-Q616)*($G$7-$E$7)*($G$7-$F$7))))</f>
        <v>0.997130694178884</v>
      </c>
      <c r="D616" s="51" t="n">
        <f aca="false">1+IF($G$8=$E$8,$F$8,IF(R616&lt;($F$8-$E$8)/($G$8-$E$8),$E$8+SQRT(R616*($G$8-$E$8)*($F$8-$E$8)),$G$8-SQRT((1-R616)*($G$8-$E$8)*($G$8-$F$8))))</f>
        <v>0.959841217443572</v>
      </c>
      <c r="E616" s="51" t="n">
        <f aca="false">1+IF($G$9=$E$9,$F$9,IF(S616&lt;($F$9-$E$9)/($G$9-$E$9),$E$9+SQRT(S616*($G$9-$E$9)*($F$9-$E$9)),$G$9-SQRT((1-S616)*($G$9-$E$9)*($G$9-$F$9))))</f>
        <v>1.03799656928843</v>
      </c>
      <c r="F616" s="51" t="n">
        <f aca="false">1+IF($G$10=$E$10,$F$10,IF(T616&lt;($F$10-$E$10)/($G$10-$E$10),$E$10+SQRT(T616*($G$10-$E$10)*($F$10-$E$10)),$G$10-SQRT((1-T616)*($G$10-$E$10)*($G$10-$F$10))))</f>
        <v>0.978254915073371</v>
      </c>
      <c r="G616" s="52" t="n">
        <f aca="false">IF($G$11=$E$11,$F$11,IF(U616&lt;($F$11-$E$11)/($G$11-$E$11),$E$11+SQRT(U616*($G$11-$E$11)*($F$11-$E$11)),$G$11-SQRT((1-U616)*($G$11-$E$11)*($G$11-$F$11))))</f>
        <v>0.102728974521507</v>
      </c>
      <c r="H616" s="53" t="n">
        <f aca="false">(('Business Case'!B11*$C616*'Business Case'!B12*$B616)-'Business Case'!B11*$C616*'Business Case'!B13*$D616-'Business Case'!B14*$E616)-MAX(0,(('Business Case'!B11*$C616*'Business Case'!B12*$B616)-'Business Case'!B11*$C616*'Business Case'!B13*$D616-'Business Case'!B14*$E616))*'Business Case'!$B$7-'Business Case'!$B$8*('Business Case'!B11*$C616*'Business Case'!B12*$B616)-'Business Case'!B15*$F616</f>
        <v>-1956509830.14674</v>
      </c>
      <c r="I616" s="53" t="n">
        <f aca="false">(('Business Case'!C11*$C616*'Business Case'!C12*$B616)-'Business Case'!C11*$C616*'Business Case'!C13*$D616-'Business Case'!C14*$E616)-MAX(0,(('Business Case'!C11*$C616*'Business Case'!C12*$B616)-'Business Case'!C11*$C616*'Business Case'!C13*$D616-'Business Case'!C14*$E616))*'Business Case'!$B$7-'Business Case'!$B$8*(('Business Case'!C11*$C616*'Business Case'!C12*$B616)-('Business Case'!B11*$C616*'Business Case'!B12*$B616))-'Business Case'!C15*$F616</f>
        <v>34671987.7572087</v>
      </c>
      <c r="J616" s="53" t="n">
        <f aca="false">(('Business Case'!D11*$C616*'Business Case'!D12*$B616)-'Business Case'!D11*$C616*'Business Case'!D13*$D616-'Business Case'!D14*$E616)-MAX(0,(('Business Case'!D11*$C616*'Business Case'!D12*$B616)-'Business Case'!D11*$C616*'Business Case'!D13*$D616-'Business Case'!D14*$E616))*'Business Case'!$B$7-'Business Case'!$B$8*(('Business Case'!D11*$C616*'Business Case'!D12*$B616)-('Business Case'!C11*$C616*'Business Case'!C12*$B616))-'Business Case'!D15*$F616</f>
        <v>366803162.947889</v>
      </c>
      <c r="K616" s="53" t="n">
        <f aca="false">(('Business Case'!E11*$C616*'Business Case'!E12*$B616)-'Business Case'!E11*$C616*'Business Case'!E13*$D616-'Business Case'!E14*$E616)-MAX(0,(('Business Case'!E11*$C616*'Business Case'!E12*$B616)-'Business Case'!E11*$C616*'Business Case'!E13*$D616-'Business Case'!E14*$E616))*'Business Case'!$B$7-'Business Case'!$B$8*(('Business Case'!E11*$C616*'Business Case'!E12*$B616)-('Business Case'!D11*$C616*'Business Case'!D12*$B616))-'Business Case'!E15*$F616</f>
        <v>747847083.892237</v>
      </c>
      <c r="L616" s="53" t="n">
        <f aca="false">(('Business Case'!F11*$C616*'Business Case'!F12*$B616)-'Business Case'!F11*$C616*'Business Case'!F13*$D616-'Business Case'!F14*$E616)-MAX(0,(('Business Case'!F11*$C616*'Business Case'!F12*$B616)-'Business Case'!F11*$C616*'Business Case'!F13*$D616-'Business Case'!F14*$E616))*'Business Case'!$B$7-'Business Case'!$B$8*(('Business Case'!F11*$C616*'Business Case'!F12*$B616)-('Business Case'!E11*$C616*'Business Case'!E12*$B616))-'Business Case'!F15*$F616</f>
        <v>893244531.471343</v>
      </c>
      <c r="M616" s="53" t="n">
        <f aca="false">(('Business Case'!G11*$C616*'Business Case'!G12*$B616)-'Business Case'!G11*$C616*'Business Case'!G13*$D616-'Business Case'!G14*$E616)-MAX(0,(('Business Case'!G11*$C616*'Business Case'!G12*$B616)-'Business Case'!G11*$C616*'Business Case'!G13*$D616-'Business Case'!G14*$E616))*'Business Case'!$B$7-'Business Case'!$B$8*(('Business Case'!G11*$C616*'Business Case'!G12*$B616)-('Business Case'!F11*$C616*'Business Case'!F12*$B616))-'Business Case'!G15*$F616+'Business Case'!$B$8*('Business Case'!G11*$C616*'Business Case'!G12*$B616)</f>
        <v>1084023338.64018</v>
      </c>
      <c r="N616" s="53" t="n">
        <f aca="false">IF(COUNT('Business Case'!B11:G11)=0,"",H616+NPV(G616,I616:M616))</f>
        <v>203170883.407661</v>
      </c>
      <c r="P616" s="54" t="n">
        <f aca="true">RAND()</f>
        <v>0.767097724246112</v>
      </c>
      <c r="Q616" s="54" t="n">
        <f aca="true">RAND()</f>
        <v>0.555150151249264</v>
      </c>
      <c r="R616" s="54" t="n">
        <f aca="true">RAND()</f>
        <v>0.014899932426411</v>
      </c>
      <c r="S616" s="54" t="n">
        <f aca="true">RAND()</f>
        <v>0.743704971999715</v>
      </c>
      <c r="T616" s="54" t="n">
        <f aca="true">RAND()</f>
        <v>0.0638672180642717</v>
      </c>
      <c r="U616" s="54" t="n">
        <f aca="true">RAND()</f>
        <v>0.502852798202104</v>
      </c>
    </row>
    <row r="617" customFormat="false" ht="15" hidden="false" customHeight="false" outlineLevel="0" collapsed="false">
      <c r="A617" s="50" t="n">
        <v>537</v>
      </c>
      <c r="B617" s="51" t="n">
        <f aca="false">1+IF($G$6=$E$6,$F$6,IF(P617&lt;($F$6-$E$6)/($G$6-$E$6),$E$6+SQRT(P617*($G$6-$E$6)*($F$6-$E$6)),$G$6-SQRT((1-P617)*($G$6-$E$6)*($G$6-$F$6))))</f>
        <v>0.929929962091628</v>
      </c>
      <c r="C617" s="51" t="n">
        <f aca="false">1+IF($G$7=$E$7,$F$7,IF(Q617&lt;($F$7-$E$7)/($G$7-$E$7),$E$7+SQRT(Q617*($G$7-$E$7)*($F$7-$E$7)),$G$7-SQRT((1-Q617)*($G$7-$E$7)*($G$7-$F$7))))</f>
        <v>0.99601354632061</v>
      </c>
      <c r="D617" s="51" t="n">
        <f aca="false">1+IF($G$8=$E$8,$F$8,IF(R617&lt;($F$8-$E$8)/($G$8-$E$8),$E$8+SQRT(R617*($G$8-$E$8)*($F$8-$E$8)),$G$8-SQRT((1-R617)*($G$8-$E$8)*($G$8-$F$8))))</f>
        <v>1.0374001730442</v>
      </c>
      <c r="E617" s="51" t="n">
        <f aca="false">1+IF($G$9=$E$9,$F$9,IF(S617&lt;($F$9-$E$9)/($G$9-$E$9),$E$9+SQRT(S617*($G$9-$E$9)*($F$9-$E$9)),$G$9-SQRT((1-S617)*($G$9-$E$9)*($G$9-$F$9))))</f>
        <v>0.999605954435185</v>
      </c>
      <c r="F617" s="51" t="n">
        <f aca="false">1+IF($G$10=$E$10,$F$10,IF(T617&lt;($F$10-$E$10)/($G$10-$E$10),$E$10+SQRT(T617*($G$10-$E$10)*($F$10-$E$10)),$G$10-SQRT((1-T617)*($G$10-$E$10)*($G$10-$F$10))))</f>
        <v>1.00102608672602</v>
      </c>
      <c r="G617" s="52" t="n">
        <f aca="false">IF($G$11=$E$11,$F$11,IF(U617&lt;($F$11-$E$11)/($G$11-$E$11),$E$11+SQRT(U617*($G$11-$E$11)*($F$11-$E$11)),$G$11-SQRT((1-U617)*($G$11-$E$11)*($G$11-$F$11))))</f>
        <v>0.109343288093571</v>
      </c>
      <c r="H617" s="53" t="n">
        <f aca="false">(('Business Case'!B11*$C617*'Business Case'!B12*$B617)-'Business Case'!B11*$C617*'Business Case'!B13*$D617-'Business Case'!B14*$E617)-MAX(0,(('Business Case'!B11*$C617*'Business Case'!B12*$B617)-'Business Case'!B11*$C617*'Business Case'!B13*$D617-'Business Case'!B14*$E617))*'Business Case'!$B$7-'Business Case'!$B$8*('Business Case'!B11*$C617*'Business Case'!B12*$B617)-'Business Case'!B15*$F617</f>
        <v>-2002052173.45205</v>
      </c>
      <c r="I617" s="53" t="n">
        <f aca="false">(('Business Case'!C11*$C617*'Business Case'!C12*$B617)-'Business Case'!C11*$C617*'Business Case'!C13*$D617-'Business Case'!C14*$E617)-MAX(0,(('Business Case'!C11*$C617*'Business Case'!C12*$B617)-'Business Case'!C11*$C617*'Business Case'!C13*$D617-'Business Case'!C14*$E617))*'Business Case'!$B$7-'Business Case'!$B$8*(('Business Case'!C11*$C617*'Business Case'!C12*$B617)-('Business Case'!B11*$C617*'Business Case'!B12*$B617))-'Business Case'!C15*$F617</f>
        <v>-60567600.8830605</v>
      </c>
      <c r="J617" s="53" t="n">
        <f aca="false">(('Business Case'!D11*$C617*'Business Case'!D12*$B617)-'Business Case'!D11*$C617*'Business Case'!D13*$D617-'Business Case'!D14*$E617)-MAX(0,(('Business Case'!D11*$C617*'Business Case'!D12*$B617)-'Business Case'!D11*$C617*'Business Case'!D13*$D617-'Business Case'!D14*$E617))*'Business Case'!$B$7-'Business Case'!$B$8*(('Business Case'!D11*$C617*'Business Case'!D12*$B617)-('Business Case'!C11*$C617*'Business Case'!C12*$B617))-'Business Case'!D15*$F617</f>
        <v>169126765.620244</v>
      </c>
      <c r="K617" s="53" t="n">
        <f aca="false">(('Business Case'!E11*$C617*'Business Case'!E12*$B617)-'Business Case'!E11*$C617*'Business Case'!E13*$D617-'Business Case'!E14*$E617)-MAX(0,(('Business Case'!E11*$C617*'Business Case'!E12*$B617)-'Business Case'!E11*$C617*'Business Case'!E13*$D617-'Business Case'!E14*$E617))*'Business Case'!$B$7-'Business Case'!$B$8*(('Business Case'!E11*$C617*'Business Case'!E12*$B617)-('Business Case'!D11*$C617*'Business Case'!D12*$B617))-'Business Case'!E15*$F617</f>
        <v>448872436.45985</v>
      </c>
      <c r="L617" s="53" t="n">
        <f aca="false">(('Business Case'!F11*$C617*'Business Case'!F12*$B617)-'Business Case'!F11*$C617*'Business Case'!F13*$D617-'Business Case'!F14*$E617)-MAX(0,(('Business Case'!F11*$C617*'Business Case'!F12*$B617)-'Business Case'!F11*$C617*'Business Case'!F13*$D617-'Business Case'!F14*$E617))*'Business Case'!$B$7-'Business Case'!$B$8*(('Business Case'!F11*$C617*'Business Case'!F12*$B617)-('Business Case'!E11*$C617*'Business Case'!E12*$B617))-'Business Case'!F15*$F617</f>
        <v>557447486.623004</v>
      </c>
      <c r="M617" s="53" t="n">
        <f aca="false">(('Business Case'!G11*$C617*'Business Case'!G12*$B617)-'Business Case'!G11*$C617*'Business Case'!G13*$D617-'Business Case'!G14*$E617)-MAX(0,(('Business Case'!G11*$C617*'Business Case'!G12*$B617)-'Business Case'!G11*$C617*'Business Case'!G13*$D617-'Business Case'!G14*$E617))*'Business Case'!$B$7-'Business Case'!$B$8*(('Business Case'!G11*$C617*'Business Case'!G12*$B617)-('Business Case'!F11*$C617*'Business Case'!F12*$B617))-'Business Case'!G15*$F617+'Business Case'!$B$8*('Business Case'!G11*$C617*'Business Case'!G12*$B617)</f>
        <v>733503923.930962</v>
      </c>
      <c r="N617" s="53" t="n">
        <f aca="false">IF(COUNT('Business Case'!B11:G11)=0,"",H617+NPV(G617,I617:M617))</f>
        <v>-785758276.068226</v>
      </c>
      <c r="P617" s="54" t="n">
        <f aca="true">RAND()</f>
        <v>0.0102712653272058</v>
      </c>
      <c r="Q617" s="54" t="n">
        <f aca="true">RAND()</f>
        <v>0.548875862016883</v>
      </c>
      <c r="R617" s="54" t="n">
        <f aca="true">RAND()</f>
        <v>0.825505263782327</v>
      </c>
      <c r="S617" s="54" t="n">
        <f aca="true">RAND()</f>
        <v>0.328100095390081</v>
      </c>
      <c r="T617" s="54" t="n">
        <f aca="true">RAND()</f>
        <v>0.2081876367288</v>
      </c>
      <c r="U617" s="54" t="n">
        <f aca="true">RAND()</f>
        <v>0.810724152238966</v>
      </c>
    </row>
    <row r="618" customFormat="false" ht="15" hidden="false" customHeight="false" outlineLevel="0" collapsed="false">
      <c r="A618" s="50" t="n">
        <v>538</v>
      </c>
      <c r="B618" s="51" t="n">
        <f aca="false">1+IF($G$6=$E$6,$F$6,IF(P618&lt;($F$6-$E$6)/($G$6-$E$6),$E$6+SQRT(P618*($G$6-$E$6)*($F$6-$E$6)),$G$6-SQRT((1-P618)*($G$6-$E$6)*($G$6-$F$6))))</f>
        <v>0.959637336144454</v>
      </c>
      <c r="C618" s="51" t="n">
        <f aca="false">1+IF($G$7=$E$7,$F$7,IF(Q618&lt;($F$7-$E$7)/($G$7-$E$7),$E$7+SQRT(Q618*($G$7-$E$7)*($F$7-$E$7)),$G$7-SQRT((1-Q618)*($G$7-$E$7)*($G$7-$F$7))))</f>
        <v>1.01253701052509</v>
      </c>
      <c r="D618" s="51" t="n">
        <f aca="false">1+IF($G$8=$E$8,$F$8,IF(R618&lt;($F$8-$E$8)/($G$8-$E$8),$E$8+SQRT(R618*($G$8-$E$8)*($F$8-$E$8)),$G$8-SQRT((1-R618)*($G$8-$E$8)*($G$8-$F$8))))</f>
        <v>1.02428866740023</v>
      </c>
      <c r="E618" s="51" t="n">
        <f aca="false">1+IF($G$9=$E$9,$F$9,IF(S618&lt;($F$9-$E$9)/($G$9-$E$9),$E$9+SQRT(S618*($G$9-$E$9)*($F$9-$E$9)),$G$9-SQRT((1-S618)*($G$9-$E$9)*($G$9-$F$9))))</f>
        <v>1.00718500667227</v>
      </c>
      <c r="F618" s="51" t="n">
        <f aca="false">1+IF($G$10=$E$10,$F$10,IF(T618&lt;($F$10-$E$10)/($G$10-$E$10),$E$10+SQRT(T618*($G$10-$E$10)*($F$10-$E$10)),$G$10-SQRT((1-T618)*($G$10-$E$10)*($G$10-$F$10))))</f>
        <v>1.03958943038847</v>
      </c>
      <c r="G618" s="52" t="n">
        <f aca="false">IF($G$11=$E$11,$F$11,IF(U618&lt;($F$11-$E$11)/($G$11-$E$11),$E$11+SQRT(U618*($G$11-$E$11)*($F$11-$E$11)),$G$11-SQRT((1-U618)*($G$11-$E$11)*($G$11-$F$11))))</f>
        <v>0.11237526945363</v>
      </c>
      <c r="H618" s="53" t="n">
        <f aca="false">(('Business Case'!B11*$C618*'Business Case'!B12*$B618)-'Business Case'!B11*$C618*'Business Case'!B13*$D618-'Business Case'!B14*$E618)-MAX(0,(('Business Case'!B11*$C618*'Business Case'!B12*$B618)-'Business Case'!B11*$C618*'Business Case'!B13*$D618-'Business Case'!B14*$E618))*'Business Case'!$B$7-'Business Case'!$B$8*('Business Case'!B11*$C618*'Business Case'!B12*$B618)-'Business Case'!B15*$F618</f>
        <v>-2079178860.77694</v>
      </c>
      <c r="I618" s="53" t="n">
        <f aca="false">(('Business Case'!C11*$C618*'Business Case'!C12*$B618)-'Business Case'!C11*$C618*'Business Case'!C13*$D618-'Business Case'!C14*$E618)-MAX(0,(('Business Case'!C11*$C618*'Business Case'!C12*$B618)-'Business Case'!C11*$C618*'Business Case'!C13*$D618-'Business Case'!C14*$E618))*'Business Case'!$B$7-'Business Case'!$B$8*(('Business Case'!C11*$C618*'Business Case'!C12*$B618)-('Business Case'!B11*$C618*'Business Case'!B12*$B618))-'Business Case'!C15*$F618</f>
        <v>-32613307.2692786</v>
      </c>
      <c r="J618" s="53" t="n">
        <f aca="false">(('Business Case'!D11*$C618*'Business Case'!D12*$B618)-'Business Case'!D11*$C618*'Business Case'!D13*$D618-'Business Case'!D14*$E618)-MAX(0,(('Business Case'!D11*$C618*'Business Case'!D12*$B618)-'Business Case'!D11*$C618*'Business Case'!D13*$D618-'Business Case'!D14*$E618))*'Business Case'!$B$7-'Business Case'!$B$8*(('Business Case'!D11*$C618*'Business Case'!D12*$B618)-('Business Case'!C11*$C618*'Business Case'!C12*$B618))-'Business Case'!D15*$F618</f>
        <v>232325322.133416</v>
      </c>
      <c r="K618" s="53" t="n">
        <f aca="false">(('Business Case'!E11*$C618*'Business Case'!E12*$B618)-'Business Case'!E11*$C618*'Business Case'!E13*$D618-'Business Case'!E14*$E618)-MAX(0,(('Business Case'!E11*$C618*'Business Case'!E12*$B618)-'Business Case'!E11*$C618*'Business Case'!E13*$D618-'Business Case'!E14*$E618))*'Business Case'!$B$7-'Business Case'!$B$8*(('Business Case'!E11*$C618*'Business Case'!E12*$B618)-('Business Case'!D11*$C618*'Business Case'!D12*$B618))-'Business Case'!E15*$F618</f>
        <v>549243423.055534</v>
      </c>
      <c r="L618" s="53" t="n">
        <f aca="false">(('Business Case'!F11*$C618*'Business Case'!F12*$B618)-'Business Case'!F11*$C618*'Business Case'!F13*$D618-'Business Case'!F14*$E618)-MAX(0,(('Business Case'!F11*$C618*'Business Case'!F12*$B618)-'Business Case'!F11*$C618*'Business Case'!F13*$D618-'Business Case'!F14*$E618))*'Business Case'!$B$7-'Business Case'!$B$8*(('Business Case'!F11*$C618*'Business Case'!F12*$B618)-('Business Case'!E11*$C618*'Business Case'!E12*$B618))-'Business Case'!F15*$F618</f>
        <v>671137156.645985</v>
      </c>
      <c r="M618" s="53" t="n">
        <f aca="false">(('Business Case'!G11*$C618*'Business Case'!G12*$B618)-'Business Case'!G11*$C618*'Business Case'!G13*$D618-'Business Case'!G14*$E618)-MAX(0,(('Business Case'!G11*$C618*'Business Case'!G12*$B618)-'Business Case'!G11*$C618*'Business Case'!G13*$D618-'Business Case'!G14*$E618))*'Business Case'!$B$7-'Business Case'!$B$8*(('Business Case'!G11*$C618*'Business Case'!G12*$B618)-('Business Case'!F11*$C618*'Business Case'!F12*$B618))-'Business Case'!G15*$F618+'Business Case'!$B$8*('Business Case'!G11*$C618*'Business Case'!G12*$B618)</f>
        <v>855831870.82186</v>
      </c>
      <c r="N618" s="53" t="n">
        <f aca="false">IF(COUNT('Business Case'!B11:G11)=0,"",H618+NPV(G618,I618:M618))</f>
        <v>-580876608.141767</v>
      </c>
      <c r="P618" s="54" t="n">
        <f aca="true">RAND()</f>
        <v>0.163658168398792</v>
      </c>
      <c r="Q618" s="54" t="n">
        <f aca="true">RAND()</f>
        <v>0.640074790945138</v>
      </c>
      <c r="R618" s="54" t="n">
        <f aca="true">RAND()</f>
        <v>0.70156225191907</v>
      </c>
      <c r="S618" s="54" t="n">
        <f aca="true">RAND()</f>
        <v>0.425691800904891</v>
      </c>
      <c r="T618" s="54" t="n">
        <f aca="true">RAND()</f>
        <v>0.485368983138078</v>
      </c>
      <c r="U618" s="54" t="n">
        <f aca="true">RAND()</f>
        <v>0.903105806825427</v>
      </c>
    </row>
    <row r="619" customFormat="false" ht="15" hidden="false" customHeight="false" outlineLevel="0" collapsed="false">
      <c r="A619" s="50" t="n">
        <v>539</v>
      </c>
      <c r="B619" s="51" t="n">
        <f aca="false">1+IF($G$6=$E$6,$F$6,IF(P619&lt;($F$6-$E$6)/($G$6-$E$6),$E$6+SQRT(P619*($G$6-$E$6)*($F$6-$E$6)),$G$6-SQRT((1-P619)*($G$6-$E$6)*($G$6-$F$6))))</f>
        <v>1.00246257943884</v>
      </c>
      <c r="C619" s="51" t="n">
        <f aca="false">1+IF($G$7=$E$7,$F$7,IF(Q619&lt;($F$7-$E$7)/($G$7-$E$7),$E$7+SQRT(Q619*($G$7-$E$7)*($F$7-$E$7)),$G$7-SQRT((1-Q619)*($G$7-$E$7)*($G$7-$F$7))))</f>
        <v>0.972748170311043</v>
      </c>
      <c r="D619" s="51" t="n">
        <f aca="false">1+IF($G$8=$E$8,$F$8,IF(R619&lt;($F$8-$E$8)/($G$8-$E$8),$E$8+SQRT(R619*($G$8-$E$8)*($F$8-$E$8)),$G$8-SQRT((1-R619)*($G$8-$E$8)*($G$8-$F$8))))</f>
        <v>0.978168025576155</v>
      </c>
      <c r="E619" s="51" t="n">
        <f aca="false">1+IF($G$9=$E$9,$F$9,IF(S619&lt;($F$9-$E$9)/($G$9-$E$9),$E$9+SQRT(S619*($G$9-$E$9)*($F$9-$E$9)),$G$9-SQRT((1-S619)*($G$9-$E$9)*($G$9-$F$9))))</f>
        <v>1.04024430058494</v>
      </c>
      <c r="F619" s="51" t="n">
        <f aca="false">1+IF($G$10=$E$10,$F$10,IF(T619&lt;($F$10-$E$10)/($G$10-$E$10),$E$10+SQRT(T619*($G$10-$E$10)*($F$10-$E$10)),$G$10-SQRT((1-T619)*($G$10-$E$10)*($G$10-$F$10))))</f>
        <v>1.05264406641938</v>
      </c>
      <c r="G619" s="52" t="n">
        <f aca="false">IF($G$11=$E$11,$F$11,IF(U619&lt;($F$11-$E$11)/($G$11-$E$11),$E$11+SQRT(U619*($G$11-$E$11)*($F$11-$E$11)),$G$11-SQRT((1-U619)*($G$11-$E$11)*($G$11-$F$11))))</f>
        <v>0.109957422128315</v>
      </c>
      <c r="H619" s="53" t="n">
        <f aca="false">(('Business Case'!B11*$C619*'Business Case'!B12*$B619)-'Business Case'!B11*$C619*'Business Case'!B13*$D619-'Business Case'!B14*$E619)-MAX(0,(('Business Case'!B11*$C619*'Business Case'!B12*$B619)-'Business Case'!B11*$C619*'Business Case'!B13*$D619-'Business Case'!B14*$E619))*'Business Case'!$B$7-'Business Case'!$B$8*('Business Case'!B11*$C619*'Business Case'!B12*$B619)-'Business Case'!B15*$F619</f>
        <v>-2105288132.83877</v>
      </c>
      <c r="I619" s="53" t="n">
        <f aca="false">(('Business Case'!C11*$C619*'Business Case'!C12*$B619)-'Business Case'!C11*$C619*'Business Case'!C13*$D619-'Business Case'!C14*$E619)-MAX(0,(('Business Case'!C11*$C619*'Business Case'!C12*$B619)-'Business Case'!C11*$C619*'Business Case'!C13*$D619-'Business Case'!C14*$E619))*'Business Case'!$B$7-'Business Case'!$B$8*(('Business Case'!C11*$C619*'Business Case'!C12*$B619)-('Business Case'!B11*$C619*'Business Case'!B12*$B619))-'Business Case'!C15*$F619</f>
        <v>7876667.42334418</v>
      </c>
      <c r="J619" s="53" t="n">
        <f aca="false">(('Business Case'!D11*$C619*'Business Case'!D12*$B619)-'Business Case'!D11*$C619*'Business Case'!D13*$D619-'Business Case'!D14*$E619)-MAX(0,(('Business Case'!D11*$C619*'Business Case'!D12*$B619)-'Business Case'!D11*$C619*'Business Case'!D13*$D619-'Business Case'!D14*$E619))*'Business Case'!$B$7-'Business Case'!$B$8*(('Business Case'!D11*$C619*'Business Case'!D12*$B619)-('Business Case'!C11*$C619*'Business Case'!C12*$B619))-'Business Case'!D15*$F619</f>
        <v>319491927.327042</v>
      </c>
      <c r="K619" s="53" t="n">
        <f aca="false">(('Business Case'!E11*$C619*'Business Case'!E12*$B619)-'Business Case'!E11*$C619*'Business Case'!E13*$D619-'Business Case'!E14*$E619)-MAX(0,(('Business Case'!E11*$C619*'Business Case'!E12*$B619)-'Business Case'!E11*$C619*'Business Case'!E13*$D619-'Business Case'!E14*$E619))*'Business Case'!$B$7-'Business Case'!$B$8*(('Business Case'!E11*$C619*'Business Case'!E12*$B619)-('Business Case'!D11*$C619*'Business Case'!D12*$B619))-'Business Case'!E15*$F619</f>
        <v>683739390.551708</v>
      </c>
      <c r="L619" s="53" t="n">
        <f aca="false">(('Business Case'!F11*$C619*'Business Case'!F12*$B619)-'Business Case'!F11*$C619*'Business Case'!F13*$D619-'Business Case'!F14*$E619)-MAX(0,(('Business Case'!F11*$C619*'Business Case'!F12*$B619)-'Business Case'!F11*$C619*'Business Case'!F13*$D619-'Business Case'!F14*$E619))*'Business Case'!$B$7-'Business Case'!$B$8*(('Business Case'!F11*$C619*'Business Case'!F12*$B619)-('Business Case'!E11*$C619*'Business Case'!E12*$B619))-'Business Case'!F15*$F619</f>
        <v>821312108.049765</v>
      </c>
      <c r="M619" s="53" t="n">
        <f aca="false">(('Business Case'!G11*$C619*'Business Case'!G12*$B619)-'Business Case'!G11*$C619*'Business Case'!G13*$D619-'Business Case'!G14*$E619)-MAX(0,(('Business Case'!G11*$C619*'Business Case'!G12*$B619)-'Business Case'!G11*$C619*'Business Case'!G13*$D619-'Business Case'!G14*$E619))*'Business Case'!$B$7-'Business Case'!$B$8*(('Business Case'!G11*$C619*'Business Case'!G12*$B619)-('Business Case'!F11*$C619*'Business Case'!F12*$B619))-'Business Case'!G15*$F619+'Business Case'!$B$8*('Business Case'!G11*$C619*'Business Case'!G12*$B619)</f>
        <v>1006667411.1323</v>
      </c>
      <c r="N619" s="53" t="n">
        <f aca="false">IF(COUNT('Business Case'!B11:G11)=0,"",H619+NPV(G619,I619:M619))</f>
        <v>-200233721.193011</v>
      </c>
      <c r="P619" s="54" t="n">
        <f aca="true">RAND()</f>
        <v>0.706446262002973</v>
      </c>
      <c r="Q619" s="54" t="n">
        <f aca="true">RAND()</f>
        <v>0.426313290654472</v>
      </c>
      <c r="R619" s="54" t="n">
        <f aca="true">RAND()</f>
        <v>0.122067333055217</v>
      </c>
      <c r="S619" s="54" t="n">
        <f aca="true">RAND()</f>
        <v>0.76195042582777</v>
      </c>
      <c r="T619" s="54" t="n">
        <f aca="true">RAND()</f>
        <v>0.565724576771705</v>
      </c>
      <c r="U619" s="54" t="n">
        <f aca="true">RAND()</f>
        <v>0.831911049485253</v>
      </c>
    </row>
    <row r="620" customFormat="false" ht="15" hidden="false" customHeight="false" outlineLevel="0" collapsed="false">
      <c r="A620" s="50" t="n">
        <v>540</v>
      </c>
      <c r="B620" s="51" t="n">
        <f aca="false">1+IF($G$6=$E$6,$F$6,IF(P620&lt;($F$6-$E$6)/($G$6-$E$6),$E$6+SQRT(P620*($G$6-$E$6)*($F$6-$E$6)),$G$6-SQRT((1-P620)*($G$6-$E$6)*($G$6-$F$6))))</f>
        <v>0.946769902212443</v>
      </c>
      <c r="C620" s="51" t="n">
        <f aca="false">1+IF($G$7=$E$7,$F$7,IF(Q620&lt;($F$7-$E$7)/($G$7-$E$7),$E$7+SQRT(Q620*($G$7-$E$7)*($F$7-$E$7)),$G$7-SQRT((1-Q620)*($G$7-$E$7)*($G$7-$F$7))))</f>
        <v>0.882897115462248</v>
      </c>
      <c r="D620" s="51" t="n">
        <f aca="false">1+IF($G$8=$E$8,$F$8,IF(R620&lt;($F$8-$E$8)/($G$8-$E$8),$E$8+SQRT(R620*($G$8-$E$8)*($F$8-$E$8)),$G$8-SQRT((1-R620)*($G$8-$E$8)*($G$8-$F$8))))</f>
        <v>1.01221205800547</v>
      </c>
      <c r="E620" s="51" t="n">
        <f aca="false">1+IF($G$9=$E$9,$F$9,IF(S620&lt;($F$9-$E$9)/($G$9-$E$9),$E$9+SQRT(S620*($G$9-$E$9)*($F$9-$E$9)),$G$9-SQRT((1-S620)*($G$9-$E$9)*($G$9-$F$9))))</f>
        <v>1.00733247711191</v>
      </c>
      <c r="F620" s="51" t="n">
        <f aca="false">1+IF($G$10=$E$10,$F$10,IF(T620&lt;($F$10-$E$10)/($G$10-$E$10),$E$10+SQRT(T620*($G$10-$E$10)*($F$10-$E$10)),$G$10-SQRT((1-T620)*($G$10-$E$10)*($G$10-$F$10))))</f>
        <v>1.0658389557069</v>
      </c>
      <c r="G620" s="52" t="n">
        <f aca="false">IF($G$11=$E$11,$F$11,IF(U620&lt;($F$11-$E$11)/($G$11-$E$11),$E$11+SQRT(U620*($G$11-$E$11)*($F$11-$E$11)),$G$11-SQRT((1-U620)*($G$11-$E$11)*($G$11-$F$11))))</f>
        <v>0.108366981546375</v>
      </c>
      <c r="H620" s="53" t="n">
        <f aca="false">(('Business Case'!B11*$C620*'Business Case'!B12*$B620)-'Business Case'!B11*$C620*'Business Case'!B13*$D620-'Business Case'!B14*$E620)-MAX(0,(('Business Case'!B11*$C620*'Business Case'!B12*$B620)-'Business Case'!B11*$C620*'Business Case'!B13*$D620-'Business Case'!B14*$E620))*'Business Case'!$B$7-'Business Case'!$B$8*('Business Case'!B11*$C620*'Business Case'!B12*$B620)-'Business Case'!B15*$F620</f>
        <v>-2131677911.41379</v>
      </c>
      <c r="I620" s="53" t="n">
        <f aca="false">(('Business Case'!C11*$C620*'Business Case'!C12*$B620)-'Business Case'!C11*$C620*'Business Case'!C13*$D620-'Business Case'!C14*$E620)-MAX(0,(('Business Case'!C11*$C620*'Business Case'!C12*$B620)-'Business Case'!C11*$C620*'Business Case'!C13*$D620-'Business Case'!C14*$E620))*'Business Case'!$B$7-'Business Case'!$B$8*(('Business Case'!C11*$C620*'Business Case'!C12*$B620)-('Business Case'!B11*$C620*'Business Case'!B12*$B620))-'Business Case'!C15*$F620</f>
        <v>-65989234.1718572</v>
      </c>
      <c r="J620" s="53" t="n">
        <f aca="false">(('Business Case'!D11*$C620*'Business Case'!D12*$B620)-'Business Case'!D11*$C620*'Business Case'!D13*$D620-'Business Case'!D14*$E620)-MAX(0,(('Business Case'!D11*$C620*'Business Case'!D12*$B620)-'Business Case'!D11*$C620*'Business Case'!D13*$D620-'Business Case'!D14*$E620))*'Business Case'!$B$7-'Business Case'!$B$8*(('Business Case'!D11*$C620*'Business Case'!D12*$B620)-('Business Case'!C11*$C620*'Business Case'!C12*$B620))-'Business Case'!D15*$F620</f>
        <v>161181183.020614</v>
      </c>
      <c r="K620" s="53" t="n">
        <f aca="false">(('Business Case'!E11*$C620*'Business Case'!E12*$B620)-'Business Case'!E11*$C620*'Business Case'!E13*$D620-'Business Case'!E14*$E620)-MAX(0,(('Business Case'!E11*$C620*'Business Case'!E12*$B620)-'Business Case'!E11*$C620*'Business Case'!E13*$D620-'Business Case'!E14*$E620))*'Business Case'!$B$7-'Business Case'!$B$8*(('Business Case'!E11*$C620*'Business Case'!E12*$B620)-('Business Case'!D11*$C620*'Business Case'!D12*$B620))-'Business Case'!E15*$F620</f>
        <v>441643547.998428</v>
      </c>
      <c r="L620" s="53" t="n">
        <f aca="false">(('Business Case'!F11*$C620*'Business Case'!F12*$B620)-'Business Case'!F11*$C620*'Business Case'!F13*$D620-'Business Case'!F14*$E620)-MAX(0,(('Business Case'!F11*$C620*'Business Case'!F12*$B620)-'Business Case'!F11*$C620*'Business Case'!F13*$D620-'Business Case'!F14*$E620))*'Business Case'!$B$7-'Business Case'!$B$8*(('Business Case'!F11*$C620*'Business Case'!F12*$B620)-('Business Case'!E11*$C620*'Business Case'!E12*$B620))-'Business Case'!F15*$F620</f>
        <v>546255738.761469</v>
      </c>
      <c r="M620" s="53" t="n">
        <f aca="false">(('Business Case'!G11*$C620*'Business Case'!G12*$B620)-'Business Case'!G11*$C620*'Business Case'!G13*$D620-'Business Case'!G14*$E620)-MAX(0,(('Business Case'!G11*$C620*'Business Case'!G12*$B620)-'Business Case'!G11*$C620*'Business Case'!G13*$D620-'Business Case'!G14*$E620))*'Business Case'!$B$7-'Business Case'!$B$8*(('Business Case'!G11*$C620*'Business Case'!G12*$B620)-('Business Case'!F11*$C620*'Business Case'!F12*$B620))-'Business Case'!G15*$F620+'Business Case'!$B$8*('Business Case'!G11*$C620*'Business Case'!G12*$B620)</f>
        <v>705143689.771992</v>
      </c>
      <c r="N620" s="53" t="n">
        <f aca="false">IF(COUNT('Business Case'!B11:G11)=0,"",H620+NPV(G620,I620:M620))</f>
        <v>-952134567.681112</v>
      </c>
      <c r="P620" s="54" t="n">
        <f aca="true">RAND()</f>
        <v>0.0746487150483057</v>
      </c>
      <c r="Q620" s="54" t="n">
        <f aca="true">RAND()</f>
        <v>0.0981704535994477</v>
      </c>
      <c r="R620" s="54" t="n">
        <f aca="true">RAND()</f>
        <v>0.558153357706355</v>
      </c>
      <c r="S620" s="54" t="n">
        <f aca="true">RAND()</f>
        <v>0.4275153467857</v>
      </c>
      <c r="T620" s="54" t="n">
        <f aca="true">RAND()</f>
        <v>0.640016283883674</v>
      </c>
      <c r="U620" s="54" t="n">
        <f aca="true">RAND()</f>
        <v>0.77445480276269</v>
      </c>
    </row>
    <row r="621" customFormat="false" ht="15" hidden="false" customHeight="false" outlineLevel="0" collapsed="false">
      <c r="A621" s="50" t="n">
        <v>541</v>
      </c>
      <c r="B621" s="51" t="n">
        <f aca="false">1+IF($G$6=$E$6,$F$6,IF(P621&lt;($F$6-$E$6)/($G$6-$E$6),$E$6+SQRT(P621*($G$6-$E$6)*($F$6-$E$6)),$G$6-SQRT((1-P621)*($G$6-$E$6)*($G$6-$F$6))))</f>
        <v>1.0126254068934</v>
      </c>
      <c r="C621" s="51" t="n">
        <f aca="false">1+IF($G$7=$E$7,$F$7,IF(Q621&lt;($F$7-$E$7)/($G$7-$E$7),$E$7+SQRT(Q621*($G$7-$E$7)*($F$7-$E$7)),$G$7-SQRT((1-Q621)*($G$7-$E$7)*($G$7-$F$7))))</f>
        <v>0.974058133331023</v>
      </c>
      <c r="D621" s="51" t="n">
        <f aca="false">1+IF($G$8=$E$8,$F$8,IF(R621&lt;($F$8-$E$8)/($G$8-$E$8),$E$8+SQRT(R621*($G$8-$E$8)*($F$8-$E$8)),$G$8-SQRT((1-R621)*($G$8-$E$8)*($G$8-$F$8))))</f>
        <v>1.05103214550297</v>
      </c>
      <c r="E621" s="51" t="n">
        <f aca="false">1+IF($G$9=$E$9,$F$9,IF(S621&lt;($F$9-$E$9)/($G$9-$E$9),$E$9+SQRT(S621*($G$9-$E$9)*($F$9-$E$9)),$G$9-SQRT((1-S621)*($G$9-$E$9)*($G$9-$F$9))))</f>
        <v>0.969241864201329</v>
      </c>
      <c r="F621" s="51" t="n">
        <f aca="false">1+IF($G$10=$E$10,$F$10,IF(T621&lt;($F$10-$E$10)/($G$10-$E$10),$E$10+SQRT(T621*($G$10-$E$10)*($F$10-$E$10)),$G$10-SQRT((1-T621)*($G$10-$E$10)*($G$10-$F$10))))</f>
        <v>1.07405826880762</v>
      </c>
      <c r="G621" s="52" t="n">
        <f aca="false">IF($G$11=$E$11,$F$11,IF(U621&lt;($F$11-$E$11)/($G$11-$E$11),$E$11+SQRT(U621*($G$11-$E$11)*($F$11-$E$11)),$G$11-SQRT((1-U621)*($G$11-$E$11)*($G$11-$F$11))))</f>
        <v>0.111463862688431</v>
      </c>
      <c r="H621" s="53" t="n">
        <f aca="false">(('Business Case'!B11*$C621*'Business Case'!B12*$B621)-'Business Case'!B11*$C621*'Business Case'!B13*$D621-'Business Case'!B14*$E621)-MAX(0,(('Business Case'!B11*$C621*'Business Case'!B12*$B621)-'Business Case'!B11*$C621*'Business Case'!B13*$D621-'Business Case'!B14*$E621))*'Business Case'!$B$7-'Business Case'!$B$8*('Business Case'!B11*$C621*'Business Case'!B12*$B621)-'Business Case'!B15*$F621</f>
        <v>-2148116537.61524</v>
      </c>
      <c r="I621" s="53" t="n">
        <f aca="false">(('Business Case'!C11*$C621*'Business Case'!C12*$B621)-'Business Case'!C11*$C621*'Business Case'!C13*$D621-'Business Case'!C14*$E621)-MAX(0,(('Business Case'!C11*$C621*'Business Case'!C12*$B621)-'Business Case'!C11*$C621*'Business Case'!C13*$D621-'Business Case'!C14*$E621))*'Business Case'!$B$7-'Business Case'!$B$8*(('Business Case'!C11*$C621*'Business Case'!C12*$B621)-('Business Case'!B11*$C621*'Business Case'!B12*$B621))-'Business Case'!C15*$F621</f>
        <v>-12554623.4058041</v>
      </c>
      <c r="J621" s="53" t="n">
        <f aca="false">(('Business Case'!D11*$C621*'Business Case'!D12*$B621)-'Business Case'!D11*$C621*'Business Case'!D13*$D621-'Business Case'!D14*$E621)-MAX(0,(('Business Case'!D11*$C621*'Business Case'!D12*$B621)-'Business Case'!D11*$C621*'Business Case'!D13*$D621-'Business Case'!D14*$E621))*'Business Case'!$B$7-'Business Case'!$B$8*(('Business Case'!D11*$C621*'Business Case'!D12*$B621)-('Business Case'!C11*$C621*'Business Case'!C12*$B621))-'Business Case'!D15*$F621</f>
        <v>271255468.903718</v>
      </c>
      <c r="K621" s="53" t="n">
        <f aca="false">(('Business Case'!E11*$C621*'Business Case'!E12*$B621)-'Business Case'!E11*$C621*'Business Case'!E13*$D621-'Business Case'!E14*$E621)-MAX(0,(('Business Case'!E11*$C621*'Business Case'!E12*$B621)-'Business Case'!E11*$C621*'Business Case'!E13*$D621-'Business Case'!E14*$E621))*'Business Case'!$B$7-'Business Case'!$B$8*(('Business Case'!E11*$C621*'Business Case'!E12*$B621)-('Business Case'!D11*$C621*'Business Case'!D12*$B621))-'Business Case'!E15*$F621</f>
        <v>608768474.653622</v>
      </c>
      <c r="L621" s="53" t="n">
        <f aca="false">(('Business Case'!F11*$C621*'Business Case'!F12*$B621)-'Business Case'!F11*$C621*'Business Case'!F13*$D621-'Business Case'!F14*$E621)-MAX(0,(('Business Case'!F11*$C621*'Business Case'!F12*$B621)-'Business Case'!F11*$C621*'Business Case'!F13*$D621-'Business Case'!F14*$E621))*'Business Case'!$B$7-'Business Case'!$B$8*(('Business Case'!F11*$C621*'Business Case'!F12*$B621)-('Business Case'!E11*$C621*'Business Case'!E12*$B621))-'Business Case'!F15*$F621</f>
        <v>737460302.586886</v>
      </c>
      <c r="M621" s="53" t="n">
        <f aca="false">(('Business Case'!G11*$C621*'Business Case'!G12*$B621)-'Business Case'!G11*$C621*'Business Case'!G13*$D621-'Business Case'!G14*$E621)-MAX(0,(('Business Case'!G11*$C621*'Business Case'!G12*$B621)-'Business Case'!G11*$C621*'Business Case'!G13*$D621-'Business Case'!G14*$E621))*'Business Case'!$B$7-'Business Case'!$B$8*(('Business Case'!G11*$C621*'Business Case'!G12*$B621)-('Business Case'!F11*$C621*'Business Case'!F12*$B621))-'Business Case'!G15*$F621+'Business Case'!$B$8*('Business Case'!G11*$C621*'Business Case'!G12*$B621)</f>
        <v>924946853.652383</v>
      </c>
      <c r="N621" s="53" t="n">
        <f aca="false">IF(COUNT('Business Case'!B11:G11)=0,"",H621+NPV(G621,I621:M621))</f>
        <v>-467925360.456145</v>
      </c>
      <c r="P621" s="54" t="n">
        <f aca="true">RAND()</f>
        <v>0.843881594218332</v>
      </c>
      <c r="Q621" s="54" t="n">
        <f aca="true">RAND()</f>
        <v>0.432803339695429</v>
      </c>
      <c r="R621" s="54" t="n">
        <f aca="true">RAND()</f>
        <v>0.919313789022973</v>
      </c>
      <c r="S621" s="54" t="n">
        <f aca="true">RAND()</f>
        <v>0.0493665783923203</v>
      </c>
      <c r="T621" s="54" t="n">
        <f aca="true">RAND()</f>
        <v>0.68277360688533</v>
      </c>
      <c r="U621" s="54" t="n">
        <f aca="true">RAND()</f>
        <v>0.878557266330065</v>
      </c>
    </row>
    <row r="622" customFormat="false" ht="15" hidden="false" customHeight="false" outlineLevel="0" collapsed="false">
      <c r="A622" s="50" t="n">
        <v>542</v>
      </c>
      <c r="B622" s="51" t="n">
        <f aca="false">1+IF($G$6=$E$6,$F$6,IF(P622&lt;($F$6-$E$6)/($G$6-$E$6),$E$6+SQRT(P622*($G$6-$E$6)*($F$6-$E$6)),$G$6-SQRT((1-P622)*($G$6-$E$6)*($G$6-$F$6))))</f>
        <v>0.997997168308598</v>
      </c>
      <c r="C622" s="51" t="n">
        <f aca="false">1+IF($G$7=$E$7,$F$7,IF(Q622&lt;($F$7-$E$7)/($G$7-$E$7),$E$7+SQRT(Q622*($G$7-$E$7)*($F$7-$E$7)),$G$7-SQRT((1-Q622)*($G$7-$E$7)*($G$7-$F$7))))</f>
        <v>1.07294815376582</v>
      </c>
      <c r="D622" s="51" t="n">
        <f aca="false">1+IF($G$8=$E$8,$F$8,IF(R622&lt;($F$8-$E$8)/($G$8-$E$8),$E$8+SQRT(R622*($G$8-$E$8)*($F$8-$E$8)),$G$8-SQRT((1-R622)*($G$8-$E$8)*($G$8-$F$8))))</f>
        <v>1.04079435393053</v>
      </c>
      <c r="E622" s="51" t="n">
        <f aca="false">1+IF($G$9=$E$9,$F$9,IF(S622&lt;($F$9-$E$9)/($G$9-$E$9),$E$9+SQRT(S622*($G$9-$E$9)*($F$9-$E$9)),$G$9-SQRT((1-S622)*($G$9-$E$9)*($G$9-$F$9))))</f>
        <v>1.01326103331152</v>
      </c>
      <c r="F622" s="51" t="n">
        <f aca="false">1+IF($G$10=$E$10,$F$10,IF(T622&lt;($F$10-$E$10)/($G$10-$E$10),$E$10+SQRT(T622*($G$10-$E$10)*($F$10-$E$10)),$G$10-SQRT((1-T622)*($G$10-$E$10)*($G$10-$F$10))))</f>
        <v>1.0634794862565</v>
      </c>
      <c r="G622" s="52" t="n">
        <f aca="false">IF($G$11=$E$11,$F$11,IF(U622&lt;($F$11-$E$11)/($G$11-$E$11),$E$11+SQRT(U622*($G$11-$E$11)*($F$11-$E$11)),$G$11-SQRT((1-U622)*($G$11-$E$11)*($G$11-$F$11))))</f>
        <v>0.11839015378488</v>
      </c>
      <c r="H622" s="53" t="n">
        <f aca="false">(('Business Case'!B11*$C622*'Business Case'!B12*$B622)-'Business Case'!B11*$C622*'Business Case'!B13*$D622-'Business Case'!B14*$E622)-MAX(0,(('Business Case'!B11*$C622*'Business Case'!B12*$B622)-'Business Case'!B11*$C622*'Business Case'!B13*$D622-'Business Case'!B14*$E622))*'Business Case'!$B$7-'Business Case'!$B$8*('Business Case'!B11*$C622*'Business Case'!B12*$B622)-'Business Case'!B15*$F622</f>
        <v>-2126958972.51299</v>
      </c>
      <c r="I622" s="53" t="n">
        <f aca="false">(('Business Case'!C11*$C622*'Business Case'!C12*$B622)-'Business Case'!C11*$C622*'Business Case'!C13*$D622-'Business Case'!C14*$E622)-MAX(0,(('Business Case'!C11*$C622*'Business Case'!C12*$B622)-'Business Case'!C11*$C622*'Business Case'!C13*$D622-'Business Case'!C14*$E622))*'Business Case'!$B$7-'Business Case'!$B$8*(('Business Case'!C11*$C622*'Business Case'!C12*$B622)-('Business Case'!B11*$C622*'Business Case'!B12*$B622))-'Business Case'!C15*$F622</f>
        <v>-552714.36249955</v>
      </c>
      <c r="J622" s="53" t="n">
        <f aca="false">(('Business Case'!D11*$C622*'Business Case'!D12*$B622)-'Business Case'!D11*$C622*'Business Case'!D13*$D622-'Business Case'!D14*$E622)-MAX(0,(('Business Case'!D11*$C622*'Business Case'!D12*$B622)-'Business Case'!D11*$C622*'Business Case'!D13*$D622-'Business Case'!D14*$E622))*'Business Case'!$B$7-'Business Case'!$B$8*(('Business Case'!D11*$C622*'Business Case'!D12*$B622)-('Business Case'!C11*$C622*'Business Case'!C12*$B622))-'Business Case'!D15*$F622</f>
        <v>304838470.360888</v>
      </c>
      <c r="K622" s="53" t="n">
        <f aca="false">(('Business Case'!E11*$C622*'Business Case'!E12*$B622)-'Business Case'!E11*$C622*'Business Case'!E13*$D622-'Business Case'!E14*$E622)-MAX(0,(('Business Case'!E11*$C622*'Business Case'!E12*$B622)-'Business Case'!E11*$C622*'Business Case'!E13*$D622-'Business Case'!E14*$E622))*'Business Case'!$B$7-'Business Case'!$B$8*(('Business Case'!E11*$C622*'Business Case'!E12*$B622)-('Business Case'!D11*$C622*'Business Case'!D12*$B622))-'Business Case'!E15*$F622</f>
        <v>663403629.3971</v>
      </c>
      <c r="L622" s="53" t="n">
        <f aca="false">(('Business Case'!F11*$C622*'Business Case'!F12*$B622)-'Business Case'!F11*$C622*'Business Case'!F13*$D622-'Business Case'!F14*$E622)-MAX(0,(('Business Case'!F11*$C622*'Business Case'!F12*$B622)-'Business Case'!F11*$C622*'Business Case'!F13*$D622-'Business Case'!F14*$E622))*'Business Case'!$B$7-'Business Case'!$B$8*(('Business Case'!F11*$C622*'Business Case'!F12*$B622)-('Business Case'!E11*$C622*'Business Case'!E12*$B622))-'Business Case'!F15*$F622</f>
        <v>802207511.987123</v>
      </c>
      <c r="M622" s="53" t="n">
        <f aca="false">(('Business Case'!G11*$C622*'Business Case'!G12*$B622)-'Business Case'!G11*$C622*'Business Case'!G13*$D622-'Business Case'!G14*$E622)-MAX(0,(('Business Case'!G11*$C622*'Business Case'!G12*$B622)-'Business Case'!G11*$C622*'Business Case'!G13*$D622-'Business Case'!G14*$E622))*'Business Case'!$B$7-'Business Case'!$B$8*(('Business Case'!G11*$C622*'Business Case'!G12*$B622)-('Business Case'!F11*$C622*'Business Case'!F12*$B622))-'Business Case'!G15*$F622+'Business Case'!$B$8*('Business Case'!G11*$C622*'Business Case'!G12*$B622)</f>
        <v>1005745027.5727</v>
      </c>
      <c r="N622" s="53" t="n">
        <f aca="false">IF(COUNT('Business Case'!B11:G11)=0,"",H622+NPV(G622,I622:M622))</f>
        <v>-321933066.659502</v>
      </c>
      <c r="P622" s="54" t="n">
        <f aca="true">RAND()</f>
        <v>0.633703985849979</v>
      </c>
      <c r="Q622" s="54" t="n">
        <f aca="true">RAND()</f>
        <v>0.886914533179133</v>
      </c>
      <c r="R622" s="54" t="n">
        <f aca="true">RAND()</f>
        <v>0.852203588103399</v>
      </c>
      <c r="S622" s="54" t="n">
        <f aca="true">RAND()</f>
        <v>0.498423443854269</v>
      </c>
      <c r="T622" s="54" t="n">
        <f aca="true">RAND()</f>
        <v>0.6272429865442</v>
      </c>
      <c r="U622" s="54" t="n">
        <f aca="true">RAND()</f>
        <v>0.995680658606108</v>
      </c>
    </row>
    <row r="623" customFormat="false" ht="15" hidden="false" customHeight="false" outlineLevel="0" collapsed="false">
      <c r="A623" s="50" t="n">
        <v>543</v>
      </c>
      <c r="B623" s="51" t="n">
        <f aca="false">1+IF($G$6=$E$6,$F$6,IF(P623&lt;($F$6-$E$6)/($G$6-$E$6),$E$6+SQRT(P623*($G$6-$E$6)*($F$6-$E$6)),$G$6-SQRT((1-P623)*($G$6-$E$6)*($G$6-$F$6))))</f>
        <v>0.98294533400118</v>
      </c>
      <c r="C623" s="51" t="n">
        <f aca="false">1+IF($G$7=$E$7,$F$7,IF(Q623&lt;($F$7-$E$7)/($G$7-$E$7),$E$7+SQRT(Q623*($G$7-$E$7)*($F$7-$E$7)),$G$7-SQRT((1-Q623)*($G$7-$E$7)*($G$7-$F$7))))</f>
        <v>0.99986641077203</v>
      </c>
      <c r="D623" s="51" t="n">
        <f aca="false">1+IF($G$8=$E$8,$F$8,IF(R623&lt;($F$8-$E$8)/($G$8-$E$8),$E$8+SQRT(R623*($G$8-$E$8)*($F$8-$E$8)),$G$8-SQRT((1-R623)*($G$8-$E$8)*($G$8-$F$8))))</f>
        <v>1.00047724937142</v>
      </c>
      <c r="E623" s="51" t="n">
        <f aca="false">1+IF($G$9=$E$9,$F$9,IF(S623&lt;($F$9-$E$9)/($G$9-$E$9),$E$9+SQRT(S623*($G$9-$E$9)*($F$9-$E$9)),$G$9-SQRT((1-S623)*($G$9-$E$9)*($G$9-$F$9))))</f>
        <v>1.04576904635594</v>
      </c>
      <c r="F623" s="51" t="n">
        <f aca="false">1+IF($G$10=$E$10,$F$10,IF(T623&lt;($F$10-$E$10)/($G$10-$E$10),$E$10+SQRT(T623*($G$10-$E$10)*($F$10-$E$10)),$G$10-SQRT((1-T623)*($G$10-$E$10)*($G$10-$F$10))))</f>
        <v>0.998035803836508</v>
      </c>
      <c r="G623" s="52" t="n">
        <f aca="false">IF($G$11=$E$11,$F$11,IF(U623&lt;($F$11-$E$11)/($G$11-$E$11),$E$11+SQRT(U623*($G$11-$E$11)*($F$11-$E$11)),$G$11-SQRT((1-U623)*($G$11-$E$11)*($G$11-$F$11))))</f>
        <v>0.10717228477709</v>
      </c>
      <c r="H623" s="53" t="n">
        <f aca="false">(('Business Case'!B11*$C623*'Business Case'!B12*$B623)-'Business Case'!B11*$C623*'Business Case'!B13*$D623-'Business Case'!B14*$E623)-MAX(0,(('Business Case'!B11*$C623*'Business Case'!B12*$B623)-'Business Case'!B11*$C623*'Business Case'!B13*$D623-'Business Case'!B14*$E623))*'Business Case'!$B$7-'Business Case'!$B$8*('Business Case'!B11*$C623*'Business Case'!B12*$B623)-'Business Case'!B15*$F623</f>
        <v>-1996071607.67302</v>
      </c>
      <c r="I623" s="53" t="n">
        <f aca="false">(('Business Case'!C11*$C623*'Business Case'!C12*$B623)-'Business Case'!C11*$C623*'Business Case'!C13*$D623-'Business Case'!C14*$E623)-MAX(0,(('Business Case'!C11*$C623*'Business Case'!C12*$B623)-'Business Case'!C11*$C623*'Business Case'!C13*$D623-'Business Case'!C14*$E623))*'Business Case'!$B$7-'Business Case'!$B$8*(('Business Case'!C11*$C623*'Business Case'!C12*$B623)-('Business Case'!B11*$C623*'Business Case'!B12*$B623))-'Business Case'!C15*$F623</f>
        <v>-6561464.07285747</v>
      </c>
      <c r="J623" s="53" t="n">
        <f aca="false">(('Business Case'!D11*$C623*'Business Case'!D12*$B623)-'Business Case'!D11*$C623*'Business Case'!D13*$D623-'Business Case'!D14*$E623)-MAX(0,(('Business Case'!D11*$C623*'Business Case'!D12*$B623)-'Business Case'!D11*$C623*'Business Case'!D13*$D623-'Business Case'!D14*$E623))*'Business Case'!$B$7-'Business Case'!$B$8*(('Business Case'!D11*$C623*'Business Case'!D12*$B623)-('Business Case'!C11*$C623*'Business Case'!C12*$B623))-'Business Case'!D15*$F623</f>
        <v>286338089.586886</v>
      </c>
      <c r="K623" s="53" t="n">
        <f aca="false">(('Business Case'!E11*$C623*'Business Case'!E12*$B623)-'Business Case'!E11*$C623*'Business Case'!E13*$D623-'Business Case'!E14*$E623)-MAX(0,(('Business Case'!E11*$C623*'Business Case'!E12*$B623)-'Business Case'!E11*$C623*'Business Case'!E13*$D623-'Business Case'!E14*$E623))*'Business Case'!$B$7-'Business Case'!$B$8*(('Business Case'!E11*$C623*'Business Case'!E12*$B623)-('Business Case'!D11*$C623*'Business Case'!D12*$B623))-'Business Case'!E15*$F623</f>
        <v>629139433.438455</v>
      </c>
      <c r="L623" s="53" t="n">
        <f aca="false">(('Business Case'!F11*$C623*'Business Case'!F12*$B623)-'Business Case'!F11*$C623*'Business Case'!F13*$D623-'Business Case'!F14*$E623)-MAX(0,(('Business Case'!F11*$C623*'Business Case'!F12*$B623)-'Business Case'!F11*$C623*'Business Case'!F13*$D623-'Business Case'!F14*$E623))*'Business Case'!$B$7-'Business Case'!$B$8*(('Business Case'!F11*$C623*'Business Case'!F12*$B623)-('Business Case'!E11*$C623*'Business Case'!E12*$B623))-'Business Case'!F15*$F623</f>
        <v>760738670.629792</v>
      </c>
      <c r="M623" s="53" t="n">
        <f aca="false">(('Business Case'!G11*$C623*'Business Case'!G12*$B623)-'Business Case'!G11*$C623*'Business Case'!G13*$D623-'Business Case'!G14*$E623)-MAX(0,(('Business Case'!G11*$C623*'Business Case'!G12*$B623)-'Business Case'!G11*$C623*'Business Case'!G13*$D623-'Business Case'!G14*$E623))*'Business Case'!$B$7-'Business Case'!$B$8*(('Business Case'!G11*$C623*'Business Case'!G12*$B623)-('Business Case'!F11*$C623*'Business Case'!F12*$B623))-'Business Case'!G15*$F623+'Business Case'!$B$8*('Business Case'!G11*$C623*'Business Case'!G12*$B623)</f>
        <v>947551960.139286</v>
      </c>
      <c r="N623" s="53" t="n">
        <f aca="false">IF(COUNT('Business Case'!B11:G11)=0,"",H623+NPV(G623,I623:M623))</f>
        <v>-229051021.30468</v>
      </c>
      <c r="P623" s="54" t="n">
        <f aca="true">RAND()</f>
        <v>0.412720320054172</v>
      </c>
      <c r="Q623" s="54" t="n">
        <f aca="true">RAND()</f>
        <v>0.570665459355629</v>
      </c>
      <c r="R623" s="54" t="n">
        <f aca="true">RAND()</f>
        <v>0.391935781967753</v>
      </c>
      <c r="S623" s="54" t="n">
        <f aca="true">RAND()</f>
        <v>0.803933577790419</v>
      </c>
      <c r="T623" s="54" t="n">
        <f aca="true">RAND()</f>
        <v>0.184595076017561</v>
      </c>
      <c r="U623" s="54" t="n">
        <f aca="true">RAND()</f>
        <v>0.725749536933216</v>
      </c>
    </row>
    <row r="624" customFormat="false" ht="15" hidden="false" customHeight="false" outlineLevel="0" collapsed="false">
      <c r="A624" s="50" t="n">
        <v>544</v>
      </c>
      <c r="B624" s="51" t="n">
        <f aca="false">1+IF($G$6=$E$6,$F$6,IF(P624&lt;($F$6-$E$6)/($G$6-$E$6),$E$6+SQRT(P624*($G$6-$E$6)*($F$6-$E$6)),$G$6-SQRT((1-P624)*($G$6-$E$6)*($G$6-$F$6))))</f>
        <v>0.959145670569891</v>
      </c>
      <c r="C624" s="51" t="n">
        <f aca="false">1+IF($G$7=$E$7,$F$7,IF(Q624&lt;($F$7-$E$7)/($G$7-$E$7),$E$7+SQRT(Q624*($G$7-$E$7)*($F$7-$E$7)),$G$7-SQRT((1-Q624)*($G$7-$E$7)*($G$7-$F$7))))</f>
        <v>0.963466548765908</v>
      </c>
      <c r="D624" s="51" t="n">
        <f aca="false">1+IF($G$8=$E$8,$F$8,IF(R624&lt;($F$8-$E$8)/($G$8-$E$8),$E$8+SQRT(R624*($G$8-$E$8)*($F$8-$E$8)),$G$8-SQRT((1-R624)*($G$8-$E$8)*($G$8-$F$8))))</f>
        <v>0.955539889027716</v>
      </c>
      <c r="E624" s="51" t="n">
        <f aca="false">1+IF($G$9=$E$9,$F$9,IF(S624&lt;($F$9-$E$9)/($G$9-$E$9),$E$9+SQRT(S624*($G$9-$E$9)*($F$9-$E$9)),$G$9-SQRT((1-S624)*($G$9-$E$9)*($G$9-$F$9))))</f>
        <v>1.01982834705615</v>
      </c>
      <c r="F624" s="51" t="n">
        <f aca="false">1+IF($G$10=$E$10,$F$10,IF(T624&lt;($F$10-$E$10)/($G$10-$E$10),$E$10+SQRT(T624*($G$10-$E$10)*($F$10-$E$10)),$G$10-SQRT((1-T624)*($G$10-$E$10)*($G$10-$F$10))))</f>
        <v>1.06726133132586</v>
      </c>
      <c r="G624" s="52" t="n">
        <f aca="false">IF($G$11=$E$11,$F$11,IF(U624&lt;($F$11-$E$11)/($G$11-$E$11),$E$11+SQRT(U624*($G$11-$E$11)*($F$11-$E$11)),$G$11-SQRT((1-U624)*($G$11-$E$11)*($G$11-$F$11))))</f>
        <v>0.112168985566495</v>
      </c>
      <c r="H624" s="53" t="n">
        <f aca="false">(('Business Case'!B11*$C624*'Business Case'!B12*$B624)-'Business Case'!B11*$C624*'Business Case'!B13*$D624-'Business Case'!B14*$E624)-MAX(0,(('Business Case'!B11*$C624*'Business Case'!B12*$B624)-'Business Case'!B11*$C624*'Business Case'!B13*$D624-'Business Case'!B14*$E624))*'Business Case'!$B$7-'Business Case'!$B$8*('Business Case'!B11*$C624*'Business Case'!B12*$B624)-'Business Case'!B15*$F624</f>
        <v>-2134522662.65171</v>
      </c>
      <c r="I624" s="53" t="n">
        <f aca="false">(('Business Case'!C11*$C624*'Business Case'!C12*$B624)-'Business Case'!C11*$C624*'Business Case'!C13*$D624-'Business Case'!C14*$E624)-MAX(0,(('Business Case'!C11*$C624*'Business Case'!C12*$B624)-'Business Case'!C11*$C624*'Business Case'!C13*$D624-'Business Case'!C14*$E624))*'Business Case'!$B$7-'Business Case'!$B$8*(('Business Case'!C11*$C624*'Business Case'!C12*$B624)-('Business Case'!B11*$C624*'Business Case'!B12*$B624))-'Business Case'!C15*$F624</f>
        <v>-14032251.680366</v>
      </c>
      <c r="J624" s="53" t="n">
        <f aca="false">(('Business Case'!D11*$C624*'Business Case'!D12*$B624)-'Business Case'!D11*$C624*'Business Case'!D13*$D624-'Business Case'!D14*$E624)-MAX(0,(('Business Case'!D11*$C624*'Business Case'!D12*$B624)-'Business Case'!D11*$C624*'Business Case'!D13*$D624-'Business Case'!D14*$E624))*'Business Case'!$B$7-'Business Case'!$B$8*(('Business Case'!D11*$C624*'Business Case'!D12*$B624)-('Business Case'!C11*$C624*'Business Case'!C12*$B624))-'Business Case'!D15*$F624</f>
        <v>271586811.947562</v>
      </c>
      <c r="K624" s="53" t="n">
        <f aca="false">(('Business Case'!E11*$C624*'Business Case'!E12*$B624)-'Business Case'!E11*$C624*'Business Case'!E13*$D624-'Business Case'!E14*$E624)-MAX(0,(('Business Case'!E11*$C624*'Business Case'!E12*$B624)-'Business Case'!E11*$C624*'Business Case'!E13*$D624-'Business Case'!E14*$E624))*'Business Case'!$B$7-'Business Case'!$B$8*(('Business Case'!E11*$C624*'Business Case'!E12*$B624)-('Business Case'!D11*$C624*'Business Case'!D12*$B624))-'Business Case'!E15*$F624</f>
        <v>610568942.141782</v>
      </c>
      <c r="L624" s="53" t="n">
        <f aca="false">(('Business Case'!F11*$C624*'Business Case'!F12*$B624)-'Business Case'!F11*$C624*'Business Case'!F13*$D624-'Business Case'!F14*$E624)-MAX(0,(('Business Case'!F11*$C624*'Business Case'!F12*$B624)-'Business Case'!F11*$C624*'Business Case'!F13*$D624-'Business Case'!F14*$E624))*'Business Case'!$B$7-'Business Case'!$B$8*(('Business Case'!F11*$C624*'Business Case'!F12*$B624)-('Business Case'!E11*$C624*'Business Case'!E12*$B624))-'Business Case'!F15*$F624</f>
        <v>737712357.500641</v>
      </c>
      <c r="M624" s="53" t="n">
        <f aca="false">(('Business Case'!G11*$C624*'Business Case'!G12*$B624)-'Business Case'!G11*$C624*'Business Case'!G13*$D624-'Business Case'!G14*$E624)-MAX(0,(('Business Case'!G11*$C624*'Business Case'!G12*$B624)-'Business Case'!G11*$C624*'Business Case'!G13*$D624-'Business Case'!G14*$E624))*'Business Case'!$B$7-'Business Case'!$B$8*(('Business Case'!G11*$C624*'Business Case'!G12*$B624)-('Business Case'!F11*$C624*'Business Case'!F12*$B624))-'Business Case'!G15*$F624+'Business Case'!$B$8*('Business Case'!G11*$C624*'Business Case'!G12*$B624)</f>
        <v>913366191.989829</v>
      </c>
      <c r="N624" s="53" t="n">
        <f aca="false">IF(COUNT('Business Case'!B11:G11)=0,"",H624+NPV(G624,I624:M624))</f>
        <v>-464789187.596719</v>
      </c>
      <c r="P624" s="54" t="n">
        <f aca="true">RAND()</f>
        <v>0.159623283788172</v>
      </c>
      <c r="Q624" s="54" t="n">
        <f aca="true">RAND()</f>
        <v>0.3817330366491</v>
      </c>
      <c r="R624" s="54" t="n">
        <f aca="true">RAND()</f>
        <v>0.00472159545221615</v>
      </c>
      <c r="S624" s="54" t="n">
        <f aca="true">RAND()</f>
        <v>0.571500404283338</v>
      </c>
      <c r="T624" s="54" t="n">
        <f aca="true">RAND()</f>
        <v>0.647608916772311</v>
      </c>
      <c r="U624" s="54" t="n">
        <f aca="true">RAND()</f>
        <v>0.897792021570406</v>
      </c>
    </row>
    <row r="625" customFormat="false" ht="15" hidden="false" customHeight="false" outlineLevel="0" collapsed="false">
      <c r="A625" s="50" t="n">
        <v>545</v>
      </c>
      <c r="B625" s="51" t="n">
        <f aca="false">1+IF($G$6=$E$6,$F$6,IF(P625&lt;($F$6-$E$6)/($G$6-$E$6),$E$6+SQRT(P625*($G$6-$E$6)*($F$6-$E$6)),$G$6-SQRT((1-P625)*($G$6-$E$6)*($G$6-$F$6))))</f>
        <v>1.00542625138592</v>
      </c>
      <c r="C625" s="51" t="n">
        <f aca="false">1+IF($G$7=$E$7,$F$7,IF(Q625&lt;($F$7-$E$7)/($G$7-$E$7),$E$7+SQRT(Q625*($G$7-$E$7)*($F$7-$E$7)),$G$7-SQRT((1-Q625)*($G$7-$E$7)*($G$7-$F$7))))</f>
        <v>0.986585514289815</v>
      </c>
      <c r="D625" s="51" t="n">
        <f aca="false">1+IF($G$8=$E$8,$F$8,IF(R625&lt;($F$8-$E$8)/($G$8-$E$8),$E$8+SQRT(R625*($G$8-$E$8)*($F$8-$E$8)),$G$8-SQRT((1-R625)*($G$8-$E$8)*($G$8-$F$8))))</f>
        <v>0.98811403662051</v>
      </c>
      <c r="E625" s="51" t="n">
        <f aca="false">1+IF($G$9=$E$9,$F$9,IF(S625&lt;($F$9-$E$9)/($G$9-$E$9),$E$9+SQRT(S625*($G$9-$E$9)*($F$9-$E$9)),$G$9-SQRT((1-S625)*($G$9-$E$9)*($G$9-$F$9))))</f>
        <v>1.0524044068078</v>
      </c>
      <c r="F625" s="51" t="n">
        <f aca="false">1+IF($G$10=$E$10,$F$10,IF(T625&lt;($F$10-$E$10)/($G$10-$E$10),$E$10+SQRT(T625*($G$10-$E$10)*($F$10-$E$10)),$G$10-SQRT((1-T625)*($G$10-$E$10)*($G$10-$F$10))))</f>
        <v>1.0550285244627</v>
      </c>
      <c r="G625" s="52" t="n">
        <f aca="false">IF($G$11=$E$11,$F$11,IF(U625&lt;($F$11-$E$11)/($G$11-$E$11),$E$11+SQRT(U625*($G$11-$E$11)*($F$11-$E$11)),$G$11-SQRT((1-U625)*($G$11-$E$11)*($G$11-$F$11))))</f>
        <v>0.101192604754945</v>
      </c>
      <c r="H625" s="53" t="n">
        <f aca="false">(('Business Case'!B11*$C625*'Business Case'!B12*$B625)-'Business Case'!B11*$C625*'Business Case'!B13*$D625-'Business Case'!B14*$E625)-MAX(0,(('Business Case'!B11*$C625*'Business Case'!B12*$B625)-'Business Case'!B11*$C625*'Business Case'!B13*$D625-'Business Case'!B14*$E625))*'Business Case'!$B$7-'Business Case'!$B$8*('Business Case'!B11*$C625*'Business Case'!B12*$B625)-'Business Case'!B15*$F625</f>
        <v>-2110057048.9254</v>
      </c>
      <c r="I625" s="53" t="n">
        <f aca="false">(('Business Case'!C11*$C625*'Business Case'!C12*$B625)-'Business Case'!C11*$C625*'Business Case'!C13*$D625-'Business Case'!C14*$E625)-MAX(0,(('Business Case'!C11*$C625*'Business Case'!C12*$B625)-'Business Case'!C11*$C625*'Business Case'!C13*$D625-'Business Case'!C14*$E625))*'Business Case'!$B$7-'Business Case'!$B$8*(('Business Case'!C11*$C625*'Business Case'!C12*$B625)-('Business Case'!B11*$C625*'Business Case'!B12*$B625))-'Business Case'!C15*$F625</f>
        <v>6842748.08767636</v>
      </c>
      <c r="J625" s="53" t="n">
        <f aca="false">(('Business Case'!D11*$C625*'Business Case'!D12*$B625)-'Business Case'!D11*$C625*'Business Case'!D13*$D625-'Business Case'!D14*$E625)-MAX(0,(('Business Case'!D11*$C625*'Business Case'!D12*$B625)-'Business Case'!D11*$C625*'Business Case'!D13*$D625-'Business Case'!D14*$E625))*'Business Case'!$B$7-'Business Case'!$B$8*(('Business Case'!D11*$C625*'Business Case'!D12*$B625)-('Business Case'!C11*$C625*'Business Case'!C12*$B625))-'Business Case'!D15*$F625</f>
        <v>320262371.749455</v>
      </c>
      <c r="K625" s="53" t="n">
        <f aca="false">(('Business Case'!E11*$C625*'Business Case'!E12*$B625)-'Business Case'!E11*$C625*'Business Case'!E13*$D625-'Business Case'!E14*$E625)-MAX(0,(('Business Case'!E11*$C625*'Business Case'!E12*$B625)-'Business Case'!E11*$C625*'Business Case'!E13*$D625-'Business Case'!E14*$E625))*'Business Case'!$B$7-'Business Case'!$B$8*(('Business Case'!E11*$C625*'Business Case'!E12*$B625)-('Business Case'!D11*$C625*'Business Case'!D12*$B625))-'Business Case'!E15*$F625</f>
        <v>686433421.63437</v>
      </c>
      <c r="L625" s="53" t="n">
        <f aca="false">(('Business Case'!F11*$C625*'Business Case'!F12*$B625)-'Business Case'!F11*$C625*'Business Case'!F13*$D625-'Business Case'!F14*$E625)-MAX(0,(('Business Case'!F11*$C625*'Business Case'!F12*$B625)-'Business Case'!F11*$C625*'Business Case'!F13*$D625-'Business Case'!F14*$E625))*'Business Case'!$B$7-'Business Case'!$B$8*(('Business Case'!F11*$C625*'Business Case'!F12*$B625)-('Business Case'!E11*$C625*'Business Case'!E12*$B625))-'Business Case'!F15*$F625</f>
        <v>825188040.508138</v>
      </c>
      <c r="M625" s="53" t="n">
        <f aca="false">(('Business Case'!G11*$C625*'Business Case'!G12*$B625)-'Business Case'!G11*$C625*'Business Case'!G13*$D625-'Business Case'!G14*$E625)-MAX(0,(('Business Case'!G11*$C625*'Business Case'!G12*$B625)-'Business Case'!G11*$C625*'Business Case'!G13*$D625-'Business Case'!G14*$E625))*'Business Case'!$B$7-'Business Case'!$B$8*(('Business Case'!G11*$C625*'Business Case'!G12*$B625)-('Business Case'!F11*$C625*'Business Case'!F12*$B625))-'Business Case'!G15*$F625+'Business Case'!$B$8*('Business Case'!G11*$C625*'Business Case'!G12*$B625)</f>
        <v>1013735800.93393</v>
      </c>
      <c r="N625" s="53" t="n">
        <f aca="false">IF(COUNT('Business Case'!B11:G11)=0,"",H625+NPV(G625,I625:M625))</f>
        <v>-138456733.026922</v>
      </c>
      <c r="P625" s="54" t="n">
        <f aca="true">RAND()</f>
        <v>0.750969980577234</v>
      </c>
      <c r="Q625" s="54" t="n">
        <f aca="true">RAND()</f>
        <v>0.497345059182783</v>
      </c>
      <c r="R625" s="54" t="n">
        <f aca="true">RAND()</f>
        <v>0.223489198078401</v>
      </c>
      <c r="S625" s="54" t="n">
        <f aca="true">RAND()</f>
        <v>0.848977300578869</v>
      </c>
      <c r="T625" s="54" t="n">
        <f aca="true">RAND()</f>
        <v>0.579665425610769</v>
      </c>
      <c r="U625" s="54" t="n">
        <f aca="true">RAND()</f>
        <v>0.410469806827169</v>
      </c>
    </row>
    <row r="626" customFormat="false" ht="15" hidden="false" customHeight="false" outlineLevel="0" collapsed="false">
      <c r="A626" s="50" t="n">
        <v>546</v>
      </c>
      <c r="B626" s="51" t="n">
        <f aca="false">1+IF($G$6=$E$6,$F$6,IF(P626&lt;($F$6-$E$6)/($G$6-$E$6),$E$6+SQRT(P626*($G$6-$E$6)*($F$6-$E$6)),$G$6-SQRT((1-P626)*($G$6-$E$6)*($G$6-$F$6))))</f>
        <v>0.995906840937151</v>
      </c>
      <c r="C626" s="51" t="n">
        <f aca="false">1+IF($G$7=$E$7,$F$7,IF(Q626&lt;($F$7-$E$7)/($G$7-$E$7),$E$7+SQRT(Q626*($G$7-$E$7)*($F$7-$E$7)),$G$7-SQRT((1-Q626)*($G$7-$E$7)*($G$7-$F$7))))</f>
        <v>0.919678611977062</v>
      </c>
      <c r="D626" s="51" t="n">
        <f aca="false">1+IF($G$8=$E$8,$F$8,IF(R626&lt;($F$8-$E$8)/($G$8-$E$8),$E$8+SQRT(R626*($G$8-$E$8)*($F$8-$E$8)),$G$8-SQRT((1-R626)*($G$8-$E$8)*($G$8-$F$8))))</f>
        <v>0.975417824746836</v>
      </c>
      <c r="E626" s="51" t="n">
        <f aca="false">1+IF($G$9=$E$9,$F$9,IF(S626&lt;($F$9-$E$9)/($G$9-$E$9),$E$9+SQRT(S626*($G$9-$E$9)*($F$9-$E$9)),$G$9-SQRT((1-S626)*($G$9-$E$9)*($G$9-$F$9))))</f>
        <v>0.97766079015144</v>
      </c>
      <c r="F626" s="51" t="n">
        <f aca="false">1+IF($G$10=$E$10,$F$10,IF(T626&lt;($F$10-$E$10)/($G$10-$E$10),$E$10+SQRT(T626*($G$10-$E$10)*($F$10-$E$10)),$G$10-SQRT((1-T626)*($G$10-$E$10)*($G$10-$F$10))))</f>
        <v>0.999552890130269</v>
      </c>
      <c r="G626" s="52" t="n">
        <f aca="false">IF($G$11=$E$11,$F$11,IF(U626&lt;($F$11-$E$11)/($G$11-$E$11),$E$11+SQRT(U626*($G$11-$E$11)*($F$11-$E$11)),$G$11-SQRT((1-U626)*($G$11-$E$11)*($G$11-$F$11))))</f>
        <v>0.114847747340307</v>
      </c>
      <c r="H626" s="53" t="n">
        <f aca="false">(('Business Case'!B11*$C626*'Business Case'!B12*$B626)-'Business Case'!B11*$C626*'Business Case'!B13*$D626-'Business Case'!B14*$E626)-MAX(0,(('Business Case'!B11*$C626*'Business Case'!B12*$B626)-'Business Case'!B11*$C626*'Business Case'!B13*$D626-'Business Case'!B14*$E626))*'Business Case'!$B$7-'Business Case'!$B$8*('Business Case'!B11*$C626*'Business Case'!B12*$B626)-'Business Case'!B15*$F626</f>
        <v>-1999105780.26054</v>
      </c>
      <c r="I626" s="53" t="n">
        <f aca="false">(('Business Case'!C11*$C626*'Business Case'!C12*$B626)-'Business Case'!C11*$C626*'Business Case'!C13*$D626-'Business Case'!C14*$E626)-MAX(0,(('Business Case'!C11*$C626*'Business Case'!C12*$B626)-'Business Case'!C11*$C626*'Business Case'!C13*$D626-'Business Case'!C14*$E626))*'Business Case'!$B$7-'Business Case'!$B$8*(('Business Case'!C11*$C626*'Business Case'!C12*$B626)-('Business Case'!B11*$C626*'Business Case'!B12*$B626))-'Business Case'!C15*$F626</f>
        <v>4511505.49316688</v>
      </c>
      <c r="J626" s="53" t="n">
        <f aca="false">(('Business Case'!D11*$C626*'Business Case'!D12*$B626)-'Business Case'!D11*$C626*'Business Case'!D13*$D626-'Business Case'!D14*$E626)-MAX(0,(('Business Case'!D11*$C626*'Business Case'!D12*$B626)-'Business Case'!D11*$C626*'Business Case'!D13*$D626-'Business Case'!D14*$E626))*'Business Case'!$B$7-'Business Case'!$B$8*(('Business Case'!D11*$C626*'Business Case'!D12*$B626)-('Business Case'!C11*$C626*'Business Case'!C12*$B626))-'Business Case'!D15*$F626</f>
        <v>295482657.582354</v>
      </c>
      <c r="K626" s="53" t="n">
        <f aca="false">(('Business Case'!E11*$C626*'Business Case'!E12*$B626)-'Business Case'!E11*$C626*'Business Case'!E13*$D626-'Business Case'!E14*$E626)-MAX(0,(('Business Case'!E11*$C626*'Business Case'!E12*$B626)-'Business Case'!E11*$C626*'Business Case'!E13*$D626-'Business Case'!E14*$E626))*'Business Case'!$B$7-'Business Case'!$B$8*(('Business Case'!E11*$C626*'Business Case'!E12*$B626)-('Business Case'!D11*$C626*'Business Case'!D12*$B626))-'Business Case'!E15*$F626</f>
        <v>636431454.178055</v>
      </c>
      <c r="L626" s="53" t="n">
        <f aca="false">(('Business Case'!F11*$C626*'Business Case'!F12*$B626)-'Business Case'!F11*$C626*'Business Case'!F13*$D626-'Business Case'!F14*$E626)-MAX(0,(('Business Case'!F11*$C626*'Business Case'!F12*$B626)-'Business Case'!F11*$C626*'Business Case'!F13*$D626-'Business Case'!F14*$E626))*'Business Case'!$B$7-'Business Case'!$B$8*(('Business Case'!F11*$C626*'Business Case'!F12*$B626)-('Business Case'!E11*$C626*'Business Case'!E12*$B626))-'Business Case'!F15*$F626</f>
        <v>765075833.690091</v>
      </c>
      <c r="M626" s="53" t="n">
        <f aca="false">(('Business Case'!G11*$C626*'Business Case'!G12*$B626)-'Business Case'!G11*$C626*'Business Case'!G13*$D626-'Business Case'!G14*$E626)-MAX(0,(('Business Case'!G11*$C626*'Business Case'!G12*$B626)-'Business Case'!G11*$C626*'Business Case'!G13*$D626-'Business Case'!G14*$E626))*'Business Case'!$B$7-'Business Case'!$B$8*(('Business Case'!G11*$C626*'Business Case'!G12*$B626)-('Business Case'!F11*$C626*'Business Case'!F12*$B626))-'Business Case'!G15*$F626+'Business Case'!$B$8*('Business Case'!G11*$C626*'Business Case'!G12*$B626)</f>
        <v>939172808.842774</v>
      </c>
      <c r="N626" s="53" t="n">
        <f aca="false">IF(COUNT('Business Case'!B11:G11)=0,"",H626+NPV(G626,I626:M626))</f>
        <v>-257400099.855808</v>
      </c>
      <c r="P626" s="54" t="n">
        <f aca="true">RAND()</f>
        <v>0.600192552193534</v>
      </c>
      <c r="Q626" s="54" t="n">
        <f aca="true">RAND()</f>
        <v>0.204613859496516</v>
      </c>
      <c r="R626" s="54" t="n">
        <f aca="true">RAND()</f>
        <v>0.0993947407478231</v>
      </c>
      <c r="S626" s="54" t="n">
        <f aca="true">RAND()</f>
        <v>0.102015908240264</v>
      </c>
      <c r="T626" s="54" t="n">
        <f aca="true">RAND()</f>
        <v>0.196439113620999</v>
      </c>
      <c r="U626" s="54" t="n">
        <f aca="true">RAND()</f>
        <v>0.955757154217818</v>
      </c>
    </row>
    <row r="627" customFormat="false" ht="15" hidden="false" customHeight="false" outlineLevel="0" collapsed="false">
      <c r="A627" s="50" t="n">
        <v>547</v>
      </c>
      <c r="B627" s="51" t="n">
        <f aca="false">1+IF($G$6=$E$6,$F$6,IF(P627&lt;($F$6-$E$6)/($G$6-$E$6),$E$6+SQRT(P627*($G$6-$E$6)*($F$6-$E$6)),$G$6-SQRT((1-P627)*($G$6-$E$6)*($G$6-$F$6))))</f>
        <v>1.01156024771359</v>
      </c>
      <c r="C627" s="51" t="n">
        <f aca="false">1+IF($G$7=$E$7,$F$7,IF(Q627&lt;($F$7-$E$7)/($G$7-$E$7),$E$7+SQRT(Q627*($G$7-$E$7)*($F$7-$E$7)),$G$7-SQRT((1-Q627)*($G$7-$E$7)*($G$7-$F$7))))</f>
        <v>1.0091251589798</v>
      </c>
      <c r="D627" s="51" t="n">
        <f aca="false">1+IF($G$8=$E$8,$F$8,IF(R627&lt;($F$8-$E$8)/($G$8-$E$8),$E$8+SQRT(R627*($G$8-$E$8)*($F$8-$E$8)),$G$8-SQRT((1-R627)*($G$8-$E$8)*($G$8-$F$8))))</f>
        <v>1.04360431851817</v>
      </c>
      <c r="E627" s="51" t="n">
        <f aca="false">1+IF($G$9=$E$9,$F$9,IF(S627&lt;($F$9-$E$9)/($G$9-$E$9),$E$9+SQRT(S627*($G$9-$E$9)*($F$9-$E$9)),$G$9-SQRT((1-S627)*($G$9-$E$9)*($G$9-$F$9))))</f>
        <v>1.00936646525378</v>
      </c>
      <c r="F627" s="51" t="n">
        <f aca="false">1+IF($G$10=$E$10,$F$10,IF(T627&lt;($F$10-$E$10)/($G$10-$E$10),$E$10+SQRT(T627*($G$10-$E$10)*($F$10-$E$10)),$G$10-SQRT((1-T627)*($G$10-$E$10)*($G$10-$F$10))))</f>
        <v>1.00799688091493</v>
      </c>
      <c r="G627" s="52" t="n">
        <f aca="false">IF($G$11=$E$11,$F$11,IF(U627&lt;($F$11-$E$11)/($G$11-$E$11),$E$11+SQRT(U627*($G$11-$E$11)*($F$11-$E$11)),$G$11-SQRT((1-U627)*($G$11-$E$11)*($G$11-$F$11))))</f>
        <v>0.0979208292590234</v>
      </c>
      <c r="H627" s="53" t="n">
        <f aca="false">(('Business Case'!B11*$C627*'Business Case'!B12*$B627)-'Business Case'!B11*$C627*'Business Case'!B13*$D627-'Business Case'!B14*$E627)-MAX(0,(('Business Case'!B11*$C627*'Business Case'!B12*$B627)-'Business Case'!B11*$C627*'Business Case'!B13*$D627-'Business Case'!B14*$E627))*'Business Case'!$B$7-'Business Case'!$B$8*('Business Case'!B11*$C627*'Business Case'!B12*$B627)-'Business Case'!B15*$F627</f>
        <v>-2015993761.82985</v>
      </c>
      <c r="I627" s="53" t="n">
        <f aca="false">(('Business Case'!C11*$C627*'Business Case'!C12*$B627)-'Business Case'!C11*$C627*'Business Case'!C13*$D627-'Business Case'!C14*$E627)-MAX(0,(('Business Case'!C11*$C627*'Business Case'!C12*$B627)-'Business Case'!C11*$C627*'Business Case'!C13*$D627-'Business Case'!C14*$E627))*'Business Case'!$B$7-'Business Case'!$B$8*(('Business Case'!C11*$C627*'Business Case'!C12*$B627)-('Business Case'!B11*$C627*'Business Case'!B12*$B627))-'Business Case'!C15*$F627</f>
        <v>-265124.105041608</v>
      </c>
      <c r="J627" s="53" t="n">
        <f aca="false">(('Business Case'!D11*$C627*'Business Case'!D12*$B627)-'Business Case'!D11*$C627*'Business Case'!D13*$D627-'Business Case'!D14*$E627)-MAX(0,(('Business Case'!D11*$C627*'Business Case'!D12*$B627)-'Business Case'!D11*$C627*'Business Case'!D13*$D627-'Business Case'!D14*$E627))*'Business Case'!$B$7-'Business Case'!$B$8*(('Business Case'!D11*$C627*'Business Case'!D12*$B627)-('Business Case'!C11*$C627*'Business Case'!C12*$B627))-'Business Case'!D15*$F627</f>
        <v>296719151.278335</v>
      </c>
      <c r="K627" s="53" t="n">
        <f aca="false">(('Business Case'!E11*$C627*'Business Case'!E12*$B627)-'Business Case'!E11*$C627*'Business Case'!E13*$D627-'Business Case'!E14*$E627)-MAX(0,(('Business Case'!E11*$C627*'Business Case'!E12*$B627)-'Business Case'!E11*$C627*'Business Case'!E13*$D627-'Business Case'!E14*$E627))*'Business Case'!$B$7-'Business Case'!$B$8*(('Business Case'!E11*$C627*'Business Case'!E12*$B627)-('Business Case'!D11*$C627*'Business Case'!D12*$B627))-'Business Case'!E15*$F627</f>
        <v>644103270.707458</v>
      </c>
      <c r="L627" s="53" t="n">
        <f aca="false">(('Business Case'!F11*$C627*'Business Case'!F12*$B627)-'Business Case'!F11*$C627*'Business Case'!F13*$D627-'Business Case'!F14*$E627)-MAX(0,(('Business Case'!F11*$C627*'Business Case'!F12*$B627)-'Business Case'!F11*$C627*'Business Case'!F13*$D627-'Business Case'!F14*$E627))*'Business Case'!$B$7-'Business Case'!$B$8*(('Business Case'!F11*$C627*'Business Case'!F12*$B627)-('Business Case'!E11*$C627*'Business Case'!E12*$B627))-'Business Case'!F15*$F627</f>
        <v>778376562.527142</v>
      </c>
      <c r="M627" s="53" t="n">
        <f aca="false">(('Business Case'!G11*$C627*'Business Case'!G12*$B627)-'Business Case'!G11*$C627*'Business Case'!G13*$D627-'Business Case'!G14*$E627)-MAX(0,(('Business Case'!G11*$C627*'Business Case'!G12*$B627)-'Business Case'!G11*$C627*'Business Case'!G13*$D627-'Business Case'!G14*$E627))*'Business Case'!$B$7-'Business Case'!$B$8*(('Business Case'!G11*$C627*'Business Case'!G12*$B627)-('Business Case'!F11*$C627*'Business Case'!F12*$B627))-'Business Case'!G15*$F627+'Business Case'!$B$8*('Business Case'!G11*$C627*'Business Case'!G12*$B627)</f>
        <v>972408495.999213</v>
      </c>
      <c r="N627" s="53" t="n">
        <f aca="false">IF(COUNT('Business Case'!B11:G11)=0,"",H627+NPV(G627,I627:M627))</f>
        <v>-138196126.953571</v>
      </c>
      <c r="P627" s="54" t="n">
        <f aca="true">RAND()</f>
        <v>0.831495935393275</v>
      </c>
      <c r="Q627" s="54" t="n">
        <f aca="true">RAND()</f>
        <v>0.621986269857765</v>
      </c>
      <c r="R627" s="54" t="n">
        <f aca="true">RAND()</f>
        <v>0.872630227833954</v>
      </c>
      <c r="S627" s="54" t="n">
        <f aca="true">RAND()</f>
        <v>0.452370825293744</v>
      </c>
      <c r="T627" s="54" t="n">
        <f aca="true">RAND()</f>
        <v>0.262696045232052</v>
      </c>
      <c r="U627" s="54" t="n">
        <f aca="true">RAND()</f>
        <v>0.209131787168673</v>
      </c>
    </row>
    <row r="628" customFormat="false" ht="15" hidden="false" customHeight="false" outlineLevel="0" collapsed="false">
      <c r="A628" s="50" t="n">
        <v>548</v>
      </c>
      <c r="B628" s="51" t="n">
        <f aca="false">1+IF($G$6=$E$6,$F$6,IF(P628&lt;($F$6-$E$6)/($G$6-$E$6),$E$6+SQRT(P628*($G$6-$E$6)*($F$6-$E$6)),$G$6-SQRT((1-P628)*($G$6-$E$6)*($G$6-$F$6))))</f>
        <v>1.00115751661363</v>
      </c>
      <c r="C628" s="51" t="n">
        <f aca="false">1+IF($G$7=$E$7,$F$7,IF(Q628&lt;($F$7-$E$7)/($G$7-$E$7),$E$7+SQRT(Q628*($G$7-$E$7)*($F$7-$E$7)),$G$7-SQRT((1-Q628)*($G$7-$E$7)*($G$7-$F$7))))</f>
        <v>0.884887229978494</v>
      </c>
      <c r="D628" s="51" t="n">
        <f aca="false">1+IF($G$8=$E$8,$F$8,IF(R628&lt;($F$8-$E$8)/($G$8-$E$8),$E$8+SQRT(R628*($G$8-$E$8)*($F$8-$E$8)),$G$8-SQRT((1-R628)*($G$8-$E$8)*($G$8-$F$8))))</f>
        <v>1.01485895162604</v>
      </c>
      <c r="E628" s="51" t="n">
        <f aca="false">1+IF($G$9=$E$9,$F$9,IF(S628&lt;($F$9-$E$9)/($G$9-$E$9),$E$9+SQRT(S628*($G$9-$E$9)*($F$9-$E$9)),$G$9-SQRT((1-S628)*($G$9-$E$9)*($G$9-$F$9))))</f>
        <v>0.988866201314586</v>
      </c>
      <c r="F628" s="51" t="n">
        <f aca="false">1+IF($G$10=$E$10,$F$10,IF(T628&lt;($F$10-$E$10)/($G$10-$E$10),$E$10+SQRT(T628*($G$10-$E$10)*($F$10-$E$10)),$G$10-SQRT((1-T628)*($G$10-$E$10)*($G$10-$F$10))))</f>
        <v>1.07587770076443</v>
      </c>
      <c r="G628" s="52" t="n">
        <f aca="false">IF($G$11=$E$11,$F$11,IF(U628&lt;($F$11-$E$11)/($G$11-$E$11),$E$11+SQRT(U628*($G$11-$E$11)*($F$11-$E$11)),$G$11-SQRT((1-U628)*($G$11-$E$11)*($G$11-$F$11))))</f>
        <v>0.102858887964775</v>
      </c>
      <c r="H628" s="53" t="n">
        <f aca="false">(('Business Case'!B11*$C628*'Business Case'!B12*$B628)-'Business Case'!B11*$C628*'Business Case'!B13*$D628-'Business Case'!B14*$E628)-MAX(0,(('Business Case'!B11*$C628*'Business Case'!B12*$B628)-'Business Case'!B11*$C628*'Business Case'!B13*$D628-'Business Case'!B14*$E628))*'Business Case'!$B$7-'Business Case'!$B$8*('Business Case'!B11*$C628*'Business Case'!B12*$B628)-'Business Case'!B15*$F628</f>
        <v>-2151755401.52887</v>
      </c>
      <c r="I628" s="53" t="n">
        <f aca="false">(('Business Case'!C11*$C628*'Business Case'!C12*$B628)-'Business Case'!C11*$C628*'Business Case'!C13*$D628-'Business Case'!C14*$E628)-MAX(0,(('Business Case'!C11*$C628*'Business Case'!C12*$B628)-'Business Case'!C11*$C628*'Business Case'!C13*$D628-'Business Case'!C14*$E628))*'Business Case'!$B$7-'Business Case'!$B$8*(('Business Case'!C11*$C628*'Business Case'!C12*$B628)-('Business Case'!B11*$C628*'Business Case'!B12*$B628))-'Business Case'!C15*$F628</f>
        <v>-28227339.7924639</v>
      </c>
      <c r="J628" s="53" t="n">
        <f aca="false">(('Business Case'!D11*$C628*'Business Case'!D12*$B628)-'Business Case'!D11*$C628*'Business Case'!D13*$D628-'Business Case'!D14*$E628)-MAX(0,(('Business Case'!D11*$C628*'Business Case'!D12*$B628)-'Business Case'!D11*$C628*'Business Case'!D13*$D628-'Business Case'!D14*$E628))*'Business Case'!$B$7-'Business Case'!$B$8*(('Business Case'!D11*$C628*'Business Case'!D12*$B628)-('Business Case'!C11*$C628*'Business Case'!C12*$B628))-'Business Case'!D15*$F628</f>
        <v>237675516.563902</v>
      </c>
      <c r="K628" s="53" t="n">
        <f aca="false">(('Business Case'!E11*$C628*'Business Case'!E12*$B628)-'Business Case'!E11*$C628*'Business Case'!E13*$D628-'Business Case'!E14*$E628)-MAX(0,(('Business Case'!E11*$C628*'Business Case'!E12*$B628)-'Business Case'!E11*$C628*'Business Case'!E13*$D628-'Business Case'!E14*$E628))*'Business Case'!$B$7-'Business Case'!$B$8*(('Business Case'!E11*$C628*'Business Case'!E12*$B628)-('Business Case'!D11*$C628*'Business Case'!D12*$B628))-'Business Case'!E15*$F628</f>
        <v>557372257.95849</v>
      </c>
      <c r="L628" s="53" t="n">
        <f aca="false">(('Business Case'!F11*$C628*'Business Case'!F12*$B628)-'Business Case'!F11*$C628*'Business Case'!F13*$D628-'Business Case'!F14*$E628)-MAX(0,(('Business Case'!F11*$C628*'Business Case'!F12*$B628)-'Business Case'!F11*$C628*'Business Case'!F13*$D628-'Business Case'!F14*$E628))*'Business Case'!$B$7-'Business Case'!$B$8*(('Business Case'!F11*$C628*'Business Case'!F12*$B628)-('Business Case'!E11*$C628*'Business Case'!E12*$B628))-'Business Case'!F15*$F628</f>
        <v>676623644.90758</v>
      </c>
      <c r="M628" s="53" t="n">
        <f aca="false">(('Business Case'!G11*$C628*'Business Case'!G12*$B628)-'Business Case'!G11*$C628*'Business Case'!G13*$D628-'Business Case'!G14*$E628)-MAX(0,(('Business Case'!G11*$C628*'Business Case'!G12*$B628)-'Business Case'!G11*$C628*'Business Case'!G13*$D628-'Business Case'!G14*$E628))*'Business Case'!$B$7-'Business Case'!$B$8*(('Business Case'!G11*$C628*'Business Case'!G12*$B628)-('Business Case'!F11*$C628*'Business Case'!F12*$B628))-'Business Case'!G15*$F628+'Business Case'!$B$8*('Business Case'!G11*$C628*'Business Case'!G12*$B628)</f>
        <v>845017703.140906</v>
      </c>
      <c r="N628" s="53" t="n">
        <f aca="false">IF(COUNT('Business Case'!B11:G11)=0,"",H628+NPV(G628,I628:M628))</f>
        <v>-591133522.296187</v>
      </c>
      <c r="P628" s="54" t="n">
        <f aca="true">RAND()</f>
        <v>0.685679475912484</v>
      </c>
      <c r="Q628" s="54" t="n">
        <f aca="true">RAND()</f>
        <v>0.102940597334595</v>
      </c>
      <c r="R628" s="54" t="n">
        <f aca="true">RAND()</f>
        <v>0.59198498237904</v>
      </c>
      <c r="S628" s="54" t="n">
        <f aca="true">RAND()</f>
        <v>0.201410880616793</v>
      </c>
      <c r="T628" s="54" t="n">
        <f aca="true">RAND()</f>
        <v>0.691873096649534</v>
      </c>
      <c r="U628" s="54" t="n">
        <f aca="true">RAND()</f>
        <v>0.510303796993114</v>
      </c>
    </row>
    <row r="629" customFormat="false" ht="15" hidden="false" customHeight="false" outlineLevel="0" collapsed="false">
      <c r="A629" s="50" t="n">
        <v>549</v>
      </c>
      <c r="B629" s="51" t="n">
        <f aca="false">1+IF($G$6=$E$6,$F$6,IF(P629&lt;($F$6-$E$6)/($G$6-$E$6),$E$6+SQRT(P629*($G$6-$E$6)*($F$6-$E$6)),$G$6-SQRT((1-P629)*($G$6-$E$6)*($G$6-$F$6))))</f>
        <v>0.981255752544104</v>
      </c>
      <c r="C629" s="51" t="n">
        <f aca="false">1+IF($G$7=$E$7,$F$7,IF(Q629&lt;($F$7-$E$7)/($G$7-$E$7),$E$7+SQRT(Q629*($G$7-$E$7)*($F$7-$E$7)),$G$7-SQRT((1-Q629)*($G$7-$E$7)*($G$7-$F$7))))</f>
        <v>0.981130626534392</v>
      </c>
      <c r="D629" s="51" t="n">
        <f aca="false">1+IF($G$8=$E$8,$F$8,IF(R629&lt;($F$8-$E$8)/($G$8-$E$8),$E$8+SQRT(R629*($G$8-$E$8)*($F$8-$E$8)),$G$8-SQRT((1-R629)*($G$8-$E$8)*($G$8-$F$8))))</f>
        <v>0.969484359242795</v>
      </c>
      <c r="E629" s="51" t="n">
        <f aca="false">1+IF($G$9=$E$9,$F$9,IF(S629&lt;($F$9-$E$9)/($G$9-$E$9),$E$9+SQRT(S629*($G$9-$E$9)*($F$9-$E$9)),$G$9-SQRT((1-S629)*($G$9-$E$9)*($G$9-$F$9))))</f>
        <v>1.01565123563533</v>
      </c>
      <c r="F629" s="51" t="n">
        <f aca="false">1+IF($G$10=$E$10,$F$10,IF(T629&lt;($F$10-$E$10)/($G$10-$E$10),$E$10+SQRT(T629*($G$10-$E$10)*($F$10-$E$10)),$G$10-SQRT((1-T629)*($G$10-$E$10)*($G$10-$F$10))))</f>
        <v>1.04024730215983</v>
      </c>
      <c r="G629" s="52" t="n">
        <f aca="false">IF($G$11=$E$11,$F$11,IF(U629&lt;($F$11-$E$11)/($G$11-$E$11),$E$11+SQRT(U629*($G$11-$E$11)*($F$11-$E$11)),$G$11-SQRT((1-U629)*($G$11-$E$11)*($G$11-$F$11))))</f>
        <v>0.103590034110164</v>
      </c>
      <c r="H629" s="53" t="n">
        <f aca="false">(('Business Case'!B11*$C629*'Business Case'!B12*$B629)-'Business Case'!B11*$C629*'Business Case'!B13*$D629-'Business Case'!B14*$E629)-MAX(0,(('Business Case'!B11*$C629*'Business Case'!B12*$B629)-'Business Case'!B11*$C629*'Business Case'!B13*$D629-'Business Case'!B14*$E629))*'Business Case'!$B$7-'Business Case'!$B$8*('Business Case'!B11*$C629*'Business Case'!B12*$B629)-'Business Case'!B15*$F629</f>
        <v>-2080494604.31965</v>
      </c>
      <c r="I629" s="53" t="n">
        <f aca="false">(('Business Case'!C11*$C629*'Business Case'!C12*$B629)-'Business Case'!C11*$C629*'Business Case'!C13*$D629-'Business Case'!C14*$E629)-MAX(0,(('Business Case'!C11*$C629*'Business Case'!C12*$B629)-'Business Case'!C11*$C629*'Business Case'!C13*$D629-'Business Case'!C14*$E629))*'Business Case'!$B$7-'Business Case'!$B$8*(('Business Case'!C11*$C629*'Business Case'!C12*$B629)-('Business Case'!B11*$C629*'Business Case'!B12*$B629))-'Business Case'!C15*$F629</f>
        <v>3261061.75065964</v>
      </c>
      <c r="J629" s="53" t="n">
        <f aca="false">(('Business Case'!D11*$C629*'Business Case'!D12*$B629)-'Business Case'!D11*$C629*'Business Case'!D13*$D629-'Business Case'!D14*$E629)-MAX(0,(('Business Case'!D11*$C629*'Business Case'!D12*$B629)-'Business Case'!D11*$C629*'Business Case'!D13*$D629-'Business Case'!D14*$E629))*'Business Case'!$B$7-'Business Case'!$B$8*(('Business Case'!D11*$C629*'Business Case'!D12*$B629)-('Business Case'!C11*$C629*'Business Case'!C12*$B629))-'Business Case'!D15*$F629</f>
        <v>304880904.720013</v>
      </c>
      <c r="K629" s="53" t="n">
        <f aca="false">(('Business Case'!E11*$C629*'Business Case'!E12*$B629)-'Business Case'!E11*$C629*'Business Case'!E13*$D629-'Business Case'!E14*$E629)-MAX(0,(('Business Case'!E11*$C629*'Business Case'!E12*$B629)-'Business Case'!E11*$C629*'Business Case'!E13*$D629-'Business Case'!E14*$E629))*'Business Case'!$B$7-'Business Case'!$B$8*(('Business Case'!E11*$C629*'Business Case'!E12*$B629)-('Business Case'!D11*$C629*'Business Case'!D12*$B629))-'Business Case'!E15*$F629</f>
        <v>658513112.797357</v>
      </c>
      <c r="L629" s="53" t="n">
        <f aca="false">(('Business Case'!F11*$C629*'Business Case'!F12*$B629)-'Business Case'!F11*$C629*'Business Case'!F13*$D629-'Business Case'!F14*$E629)-MAX(0,(('Business Case'!F11*$C629*'Business Case'!F12*$B629)-'Business Case'!F11*$C629*'Business Case'!F13*$D629-'Business Case'!F14*$E629))*'Business Case'!$B$7-'Business Case'!$B$8*(('Business Case'!F11*$C629*'Business Case'!F12*$B629)-('Business Case'!E11*$C629*'Business Case'!E12*$B629))-'Business Case'!F15*$F629</f>
        <v>792325357.317386</v>
      </c>
      <c r="M629" s="53" t="n">
        <f aca="false">(('Business Case'!G11*$C629*'Business Case'!G12*$B629)-'Business Case'!G11*$C629*'Business Case'!G13*$D629-'Business Case'!G14*$E629)-MAX(0,(('Business Case'!G11*$C629*'Business Case'!G12*$B629)-'Business Case'!G11*$C629*'Business Case'!G13*$D629-'Business Case'!G14*$E629))*'Business Case'!$B$7-'Business Case'!$B$8*(('Business Case'!G11*$C629*'Business Case'!G12*$B629)-('Business Case'!F11*$C629*'Business Case'!F12*$B629))-'Business Case'!G15*$F629+'Business Case'!$B$8*('Business Case'!G11*$C629*'Business Case'!G12*$B629)</f>
        <v>975322990.067062</v>
      </c>
      <c r="N629" s="53" t="n">
        <f aca="false">IF(COUNT('Business Case'!B11:G11)=0,"",H629+NPV(G629,I629:M629))</f>
        <v>-207296756.636165</v>
      </c>
      <c r="P629" s="54" t="n">
        <f aca="true">RAND()</f>
        <v>0.390861168723381</v>
      </c>
      <c r="Q629" s="54" t="n">
        <f aca="true">RAND()</f>
        <v>0.468690055267735</v>
      </c>
      <c r="R629" s="54" t="n">
        <f aca="true">RAND()</f>
        <v>0.0584061930926625</v>
      </c>
      <c r="S629" s="54" t="n">
        <f aca="true">RAND()</f>
        <v>0.525685730010262</v>
      </c>
      <c r="T629" s="54" t="n">
        <f aca="true">RAND()</f>
        <v>0.48958151065573</v>
      </c>
      <c r="U629" s="54" t="n">
        <f aca="true">RAND()</f>
        <v>0.551188365824049</v>
      </c>
    </row>
    <row r="630" customFormat="false" ht="15" hidden="false" customHeight="false" outlineLevel="0" collapsed="false">
      <c r="A630" s="50" t="n">
        <v>550</v>
      </c>
      <c r="B630" s="51" t="n">
        <f aca="false">1+IF($G$6=$E$6,$F$6,IF(P630&lt;($F$6-$E$6)/($G$6-$E$6),$E$6+SQRT(P630*($G$6-$E$6)*($F$6-$E$6)),$G$6-SQRT((1-P630)*($G$6-$E$6)*($G$6-$F$6))))</f>
        <v>1.02452751737506</v>
      </c>
      <c r="C630" s="51" t="n">
        <f aca="false">1+IF($G$7=$E$7,$F$7,IF(Q630&lt;($F$7-$E$7)/($G$7-$E$7),$E$7+SQRT(Q630*($G$7-$E$7)*($F$7-$E$7)),$G$7-SQRT((1-Q630)*($G$7-$E$7)*($G$7-$F$7))))</f>
        <v>0.872233625032837</v>
      </c>
      <c r="D630" s="51" t="n">
        <f aca="false">1+IF($G$8=$E$8,$F$8,IF(R630&lt;($F$8-$E$8)/($G$8-$E$8),$E$8+SQRT(R630*($G$8-$E$8)*($F$8-$E$8)),$G$8-SQRT((1-R630)*($G$8-$E$8)*($G$8-$F$8))))</f>
        <v>1.05232739856094</v>
      </c>
      <c r="E630" s="51" t="n">
        <f aca="false">1+IF($G$9=$E$9,$F$9,IF(S630&lt;($F$9-$E$9)/($G$9-$E$9),$E$9+SQRT(S630*($G$9-$E$9)*($F$9-$E$9)),$G$9-SQRT((1-S630)*($G$9-$E$9)*($G$9-$F$9))))</f>
        <v>1.04115811100698</v>
      </c>
      <c r="F630" s="51" t="n">
        <f aca="false">1+IF($G$10=$E$10,$F$10,IF(T630&lt;($F$10-$E$10)/($G$10-$E$10),$E$10+SQRT(T630*($G$10-$E$10)*($F$10-$E$10)),$G$10-SQRT((1-T630)*($G$10-$E$10)*($G$10-$F$10))))</f>
        <v>1.09634172995925</v>
      </c>
      <c r="G630" s="52" t="n">
        <f aca="false">IF($G$11=$E$11,$F$11,IF(U630&lt;($F$11-$E$11)/($G$11-$E$11),$E$11+SQRT(U630*($G$11-$E$11)*($F$11-$E$11)),$G$11-SQRT((1-U630)*($G$11-$E$11)*($G$11-$F$11))))</f>
        <v>0.0983689009351071</v>
      </c>
      <c r="H630" s="53" t="n">
        <f aca="false">(('Business Case'!B11*$C630*'Business Case'!B12*$B630)-'Business Case'!B11*$C630*'Business Case'!B13*$D630-'Business Case'!B14*$E630)-MAX(0,(('Business Case'!B11*$C630*'Business Case'!B12*$B630)-'Business Case'!B11*$C630*'Business Case'!B13*$D630-'Business Case'!B14*$E630))*'Business Case'!$B$7-'Business Case'!$B$8*('Business Case'!B11*$C630*'Business Case'!B12*$B630)-'Business Case'!B15*$F630</f>
        <v>-2192683459.9185</v>
      </c>
      <c r="I630" s="53" t="n">
        <f aca="false">(('Business Case'!C11*$C630*'Business Case'!C12*$B630)-'Business Case'!C11*$C630*'Business Case'!C13*$D630-'Business Case'!C14*$E630)-MAX(0,(('Business Case'!C11*$C630*'Business Case'!C12*$B630)-'Business Case'!C11*$C630*'Business Case'!C13*$D630-'Business Case'!C14*$E630))*'Business Case'!$B$7-'Business Case'!$B$8*(('Business Case'!C11*$C630*'Business Case'!C12*$B630)-('Business Case'!B11*$C630*'Business Case'!B12*$B630))-'Business Case'!C15*$F630</f>
        <v>-41946101.9147069</v>
      </c>
      <c r="J630" s="53" t="n">
        <f aca="false">(('Business Case'!D11*$C630*'Business Case'!D12*$B630)-'Business Case'!D11*$C630*'Business Case'!D13*$D630-'Business Case'!D14*$E630)-MAX(0,(('Business Case'!D11*$C630*'Business Case'!D12*$B630)-'Business Case'!D11*$C630*'Business Case'!D13*$D630-'Business Case'!D14*$E630))*'Business Case'!$B$7-'Business Case'!$B$8*(('Business Case'!D11*$C630*'Business Case'!D12*$B630)-('Business Case'!C11*$C630*'Business Case'!C12*$B630))-'Business Case'!D15*$F630</f>
        <v>220120294.397785</v>
      </c>
      <c r="K630" s="53" t="n">
        <f aca="false">(('Business Case'!E11*$C630*'Business Case'!E12*$B630)-'Business Case'!E11*$C630*'Business Case'!E13*$D630-'Business Case'!E14*$E630)-MAX(0,(('Business Case'!E11*$C630*'Business Case'!E12*$B630)-'Business Case'!E11*$C630*'Business Case'!E13*$D630-'Business Case'!E14*$E630))*'Business Case'!$B$7-'Business Case'!$B$8*(('Business Case'!E11*$C630*'Business Case'!E12*$B630)-('Business Case'!D11*$C630*'Business Case'!D12*$B630))-'Business Case'!E15*$F630</f>
        <v>537003777.208239</v>
      </c>
      <c r="L630" s="53" t="n">
        <f aca="false">(('Business Case'!F11*$C630*'Business Case'!F12*$B630)-'Business Case'!F11*$C630*'Business Case'!F13*$D630-'Business Case'!F14*$E630)-MAX(0,(('Business Case'!F11*$C630*'Business Case'!F12*$B630)-'Business Case'!F11*$C630*'Business Case'!F13*$D630-'Business Case'!F14*$E630))*'Business Case'!$B$7-'Business Case'!$B$8*(('Business Case'!F11*$C630*'Business Case'!F12*$B630)-('Business Case'!E11*$C630*'Business Case'!E12*$B630))-'Business Case'!F15*$F630</f>
        <v>655243003.876457</v>
      </c>
      <c r="M630" s="53" t="n">
        <f aca="false">(('Business Case'!G11*$C630*'Business Case'!G12*$B630)-'Business Case'!G11*$C630*'Business Case'!G13*$D630-'Business Case'!G14*$E630)-MAX(0,(('Business Case'!G11*$C630*'Business Case'!G12*$B630)-'Business Case'!G11*$C630*'Business Case'!G13*$D630-'Business Case'!G14*$E630))*'Business Case'!$B$7-'Business Case'!$B$8*(('Business Case'!G11*$C630*'Business Case'!G12*$B630)-('Business Case'!F11*$C630*'Business Case'!F12*$B630))-'Business Case'!G15*$F630+'Business Case'!$B$8*('Business Case'!G11*$C630*'Business Case'!G12*$B630)</f>
        <v>825103690.645421</v>
      </c>
      <c r="N630" s="53" t="n">
        <f aca="false">IF(COUNT('Business Case'!B11:G11)=0,"",H630+NPV(G630,I630:M630))</f>
        <v>-676811630.646668</v>
      </c>
      <c r="P630" s="54" t="n">
        <f aca="true">RAND()</f>
        <v>0.950125475296039</v>
      </c>
      <c r="Q630" s="54" t="n">
        <f aca="true">RAND()</f>
        <v>0.0745385226483494</v>
      </c>
      <c r="R630" s="54" t="n">
        <f aca="true">RAND()</f>
        <v>0.9263679932303</v>
      </c>
      <c r="S630" s="54" t="n">
        <f aca="true">RAND()</f>
        <v>0.769175473315557</v>
      </c>
      <c r="T630" s="54" t="n">
        <f aca="true">RAND()</f>
        <v>0.785099261043182</v>
      </c>
      <c r="U630" s="54" t="n">
        <f aca="true">RAND()</f>
        <v>0.233461676205457</v>
      </c>
    </row>
    <row r="631" customFormat="false" ht="15" hidden="false" customHeight="false" outlineLevel="0" collapsed="false">
      <c r="A631" s="50" t="n">
        <v>551</v>
      </c>
      <c r="B631" s="51" t="n">
        <f aca="false">1+IF($G$6=$E$6,$F$6,IF(P631&lt;($F$6-$E$6)/($G$6-$E$6),$E$6+SQRT(P631*($G$6-$E$6)*($F$6-$E$6)),$G$6-SQRT((1-P631)*($G$6-$E$6)*($G$6-$F$6))))</f>
        <v>1.00850528792674</v>
      </c>
      <c r="C631" s="51" t="n">
        <f aca="false">1+IF($G$7=$E$7,$F$7,IF(Q631&lt;($F$7-$E$7)/($G$7-$E$7),$E$7+SQRT(Q631*($G$7-$E$7)*($F$7-$E$7)),$G$7-SQRT((1-Q631)*($G$7-$E$7)*($G$7-$F$7))))</f>
        <v>1.07341402696532</v>
      </c>
      <c r="D631" s="51" t="n">
        <f aca="false">1+IF($G$8=$E$8,$F$8,IF(R631&lt;($F$8-$E$8)/($G$8-$E$8),$E$8+SQRT(R631*($G$8-$E$8)*($F$8-$E$8)),$G$8-SQRT((1-R631)*($G$8-$E$8)*($G$8-$F$8))))</f>
        <v>0.954436533733476</v>
      </c>
      <c r="E631" s="51" t="n">
        <f aca="false">1+IF($G$9=$E$9,$F$9,IF(S631&lt;($F$9-$E$9)/($G$9-$E$9),$E$9+SQRT(S631*($G$9-$E$9)*($F$9-$E$9)),$G$9-SQRT((1-S631)*($G$9-$E$9)*($G$9-$F$9))))</f>
        <v>1.03370098375424</v>
      </c>
      <c r="F631" s="51" t="n">
        <f aca="false">1+IF($G$10=$E$10,$F$10,IF(T631&lt;($F$10-$E$10)/($G$10-$E$10),$E$10+SQRT(T631*($G$10-$E$10)*($F$10-$E$10)),$G$10-SQRT((1-T631)*($G$10-$E$10)*($G$10-$F$10))))</f>
        <v>1.00932008438864</v>
      </c>
      <c r="G631" s="52" t="n">
        <f aca="false">IF($G$11=$E$11,$F$11,IF(U631&lt;($F$11-$E$11)/($G$11-$E$11),$E$11+SQRT(U631*($G$11-$E$11)*($F$11-$E$11)),$G$11-SQRT((1-U631)*($G$11-$E$11)*($G$11-$F$11))))</f>
        <v>0.101322866273616</v>
      </c>
      <c r="H631" s="53" t="n">
        <f aca="false">(('Business Case'!B11*$C631*'Business Case'!B12*$B631)-'Business Case'!B11*$C631*'Business Case'!B13*$D631-'Business Case'!B14*$E631)-MAX(0,(('Business Case'!B11*$C631*'Business Case'!B12*$B631)-'Business Case'!B11*$C631*'Business Case'!B13*$D631-'Business Case'!B14*$E631))*'Business Case'!$B$7-'Business Case'!$B$8*('Business Case'!B11*$C631*'Business Case'!B12*$B631)-'Business Case'!B15*$F631</f>
        <v>-2018640168.77729</v>
      </c>
      <c r="I631" s="53" t="n">
        <f aca="false">(('Business Case'!C11*$C631*'Business Case'!C12*$B631)-'Business Case'!C11*$C631*'Business Case'!C13*$D631-'Business Case'!C14*$E631)-MAX(0,(('Business Case'!C11*$C631*'Business Case'!C12*$B631)-'Business Case'!C11*$C631*'Business Case'!C13*$D631-'Business Case'!C14*$E631))*'Business Case'!$B$7-'Business Case'!$B$8*(('Business Case'!C11*$C631*'Business Case'!C12*$B631)-('Business Case'!B11*$C631*'Business Case'!B12*$B631))-'Business Case'!C15*$F631</f>
        <v>58173008.9497339</v>
      </c>
      <c r="J631" s="53" t="n">
        <f aca="false">(('Business Case'!D11*$C631*'Business Case'!D12*$B631)-'Business Case'!D11*$C631*'Business Case'!D13*$D631-'Business Case'!D14*$E631)-MAX(0,(('Business Case'!D11*$C631*'Business Case'!D12*$B631)-'Business Case'!D11*$C631*'Business Case'!D13*$D631-'Business Case'!D14*$E631))*'Business Case'!$B$7-'Business Case'!$B$8*(('Business Case'!D11*$C631*'Business Case'!D12*$B631)-('Business Case'!C11*$C631*'Business Case'!C12*$B631))-'Business Case'!D15*$F631</f>
        <v>420389372.793734</v>
      </c>
      <c r="K631" s="53" t="n">
        <f aca="false">(('Business Case'!E11*$C631*'Business Case'!E12*$B631)-'Business Case'!E11*$C631*'Business Case'!E13*$D631-'Business Case'!E14*$E631)-MAX(0,(('Business Case'!E11*$C631*'Business Case'!E12*$B631)-'Business Case'!E11*$C631*'Business Case'!E13*$D631-'Business Case'!E14*$E631))*'Business Case'!$B$7-'Business Case'!$B$8*(('Business Case'!E11*$C631*'Business Case'!E12*$B631)-('Business Case'!D11*$C631*'Business Case'!D12*$B631))-'Business Case'!E15*$F631</f>
        <v>833071740.857167</v>
      </c>
      <c r="L631" s="53" t="n">
        <f aca="false">(('Business Case'!F11*$C631*'Business Case'!F12*$B631)-'Business Case'!F11*$C631*'Business Case'!F13*$D631-'Business Case'!F14*$E631)-MAX(0,(('Business Case'!F11*$C631*'Business Case'!F12*$B631)-'Business Case'!F11*$C631*'Business Case'!F13*$D631-'Business Case'!F14*$E631))*'Business Case'!$B$7-'Business Case'!$B$8*(('Business Case'!F11*$C631*'Business Case'!F12*$B631)-('Business Case'!E11*$C631*'Business Case'!E12*$B631))-'Business Case'!F15*$F631</f>
        <v>991223239.848866</v>
      </c>
      <c r="M631" s="53" t="n">
        <f aca="false">(('Business Case'!G11*$C631*'Business Case'!G12*$B631)-'Business Case'!G11*$C631*'Business Case'!G13*$D631-'Business Case'!G14*$E631)-MAX(0,(('Business Case'!G11*$C631*'Business Case'!G12*$B631)-'Business Case'!G11*$C631*'Business Case'!G13*$D631-'Business Case'!G14*$E631))*'Business Case'!$B$7-'Business Case'!$B$8*(('Business Case'!G11*$C631*'Business Case'!G12*$B631)-('Business Case'!F11*$C631*'Business Case'!F12*$B631))-'Business Case'!G15*$F631+'Business Case'!$B$8*('Business Case'!G11*$C631*'Business Case'!G12*$B631)</f>
        <v>1196993150.58921</v>
      </c>
      <c r="N631" s="53" t="n">
        <f aca="false">IF(COUNT('Business Case'!B11:G11)=0,"",H631+NPV(G631,I631:M631))</f>
        <v>416979745.810308</v>
      </c>
      <c r="P631" s="54" t="n">
        <f aca="true">RAND()</f>
        <v>0.793350648213047</v>
      </c>
      <c r="Q631" s="54" t="n">
        <f aca="true">RAND()</f>
        <v>0.888277880653931</v>
      </c>
      <c r="R631" s="54" t="n">
        <f aca="true">RAND()</f>
        <v>0.00302812793358018</v>
      </c>
      <c r="S631" s="54" t="n">
        <f aca="true">RAND()</f>
        <v>0.706962696322957</v>
      </c>
      <c r="T631" s="54" t="n">
        <f aca="true">RAND()</f>
        <v>0.272823395648918</v>
      </c>
      <c r="U631" s="54" t="n">
        <f aca="true">RAND()</f>
        <v>0.418607792944636</v>
      </c>
    </row>
    <row r="632" customFormat="false" ht="15" hidden="false" customHeight="false" outlineLevel="0" collapsed="false">
      <c r="A632" s="50" t="n">
        <v>552</v>
      </c>
      <c r="B632" s="51" t="n">
        <f aca="false">1+IF($G$6=$E$6,$F$6,IF(P632&lt;($F$6-$E$6)/($G$6-$E$6),$E$6+SQRT(P632*($G$6-$E$6)*($F$6-$E$6)),$G$6-SQRT((1-P632)*($G$6-$E$6)*($G$6-$F$6))))</f>
        <v>0.993925768848471</v>
      </c>
      <c r="C632" s="51" t="n">
        <f aca="false">1+IF($G$7=$E$7,$F$7,IF(Q632&lt;($F$7-$E$7)/($G$7-$E$7),$E$7+SQRT(Q632*($G$7-$E$7)*($F$7-$E$7)),$G$7-SQRT((1-Q632)*($G$7-$E$7)*($G$7-$F$7))))</f>
        <v>1.04120245529942</v>
      </c>
      <c r="D632" s="51" t="n">
        <f aca="false">1+IF($G$8=$E$8,$F$8,IF(R632&lt;($F$8-$E$8)/($G$8-$E$8),$E$8+SQRT(R632*($G$8-$E$8)*($F$8-$E$8)),$G$8-SQRT((1-R632)*($G$8-$E$8)*($G$8-$F$8))))</f>
        <v>0.998944978799798</v>
      </c>
      <c r="E632" s="51" t="n">
        <f aca="false">1+IF($G$9=$E$9,$F$9,IF(S632&lt;($F$9-$E$9)/($G$9-$E$9),$E$9+SQRT(S632*($G$9-$E$9)*($F$9-$E$9)),$G$9-SQRT((1-S632)*($G$9-$E$9)*($G$9-$F$9))))</f>
        <v>1.02371788048865</v>
      </c>
      <c r="F632" s="51" t="n">
        <f aca="false">1+IF($G$10=$E$10,$F$10,IF(T632&lt;($F$10-$E$10)/($G$10-$E$10),$E$10+SQRT(T632*($G$10-$E$10)*($F$10-$E$10)),$G$10-SQRT((1-T632)*($G$10-$E$10)*($G$10-$F$10))))</f>
        <v>1.01807122059361</v>
      </c>
      <c r="G632" s="52" t="n">
        <f aca="false">IF($G$11=$E$11,$F$11,IF(U632&lt;($F$11-$E$11)/($G$11-$E$11),$E$11+SQRT(U632*($G$11-$E$11)*($F$11-$E$11)),$G$11-SQRT((1-U632)*($G$11-$E$11)*($G$11-$F$11))))</f>
        <v>0.10764924150726</v>
      </c>
      <c r="H632" s="53" t="n">
        <f aca="false">(('Business Case'!B11*$C632*'Business Case'!B12*$B632)-'Business Case'!B11*$C632*'Business Case'!B13*$D632-'Business Case'!B14*$E632)-MAX(0,(('Business Case'!B11*$C632*'Business Case'!B12*$B632)-'Business Case'!B11*$C632*'Business Case'!B13*$D632-'Business Case'!B14*$E632))*'Business Case'!$B$7-'Business Case'!$B$8*('Business Case'!B11*$C632*'Business Case'!B12*$B632)-'Business Case'!B15*$F632</f>
        <v>-2036142441.18722</v>
      </c>
      <c r="I632" s="53" t="n">
        <f aca="false">(('Business Case'!C11*$C632*'Business Case'!C12*$B632)-'Business Case'!C11*$C632*'Business Case'!C13*$D632-'Business Case'!C14*$E632)-MAX(0,(('Business Case'!C11*$C632*'Business Case'!C12*$B632)-'Business Case'!C11*$C632*'Business Case'!C13*$D632-'Business Case'!C14*$E632))*'Business Case'!$B$7-'Business Case'!$B$8*(('Business Case'!C11*$C632*'Business Case'!C12*$B632)-('Business Case'!B11*$C632*'Business Case'!B12*$B632))-'Business Case'!C15*$F632</f>
        <v>14161653.7918929</v>
      </c>
      <c r="J632" s="53" t="n">
        <f aca="false">(('Business Case'!D11*$C632*'Business Case'!D12*$B632)-'Business Case'!D11*$C632*'Business Case'!D13*$D632-'Business Case'!D14*$E632)-MAX(0,(('Business Case'!D11*$C632*'Business Case'!D12*$B632)-'Business Case'!D11*$C632*'Business Case'!D13*$D632-'Business Case'!D14*$E632))*'Business Case'!$B$7-'Business Case'!$B$8*(('Business Case'!D11*$C632*'Business Case'!D12*$B632)-('Business Case'!C11*$C632*'Business Case'!C12*$B632))-'Business Case'!D15*$F632</f>
        <v>329351185.223827</v>
      </c>
      <c r="K632" s="53" t="n">
        <f aca="false">(('Business Case'!E11*$C632*'Business Case'!E12*$B632)-'Business Case'!E11*$C632*'Business Case'!E13*$D632-'Business Case'!E14*$E632)-MAX(0,(('Business Case'!E11*$C632*'Business Case'!E12*$B632)-'Business Case'!E11*$C632*'Business Case'!E13*$D632-'Business Case'!E14*$E632))*'Business Case'!$B$7-'Business Case'!$B$8*(('Business Case'!E11*$C632*'Business Case'!E12*$B632)-('Business Case'!D11*$C632*'Business Case'!D12*$B632))-'Business Case'!E15*$F632</f>
        <v>695444277.685442</v>
      </c>
      <c r="L632" s="53" t="n">
        <f aca="false">(('Business Case'!F11*$C632*'Business Case'!F12*$B632)-'Business Case'!F11*$C632*'Business Case'!F13*$D632-'Business Case'!F14*$E632)-MAX(0,(('Business Case'!F11*$C632*'Business Case'!F12*$B632)-'Business Case'!F11*$C632*'Business Case'!F13*$D632-'Business Case'!F14*$E632))*'Business Case'!$B$7-'Business Case'!$B$8*(('Business Case'!F11*$C632*'Business Case'!F12*$B632)-('Business Case'!E11*$C632*'Business Case'!E12*$B632))-'Business Case'!F15*$F632</f>
        <v>836272836.812883</v>
      </c>
      <c r="M632" s="53" t="n">
        <f aca="false">(('Business Case'!G11*$C632*'Business Case'!G12*$B632)-'Business Case'!G11*$C632*'Business Case'!G13*$D632-'Business Case'!G14*$E632)-MAX(0,(('Business Case'!G11*$C632*'Business Case'!G12*$B632)-'Business Case'!G11*$C632*'Business Case'!G13*$D632-'Business Case'!G14*$E632))*'Business Case'!$B$7-'Business Case'!$B$8*(('Business Case'!G11*$C632*'Business Case'!G12*$B632)-('Business Case'!F11*$C632*'Business Case'!F12*$B632))-'Business Case'!G15*$F632+'Business Case'!$B$8*('Business Case'!G11*$C632*'Business Case'!G12*$B632)</f>
        <v>1032982437.72193</v>
      </c>
      <c r="N632" s="53" t="n">
        <f aca="false">IF(COUNT('Business Case'!B11:G11)=0,"",H632+NPV(G632,I632:M632))</f>
        <v>-68037364.2172608</v>
      </c>
      <c r="P632" s="54" t="n">
        <f aca="true">RAND()</f>
        <v>0.569272843733079</v>
      </c>
      <c r="Q632" s="54" t="n">
        <f aca="true">RAND()</f>
        <v>0.77453512889762</v>
      </c>
      <c r="R632" s="54" t="n">
        <f aca="true">RAND()</f>
        <v>0.368555530725021</v>
      </c>
      <c r="S632" s="54" t="n">
        <f aca="true">RAND()</f>
        <v>0.612069216190366</v>
      </c>
      <c r="T632" s="54" t="n">
        <f aca="true">RAND()</f>
        <v>0.338038384474031</v>
      </c>
      <c r="U632" s="54" t="n">
        <f aca="true">RAND()</f>
        <v>0.745764607756673</v>
      </c>
    </row>
    <row r="633" customFormat="false" ht="15" hidden="false" customHeight="false" outlineLevel="0" collapsed="false">
      <c r="A633" s="50" t="n">
        <v>553</v>
      </c>
      <c r="B633" s="51" t="n">
        <f aca="false">1+IF($G$6=$E$6,$F$6,IF(P633&lt;($F$6-$E$6)/($G$6-$E$6),$E$6+SQRT(P633*($G$6-$E$6)*($F$6-$E$6)),$G$6-SQRT((1-P633)*($G$6-$E$6)*($G$6-$F$6))))</f>
        <v>0.990061229799535</v>
      </c>
      <c r="C633" s="51" t="n">
        <f aca="false">1+IF($G$7=$E$7,$F$7,IF(Q633&lt;($F$7-$E$7)/($G$7-$E$7),$E$7+SQRT(Q633*($G$7-$E$7)*($F$7-$E$7)),$G$7-SQRT((1-Q633)*($G$7-$E$7)*($G$7-$F$7))))</f>
        <v>1.05478232389434</v>
      </c>
      <c r="D633" s="51" t="n">
        <f aca="false">1+IF($G$8=$E$8,$F$8,IF(R633&lt;($F$8-$E$8)/($G$8-$E$8),$E$8+SQRT(R633*($G$8-$E$8)*($F$8-$E$8)),$G$8-SQRT((1-R633)*($G$8-$E$8)*($G$8-$F$8))))</f>
        <v>0.992127585088531</v>
      </c>
      <c r="E633" s="51" t="n">
        <f aca="false">1+IF($G$9=$E$9,$F$9,IF(S633&lt;($F$9-$E$9)/($G$9-$E$9),$E$9+SQRT(S633*($G$9-$E$9)*($F$9-$E$9)),$G$9-SQRT((1-S633)*($G$9-$E$9)*($G$9-$F$9))))</f>
        <v>1.02274911730543</v>
      </c>
      <c r="F633" s="51" t="n">
        <f aca="false">1+IF($G$10=$E$10,$F$10,IF(T633&lt;($F$10-$E$10)/($G$10-$E$10),$E$10+SQRT(T633*($G$10-$E$10)*($F$10-$E$10)),$G$10-SQRT((1-T633)*($G$10-$E$10)*($G$10-$F$10))))</f>
        <v>1.04066700810241</v>
      </c>
      <c r="G633" s="52" t="n">
        <f aca="false">IF($G$11=$E$11,$F$11,IF(U633&lt;($F$11-$E$11)/($G$11-$E$11),$E$11+SQRT(U633*($G$11-$E$11)*($F$11-$E$11)),$G$11-SQRT((1-U633)*($G$11-$E$11)*($G$11-$F$11))))</f>
        <v>0.0954268497065292</v>
      </c>
      <c r="H633" s="53" t="n">
        <f aca="false">(('Business Case'!B11*$C633*'Business Case'!B12*$B633)-'Business Case'!B11*$C633*'Business Case'!B13*$D633-'Business Case'!B14*$E633)-MAX(0,(('Business Case'!B11*$C633*'Business Case'!B12*$B633)-'Business Case'!B11*$C633*'Business Case'!B13*$D633-'Business Case'!B14*$E633))*'Business Case'!$B$7-'Business Case'!$B$8*('Business Case'!B11*$C633*'Business Case'!B12*$B633)-'Business Case'!B15*$F633</f>
        <v>-2081334016.20481</v>
      </c>
      <c r="I633" s="53" t="n">
        <f aca="false">(('Business Case'!C11*$C633*'Business Case'!C12*$B633)-'Business Case'!C11*$C633*'Business Case'!C13*$D633-'Business Case'!C14*$E633)-MAX(0,(('Business Case'!C11*$C633*'Business Case'!C12*$B633)-'Business Case'!C11*$C633*'Business Case'!C13*$D633-'Business Case'!C14*$E633))*'Business Case'!$B$7-'Business Case'!$B$8*(('Business Case'!C11*$C633*'Business Case'!C12*$B633)-('Business Case'!B11*$C633*'Business Case'!B12*$B633))-'Business Case'!C15*$F633</f>
        <v>16004704.8257525</v>
      </c>
      <c r="J633" s="53" t="n">
        <f aca="false">(('Business Case'!D11*$C633*'Business Case'!D12*$B633)-'Business Case'!D11*$C633*'Business Case'!D13*$D633-'Business Case'!D14*$E633)-MAX(0,(('Business Case'!D11*$C633*'Business Case'!D12*$B633)-'Business Case'!D11*$C633*'Business Case'!D13*$D633-'Business Case'!D14*$E633))*'Business Case'!$B$7-'Business Case'!$B$8*(('Business Case'!D11*$C633*'Business Case'!D12*$B633)-('Business Case'!C11*$C633*'Business Case'!C12*$B633))-'Business Case'!D15*$F633</f>
        <v>335647499.496829</v>
      </c>
      <c r="K633" s="53" t="n">
        <f aca="false">(('Business Case'!E11*$C633*'Business Case'!E12*$B633)-'Business Case'!E11*$C633*'Business Case'!E13*$D633-'Business Case'!E14*$E633)-MAX(0,(('Business Case'!E11*$C633*'Business Case'!E12*$B633)-'Business Case'!E11*$C633*'Business Case'!E13*$D633-'Business Case'!E14*$E633))*'Business Case'!$B$7-'Business Case'!$B$8*(('Business Case'!E11*$C633*'Business Case'!E12*$B633)-('Business Case'!D11*$C633*'Business Case'!D12*$B633))-'Business Case'!E15*$F633</f>
        <v>707323644.573026</v>
      </c>
      <c r="L633" s="53" t="n">
        <f aca="false">(('Business Case'!F11*$C633*'Business Case'!F12*$B633)-'Business Case'!F11*$C633*'Business Case'!F13*$D633-'Business Case'!F14*$E633)-MAX(0,(('Business Case'!F11*$C633*'Business Case'!F12*$B633)-'Business Case'!F11*$C633*'Business Case'!F13*$D633-'Business Case'!F14*$E633))*'Business Case'!$B$7-'Business Case'!$B$8*(('Business Case'!F11*$C633*'Business Case'!F12*$B633)-('Business Case'!E11*$C633*'Business Case'!E12*$B633))-'Business Case'!F15*$F633</f>
        <v>849962219.166218</v>
      </c>
      <c r="M633" s="53" t="n">
        <f aca="false">(('Business Case'!G11*$C633*'Business Case'!G12*$B633)-'Business Case'!G11*$C633*'Business Case'!G13*$D633-'Business Case'!G14*$E633)-MAX(0,(('Business Case'!G11*$C633*'Business Case'!G12*$B633)-'Business Case'!G11*$C633*'Business Case'!G13*$D633-'Business Case'!G14*$E633))*'Business Case'!$B$7-'Business Case'!$B$8*(('Business Case'!G11*$C633*'Business Case'!G12*$B633)-('Business Case'!F11*$C633*'Business Case'!F12*$B633))-'Business Case'!G15*$F633+'Business Case'!$B$8*('Business Case'!G11*$C633*'Business Case'!G12*$B633)</f>
        <v>1048462589.19847</v>
      </c>
      <c r="N633" s="53" t="n">
        <f aca="false">IF(COUNT('Business Case'!B11:G11)=0,"",H633+NPV(G633,I633:M633))</f>
        <v>6105032.30796719</v>
      </c>
      <c r="P633" s="54" t="n">
        <f aca="true">RAND()</f>
        <v>0.51130999177325</v>
      </c>
      <c r="Q633" s="54" t="n">
        <f aca="true">RAND()</f>
        <v>0.82730655537216</v>
      </c>
      <c r="R633" s="54" t="n">
        <f aca="true">RAND()</f>
        <v>0.273035911598677</v>
      </c>
      <c r="S633" s="54" t="n">
        <f aca="true">RAND()</f>
        <v>0.602153408193981</v>
      </c>
      <c r="T633" s="54" t="n">
        <f aca="true">RAND()</f>
        <v>0.492259953859219</v>
      </c>
      <c r="U633" s="54" t="n">
        <f aca="true">RAND()</f>
        <v>0.0981689924575215</v>
      </c>
    </row>
    <row r="634" customFormat="false" ht="15" hidden="false" customHeight="false" outlineLevel="0" collapsed="false">
      <c r="A634" s="50" t="n">
        <v>554</v>
      </c>
      <c r="B634" s="51" t="n">
        <f aca="false">1+IF($G$6=$E$6,$F$6,IF(P634&lt;($F$6-$E$6)/($G$6-$E$6),$E$6+SQRT(P634*($G$6-$E$6)*($F$6-$E$6)),$G$6-SQRT((1-P634)*($G$6-$E$6)*($G$6-$F$6))))</f>
        <v>0.949957817437891</v>
      </c>
      <c r="C634" s="51" t="n">
        <f aca="false">1+IF($G$7=$E$7,$F$7,IF(Q634&lt;($F$7-$E$7)/($G$7-$E$7),$E$7+SQRT(Q634*($G$7-$E$7)*($F$7-$E$7)),$G$7-SQRT((1-Q634)*($G$7-$E$7)*($G$7-$F$7))))</f>
        <v>1.10030643370074</v>
      </c>
      <c r="D634" s="51" t="n">
        <f aca="false">1+IF($G$8=$E$8,$F$8,IF(R634&lt;($F$8-$E$8)/($G$8-$E$8),$E$8+SQRT(R634*($G$8-$E$8)*($F$8-$E$8)),$G$8-SQRT((1-R634)*($G$8-$E$8)*($G$8-$F$8))))</f>
        <v>1.00317320297014</v>
      </c>
      <c r="E634" s="51" t="n">
        <f aca="false">1+IF($G$9=$E$9,$F$9,IF(S634&lt;($F$9-$E$9)/($G$9-$E$9),$E$9+SQRT(S634*($G$9-$E$9)*($F$9-$E$9)),$G$9-SQRT((1-S634)*($G$9-$E$9)*($G$9-$F$9))))</f>
        <v>1.0177198247965</v>
      </c>
      <c r="F634" s="51" t="n">
        <f aca="false">1+IF($G$10=$E$10,$F$10,IF(T634&lt;($F$10-$E$10)/($G$10-$E$10),$E$10+SQRT(T634*($G$10-$E$10)*($F$10-$E$10)),$G$10-SQRT((1-T634)*($G$10-$E$10)*($G$10-$F$10))))</f>
        <v>1.16240572899023</v>
      </c>
      <c r="G634" s="52" t="n">
        <f aca="false">IF($G$11=$E$11,$F$11,IF(U634&lt;($F$11-$E$11)/($G$11-$E$11),$E$11+SQRT(U634*($G$11-$E$11)*($F$11-$E$11)),$G$11-SQRT((1-U634)*($G$11-$E$11)*($G$11-$F$11))))</f>
        <v>0.100997165674348</v>
      </c>
      <c r="H634" s="53" t="n">
        <f aca="false">(('Business Case'!B11*$C634*'Business Case'!B12*$B634)-'Business Case'!B11*$C634*'Business Case'!B13*$D634-'Business Case'!B14*$E634)-MAX(0,(('Business Case'!B11*$C634*'Business Case'!B12*$B634)-'Business Case'!B11*$C634*'Business Case'!B13*$D634-'Business Case'!B14*$E634))*'Business Case'!$B$7-'Business Case'!$B$8*('Business Case'!B11*$C634*'Business Case'!B12*$B634)-'Business Case'!B15*$F634</f>
        <v>-2324811457.98046</v>
      </c>
      <c r="I634" s="53" t="n">
        <f aca="false">(('Business Case'!C11*$C634*'Business Case'!C12*$B634)-'Business Case'!C11*$C634*'Business Case'!C13*$D634-'Business Case'!C14*$E634)-MAX(0,(('Business Case'!C11*$C634*'Business Case'!C12*$B634)-'Business Case'!C11*$C634*'Business Case'!C13*$D634-'Business Case'!C14*$E634))*'Business Case'!$B$7-'Business Case'!$B$8*(('Business Case'!C11*$C634*'Business Case'!C12*$B634)-('Business Case'!B11*$C634*'Business Case'!B12*$B634))-'Business Case'!C15*$F634</f>
        <v>-24071387.6309549</v>
      </c>
      <c r="J634" s="53" t="n">
        <f aca="false">(('Business Case'!D11*$C634*'Business Case'!D12*$B634)-'Business Case'!D11*$C634*'Business Case'!D13*$D634-'Business Case'!D14*$E634)-MAX(0,(('Business Case'!D11*$C634*'Business Case'!D12*$B634)-'Business Case'!D11*$C634*'Business Case'!D13*$D634-'Business Case'!D14*$E634))*'Business Case'!$B$7-'Business Case'!$B$8*(('Business Case'!D11*$C634*'Business Case'!D12*$B634)-('Business Case'!C11*$C634*'Business Case'!C12*$B634))-'Business Case'!D15*$F634</f>
        <v>267003041.881556</v>
      </c>
      <c r="K634" s="53" t="n">
        <f aca="false">(('Business Case'!E11*$C634*'Business Case'!E12*$B634)-'Business Case'!E11*$C634*'Business Case'!E13*$D634-'Business Case'!E14*$E634)-MAX(0,(('Business Case'!E11*$C634*'Business Case'!E12*$B634)-'Business Case'!E11*$C634*'Business Case'!E13*$D634-'Business Case'!E14*$E634))*'Business Case'!$B$7-'Business Case'!$B$8*(('Business Case'!E11*$C634*'Business Case'!E12*$B634)-('Business Case'!D11*$C634*'Business Case'!D12*$B634))-'Business Case'!E15*$F634</f>
        <v>616197757.84358</v>
      </c>
      <c r="L634" s="53" t="n">
        <f aca="false">(('Business Case'!F11*$C634*'Business Case'!F12*$B634)-'Business Case'!F11*$C634*'Business Case'!F13*$D634-'Business Case'!F14*$E634)-MAX(0,(('Business Case'!F11*$C634*'Business Case'!F12*$B634)-'Business Case'!F11*$C634*'Business Case'!F13*$D634-'Business Case'!F14*$E634))*'Business Case'!$B$7-'Business Case'!$B$8*(('Business Case'!F11*$C634*'Business Case'!F12*$B634)-('Business Case'!E11*$C634*'Business Case'!E12*$B634))-'Business Case'!F15*$F634</f>
        <v>749346224.453337</v>
      </c>
      <c r="M634" s="53" t="n">
        <f aca="false">(('Business Case'!G11*$C634*'Business Case'!G12*$B634)-'Business Case'!G11*$C634*'Business Case'!G13*$D634-'Business Case'!G14*$E634)-MAX(0,(('Business Case'!G11*$C634*'Business Case'!G12*$B634)-'Business Case'!G11*$C634*'Business Case'!G13*$D634-'Business Case'!G14*$E634))*'Business Case'!$B$7-'Business Case'!$B$8*(('Business Case'!G11*$C634*'Business Case'!G12*$B634)-('Business Case'!F11*$C634*'Business Case'!F12*$B634))-'Business Case'!G15*$F634+'Business Case'!$B$8*('Business Case'!G11*$C634*'Business Case'!G12*$B634)</f>
        <v>948026336.700732</v>
      </c>
      <c r="N634" s="53" t="n">
        <f aca="false">IF(COUNT('Business Case'!B11:G11)=0,"",H634+NPV(G634,I634:M634))</f>
        <v>-568758035.766104</v>
      </c>
      <c r="P634" s="54" t="n">
        <f aca="true">RAND()</f>
        <v>0.0934865443377068</v>
      </c>
      <c r="Q634" s="54" t="n">
        <f aca="true">RAND()</f>
        <v>0.952962847018311</v>
      </c>
      <c r="R634" s="54" t="n">
        <f aca="true">RAND()</f>
        <v>0.432465697897446</v>
      </c>
      <c r="S634" s="54" t="n">
        <f aca="true">RAND()</f>
        <v>0.548664851232121</v>
      </c>
      <c r="T634" s="54" t="n">
        <f aca="true">RAND()</f>
        <v>0.971733415744881</v>
      </c>
      <c r="U634" s="54" t="n">
        <f aca="true">RAND()</f>
        <v>0.398153812653057</v>
      </c>
    </row>
    <row r="635" customFormat="false" ht="15" hidden="false" customHeight="false" outlineLevel="0" collapsed="false">
      <c r="A635" s="50" t="n">
        <v>555</v>
      </c>
      <c r="B635" s="51" t="n">
        <f aca="false">1+IF($G$6=$E$6,$F$6,IF(P635&lt;($F$6-$E$6)/($G$6-$E$6),$E$6+SQRT(P635*($G$6-$E$6)*($F$6-$E$6)),$G$6-SQRT((1-P635)*($G$6-$E$6)*($G$6-$F$6))))</f>
        <v>0.983066600633297</v>
      </c>
      <c r="C635" s="51" t="n">
        <f aca="false">1+IF($G$7=$E$7,$F$7,IF(Q635&lt;($F$7-$E$7)/($G$7-$E$7),$E$7+SQRT(Q635*($G$7-$E$7)*($F$7-$E$7)),$G$7-SQRT((1-Q635)*($G$7-$E$7)*($G$7-$F$7))))</f>
        <v>0.989473443611778</v>
      </c>
      <c r="D635" s="51" t="n">
        <f aca="false">1+IF($G$8=$E$8,$F$8,IF(R635&lt;($F$8-$E$8)/($G$8-$E$8),$E$8+SQRT(R635*($G$8-$E$8)*($F$8-$E$8)),$G$8-SQRT((1-R635)*($G$8-$E$8)*($G$8-$F$8))))</f>
        <v>1.0048629870822</v>
      </c>
      <c r="E635" s="51" t="n">
        <f aca="false">1+IF($G$9=$E$9,$F$9,IF(S635&lt;($F$9-$E$9)/($G$9-$E$9),$E$9+SQRT(S635*($G$9-$E$9)*($F$9-$E$9)),$G$9-SQRT((1-S635)*($G$9-$E$9)*($G$9-$F$9))))</f>
        <v>1.00342643886048</v>
      </c>
      <c r="F635" s="51" t="n">
        <f aca="false">1+IF($G$10=$E$10,$F$10,IF(T635&lt;($F$10-$E$10)/($G$10-$E$10),$E$10+SQRT(T635*($G$10-$E$10)*($F$10-$E$10)),$G$10-SQRT((1-T635)*($G$10-$E$10)*($G$10-$F$10))))</f>
        <v>0.991239822227357</v>
      </c>
      <c r="G635" s="52" t="n">
        <f aca="false">IF($G$11=$E$11,$F$11,IF(U635&lt;($F$11-$E$11)/($G$11-$E$11),$E$11+SQRT(U635*($G$11-$E$11)*($F$11-$E$11)),$G$11-SQRT((1-U635)*($G$11-$E$11)*($G$11-$F$11))))</f>
        <v>0.0972007367795336</v>
      </c>
      <c r="H635" s="53" t="n">
        <f aca="false">(('Business Case'!B11*$C635*'Business Case'!B12*$B635)-'Business Case'!B11*$C635*'Business Case'!B13*$D635-'Business Case'!B14*$E635)-MAX(0,(('Business Case'!B11*$C635*'Business Case'!B12*$B635)-'Business Case'!B11*$C635*'Business Case'!B13*$D635-'Business Case'!B14*$E635))*'Business Case'!$B$7-'Business Case'!$B$8*('Business Case'!B11*$C635*'Business Case'!B12*$B635)-'Business Case'!B15*$F635</f>
        <v>-1982479644.45471</v>
      </c>
      <c r="I635" s="53" t="n">
        <f aca="false">(('Business Case'!C11*$C635*'Business Case'!C12*$B635)-'Business Case'!C11*$C635*'Business Case'!C13*$D635-'Business Case'!C14*$E635)-MAX(0,(('Business Case'!C11*$C635*'Business Case'!C12*$B635)-'Business Case'!C11*$C635*'Business Case'!C13*$D635-'Business Case'!C14*$E635))*'Business Case'!$B$7-'Business Case'!$B$8*(('Business Case'!C11*$C635*'Business Case'!C12*$B635)-('Business Case'!B11*$C635*'Business Case'!B12*$B635))-'Business Case'!C15*$F635</f>
        <v>-4505119.36053781</v>
      </c>
      <c r="J635" s="53" t="n">
        <f aca="false">(('Business Case'!D11*$C635*'Business Case'!D12*$B635)-'Business Case'!D11*$C635*'Business Case'!D13*$D635-'Business Case'!D14*$E635)-MAX(0,(('Business Case'!D11*$C635*'Business Case'!D12*$B635)-'Business Case'!D11*$C635*'Business Case'!D13*$D635-'Business Case'!D14*$E635))*'Business Case'!$B$7-'Business Case'!$B$8*(('Business Case'!D11*$C635*'Business Case'!D12*$B635)-('Business Case'!C11*$C635*'Business Case'!C12*$B635))-'Business Case'!D15*$F635</f>
        <v>283226699.501154</v>
      </c>
      <c r="K635" s="53" t="n">
        <f aca="false">(('Business Case'!E11*$C635*'Business Case'!E12*$B635)-'Business Case'!E11*$C635*'Business Case'!E13*$D635-'Business Case'!E14*$E635)-MAX(0,(('Business Case'!E11*$C635*'Business Case'!E12*$B635)-'Business Case'!E11*$C635*'Business Case'!E13*$D635-'Business Case'!E14*$E635))*'Business Case'!$B$7-'Business Case'!$B$8*(('Business Case'!E11*$C635*'Business Case'!E12*$B635)-('Business Case'!D11*$C635*'Business Case'!D12*$B635))-'Business Case'!E15*$F635</f>
        <v>620520509.474214</v>
      </c>
      <c r="L635" s="53" t="n">
        <f aca="false">(('Business Case'!F11*$C635*'Business Case'!F12*$B635)-'Business Case'!F11*$C635*'Business Case'!F13*$D635-'Business Case'!F14*$E635)-MAX(0,(('Business Case'!F11*$C635*'Business Case'!F12*$B635)-'Business Case'!F11*$C635*'Business Case'!F13*$D635-'Business Case'!F14*$E635))*'Business Case'!$B$7-'Business Case'!$B$8*(('Business Case'!F11*$C635*'Business Case'!F12*$B635)-('Business Case'!E11*$C635*'Business Case'!E12*$B635))-'Business Case'!F15*$F635</f>
        <v>750048260.023801</v>
      </c>
      <c r="M635" s="53" t="n">
        <f aca="false">(('Business Case'!G11*$C635*'Business Case'!G12*$B635)-'Business Case'!G11*$C635*'Business Case'!G13*$D635-'Business Case'!G14*$E635)-MAX(0,(('Business Case'!G11*$C635*'Business Case'!G12*$B635)-'Business Case'!G11*$C635*'Business Case'!G13*$D635-'Business Case'!G14*$E635))*'Business Case'!$B$7-'Business Case'!$B$8*(('Business Case'!G11*$C635*'Business Case'!G12*$B635)-('Business Case'!F11*$C635*'Business Case'!F12*$B635))-'Business Case'!G15*$F635+'Business Case'!$B$8*('Business Case'!G11*$C635*'Business Case'!G12*$B635)</f>
        <v>934942553.466759</v>
      </c>
      <c r="N635" s="53" t="n">
        <f aca="false">IF(COUNT('Business Case'!B11:G11)=0,"",H635+NPV(G635,I635:M635))</f>
        <v>-176024336.16742</v>
      </c>
      <c r="P635" s="54" t="n">
        <f aca="true">RAND()</f>
        <v>0.414312095358308</v>
      </c>
      <c r="Q635" s="54" t="n">
        <f aca="true">RAND()</f>
        <v>0.512859797630081</v>
      </c>
      <c r="R635" s="54" t="n">
        <f aca="true">RAND()</f>
        <v>0.457156662479871</v>
      </c>
      <c r="S635" s="54" t="n">
        <f aca="true">RAND()</f>
        <v>0.378236485922118</v>
      </c>
      <c r="T635" s="54" t="n">
        <f aca="true">RAND()</f>
        <v>0.136057834987519</v>
      </c>
      <c r="U635" s="54" t="n">
        <f aca="true">RAND()</f>
        <v>0.172835367227095</v>
      </c>
    </row>
    <row r="636" customFormat="false" ht="15" hidden="false" customHeight="false" outlineLevel="0" collapsed="false">
      <c r="A636" s="50" t="n">
        <v>556</v>
      </c>
      <c r="B636" s="51" t="n">
        <f aca="false">1+IF($G$6=$E$6,$F$6,IF(P636&lt;($F$6-$E$6)/($G$6-$E$6),$E$6+SQRT(P636*($G$6-$E$6)*($F$6-$E$6)),$G$6-SQRT((1-P636)*($G$6-$E$6)*($G$6-$F$6))))</f>
        <v>0.976000374149315</v>
      </c>
      <c r="C636" s="51" t="n">
        <f aca="false">1+IF($G$7=$E$7,$F$7,IF(Q636&lt;($F$7-$E$7)/($G$7-$E$7),$E$7+SQRT(Q636*($G$7-$E$7)*($F$7-$E$7)),$G$7-SQRT((1-Q636)*($G$7-$E$7)*($G$7-$F$7))))</f>
        <v>1.03592858868771</v>
      </c>
      <c r="D636" s="51" t="n">
        <f aca="false">1+IF($G$8=$E$8,$F$8,IF(R636&lt;($F$8-$E$8)/($G$8-$E$8),$E$8+SQRT(R636*($G$8-$E$8)*($F$8-$E$8)),$G$8-SQRT((1-R636)*($G$8-$E$8)*($G$8-$F$8))))</f>
        <v>1.00070276801877</v>
      </c>
      <c r="E636" s="51" t="n">
        <f aca="false">1+IF($G$9=$E$9,$F$9,IF(S636&lt;($F$9-$E$9)/($G$9-$E$9),$E$9+SQRT(S636*($G$9-$E$9)*($F$9-$E$9)),$G$9-SQRT((1-S636)*($G$9-$E$9)*($G$9-$F$9))))</f>
        <v>1.03086161791022</v>
      </c>
      <c r="F636" s="51" t="n">
        <f aca="false">1+IF($G$10=$E$10,$F$10,IF(T636&lt;($F$10-$E$10)/($G$10-$E$10),$E$10+SQRT(T636*($G$10-$E$10)*($F$10-$E$10)),$G$10-SQRT((1-T636)*($G$10-$E$10)*($G$10-$F$10))))</f>
        <v>1.0780998448696</v>
      </c>
      <c r="G636" s="52" t="n">
        <f aca="false">IF($G$11=$E$11,$F$11,IF(U636&lt;($F$11-$E$11)/($G$11-$E$11),$E$11+SQRT(U636*($G$11-$E$11)*($F$11-$E$11)),$G$11-SQRT((1-U636)*($G$11-$E$11)*($G$11-$F$11))))</f>
        <v>0.0939591708146176</v>
      </c>
      <c r="H636" s="53" t="n">
        <f aca="false">(('Business Case'!B11*$C636*'Business Case'!B12*$B636)-'Business Case'!B11*$C636*'Business Case'!B13*$D636-'Business Case'!B14*$E636)-MAX(0,(('Business Case'!B11*$C636*'Business Case'!B12*$B636)-'Business Case'!B11*$C636*'Business Case'!B13*$D636-'Business Case'!B14*$E636))*'Business Case'!$B$7-'Business Case'!$B$8*('Business Case'!B11*$C636*'Business Case'!B12*$B636)-'Business Case'!B15*$F636</f>
        <v>-2156199689.7392</v>
      </c>
      <c r="I636" s="53" t="n">
        <f aca="false">(('Business Case'!C11*$C636*'Business Case'!C12*$B636)-'Business Case'!C11*$C636*'Business Case'!C13*$D636-'Business Case'!C14*$E636)-MAX(0,(('Business Case'!C11*$C636*'Business Case'!C12*$B636)-'Business Case'!C11*$C636*'Business Case'!C13*$D636-'Business Case'!C14*$E636))*'Business Case'!$B$7-'Business Case'!$B$8*(('Business Case'!C11*$C636*'Business Case'!C12*$B636)-('Business Case'!B11*$C636*'Business Case'!B12*$B636))-'Business Case'!C15*$F636</f>
        <v>-9361037.56605271</v>
      </c>
      <c r="J636" s="53" t="n">
        <f aca="false">(('Business Case'!D11*$C636*'Business Case'!D12*$B636)-'Business Case'!D11*$C636*'Business Case'!D13*$D636-'Business Case'!D14*$E636)-MAX(0,(('Business Case'!D11*$C636*'Business Case'!D12*$B636)-'Business Case'!D11*$C636*'Business Case'!D13*$D636-'Business Case'!D14*$E636))*'Business Case'!$B$7-'Business Case'!$B$8*(('Business Case'!D11*$C636*'Business Case'!D12*$B636)-('Business Case'!C11*$C636*'Business Case'!C12*$B636))-'Business Case'!D15*$F636</f>
        <v>288090128.639124</v>
      </c>
      <c r="K636" s="53" t="n">
        <f aca="false">(('Business Case'!E11*$C636*'Business Case'!E12*$B636)-'Business Case'!E11*$C636*'Business Case'!E13*$D636-'Business Case'!E14*$E636)-MAX(0,(('Business Case'!E11*$C636*'Business Case'!E12*$B636)-'Business Case'!E11*$C636*'Business Case'!E13*$D636-'Business Case'!E14*$E636))*'Business Case'!$B$7-'Business Case'!$B$8*(('Business Case'!E11*$C636*'Business Case'!E12*$B636)-('Business Case'!D11*$C636*'Business Case'!D12*$B636))-'Business Case'!E15*$F636</f>
        <v>639446287.087781</v>
      </c>
      <c r="L636" s="53" t="n">
        <f aca="false">(('Business Case'!F11*$C636*'Business Case'!F12*$B636)-'Business Case'!F11*$C636*'Business Case'!F13*$D636-'Business Case'!F14*$E636)-MAX(0,(('Business Case'!F11*$C636*'Business Case'!F12*$B636)-'Business Case'!F11*$C636*'Business Case'!F13*$D636-'Business Case'!F14*$E636))*'Business Case'!$B$7-'Business Case'!$B$8*(('Business Case'!F11*$C636*'Business Case'!F12*$B636)-('Business Case'!E11*$C636*'Business Case'!E12*$B636))-'Business Case'!F15*$F636</f>
        <v>773539140.634466</v>
      </c>
      <c r="M636" s="53" t="n">
        <f aca="false">(('Business Case'!G11*$C636*'Business Case'!G12*$B636)-'Business Case'!G11*$C636*'Business Case'!G13*$D636-'Business Case'!G14*$E636)-MAX(0,(('Business Case'!G11*$C636*'Business Case'!G12*$B636)-'Business Case'!G11*$C636*'Business Case'!G13*$D636-'Business Case'!G14*$E636))*'Business Case'!$B$7-'Business Case'!$B$8*(('Business Case'!G11*$C636*'Business Case'!G12*$B636)-('Business Case'!F11*$C636*'Business Case'!F12*$B636))-'Business Case'!G15*$F636+'Business Case'!$B$8*('Business Case'!G11*$C636*'Business Case'!G12*$B636)</f>
        <v>965722697.098401</v>
      </c>
      <c r="N636" s="53" t="n">
        <f aca="false">IF(COUNT('Business Case'!B11:G11)=0,"",H636+NPV(G636,I636:M636))</f>
        <v>-279118580.683379</v>
      </c>
      <c r="P636" s="54" t="n">
        <f aca="true">RAND()</f>
        <v>0.326671031756585</v>
      </c>
      <c r="Q636" s="54" t="n">
        <f aca="true">RAND()</f>
        <v>0.752146916594708</v>
      </c>
      <c r="R636" s="54" t="n">
        <f aca="true">RAND()</f>
        <v>0.395379711549548</v>
      </c>
      <c r="S636" s="54" t="n">
        <f aca="true">RAND()</f>
        <v>0.681325608133827</v>
      </c>
      <c r="T636" s="54" t="n">
        <f aca="true">RAND()</f>
        <v>0.702807043583676</v>
      </c>
      <c r="U636" s="54" t="n">
        <f aca="true">RAND()</f>
        <v>0.0522501117977331</v>
      </c>
    </row>
    <row r="637" customFormat="false" ht="15" hidden="false" customHeight="false" outlineLevel="0" collapsed="false">
      <c r="A637" s="50" t="n">
        <v>557</v>
      </c>
      <c r="B637" s="51" t="n">
        <f aca="false">1+IF($G$6=$E$6,$F$6,IF(P637&lt;($F$6-$E$6)/($G$6-$E$6),$E$6+SQRT(P637*($G$6-$E$6)*($F$6-$E$6)),$G$6-SQRT((1-P637)*($G$6-$E$6)*($G$6-$F$6))))</f>
        <v>1.00138475547272</v>
      </c>
      <c r="C637" s="51" t="n">
        <f aca="false">1+IF($G$7=$E$7,$F$7,IF(Q637&lt;($F$7-$E$7)/($G$7-$E$7),$E$7+SQRT(Q637*($G$7-$E$7)*($F$7-$E$7)),$G$7-SQRT((1-Q637)*($G$7-$E$7)*($G$7-$F$7))))</f>
        <v>1.02268406266206</v>
      </c>
      <c r="D637" s="51" t="n">
        <f aca="false">1+IF($G$8=$E$8,$F$8,IF(R637&lt;($F$8-$E$8)/($G$8-$E$8),$E$8+SQRT(R637*($G$8-$E$8)*($F$8-$E$8)),$G$8-SQRT((1-R637)*($G$8-$E$8)*($G$8-$F$8))))</f>
        <v>0.996020584430192</v>
      </c>
      <c r="E637" s="51" t="n">
        <f aca="false">1+IF($G$9=$E$9,$F$9,IF(S637&lt;($F$9-$E$9)/($G$9-$E$9),$E$9+SQRT(S637*($G$9-$E$9)*($F$9-$E$9)),$G$9-SQRT((1-S637)*($G$9-$E$9)*($G$9-$F$9))))</f>
        <v>1.03991073228792</v>
      </c>
      <c r="F637" s="51" t="n">
        <f aca="false">1+IF($G$10=$E$10,$F$10,IF(T637&lt;($F$10-$E$10)/($G$10-$E$10),$E$10+SQRT(T637*($G$10-$E$10)*($F$10-$E$10)),$G$10-SQRT((1-T637)*($G$10-$E$10)*($G$10-$F$10))))</f>
        <v>0.990815293248105</v>
      </c>
      <c r="G637" s="52" t="n">
        <f aca="false">IF($G$11=$E$11,$F$11,IF(U637&lt;($F$11-$E$11)/($G$11-$E$11),$E$11+SQRT(U637*($G$11-$E$11)*($F$11-$E$11)),$G$11-SQRT((1-U637)*($G$11-$E$11)*($G$11-$F$11))))</f>
        <v>0.0996778651796396</v>
      </c>
      <c r="H637" s="53" t="n">
        <f aca="false">(('Business Case'!B11*$C637*'Business Case'!B12*$B637)-'Business Case'!B11*$C637*'Business Case'!B13*$D637-'Business Case'!B14*$E637)-MAX(0,(('Business Case'!B11*$C637*'Business Case'!B12*$B637)-'Business Case'!B11*$C637*'Business Case'!B13*$D637-'Business Case'!B14*$E637))*'Business Case'!$B$7-'Business Case'!$B$8*('Business Case'!B11*$C637*'Business Case'!B12*$B637)-'Business Case'!B15*$F637</f>
        <v>-1981630586.49621</v>
      </c>
      <c r="I637" s="53" t="n">
        <f aca="false">(('Business Case'!C11*$C637*'Business Case'!C12*$B637)-'Business Case'!C11*$C637*'Business Case'!C13*$D637-'Business Case'!C14*$E637)-MAX(0,(('Business Case'!C11*$C637*'Business Case'!C12*$B637)-'Business Case'!C11*$C637*'Business Case'!C13*$D637-'Business Case'!C14*$E637))*'Business Case'!$B$7-'Business Case'!$B$8*(('Business Case'!C11*$C637*'Business Case'!C12*$B637)-('Business Case'!B11*$C637*'Business Case'!B12*$B637))-'Business Case'!C15*$F637</f>
        <v>17316559.9452892</v>
      </c>
      <c r="J637" s="53" t="n">
        <f aca="false">(('Business Case'!D11*$C637*'Business Case'!D12*$B637)-'Business Case'!D11*$C637*'Business Case'!D13*$D637-'Business Case'!D14*$E637)-MAX(0,(('Business Case'!D11*$C637*'Business Case'!D12*$B637)-'Business Case'!D11*$C637*'Business Case'!D13*$D637-'Business Case'!D14*$E637))*'Business Case'!$B$7-'Business Case'!$B$8*(('Business Case'!D11*$C637*'Business Case'!D12*$B637)-('Business Case'!C11*$C637*'Business Case'!C12*$B637))-'Business Case'!D15*$F637</f>
        <v>334679311.270692</v>
      </c>
      <c r="K637" s="53" t="n">
        <f aca="false">(('Business Case'!E11*$C637*'Business Case'!E12*$B637)-'Business Case'!E11*$C637*'Business Case'!E13*$D637-'Business Case'!E14*$E637)-MAX(0,(('Business Case'!E11*$C637*'Business Case'!E12*$B637)-'Business Case'!E11*$C637*'Business Case'!E13*$D637-'Business Case'!E14*$E637))*'Business Case'!$B$7-'Business Case'!$B$8*(('Business Case'!E11*$C637*'Business Case'!E12*$B637)-('Business Case'!D11*$C637*'Business Case'!D12*$B637))-'Business Case'!E15*$F637</f>
        <v>701582827.258501</v>
      </c>
      <c r="L637" s="53" t="n">
        <f aca="false">(('Business Case'!F11*$C637*'Business Case'!F12*$B637)-'Business Case'!F11*$C637*'Business Case'!F13*$D637-'Business Case'!F14*$E637)-MAX(0,(('Business Case'!F11*$C637*'Business Case'!F12*$B637)-'Business Case'!F11*$C637*'Business Case'!F13*$D637-'Business Case'!F14*$E637))*'Business Case'!$B$7-'Business Case'!$B$8*(('Business Case'!F11*$C637*'Business Case'!F12*$B637)-('Business Case'!E11*$C637*'Business Case'!E12*$B637))-'Business Case'!F15*$F637</f>
        <v>842763314.982943</v>
      </c>
      <c r="M637" s="53" t="n">
        <f aca="false">(('Business Case'!G11*$C637*'Business Case'!G12*$B637)-'Business Case'!G11*$C637*'Business Case'!G13*$D637-'Business Case'!G14*$E637)-MAX(0,(('Business Case'!G11*$C637*'Business Case'!G12*$B637)-'Business Case'!G11*$C637*'Business Case'!G13*$D637-'Business Case'!G14*$E637))*'Business Case'!$B$7-'Business Case'!$B$8*(('Business Case'!G11*$C637*'Business Case'!G12*$B637)-('Business Case'!F11*$C637*'Business Case'!F12*$B637))-'Business Case'!G15*$F637+'Business Case'!$B$8*('Business Case'!G11*$C637*'Business Case'!G12*$B637)</f>
        <v>1037424286.70414</v>
      </c>
      <c r="N637" s="53" t="n">
        <f aca="false">IF(COUNT('Business Case'!B11:G11)=0,"",H637+NPV(G637,I637:M637))</f>
        <v>59842178.3127363</v>
      </c>
      <c r="P637" s="54" t="n">
        <f aca="true">RAND()</f>
        <v>0.689346435437144</v>
      </c>
      <c r="Q637" s="54" t="n">
        <f aca="true">RAND()</f>
        <v>0.69125051618595</v>
      </c>
      <c r="R637" s="54" t="n">
        <f aca="true">RAND()</f>
        <v>0.325829875584062</v>
      </c>
      <c r="S637" s="54" t="n">
        <f aca="true">RAND()</f>
        <v>0.759285327055033</v>
      </c>
      <c r="T637" s="54" t="n">
        <f aca="true">RAND()</f>
        <v>0.133271053034302</v>
      </c>
      <c r="U637" s="54" t="n">
        <f aca="true">RAND()</f>
        <v>0.312203581450935</v>
      </c>
    </row>
    <row r="638" customFormat="false" ht="15" hidden="false" customHeight="false" outlineLevel="0" collapsed="false">
      <c r="A638" s="50" t="n">
        <v>558</v>
      </c>
      <c r="B638" s="51" t="n">
        <f aca="false">1+IF($G$6=$E$6,$F$6,IF(P638&lt;($F$6-$E$6)/($G$6-$E$6),$E$6+SQRT(P638*($G$6-$E$6)*($F$6-$E$6)),$G$6-SQRT((1-P638)*($G$6-$E$6)*($G$6-$F$6))))</f>
        <v>1.00116192218469</v>
      </c>
      <c r="C638" s="51" t="n">
        <f aca="false">1+IF($G$7=$E$7,$F$7,IF(Q638&lt;($F$7-$E$7)/($G$7-$E$7),$E$7+SQRT(Q638*($G$7-$E$7)*($F$7-$E$7)),$G$7-SQRT((1-Q638)*($G$7-$E$7)*($G$7-$F$7))))</f>
        <v>1.0060684089532</v>
      </c>
      <c r="D638" s="51" t="n">
        <f aca="false">1+IF($G$8=$E$8,$F$8,IF(R638&lt;($F$8-$E$8)/($G$8-$E$8),$E$8+SQRT(R638*($G$8-$E$8)*($F$8-$E$8)),$G$8-SQRT((1-R638)*($G$8-$E$8)*($G$8-$F$8))))</f>
        <v>1.02055811120125</v>
      </c>
      <c r="E638" s="51" t="n">
        <f aca="false">1+IF($G$9=$E$9,$F$9,IF(S638&lt;($F$9-$E$9)/($G$9-$E$9),$E$9+SQRT(S638*($G$9-$E$9)*($F$9-$E$9)),$G$9-SQRT((1-S638)*($G$9-$E$9)*($G$9-$F$9))))</f>
        <v>0.997076902545807</v>
      </c>
      <c r="F638" s="51" t="n">
        <f aca="false">1+IF($G$10=$E$10,$F$10,IF(T638&lt;($F$10-$E$10)/($G$10-$E$10),$E$10+SQRT(T638*($G$10-$E$10)*($F$10-$E$10)),$G$10-SQRT((1-T638)*($G$10-$E$10)*($G$10-$F$10))))</f>
        <v>1.15288764322009</v>
      </c>
      <c r="G638" s="52" t="n">
        <f aca="false">IF($G$11=$E$11,$F$11,IF(U638&lt;($F$11-$E$11)/($G$11-$E$11),$E$11+SQRT(U638*($G$11-$E$11)*($F$11-$E$11)),$G$11-SQRT((1-U638)*($G$11-$E$11)*($G$11-$F$11))))</f>
        <v>0.104996704554674</v>
      </c>
      <c r="H638" s="53" t="n">
        <f aca="false">(('Business Case'!B11*$C638*'Business Case'!B12*$B638)-'Business Case'!B11*$C638*'Business Case'!B13*$D638-'Business Case'!B14*$E638)-MAX(0,(('Business Case'!B11*$C638*'Business Case'!B12*$B638)-'Business Case'!B11*$C638*'Business Case'!B13*$D638-'Business Case'!B14*$E638))*'Business Case'!$B$7-'Business Case'!$B$8*('Business Case'!B11*$C638*'Business Case'!B12*$B638)-'Business Case'!B15*$F638</f>
        <v>-2305775286.44018</v>
      </c>
      <c r="I638" s="53" t="n">
        <f aca="false">(('Business Case'!C11*$C638*'Business Case'!C12*$B638)-'Business Case'!C11*$C638*'Business Case'!C13*$D638-'Business Case'!C14*$E638)-MAX(0,(('Business Case'!C11*$C638*'Business Case'!C12*$B638)-'Business Case'!C11*$C638*'Business Case'!C13*$D638-'Business Case'!C14*$E638))*'Business Case'!$B$7-'Business Case'!$B$8*(('Business Case'!C11*$C638*'Business Case'!C12*$B638)-('Business Case'!B11*$C638*'Business Case'!B12*$B638))-'Business Case'!C15*$F638</f>
        <v>-9902861.46744956</v>
      </c>
      <c r="J638" s="53" t="n">
        <f aca="false">(('Business Case'!D11*$C638*'Business Case'!D12*$B638)-'Business Case'!D11*$C638*'Business Case'!D13*$D638-'Business Case'!D14*$E638)-MAX(0,(('Business Case'!D11*$C638*'Business Case'!D12*$B638)-'Business Case'!D11*$C638*'Business Case'!D13*$D638-'Business Case'!D14*$E638))*'Business Case'!$B$7-'Business Case'!$B$8*(('Business Case'!D11*$C638*'Business Case'!D12*$B638)-('Business Case'!C11*$C638*'Business Case'!C12*$B638))-'Business Case'!D15*$F638</f>
        <v>289482562.820136</v>
      </c>
      <c r="K638" s="53" t="n">
        <f aca="false">(('Business Case'!E11*$C638*'Business Case'!E12*$B638)-'Business Case'!E11*$C638*'Business Case'!E13*$D638-'Business Case'!E14*$E638)-MAX(0,(('Business Case'!E11*$C638*'Business Case'!E12*$B638)-'Business Case'!E11*$C638*'Business Case'!E13*$D638-'Business Case'!E14*$E638))*'Business Case'!$B$7-'Business Case'!$B$8*(('Business Case'!E11*$C638*'Business Case'!E12*$B638)-('Business Case'!D11*$C638*'Business Case'!D12*$B638))-'Business Case'!E15*$F638</f>
        <v>646512369.268726</v>
      </c>
      <c r="L638" s="53" t="n">
        <f aca="false">(('Business Case'!F11*$C638*'Business Case'!F12*$B638)-'Business Case'!F11*$C638*'Business Case'!F13*$D638-'Business Case'!F14*$E638)-MAX(0,(('Business Case'!F11*$C638*'Business Case'!F12*$B638)-'Business Case'!F11*$C638*'Business Case'!F13*$D638-'Business Case'!F14*$E638))*'Business Case'!$B$7-'Business Case'!$B$8*(('Business Case'!F11*$C638*'Business Case'!F12*$B638)-('Business Case'!E11*$C638*'Business Case'!E12*$B638))-'Business Case'!F15*$F638</f>
        <v>781117634.625263</v>
      </c>
      <c r="M638" s="53" t="n">
        <f aca="false">(('Business Case'!G11*$C638*'Business Case'!G12*$B638)-'Business Case'!G11*$C638*'Business Case'!G13*$D638-'Business Case'!G14*$E638)-MAX(0,(('Business Case'!G11*$C638*'Business Case'!G12*$B638)-'Business Case'!G11*$C638*'Business Case'!G13*$D638-'Business Case'!G14*$E638))*'Business Case'!$B$7-'Business Case'!$B$8*(('Business Case'!G11*$C638*'Business Case'!G12*$B638)-('Business Case'!F11*$C638*'Business Case'!F12*$B638))-'Business Case'!G15*$F638+'Business Case'!$B$8*('Business Case'!G11*$C638*'Business Case'!G12*$B638)</f>
        <v>972573316.225642</v>
      </c>
      <c r="N638" s="53" t="n">
        <f aca="false">IF(COUNT('Business Case'!B11:G11)=0,"",H638+NPV(G638,I638:M638))</f>
        <v>-484189667.057764</v>
      </c>
      <c r="P638" s="54" t="n">
        <f aca="true">RAND()</f>
        <v>0.685750773252489</v>
      </c>
      <c r="Q638" s="54" t="n">
        <f aca="true">RAND()</f>
        <v>0.605403754261634</v>
      </c>
      <c r="R638" s="54" t="n">
        <f aca="true">RAND()</f>
        <v>0.660255947695833</v>
      </c>
      <c r="S638" s="54" t="n">
        <f aca="true">RAND()</f>
        <v>0.295497967107652</v>
      </c>
      <c r="T638" s="54" t="n">
        <f aca="true">RAND()</f>
        <v>0.955608516772849</v>
      </c>
      <c r="U638" s="54" t="n">
        <f aca="true">RAND()</f>
        <v>0.624835209633771</v>
      </c>
    </row>
    <row r="639" customFormat="false" ht="15" hidden="false" customHeight="false" outlineLevel="0" collapsed="false">
      <c r="A639" s="50" t="n">
        <v>559</v>
      </c>
      <c r="B639" s="51" t="n">
        <f aca="false">1+IF($G$6=$E$6,$F$6,IF(P639&lt;($F$6-$E$6)/($G$6-$E$6),$E$6+SQRT(P639*($G$6-$E$6)*($F$6-$E$6)),$G$6-SQRT((1-P639)*($G$6-$E$6)*($G$6-$F$6))))</f>
        <v>0.978367563117138</v>
      </c>
      <c r="C639" s="51" t="n">
        <f aca="false">1+IF($G$7=$E$7,$F$7,IF(Q639&lt;($F$7-$E$7)/($G$7-$E$7),$E$7+SQRT(Q639*($G$7-$E$7)*($F$7-$E$7)),$G$7-SQRT((1-Q639)*($G$7-$E$7)*($G$7-$F$7))))</f>
        <v>1.09009939831894</v>
      </c>
      <c r="D639" s="51" t="n">
        <f aca="false">1+IF($G$8=$E$8,$F$8,IF(R639&lt;($F$8-$E$8)/($G$8-$E$8),$E$8+SQRT(R639*($G$8-$E$8)*($F$8-$E$8)),$G$8-SQRT((1-R639)*($G$8-$E$8)*($G$8-$F$8))))</f>
        <v>1.01705819587198</v>
      </c>
      <c r="E639" s="51" t="n">
        <f aca="false">1+IF($G$9=$E$9,$F$9,IF(S639&lt;($F$9-$E$9)/($G$9-$E$9),$E$9+SQRT(S639*($G$9-$E$9)*($F$9-$E$9)),$G$9-SQRT((1-S639)*($G$9-$E$9)*($G$9-$F$9))))</f>
        <v>1.01715173148798</v>
      </c>
      <c r="F639" s="51" t="n">
        <f aca="false">1+IF($G$10=$E$10,$F$10,IF(T639&lt;($F$10-$E$10)/($G$10-$E$10),$E$10+SQRT(T639*($G$10-$E$10)*($F$10-$E$10)),$G$10-SQRT((1-T639)*($G$10-$E$10)*($G$10-$F$10))))</f>
        <v>1.03136628463573</v>
      </c>
      <c r="G639" s="52" t="n">
        <f aca="false">IF($G$11=$E$11,$F$11,IF(U639&lt;($F$11-$E$11)/($G$11-$E$11),$E$11+SQRT(U639*($G$11-$E$11)*($F$11-$E$11)),$G$11-SQRT((1-U639)*($G$11-$E$11)*($G$11-$F$11))))</f>
        <v>0.102684058226163</v>
      </c>
      <c r="H639" s="53" t="n">
        <f aca="false">(('Business Case'!B11*$C639*'Business Case'!B12*$B639)-'Business Case'!B11*$C639*'Business Case'!B13*$D639-'Business Case'!B14*$E639)-MAX(0,(('Business Case'!B11*$C639*'Business Case'!B12*$B639)-'Business Case'!B11*$C639*'Business Case'!B13*$D639-'Business Case'!B14*$E639))*'Business Case'!$B$7-'Business Case'!$B$8*('Business Case'!B11*$C639*'Business Case'!B12*$B639)-'Business Case'!B15*$F639</f>
        <v>-2062732569.27145</v>
      </c>
      <c r="I639" s="53" t="n">
        <f aca="false">(('Business Case'!C11*$C639*'Business Case'!C12*$B639)-'Business Case'!C11*$C639*'Business Case'!C13*$D639-'Business Case'!C14*$E639)-MAX(0,(('Business Case'!C11*$C639*'Business Case'!C12*$B639)-'Business Case'!C11*$C639*'Business Case'!C13*$D639-'Business Case'!C14*$E639))*'Business Case'!$B$7-'Business Case'!$B$8*(('Business Case'!C11*$C639*'Business Case'!C12*$B639)-('Business Case'!B11*$C639*'Business Case'!B12*$B639))-'Business Case'!C15*$F639</f>
        <v>2928148.09442118</v>
      </c>
      <c r="J639" s="53" t="n">
        <f aca="false">(('Business Case'!D11*$C639*'Business Case'!D12*$B639)-'Business Case'!D11*$C639*'Business Case'!D13*$D639-'Business Case'!D14*$E639)-MAX(0,(('Business Case'!D11*$C639*'Business Case'!D12*$B639)-'Business Case'!D11*$C639*'Business Case'!D13*$D639-'Business Case'!D14*$E639))*'Business Case'!$B$7-'Business Case'!$B$8*(('Business Case'!D11*$C639*'Business Case'!D12*$B639)-('Business Case'!C11*$C639*'Business Case'!C12*$B639))-'Business Case'!D15*$F639</f>
        <v>308920188.385518</v>
      </c>
      <c r="K639" s="53" t="n">
        <f aca="false">(('Business Case'!E11*$C639*'Business Case'!E12*$B639)-'Business Case'!E11*$C639*'Business Case'!E13*$D639-'Business Case'!E14*$E639)-MAX(0,(('Business Case'!E11*$C639*'Business Case'!E12*$B639)-'Business Case'!E11*$C639*'Business Case'!E13*$D639-'Business Case'!E14*$E639))*'Business Case'!$B$7-'Business Case'!$B$8*(('Business Case'!E11*$C639*'Business Case'!E12*$B639)-('Business Case'!D11*$C639*'Business Case'!D12*$B639))-'Business Case'!E15*$F639</f>
        <v>666480542.908402</v>
      </c>
      <c r="L639" s="53" t="n">
        <f aca="false">(('Business Case'!F11*$C639*'Business Case'!F12*$B639)-'Business Case'!F11*$C639*'Business Case'!F13*$D639-'Business Case'!F14*$E639)-MAX(0,(('Business Case'!F11*$C639*'Business Case'!F12*$B639)-'Business Case'!F11*$C639*'Business Case'!F13*$D639-'Business Case'!F14*$E639))*'Business Case'!$B$7-'Business Case'!$B$8*(('Business Case'!F11*$C639*'Business Case'!F12*$B639)-('Business Case'!E11*$C639*'Business Case'!E12*$B639))-'Business Case'!F15*$F639</f>
        <v>805336748.015777</v>
      </c>
      <c r="M639" s="53" t="n">
        <f aca="false">(('Business Case'!G11*$C639*'Business Case'!G12*$B639)-'Business Case'!G11*$C639*'Business Case'!G13*$D639-'Business Case'!G14*$E639)-MAX(0,(('Business Case'!G11*$C639*'Business Case'!G12*$B639)-'Business Case'!G11*$C639*'Business Case'!G13*$D639-'Business Case'!G14*$E639))*'Business Case'!$B$7-'Business Case'!$B$8*(('Business Case'!G11*$C639*'Business Case'!G12*$B639)-('Business Case'!F11*$C639*'Business Case'!F12*$B639))-'Business Case'!G15*$F639+'Business Case'!$B$8*('Business Case'!G11*$C639*'Business Case'!G12*$B639)</f>
        <v>1008060468.90599</v>
      </c>
      <c r="N639" s="53" t="n">
        <f aca="false">IF(COUNT('Business Case'!B11:G11)=0,"",H639+NPV(G639,I639:M639))</f>
        <v>-145858368.409972</v>
      </c>
      <c r="P639" s="54" t="n">
        <f aca="true">RAND()</f>
        <v>0.354872127524285</v>
      </c>
      <c r="Q639" s="54" t="n">
        <f aca="true">RAND()</f>
        <v>0.931655579395172</v>
      </c>
      <c r="R639" s="54" t="n">
        <f aca="true">RAND()</f>
        <v>0.619070124337532</v>
      </c>
      <c r="S639" s="54" t="n">
        <f aca="true">RAND()</f>
        <v>0.542410960303967</v>
      </c>
      <c r="T639" s="54" t="n">
        <f aca="true">RAND()</f>
        <v>0.431253400848826</v>
      </c>
      <c r="U639" s="54" t="n">
        <f aca="true">RAND()</f>
        <v>0.500263600808495</v>
      </c>
    </row>
    <row r="640" customFormat="false" ht="15" hidden="false" customHeight="false" outlineLevel="0" collapsed="false">
      <c r="A640" s="50" t="n">
        <v>560</v>
      </c>
      <c r="B640" s="51" t="n">
        <f aca="false">1+IF($G$6=$E$6,$F$6,IF(P640&lt;($F$6-$E$6)/($G$6-$E$6),$E$6+SQRT(P640*($G$6-$E$6)*($F$6-$E$6)),$G$6-SQRT((1-P640)*($G$6-$E$6)*($G$6-$F$6))))</f>
        <v>1.00450963331358</v>
      </c>
      <c r="C640" s="51" t="n">
        <f aca="false">1+IF($G$7=$E$7,$F$7,IF(Q640&lt;($F$7-$E$7)/($G$7-$E$7),$E$7+SQRT(Q640*($G$7-$E$7)*($F$7-$E$7)),$G$7-SQRT((1-Q640)*($G$7-$E$7)*($G$7-$F$7))))</f>
        <v>1.02309422013904</v>
      </c>
      <c r="D640" s="51" t="n">
        <f aca="false">1+IF($G$8=$E$8,$F$8,IF(R640&lt;($F$8-$E$8)/($G$8-$E$8),$E$8+SQRT(R640*($G$8-$E$8)*($F$8-$E$8)),$G$8-SQRT((1-R640)*($G$8-$E$8)*($G$8-$F$8))))</f>
        <v>1.04727615706966</v>
      </c>
      <c r="E640" s="51" t="n">
        <f aca="false">1+IF($G$9=$E$9,$F$9,IF(S640&lt;($F$9-$E$9)/($G$9-$E$9),$E$9+SQRT(S640*($G$9-$E$9)*($F$9-$E$9)),$G$9-SQRT((1-S640)*($G$9-$E$9)*($G$9-$F$9))))</f>
        <v>1.0419134847503</v>
      </c>
      <c r="F640" s="51" t="n">
        <f aca="false">1+IF($G$10=$E$10,$F$10,IF(T640&lt;($F$10-$E$10)/($G$10-$E$10),$E$10+SQRT(T640*($G$10-$E$10)*($F$10-$E$10)),$G$10-SQRT((1-T640)*($G$10-$E$10)*($G$10-$F$10))))</f>
        <v>1.14428824947671</v>
      </c>
      <c r="G640" s="52" t="n">
        <f aca="false">IF($G$11=$E$11,$F$11,IF(U640&lt;($F$11-$E$11)/($G$11-$E$11),$E$11+SQRT(U640*($G$11-$E$11)*($F$11-$E$11)),$G$11-SQRT((1-U640)*($G$11-$E$11)*($G$11-$F$11))))</f>
        <v>0.108468214519189</v>
      </c>
      <c r="H640" s="53" t="n">
        <f aca="false">(('Business Case'!B11*$C640*'Business Case'!B12*$B640)-'Business Case'!B11*$C640*'Business Case'!B13*$D640-'Business Case'!B14*$E640)-MAX(0,(('Business Case'!B11*$C640*'Business Case'!B12*$B640)-'Business Case'!B11*$C640*'Business Case'!B13*$D640-'Business Case'!B14*$E640))*'Business Case'!$B$7-'Business Case'!$B$8*('Business Case'!B11*$C640*'Business Case'!B12*$B640)-'Business Case'!B15*$F640</f>
        <v>-2288576498.95342</v>
      </c>
      <c r="I640" s="53" t="n">
        <f aca="false">(('Business Case'!C11*$C640*'Business Case'!C12*$B640)-'Business Case'!C11*$C640*'Business Case'!C13*$D640-'Business Case'!C14*$E640)-MAX(0,(('Business Case'!C11*$C640*'Business Case'!C12*$B640)-'Business Case'!C11*$C640*'Business Case'!C13*$D640-'Business Case'!C14*$E640))*'Business Case'!$B$7-'Business Case'!$B$8*(('Business Case'!C11*$C640*'Business Case'!C12*$B640)-('Business Case'!B11*$C640*'Business Case'!B12*$B640))-'Business Case'!C15*$F640</f>
        <v>-22601379.104056</v>
      </c>
      <c r="J640" s="53" t="n">
        <f aca="false">(('Business Case'!D11*$C640*'Business Case'!D12*$B640)-'Business Case'!D11*$C640*'Business Case'!D13*$D640-'Business Case'!D14*$E640)-MAX(0,(('Business Case'!D11*$C640*'Business Case'!D12*$B640)-'Business Case'!D11*$C640*'Business Case'!D13*$D640-'Business Case'!D14*$E640))*'Business Case'!$B$7-'Business Case'!$B$8*(('Business Case'!D11*$C640*'Business Case'!D12*$B640)-('Business Case'!C11*$C640*'Business Case'!C12*$B640))-'Business Case'!D15*$F640</f>
        <v>270662546.986755</v>
      </c>
      <c r="K640" s="53" t="n">
        <f aca="false">(('Business Case'!E11*$C640*'Business Case'!E12*$B640)-'Business Case'!E11*$C640*'Business Case'!E13*$D640-'Business Case'!E14*$E640)-MAX(0,(('Business Case'!E11*$C640*'Business Case'!E12*$B640)-'Business Case'!E11*$C640*'Business Case'!E13*$D640-'Business Case'!E14*$E640))*'Business Case'!$B$7-'Business Case'!$B$8*(('Business Case'!E11*$C640*'Business Case'!E12*$B640)-('Business Case'!D11*$C640*'Business Case'!D12*$B640))-'Business Case'!E15*$F640</f>
        <v>621140885.551401</v>
      </c>
      <c r="L640" s="53" t="n">
        <f aca="false">(('Business Case'!F11*$C640*'Business Case'!F12*$B640)-'Business Case'!F11*$C640*'Business Case'!F13*$D640-'Business Case'!F14*$E640)-MAX(0,(('Business Case'!F11*$C640*'Business Case'!F12*$B640)-'Business Case'!F11*$C640*'Business Case'!F13*$D640-'Business Case'!F14*$E640))*'Business Case'!$B$7-'Business Case'!$B$8*(('Business Case'!F11*$C640*'Business Case'!F12*$B640)-('Business Case'!E11*$C640*'Business Case'!E12*$B640))-'Business Case'!F15*$F640</f>
        <v>754413116.058806</v>
      </c>
      <c r="M640" s="53" t="n">
        <f aca="false">(('Business Case'!G11*$C640*'Business Case'!G12*$B640)-'Business Case'!G11*$C640*'Business Case'!G13*$D640-'Business Case'!G14*$E640)-MAX(0,(('Business Case'!G11*$C640*'Business Case'!G12*$B640)-'Business Case'!G11*$C640*'Business Case'!G13*$D640-'Business Case'!G14*$E640))*'Business Case'!$B$7-'Business Case'!$B$8*(('Business Case'!G11*$C640*'Business Case'!G12*$B640)-('Business Case'!F11*$C640*'Business Case'!F12*$B640))-'Business Case'!G15*$F640+'Business Case'!$B$8*('Business Case'!G11*$C640*'Business Case'!G12*$B640)</f>
        <v>949759852.683049</v>
      </c>
      <c r="N640" s="53" t="n">
        <f aca="false">IF(COUNT('Business Case'!B11:G11)=0,"",H640+NPV(G640,I640:M640))</f>
        <v>-565375170.513243</v>
      </c>
      <c r="P640" s="54" t="n">
        <f aca="true">RAND()</f>
        <v>0.737590390096484</v>
      </c>
      <c r="Q640" s="54" t="n">
        <f aca="true">RAND()</f>
        <v>0.693236629292972</v>
      </c>
      <c r="R640" s="54" t="n">
        <f aca="true">RAND()</f>
        <v>0.897033663833708</v>
      </c>
      <c r="S640" s="54" t="n">
        <f aca="true">RAND()</f>
        <v>0.775063783076463</v>
      </c>
      <c r="T640" s="54" t="n">
        <f aca="true">RAND()</f>
        <v>0.937924017072612</v>
      </c>
      <c r="U640" s="54" t="n">
        <f aca="true">RAND()</f>
        <v>0.778363206040927</v>
      </c>
    </row>
    <row r="641" customFormat="false" ht="15" hidden="false" customHeight="false" outlineLevel="0" collapsed="false">
      <c r="A641" s="50" t="n">
        <v>561</v>
      </c>
      <c r="B641" s="51" t="n">
        <f aca="false">1+IF($G$6=$E$6,$F$6,IF(P641&lt;($F$6-$E$6)/($G$6-$E$6),$E$6+SQRT(P641*($G$6-$E$6)*($F$6-$E$6)),$G$6-SQRT((1-P641)*($G$6-$E$6)*($G$6-$F$6))))</f>
        <v>1.03022807835252</v>
      </c>
      <c r="C641" s="51" t="n">
        <f aca="false">1+IF($G$7=$E$7,$F$7,IF(Q641&lt;($F$7-$E$7)/($G$7-$E$7),$E$7+SQRT(Q641*($G$7-$E$7)*($F$7-$E$7)),$G$7-SQRT((1-Q641)*($G$7-$E$7)*($G$7-$F$7))))</f>
        <v>0.926436300362479</v>
      </c>
      <c r="D641" s="51" t="n">
        <f aca="false">1+IF($G$8=$E$8,$F$8,IF(R641&lt;($F$8-$E$8)/($G$8-$E$8),$E$8+SQRT(R641*($G$8-$E$8)*($F$8-$E$8)),$G$8-SQRT((1-R641)*($G$8-$E$8)*($G$8-$F$8))))</f>
        <v>1.06880555327641</v>
      </c>
      <c r="E641" s="51" t="n">
        <f aca="false">1+IF($G$9=$E$9,$F$9,IF(S641&lt;($F$9-$E$9)/($G$9-$E$9),$E$9+SQRT(S641*($G$9-$E$9)*($F$9-$E$9)),$G$9-SQRT((1-S641)*($G$9-$E$9)*($G$9-$F$9))))</f>
        <v>1.06605377611515</v>
      </c>
      <c r="F641" s="51" t="n">
        <f aca="false">1+IF($G$10=$E$10,$F$10,IF(T641&lt;($F$10-$E$10)/($G$10-$E$10),$E$10+SQRT(T641*($G$10-$E$10)*($F$10-$E$10)),$G$10-SQRT((1-T641)*($G$10-$E$10)*($G$10-$F$10))))</f>
        <v>1.02361395190345</v>
      </c>
      <c r="G641" s="52" t="n">
        <f aca="false">IF($G$11=$E$11,$F$11,IF(U641&lt;($F$11-$E$11)/($G$11-$E$11),$E$11+SQRT(U641*($G$11-$E$11)*($F$11-$E$11)),$G$11-SQRT((1-U641)*($G$11-$E$11)*($G$11-$F$11))))</f>
        <v>0.100276752838316</v>
      </c>
      <c r="H641" s="53" t="n">
        <f aca="false">(('Business Case'!B11*$C641*'Business Case'!B12*$B641)-'Business Case'!B11*$C641*'Business Case'!B13*$D641-'Business Case'!B14*$E641)-MAX(0,(('Business Case'!B11*$C641*'Business Case'!B12*$B641)-'Business Case'!B11*$C641*'Business Case'!B13*$D641-'Business Case'!B14*$E641))*'Business Case'!$B$7-'Business Case'!$B$8*('Business Case'!B11*$C641*'Business Case'!B12*$B641)-'Business Case'!B15*$F641</f>
        <v>-2047227903.80689</v>
      </c>
      <c r="I641" s="53" t="n">
        <f aca="false">(('Business Case'!C11*$C641*'Business Case'!C12*$B641)-'Business Case'!C11*$C641*'Business Case'!C13*$D641-'Business Case'!C14*$E641)-MAX(0,(('Business Case'!C11*$C641*'Business Case'!C12*$B641)-'Business Case'!C11*$C641*'Business Case'!C13*$D641-'Business Case'!C14*$E641))*'Business Case'!$B$7-'Business Case'!$B$8*(('Business Case'!C11*$C641*'Business Case'!C12*$B641)-('Business Case'!B11*$C641*'Business Case'!B12*$B641))-'Business Case'!C15*$F641</f>
        <v>-28569883.1368132</v>
      </c>
      <c r="J641" s="53" t="n">
        <f aca="false">(('Business Case'!D11*$C641*'Business Case'!D12*$B641)-'Business Case'!D11*$C641*'Business Case'!D13*$D641-'Business Case'!D14*$E641)-MAX(0,(('Business Case'!D11*$C641*'Business Case'!D12*$B641)-'Business Case'!D11*$C641*'Business Case'!D13*$D641-'Business Case'!D14*$E641))*'Business Case'!$B$7-'Business Case'!$B$8*(('Business Case'!D11*$C641*'Business Case'!D12*$B641)-('Business Case'!C11*$C641*'Business Case'!C12*$B641))-'Business Case'!D15*$F641</f>
        <v>246292681.220782</v>
      </c>
      <c r="K641" s="53" t="n">
        <f aca="false">(('Business Case'!E11*$C641*'Business Case'!E12*$B641)-'Business Case'!E11*$C641*'Business Case'!E13*$D641-'Business Case'!E14*$E641)-MAX(0,(('Business Case'!E11*$C641*'Business Case'!E12*$B641)-'Business Case'!E11*$C641*'Business Case'!E13*$D641-'Business Case'!E14*$E641))*'Business Case'!$B$7-'Business Case'!$B$8*(('Business Case'!E11*$C641*'Business Case'!E12*$B641)-('Business Case'!D11*$C641*'Business Case'!D12*$B641))-'Business Case'!E15*$F641</f>
        <v>572335943.173549</v>
      </c>
      <c r="L641" s="53" t="n">
        <f aca="false">(('Business Case'!F11*$C641*'Business Case'!F12*$B641)-'Business Case'!F11*$C641*'Business Case'!F13*$D641-'Business Case'!F14*$E641)-MAX(0,(('Business Case'!F11*$C641*'Business Case'!F12*$B641)-'Business Case'!F11*$C641*'Business Case'!F13*$D641-'Business Case'!F14*$E641))*'Business Case'!$B$7-'Business Case'!$B$8*(('Business Case'!F11*$C641*'Business Case'!F12*$B641)-('Business Case'!E11*$C641*'Business Case'!E12*$B641))-'Business Case'!F15*$F641</f>
        <v>696942268.186407</v>
      </c>
      <c r="M641" s="53" t="n">
        <f aca="false">(('Business Case'!G11*$C641*'Business Case'!G12*$B641)-'Business Case'!G11*$C641*'Business Case'!G13*$D641-'Business Case'!G14*$E641)-MAX(0,(('Business Case'!G11*$C641*'Business Case'!G12*$B641)-'Business Case'!G11*$C641*'Business Case'!G13*$D641-'Business Case'!G14*$E641))*'Business Case'!$B$7-'Business Case'!$B$8*(('Business Case'!G11*$C641*'Business Case'!G12*$B641)-('Business Case'!F11*$C641*'Business Case'!F12*$B641))-'Business Case'!G15*$F641+'Business Case'!$B$8*('Business Case'!G11*$C641*'Business Case'!G12*$B641)</f>
        <v>878362354.434868</v>
      </c>
      <c r="N641" s="53" t="n">
        <f aca="false">IF(COUNT('Business Case'!B11:G11)=0,"",H641+NPV(G641,I641:M641))</f>
        <v>-419818098.082196</v>
      </c>
      <c r="P641" s="54" t="n">
        <f aca="true">RAND()</f>
        <v>0.980106155690734</v>
      </c>
      <c r="Q641" s="54" t="n">
        <f aca="true">RAND()</f>
        <v>0.228373400705014</v>
      </c>
      <c r="R641" s="54" t="n">
        <f aca="true">RAND()</f>
        <v>0.987950419476223</v>
      </c>
      <c r="S641" s="54" t="n">
        <f aca="true">RAND()</f>
        <v>0.923176925597297</v>
      </c>
      <c r="T641" s="54" t="n">
        <f aca="true">RAND()</f>
        <v>0.377759240737599</v>
      </c>
      <c r="U641" s="54" t="n">
        <f aca="true">RAND()</f>
        <v>0.351655868998557</v>
      </c>
    </row>
    <row r="642" customFormat="false" ht="15" hidden="false" customHeight="false" outlineLevel="0" collapsed="false">
      <c r="A642" s="50" t="n">
        <v>562</v>
      </c>
      <c r="B642" s="51" t="n">
        <f aca="false">1+IF($G$6=$E$6,$F$6,IF(P642&lt;($F$6-$E$6)/($G$6-$E$6),$E$6+SQRT(P642*($G$6-$E$6)*($F$6-$E$6)),$G$6-SQRT((1-P642)*($G$6-$E$6)*($G$6-$F$6))))</f>
        <v>1.00341051086444</v>
      </c>
      <c r="C642" s="51" t="n">
        <f aca="false">1+IF($G$7=$E$7,$F$7,IF(Q642&lt;($F$7-$E$7)/($G$7-$E$7),$E$7+SQRT(Q642*($G$7-$E$7)*($F$7-$E$7)),$G$7-SQRT((1-Q642)*($G$7-$E$7)*($G$7-$F$7))))</f>
        <v>0.86880526558979</v>
      </c>
      <c r="D642" s="51" t="n">
        <f aca="false">1+IF($G$8=$E$8,$F$8,IF(R642&lt;($F$8-$E$8)/($G$8-$E$8),$E$8+SQRT(R642*($G$8-$E$8)*($F$8-$E$8)),$G$8-SQRT((1-R642)*($G$8-$E$8)*($G$8-$F$8))))</f>
        <v>1.04439390217799</v>
      </c>
      <c r="E642" s="51" t="n">
        <f aca="false">1+IF($G$9=$E$9,$F$9,IF(S642&lt;($F$9-$E$9)/($G$9-$E$9),$E$9+SQRT(S642*($G$9-$E$9)*($F$9-$E$9)),$G$9-SQRT((1-S642)*($G$9-$E$9)*($G$9-$F$9))))</f>
        <v>0.988506044781718</v>
      </c>
      <c r="F642" s="51" t="n">
        <f aca="false">1+IF($G$10=$E$10,$F$10,IF(T642&lt;($F$10-$E$10)/($G$10-$E$10),$E$10+SQRT(T642*($G$10-$E$10)*($F$10-$E$10)),$G$10-SQRT((1-T642)*($G$10-$E$10)*($G$10-$F$10))))</f>
        <v>1.09196508461677</v>
      </c>
      <c r="G642" s="52" t="n">
        <f aca="false">IF($G$11=$E$11,$F$11,IF(U642&lt;($F$11-$E$11)/($G$11-$E$11),$E$11+SQRT(U642*($G$11-$E$11)*($F$11-$E$11)),$G$11-SQRT((1-U642)*($G$11-$E$11)*($G$11-$F$11))))</f>
        <v>0.112532118429329</v>
      </c>
      <c r="H642" s="53" t="n">
        <f aca="false">(('Business Case'!B11*$C642*'Business Case'!B12*$B642)-'Business Case'!B11*$C642*'Business Case'!B13*$D642-'Business Case'!B14*$E642)-MAX(0,(('Business Case'!B11*$C642*'Business Case'!B12*$B642)-'Business Case'!B11*$C642*'Business Case'!B13*$D642-'Business Case'!B14*$E642))*'Business Case'!$B$7-'Business Case'!$B$8*('Business Case'!B11*$C642*'Business Case'!B12*$B642)-'Business Case'!B15*$F642</f>
        <v>-2183930169.23354</v>
      </c>
      <c r="I642" s="53" t="n">
        <f aca="false">(('Business Case'!C11*$C642*'Business Case'!C12*$B642)-'Business Case'!C11*$C642*'Business Case'!C13*$D642-'Business Case'!C14*$E642)-MAX(0,(('Business Case'!C11*$C642*'Business Case'!C12*$B642)-'Business Case'!C11*$C642*'Business Case'!C13*$D642-'Business Case'!C14*$E642))*'Business Case'!$B$7-'Business Case'!$B$8*(('Business Case'!C11*$C642*'Business Case'!C12*$B642)-('Business Case'!B11*$C642*'Business Case'!B12*$B642))-'Business Case'!C15*$F642</f>
        <v>-45416874.3799392</v>
      </c>
      <c r="J642" s="53" t="n">
        <f aca="false">(('Business Case'!D11*$C642*'Business Case'!D12*$B642)-'Business Case'!D11*$C642*'Business Case'!D13*$D642-'Business Case'!D14*$E642)-MAX(0,(('Business Case'!D11*$C642*'Business Case'!D12*$B642)-'Business Case'!D11*$C642*'Business Case'!D13*$D642-'Business Case'!D14*$E642))*'Business Case'!$B$7-'Business Case'!$B$8*(('Business Case'!D11*$C642*'Business Case'!D12*$B642)-('Business Case'!C11*$C642*'Business Case'!C12*$B642))-'Business Case'!D15*$F642</f>
        <v>204120789.77623</v>
      </c>
      <c r="K642" s="53" t="n">
        <f aca="false">(('Business Case'!E11*$C642*'Business Case'!E12*$B642)-'Business Case'!E11*$C642*'Business Case'!E13*$D642-'Business Case'!E14*$E642)-MAX(0,(('Business Case'!E11*$C642*'Business Case'!E12*$B642)-'Business Case'!E11*$C642*'Business Case'!E13*$D642-'Business Case'!E14*$E642))*'Business Case'!$B$7-'Business Case'!$B$8*(('Business Case'!E11*$C642*'Business Case'!E12*$B642)-('Business Case'!D11*$C642*'Business Case'!D12*$B642))-'Business Case'!E15*$F642</f>
        <v>508256708.163238</v>
      </c>
      <c r="L642" s="53" t="n">
        <f aca="false">(('Business Case'!F11*$C642*'Business Case'!F12*$B642)-'Business Case'!F11*$C642*'Business Case'!F13*$D642-'Business Case'!F14*$E642)-MAX(0,(('Business Case'!F11*$C642*'Business Case'!F12*$B642)-'Business Case'!F11*$C642*'Business Case'!F13*$D642-'Business Case'!F14*$E642))*'Business Case'!$B$7-'Business Case'!$B$8*(('Business Case'!F11*$C642*'Business Case'!F12*$B642)-('Business Case'!E11*$C642*'Business Case'!E12*$B642))-'Business Case'!F15*$F642</f>
        <v>621564243.219608</v>
      </c>
      <c r="M642" s="53" t="n">
        <f aca="false">(('Business Case'!G11*$C642*'Business Case'!G12*$B642)-'Business Case'!G11*$C642*'Business Case'!G13*$D642-'Business Case'!G14*$E642)-MAX(0,(('Business Case'!G11*$C642*'Business Case'!G12*$B642)-'Business Case'!G11*$C642*'Business Case'!G13*$D642-'Business Case'!G14*$E642))*'Business Case'!$B$7-'Business Case'!$B$8*(('Business Case'!G11*$C642*'Business Case'!G12*$B642)-('Business Case'!F11*$C642*'Business Case'!F12*$B642))-'Business Case'!G15*$F642+'Business Case'!$B$8*('Business Case'!G11*$C642*'Business Case'!G12*$B642)</f>
        <v>787269968.410002</v>
      </c>
      <c r="N642" s="53" t="n">
        <f aca="false">IF(COUNT('Business Case'!B11:G11)=0,"",H642+NPV(G642,I642:M642))</f>
        <v>-823093696.173227</v>
      </c>
      <c r="P642" s="54" t="n">
        <f aca="true">RAND()</f>
        <v>0.721085267666461</v>
      </c>
      <c r="Q642" s="54" t="n">
        <f aca="true">RAND()</f>
        <v>0.0676309224697373</v>
      </c>
      <c r="R642" s="54" t="n">
        <f aca="true">RAND()</f>
        <v>0.878096711335491</v>
      </c>
      <c r="S642" s="54" t="n">
        <f aca="true">RAND()</f>
        <v>0.197695397964222</v>
      </c>
      <c r="T642" s="54" t="n">
        <f aca="true">RAND()</f>
        <v>0.766569141162774</v>
      </c>
      <c r="U642" s="54" t="n">
        <f aca="true">RAND()</f>
        <v>0.907051241410714</v>
      </c>
    </row>
    <row r="643" customFormat="false" ht="15" hidden="false" customHeight="false" outlineLevel="0" collapsed="false">
      <c r="A643" s="50" t="n">
        <v>563</v>
      </c>
      <c r="B643" s="51" t="n">
        <f aca="false">1+IF($G$6=$E$6,$F$6,IF(P643&lt;($F$6-$E$6)/($G$6-$E$6),$E$6+SQRT(P643*($G$6-$E$6)*($F$6-$E$6)),$G$6-SQRT((1-P643)*($G$6-$E$6)*($G$6-$F$6))))</f>
        <v>0.950016326637494</v>
      </c>
      <c r="C643" s="51" t="n">
        <f aca="false">1+IF($G$7=$E$7,$F$7,IF(Q643&lt;($F$7-$E$7)/($G$7-$E$7),$E$7+SQRT(Q643*($G$7-$E$7)*($F$7-$E$7)),$G$7-SQRT((1-Q643)*($G$7-$E$7)*($G$7-$F$7))))</f>
        <v>0.878542075693768</v>
      </c>
      <c r="D643" s="51" t="n">
        <f aca="false">1+IF($G$8=$E$8,$F$8,IF(R643&lt;($F$8-$E$8)/($G$8-$E$8),$E$8+SQRT(R643*($G$8-$E$8)*($F$8-$E$8)),$G$8-SQRT((1-R643)*($G$8-$E$8)*($G$8-$F$8))))</f>
        <v>0.977659637270559</v>
      </c>
      <c r="E643" s="51" t="n">
        <f aca="false">1+IF($G$9=$E$9,$F$9,IF(S643&lt;($F$9-$E$9)/($G$9-$E$9),$E$9+SQRT(S643*($G$9-$E$9)*($F$9-$E$9)),$G$9-SQRT((1-S643)*($G$9-$E$9)*($G$9-$F$9))))</f>
        <v>1.0131961390424</v>
      </c>
      <c r="F643" s="51" t="n">
        <f aca="false">1+IF($G$10=$E$10,$F$10,IF(T643&lt;($F$10-$E$10)/($G$10-$E$10),$E$10+SQRT(T643*($G$10-$E$10)*($F$10-$E$10)),$G$10-SQRT((1-T643)*($G$10-$E$10)*($G$10-$F$10))))</f>
        <v>1.10088185799182</v>
      </c>
      <c r="G643" s="52" t="n">
        <f aca="false">IF($G$11=$E$11,$F$11,IF(U643&lt;($F$11-$E$11)/($G$11-$E$11),$E$11+SQRT(U643*($G$11-$E$11)*($F$11-$E$11)),$G$11-SQRT((1-U643)*($G$11-$E$11)*($G$11-$F$11))))</f>
        <v>0.0997435280395294</v>
      </c>
      <c r="H643" s="53" t="n">
        <f aca="false">(('Business Case'!B11*$C643*'Business Case'!B12*$B643)-'Business Case'!B11*$C643*'Business Case'!B13*$D643-'Business Case'!B14*$E643)-MAX(0,(('Business Case'!B11*$C643*'Business Case'!B12*$B643)-'Business Case'!B11*$C643*'Business Case'!B13*$D643-'Business Case'!B14*$E643))*'Business Case'!$B$7-'Business Case'!$B$8*('Business Case'!B11*$C643*'Business Case'!B12*$B643)-'Business Case'!B15*$F643</f>
        <v>-2201763715.98364</v>
      </c>
      <c r="I643" s="53" t="n">
        <f aca="false">(('Business Case'!C11*$C643*'Business Case'!C12*$B643)-'Business Case'!C11*$C643*'Business Case'!C13*$D643-'Business Case'!C14*$E643)-MAX(0,(('Business Case'!C11*$C643*'Business Case'!C12*$B643)-'Business Case'!C11*$C643*'Business Case'!C13*$D643-'Business Case'!C14*$E643))*'Business Case'!$B$7-'Business Case'!$B$8*(('Business Case'!C11*$C643*'Business Case'!C12*$B643)-('Business Case'!B11*$C643*'Business Case'!B12*$B643))-'Business Case'!C15*$F643</f>
        <v>-53506189.584478</v>
      </c>
      <c r="J643" s="53" t="n">
        <f aca="false">(('Business Case'!D11*$C643*'Business Case'!D12*$B643)-'Business Case'!D11*$C643*'Business Case'!D13*$D643-'Business Case'!D14*$E643)-MAX(0,(('Business Case'!D11*$C643*'Business Case'!D12*$B643)-'Business Case'!D11*$C643*'Business Case'!D13*$D643-'Business Case'!D14*$E643))*'Business Case'!$B$7-'Business Case'!$B$8*(('Business Case'!D11*$C643*'Business Case'!D12*$B643)-('Business Case'!C11*$C643*'Business Case'!C12*$B643))-'Business Case'!D15*$F643</f>
        <v>190419481.320015</v>
      </c>
      <c r="K643" s="53" t="n">
        <f aca="false">(('Business Case'!E11*$C643*'Business Case'!E12*$B643)-'Business Case'!E11*$C643*'Business Case'!E13*$D643-'Business Case'!E14*$E643)-MAX(0,(('Business Case'!E11*$C643*'Business Case'!E12*$B643)-'Business Case'!E11*$C643*'Business Case'!E13*$D643-'Business Case'!E14*$E643))*'Business Case'!$B$7-'Business Case'!$B$8*(('Business Case'!E11*$C643*'Business Case'!E12*$B643)-('Business Case'!D11*$C643*'Business Case'!D12*$B643))-'Business Case'!E15*$F643</f>
        <v>489389245.124099</v>
      </c>
      <c r="L643" s="53" t="n">
        <f aca="false">(('Business Case'!F11*$C643*'Business Case'!F12*$B643)-'Business Case'!F11*$C643*'Business Case'!F13*$D643-'Business Case'!F14*$E643)-MAX(0,(('Business Case'!F11*$C643*'Business Case'!F12*$B643)-'Business Case'!F11*$C643*'Business Case'!F13*$D643-'Business Case'!F14*$E643))*'Business Case'!$B$7-'Business Case'!$B$8*(('Business Case'!F11*$C643*'Business Case'!F12*$B643)-('Business Case'!E11*$C643*'Business Case'!E12*$B643))-'Business Case'!F15*$F643</f>
        <v>599542591.23757</v>
      </c>
      <c r="M643" s="53" t="n">
        <f aca="false">(('Business Case'!G11*$C643*'Business Case'!G12*$B643)-'Business Case'!G11*$C643*'Business Case'!G13*$D643-'Business Case'!G14*$E643)-MAX(0,(('Business Case'!G11*$C643*'Business Case'!G12*$B643)-'Business Case'!G11*$C643*'Business Case'!G13*$D643-'Business Case'!G14*$E643))*'Business Case'!$B$7-'Business Case'!$B$8*(('Business Case'!G11*$C643*'Business Case'!G12*$B643)-('Business Case'!F11*$C643*'Business Case'!F12*$B643))-'Business Case'!G15*$F643+'Business Case'!$B$8*('Business Case'!G11*$C643*'Business Case'!G12*$B643)</f>
        <v>758188931.536757</v>
      </c>
      <c r="N643" s="53" t="n">
        <f aca="false">IF(COUNT('Business Case'!B11:G11)=0,"",H643+NPV(G643,I643:M643))</f>
        <v>-843826814.604662</v>
      </c>
      <c r="P643" s="54" t="n">
        <f aca="true">RAND()</f>
        <v>0.0938520692509093</v>
      </c>
      <c r="Q643" s="54" t="n">
        <f aca="true">RAND()</f>
        <v>0.0881265379183654</v>
      </c>
      <c r="R643" s="54" t="n">
        <f aca="true">RAND()</f>
        <v>0.117700851375215</v>
      </c>
      <c r="S643" s="54" t="n">
        <f aca="true">RAND()</f>
        <v>0.49767264819021</v>
      </c>
      <c r="T643" s="54" t="n">
        <f aca="true">RAND()</f>
        <v>0.803511878496918</v>
      </c>
      <c r="U643" s="54" t="n">
        <f aca="true">RAND()</f>
        <v>0.316454462190321</v>
      </c>
    </row>
    <row r="644" customFormat="false" ht="15" hidden="false" customHeight="false" outlineLevel="0" collapsed="false">
      <c r="A644" s="50" t="n">
        <v>564</v>
      </c>
      <c r="B644" s="51" t="n">
        <f aca="false">1+IF($G$6=$E$6,$F$6,IF(P644&lt;($F$6-$E$6)/($G$6-$E$6),$E$6+SQRT(P644*($G$6-$E$6)*($F$6-$E$6)),$G$6-SQRT((1-P644)*($G$6-$E$6)*($G$6-$F$6))))</f>
        <v>0.945084084153743</v>
      </c>
      <c r="C644" s="51" t="n">
        <f aca="false">1+IF($G$7=$E$7,$F$7,IF(Q644&lt;($F$7-$E$7)/($G$7-$E$7),$E$7+SQRT(Q644*($G$7-$E$7)*($F$7-$E$7)),$G$7-SQRT((1-Q644)*($G$7-$E$7)*($G$7-$F$7))))</f>
        <v>1.04267760014985</v>
      </c>
      <c r="D644" s="51" t="n">
        <f aca="false">1+IF($G$8=$E$8,$F$8,IF(R644&lt;($F$8-$E$8)/($G$8-$E$8),$E$8+SQRT(R644*($G$8-$E$8)*($F$8-$E$8)),$G$8-SQRT((1-R644)*($G$8-$E$8)*($G$8-$F$8))))</f>
        <v>1.01072809043898</v>
      </c>
      <c r="E644" s="51" t="n">
        <f aca="false">1+IF($G$9=$E$9,$F$9,IF(S644&lt;($F$9-$E$9)/($G$9-$E$9),$E$9+SQRT(S644*($G$9-$E$9)*($F$9-$E$9)),$G$9-SQRT((1-S644)*($G$9-$E$9)*($G$9-$F$9))))</f>
        <v>1.05567934528777</v>
      </c>
      <c r="F644" s="51" t="n">
        <f aca="false">1+IF($G$10=$E$10,$F$10,IF(T644&lt;($F$10-$E$10)/($G$10-$E$10),$E$10+SQRT(T644*($G$10-$E$10)*($F$10-$E$10)),$G$10-SQRT((1-T644)*($G$10-$E$10)*($G$10-$F$10))))</f>
        <v>1.12640261093242</v>
      </c>
      <c r="G644" s="52" t="n">
        <f aca="false">IF($G$11=$E$11,$F$11,IF(U644&lt;($F$11-$E$11)/($G$11-$E$11),$E$11+SQRT(U644*($G$11-$E$11)*($F$11-$E$11)),$G$11-SQRT((1-U644)*($G$11-$E$11)*($G$11-$F$11))))</f>
        <v>0.116008412241178</v>
      </c>
      <c r="H644" s="53" t="n">
        <f aca="false">(('Business Case'!B11*$C644*'Business Case'!B12*$B644)-'Business Case'!B11*$C644*'Business Case'!B13*$D644-'Business Case'!B14*$E644)-MAX(0,(('Business Case'!B11*$C644*'Business Case'!B12*$B644)-'Business Case'!B11*$C644*'Business Case'!B13*$D644-'Business Case'!B14*$E644))*'Business Case'!$B$7-'Business Case'!$B$8*('Business Case'!B11*$C644*'Business Case'!B12*$B644)-'Business Case'!B15*$F644</f>
        <v>-2252805221.86483</v>
      </c>
      <c r="I644" s="53" t="n">
        <f aca="false">(('Business Case'!C11*$C644*'Business Case'!C12*$B644)-'Business Case'!C11*$C644*'Business Case'!C13*$D644-'Business Case'!C14*$E644)-MAX(0,(('Business Case'!C11*$C644*'Business Case'!C12*$B644)-'Business Case'!C11*$C644*'Business Case'!C13*$D644-'Business Case'!C14*$E644))*'Business Case'!$B$7-'Business Case'!$B$8*(('Business Case'!C11*$C644*'Business Case'!C12*$B644)-('Business Case'!B11*$C644*'Business Case'!B12*$B644))-'Business Case'!C15*$F644</f>
        <v>-46207460.5956425</v>
      </c>
      <c r="J644" s="53" t="n">
        <f aca="false">(('Business Case'!D11*$C644*'Business Case'!D12*$B644)-'Business Case'!D11*$C644*'Business Case'!D13*$D644-'Business Case'!D14*$E644)-MAX(0,(('Business Case'!D11*$C644*'Business Case'!D12*$B644)-'Business Case'!D11*$C644*'Business Case'!D13*$D644-'Business Case'!D14*$E644))*'Business Case'!$B$7-'Business Case'!$B$8*(('Business Case'!D11*$C644*'Business Case'!D12*$B644)-('Business Case'!C11*$C644*'Business Case'!C12*$B644))-'Business Case'!D15*$F644</f>
        <v>221427012.170981</v>
      </c>
      <c r="K644" s="53" t="n">
        <f aca="false">(('Business Case'!E11*$C644*'Business Case'!E12*$B644)-'Business Case'!E11*$C644*'Business Case'!E13*$D644-'Business Case'!E14*$E644)-MAX(0,(('Business Case'!E11*$C644*'Business Case'!E12*$B644)-'Business Case'!E11*$C644*'Business Case'!E13*$D644-'Business Case'!E14*$E644))*'Business Case'!$B$7-'Business Case'!$B$8*(('Business Case'!E11*$C644*'Business Case'!E12*$B644)-('Business Case'!D11*$C644*'Business Case'!D12*$B644))-'Business Case'!E15*$F644</f>
        <v>545381615.484224</v>
      </c>
      <c r="L644" s="53" t="n">
        <f aca="false">(('Business Case'!F11*$C644*'Business Case'!F12*$B644)-'Business Case'!F11*$C644*'Business Case'!F13*$D644-'Business Case'!F14*$E644)-MAX(0,(('Business Case'!F11*$C644*'Business Case'!F12*$B644)-'Business Case'!F11*$C644*'Business Case'!F13*$D644-'Business Case'!F14*$E644))*'Business Case'!$B$7-'Business Case'!$B$8*(('Business Case'!F11*$C644*'Business Case'!F12*$B644)-('Business Case'!E11*$C644*'Business Case'!E12*$B644))-'Business Case'!F15*$F644</f>
        <v>668649152.652501</v>
      </c>
      <c r="M644" s="53" t="n">
        <f aca="false">(('Business Case'!G11*$C644*'Business Case'!G12*$B644)-'Business Case'!G11*$C644*'Business Case'!G13*$D644-'Business Case'!G14*$E644)-MAX(0,(('Business Case'!G11*$C644*'Business Case'!G12*$B644)-'Business Case'!G11*$C644*'Business Case'!G13*$D644-'Business Case'!G14*$E644))*'Business Case'!$B$7-'Business Case'!$B$8*(('Business Case'!G11*$C644*'Business Case'!G12*$B644)-('Business Case'!F11*$C644*'Business Case'!F12*$B644))-'Business Case'!G15*$F644+'Business Case'!$B$8*('Business Case'!G11*$C644*'Business Case'!G12*$B644)</f>
        <v>855957407.005881</v>
      </c>
      <c r="N644" s="53" t="n">
        <f aca="false">IF(COUNT('Business Case'!B11:G11)=0,"",H644+NPV(G644,I644:M644))</f>
        <v>-798559992.721686</v>
      </c>
      <c r="P644" s="54" t="n">
        <f aca="true">RAND()</f>
        <v>0.0655428414408395</v>
      </c>
      <c r="Q644" s="54" t="n">
        <f aca="true">RAND()</f>
        <v>0.780607666483878</v>
      </c>
      <c r="R644" s="54" t="n">
        <f aca="true">RAND()</f>
        <v>0.538596398631772</v>
      </c>
      <c r="S644" s="54" t="n">
        <f aca="true">RAND()</f>
        <v>0.869045304391934</v>
      </c>
      <c r="T644" s="54" t="n">
        <f aca="true">RAND()</f>
        <v>0.891668486448691</v>
      </c>
      <c r="U644" s="54" t="n">
        <f aca="true">RAND()</f>
        <v>0.97344537860604</v>
      </c>
    </row>
    <row r="645" customFormat="false" ht="15" hidden="false" customHeight="false" outlineLevel="0" collapsed="false">
      <c r="A645" s="50" t="n">
        <v>565</v>
      </c>
      <c r="B645" s="51" t="n">
        <f aca="false">1+IF($G$6=$E$6,$F$6,IF(P645&lt;($F$6-$E$6)/($G$6-$E$6),$E$6+SQRT(P645*($G$6-$E$6)*($F$6-$E$6)),$G$6-SQRT((1-P645)*($G$6-$E$6)*($G$6-$F$6))))</f>
        <v>0.992611461009864</v>
      </c>
      <c r="C645" s="51" t="n">
        <f aca="false">1+IF($G$7=$E$7,$F$7,IF(Q645&lt;($F$7-$E$7)/($G$7-$E$7),$E$7+SQRT(Q645*($G$7-$E$7)*($F$7-$E$7)),$G$7-SQRT((1-Q645)*($G$7-$E$7)*($G$7-$F$7))))</f>
        <v>1.02548818349046</v>
      </c>
      <c r="D645" s="51" t="n">
        <f aca="false">1+IF($G$8=$E$8,$F$8,IF(R645&lt;($F$8-$E$8)/($G$8-$E$8),$E$8+SQRT(R645*($G$8-$E$8)*($F$8-$E$8)),$G$8-SQRT((1-R645)*($G$8-$E$8)*($G$8-$F$8))))</f>
        <v>1.0057583250799</v>
      </c>
      <c r="E645" s="51" t="n">
        <f aca="false">1+IF($G$9=$E$9,$F$9,IF(S645&lt;($F$9-$E$9)/($G$9-$E$9),$E$9+SQRT(S645*($G$9-$E$9)*($F$9-$E$9)),$G$9-SQRT((1-S645)*($G$9-$E$9)*($G$9-$F$9))))</f>
        <v>0.979909349079084</v>
      </c>
      <c r="F645" s="51" t="n">
        <f aca="false">1+IF($G$10=$E$10,$F$10,IF(T645&lt;($F$10-$E$10)/($G$10-$E$10),$E$10+SQRT(T645*($G$10-$E$10)*($F$10-$E$10)),$G$10-SQRT((1-T645)*($G$10-$E$10)*($G$10-$F$10))))</f>
        <v>0.996582179771073</v>
      </c>
      <c r="G645" s="52" t="n">
        <f aca="false">IF($G$11=$E$11,$F$11,IF(U645&lt;($F$11-$E$11)/($G$11-$E$11),$E$11+SQRT(U645*($G$11-$E$11)*($F$11-$E$11)),$G$11-SQRT((1-U645)*($G$11-$E$11)*($G$11-$F$11))))</f>
        <v>0.0937151751046176</v>
      </c>
      <c r="H645" s="53" t="n">
        <f aca="false">(('Business Case'!B11*$C645*'Business Case'!B12*$B645)-'Business Case'!B11*$C645*'Business Case'!B13*$D645-'Business Case'!B14*$E645)-MAX(0,(('Business Case'!B11*$C645*'Business Case'!B12*$B645)-'Business Case'!B11*$C645*'Business Case'!B13*$D645-'Business Case'!B14*$E645))*'Business Case'!$B$7-'Business Case'!$B$8*('Business Case'!B11*$C645*'Business Case'!B12*$B645)-'Business Case'!B15*$F645</f>
        <v>-1993164359.54215</v>
      </c>
      <c r="I645" s="53" t="n">
        <f aca="false">(('Business Case'!C11*$C645*'Business Case'!C12*$B645)-'Business Case'!C11*$C645*'Business Case'!C13*$D645-'Business Case'!C14*$E645)-MAX(0,(('Business Case'!C11*$C645*'Business Case'!C12*$B645)-'Business Case'!C11*$C645*'Business Case'!C13*$D645-'Business Case'!C14*$E645))*'Business Case'!$B$7-'Business Case'!$B$8*(('Business Case'!C11*$C645*'Business Case'!C12*$B645)-('Business Case'!B11*$C645*'Business Case'!B12*$B645))-'Business Case'!C15*$F645</f>
        <v>13981966.7873381</v>
      </c>
      <c r="J645" s="53" t="n">
        <f aca="false">(('Business Case'!D11*$C645*'Business Case'!D12*$B645)-'Business Case'!D11*$C645*'Business Case'!D13*$D645-'Business Case'!D14*$E645)-MAX(0,(('Business Case'!D11*$C645*'Business Case'!D12*$B645)-'Business Case'!D11*$C645*'Business Case'!D13*$D645-'Business Case'!D14*$E645))*'Business Case'!$B$7-'Business Case'!$B$8*(('Business Case'!D11*$C645*'Business Case'!D12*$B645)-('Business Case'!C11*$C645*'Business Case'!C12*$B645))-'Business Case'!D15*$F645</f>
        <v>319733784.030246</v>
      </c>
      <c r="K645" s="53" t="n">
        <f aca="false">(('Business Case'!E11*$C645*'Business Case'!E12*$B645)-'Business Case'!E11*$C645*'Business Case'!E13*$D645-'Business Case'!E14*$E645)-MAX(0,(('Business Case'!E11*$C645*'Business Case'!E12*$B645)-'Business Case'!E11*$C645*'Business Case'!E13*$D645-'Business Case'!E14*$E645))*'Business Case'!$B$7-'Business Case'!$B$8*(('Business Case'!E11*$C645*'Business Case'!E12*$B645)-('Business Case'!D11*$C645*'Business Case'!D12*$B645))-'Business Case'!E15*$F645</f>
        <v>675314710.261707</v>
      </c>
      <c r="L645" s="53" t="n">
        <f aca="false">(('Business Case'!F11*$C645*'Business Case'!F12*$B645)-'Business Case'!F11*$C645*'Business Case'!F13*$D645-'Business Case'!F14*$E645)-MAX(0,(('Business Case'!F11*$C645*'Business Case'!F12*$B645)-'Business Case'!F11*$C645*'Business Case'!F13*$D645-'Business Case'!F14*$E645))*'Business Case'!$B$7-'Business Case'!$B$8*(('Business Case'!F11*$C645*'Business Case'!F12*$B645)-('Business Case'!E11*$C645*'Business Case'!E12*$B645))-'Business Case'!F15*$F645</f>
        <v>812410998.03562</v>
      </c>
      <c r="M645" s="53" t="n">
        <f aca="false">(('Business Case'!G11*$C645*'Business Case'!G12*$B645)-'Business Case'!G11*$C645*'Business Case'!G13*$D645-'Business Case'!G14*$E645)-MAX(0,(('Business Case'!G11*$C645*'Business Case'!G12*$B645)-'Business Case'!G11*$C645*'Business Case'!G13*$D645-'Business Case'!G14*$E645))*'Business Case'!$B$7-'Business Case'!$B$8*(('Business Case'!G11*$C645*'Business Case'!G12*$B645)-('Business Case'!F11*$C645*'Business Case'!F12*$B645))-'Business Case'!G15*$F645+'Business Case'!$B$8*('Business Case'!G11*$C645*'Business Case'!G12*$B645)</f>
        <v>1005895582.51348</v>
      </c>
      <c r="N645" s="53" t="n">
        <f aca="false">IF(COUNT('Business Case'!B11:G11)=0,"",H645+NPV(G645,I645:M645))</f>
        <v>13565667.422313</v>
      </c>
      <c r="P645" s="54" t="n">
        <f aca="true">RAND()</f>
        <v>0.549210861456975</v>
      </c>
      <c r="Q645" s="54" t="n">
        <f aca="true">RAND()</f>
        <v>0.704701096180832</v>
      </c>
      <c r="R645" s="54" t="n">
        <f aca="true">RAND()</f>
        <v>0.470016702409438</v>
      </c>
      <c r="S645" s="54" t="n">
        <f aca="true">RAND()</f>
        <v>0.11927588831127</v>
      </c>
      <c r="T645" s="54" t="n">
        <f aca="true">RAND()</f>
        <v>0.173591957777963</v>
      </c>
      <c r="U645" s="54" t="n">
        <f aca="true">RAND()</f>
        <v>0.046008420193234</v>
      </c>
    </row>
    <row r="646" customFormat="false" ht="15" hidden="false" customHeight="false" outlineLevel="0" collapsed="false">
      <c r="A646" s="50" t="n">
        <v>566</v>
      </c>
      <c r="B646" s="51" t="n">
        <f aca="false">1+IF($G$6=$E$6,$F$6,IF(P646&lt;($F$6-$E$6)/($G$6-$E$6),$E$6+SQRT(P646*($G$6-$E$6)*($F$6-$E$6)),$G$6-SQRT((1-P646)*($G$6-$E$6)*($G$6-$F$6))))</f>
        <v>1.0128406465792</v>
      </c>
      <c r="C646" s="51" t="n">
        <f aca="false">1+IF($G$7=$E$7,$F$7,IF(Q646&lt;($F$7-$E$7)/($G$7-$E$7),$E$7+SQRT(Q646*($G$7-$E$7)*($F$7-$E$7)),$G$7-SQRT((1-Q646)*($G$7-$E$7)*($G$7-$F$7))))</f>
        <v>0.933067475334567</v>
      </c>
      <c r="D646" s="51" t="n">
        <f aca="false">1+IF($G$8=$E$8,$F$8,IF(R646&lt;($F$8-$E$8)/($G$8-$E$8),$E$8+SQRT(R646*($G$8-$E$8)*($F$8-$E$8)),$G$8-SQRT((1-R646)*($G$8-$E$8)*($G$8-$F$8))))</f>
        <v>1.00659387842173</v>
      </c>
      <c r="E646" s="51" t="n">
        <f aca="false">1+IF($G$9=$E$9,$F$9,IF(S646&lt;($F$9-$E$9)/($G$9-$E$9),$E$9+SQRT(S646*($G$9-$E$9)*($F$9-$E$9)),$G$9-SQRT((1-S646)*($G$9-$E$9)*($G$9-$F$9))))</f>
        <v>1.01533231426286</v>
      </c>
      <c r="F646" s="51" t="n">
        <f aca="false">1+IF($G$10=$E$10,$F$10,IF(T646&lt;($F$10-$E$10)/($G$10-$E$10),$E$10+SQRT(T646*($G$10-$E$10)*($F$10-$E$10)),$G$10-SQRT((1-T646)*($G$10-$E$10)*($G$10-$F$10))))</f>
        <v>1.06519737069345</v>
      </c>
      <c r="G646" s="52" t="n">
        <f aca="false">IF($G$11=$E$11,$F$11,IF(U646&lt;($F$11-$E$11)/($G$11-$E$11),$E$11+SQRT(U646*($G$11-$E$11)*($F$11-$E$11)),$G$11-SQRT((1-U646)*($G$11-$E$11)*($G$11-$F$11))))</f>
        <v>0.0977173754164323</v>
      </c>
      <c r="H646" s="53" t="n">
        <f aca="false">(('Business Case'!B11*$C646*'Business Case'!B12*$B646)-'Business Case'!B11*$C646*'Business Case'!B13*$D646-'Business Case'!B14*$E646)-MAX(0,(('Business Case'!B11*$C646*'Business Case'!B12*$B646)-'Business Case'!B11*$C646*'Business Case'!B13*$D646-'Business Case'!B14*$E646))*'Business Case'!$B$7-'Business Case'!$B$8*('Business Case'!B11*$C646*'Business Case'!B12*$B646)-'Business Case'!B15*$F646</f>
        <v>-2130394741.38691</v>
      </c>
      <c r="I646" s="53" t="n">
        <f aca="false">(('Business Case'!C11*$C646*'Business Case'!C12*$B646)-'Business Case'!C11*$C646*'Business Case'!C13*$D646-'Business Case'!C14*$E646)-MAX(0,(('Business Case'!C11*$C646*'Business Case'!C12*$B646)-'Business Case'!C11*$C646*'Business Case'!C13*$D646-'Business Case'!C14*$E646))*'Business Case'!$B$7-'Business Case'!$B$8*(('Business Case'!C11*$C646*'Business Case'!C12*$B646)-('Business Case'!B11*$C646*'Business Case'!B12*$B646))-'Business Case'!C15*$F646</f>
        <v>-6633921.71529257</v>
      </c>
      <c r="J646" s="53" t="n">
        <f aca="false">(('Business Case'!D11*$C646*'Business Case'!D12*$B646)-'Business Case'!D11*$C646*'Business Case'!D13*$D646-'Business Case'!D14*$E646)-MAX(0,(('Business Case'!D11*$C646*'Business Case'!D12*$B646)-'Business Case'!D11*$C646*'Business Case'!D13*$D646-'Business Case'!D14*$E646))*'Business Case'!$B$7-'Business Case'!$B$8*(('Business Case'!D11*$C646*'Business Case'!D12*$B646)-('Business Case'!C11*$C646*'Business Case'!C12*$B646))-'Business Case'!D15*$F646</f>
        <v>286623471.521569</v>
      </c>
      <c r="K646" s="53" t="n">
        <f aca="false">(('Business Case'!E11*$C646*'Business Case'!E12*$B646)-'Business Case'!E11*$C646*'Business Case'!E13*$D646-'Business Case'!E14*$E646)-MAX(0,(('Business Case'!E11*$C646*'Business Case'!E12*$B646)-'Business Case'!E11*$C646*'Business Case'!E13*$D646-'Business Case'!E14*$E646))*'Business Case'!$B$7-'Business Case'!$B$8*(('Business Case'!E11*$C646*'Business Case'!E12*$B646)-('Business Case'!D11*$C646*'Business Case'!D12*$B646))-'Business Case'!E15*$F646</f>
        <v>633140733.293104</v>
      </c>
      <c r="L646" s="53" t="n">
        <f aca="false">(('Business Case'!F11*$C646*'Business Case'!F12*$B646)-'Business Case'!F11*$C646*'Business Case'!F13*$D646-'Business Case'!F14*$E646)-MAX(0,(('Business Case'!F11*$C646*'Business Case'!F12*$B646)-'Business Case'!F11*$C646*'Business Case'!F13*$D646-'Business Case'!F14*$E646))*'Business Case'!$B$7-'Business Case'!$B$8*(('Business Case'!F11*$C646*'Business Case'!F12*$B646)-('Business Case'!E11*$C646*'Business Case'!E12*$B646))-'Business Case'!F15*$F646</f>
        <v>763554079.568478</v>
      </c>
      <c r="M646" s="53" t="n">
        <f aca="false">(('Business Case'!G11*$C646*'Business Case'!G12*$B646)-'Business Case'!G11*$C646*'Business Case'!G13*$D646-'Business Case'!G14*$E646)-MAX(0,(('Business Case'!G11*$C646*'Business Case'!G12*$B646)-'Business Case'!G11*$C646*'Business Case'!G13*$D646-'Business Case'!G14*$E646))*'Business Case'!$B$7-'Business Case'!$B$8*(('Business Case'!G11*$C646*'Business Case'!G12*$B646)-('Business Case'!F11*$C646*'Business Case'!F12*$B646))-'Business Case'!G15*$F646+'Business Case'!$B$8*('Business Case'!G11*$C646*'Business Case'!G12*$B646)</f>
        <v>943188929.815458</v>
      </c>
      <c r="N646" s="53" t="n">
        <f aca="false">IF(COUNT('Business Case'!B11:G11)=0,"",H646+NPV(G646,I646:M646))</f>
        <v>-302281758.000814</v>
      </c>
      <c r="P646" s="54" t="n">
        <f aca="true">RAND()</f>
        <v>0.846326983700865</v>
      </c>
      <c r="Q646" s="54" t="n">
        <f aca="true">RAND()</f>
        <v>0.252956471313081</v>
      </c>
      <c r="R646" s="54" t="n">
        <f aca="true">RAND()</f>
        <v>0.481878972580438</v>
      </c>
      <c r="S646" s="54" t="n">
        <f aca="true">RAND()</f>
        <v>0.522092199461095</v>
      </c>
      <c r="T646" s="54" t="n">
        <f aca="true">RAND()</f>
        <v>0.636565022640834</v>
      </c>
      <c r="U646" s="54" t="n">
        <f aca="true">RAND()</f>
        <v>0.198526277727177</v>
      </c>
    </row>
    <row r="647" customFormat="false" ht="15" hidden="false" customHeight="false" outlineLevel="0" collapsed="false">
      <c r="A647" s="50" t="n">
        <v>567</v>
      </c>
      <c r="B647" s="51" t="n">
        <f aca="false">1+IF($G$6=$E$6,$F$6,IF(P647&lt;($F$6-$E$6)/($G$6-$E$6),$E$6+SQRT(P647*($G$6-$E$6)*($F$6-$E$6)),$G$6-SQRT((1-P647)*($G$6-$E$6)*($G$6-$F$6))))</f>
        <v>0.975371148438415</v>
      </c>
      <c r="C647" s="51" t="n">
        <f aca="false">1+IF($G$7=$E$7,$F$7,IF(Q647&lt;($F$7-$E$7)/($G$7-$E$7),$E$7+SQRT(Q647*($G$7-$E$7)*($F$7-$E$7)),$G$7-SQRT((1-Q647)*($G$7-$E$7)*($G$7-$F$7))))</f>
        <v>1.01842596523046</v>
      </c>
      <c r="D647" s="51" t="n">
        <f aca="false">1+IF($G$8=$E$8,$F$8,IF(R647&lt;($F$8-$E$8)/($G$8-$E$8),$E$8+SQRT(R647*($G$8-$E$8)*($F$8-$E$8)),$G$8-SQRT((1-R647)*($G$8-$E$8)*($G$8-$F$8))))</f>
        <v>1.00266660191192</v>
      </c>
      <c r="E647" s="51" t="n">
        <f aca="false">1+IF($G$9=$E$9,$F$9,IF(S647&lt;($F$9-$E$9)/($G$9-$E$9),$E$9+SQRT(S647*($G$9-$E$9)*($F$9-$E$9)),$G$9-SQRT((1-S647)*($G$9-$E$9)*($G$9-$F$9))))</f>
        <v>0.981982411983979</v>
      </c>
      <c r="F647" s="51" t="n">
        <f aca="false">1+IF($G$10=$E$10,$F$10,IF(T647&lt;($F$10-$E$10)/($G$10-$E$10),$E$10+SQRT(T647*($G$10-$E$10)*($F$10-$E$10)),$G$10-SQRT((1-T647)*($G$10-$E$10)*($G$10-$F$10))))</f>
        <v>1.16908633879802</v>
      </c>
      <c r="G647" s="52" t="n">
        <f aca="false">IF($G$11=$E$11,$F$11,IF(U647&lt;($F$11-$E$11)/($G$11-$E$11),$E$11+SQRT(U647*($G$11-$E$11)*($F$11-$E$11)),$G$11-SQRT((1-U647)*($G$11-$E$11)*($G$11-$F$11))))</f>
        <v>0.101484927250315</v>
      </c>
      <c r="H647" s="53" t="n">
        <f aca="false">(('Business Case'!B11*$C647*'Business Case'!B12*$B647)-'Business Case'!B11*$C647*'Business Case'!B13*$D647-'Business Case'!B14*$E647)-MAX(0,(('Business Case'!B11*$C647*'Business Case'!B12*$B647)-'Business Case'!B11*$C647*'Business Case'!B13*$D647-'Business Case'!B14*$E647))*'Business Case'!$B$7-'Business Case'!$B$8*('Business Case'!B11*$C647*'Business Case'!B12*$B647)-'Business Case'!B15*$F647</f>
        <v>-2338172677.59605</v>
      </c>
      <c r="I647" s="53" t="n">
        <f aca="false">(('Business Case'!C11*$C647*'Business Case'!C12*$B647)-'Business Case'!C11*$C647*'Business Case'!C13*$D647-'Business Case'!C14*$E647)-MAX(0,(('Business Case'!C11*$C647*'Business Case'!C12*$B647)-'Business Case'!C11*$C647*'Business Case'!C13*$D647-'Business Case'!C14*$E647))*'Business Case'!$B$7-'Business Case'!$B$8*(('Business Case'!C11*$C647*'Business Case'!C12*$B647)-('Business Case'!B11*$C647*'Business Case'!B12*$B647))-'Business Case'!C15*$F647</f>
        <v>-17164623.5959742</v>
      </c>
      <c r="J647" s="53" t="n">
        <f aca="false">(('Business Case'!D11*$C647*'Business Case'!D12*$B647)-'Business Case'!D11*$C647*'Business Case'!D13*$D647-'Business Case'!D14*$E647)-MAX(0,(('Business Case'!D11*$C647*'Business Case'!D12*$B647)-'Business Case'!D11*$C647*'Business Case'!D13*$D647-'Business Case'!D14*$E647))*'Business Case'!$B$7-'Business Case'!$B$8*(('Business Case'!D11*$C647*'Business Case'!D12*$B647)-('Business Case'!C11*$C647*'Business Case'!C12*$B647))-'Business Case'!D15*$F647</f>
        <v>273712202.515376</v>
      </c>
      <c r="K647" s="53" t="n">
        <f aca="false">(('Business Case'!E11*$C647*'Business Case'!E12*$B647)-'Business Case'!E11*$C647*'Business Case'!E13*$D647-'Business Case'!E14*$E647)-MAX(0,(('Business Case'!E11*$C647*'Business Case'!E12*$B647)-'Business Case'!E11*$C647*'Business Case'!E13*$D647-'Business Case'!E14*$E647))*'Business Case'!$B$7-'Business Case'!$B$8*(('Business Case'!E11*$C647*'Business Case'!E12*$B647)-('Business Case'!D11*$C647*'Business Case'!D12*$B647))-'Business Case'!E15*$F647</f>
        <v>623043345.566628</v>
      </c>
      <c r="L647" s="53" t="n">
        <f aca="false">(('Business Case'!F11*$C647*'Business Case'!F12*$B647)-'Business Case'!F11*$C647*'Business Case'!F13*$D647-'Business Case'!F14*$E647)-MAX(0,(('Business Case'!F11*$C647*'Business Case'!F12*$B647)-'Business Case'!F11*$C647*'Business Case'!F13*$D647-'Business Case'!F14*$E647))*'Business Case'!$B$7-'Business Case'!$B$8*(('Business Case'!F11*$C647*'Business Case'!F12*$B647)-('Business Case'!E11*$C647*'Business Case'!E12*$B647))-'Business Case'!F15*$F647</f>
        <v>754332232.166012</v>
      </c>
      <c r="M647" s="53" t="n">
        <f aca="false">(('Business Case'!G11*$C647*'Business Case'!G12*$B647)-'Business Case'!G11*$C647*'Business Case'!G13*$D647-'Business Case'!G14*$E647)-MAX(0,(('Business Case'!G11*$C647*'Business Case'!G12*$B647)-'Business Case'!G11*$C647*'Business Case'!G13*$D647-'Business Case'!G14*$E647))*'Business Case'!$B$7-'Business Case'!$B$8*(('Business Case'!G11*$C647*'Business Case'!G12*$B647)-('Business Case'!F11*$C647*'Business Case'!F12*$B647))-'Business Case'!G15*$F647+'Business Case'!$B$8*('Business Case'!G11*$C647*'Business Case'!G12*$B647)</f>
        <v>943146927.25848</v>
      </c>
      <c r="N647" s="53" t="n">
        <f aca="false">IF(COUNT('Business Case'!B11:G11)=0,"",H647+NPV(G647,I647:M647))</f>
        <v>-567816201.078412</v>
      </c>
      <c r="P647" s="54" t="n">
        <f aca="true">RAND()</f>
        <v>0.319371258269687</v>
      </c>
      <c r="Q647" s="54" t="n">
        <f aca="true">RAND()</f>
        <v>0.670252826180278</v>
      </c>
      <c r="R647" s="54" t="n">
        <f aca="true">RAND()</f>
        <v>0.424956301937586</v>
      </c>
      <c r="S647" s="54" t="n">
        <f aca="true">RAND()</f>
        <v>0.136383290175058</v>
      </c>
      <c r="T647" s="54" t="n">
        <f aca="true">RAND()</f>
        <v>0.980886911021789</v>
      </c>
      <c r="U647" s="54" t="n">
        <f aca="true">RAND()</f>
        <v>0.428653468456433</v>
      </c>
    </row>
    <row r="648" customFormat="false" ht="15" hidden="false" customHeight="false" outlineLevel="0" collapsed="false">
      <c r="A648" s="50" t="n">
        <v>568</v>
      </c>
      <c r="B648" s="51" t="n">
        <f aca="false">1+IF($G$6=$E$6,$F$6,IF(P648&lt;($F$6-$E$6)/($G$6-$E$6),$E$6+SQRT(P648*($G$6-$E$6)*($F$6-$E$6)),$G$6-SQRT((1-P648)*($G$6-$E$6)*($G$6-$F$6))))</f>
        <v>0.992696128816443</v>
      </c>
      <c r="C648" s="51" t="n">
        <f aca="false">1+IF($G$7=$E$7,$F$7,IF(Q648&lt;($F$7-$E$7)/($G$7-$E$7),$E$7+SQRT(Q648*($G$7-$E$7)*($F$7-$E$7)),$G$7-SQRT((1-Q648)*($G$7-$E$7)*($G$7-$F$7))))</f>
        <v>1.00667193106305</v>
      </c>
      <c r="D648" s="51" t="n">
        <f aca="false">1+IF($G$8=$E$8,$F$8,IF(R648&lt;($F$8-$E$8)/($G$8-$E$8),$E$8+SQRT(R648*($G$8-$E$8)*($F$8-$E$8)),$G$8-SQRT((1-R648)*($G$8-$E$8)*($G$8-$F$8))))</f>
        <v>1.00850966973535</v>
      </c>
      <c r="E648" s="51" t="n">
        <f aca="false">1+IF($G$9=$E$9,$F$9,IF(S648&lt;($F$9-$E$9)/($G$9-$E$9),$E$9+SQRT(S648*($G$9-$E$9)*($F$9-$E$9)),$G$9-SQRT((1-S648)*($G$9-$E$9)*($G$9-$F$9))))</f>
        <v>0.999404464695061</v>
      </c>
      <c r="F648" s="51" t="n">
        <f aca="false">1+IF($G$10=$E$10,$F$10,IF(T648&lt;($F$10-$E$10)/($G$10-$E$10),$E$10+SQRT(T648*($G$10-$E$10)*($F$10-$E$10)),$G$10-SQRT((1-T648)*($G$10-$E$10)*($G$10-$F$10))))</f>
        <v>1.10916032006057</v>
      </c>
      <c r="G648" s="52" t="n">
        <f aca="false">IF($G$11=$E$11,$F$11,IF(U648&lt;($F$11-$E$11)/($G$11-$E$11),$E$11+SQRT(U648*($G$11-$E$11)*($F$11-$E$11)),$G$11-SQRT((1-U648)*($G$11-$E$11)*($G$11-$F$11))))</f>
        <v>0.0986187156252165</v>
      </c>
      <c r="H648" s="53" t="n">
        <f aca="false">(('Business Case'!B11*$C648*'Business Case'!B12*$B648)-'Business Case'!B11*$C648*'Business Case'!B13*$D648-'Business Case'!B14*$E648)-MAX(0,(('Business Case'!B11*$C648*'Business Case'!B12*$B648)-'Business Case'!B11*$C648*'Business Case'!B13*$D648-'Business Case'!B14*$E648))*'Business Case'!$B$7-'Business Case'!$B$8*('Business Case'!B11*$C648*'Business Case'!B12*$B648)-'Business Case'!B15*$F648</f>
        <v>-2218320640.12114</v>
      </c>
      <c r="I648" s="53" t="n">
        <f aca="false">(('Business Case'!C11*$C648*'Business Case'!C12*$B648)-'Business Case'!C11*$C648*'Business Case'!C13*$D648-'Business Case'!C14*$E648)-MAX(0,(('Business Case'!C11*$C648*'Business Case'!C12*$B648)-'Business Case'!C11*$C648*'Business Case'!C13*$D648-'Business Case'!C14*$E648))*'Business Case'!$B$7-'Business Case'!$B$8*(('Business Case'!C11*$C648*'Business Case'!C12*$B648)-('Business Case'!B11*$C648*'Business Case'!B12*$B648))-'Business Case'!C15*$F648</f>
        <v>-6042409.30802639</v>
      </c>
      <c r="J648" s="53" t="n">
        <f aca="false">(('Business Case'!D11*$C648*'Business Case'!D12*$B648)-'Business Case'!D11*$C648*'Business Case'!D13*$D648-'Business Case'!D14*$E648)-MAX(0,(('Business Case'!D11*$C648*'Business Case'!D12*$B648)-'Business Case'!D11*$C648*'Business Case'!D13*$D648-'Business Case'!D14*$E648))*'Business Case'!$B$7-'Business Case'!$B$8*(('Business Case'!D11*$C648*'Business Case'!D12*$B648)-('Business Case'!C11*$C648*'Business Case'!C12*$B648))-'Business Case'!D15*$F648</f>
        <v>292751242.282641</v>
      </c>
      <c r="K648" s="53" t="n">
        <f aca="false">(('Business Case'!E11*$C648*'Business Case'!E12*$B648)-'Business Case'!E11*$C648*'Business Case'!E13*$D648-'Business Case'!E14*$E648)-MAX(0,(('Business Case'!E11*$C648*'Business Case'!E12*$B648)-'Business Case'!E11*$C648*'Business Case'!E13*$D648-'Business Case'!E14*$E648))*'Business Case'!$B$7-'Business Case'!$B$8*(('Business Case'!E11*$C648*'Business Case'!E12*$B648)-('Business Case'!D11*$C648*'Business Case'!D12*$B648))-'Business Case'!E15*$F648</f>
        <v>647002909.876337</v>
      </c>
      <c r="L648" s="53" t="n">
        <f aca="false">(('Business Case'!F11*$C648*'Business Case'!F12*$B648)-'Business Case'!F11*$C648*'Business Case'!F13*$D648-'Business Case'!F14*$E648)-MAX(0,(('Business Case'!F11*$C648*'Business Case'!F12*$B648)-'Business Case'!F11*$C648*'Business Case'!F13*$D648-'Business Case'!F14*$E648))*'Business Case'!$B$7-'Business Case'!$B$8*(('Business Case'!F11*$C648*'Business Case'!F12*$B648)-('Business Case'!E11*$C648*'Business Case'!E12*$B648))-'Business Case'!F15*$F648</f>
        <v>781137269.74856</v>
      </c>
      <c r="M648" s="53" t="n">
        <f aca="false">(('Business Case'!G11*$C648*'Business Case'!G12*$B648)-'Business Case'!G11*$C648*'Business Case'!G13*$D648-'Business Case'!G14*$E648)-MAX(0,(('Business Case'!G11*$C648*'Business Case'!G12*$B648)-'Business Case'!G11*$C648*'Business Case'!G13*$D648-'Business Case'!G14*$E648))*'Business Case'!$B$7-'Business Case'!$B$8*(('Business Case'!G11*$C648*'Business Case'!G12*$B648)-('Business Case'!F11*$C648*'Business Case'!F12*$B648))-'Business Case'!G15*$F648+'Business Case'!$B$8*('Business Case'!G11*$C648*'Business Case'!G12*$B648)</f>
        <v>971087887.796224</v>
      </c>
      <c r="N648" s="53" t="n">
        <f aca="false">IF(COUNT('Business Case'!B11:G11)=0,"",H648+NPV(G648,I648:M648))</f>
        <v>-350345224.269612</v>
      </c>
      <c r="P648" s="54" t="n">
        <f aca="true">RAND()</f>
        <v>0.550492410926753</v>
      </c>
      <c r="Q648" s="54" t="n">
        <f aca="true">RAND()</f>
        <v>0.60870599342485</v>
      </c>
      <c r="R648" s="54" t="n">
        <f aca="true">RAND()</f>
        <v>0.508570449870291</v>
      </c>
      <c r="S648" s="54" t="n">
        <f aca="true">RAND()</f>
        <v>0.3254401509074</v>
      </c>
      <c r="T648" s="54" t="n">
        <f aca="true">RAND()</f>
        <v>0.834963050970044</v>
      </c>
      <c r="U648" s="54" t="n">
        <f aca="true">RAND()</f>
        <v>0.247607530094505</v>
      </c>
    </row>
    <row r="649" customFormat="false" ht="15" hidden="false" customHeight="false" outlineLevel="0" collapsed="false">
      <c r="A649" s="50" t="n">
        <v>569</v>
      </c>
      <c r="B649" s="51" t="n">
        <f aca="false">1+IF($G$6=$E$6,$F$6,IF(P649&lt;($F$6-$E$6)/($G$6-$E$6),$E$6+SQRT(P649*($G$6-$E$6)*($F$6-$E$6)),$G$6-SQRT((1-P649)*($G$6-$E$6)*($G$6-$F$6))))</f>
        <v>0.978271706256649</v>
      </c>
      <c r="C649" s="51" t="n">
        <f aca="false">1+IF($G$7=$E$7,$F$7,IF(Q649&lt;($F$7-$E$7)/($G$7-$E$7),$E$7+SQRT(Q649*($G$7-$E$7)*($F$7-$E$7)),$G$7-SQRT((1-Q649)*($G$7-$E$7)*($G$7-$F$7))))</f>
        <v>0.979577527120601</v>
      </c>
      <c r="D649" s="51" t="n">
        <f aca="false">1+IF($G$8=$E$8,$F$8,IF(R649&lt;($F$8-$E$8)/($G$8-$E$8),$E$8+SQRT(R649*($G$8-$E$8)*($F$8-$E$8)),$G$8-SQRT((1-R649)*($G$8-$E$8)*($G$8-$F$8))))</f>
        <v>0.99661529121222</v>
      </c>
      <c r="E649" s="51" t="n">
        <f aca="false">1+IF($G$9=$E$9,$F$9,IF(S649&lt;($F$9-$E$9)/($G$9-$E$9),$E$9+SQRT(S649*($G$9-$E$9)*($F$9-$E$9)),$G$9-SQRT((1-S649)*($G$9-$E$9)*($G$9-$F$9))))</f>
        <v>1.02825737894542</v>
      </c>
      <c r="F649" s="51" t="n">
        <f aca="false">1+IF($G$10=$E$10,$F$10,IF(T649&lt;($F$10-$E$10)/($G$10-$E$10),$E$10+SQRT(T649*($G$10-$E$10)*($F$10-$E$10)),$G$10-SQRT((1-T649)*($G$10-$E$10)*($G$10-$F$10))))</f>
        <v>1.18336731684159</v>
      </c>
      <c r="G649" s="52" t="n">
        <f aca="false">IF($G$11=$E$11,$F$11,IF(U649&lt;($F$11-$E$11)/($G$11-$E$11),$E$11+SQRT(U649*($G$11-$E$11)*($F$11-$E$11)),$G$11-SQRT((1-U649)*($G$11-$E$11)*($G$11-$F$11))))</f>
        <v>0.0993209709112946</v>
      </c>
      <c r="H649" s="53" t="n">
        <f aca="false">(('Business Case'!B11*$C649*'Business Case'!B12*$B649)-'Business Case'!B11*$C649*'Business Case'!B13*$D649-'Business Case'!B14*$E649)-MAX(0,(('Business Case'!B11*$C649*'Business Case'!B12*$B649)-'Business Case'!B11*$C649*'Business Case'!B13*$D649-'Business Case'!B14*$E649))*'Business Case'!$B$7-'Business Case'!$B$8*('Business Case'!B11*$C649*'Business Case'!B12*$B649)-'Business Case'!B15*$F649</f>
        <v>-2366734633.68317</v>
      </c>
      <c r="I649" s="53" t="n">
        <f aca="false">(('Business Case'!C11*$C649*'Business Case'!C12*$B649)-'Business Case'!C11*$C649*'Business Case'!C13*$D649-'Business Case'!C14*$E649)-MAX(0,(('Business Case'!C11*$C649*'Business Case'!C12*$B649)-'Business Case'!C11*$C649*'Business Case'!C13*$D649-'Business Case'!C14*$E649))*'Business Case'!$B$7-'Business Case'!$B$8*(('Business Case'!C11*$C649*'Business Case'!C12*$B649)-('Business Case'!B11*$C649*'Business Case'!B12*$B649))-'Business Case'!C15*$F649</f>
        <v>-29089905.7903589</v>
      </c>
      <c r="J649" s="53" t="n">
        <f aca="false">(('Business Case'!D11*$C649*'Business Case'!D12*$B649)-'Business Case'!D11*$C649*'Business Case'!D13*$D649-'Business Case'!D14*$E649)-MAX(0,(('Business Case'!D11*$C649*'Business Case'!D12*$B649)-'Business Case'!D11*$C649*'Business Case'!D13*$D649-'Business Case'!D14*$E649))*'Business Case'!$B$7-'Business Case'!$B$8*(('Business Case'!D11*$C649*'Business Case'!D12*$B649)-('Business Case'!C11*$C649*'Business Case'!C12*$B649))-'Business Case'!D15*$F649</f>
        <v>256053027.413942</v>
      </c>
      <c r="K649" s="53" t="n">
        <f aca="false">(('Business Case'!E11*$C649*'Business Case'!E12*$B649)-'Business Case'!E11*$C649*'Business Case'!E13*$D649-'Business Case'!E14*$E649)-MAX(0,(('Business Case'!E11*$C649*'Business Case'!E12*$B649)-'Business Case'!E11*$C649*'Business Case'!E13*$D649-'Business Case'!E14*$E649))*'Business Case'!$B$7-'Business Case'!$B$8*(('Business Case'!E11*$C649*'Business Case'!E12*$B649)-('Business Case'!D11*$C649*'Business Case'!D12*$B649))-'Business Case'!E15*$F649</f>
        <v>600364326.460323</v>
      </c>
      <c r="L649" s="53" t="n">
        <f aca="false">(('Business Case'!F11*$C649*'Business Case'!F12*$B649)-'Business Case'!F11*$C649*'Business Case'!F13*$D649-'Business Case'!F14*$E649)-MAX(0,(('Business Case'!F11*$C649*'Business Case'!F12*$B649)-'Business Case'!F11*$C649*'Business Case'!F13*$D649-'Business Case'!F14*$E649))*'Business Case'!$B$7-'Business Case'!$B$8*(('Business Case'!F11*$C649*'Business Case'!F12*$B649)-('Business Case'!E11*$C649*'Business Case'!E12*$B649))-'Business Case'!F15*$F649</f>
        <v>728530576.211398</v>
      </c>
      <c r="M649" s="53" t="n">
        <f aca="false">(('Business Case'!G11*$C649*'Business Case'!G12*$B649)-'Business Case'!G11*$C649*'Business Case'!G13*$D649-'Business Case'!G14*$E649)-MAX(0,(('Business Case'!G11*$C649*'Business Case'!G12*$B649)-'Business Case'!G11*$C649*'Business Case'!G13*$D649-'Business Case'!G14*$E649))*'Business Case'!$B$7-'Business Case'!$B$8*(('Business Case'!G11*$C649*'Business Case'!G12*$B649)-('Business Case'!F11*$C649*'Business Case'!F12*$B649))-'Business Case'!G15*$F649+'Business Case'!$B$8*('Business Case'!G11*$C649*'Business Case'!G12*$B649)</f>
        <v>910682905.634426</v>
      </c>
      <c r="N649" s="53" t="n">
        <f aca="false">IF(COUNT('Business Case'!B11:G11)=0,"",H649+NPV(G649,I649:M649))</f>
        <v>-663384089.750889</v>
      </c>
      <c r="P649" s="54" t="n">
        <f aca="true">RAND()</f>
        <v>0.353707473964708</v>
      </c>
      <c r="Q649" s="54" t="n">
        <f aca="true">RAND()</f>
        <v>0.460686974953577</v>
      </c>
      <c r="R649" s="54" t="n">
        <f aca="true">RAND()</f>
        <v>0.334305442276933</v>
      </c>
      <c r="S649" s="54" t="n">
        <f aca="true">RAND()</f>
        <v>0.65686642161464</v>
      </c>
      <c r="T649" s="54" t="n">
        <f aca="true">RAND()</f>
        <v>0.994467077019037</v>
      </c>
      <c r="U649" s="54" t="n">
        <f aca="true">RAND()</f>
        <v>0.289601662430669</v>
      </c>
    </row>
    <row r="650" customFormat="false" ht="15" hidden="false" customHeight="false" outlineLevel="0" collapsed="false">
      <c r="A650" s="50" t="n">
        <v>570</v>
      </c>
      <c r="B650" s="51" t="n">
        <f aca="false">1+IF($G$6=$E$6,$F$6,IF(P650&lt;($F$6-$E$6)/($G$6-$E$6),$E$6+SQRT(P650*($G$6-$E$6)*($F$6-$E$6)),$G$6-SQRT((1-P650)*($G$6-$E$6)*($G$6-$F$6))))</f>
        <v>0.97159150238629</v>
      </c>
      <c r="C650" s="51" t="n">
        <f aca="false">1+IF($G$7=$E$7,$F$7,IF(Q650&lt;($F$7-$E$7)/($G$7-$E$7),$E$7+SQRT(Q650*($G$7-$E$7)*($F$7-$E$7)),$G$7-SQRT((1-Q650)*($G$7-$E$7)*($G$7-$F$7))))</f>
        <v>0.942362290857945</v>
      </c>
      <c r="D650" s="51" t="n">
        <f aca="false">1+IF($G$8=$E$8,$F$8,IF(R650&lt;($F$8-$E$8)/($G$8-$E$8),$E$8+SQRT(R650*($G$8-$E$8)*($F$8-$E$8)),$G$8-SQRT((1-R650)*($G$8-$E$8)*($G$8-$F$8))))</f>
        <v>0.999871734953038</v>
      </c>
      <c r="E650" s="51" t="n">
        <f aca="false">1+IF($G$9=$E$9,$F$9,IF(S650&lt;($F$9-$E$9)/($G$9-$E$9),$E$9+SQRT(S650*($G$9-$E$9)*($F$9-$E$9)),$G$9-SQRT((1-S650)*($G$9-$E$9)*($G$9-$F$9))))</f>
        <v>0.980916938527103</v>
      </c>
      <c r="F650" s="51" t="n">
        <f aca="false">1+IF($G$10=$E$10,$F$10,IF(T650&lt;($F$10-$E$10)/($G$10-$E$10),$E$10+SQRT(T650*($G$10-$E$10)*($F$10-$E$10)),$G$10-SQRT((1-T650)*($G$10-$E$10)*($G$10-$F$10))))</f>
        <v>1.15884866235391</v>
      </c>
      <c r="G650" s="52" t="n">
        <f aca="false">IF($G$11=$E$11,$F$11,IF(U650&lt;($F$11-$E$11)/($G$11-$E$11),$E$11+SQRT(U650*($G$11-$E$11)*($F$11-$E$11)),$G$11-SQRT((1-U650)*($G$11-$E$11)*($G$11-$F$11))))</f>
        <v>0.101134236399124</v>
      </c>
      <c r="H650" s="53" t="n">
        <f aca="false">(('Business Case'!B11*$C650*'Business Case'!B12*$B650)-'Business Case'!B11*$C650*'Business Case'!B13*$D650-'Business Case'!B14*$E650)-MAX(0,(('Business Case'!B11*$C650*'Business Case'!B12*$B650)-'Business Case'!B11*$C650*'Business Case'!B13*$D650-'Business Case'!B14*$E650))*'Business Case'!$B$7-'Business Case'!$B$8*('Business Case'!B11*$C650*'Business Case'!B12*$B650)-'Business Case'!B15*$F650</f>
        <v>-2317697324.70782</v>
      </c>
      <c r="I650" s="53" t="n">
        <f aca="false">(('Business Case'!C11*$C650*'Business Case'!C12*$B650)-'Business Case'!C11*$C650*'Business Case'!C13*$D650-'Business Case'!C14*$E650)-MAX(0,(('Business Case'!C11*$C650*'Business Case'!C12*$B650)-'Business Case'!C11*$C650*'Business Case'!C13*$D650-'Business Case'!C14*$E650))*'Business Case'!$B$7-'Business Case'!$B$8*(('Business Case'!C11*$C650*'Business Case'!C12*$B650)-('Business Case'!B11*$C650*'Business Case'!B12*$B650))-'Business Case'!C15*$F650</f>
        <v>-35252619.0326684</v>
      </c>
      <c r="J650" s="53" t="n">
        <f aca="false">(('Business Case'!D11*$C650*'Business Case'!D12*$B650)-'Business Case'!D11*$C650*'Business Case'!D13*$D650-'Business Case'!D14*$E650)-MAX(0,(('Business Case'!D11*$C650*'Business Case'!D12*$B650)-'Business Case'!D11*$C650*'Business Case'!D13*$D650-'Business Case'!D14*$E650))*'Business Case'!$B$7-'Business Case'!$B$8*(('Business Case'!D11*$C650*'Business Case'!D12*$B650)-('Business Case'!C11*$C650*'Business Case'!C12*$B650))-'Business Case'!D15*$F650</f>
        <v>232330264.32385</v>
      </c>
      <c r="K650" s="53" t="n">
        <f aca="false">(('Business Case'!E11*$C650*'Business Case'!E12*$B650)-'Business Case'!E11*$C650*'Business Case'!E13*$D650-'Business Case'!E14*$E650)-MAX(0,(('Business Case'!E11*$C650*'Business Case'!E12*$B650)-'Business Case'!E11*$C650*'Business Case'!E13*$D650-'Business Case'!E14*$E650))*'Business Case'!$B$7-'Business Case'!$B$8*(('Business Case'!E11*$C650*'Business Case'!E12*$B650)-('Business Case'!D11*$C650*'Business Case'!D12*$B650))-'Business Case'!E15*$F650</f>
        <v>557855580.798064</v>
      </c>
      <c r="L650" s="53" t="n">
        <f aca="false">(('Business Case'!F11*$C650*'Business Case'!F12*$B650)-'Business Case'!F11*$C650*'Business Case'!F13*$D650-'Business Case'!F14*$E650)-MAX(0,(('Business Case'!F11*$C650*'Business Case'!F12*$B650)-'Business Case'!F11*$C650*'Business Case'!F13*$D650-'Business Case'!F14*$E650))*'Business Case'!$B$7-'Business Case'!$B$8*(('Business Case'!F11*$C650*'Business Case'!F12*$B650)-('Business Case'!E11*$C650*'Business Case'!E12*$B650))-'Business Case'!F15*$F650</f>
        <v>678692706.913731</v>
      </c>
      <c r="M650" s="53" t="n">
        <f aca="false">(('Business Case'!G11*$C650*'Business Case'!G12*$B650)-'Business Case'!G11*$C650*'Business Case'!G13*$D650-'Business Case'!G14*$E650)-MAX(0,(('Business Case'!G11*$C650*'Business Case'!G12*$B650)-'Business Case'!G11*$C650*'Business Case'!G13*$D650-'Business Case'!G14*$E650))*'Business Case'!$B$7-'Business Case'!$B$8*(('Business Case'!G11*$C650*'Business Case'!G12*$B650)-('Business Case'!F11*$C650*'Business Case'!F12*$B650))-'Business Case'!G15*$F650+'Business Case'!$B$8*('Business Case'!G11*$C650*'Business Case'!G12*$B650)</f>
        <v>852728281.062951</v>
      </c>
      <c r="N650" s="53" t="n">
        <f aca="false">IF(COUNT('Business Case'!B11:G11)=0,"",H650+NPV(G650,I650:M650))</f>
        <v>-751862663.006524</v>
      </c>
      <c r="P650" s="54" t="n">
        <f aca="true">RAND()</f>
        <v>0.277258658174432</v>
      </c>
      <c r="Q650" s="54" t="n">
        <f aca="true">RAND()</f>
        <v>0.289528883690315</v>
      </c>
      <c r="R650" s="54" t="n">
        <f aca="true">RAND()</f>
        <v>0.382644607265545</v>
      </c>
      <c r="S650" s="54" t="n">
        <f aca="true">RAND()</f>
        <v>0.127447611718485</v>
      </c>
      <c r="T650" s="54" t="n">
        <f aca="true">RAND()</f>
        <v>0.966131348198751</v>
      </c>
      <c r="U650" s="54" t="n">
        <f aca="true">RAND()</f>
        <v>0.406804939593113</v>
      </c>
    </row>
    <row r="651" customFormat="false" ht="15" hidden="false" customHeight="false" outlineLevel="0" collapsed="false">
      <c r="A651" s="50" t="n">
        <v>571</v>
      </c>
      <c r="B651" s="51" t="n">
        <f aca="false">1+IF($G$6=$E$6,$F$6,IF(P651&lt;($F$6-$E$6)/($G$6-$E$6),$E$6+SQRT(P651*($G$6-$E$6)*($F$6-$E$6)),$G$6-SQRT((1-P651)*($G$6-$E$6)*($G$6-$F$6))))</f>
        <v>0.956421982946552</v>
      </c>
      <c r="C651" s="51" t="n">
        <f aca="false">1+IF($G$7=$E$7,$F$7,IF(Q651&lt;($F$7-$E$7)/($G$7-$E$7),$E$7+SQRT(Q651*($G$7-$E$7)*($F$7-$E$7)),$G$7-SQRT((1-Q651)*($G$7-$E$7)*($G$7-$F$7))))</f>
        <v>0.946702065371271</v>
      </c>
      <c r="D651" s="51" t="n">
        <f aca="false">1+IF($G$8=$E$8,$F$8,IF(R651&lt;($F$8-$E$8)/($G$8-$E$8),$E$8+SQRT(R651*($G$8-$E$8)*($F$8-$E$8)),$G$8-SQRT((1-R651)*($G$8-$E$8)*($G$8-$F$8))))</f>
        <v>1.00019148387996</v>
      </c>
      <c r="E651" s="51" t="n">
        <f aca="false">1+IF($G$9=$E$9,$F$9,IF(S651&lt;($F$9-$E$9)/($G$9-$E$9),$E$9+SQRT(S651*($G$9-$E$9)*($F$9-$E$9)),$G$9-SQRT((1-S651)*($G$9-$E$9)*($G$9-$F$9))))</f>
        <v>1.03604270542514</v>
      </c>
      <c r="F651" s="51" t="n">
        <f aca="false">1+IF($G$10=$E$10,$F$10,IF(T651&lt;($F$10-$E$10)/($G$10-$E$10),$E$10+SQRT(T651*($G$10-$E$10)*($F$10-$E$10)),$G$10-SQRT((1-T651)*($G$10-$E$10)*($G$10-$F$10))))</f>
        <v>1.02327896031276</v>
      </c>
      <c r="G651" s="52" t="n">
        <f aca="false">IF($G$11=$E$11,$F$11,IF(U651&lt;($F$11-$E$11)/($G$11-$E$11),$E$11+SQRT(U651*($G$11-$E$11)*($F$11-$E$11)),$G$11-SQRT((1-U651)*($G$11-$E$11)*($G$11-$F$11))))</f>
        <v>0.0952714316761224</v>
      </c>
      <c r="H651" s="53" t="n">
        <f aca="false">(('Business Case'!B11*$C651*'Business Case'!B12*$B651)-'Business Case'!B11*$C651*'Business Case'!B13*$D651-'Business Case'!B14*$E651)-MAX(0,(('Business Case'!B11*$C651*'Business Case'!B12*$B651)-'Business Case'!B11*$C651*'Business Case'!B13*$D651-'Business Case'!B14*$E651))*'Business Case'!$B$7-'Business Case'!$B$8*('Business Case'!B11*$C651*'Business Case'!B12*$B651)-'Business Case'!B15*$F651</f>
        <v>-2046557920.62552</v>
      </c>
      <c r="I651" s="53" t="n">
        <f aca="false">(('Business Case'!C11*$C651*'Business Case'!C12*$B651)-'Business Case'!C11*$C651*'Business Case'!C13*$D651-'Business Case'!C14*$E651)-MAX(0,(('Business Case'!C11*$C651*'Business Case'!C12*$B651)-'Business Case'!C11*$C651*'Business Case'!C13*$D651-'Business Case'!C14*$E651))*'Business Case'!$B$7-'Business Case'!$B$8*(('Business Case'!C11*$C651*'Business Case'!C12*$B651)-('Business Case'!B11*$C651*'Business Case'!B12*$B651))-'Business Case'!C15*$F651</f>
        <v>-39694033.0501554</v>
      </c>
      <c r="J651" s="53" t="n">
        <f aca="false">(('Business Case'!D11*$C651*'Business Case'!D12*$B651)-'Business Case'!D11*$C651*'Business Case'!D13*$D651-'Business Case'!D14*$E651)-MAX(0,(('Business Case'!D11*$C651*'Business Case'!D12*$B651)-'Business Case'!D11*$C651*'Business Case'!D13*$D651-'Business Case'!D14*$E651))*'Business Case'!$B$7-'Business Case'!$B$8*(('Business Case'!D11*$C651*'Business Case'!D12*$B651)-('Business Case'!C11*$C651*'Business Case'!C12*$B651))-'Business Case'!D15*$F651</f>
        <v>217203457.840104</v>
      </c>
      <c r="K651" s="53" t="n">
        <f aca="false">(('Business Case'!E11*$C651*'Business Case'!E12*$B651)-'Business Case'!E11*$C651*'Business Case'!E13*$D651-'Business Case'!E14*$E651)-MAX(0,(('Business Case'!E11*$C651*'Business Case'!E12*$B651)-'Business Case'!E11*$C651*'Business Case'!E13*$D651-'Business Case'!E14*$E651))*'Business Case'!$B$7-'Business Case'!$B$8*(('Business Case'!E11*$C651*'Business Case'!E12*$B651)-('Business Case'!D11*$C651*'Business Case'!D12*$B651))-'Business Case'!E15*$F651</f>
        <v>525264896.746001</v>
      </c>
      <c r="L651" s="53" t="n">
        <f aca="false">(('Business Case'!F11*$C651*'Business Case'!F12*$B651)-'Business Case'!F11*$C651*'Business Case'!F13*$D651-'Business Case'!F14*$E651)-MAX(0,(('Business Case'!F11*$C651*'Business Case'!F12*$B651)-'Business Case'!F11*$C651*'Business Case'!F13*$D651-'Business Case'!F14*$E651))*'Business Case'!$B$7-'Business Case'!$B$8*(('Business Case'!F11*$C651*'Business Case'!F12*$B651)-('Business Case'!E11*$C651*'Business Case'!E12*$B651))-'Business Case'!F15*$F651</f>
        <v>642189630.507877</v>
      </c>
      <c r="M651" s="53" t="n">
        <f aca="false">(('Business Case'!G11*$C651*'Business Case'!G12*$B651)-'Business Case'!G11*$C651*'Business Case'!G13*$D651-'Business Case'!G14*$E651)-MAX(0,(('Business Case'!G11*$C651*'Business Case'!G12*$B651)-'Business Case'!G11*$C651*'Business Case'!G13*$D651-'Business Case'!G14*$E651))*'Business Case'!$B$7-'Business Case'!$B$8*(('Business Case'!G11*$C651*'Business Case'!G12*$B651)-('Business Case'!F11*$C651*'Business Case'!F12*$B651))-'Business Case'!G15*$F651+'Business Case'!$B$8*('Business Case'!G11*$C651*'Business Case'!G12*$B651)</f>
        <v>814296932.899384</v>
      </c>
      <c r="N651" s="53" t="n">
        <f aca="false">IF(COUNT('Business Case'!B11:G11)=0,"",H651+NPV(G651,I651:M651))</f>
        <v>-539094959.583813</v>
      </c>
      <c r="P651" s="54" t="n">
        <f aca="true">RAND()</f>
        <v>0.138183421016553</v>
      </c>
      <c r="Q651" s="54" t="n">
        <f aca="true">RAND()</f>
        <v>0.307449942631383</v>
      </c>
      <c r="R651" s="54" t="n">
        <f aca="true">RAND()</f>
        <v>0.387557764876707</v>
      </c>
      <c r="S651" s="54" t="n">
        <f aca="true">RAND()</f>
        <v>0.727297631377628</v>
      </c>
      <c r="T651" s="54" t="n">
        <f aca="true">RAND()</f>
        <v>0.37539348263722</v>
      </c>
      <c r="U651" s="54" t="n">
        <f aca="true">RAND()</f>
        <v>0.0926266397200886</v>
      </c>
    </row>
    <row r="652" customFormat="false" ht="15" hidden="false" customHeight="false" outlineLevel="0" collapsed="false">
      <c r="A652" s="50" t="n">
        <v>572</v>
      </c>
      <c r="B652" s="51" t="n">
        <f aca="false">1+IF($G$6=$E$6,$F$6,IF(P652&lt;($F$6-$E$6)/($G$6-$E$6),$E$6+SQRT(P652*($G$6-$E$6)*($F$6-$E$6)),$G$6-SQRT((1-P652)*($G$6-$E$6)*($G$6-$F$6))))</f>
        <v>1.02402379255713</v>
      </c>
      <c r="C652" s="51" t="n">
        <f aca="false">1+IF($G$7=$E$7,$F$7,IF(Q652&lt;($F$7-$E$7)/($G$7-$E$7),$E$7+SQRT(Q652*($G$7-$E$7)*($F$7-$E$7)),$G$7-SQRT((1-Q652)*($G$7-$E$7)*($G$7-$F$7))))</f>
        <v>0.988489020729347</v>
      </c>
      <c r="D652" s="51" t="n">
        <f aca="false">1+IF($G$8=$E$8,$F$8,IF(R652&lt;($F$8-$E$8)/($G$8-$E$8),$E$8+SQRT(R652*($G$8-$E$8)*($F$8-$E$8)),$G$8-SQRT((1-R652)*($G$8-$E$8)*($G$8-$F$8))))</f>
        <v>0.996921662038244</v>
      </c>
      <c r="E652" s="51" t="n">
        <f aca="false">1+IF($G$9=$E$9,$F$9,IF(S652&lt;($F$9-$E$9)/($G$9-$E$9),$E$9+SQRT(S652*($G$9-$E$9)*($F$9-$E$9)),$G$9-SQRT((1-S652)*($G$9-$E$9)*($G$9-$F$9))))</f>
        <v>1.02022378742612</v>
      </c>
      <c r="F652" s="51" t="n">
        <f aca="false">1+IF($G$10=$E$10,$F$10,IF(T652&lt;($F$10-$E$10)/($G$10-$E$10),$E$10+SQRT(T652*($G$10-$E$10)*($F$10-$E$10)),$G$10-SQRT((1-T652)*($G$10-$E$10)*($G$10-$F$10))))</f>
        <v>0.997926933923354</v>
      </c>
      <c r="G652" s="52" t="n">
        <f aca="false">IF($G$11=$E$11,$F$11,IF(U652&lt;($F$11-$E$11)/($G$11-$E$11),$E$11+SQRT(U652*($G$11-$E$11)*($F$11-$E$11)),$G$11-SQRT((1-U652)*($G$11-$E$11)*($G$11-$F$11))))</f>
        <v>0.0989739971841465</v>
      </c>
      <c r="H652" s="53" t="n">
        <f aca="false">(('Business Case'!B11*$C652*'Business Case'!B12*$B652)-'Business Case'!B11*$C652*'Business Case'!B13*$D652-'Business Case'!B14*$E652)-MAX(0,(('Business Case'!B11*$C652*'Business Case'!B12*$B652)-'Business Case'!B11*$C652*'Business Case'!B13*$D652-'Business Case'!B14*$E652))*'Business Case'!$B$7-'Business Case'!$B$8*('Business Case'!B11*$C652*'Business Case'!B12*$B652)-'Business Case'!B15*$F652</f>
        <v>-1995853867.84671</v>
      </c>
      <c r="I652" s="53" t="n">
        <f aca="false">(('Business Case'!C11*$C652*'Business Case'!C12*$B652)-'Business Case'!C11*$C652*'Business Case'!C13*$D652-'Business Case'!C14*$E652)-MAX(0,(('Business Case'!C11*$C652*'Business Case'!C12*$B652)-'Business Case'!C11*$C652*'Business Case'!C13*$D652-'Business Case'!C14*$E652))*'Business Case'!$B$7-'Business Case'!$B$8*(('Business Case'!C11*$C652*'Business Case'!C12*$B652)-('Business Case'!B11*$C652*'Business Case'!B12*$B652))-'Business Case'!C15*$F652</f>
        <v>27281970.0273307</v>
      </c>
      <c r="J652" s="53" t="n">
        <f aca="false">(('Business Case'!D11*$C652*'Business Case'!D12*$B652)-'Business Case'!D11*$C652*'Business Case'!D13*$D652-'Business Case'!D14*$E652)-MAX(0,(('Business Case'!D11*$C652*'Business Case'!D12*$B652)-'Business Case'!D11*$C652*'Business Case'!D13*$D652-'Business Case'!D14*$E652))*'Business Case'!$B$7-'Business Case'!$B$8*(('Business Case'!D11*$C652*'Business Case'!D12*$B652)-('Business Case'!C11*$C652*'Business Case'!C12*$B652))-'Business Case'!D15*$F652</f>
        <v>351906784.56208</v>
      </c>
      <c r="K652" s="53" t="n">
        <f aca="false">(('Business Case'!E11*$C652*'Business Case'!E12*$B652)-'Business Case'!E11*$C652*'Business Case'!E13*$D652-'Business Case'!E14*$E652)-MAX(0,(('Business Case'!E11*$C652*'Business Case'!E12*$B652)-'Business Case'!E11*$C652*'Business Case'!E13*$D652-'Business Case'!E14*$E652))*'Business Case'!$B$7-'Business Case'!$B$8*(('Business Case'!E11*$C652*'Business Case'!E12*$B652)-('Business Case'!D11*$C652*'Business Case'!D12*$B652))-'Business Case'!E15*$F652</f>
        <v>726427945.792997</v>
      </c>
      <c r="L652" s="53" t="n">
        <f aca="false">(('Business Case'!F11*$C652*'Business Case'!F12*$B652)-'Business Case'!F11*$C652*'Business Case'!F13*$D652-'Business Case'!F14*$E652)-MAX(0,(('Business Case'!F11*$C652*'Business Case'!F12*$B652)-'Business Case'!F11*$C652*'Business Case'!F13*$D652-'Business Case'!F14*$E652))*'Business Case'!$B$7-'Business Case'!$B$8*(('Business Case'!F11*$C652*'Business Case'!F12*$B652)-('Business Case'!E11*$C652*'Business Case'!E12*$B652))-'Business Case'!F15*$F652</f>
        <v>869619102.999972</v>
      </c>
      <c r="M652" s="53" t="n">
        <f aca="false">(('Business Case'!G11*$C652*'Business Case'!G12*$B652)-'Business Case'!G11*$C652*'Business Case'!G13*$D652-'Business Case'!G14*$E652)-MAX(0,(('Business Case'!G11*$C652*'Business Case'!G12*$B652)-'Business Case'!G11*$C652*'Business Case'!G13*$D652-'Business Case'!G14*$E652))*'Business Case'!$B$7-'Business Case'!$B$8*(('Business Case'!G11*$C652*'Business Case'!G12*$B652)-('Business Case'!F11*$C652*'Business Case'!F12*$B652))-'Business Case'!G15*$F652+'Business Case'!$B$8*('Business Case'!G11*$C652*'Business Case'!G12*$B652)</f>
        <v>1062024974.32463</v>
      </c>
      <c r="N652" s="53" t="n">
        <f aca="false">IF(COUNT('Business Case'!B11:G11)=0,"",H652+NPV(G652,I652:M652))</f>
        <v>126353225.591704</v>
      </c>
      <c r="P652" s="54" t="n">
        <f aca="true">RAND()</f>
        <v>0.946825165779685</v>
      </c>
      <c r="Q652" s="54" t="n">
        <f aca="true">RAND()</f>
        <v>0.507544441935829</v>
      </c>
      <c r="R652" s="54" t="n">
        <f aca="true">RAND()</f>
        <v>0.338714210527875</v>
      </c>
      <c r="S652" s="54" t="n">
        <f aca="true">RAND()</f>
        <v>0.575717060491128</v>
      </c>
      <c r="T652" s="54" t="n">
        <f aca="true">RAND()</f>
        <v>0.183759279623483</v>
      </c>
      <c r="U652" s="54" t="n">
        <f aca="true">RAND()</f>
        <v>0.268442084870231</v>
      </c>
    </row>
    <row r="653" customFormat="false" ht="15" hidden="false" customHeight="false" outlineLevel="0" collapsed="false">
      <c r="A653" s="50" t="n">
        <v>573</v>
      </c>
      <c r="B653" s="51" t="n">
        <f aca="false">1+IF($G$6=$E$6,$F$6,IF(P653&lt;($F$6-$E$6)/($G$6-$E$6),$E$6+SQRT(P653*($G$6-$E$6)*($F$6-$E$6)),$G$6-SQRT((1-P653)*($G$6-$E$6)*($G$6-$F$6))))</f>
        <v>1.02462687424913</v>
      </c>
      <c r="C653" s="51" t="n">
        <f aca="false">1+IF($G$7=$E$7,$F$7,IF(Q653&lt;($F$7-$E$7)/($G$7-$E$7),$E$7+SQRT(Q653*($G$7-$E$7)*($F$7-$E$7)),$G$7-SQRT((1-Q653)*($G$7-$E$7)*($G$7-$F$7))))</f>
        <v>0.907720310578644</v>
      </c>
      <c r="D653" s="51" t="n">
        <f aca="false">1+IF($G$8=$E$8,$F$8,IF(R653&lt;($F$8-$E$8)/($G$8-$E$8),$E$8+SQRT(R653*($G$8-$E$8)*($F$8-$E$8)),$G$8-SQRT((1-R653)*($G$8-$E$8)*($G$8-$F$8))))</f>
        <v>0.982532619226299</v>
      </c>
      <c r="E653" s="51" t="n">
        <f aca="false">1+IF($G$9=$E$9,$F$9,IF(S653&lt;($F$9-$E$9)/($G$9-$E$9),$E$9+SQRT(S653*($G$9-$E$9)*($F$9-$E$9)),$G$9-SQRT((1-S653)*($G$9-$E$9)*($G$9-$F$9))))</f>
        <v>0.970015151087214</v>
      </c>
      <c r="F653" s="51" t="n">
        <f aca="false">1+IF($G$10=$E$10,$F$10,IF(T653&lt;($F$10-$E$10)/($G$10-$E$10),$E$10+SQRT(T653*($G$10-$E$10)*($F$10-$E$10)),$G$10-SQRT((1-T653)*($G$10-$E$10)*($G$10-$F$10))))</f>
        <v>1.00810099663474</v>
      </c>
      <c r="G653" s="52" t="n">
        <f aca="false">IF($G$11=$E$11,$F$11,IF(U653&lt;($F$11-$E$11)/($G$11-$E$11),$E$11+SQRT(U653*($G$11-$E$11)*($F$11-$E$11)),$G$11-SQRT((1-U653)*($G$11-$E$11)*($G$11-$F$11))))</f>
        <v>0.0985094452638511</v>
      </c>
      <c r="H653" s="53" t="n">
        <f aca="false">(('Business Case'!B11*$C653*'Business Case'!B12*$B653)-'Business Case'!B11*$C653*'Business Case'!B13*$D653-'Business Case'!B14*$E653)-MAX(0,(('Business Case'!B11*$C653*'Business Case'!B12*$B653)-'Business Case'!B11*$C653*'Business Case'!B13*$D653-'Business Case'!B14*$E653))*'Business Case'!$B$7-'Business Case'!$B$8*('Business Case'!B11*$C653*'Business Case'!B12*$B653)-'Business Case'!B15*$F653</f>
        <v>-2016201993.26947</v>
      </c>
      <c r="I653" s="53" t="n">
        <f aca="false">(('Business Case'!C11*$C653*'Business Case'!C12*$B653)-'Business Case'!C11*$C653*'Business Case'!C13*$D653-'Business Case'!C14*$E653)-MAX(0,(('Business Case'!C11*$C653*'Business Case'!C12*$B653)-'Business Case'!C11*$C653*'Business Case'!C13*$D653-'Business Case'!C14*$E653))*'Business Case'!$B$7-'Business Case'!$B$8*(('Business Case'!C11*$C653*'Business Case'!C12*$B653)-('Business Case'!B11*$C653*'Business Case'!B12*$B653))-'Business Case'!C15*$F653</f>
        <v>18273324.4470835</v>
      </c>
      <c r="J653" s="53" t="n">
        <f aca="false">(('Business Case'!D11*$C653*'Business Case'!D12*$B653)-'Business Case'!D11*$C653*'Business Case'!D13*$D653-'Business Case'!D14*$E653)-MAX(0,(('Business Case'!D11*$C653*'Business Case'!D12*$B653)-'Business Case'!D11*$C653*'Business Case'!D13*$D653-'Business Case'!D14*$E653))*'Business Case'!$B$7-'Business Case'!$B$8*(('Business Case'!D11*$C653*'Business Case'!D12*$B653)-('Business Case'!C11*$C653*'Business Case'!C12*$B653))-'Business Case'!D15*$F653</f>
        <v>323507971.577393</v>
      </c>
      <c r="K653" s="53" t="n">
        <f aca="false">(('Business Case'!E11*$C653*'Business Case'!E12*$B653)-'Business Case'!E11*$C653*'Business Case'!E13*$D653-'Business Case'!E14*$E653)-MAX(0,(('Business Case'!E11*$C653*'Business Case'!E12*$B653)-'Business Case'!E11*$C653*'Business Case'!E13*$D653-'Business Case'!E14*$E653))*'Business Case'!$B$7-'Business Case'!$B$8*(('Business Case'!E11*$C653*'Business Case'!E12*$B653)-('Business Case'!D11*$C653*'Business Case'!D12*$B653))-'Business Case'!E15*$F653</f>
        <v>679147668.539439</v>
      </c>
      <c r="L653" s="53" t="n">
        <f aca="false">(('Business Case'!F11*$C653*'Business Case'!F12*$B653)-'Business Case'!F11*$C653*'Business Case'!F13*$D653-'Business Case'!F14*$E653)-MAX(0,(('Business Case'!F11*$C653*'Business Case'!F12*$B653)-'Business Case'!F11*$C653*'Business Case'!F13*$D653-'Business Case'!F14*$E653))*'Business Case'!$B$7-'Business Case'!$B$8*(('Business Case'!F11*$C653*'Business Case'!F12*$B653)-('Business Case'!E11*$C653*'Business Case'!E12*$B653))-'Business Case'!F15*$F653</f>
        <v>813035929.939642</v>
      </c>
      <c r="M653" s="53" t="n">
        <f aca="false">(('Business Case'!G11*$C653*'Business Case'!G12*$B653)-'Business Case'!G11*$C653*'Business Case'!G13*$D653-'Business Case'!G14*$E653)-MAX(0,(('Business Case'!G11*$C653*'Business Case'!G12*$B653)-'Business Case'!G11*$C653*'Business Case'!G13*$D653-'Business Case'!G14*$E653))*'Business Case'!$B$7-'Business Case'!$B$8*(('Business Case'!G11*$C653*'Business Case'!G12*$B653)-('Business Case'!F11*$C653*'Business Case'!F12*$B653))-'Business Case'!G15*$F653+'Business Case'!$B$8*('Business Case'!G11*$C653*'Business Case'!G12*$B653)</f>
        <v>989824514.568526</v>
      </c>
      <c r="N653" s="53" t="n">
        <f aca="false">IF(COUNT('Business Case'!B11:G11)=0,"",H653+NPV(G653,I653:M653))</f>
        <v>-42026902.7033978</v>
      </c>
      <c r="P653" s="54" t="n">
        <f aca="true">RAND()</f>
        <v>0.950763959301639</v>
      </c>
      <c r="Q653" s="54" t="n">
        <f aca="true">RAND()</f>
        <v>0.165766647302279</v>
      </c>
      <c r="R653" s="54" t="n">
        <f aca="true">RAND()</f>
        <v>0.162826355957441</v>
      </c>
      <c r="S653" s="54" t="n">
        <f aca="true">RAND()</f>
        <v>0.0534141697392019</v>
      </c>
      <c r="T653" s="54" t="n">
        <f aca="true">RAND()</f>
        <v>0.263495450148378</v>
      </c>
      <c r="U653" s="54" t="n">
        <f aca="true">RAND()</f>
        <v>0.241368862328261</v>
      </c>
    </row>
    <row r="654" customFormat="false" ht="15" hidden="false" customHeight="false" outlineLevel="0" collapsed="false">
      <c r="A654" s="50" t="n">
        <v>574</v>
      </c>
      <c r="B654" s="51" t="n">
        <f aca="false">1+IF($G$6=$E$6,$F$6,IF(P654&lt;($F$6-$E$6)/($G$6-$E$6),$E$6+SQRT(P654*($G$6-$E$6)*($F$6-$E$6)),$G$6-SQRT((1-P654)*($G$6-$E$6)*($G$6-$F$6))))</f>
        <v>0.975269354116847</v>
      </c>
      <c r="C654" s="51" t="n">
        <f aca="false">1+IF($G$7=$E$7,$F$7,IF(Q654&lt;($F$7-$E$7)/($G$7-$E$7),$E$7+SQRT(Q654*($G$7-$E$7)*($F$7-$E$7)),$G$7-SQRT((1-Q654)*($G$7-$E$7)*($G$7-$F$7))))</f>
        <v>1.00158678279322</v>
      </c>
      <c r="D654" s="51" t="n">
        <f aca="false">1+IF($G$8=$E$8,$F$8,IF(R654&lt;($F$8-$E$8)/($G$8-$E$8),$E$8+SQRT(R654*($G$8-$E$8)*($F$8-$E$8)),$G$8-SQRT((1-R654)*($G$8-$E$8)*($G$8-$F$8))))</f>
        <v>1.042562077171</v>
      </c>
      <c r="E654" s="51" t="n">
        <f aca="false">1+IF($G$9=$E$9,$F$9,IF(S654&lt;($F$9-$E$9)/($G$9-$E$9),$E$9+SQRT(S654*($G$9-$E$9)*($F$9-$E$9)),$G$9-SQRT((1-S654)*($G$9-$E$9)*($G$9-$F$9))))</f>
        <v>1.04139967149234</v>
      </c>
      <c r="F654" s="51" t="n">
        <f aca="false">1+IF($G$10=$E$10,$F$10,IF(T654&lt;($F$10-$E$10)/($G$10-$E$10),$E$10+SQRT(T654*($G$10-$E$10)*($F$10-$E$10)),$G$10-SQRT((1-T654)*($G$10-$E$10)*($G$10-$F$10))))</f>
        <v>0.984589925541645</v>
      </c>
      <c r="G654" s="52" t="n">
        <f aca="false">IF($G$11=$E$11,$F$11,IF(U654&lt;($F$11-$E$11)/($G$11-$E$11),$E$11+SQRT(U654*($G$11-$E$11)*($F$11-$E$11)),$G$11-SQRT((1-U654)*($G$11-$E$11)*($G$11-$F$11))))</f>
        <v>0.0998315884047222</v>
      </c>
      <c r="H654" s="53" t="n">
        <f aca="false">(('Business Case'!B11*$C654*'Business Case'!B12*$B654)-'Business Case'!B11*$C654*'Business Case'!B13*$D654-'Business Case'!B14*$E654)-MAX(0,(('Business Case'!B11*$C654*'Business Case'!B12*$B654)-'Business Case'!B11*$C654*'Business Case'!B13*$D654-'Business Case'!B14*$E654))*'Business Case'!$B$7-'Business Case'!$B$8*('Business Case'!B11*$C654*'Business Case'!B12*$B654)-'Business Case'!B15*$F654</f>
        <v>-1969179851.08329</v>
      </c>
      <c r="I654" s="53" t="n">
        <f aca="false">(('Business Case'!C11*$C654*'Business Case'!C12*$B654)-'Business Case'!C11*$C654*'Business Case'!C13*$D654-'Business Case'!C14*$E654)-MAX(0,(('Business Case'!C11*$C654*'Business Case'!C12*$B654)-'Business Case'!C11*$C654*'Business Case'!C13*$D654-'Business Case'!C14*$E654))*'Business Case'!$B$7-'Business Case'!$B$8*(('Business Case'!C11*$C654*'Business Case'!C12*$B654)-('Business Case'!B11*$C654*'Business Case'!B12*$B654))-'Business Case'!C15*$F654</f>
        <v>-31656103.8671164</v>
      </c>
      <c r="J654" s="53" t="n">
        <f aca="false">(('Business Case'!D11*$C654*'Business Case'!D12*$B654)-'Business Case'!D11*$C654*'Business Case'!D13*$D654-'Business Case'!D14*$E654)-MAX(0,(('Business Case'!D11*$C654*'Business Case'!D12*$B654)-'Business Case'!D11*$C654*'Business Case'!D13*$D654-'Business Case'!D14*$E654))*'Business Case'!$B$7-'Business Case'!$B$8*(('Business Case'!D11*$C654*'Business Case'!D12*$B654)-('Business Case'!C11*$C654*'Business Case'!C12*$B654))-'Business Case'!D15*$F654</f>
        <v>233872005.929812</v>
      </c>
      <c r="K654" s="53" t="n">
        <f aca="false">(('Business Case'!E11*$C654*'Business Case'!E12*$B654)-'Business Case'!E11*$C654*'Business Case'!E13*$D654-'Business Case'!E14*$E654)-MAX(0,(('Business Case'!E11*$C654*'Business Case'!E12*$B654)-'Business Case'!E11*$C654*'Business Case'!E13*$D654-'Business Case'!E14*$E654))*'Business Case'!$B$7-'Business Case'!$B$8*(('Business Case'!E11*$C654*'Business Case'!E12*$B654)-('Business Case'!D11*$C654*'Business Case'!D12*$B654))-'Business Case'!E15*$F654</f>
        <v>548629612.003822</v>
      </c>
      <c r="L654" s="53" t="n">
        <f aca="false">(('Business Case'!F11*$C654*'Business Case'!F12*$B654)-'Business Case'!F11*$C654*'Business Case'!F13*$D654-'Business Case'!F14*$E654)-MAX(0,(('Business Case'!F11*$C654*'Business Case'!F12*$B654)-'Business Case'!F11*$C654*'Business Case'!F13*$D654-'Business Case'!F14*$E654))*'Business Case'!$B$7-'Business Case'!$B$8*(('Business Case'!F11*$C654*'Business Case'!F12*$B654)-('Business Case'!E11*$C654*'Business Case'!E12*$B654))-'Business Case'!F15*$F654</f>
        <v>670897773.818578</v>
      </c>
      <c r="M654" s="53" t="n">
        <f aca="false">(('Business Case'!G11*$C654*'Business Case'!G12*$B654)-'Business Case'!G11*$C654*'Business Case'!G13*$D654-'Business Case'!G14*$E654)-MAX(0,(('Business Case'!G11*$C654*'Business Case'!G12*$B654)-'Business Case'!G11*$C654*'Business Case'!G13*$D654-'Business Case'!G14*$E654))*'Business Case'!$B$7-'Business Case'!$B$8*(('Business Case'!G11*$C654*'Business Case'!G12*$B654)-('Business Case'!F11*$C654*'Business Case'!F12*$B654))-'Business Case'!G15*$F654+'Business Case'!$B$8*('Business Case'!G11*$C654*'Business Case'!G12*$B654)</f>
        <v>856571129.172033</v>
      </c>
      <c r="N654" s="53" t="n">
        <f aca="false">IF(COUNT('Business Case'!B11:G11)=0,"",H654+NPV(G654,I654:M654))</f>
        <v>-401454209.894796</v>
      </c>
      <c r="P654" s="54" t="n">
        <f aca="true">RAND()</f>
        <v>0.318198073384737</v>
      </c>
      <c r="Q654" s="54" t="n">
        <f aca="true">RAND()</f>
        <v>0.58044794206346</v>
      </c>
      <c r="R654" s="54" t="n">
        <f aca="true">RAND()</f>
        <v>0.865230955216333</v>
      </c>
      <c r="S654" s="54" t="n">
        <f aca="true">RAND()</f>
        <v>0.77106676658628</v>
      </c>
      <c r="T654" s="54" t="n">
        <f aca="true">RAND()</f>
        <v>0.0957170359181249</v>
      </c>
      <c r="U654" s="54" t="n">
        <f aca="true">RAND()</f>
        <v>0.322200435199558</v>
      </c>
    </row>
    <row r="655" customFormat="false" ht="15" hidden="false" customHeight="false" outlineLevel="0" collapsed="false">
      <c r="A655" s="50" t="n">
        <v>575</v>
      </c>
      <c r="B655" s="51" t="n">
        <f aca="false">1+IF($G$6=$E$6,$F$6,IF(P655&lt;($F$6-$E$6)/($G$6-$E$6),$E$6+SQRT(P655*($G$6-$E$6)*($F$6-$E$6)),$G$6-SQRT((1-P655)*($G$6-$E$6)*($G$6-$F$6))))</f>
        <v>0.939519002330728</v>
      </c>
      <c r="C655" s="51" t="n">
        <f aca="false">1+IF($G$7=$E$7,$F$7,IF(Q655&lt;($F$7-$E$7)/($G$7-$E$7),$E$7+SQRT(Q655*($G$7-$E$7)*($F$7-$E$7)),$G$7-SQRT((1-Q655)*($G$7-$E$7)*($G$7-$F$7))))</f>
        <v>1.04804029982966</v>
      </c>
      <c r="D655" s="51" t="n">
        <f aca="false">1+IF($G$8=$E$8,$F$8,IF(R655&lt;($F$8-$E$8)/($G$8-$E$8),$E$8+SQRT(R655*($G$8-$E$8)*($F$8-$E$8)),$G$8-SQRT((1-R655)*($G$8-$E$8)*($G$8-$F$8))))</f>
        <v>1.05119516179059</v>
      </c>
      <c r="E655" s="51" t="n">
        <f aca="false">1+IF($G$9=$E$9,$F$9,IF(S655&lt;($F$9-$E$9)/($G$9-$E$9),$E$9+SQRT(S655*($G$9-$E$9)*($F$9-$E$9)),$G$9-SQRT((1-S655)*($G$9-$E$9)*($G$9-$F$9))))</f>
        <v>1.03283085738185</v>
      </c>
      <c r="F655" s="51" t="n">
        <f aca="false">1+IF($G$10=$E$10,$F$10,IF(T655&lt;($F$10-$E$10)/($G$10-$E$10),$E$10+SQRT(T655*($G$10-$E$10)*($F$10-$E$10)),$G$10-SQRT((1-T655)*($G$10-$E$10)*($G$10-$F$10))))</f>
        <v>1.11215512682484</v>
      </c>
      <c r="G655" s="52" t="n">
        <f aca="false">IF($G$11=$E$11,$F$11,IF(U655&lt;($F$11-$E$11)/($G$11-$E$11),$E$11+SQRT(U655*($G$11-$E$11)*($F$11-$E$11)),$G$11-SQRT((1-U655)*($G$11-$E$11)*($G$11-$F$11))))</f>
        <v>0.105239642406759</v>
      </c>
      <c r="H655" s="53" t="n">
        <f aca="false">(('Business Case'!B11*$C655*'Business Case'!B12*$B655)-'Business Case'!B11*$C655*'Business Case'!B13*$D655-'Business Case'!B14*$E655)-MAX(0,(('Business Case'!B11*$C655*'Business Case'!B12*$B655)-'Business Case'!B11*$C655*'Business Case'!B13*$D655-'Business Case'!B14*$E655))*'Business Case'!$B$7-'Business Case'!$B$8*('Business Case'!B11*$C655*'Business Case'!B12*$B655)-'Business Case'!B15*$F655</f>
        <v>-2224310253.64969</v>
      </c>
      <c r="I655" s="53" t="n">
        <f aca="false">(('Business Case'!C11*$C655*'Business Case'!C12*$B655)-'Business Case'!C11*$C655*'Business Case'!C13*$D655-'Business Case'!C14*$E655)-MAX(0,(('Business Case'!C11*$C655*'Business Case'!C12*$B655)-'Business Case'!C11*$C655*'Business Case'!C13*$D655-'Business Case'!C14*$E655))*'Business Case'!$B$7-'Business Case'!$B$8*(('Business Case'!C11*$C655*'Business Case'!C12*$B655)-('Business Case'!B11*$C655*'Business Case'!B12*$B655))-'Business Case'!C15*$F655</f>
        <v>-66605823.4352557</v>
      </c>
      <c r="J655" s="53" t="n">
        <f aca="false">(('Business Case'!D11*$C655*'Business Case'!D12*$B655)-'Business Case'!D11*$C655*'Business Case'!D13*$D655-'Business Case'!D14*$E655)-MAX(0,(('Business Case'!D11*$C655*'Business Case'!D12*$B655)-'Business Case'!D11*$C655*'Business Case'!D13*$D655-'Business Case'!D14*$E655))*'Business Case'!$B$7-'Business Case'!$B$8*(('Business Case'!D11*$C655*'Business Case'!D12*$B655)-('Business Case'!C11*$C655*'Business Case'!C12*$B655))-'Business Case'!D15*$F655</f>
        <v>175916865.526083</v>
      </c>
      <c r="K655" s="53" t="n">
        <f aca="false">(('Business Case'!E11*$C655*'Business Case'!E12*$B655)-'Business Case'!E11*$C655*'Business Case'!E13*$D655-'Business Case'!E14*$E655)-MAX(0,(('Business Case'!E11*$C655*'Business Case'!E12*$B655)-'Business Case'!E11*$C655*'Business Case'!E13*$D655-'Business Case'!E14*$E655))*'Business Case'!$B$7-'Business Case'!$B$8*(('Business Case'!E11*$C655*'Business Case'!E12*$B655)-('Business Case'!D11*$C655*'Business Case'!D12*$B655))-'Business Case'!E15*$F655</f>
        <v>474047310.828663</v>
      </c>
      <c r="L655" s="53" t="n">
        <f aca="false">(('Business Case'!F11*$C655*'Business Case'!F12*$B655)-'Business Case'!F11*$C655*'Business Case'!F13*$D655-'Business Case'!F14*$E655)-MAX(0,(('Business Case'!F11*$C655*'Business Case'!F12*$B655)-'Business Case'!F11*$C655*'Business Case'!F13*$D655-'Business Case'!F14*$E655))*'Business Case'!$B$7-'Business Case'!$B$8*(('Business Case'!F11*$C655*'Business Case'!F12*$B655)-('Business Case'!E11*$C655*'Business Case'!E12*$B655))-'Business Case'!F15*$F655</f>
        <v>588917841.678717</v>
      </c>
      <c r="M655" s="53" t="n">
        <f aca="false">(('Business Case'!G11*$C655*'Business Case'!G12*$B655)-'Business Case'!G11*$C655*'Business Case'!G13*$D655-'Business Case'!G14*$E655)-MAX(0,(('Business Case'!G11*$C655*'Business Case'!G12*$B655)-'Business Case'!G11*$C655*'Business Case'!G13*$D655-'Business Case'!G14*$E655))*'Business Case'!$B$7-'Business Case'!$B$8*(('Business Case'!G11*$C655*'Business Case'!G12*$B655)-('Business Case'!F11*$C655*'Business Case'!F12*$B655))-'Business Case'!G15*$F655+'Business Case'!$B$8*('Business Case'!G11*$C655*'Business Case'!G12*$B655)</f>
        <v>776080831.591557</v>
      </c>
      <c r="N655" s="53" t="n">
        <f aca="false">IF(COUNT('Business Case'!B11:G11)=0,"",H655+NPV(G655,I655:M655))</f>
        <v>-924210183.864887</v>
      </c>
      <c r="P655" s="54" t="n">
        <f aca="true">RAND()</f>
        <v>0.0396866095819734</v>
      </c>
      <c r="Q655" s="54" t="n">
        <f aca="true">RAND()</f>
        <v>0.801985134117591</v>
      </c>
      <c r="R655" s="54" t="n">
        <f aca="true">RAND()</f>
        <v>0.920219355358598</v>
      </c>
      <c r="S655" s="54" t="n">
        <f aca="true">RAND()</f>
        <v>0.699220418662856</v>
      </c>
      <c r="T655" s="54" t="n">
        <f aca="true">RAND()</f>
        <v>0.845665565136814</v>
      </c>
      <c r="U655" s="54" t="n">
        <f aca="true">RAND()</f>
        <v>0.636886406199429</v>
      </c>
    </row>
    <row r="656" customFormat="false" ht="15" hidden="false" customHeight="false" outlineLevel="0" collapsed="false">
      <c r="A656" s="50" t="n">
        <v>576</v>
      </c>
      <c r="B656" s="51" t="n">
        <f aca="false">1+IF($G$6=$E$6,$F$6,IF(P656&lt;($F$6-$E$6)/($G$6-$E$6),$E$6+SQRT(P656*($G$6-$E$6)*($F$6-$E$6)),$G$6-SQRT((1-P656)*($G$6-$E$6)*($G$6-$F$6))))</f>
        <v>0.987505734092021</v>
      </c>
      <c r="C656" s="51" t="n">
        <f aca="false">1+IF($G$7=$E$7,$F$7,IF(Q656&lt;($F$7-$E$7)/($G$7-$E$7),$E$7+SQRT(Q656*($G$7-$E$7)*($F$7-$E$7)),$G$7-SQRT((1-Q656)*($G$7-$E$7)*($G$7-$F$7))))</f>
        <v>1.00604319003785</v>
      </c>
      <c r="D656" s="51" t="n">
        <f aca="false">1+IF($G$8=$E$8,$F$8,IF(R656&lt;($F$8-$E$8)/($G$8-$E$8),$E$8+SQRT(R656*($G$8-$E$8)*($F$8-$E$8)),$G$8-SQRT((1-R656)*($G$8-$E$8)*($G$8-$F$8))))</f>
        <v>1.03129015741435</v>
      </c>
      <c r="E656" s="51" t="n">
        <f aca="false">1+IF($G$9=$E$9,$F$9,IF(S656&lt;($F$9-$E$9)/($G$9-$E$9),$E$9+SQRT(S656*($G$9-$E$9)*($F$9-$E$9)),$G$9-SQRT((1-S656)*($G$9-$E$9)*($G$9-$F$9))))</f>
        <v>1.04749300373567</v>
      </c>
      <c r="F656" s="51" t="n">
        <f aca="false">1+IF($G$10=$E$10,$F$10,IF(T656&lt;($F$10-$E$10)/($G$10-$E$10),$E$10+SQRT(T656*($G$10-$E$10)*($F$10-$E$10)),$G$10-SQRT((1-T656)*($G$10-$E$10)*($G$10-$F$10))))</f>
        <v>1.01196820456246</v>
      </c>
      <c r="G656" s="52" t="n">
        <f aca="false">IF($G$11=$E$11,$F$11,IF(U656&lt;($F$11-$E$11)/($G$11-$E$11),$E$11+SQRT(U656*($G$11-$E$11)*($F$11-$E$11)),$G$11-SQRT((1-U656)*($G$11-$E$11)*($G$11-$F$11))))</f>
        <v>0.105259384411378</v>
      </c>
      <c r="H656" s="53" t="n">
        <f aca="false">(('Business Case'!B11*$C656*'Business Case'!B12*$B656)-'Business Case'!B11*$C656*'Business Case'!B13*$D656-'Business Case'!B14*$E656)-MAX(0,(('Business Case'!B11*$C656*'Business Case'!B12*$B656)-'Business Case'!B11*$C656*'Business Case'!B13*$D656-'Business Case'!B14*$E656))*'Business Case'!$B$7-'Business Case'!$B$8*('Business Case'!B11*$C656*'Business Case'!B12*$B656)-'Business Case'!B15*$F656</f>
        <v>-2023936409.12492</v>
      </c>
      <c r="I656" s="53" t="n">
        <f aca="false">(('Business Case'!C11*$C656*'Business Case'!C12*$B656)-'Business Case'!C11*$C656*'Business Case'!C13*$D656-'Business Case'!C14*$E656)-MAX(0,(('Business Case'!C11*$C656*'Business Case'!C12*$B656)-'Business Case'!C11*$C656*'Business Case'!C13*$D656-'Business Case'!C14*$E656))*'Business Case'!$B$7-'Business Case'!$B$8*(('Business Case'!C11*$C656*'Business Case'!C12*$B656)-('Business Case'!B11*$C656*'Business Case'!B12*$B656))-'Business Case'!C15*$F656</f>
        <v>-19054214.8454427</v>
      </c>
      <c r="J656" s="53" t="n">
        <f aca="false">(('Business Case'!D11*$C656*'Business Case'!D12*$B656)-'Business Case'!D11*$C656*'Business Case'!D13*$D656-'Business Case'!D14*$E656)-MAX(0,(('Business Case'!D11*$C656*'Business Case'!D12*$B656)-'Business Case'!D11*$C656*'Business Case'!D13*$D656-'Business Case'!D14*$E656))*'Business Case'!$B$7-'Business Case'!$B$8*(('Business Case'!D11*$C656*'Business Case'!D12*$B656)-('Business Case'!C11*$C656*'Business Case'!C12*$B656))-'Business Case'!D15*$F656</f>
        <v>263543557.932691</v>
      </c>
      <c r="K656" s="53" t="n">
        <f aca="false">(('Business Case'!E11*$C656*'Business Case'!E12*$B656)-'Business Case'!E11*$C656*'Business Case'!E13*$D656-'Business Case'!E14*$E656)-MAX(0,(('Business Case'!E11*$C656*'Business Case'!E12*$B656)-'Business Case'!E11*$C656*'Business Case'!E13*$D656-'Business Case'!E14*$E656))*'Business Case'!$B$7-'Business Case'!$B$8*(('Business Case'!E11*$C656*'Business Case'!E12*$B656)-('Business Case'!D11*$C656*'Business Case'!D12*$B656))-'Business Case'!E15*$F656</f>
        <v>596739740.938949</v>
      </c>
      <c r="L656" s="53" t="n">
        <f aca="false">(('Business Case'!F11*$C656*'Business Case'!F12*$B656)-'Business Case'!F11*$C656*'Business Case'!F13*$D656-'Business Case'!F14*$E656)-MAX(0,(('Business Case'!F11*$C656*'Business Case'!F12*$B656)-'Business Case'!F11*$C656*'Business Case'!F13*$D656-'Business Case'!F14*$E656))*'Business Case'!$B$7-'Business Case'!$B$8*(('Business Case'!F11*$C656*'Business Case'!F12*$B656)-('Business Case'!E11*$C656*'Business Case'!E12*$B656))-'Business Case'!F15*$F656</f>
        <v>725273439.889073</v>
      </c>
      <c r="M656" s="53" t="n">
        <f aca="false">(('Business Case'!G11*$C656*'Business Case'!G12*$B656)-'Business Case'!G11*$C656*'Business Case'!G13*$D656-'Business Case'!G14*$E656)-MAX(0,(('Business Case'!G11*$C656*'Business Case'!G12*$B656)-'Business Case'!G11*$C656*'Business Case'!G13*$D656-'Business Case'!G14*$E656))*'Business Case'!$B$7-'Business Case'!$B$8*(('Business Case'!G11*$C656*'Business Case'!G12*$B656)-('Business Case'!F11*$C656*'Business Case'!F12*$B656))-'Business Case'!G15*$F656+'Business Case'!$B$8*('Business Case'!G11*$C656*'Business Case'!G12*$B656)</f>
        <v>914112867.354841</v>
      </c>
      <c r="N656" s="53" t="n">
        <f aca="false">IF(COUNT('Business Case'!B11:G11)=0,"",H656+NPV(G656,I656:M656))</f>
        <v>-343244473.255108</v>
      </c>
      <c r="P656" s="54" t="n">
        <f aca="true">RAND()</f>
        <v>0.47469001409403</v>
      </c>
      <c r="Q656" s="54" t="n">
        <f aca="true">RAND()</f>
        <v>0.605265464105172</v>
      </c>
      <c r="R656" s="54" t="n">
        <f aca="true">RAND()</f>
        <v>0.771860695700139</v>
      </c>
      <c r="S656" s="54" t="n">
        <f aca="true">RAND()</f>
        <v>0.816201022886513</v>
      </c>
      <c r="T656" s="54" t="n">
        <f aca="true">RAND()</f>
        <v>0.2928808780907</v>
      </c>
      <c r="U656" s="54" t="n">
        <f aca="true">RAND()</f>
        <v>0.637857086780771</v>
      </c>
    </row>
    <row r="657" customFormat="false" ht="15" hidden="false" customHeight="false" outlineLevel="0" collapsed="false">
      <c r="A657" s="50" t="n">
        <v>577</v>
      </c>
      <c r="B657" s="51" t="n">
        <f aca="false">1+IF($G$6=$E$6,$F$6,IF(P657&lt;($F$6-$E$6)/($G$6-$E$6),$E$6+SQRT(P657*($G$6-$E$6)*($F$6-$E$6)),$G$6-SQRT((1-P657)*($G$6-$E$6)*($G$6-$F$6))))</f>
        <v>0.981061074199105</v>
      </c>
      <c r="C657" s="51" t="n">
        <f aca="false">1+IF($G$7=$E$7,$F$7,IF(Q657&lt;($F$7-$E$7)/($G$7-$E$7),$E$7+SQRT(Q657*($G$7-$E$7)*($F$7-$E$7)),$G$7-SQRT((1-Q657)*($G$7-$E$7)*($G$7-$F$7))))</f>
        <v>1.02204482673878</v>
      </c>
      <c r="D657" s="51" t="n">
        <f aca="false">1+IF($G$8=$E$8,$F$8,IF(R657&lt;($F$8-$E$8)/($G$8-$E$8),$E$8+SQRT(R657*($G$8-$E$8)*($F$8-$E$8)),$G$8-SQRT((1-R657)*($G$8-$E$8)*($G$8-$F$8))))</f>
        <v>0.993904754626031</v>
      </c>
      <c r="E657" s="51" t="n">
        <f aca="false">1+IF($G$9=$E$9,$F$9,IF(S657&lt;($F$9-$E$9)/($G$9-$E$9),$E$9+SQRT(S657*($G$9-$E$9)*($F$9-$E$9)),$G$9-SQRT((1-S657)*($G$9-$E$9)*($G$9-$F$9))))</f>
        <v>1.01741813130189</v>
      </c>
      <c r="F657" s="51" t="n">
        <f aca="false">1+IF($G$10=$E$10,$F$10,IF(T657&lt;($F$10-$E$10)/($G$10-$E$10),$E$10+SQRT(T657*($G$10-$E$10)*($F$10-$E$10)),$G$10-SQRT((1-T657)*($G$10-$E$10)*($G$10-$F$10))))</f>
        <v>0.984036838748123</v>
      </c>
      <c r="G657" s="52" t="n">
        <f aca="false">IF($G$11=$E$11,$F$11,IF(U657&lt;($F$11-$E$11)/($G$11-$E$11),$E$11+SQRT(U657*($G$11-$E$11)*($F$11-$E$11)),$G$11-SQRT((1-U657)*($G$11-$E$11)*($G$11-$F$11))))</f>
        <v>0.103685004507586</v>
      </c>
      <c r="H657" s="53" t="n">
        <f aca="false">(('Business Case'!B11*$C657*'Business Case'!B12*$B657)-'Business Case'!B11*$C657*'Business Case'!B13*$D657-'Business Case'!B14*$E657)-MAX(0,(('Business Case'!B11*$C657*'Business Case'!B12*$B657)-'Business Case'!B11*$C657*'Business Case'!B13*$D657-'Business Case'!B14*$E657))*'Business Case'!$B$7-'Business Case'!$B$8*('Business Case'!B11*$C657*'Business Case'!B12*$B657)-'Business Case'!B15*$F657</f>
        <v>-1968073677.49625</v>
      </c>
      <c r="I657" s="53" t="n">
        <f aca="false">(('Business Case'!C11*$C657*'Business Case'!C12*$B657)-'Business Case'!C11*$C657*'Business Case'!C13*$D657-'Business Case'!C14*$E657)-MAX(0,(('Business Case'!C11*$C657*'Business Case'!C12*$B657)-'Business Case'!C11*$C657*'Business Case'!C13*$D657-'Business Case'!C14*$E657))*'Business Case'!$B$7-'Business Case'!$B$8*(('Business Case'!C11*$C657*'Business Case'!C12*$B657)-('Business Case'!B11*$C657*'Business Case'!B12*$B657))-'Business Case'!C15*$F657</f>
        <v>6197957.28290165</v>
      </c>
      <c r="J657" s="53" t="n">
        <f aca="false">(('Business Case'!D11*$C657*'Business Case'!D12*$B657)-'Business Case'!D11*$C657*'Business Case'!D13*$D657-'Business Case'!D14*$E657)-MAX(0,(('Business Case'!D11*$C657*'Business Case'!D12*$B657)-'Business Case'!D11*$C657*'Business Case'!D13*$D657-'Business Case'!D14*$E657))*'Business Case'!$B$7-'Business Case'!$B$8*(('Business Case'!D11*$C657*'Business Case'!D12*$B657)-('Business Case'!C11*$C657*'Business Case'!C12*$B657))-'Business Case'!D15*$F657</f>
        <v>307455823.139648</v>
      </c>
      <c r="K657" s="53" t="n">
        <f aca="false">(('Business Case'!E11*$C657*'Business Case'!E12*$B657)-'Business Case'!E11*$C657*'Business Case'!E13*$D657-'Business Case'!E14*$E657)-MAX(0,(('Business Case'!E11*$C657*'Business Case'!E12*$B657)-'Business Case'!E11*$C657*'Business Case'!E13*$D657-'Business Case'!E14*$E657))*'Business Case'!$B$7-'Business Case'!$B$8*(('Business Case'!E11*$C657*'Business Case'!E12*$B657)-('Business Case'!D11*$C657*'Business Case'!D12*$B657))-'Business Case'!E15*$F657</f>
        <v>657915530.933801</v>
      </c>
      <c r="L657" s="53" t="n">
        <f aca="false">(('Business Case'!F11*$C657*'Business Case'!F12*$B657)-'Business Case'!F11*$C657*'Business Case'!F13*$D657-'Business Case'!F14*$E657)-MAX(0,(('Business Case'!F11*$C657*'Business Case'!F12*$B657)-'Business Case'!F11*$C657*'Business Case'!F13*$D657-'Business Case'!F14*$E657))*'Business Case'!$B$7-'Business Case'!$B$8*(('Business Case'!F11*$C657*'Business Case'!F12*$B657)-('Business Case'!E11*$C657*'Business Case'!E12*$B657))-'Business Case'!F15*$F657</f>
        <v>792987730.504651</v>
      </c>
      <c r="M657" s="53" t="n">
        <f aca="false">(('Business Case'!G11*$C657*'Business Case'!G12*$B657)-'Business Case'!G11*$C657*'Business Case'!G13*$D657-'Business Case'!G14*$E657)-MAX(0,(('Business Case'!G11*$C657*'Business Case'!G12*$B657)-'Business Case'!G11*$C657*'Business Case'!G13*$D657-'Business Case'!G14*$E657))*'Business Case'!$B$7-'Business Case'!$B$8*(('Business Case'!G11*$C657*'Business Case'!G12*$B657)-('Business Case'!F11*$C657*'Business Case'!F12*$B657))-'Business Case'!G15*$F657+'Business Case'!$B$8*('Business Case'!G11*$C657*'Business Case'!G12*$B657)</f>
        <v>983578740.740297</v>
      </c>
      <c r="N657" s="53" t="n">
        <f aca="false">IF(COUNT('Business Case'!B11:G11)=0,"",H657+NPV(G657,I657:M657))</f>
        <v>-85667850.4671753</v>
      </c>
      <c r="P657" s="54" t="n">
        <f aca="true">RAND()</f>
        <v>0.38838070649465</v>
      </c>
      <c r="Q657" s="54" t="n">
        <f aca="true">RAND()</f>
        <v>0.688142354965559</v>
      </c>
      <c r="R657" s="54" t="n">
        <f aca="true">RAND()</f>
        <v>0.296558073657225</v>
      </c>
      <c r="S657" s="54" t="n">
        <f aca="true">RAND()</f>
        <v>0.545348997488569</v>
      </c>
      <c r="T657" s="54" t="n">
        <f aca="true">RAND()</f>
        <v>0.0926805113572601</v>
      </c>
      <c r="U657" s="54" t="n">
        <f aca="true">RAND()</f>
        <v>0.556368203470858</v>
      </c>
    </row>
    <row r="658" customFormat="false" ht="15" hidden="false" customHeight="false" outlineLevel="0" collapsed="false">
      <c r="A658" s="50" t="n">
        <v>578</v>
      </c>
      <c r="B658" s="51" t="n">
        <f aca="false">1+IF($G$6=$E$6,$F$6,IF(P658&lt;($F$6-$E$6)/($G$6-$E$6),$E$6+SQRT(P658*($G$6-$E$6)*($F$6-$E$6)),$G$6-SQRT((1-P658)*($G$6-$E$6)*($G$6-$F$6))))</f>
        <v>0.990082680399214</v>
      </c>
      <c r="C658" s="51" t="n">
        <f aca="false">1+IF($G$7=$E$7,$F$7,IF(Q658&lt;($F$7-$E$7)/($G$7-$E$7),$E$7+SQRT(Q658*($G$7-$E$7)*($F$7-$E$7)),$G$7-SQRT((1-Q658)*($G$7-$E$7)*($G$7-$F$7))))</f>
        <v>0.955411365086651</v>
      </c>
      <c r="D658" s="51" t="n">
        <f aca="false">1+IF($G$8=$E$8,$F$8,IF(R658&lt;($F$8-$E$8)/($G$8-$E$8),$E$8+SQRT(R658*($G$8-$E$8)*($F$8-$E$8)),$G$8-SQRT((1-R658)*($G$8-$E$8)*($G$8-$F$8))))</f>
        <v>0.996650708432361</v>
      </c>
      <c r="E658" s="51" t="n">
        <f aca="false">1+IF($G$9=$E$9,$F$9,IF(S658&lt;($F$9-$E$9)/($G$9-$E$9),$E$9+SQRT(S658*($G$9-$E$9)*($F$9-$E$9)),$G$9-SQRT((1-S658)*($G$9-$E$9)*($G$9-$F$9))))</f>
        <v>1.00115752735083</v>
      </c>
      <c r="F658" s="51" t="n">
        <f aca="false">1+IF($G$10=$E$10,$F$10,IF(T658&lt;($F$10-$E$10)/($G$10-$E$10),$E$10+SQRT(T658*($G$10-$E$10)*($F$10-$E$10)),$G$10-SQRT((1-T658)*($G$10-$E$10)*($G$10-$F$10))))</f>
        <v>1.08056079715631</v>
      </c>
      <c r="G658" s="52" t="n">
        <f aca="false">IF($G$11=$E$11,$F$11,IF(U658&lt;($F$11-$E$11)/($G$11-$E$11),$E$11+SQRT(U658*($G$11-$E$11)*($F$11-$E$11)),$G$11-SQRT((1-U658)*($G$11-$E$11)*($G$11-$F$11))))</f>
        <v>0.111147644626923</v>
      </c>
      <c r="H658" s="53" t="n">
        <f aca="false">(('Business Case'!B11*$C658*'Business Case'!B12*$B658)-'Business Case'!B11*$C658*'Business Case'!B13*$D658-'Business Case'!B14*$E658)-MAX(0,(('Business Case'!B11*$C658*'Business Case'!B12*$B658)-'Business Case'!B11*$C658*'Business Case'!B13*$D658-'Business Case'!B14*$E658))*'Business Case'!$B$7-'Business Case'!$B$8*('Business Case'!B11*$C658*'Business Case'!B12*$B658)-'Business Case'!B15*$F658</f>
        <v>-2161121594.31263</v>
      </c>
      <c r="I658" s="53" t="n">
        <f aca="false">(('Business Case'!C11*$C658*'Business Case'!C12*$B658)-'Business Case'!C11*$C658*'Business Case'!C13*$D658-'Business Case'!C14*$E658)-MAX(0,(('Business Case'!C11*$C658*'Business Case'!C12*$B658)-'Business Case'!C11*$C658*'Business Case'!C13*$D658-'Business Case'!C14*$E658))*'Business Case'!$B$7-'Business Case'!$B$8*(('Business Case'!C11*$C658*'Business Case'!C12*$B658)-('Business Case'!B11*$C658*'Business Case'!B12*$B658))-'Business Case'!C15*$F658</f>
        <v>-12124189.787644</v>
      </c>
      <c r="J658" s="53" t="n">
        <f aca="false">(('Business Case'!D11*$C658*'Business Case'!D12*$B658)-'Business Case'!D11*$C658*'Business Case'!D13*$D658-'Business Case'!D14*$E658)-MAX(0,(('Business Case'!D11*$C658*'Business Case'!D12*$B658)-'Business Case'!D11*$C658*'Business Case'!D13*$D658-'Business Case'!D14*$E658))*'Business Case'!$B$7-'Business Case'!$B$8*(('Business Case'!D11*$C658*'Business Case'!D12*$B658)-('Business Case'!C11*$C658*'Business Case'!C12*$B658))-'Business Case'!D15*$F658</f>
        <v>275209635.482295</v>
      </c>
      <c r="K658" s="53" t="n">
        <f aca="false">(('Business Case'!E11*$C658*'Business Case'!E12*$B658)-'Business Case'!E11*$C658*'Business Case'!E13*$D658-'Business Case'!E14*$E658)-MAX(0,(('Business Case'!E11*$C658*'Business Case'!E12*$B658)-'Business Case'!E11*$C658*'Business Case'!E13*$D658-'Business Case'!E14*$E658))*'Business Case'!$B$7-'Business Case'!$B$8*(('Business Case'!E11*$C658*'Business Case'!E12*$B658)-('Business Case'!D11*$C658*'Business Case'!D12*$B658))-'Business Case'!E15*$F658</f>
        <v>616571500.61005</v>
      </c>
      <c r="L658" s="53" t="n">
        <f aca="false">(('Business Case'!F11*$C658*'Business Case'!F12*$B658)-'Business Case'!F11*$C658*'Business Case'!F13*$D658-'Business Case'!F14*$E658)-MAX(0,(('Business Case'!F11*$C658*'Business Case'!F12*$B658)-'Business Case'!F11*$C658*'Business Case'!F13*$D658-'Business Case'!F14*$E658))*'Business Case'!$B$7-'Business Case'!$B$8*(('Business Case'!F11*$C658*'Business Case'!F12*$B658)-('Business Case'!E11*$C658*'Business Case'!E12*$B658))-'Business Case'!F15*$F658</f>
        <v>745040999.001806</v>
      </c>
      <c r="M658" s="53" t="n">
        <f aca="false">(('Business Case'!G11*$C658*'Business Case'!G12*$B658)-'Business Case'!G11*$C658*'Business Case'!G13*$D658-'Business Case'!G14*$E658)-MAX(0,(('Business Case'!G11*$C658*'Business Case'!G12*$B658)-'Business Case'!G11*$C658*'Business Case'!G13*$D658-'Business Case'!G14*$E658))*'Business Case'!$B$7-'Business Case'!$B$8*(('Business Case'!G11*$C658*'Business Case'!G12*$B658)-('Business Case'!F11*$C658*'Business Case'!F12*$B658))-'Business Case'!G15*$F658+'Business Case'!$B$8*('Business Case'!G11*$C658*'Business Case'!G12*$B658)</f>
        <v>924844560.494908</v>
      </c>
      <c r="N658" s="53" t="n">
        <f aca="false">IF(COUNT('Business Case'!B11:G11)=0,"",H658+NPV(G658,I658:M658))</f>
        <v>-464912763.471818</v>
      </c>
      <c r="P658" s="54" t="n">
        <f aca="true">RAND()</f>
        <v>0.511623134576912</v>
      </c>
      <c r="Q658" s="54" t="n">
        <f aca="true">RAND()</f>
        <v>0.345038462829949</v>
      </c>
      <c r="R658" s="54" t="n">
        <f aca="true">RAND()</f>
        <v>0.334813630344793</v>
      </c>
      <c r="S658" s="54" t="n">
        <f aca="true">RAND()</f>
        <v>0.348677706706484</v>
      </c>
      <c r="T658" s="54" t="n">
        <f aca="true">RAND()</f>
        <v>0.714685536481299</v>
      </c>
      <c r="U658" s="54" t="n">
        <f aca="true">RAND()</f>
        <v>0.869393007247939</v>
      </c>
    </row>
    <row r="659" customFormat="false" ht="15" hidden="false" customHeight="false" outlineLevel="0" collapsed="false">
      <c r="A659" s="50" t="n">
        <v>579</v>
      </c>
      <c r="B659" s="51" t="n">
        <f aca="false">1+IF($G$6=$E$6,$F$6,IF(P659&lt;($F$6-$E$6)/($G$6-$E$6),$E$6+SQRT(P659*($G$6-$E$6)*($F$6-$E$6)),$G$6-SQRT((1-P659)*($G$6-$E$6)*($G$6-$F$6))))</f>
        <v>1.0287765567707</v>
      </c>
      <c r="C659" s="51" t="n">
        <f aca="false">1+IF($G$7=$E$7,$F$7,IF(Q659&lt;($F$7-$E$7)/($G$7-$E$7),$E$7+SQRT(Q659*($G$7-$E$7)*($F$7-$E$7)),$G$7-SQRT((1-Q659)*($G$7-$E$7)*($G$7-$F$7))))</f>
        <v>0.92863154046334</v>
      </c>
      <c r="D659" s="51" t="n">
        <f aca="false">1+IF($G$8=$E$8,$F$8,IF(R659&lt;($F$8-$E$8)/($G$8-$E$8),$E$8+SQRT(R659*($G$8-$E$8)*($F$8-$E$8)),$G$8-SQRT((1-R659)*($G$8-$E$8)*($G$8-$F$8))))</f>
        <v>1.02913494957441</v>
      </c>
      <c r="E659" s="51" t="n">
        <f aca="false">1+IF($G$9=$E$9,$F$9,IF(S659&lt;($F$9-$E$9)/($G$9-$E$9),$E$9+SQRT(S659*($G$9-$E$9)*($F$9-$E$9)),$G$9-SQRT((1-S659)*($G$9-$E$9)*($G$9-$F$9))))</f>
        <v>1.02479776190837</v>
      </c>
      <c r="F659" s="51" t="n">
        <f aca="false">1+IF($G$10=$E$10,$F$10,IF(T659&lt;($F$10-$E$10)/($G$10-$E$10),$E$10+SQRT(T659*($G$10-$E$10)*($F$10-$E$10)),$G$10-SQRT((1-T659)*($G$10-$E$10)*($G$10-$F$10))))</f>
        <v>1.11442949992788</v>
      </c>
      <c r="G659" s="52" t="n">
        <f aca="false">IF($G$11=$E$11,$F$11,IF(U659&lt;($F$11-$E$11)/($G$11-$E$11),$E$11+SQRT(U659*($G$11-$E$11)*($F$11-$E$11)),$G$11-SQRT((1-U659)*($G$11-$E$11)*($G$11-$F$11))))</f>
        <v>0.11805761086188</v>
      </c>
      <c r="H659" s="53" t="n">
        <f aca="false">(('Business Case'!B11*$C659*'Business Case'!B12*$B659)-'Business Case'!B11*$C659*'Business Case'!B13*$D659-'Business Case'!B14*$E659)-MAX(0,(('Business Case'!B11*$C659*'Business Case'!B12*$B659)-'Business Case'!B11*$C659*'Business Case'!B13*$D659-'Business Case'!B14*$E659))*'Business Case'!$B$7-'Business Case'!$B$8*('Business Case'!B11*$C659*'Business Case'!B12*$B659)-'Business Case'!B15*$F659</f>
        <v>-2228858999.85577</v>
      </c>
      <c r="I659" s="53" t="n">
        <f aca="false">(('Business Case'!C11*$C659*'Business Case'!C12*$B659)-'Business Case'!C11*$C659*'Business Case'!C13*$D659-'Business Case'!C14*$E659)-MAX(0,(('Business Case'!C11*$C659*'Business Case'!C12*$B659)-'Business Case'!C11*$C659*'Business Case'!C13*$D659-'Business Case'!C14*$E659))*'Business Case'!$B$7-'Business Case'!$B$8*(('Business Case'!C11*$C659*'Business Case'!C12*$B659)-('Business Case'!B11*$C659*'Business Case'!B12*$B659))-'Business Case'!C15*$F659</f>
        <v>-13426134.2899231</v>
      </c>
      <c r="J659" s="53" t="n">
        <f aca="false">(('Business Case'!D11*$C659*'Business Case'!D12*$B659)-'Business Case'!D11*$C659*'Business Case'!D13*$D659-'Business Case'!D14*$E659)-MAX(0,(('Business Case'!D11*$C659*'Business Case'!D12*$B659)-'Business Case'!D11*$C659*'Business Case'!D13*$D659-'Business Case'!D14*$E659))*'Business Case'!$B$7-'Business Case'!$B$8*(('Business Case'!D11*$C659*'Business Case'!D12*$B659)-('Business Case'!C11*$C659*'Business Case'!C12*$B659))-'Business Case'!D15*$F659</f>
        <v>279842493.11166</v>
      </c>
      <c r="K659" s="53" t="n">
        <f aca="false">(('Business Case'!E11*$C659*'Business Case'!E12*$B659)-'Business Case'!E11*$C659*'Business Case'!E13*$D659-'Business Case'!E14*$E659)-MAX(0,(('Business Case'!E11*$C659*'Business Case'!E12*$B659)-'Business Case'!E11*$C659*'Business Case'!E13*$D659-'Business Case'!E14*$E659))*'Business Case'!$B$7-'Business Case'!$B$8*(('Business Case'!E11*$C659*'Business Case'!E12*$B659)-('Business Case'!D11*$C659*'Business Case'!D12*$B659))-'Business Case'!E15*$F659</f>
        <v>628832595.509637</v>
      </c>
      <c r="L659" s="53" t="n">
        <f aca="false">(('Business Case'!F11*$C659*'Business Case'!F12*$B659)-'Business Case'!F11*$C659*'Business Case'!F13*$D659-'Business Case'!F14*$E659)-MAX(0,(('Business Case'!F11*$C659*'Business Case'!F12*$B659)-'Business Case'!F11*$C659*'Business Case'!F13*$D659-'Business Case'!F14*$E659))*'Business Case'!$B$7-'Business Case'!$B$8*(('Business Case'!F11*$C659*'Business Case'!F12*$B659)-('Business Case'!E11*$C659*'Business Case'!E12*$B659))-'Business Case'!F15*$F659</f>
        <v>759605851.280396</v>
      </c>
      <c r="M659" s="53" t="n">
        <f aca="false">(('Business Case'!G11*$C659*'Business Case'!G12*$B659)-'Business Case'!G11*$C659*'Business Case'!G13*$D659-'Business Case'!G14*$E659)-MAX(0,(('Business Case'!G11*$C659*'Business Case'!G12*$B659)-'Business Case'!G11*$C659*'Business Case'!G13*$D659-'Business Case'!G14*$E659))*'Business Case'!$B$7-'Business Case'!$B$8*(('Business Case'!G11*$C659*'Business Case'!G12*$B659)-('Business Case'!F11*$C659*'Business Case'!F12*$B659))-'Business Case'!G15*$F659+'Business Case'!$B$8*('Business Case'!G11*$C659*'Business Case'!G12*$B659)</f>
        <v>941199607.783335</v>
      </c>
      <c r="N659" s="53" t="n">
        <f aca="false">IF(COUNT('Business Case'!B11:G11)=0,"",H659+NPV(G659,I659:M659))</f>
        <v>-542251610.958169</v>
      </c>
      <c r="P659" s="54" t="n">
        <f aca="true">RAND()</f>
        <v>0.973757150433044</v>
      </c>
      <c r="Q659" s="54" t="n">
        <f aca="true">RAND()</f>
        <v>0.236372474313884</v>
      </c>
      <c r="R659" s="54" t="n">
        <f aca="true">RAND()</f>
        <v>0.751225638961749</v>
      </c>
      <c r="S659" s="54" t="n">
        <f aca="true">RAND()</f>
        <v>0.622974892400643</v>
      </c>
      <c r="T659" s="54" t="n">
        <f aca="true">RAND()</f>
        <v>0.853553790348159</v>
      </c>
      <c r="U659" s="54" t="n">
        <f aca="true">RAND()</f>
        <v>0.993711874060189</v>
      </c>
    </row>
    <row r="660" customFormat="false" ht="15" hidden="false" customHeight="false" outlineLevel="0" collapsed="false">
      <c r="A660" s="50" t="n">
        <v>580</v>
      </c>
      <c r="B660" s="51" t="n">
        <f aca="false">1+IF($G$6=$E$6,$F$6,IF(P660&lt;($F$6-$E$6)/($G$6-$E$6),$E$6+SQRT(P660*($G$6-$E$6)*($F$6-$E$6)),$G$6-SQRT((1-P660)*($G$6-$E$6)*($G$6-$F$6))))</f>
        <v>1.00122464267783</v>
      </c>
      <c r="C660" s="51" t="n">
        <f aca="false">1+IF($G$7=$E$7,$F$7,IF(Q660&lt;($F$7-$E$7)/($G$7-$E$7),$E$7+SQRT(Q660*($G$7-$E$7)*($F$7-$E$7)),$G$7-SQRT((1-Q660)*($G$7-$E$7)*($G$7-$F$7))))</f>
        <v>1.01398287236624</v>
      </c>
      <c r="D660" s="51" t="n">
        <f aca="false">1+IF($G$8=$E$8,$F$8,IF(R660&lt;($F$8-$E$8)/($G$8-$E$8),$E$8+SQRT(R660*($G$8-$E$8)*($F$8-$E$8)),$G$8-SQRT((1-R660)*($G$8-$E$8)*($G$8-$F$8))))</f>
        <v>1.01527923459914</v>
      </c>
      <c r="E660" s="51" t="n">
        <f aca="false">1+IF($G$9=$E$9,$F$9,IF(S660&lt;($F$9-$E$9)/($G$9-$E$9),$E$9+SQRT(S660*($G$9-$E$9)*($F$9-$E$9)),$G$9-SQRT((1-S660)*($G$9-$E$9)*($G$9-$F$9))))</f>
        <v>0.981823538939175</v>
      </c>
      <c r="F660" s="51" t="n">
        <f aca="false">1+IF($G$10=$E$10,$F$10,IF(T660&lt;($F$10-$E$10)/($G$10-$E$10),$E$10+SQRT(T660*($G$10-$E$10)*($F$10-$E$10)),$G$10-SQRT((1-T660)*($G$10-$E$10)*($G$10-$F$10))))</f>
        <v>1.11026193980101</v>
      </c>
      <c r="G660" s="52" t="n">
        <f aca="false">IF($G$11=$E$11,$F$11,IF(U660&lt;($F$11-$E$11)/($G$11-$E$11),$E$11+SQRT(U660*($G$11-$E$11)*($F$11-$E$11)),$G$11-SQRT((1-U660)*($G$11-$E$11)*($G$11-$F$11))))</f>
        <v>0.0965528822512695</v>
      </c>
      <c r="H660" s="53" t="n">
        <f aca="false">(('Business Case'!B11*$C660*'Business Case'!B12*$B660)-'Business Case'!B11*$C660*'Business Case'!B13*$D660-'Business Case'!B14*$E660)-MAX(0,(('Business Case'!B11*$C660*'Business Case'!B12*$B660)-'Business Case'!B11*$C660*'Business Case'!B13*$D660-'Business Case'!B14*$E660))*'Business Case'!$B$7-'Business Case'!$B$8*('Business Case'!B11*$C660*'Business Case'!B12*$B660)-'Business Case'!B15*$F660</f>
        <v>-2220523879.60203</v>
      </c>
      <c r="I660" s="53" t="n">
        <f aca="false">(('Business Case'!C11*$C660*'Business Case'!C12*$B660)-'Business Case'!C11*$C660*'Business Case'!C13*$D660-'Business Case'!C14*$E660)-MAX(0,(('Business Case'!C11*$C660*'Business Case'!C12*$B660)-'Business Case'!C11*$C660*'Business Case'!C13*$D660-'Business Case'!C14*$E660))*'Business Case'!$B$7-'Business Case'!$B$8*(('Business Case'!C11*$C660*'Business Case'!C12*$B660)-('Business Case'!B11*$C660*'Business Case'!B12*$B660))-'Business Case'!C15*$F660</f>
        <v>1262100.7923072</v>
      </c>
      <c r="J660" s="53" t="n">
        <f aca="false">(('Business Case'!D11*$C660*'Business Case'!D12*$B660)-'Business Case'!D11*$C660*'Business Case'!D13*$D660-'Business Case'!D14*$E660)-MAX(0,(('Business Case'!D11*$C660*'Business Case'!D12*$B660)-'Business Case'!D11*$C660*'Business Case'!D13*$D660-'Business Case'!D14*$E660))*'Business Case'!$B$7-'Business Case'!$B$8*(('Business Case'!D11*$C660*'Business Case'!D12*$B660)-('Business Case'!C11*$C660*'Business Case'!C12*$B660))-'Business Case'!D15*$F660</f>
        <v>305794948.091065</v>
      </c>
      <c r="K660" s="53" t="n">
        <f aca="false">(('Business Case'!E11*$C660*'Business Case'!E12*$B660)-'Business Case'!E11*$C660*'Business Case'!E13*$D660-'Business Case'!E14*$E660)-MAX(0,(('Business Case'!E11*$C660*'Business Case'!E12*$B660)-'Business Case'!E11*$C660*'Business Case'!E13*$D660-'Business Case'!E14*$E660))*'Business Case'!$B$7-'Business Case'!$B$8*(('Business Case'!E11*$C660*'Business Case'!E12*$B660)-('Business Case'!D11*$C660*'Business Case'!D12*$B660))-'Business Case'!E15*$F660</f>
        <v>665840892.379874</v>
      </c>
      <c r="L660" s="53" t="n">
        <f aca="false">(('Business Case'!F11*$C660*'Business Case'!F12*$B660)-'Business Case'!F11*$C660*'Business Case'!F13*$D660-'Business Case'!F14*$E660)-MAX(0,(('Business Case'!F11*$C660*'Business Case'!F12*$B660)-'Business Case'!F11*$C660*'Business Case'!F13*$D660-'Business Case'!F14*$E660))*'Business Case'!$B$7-'Business Case'!$B$8*(('Business Case'!F11*$C660*'Business Case'!F12*$B660)-('Business Case'!E11*$C660*'Business Case'!E12*$B660))-'Business Case'!F15*$F660</f>
        <v>802438005.005592</v>
      </c>
      <c r="M660" s="53" t="n">
        <f aca="false">(('Business Case'!G11*$C660*'Business Case'!G12*$B660)-'Business Case'!G11*$C660*'Business Case'!G13*$D660-'Business Case'!G14*$E660)-MAX(0,(('Business Case'!G11*$C660*'Business Case'!G12*$B660)-'Business Case'!G11*$C660*'Business Case'!G13*$D660-'Business Case'!G14*$E660))*'Business Case'!$B$7-'Business Case'!$B$8*(('Business Case'!G11*$C660*'Business Case'!G12*$B660)-('Business Case'!F11*$C660*'Business Case'!F12*$B660))-'Business Case'!G15*$F660+'Business Case'!$B$8*('Business Case'!G11*$C660*'Business Case'!G12*$B660)</f>
        <v>995411904.399322</v>
      </c>
      <c r="N660" s="53" t="n">
        <f aca="false">IF(COUNT('Business Case'!B11:G11)=0,"",H660+NPV(G660,I660:M660))</f>
        <v>-277220795.214105</v>
      </c>
      <c r="P660" s="54" t="n">
        <f aca="true">RAND()</f>
        <v>0.686764930112163</v>
      </c>
      <c r="Q660" s="54" t="n">
        <f aca="true">RAND()</f>
        <v>0.647606495052615</v>
      </c>
      <c r="R660" s="54" t="n">
        <f aca="true">RAND()</f>
        <v>0.597232935185229</v>
      </c>
      <c r="S660" s="54" t="n">
        <f aca="true">RAND()</f>
        <v>0.135031684081757</v>
      </c>
      <c r="T660" s="54" t="n">
        <f aca="true">RAND()</f>
        <v>0.838941611034459</v>
      </c>
      <c r="U660" s="54" t="n">
        <f aca="true">RAND()</f>
        <v>0.14313421933001</v>
      </c>
    </row>
    <row r="661" customFormat="false" ht="15" hidden="false" customHeight="false" outlineLevel="0" collapsed="false">
      <c r="A661" s="50" t="n">
        <v>581</v>
      </c>
      <c r="B661" s="51" t="n">
        <f aca="false">1+IF($G$6=$E$6,$F$6,IF(P661&lt;($F$6-$E$6)/($G$6-$E$6),$E$6+SQRT(P661*($G$6-$E$6)*($F$6-$E$6)),$G$6-SQRT((1-P661)*($G$6-$E$6)*($G$6-$F$6))))</f>
        <v>1.01727280933231</v>
      </c>
      <c r="C661" s="51" t="n">
        <f aca="false">1+IF($G$7=$E$7,$F$7,IF(Q661&lt;($F$7-$E$7)/($G$7-$E$7),$E$7+SQRT(Q661*($G$7-$E$7)*($F$7-$E$7)),$G$7-SQRT((1-Q661)*($G$7-$E$7)*($G$7-$F$7))))</f>
        <v>0.925816958011528</v>
      </c>
      <c r="D661" s="51" t="n">
        <f aca="false">1+IF($G$8=$E$8,$F$8,IF(R661&lt;($F$8-$E$8)/($G$8-$E$8),$E$8+SQRT(R661*($G$8-$E$8)*($F$8-$E$8)),$G$8-SQRT((1-R661)*($G$8-$E$8)*($G$8-$F$8))))</f>
        <v>1.01400237530187</v>
      </c>
      <c r="E661" s="51" t="n">
        <f aca="false">1+IF($G$9=$E$9,$F$9,IF(S661&lt;($F$9-$E$9)/($G$9-$E$9),$E$9+SQRT(S661*($G$9-$E$9)*($F$9-$E$9)),$G$9-SQRT((1-S661)*($G$9-$E$9)*($G$9-$F$9))))</f>
        <v>0.978134957805265</v>
      </c>
      <c r="F661" s="51" t="n">
        <f aca="false">1+IF($G$10=$E$10,$F$10,IF(T661&lt;($F$10-$E$10)/($G$10-$E$10),$E$10+SQRT(T661*($G$10-$E$10)*($F$10-$E$10)),$G$10-SQRT((1-T661)*($G$10-$E$10)*($G$10-$F$10))))</f>
        <v>1.00447118955257</v>
      </c>
      <c r="G661" s="52" t="n">
        <f aca="false">IF($G$11=$E$11,$F$11,IF(U661&lt;($F$11-$E$11)/($G$11-$E$11),$E$11+SQRT(U661*($G$11-$E$11)*($F$11-$E$11)),$G$11-SQRT((1-U661)*($G$11-$E$11)*($G$11-$F$11))))</f>
        <v>0.101893461226276</v>
      </c>
      <c r="H661" s="53" t="n">
        <f aca="false">(('Business Case'!B11*$C661*'Business Case'!B12*$B661)-'Business Case'!B11*$C661*'Business Case'!B13*$D661-'Business Case'!B14*$E661)-MAX(0,(('Business Case'!B11*$C661*'Business Case'!B12*$B661)-'Business Case'!B11*$C661*'Business Case'!B13*$D661-'Business Case'!B14*$E661))*'Business Case'!$B$7-'Business Case'!$B$8*('Business Case'!B11*$C661*'Business Case'!B12*$B661)-'Business Case'!B15*$F661</f>
        <v>-2008942379.10515</v>
      </c>
      <c r="I661" s="53" t="n">
        <f aca="false">(('Business Case'!C11*$C661*'Business Case'!C12*$B661)-'Business Case'!C11*$C661*'Business Case'!C13*$D661-'Business Case'!C14*$E661)-MAX(0,(('Business Case'!C11*$C661*'Business Case'!C12*$B661)-'Business Case'!C11*$C661*'Business Case'!C13*$D661-'Business Case'!C14*$E661))*'Business Case'!$B$7-'Business Case'!$B$8*(('Business Case'!C11*$C661*'Business Case'!C12*$B661)-('Business Case'!B11*$C661*'Business Case'!B12*$B661))-'Business Case'!C15*$F661</f>
        <v>2467084.10746223</v>
      </c>
      <c r="J661" s="53" t="n">
        <f aca="false">(('Business Case'!D11*$C661*'Business Case'!D12*$B661)-'Business Case'!D11*$C661*'Business Case'!D13*$D661-'Business Case'!D14*$E661)-MAX(0,(('Business Case'!D11*$C661*'Business Case'!D12*$B661)-'Business Case'!D11*$C661*'Business Case'!D13*$D661-'Business Case'!D14*$E661))*'Business Case'!$B$7-'Business Case'!$B$8*(('Business Case'!D11*$C661*'Business Case'!D12*$B661)-('Business Case'!C11*$C661*'Business Case'!C12*$B661))-'Business Case'!D15*$F661</f>
        <v>293295426.549044</v>
      </c>
      <c r="K661" s="53" t="n">
        <f aca="false">(('Business Case'!E11*$C661*'Business Case'!E12*$B661)-'Business Case'!E11*$C661*'Business Case'!E13*$D661-'Business Case'!E14*$E661)-MAX(0,(('Business Case'!E11*$C661*'Business Case'!E12*$B661)-'Business Case'!E11*$C661*'Business Case'!E13*$D661-'Business Case'!E14*$E661))*'Business Case'!$B$7-'Business Case'!$B$8*(('Business Case'!E11*$C661*'Business Case'!E12*$B661)-('Business Case'!D11*$C661*'Business Case'!D12*$B661))-'Business Case'!E15*$F661</f>
        <v>634347328.468254</v>
      </c>
      <c r="L661" s="53" t="n">
        <f aca="false">(('Business Case'!F11*$C661*'Business Case'!F12*$B661)-'Business Case'!F11*$C661*'Business Case'!F13*$D661-'Business Case'!F14*$E661)-MAX(0,(('Business Case'!F11*$C661*'Business Case'!F12*$B661)-'Business Case'!F11*$C661*'Business Case'!F13*$D661-'Business Case'!F14*$E661))*'Business Case'!$B$7-'Business Case'!$B$8*(('Business Case'!F11*$C661*'Business Case'!F12*$B661)-('Business Case'!E11*$C661*'Business Case'!E12*$B661))-'Business Case'!F15*$F661</f>
        <v>763839008.201416</v>
      </c>
      <c r="M661" s="53" t="n">
        <f aca="false">(('Business Case'!G11*$C661*'Business Case'!G12*$B661)-'Business Case'!G11*$C661*'Business Case'!G13*$D661-'Business Case'!G14*$E661)-MAX(0,(('Business Case'!G11*$C661*'Business Case'!G12*$B661)-'Business Case'!G11*$C661*'Business Case'!G13*$D661-'Business Case'!G14*$E661))*'Business Case'!$B$7-'Business Case'!$B$8*(('Business Case'!G11*$C661*'Business Case'!G12*$B661)-('Business Case'!F11*$C661*'Business Case'!F12*$B661))-'Business Case'!G15*$F661+'Business Case'!$B$8*('Business Case'!G11*$C661*'Business Case'!G12*$B661)</f>
        <v>942857952.257578</v>
      </c>
      <c r="N661" s="53" t="n">
        <f aca="false">IF(COUNT('Business Case'!B11:G11)=0,"",H661+NPV(G661,I661:M661))</f>
        <v>-192437564.968809</v>
      </c>
      <c r="P661" s="54" t="n">
        <f aca="true">RAND()</f>
        <v>0.89239058424053</v>
      </c>
      <c r="Q661" s="54" t="n">
        <f aca="true">RAND()</f>
        <v>0.226141527475352</v>
      </c>
      <c r="R661" s="54" t="n">
        <f aca="true">RAND()</f>
        <v>0.581183993673525</v>
      </c>
      <c r="S661" s="54" t="n">
        <f aca="true">RAND()</f>
        <v>0.105543446760539</v>
      </c>
      <c r="T661" s="54" t="n">
        <f aca="true">RAND()</f>
        <v>0.23536968570028</v>
      </c>
      <c r="U661" s="54" t="n">
        <f aca="true">RAND()</f>
        <v>0.453588756059385</v>
      </c>
    </row>
    <row r="662" customFormat="false" ht="15" hidden="false" customHeight="false" outlineLevel="0" collapsed="false">
      <c r="A662" s="50" t="n">
        <v>582</v>
      </c>
      <c r="B662" s="51" t="n">
        <f aca="false">1+IF($G$6=$E$6,$F$6,IF(P662&lt;($F$6-$E$6)/($G$6-$E$6),$E$6+SQRT(P662*($G$6-$E$6)*($F$6-$E$6)),$G$6-SQRT((1-P662)*($G$6-$E$6)*($G$6-$F$6))))</f>
        <v>1.01702185189615</v>
      </c>
      <c r="C662" s="51" t="n">
        <f aca="false">1+IF($G$7=$E$7,$F$7,IF(Q662&lt;($F$7-$E$7)/($G$7-$E$7),$E$7+SQRT(Q662*($G$7-$E$7)*($F$7-$E$7)),$G$7-SQRT((1-Q662)*($G$7-$E$7)*($G$7-$F$7))))</f>
        <v>1.05402666067979</v>
      </c>
      <c r="D662" s="51" t="n">
        <f aca="false">1+IF($G$8=$E$8,$F$8,IF(R662&lt;($F$8-$E$8)/($G$8-$E$8),$E$8+SQRT(R662*($G$8-$E$8)*($F$8-$E$8)),$G$8-SQRT((1-R662)*($G$8-$E$8)*($G$8-$F$8))))</f>
        <v>1.05189655207261</v>
      </c>
      <c r="E662" s="51" t="n">
        <f aca="false">1+IF($G$9=$E$9,$F$9,IF(S662&lt;($F$9-$E$9)/($G$9-$E$9),$E$9+SQRT(S662*($G$9-$E$9)*($F$9-$E$9)),$G$9-SQRT((1-S662)*($G$9-$E$9)*($G$9-$F$9))))</f>
        <v>1.01891616736638</v>
      </c>
      <c r="F662" s="51" t="n">
        <f aca="false">1+IF($G$10=$E$10,$F$10,IF(T662&lt;($F$10-$E$10)/($G$10-$E$10),$E$10+SQRT(T662*($G$10-$E$10)*($F$10-$E$10)),$G$10-SQRT((1-T662)*($G$10-$E$10)*($G$10-$F$10))))</f>
        <v>1.13949175949363</v>
      </c>
      <c r="G662" s="52" t="n">
        <f aca="false">IF($G$11=$E$11,$F$11,IF(U662&lt;($F$11-$E$11)/($G$11-$E$11),$E$11+SQRT(U662*($G$11-$E$11)*($F$11-$E$11)),$G$11-SQRT((1-U662)*($G$11-$E$11)*($G$11-$F$11))))</f>
        <v>0.101478051653935</v>
      </c>
      <c r="H662" s="53" t="n">
        <f aca="false">(('Business Case'!B11*$C662*'Business Case'!B12*$B662)-'Business Case'!B11*$C662*'Business Case'!B13*$D662-'Business Case'!B14*$E662)-MAX(0,(('Business Case'!B11*$C662*'Business Case'!B12*$B662)-'Business Case'!B11*$C662*'Business Case'!B13*$D662-'Business Case'!B14*$E662))*'Business Case'!$B$7-'Business Case'!$B$8*('Business Case'!B11*$C662*'Business Case'!B12*$B662)-'Business Case'!B15*$F662</f>
        <v>-2278983518.98726</v>
      </c>
      <c r="I662" s="53" t="n">
        <f aca="false">(('Business Case'!C11*$C662*'Business Case'!C12*$B662)-'Business Case'!C11*$C662*'Business Case'!C13*$D662-'Business Case'!C14*$E662)-MAX(0,(('Business Case'!C11*$C662*'Business Case'!C12*$B662)-'Business Case'!C11*$C662*'Business Case'!C13*$D662-'Business Case'!C14*$E662))*'Business Case'!$B$7-'Business Case'!$B$8*(('Business Case'!C11*$C662*'Business Case'!C12*$B662)-('Business Case'!B11*$C662*'Business Case'!B12*$B662))-'Business Case'!C15*$F662</f>
        <v>-3970321.09783325</v>
      </c>
      <c r="J662" s="53" t="n">
        <f aca="false">(('Business Case'!D11*$C662*'Business Case'!D12*$B662)-'Business Case'!D11*$C662*'Business Case'!D13*$D662-'Business Case'!D14*$E662)-MAX(0,(('Business Case'!D11*$C662*'Business Case'!D12*$B662)-'Business Case'!D11*$C662*'Business Case'!D13*$D662-'Business Case'!D14*$E662))*'Business Case'!$B$7-'Business Case'!$B$8*(('Business Case'!D11*$C662*'Business Case'!D12*$B662)-('Business Case'!C11*$C662*'Business Case'!C12*$B662))-'Business Case'!D15*$F662</f>
        <v>306469241.462182</v>
      </c>
      <c r="K662" s="53" t="n">
        <f aca="false">(('Business Case'!E11*$C662*'Business Case'!E12*$B662)-'Business Case'!E11*$C662*'Business Case'!E13*$D662-'Business Case'!E14*$E662)-MAX(0,(('Business Case'!E11*$C662*'Business Case'!E12*$B662)-'Business Case'!E11*$C662*'Business Case'!E13*$D662-'Business Case'!E14*$E662))*'Business Case'!$B$7-'Business Case'!$B$8*(('Business Case'!E11*$C662*'Business Case'!E12*$B662)-('Business Case'!D11*$C662*'Business Case'!D12*$B662))-'Business Case'!E15*$F662</f>
        <v>673883391.996879</v>
      </c>
      <c r="L662" s="53" t="n">
        <f aca="false">(('Business Case'!F11*$C662*'Business Case'!F12*$B662)-'Business Case'!F11*$C662*'Business Case'!F13*$D662-'Business Case'!F14*$E662)-MAX(0,(('Business Case'!F11*$C662*'Business Case'!F12*$B662)-'Business Case'!F11*$C662*'Business Case'!F13*$D662-'Business Case'!F14*$E662))*'Business Case'!$B$7-'Business Case'!$B$8*(('Business Case'!F11*$C662*'Business Case'!F12*$B662)-('Business Case'!E11*$C662*'Business Case'!E12*$B662))-'Business Case'!F15*$F662</f>
        <v>814410465.322875</v>
      </c>
      <c r="M662" s="53" t="n">
        <f aca="false">(('Business Case'!G11*$C662*'Business Case'!G12*$B662)-'Business Case'!G11*$C662*'Business Case'!G13*$D662-'Business Case'!G14*$E662)-MAX(0,(('Business Case'!G11*$C662*'Business Case'!G12*$B662)-'Business Case'!G11*$C662*'Business Case'!G13*$D662-'Business Case'!G14*$E662))*'Business Case'!$B$7-'Business Case'!$B$8*(('Business Case'!G11*$C662*'Business Case'!G12*$B662)-('Business Case'!F11*$C662*'Business Case'!F12*$B662))-'Business Case'!G15*$F662+'Business Case'!$B$8*('Business Case'!G11*$C662*'Business Case'!G12*$B662)</f>
        <v>1018170170.58916</v>
      </c>
      <c r="N662" s="53" t="n">
        <f aca="false">IF(COUNT('Business Case'!B11:G11)=0,"",H662+NPV(G662,I662:M662))</f>
        <v>-344477017.853867</v>
      </c>
      <c r="P662" s="54" t="n">
        <f aca="true">RAND()</f>
        <v>0.890000981191174</v>
      </c>
      <c r="Q662" s="54" t="n">
        <f aca="true">RAND()</f>
        <v>0.824554631232916</v>
      </c>
      <c r="R662" s="54" t="n">
        <f aca="true">RAND()</f>
        <v>0.924057328326181</v>
      </c>
      <c r="S662" s="54" t="n">
        <f aca="true">RAND()</f>
        <v>0.561694139029546</v>
      </c>
      <c r="T662" s="54" t="n">
        <f aca="true">RAND()</f>
        <v>0.926775056616467</v>
      </c>
      <c r="U662" s="54" t="n">
        <f aca="true">RAND()</f>
        <v>0.428229049109476</v>
      </c>
    </row>
    <row r="663" customFormat="false" ht="15" hidden="false" customHeight="false" outlineLevel="0" collapsed="false">
      <c r="A663" s="50" t="n">
        <v>583</v>
      </c>
      <c r="B663" s="51" t="n">
        <f aca="false">1+IF($G$6=$E$6,$F$6,IF(P663&lt;($F$6-$E$6)/($G$6-$E$6),$E$6+SQRT(P663*($G$6-$E$6)*($F$6-$E$6)),$G$6-SQRT((1-P663)*($G$6-$E$6)*($G$6-$F$6))))</f>
        <v>0.995205419577248</v>
      </c>
      <c r="C663" s="51" t="n">
        <f aca="false">1+IF($G$7=$E$7,$F$7,IF(Q663&lt;($F$7-$E$7)/($G$7-$E$7),$E$7+SQRT(Q663*($G$7-$E$7)*($F$7-$E$7)),$G$7-SQRT((1-Q663)*($G$7-$E$7)*($G$7-$F$7))))</f>
        <v>0.954276650147668</v>
      </c>
      <c r="D663" s="51" t="n">
        <f aca="false">1+IF($G$8=$E$8,$F$8,IF(R663&lt;($F$8-$E$8)/($G$8-$E$8),$E$8+SQRT(R663*($G$8-$E$8)*($F$8-$E$8)),$G$8-SQRT((1-R663)*($G$8-$E$8)*($G$8-$F$8))))</f>
        <v>1.03319303330816</v>
      </c>
      <c r="E663" s="51" t="n">
        <f aca="false">1+IF($G$9=$E$9,$F$9,IF(S663&lt;($F$9-$E$9)/($G$9-$E$9),$E$9+SQRT(S663*($G$9-$E$9)*($F$9-$E$9)),$G$9-SQRT((1-S663)*($G$9-$E$9)*($G$9-$F$9))))</f>
        <v>0.980189008803668</v>
      </c>
      <c r="F663" s="51" t="n">
        <f aca="false">1+IF($G$10=$E$10,$F$10,IF(T663&lt;($F$10-$E$10)/($G$10-$E$10),$E$10+SQRT(T663*($G$10-$E$10)*($F$10-$E$10)),$G$10-SQRT((1-T663)*($G$10-$E$10)*($G$10-$F$10))))</f>
        <v>1.14400972259542</v>
      </c>
      <c r="G663" s="52" t="n">
        <f aca="false">IF($G$11=$E$11,$F$11,IF(U663&lt;($F$11-$E$11)/($G$11-$E$11),$E$11+SQRT(U663*($G$11-$E$11)*($F$11-$E$11)),$G$11-SQRT((1-U663)*($G$11-$E$11)*($G$11-$F$11))))</f>
        <v>0.0965754750223751</v>
      </c>
      <c r="H663" s="53" t="n">
        <f aca="false">(('Business Case'!B11*$C663*'Business Case'!B12*$B663)-'Business Case'!B11*$C663*'Business Case'!B13*$D663-'Business Case'!B14*$E663)-MAX(0,(('Business Case'!B11*$C663*'Business Case'!B12*$B663)-'Business Case'!B11*$C663*'Business Case'!B13*$D663-'Business Case'!B14*$E663))*'Business Case'!$B$7-'Business Case'!$B$8*('Business Case'!B11*$C663*'Business Case'!B12*$B663)-'Business Case'!B15*$F663</f>
        <v>-2288019445.19084</v>
      </c>
      <c r="I663" s="53" t="n">
        <f aca="false">(('Business Case'!C11*$C663*'Business Case'!C12*$B663)-'Business Case'!C11*$C663*'Business Case'!C13*$D663-'Business Case'!C14*$E663)-MAX(0,(('Business Case'!C11*$C663*'Business Case'!C12*$B663)-'Business Case'!C11*$C663*'Business Case'!C13*$D663-'Business Case'!C14*$E663))*'Business Case'!$B$7-'Business Case'!$B$8*(('Business Case'!C11*$C663*'Business Case'!C12*$B663)-('Business Case'!B11*$C663*'Business Case'!B12*$B663))-'Business Case'!C15*$F663</f>
        <v>-29871167.1839712</v>
      </c>
      <c r="J663" s="53" t="n">
        <f aca="false">(('Business Case'!D11*$C663*'Business Case'!D12*$B663)-'Business Case'!D11*$C663*'Business Case'!D13*$D663-'Business Case'!D14*$E663)-MAX(0,(('Business Case'!D11*$C663*'Business Case'!D12*$B663)-'Business Case'!D11*$C663*'Business Case'!D13*$D663-'Business Case'!D14*$E663))*'Business Case'!$B$7-'Business Case'!$B$8*(('Business Case'!D11*$C663*'Business Case'!D12*$B663)-('Business Case'!C11*$C663*'Business Case'!C12*$B663))-'Business Case'!D15*$F663</f>
        <v>243274030.024596</v>
      </c>
      <c r="K663" s="53" t="n">
        <f aca="false">(('Business Case'!E11*$C663*'Business Case'!E12*$B663)-'Business Case'!E11*$C663*'Business Case'!E13*$D663-'Business Case'!E14*$E663)-MAX(0,(('Business Case'!E11*$C663*'Business Case'!E12*$B663)-'Business Case'!E11*$C663*'Business Case'!E13*$D663-'Business Case'!E14*$E663))*'Business Case'!$B$7-'Business Case'!$B$8*(('Business Case'!E11*$C663*'Business Case'!E12*$B663)-('Business Case'!D11*$C663*'Business Case'!D12*$B663))-'Business Case'!E15*$F663</f>
        <v>573619713.362934</v>
      </c>
      <c r="L663" s="53" t="n">
        <f aca="false">(('Business Case'!F11*$C663*'Business Case'!F12*$B663)-'Business Case'!F11*$C663*'Business Case'!F13*$D663-'Business Case'!F14*$E663)-MAX(0,(('Business Case'!F11*$C663*'Business Case'!F12*$B663)-'Business Case'!F11*$C663*'Business Case'!F13*$D663-'Business Case'!F14*$E663))*'Business Case'!$B$7-'Business Case'!$B$8*(('Business Case'!F11*$C663*'Business Case'!F12*$B663)-('Business Case'!E11*$C663*'Business Case'!E12*$B663))-'Business Case'!F15*$F663</f>
        <v>697489789.153199</v>
      </c>
      <c r="M663" s="53" t="n">
        <f aca="false">(('Business Case'!G11*$C663*'Business Case'!G12*$B663)-'Business Case'!G11*$C663*'Business Case'!G13*$D663-'Business Case'!G14*$E663)-MAX(0,(('Business Case'!G11*$C663*'Business Case'!G12*$B663)-'Business Case'!G11*$C663*'Business Case'!G13*$D663-'Business Case'!G14*$E663))*'Business Case'!$B$7-'Business Case'!$B$8*(('Business Case'!G11*$C663*'Business Case'!G12*$B663)-('Business Case'!F11*$C663*'Business Case'!F12*$B663))-'Business Case'!G15*$F663+'Business Case'!$B$8*('Business Case'!G11*$C663*'Business Case'!G12*$B663)</f>
        <v>878009011.117285</v>
      </c>
      <c r="N663" s="53" t="n">
        <f aca="false">IF(COUNT('Business Case'!B11:G11)=0,"",H663+NPV(G663,I663:M663))</f>
        <v>-641815589.997441</v>
      </c>
      <c r="P663" s="54" t="n">
        <f aca="true">RAND()</f>
        <v>0.589151576436444</v>
      </c>
      <c r="Q663" s="54" t="n">
        <f aca="true">RAND()</f>
        <v>0.340018354011228</v>
      </c>
      <c r="R663" s="54" t="n">
        <f aca="true">RAND()</f>
        <v>0.789337295106644</v>
      </c>
      <c r="S663" s="54" t="n">
        <f aca="true">RAND()</f>
        <v>0.121516833673057</v>
      </c>
      <c r="T663" s="54" t="n">
        <f aca="true">RAND()</f>
        <v>0.937301776723165</v>
      </c>
      <c r="U663" s="54" t="n">
        <f aca="true">RAND()</f>
        <v>0.144122905899595</v>
      </c>
    </row>
    <row r="664" customFormat="false" ht="15" hidden="false" customHeight="false" outlineLevel="0" collapsed="false">
      <c r="A664" s="50" t="n">
        <v>584</v>
      </c>
      <c r="B664" s="51" t="n">
        <f aca="false">1+IF($G$6=$E$6,$F$6,IF(P664&lt;($F$6-$E$6)/($G$6-$E$6),$E$6+SQRT(P664*($G$6-$E$6)*($F$6-$E$6)),$G$6-SQRT((1-P664)*($G$6-$E$6)*($G$6-$F$6))))</f>
        <v>1.00361437108836</v>
      </c>
      <c r="C664" s="51" t="n">
        <f aca="false">1+IF($G$7=$E$7,$F$7,IF(Q664&lt;($F$7-$E$7)/($G$7-$E$7),$E$7+SQRT(Q664*($G$7-$E$7)*($F$7-$E$7)),$G$7-SQRT((1-Q664)*($G$7-$E$7)*($G$7-$F$7))))</f>
        <v>0.921924911154132</v>
      </c>
      <c r="D664" s="51" t="n">
        <f aca="false">1+IF($G$8=$E$8,$F$8,IF(R664&lt;($F$8-$E$8)/($G$8-$E$8),$E$8+SQRT(R664*($G$8-$E$8)*($F$8-$E$8)),$G$8-SQRT((1-R664)*($G$8-$E$8)*($G$8-$F$8))))</f>
        <v>1.02578057750007</v>
      </c>
      <c r="E664" s="51" t="n">
        <f aca="false">1+IF($G$9=$E$9,$F$9,IF(S664&lt;($F$9-$E$9)/($G$9-$E$9),$E$9+SQRT(S664*($G$9-$E$9)*($F$9-$E$9)),$G$9-SQRT((1-S664)*($G$9-$E$9)*($G$9-$F$9))))</f>
        <v>1.01946213942948</v>
      </c>
      <c r="F664" s="51" t="n">
        <f aca="false">1+IF($G$10=$E$10,$F$10,IF(T664&lt;($F$10-$E$10)/($G$10-$E$10),$E$10+SQRT(T664*($G$10-$E$10)*($F$10-$E$10)),$G$10-SQRT((1-T664)*($G$10-$E$10)*($G$10-$F$10))))</f>
        <v>0.978222364502114</v>
      </c>
      <c r="G664" s="52" t="n">
        <f aca="false">IF($G$11=$E$11,$F$11,IF(U664&lt;($F$11-$E$11)/($G$11-$E$11),$E$11+SQRT(U664*($G$11-$E$11)*($F$11-$E$11)),$G$11-SQRT((1-U664)*($G$11-$E$11)*($G$11-$F$11))))</f>
        <v>0.101494450973473</v>
      </c>
      <c r="H664" s="53" t="n">
        <f aca="false">(('Business Case'!B11*$C664*'Business Case'!B12*$B664)-'Business Case'!B11*$C664*'Business Case'!B13*$D664-'Business Case'!B14*$E664)-MAX(0,(('Business Case'!B11*$C664*'Business Case'!B12*$B664)-'Business Case'!B11*$C664*'Business Case'!B13*$D664-'Business Case'!B14*$E664))*'Business Case'!$B$7-'Business Case'!$B$8*('Business Case'!B11*$C664*'Business Case'!B12*$B664)-'Business Case'!B15*$F664</f>
        <v>-1956444729.00423</v>
      </c>
      <c r="I664" s="53" t="n">
        <f aca="false">(('Business Case'!C11*$C664*'Business Case'!C12*$B664)-'Business Case'!C11*$C664*'Business Case'!C13*$D664-'Business Case'!C14*$E664)-MAX(0,(('Business Case'!C11*$C664*'Business Case'!C12*$B664)-'Business Case'!C11*$C664*'Business Case'!C13*$D664-'Business Case'!C14*$E664))*'Business Case'!$B$7-'Business Case'!$B$8*(('Business Case'!C11*$C664*'Business Case'!C12*$B664)-('Business Case'!B11*$C664*'Business Case'!B12*$B664))-'Business Case'!C15*$F664</f>
        <v>-17021895.5675398</v>
      </c>
      <c r="J664" s="53" t="n">
        <f aca="false">(('Business Case'!D11*$C664*'Business Case'!D12*$B664)-'Business Case'!D11*$C664*'Business Case'!D13*$D664-'Business Case'!D14*$E664)-MAX(0,(('Business Case'!D11*$C664*'Business Case'!D12*$B664)-'Business Case'!D11*$C664*'Business Case'!D13*$D664-'Business Case'!D14*$E664))*'Business Case'!$B$7-'Business Case'!$B$8*(('Business Case'!D11*$C664*'Business Case'!D12*$B664)-('Business Case'!C11*$C664*'Business Case'!C12*$B664))-'Business Case'!D15*$F664</f>
        <v>256711289.082349</v>
      </c>
      <c r="K664" s="53" t="n">
        <f aca="false">(('Business Case'!E11*$C664*'Business Case'!E12*$B664)-'Business Case'!E11*$C664*'Business Case'!E13*$D664-'Business Case'!E14*$E664)-MAX(0,(('Business Case'!E11*$C664*'Business Case'!E12*$B664)-'Business Case'!E11*$C664*'Business Case'!E13*$D664-'Business Case'!E14*$E664))*'Business Case'!$B$7-'Business Case'!$B$8*(('Business Case'!E11*$C664*'Business Case'!E12*$B664)-('Business Case'!D11*$C664*'Business Case'!D12*$B664))-'Business Case'!E15*$F664</f>
        <v>579355591.957344</v>
      </c>
      <c r="L664" s="53" t="n">
        <f aca="false">(('Business Case'!F11*$C664*'Business Case'!F12*$B664)-'Business Case'!F11*$C664*'Business Case'!F13*$D664-'Business Case'!F14*$E664)-MAX(0,(('Business Case'!F11*$C664*'Business Case'!F12*$B664)-'Business Case'!F11*$C664*'Business Case'!F13*$D664-'Business Case'!F14*$E664))*'Business Case'!$B$7-'Business Case'!$B$8*(('Business Case'!F11*$C664*'Business Case'!F12*$B664)-('Business Case'!E11*$C664*'Business Case'!E12*$B664))-'Business Case'!F15*$F664</f>
        <v>702576871.867537</v>
      </c>
      <c r="M664" s="53" t="n">
        <f aca="false">(('Business Case'!G11*$C664*'Business Case'!G12*$B664)-'Business Case'!G11*$C664*'Business Case'!G13*$D664-'Business Case'!G14*$E664)-MAX(0,(('Business Case'!G11*$C664*'Business Case'!G12*$B664)-'Business Case'!G11*$C664*'Business Case'!G13*$D664-'Business Case'!G14*$E664))*'Business Case'!$B$7-'Business Case'!$B$8*(('Business Case'!G11*$C664*'Business Case'!G12*$B664)-('Business Case'!F11*$C664*'Business Case'!F12*$B664))-'Business Case'!G15*$F664+'Business Case'!$B$8*('Business Case'!G11*$C664*'Business Case'!G12*$B664)</f>
        <v>878449739.515473</v>
      </c>
      <c r="N664" s="53" t="n">
        <f aca="false">IF(COUNT('Business Case'!B11:G11)=0,"",H664+NPV(G664,I664:M664))</f>
        <v>-307777725.834911</v>
      </c>
      <c r="P664" s="54" t="n">
        <f aca="true">RAND()</f>
        <v>0.724184585146782</v>
      </c>
      <c r="Q664" s="54" t="n">
        <f aca="true">RAND()</f>
        <v>0.212366913713471</v>
      </c>
      <c r="R664" s="54" t="n">
        <f aca="true">RAND()</f>
        <v>0.717332136901372</v>
      </c>
      <c r="S664" s="54" t="n">
        <f aca="true">RAND()</f>
        <v>0.567576867648188</v>
      </c>
      <c r="T664" s="54" t="n">
        <f aca="true">RAND()</f>
        <v>0.063720148647214</v>
      </c>
      <c r="U664" s="54" t="n">
        <f aca="true">RAND()</f>
        <v>0.429241092044682</v>
      </c>
    </row>
    <row r="665" customFormat="false" ht="15" hidden="false" customHeight="false" outlineLevel="0" collapsed="false">
      <c r="A665" s="50" t="n">
        <v>585</v>
      </c>
      <c r="B665" s="51" t="n">
        <f aca="false">1+IF($G$6=$E$6,$F$6,IF(P665&lt;($F$6-$E$6)/($G$6-$E$6),$E$6+SQRT(P665*($G$6-$E$6)*($F$6-$E$6)),$G$6-SQRT((1-P665)*($G$6-$E$6)*($G$6-$F$6))))</f>
        <v>1.00078856075869</v>
      </c>
      <c r="C665" s="51" t="n">
        <f aca="false">1+IF($G$7=$E$7,$F$7,IF(Q665&lt;($F$7-$E$7)/($G$7-$E$7),$E$7+SQRT(Q665*($G$7-$E$7)*($F$7-$E$7)),$G$7-SQRT((1-Q665)*($G$7-$E$7)*($G$7-$F$7))))</f>
        <v>0.946729303242817</v>
      </c>
      <c r="D665" s="51" t="n">
        <f aca="false">1+IF($G$8=$E$8,$F$8,IF(R665&lt;($F$8-$E$8)/($G$8-$E$8),$E$8+SQRT(R665*($G$8-$E$8)*($F$8-$E$8)),$G$8-SQRT((1-R665)*($G$8-$E$8)*($G$8-$F$8))))</f>
        <v>0.976549823761875</v>
      </c>
      <c r="E665" s="51" t="n">
        <f aca="false">1+IF($G$9=$E$9,$F$9,IF(S665&lt;($F$9-$E$9)/($G$9-$E$9),$E$9+SQRT(S665*($G$9-$E$9)*($F$9-$E$9)),$G$9-SQRT((1-S665)*($G$9-$E$9)*($G$9-$F$9))))</f>
        <v>1.00308196882368</v>
      </c>
      <c r="F665" s="51" t="n">
        <f aca="false">1+IF($G$10=$E$10,$F$10,IF(T665&lt;($F$10-$E$10)/($G$10-$E$10),$E$10+SQRT(T665*($G$10-$E$10)*($F$10-$E$10)),$G$10-SQRT((1-T665)*($G$10-$E$10)*($G$10-$F$10))))</f>
        <v>1.00997817779437</v>
      </c>
      <c r="G665" s="52" t="n">
        <f aca="false">IF($G$11=$E$11,$F$11,IF(U665&lt;($F$11-$E$11)/($G$11-$E$11),$E$11+SQRT(U665*($G$11-$E$11)*($F$11-$E$11)),$G$11-SQRT((1-U665)*($G$11-$E$11)*($G$11-$F$11))))</f>
        <v>0.092800395061496</v>
      </c>
      <c r="H665" s="53" t="n">
        <f aca="false">(('Business Case'!B11*$C665*'Business Case'!B12*$B665)-'Business Case'!B11*$C665*'Business Case'!B13*$D665-'Business Case'!B14*$E665)-MAX(0,(('Business Case'!B11*$C665*'Business Case'!B12*$B665)-'Business Case'!B11*$C665*'Business Case'!B13*$D665-'Business Case'!B14*$E665))*'Business Case'!$B$7-'Business Case'!$B$8*('Business Case'!B11*$C665*'Business Case'!B12*$B665)-'Business Case'!B15*$F665</f>
        <v>-2019956355.58874</v>
      </c>
      <c r="I665" s="53" t="n">
        <f aca="false">(('Business Case'!C11*$C665*'Business Case'!C12*$B665)-'Business Case'!C11*$C665*'Business Case'!C13*$D665-'Business Case'!C14*$E665)-MAX(0,(('Business Case'!C11*$C665*'Business Case'!C12*$B665)-'Business Case'!C11*$C665*'Business Case'!C13*$D665-'Business Case'!C14*$E665))*'Business Case'!$B$7-'Business Case'!$B$8*(('Business Case'!C11*$C665*'Business Case'!C12*$B665)-('Business Case'!B11*$C665*'Business Case'!B12*$B665))-'Business Case'!C15*$F665</f>
        <v>10013177.9738737</v>
      </c>
      <c r="J665" s="53" t="n">
        <f aca="false">(('Business Case'!D11*$C665*'Business Case'!D12*$B665)-'Business Case'!D11*$C665*'Business Case'!D13*$D665-'Business Case'!D14*$E665)-MAX(0,(('Business Case'!D11*$C665*'Business Case'!D12*$B665)-'Business Case'!D11*$C665*'Business Case'!D13*$D665-'Business Case'!D14*$E665))*'Business Case'!$B$7-'Business Case'!$B$8*(('Business Case'!D11*$C665*'Business Case'!D12*$B665)-('Business Case'!C11*$C665*'Business Case'!C12*$B665))-'Business Case'!D15*$F665</f>
        <v>312779578.111484</v>
      </c>
      <c r="K665" s="53" t="n">
        <f aca="false">(('Business Case'!E11*$C665*'Business Case'!E12*$B665)-'Business Case'!E11*$C665*'Business Case'!E13*$D665-'Business Case'!E14*$E665)-MAX(0,(('Business Case'!E11*$C665*'Business Case'!E12*$B665)-'Business Case'!E11*$C665*'Business Case'!E13*$D665-'Business Case'!E14*$E665))*'Business Case'!$B$7-'Business Case'!$B$8*(('Business Case'!E11*$C665*'Business Case'!E12*$B665)-('Business Case'!D11*$C665*'Business Case'!D12*$B665))-'Business Case'!E15*$F665</f>
        <v>666044887.138813</v>
      </c>
      <c r="L665" s="53" t="n">
        <f aca="false">(('Business Case'!F11*$C665*'Business Case'!F12*$B665)-'Business Case'!F11*$C665*'Business Case'!F13*$D665-'Business Case'!F14*$E665)-MAX(0,(('Business Case'!F11*$C665*'Business Case'!F12*$B665)-'Business Case'!F11*$C665*'Business Case'!F13*$D665-'Business Case'!F14*$E665))*'Business Case'!$B$7-'Business Case'!$B$8*(('Business Case'!F11*$C665*'Business Case'!F12*$B665)-('Business Case'!E11*$C665*'Business Case'!E12*$B665))-'Business Case'!F15*$F665</f>
        <v>799711786.129732</v>
      </c>
      <c r="M665" s="53" t="n">
        <f aca="false">(('Business Case'!G11*$C665*'Business Case'!G12*$B665)-'Business Case'!G11*$C665*'Business Case'!G13*$D665-'Business Case'!G14*$E665)-MAX(0,(('Business Case'!G11*$C665*'Business Case'!G12*$B665)-'Business Case'!G11*$C665*'Business Case'!G13*$D665-'Business Case'!G14*$E665))*'Business Case'!$B$7-'Business Case'!$B$8*(('Business Case'!G11*$C665*'Business Case'!G12*$B665)-('Business Case'!F11*$C665*'Business Case'!F12*$B665))-'Business Case'!G15*$F665+'Business Case'!$B$8*('Business Case'!G11*$C665*'Business Case'!G12*$B665)</f>
        <v>979807996.994164</v>
      </c>
      <c r="N665" s="53" t="n">
        <f aca="false">IF(COUNT('Business Case'!B11:G11)=0,"",H665+NPV(G665,I665:M665))</f>
        <v>-49074216.156913</v>
      </c>
      <c r="P665" s="54" t="n">
        <f aca="true">RAND()</f>
        <v>0.679679798463529</v>
      </c>
      <c r="Q665" s="54" t="n">
        <f aca="true">RAND()</f>
        <v>0.30756412043032</v>
      </c>
      <c r="R665" s="54" t="n">
        <f aca="true">RAND()</f>
        <v>0.108445098736402</v>
      </c>
      <c r="S665" s="54" t="n">
        <f aca="true">RAND()</f>
        <v>0.373793015527098</v>
      </c>
      <c r="T665" s="54" t="n">
        <f aca="true">RAND()</f>
        <v>0.277834141713026</v>
      </c>
      <c r="U665" s="54" t="n">
        <f aca="true">RAND()</f>
        <v>0.0261407083348368</v>
      </c>
    </row>
    <row r="666" customFormat="false" ht="15" hidden="false" customHeight="false" outlineLevel="0" collapsed="false">
      <c r="A666" s="50" t="n">
        <v>586</v>
      </c>
      <c r="B666" s="51" t="n">
        <f aca="false">1+IF($G$6=$E$6,$F$6,IF(P666&lt;($F$6-$E$6)/($G$6-$E$6),$E$6+SQRT(P666*($G$6-$E$6)*($F$6-$E$6)),$G$6-SQRT((1-P666)*($G$6-$E$6)*($G$6-$F$6))))</f>
        <v>0.957099772637297</v>
      </c>
      <c r="C666" s="51" t="n">
        <f aca="false">1+IF($G$7=$E$7,$F$7,IF(Q666&lt;($F$7-$E$7)/($G$7-$E$7),$E$7+SQRT(Q666*($G$7-$E$7)*($F$7-$E$7)),$G$7-SQRT((1-Q666)*($G$7-$E$7)*($G$7-$F$7))))</f>
        <v>0.974491566641511</v>
      </c>
      <c r="D666" s="51" t="n">
        <f aca="false">1+IF($G$8=$E$8,$F$8,IF(R666&lt;($F$8-$E$8)/($G$8-$E$8),$E$8+SQRT(R666*($G$8-$E$8)*($F$8-$E$8)),$G$8-SQRT((1-R666)*($G$8-$E$8)*($G$8-$F$8))))</f>
        <v>1.04515264766432</v>
      </c>
      <c r="E666" s="51" t="n">
        <f aca="false">1+IF($G$9=$E$9,$F$9,IF(S666&lt;($F$9-$E$9)/($G$9-$E$9),$E$9+SQRT(S666*($G$9-$E$9)*($F$9-$E$9)),$G$9-SQRT((1-S666)*($G$9-$E$9)*($G$9-$F$9))))</f>
        <v>0.959431963460152</v>
      </c>
      <c r="F666" s="51" t="n">
        <f aca="false">1+IF($G$10=$E$10,$F$10,IF(T666&lt;($F$10-$E$10)/($G$10-$E$10),$E$10+SQRT(T666*($G$10-$E$10)*($F$10-$E$10)),$G$10-SQRT((1-T666)*($G$10-$E$10)*($G$10-$F$10))))</f>
        <v>1.02361300830129</v>
      </c>
      <c r="G666" s="52" t="n">
        <f aca="false">IF($G$11=$E$11,$F$11,IF(U666&lt;($F$11-$E$11)/($G$11-$E$11),$E$11+SQRT(U666*($G$11-$E$11)*($F$11-$E$11)),$G$11-SQRT((1-U666)*($G$11-$E$11)*($G$11-$F$11))))</f>
        <v>0.100664608860035</v>
      </c>
      <c r="H666" s="53" t="n">
        <f aca="false">(('Business Case'!B11*$C666*'Business Case'!B12*$B666)-'Business Case'!B11*$C666*'Business Case'!B13*$D666-'Business Case'!B14*$E666)-MAX(0,(('Business Case'!B11*$C666*'Business Case'!B12*$B666)-'Business Case'!B11*$C666*'Business Case'!B13*$D666-'Business Case'!B14*$E666))*'Business Case'!$B$7-'Business Case'!$B$8*('Business Case'!B11*$C666*'Business Case'!B12*$B666)-'Business Case'!B15*$F666</f>
        <v>-2047226016.60259</v>
      </c>
      <c r="I666" s="53" t="n">
        <f aca="false">(('Business Case'!C11*$C666*'Business Case'!C12*$B666)-'Business Case'!C11*$C666*'Business Case'!C13*$D666-'Business Case'!C14*$E666)-MAX(0,(('Business Case'!C11*$C666*'Business Case'!C12*$B666)-'Business Case'!C11*$C666*'Business Case'!C13*$D666-'Business Case'!C14*$E666))*'Business Case'!$B$7-'Business Case'!$B$8*(('Business Case'!C11*$C666*'Business Case'!C12*$B666)-('Business Case'!B11*$C666*'Business Case'!B12*$B666))-'Business Case'!C15*$F666</f>
        <v>-44592894.5405298</v>
      </c>
      <c r="J666" s="53" t="n">
        <f aca="false">(('Business Case'!D11*$C666*'Business Case'!D12*$B666)-'Business Case'!D11*$C666*'Business Case'!D13*$D666-'Business Case'!D14*$E666)-MAX(0,(('Business Case'!D11*$C666*'Business Case'!D12*$B666)-'Business Case'!D11*$C666*'Business Case'!D13*$D666-'Business Case'!D14*$E666))*'Business Case'!$B$7-'Business Case'!$B$8*(('Business Case'!D11*$C666*'Business Case'!D12*$B666)-('Business Case'!C11*$C666*'Business Case'!C12*$B666))-'Business Case'!D15*$F666</f>
        <v>197957161.405221</v>
      </c>
      <c r="K666" s="53" t="n">
        <f aca="false">(('Business Case'!E11*$C666*'Business Case'!E12*$B666)-'Business Case'!E11*$C666*'Business Case'!E13*$D666-'Business Case'!E14*$E666)-MAX(0,(('Business Case'!E11*$C666*'Business Case'!E12*$B666)-'Business Case'!E11*$C666*'Business Case'!E13*$D666-'Business Case'!E14*$E666))*'Business Case'!$B$7-'Business Case'!$B$8*(('Business Case'!E11*$C666*'Business Case'!E12*$B666)-('Business Case'!D11*$C666*'Business Case'!D12*$B666))-'Business Case'!E15*$F666</f>
        <v>491687867.766036</v>
      </c>
      <c r="L666" s="53" t="n">
        <f aca="false">(('Business Case'!F11*$C666*'Business Case'!F12*$B666)-'Business Case'!F11*$C666*'Business Case'!F13*$D666-'Business Case'!F14*$E666)-MAX(0,(('Business Case'!F11*$C666*'Business Case'!F12*$B666)-'Business Case'!F11*$C666*'Business Case'!F13*$D666-'Business Case'!F14*$E666))*'Business Case'!$B$7-'Business Case'!$B$8*(('Business Case'!F11*$C666*'Business Case'!F12*$B666)-('Business Case'!E11*$C666*'Business Case'!E12*$B666))-'Business Case'!F15*$F666</f>
        <v>604771502.716032</v>
      </c>
      <c r="M666" s="53" t="n">
        <f aca="false">(('Business Case'!G11*$C666*'Business Case'!G12*$B666)-'Business Case'!G11*$C666*'Business Case'!G13*$D666-'Business Case'!G14*$E666)-MAX(0,(('Business Case'!G11*$C666*'Business Case'!G12*$B666)-'Business Case'!G11*$C666*'Business Case'!G13*$D666-'Business Case'!G14*$E666))*'Business Case'!$B$7-'Business Case'!$B$8*(('Business Case'!G11*$C666*'Business Case'!G12*$B666)-('Business Case'!F11*$C666*'Business Case'!F12*$B666))-'Business Case'!G15*$F666+'Business Case'!$B$8*('Business Case'!G11*$C666*'Business Case'!G12*$B666)</f>
        <v>782056392.373796</v>
      </c>
      <c r="N666" s="53" t="n">
        <f aca="false">IF(COUNT('Business Case'!B11:G11)=0,"",H666+NPV(G666,I666:M666))</f>
        <v>-659392009.508741</v>
      </c>
      <c r="P666" s="54" t="n">
        <f aca="true">RAND()</f>
        <v>0.143374284347827</v>
      </c>
      <c r="Q666" s="54" t="n">
        <f aca="true">RAND()</f>
        <v>0.434961526128697</v>
      </c>
      <c r="R666" s="54" t="n">
        <f aca="true">RAND()</f>
        <v>0.8832367341532</v>
      </c>
      <c r="S666" s="54" t="n">
        <f aca="true">RAND()</f>
        <v>0.0118615912951512</v>
      </c>
      <c r="T666" s="54" t="n">
        <f aca="true">RAND()</f>
        <v>0.377752583189608</v>
      </c>
      <c r="U666" s="54" t="n">
        <f aca="true">RAND()</f>
        <v>0.376904415774246</v>
      </c>
    </row>
    <row r="667" customFormat="false" ht="15" hidden="false" customHeight="false" outlineLevel="0" collapsed="false">
      <c r="A667" s="50" t="n">
        <v>587</v>
      </c>
      <c r="B667" s="51" t="n">
        <f aca="false">1+IF($G$6=$E$6,$F$6,IF(P667&lt;($F$6-$E$6)/($G$6-$E$6),$E$6+SQRT(P667*($G$6-$E$6)*($F$6-$E$6)),$G$6-SQRT((1-P667)*($G$6-$E$6)*($G$6-$F$6))))</f>
        <v>0.951259423195714</v>
      </c>
      <c r="C667" s="51" t="n">
        <f aca="false">1+IF($G$7=$E$7,$F$7,IF(Q667&lt;($F$7-$E$7)/($G$7-$E$7),$E$7+SQRT(Q667*($G$7-$E$7)*($F$7-$E$7)),$G$7-SQRT((1-Q667)*($G$7-$E$7)*($G$7-$F$7))))</f>
        <v>0.969471724554756</v>
      </c>
      <c r="D667" s="51" t="n">
        <f aca="false">1+IF($G$8=$E$8,$F$8,IF(R667&lt;($F$8-$E$8)/($G$8-$E$8),$E$8+SQRT(R667*($G$8-$E$8)*($F$8-$E$8)),$G$8-SQRT((1-R667)*($G$8-$E$8)*($G$8-$F$8))))</f>
        <v>0.997622629403261</v>
      </c>
      <c r="E667" s="51" t="n">
        <f aca="false">1+IF($G$9=$E$9,$F$9,IF(S667&lt;($F$9-$E$9)/($G$9-$E$9),$E$9+SQRT(S667*($G$9-$E$9)*($F$9-$E$9)),$G$9-SQRT((1-S667)*($G$9-$E$9)*($G$9-$F$9))))</f>
        <v>0.977043261155901</v>
      </c>
      <c r="F667" s="51" t="n">
        <f aca="false">1+IF($G$10=$E$10,$F$10,IF(T667&lt;($F$10-$E$10)/($G$10-$E$10),$E$10+SQRT(T667*($G$10-$E$10)*($F$10-$E$10)),$G$10-SQRT((1-T667)*($G$10-$E$10)*($G$10-$F$10))))</f>
        <v>1.00055913164791</v>
      </c>
      <c r="G667" s="52" t="n">
        <f aca="false">IF($G$11=$E$11,$F$11,IF(U667&lt;($F$11-$E$11)/($G$11-$E$11),$E$11+SQRT(U667*($G$11-$E$11)*($F$11-$E$11)),$G$11-SQRT((1-U667)*($G$11-$E$11)*($G$11-$F$11))))</f>
        <v>0.094003047760665</v>
      </c>
      <c r="H667" s="53" t="n">
        <f aca="false">(('Business Case'!B11*$C667*'Business Case'!B12*$B667)-'Business Case'!B11*$C667*'Business Case'!B13*$D667-'Business Case'!B14*$E667)-MAX(0,(('Business Case'!B11*$C667*'Business Case'!B12*$B667)-'Business Case'!B11*$C667*'Business Case'!B13*$D667-'Business Case'!B14*$E667))*'Business Case'!$B$7-'Business Case'!$B$8*('Business Case'!B11*$C667*'Business Case'!B12*$B667)-'Business Case'!B15*$F667</f>
        <v>-2001118263.29583</v>
      </c>
      <c r="I667" s="53" t="n">
        <f aca="false">(('Business Case'!C11*$C667*'Business Case'!C12*$B667)-'Business Case'!C11*$C667*'Business Case'!C13*$D667-'Business Case'!C14*$E667)-MAX(0,(('Business Case'!C11*$C667*'Business Case'!C12*$B667)-'Business Case'!C11*$C667*'Business Case'!C13*$D667-'Business Case'!C14*$E667))*'Business Case'!$B$7-'Business Case'!$B$8*(('Business Case'!C11*$C667*'Business Case'!C12*$B667)-('Business Case'!B11*$C667*'Business Case'!B12*$B667))-'Business Case'!C15*$F667</f>
        <v>-26547545.3173927</v>
      </c>
      <c r="J667" s="53" t="n">
        <f aca="false">(('Business Case'!D11*$C667*'Business Case'!D12*$B667)-'Business Case'!D11*$C667*'Business Case'!D13*$D667-'Business Case'!D14*$E667)-MAX(0,(('Business Case'!D11*$C667*'Business Case'!D12*$B667)-'Business Case'!D11*$C667*'Business Case'!D13*$D667-'Business Case'!D14*$E667))*'Business Case'!$B$7-'Business Case'!$B$8*(('Business Case'!D11*$C667*'Business Case'!D12*$B667)-('Business Case'!C11*$C667*'Business Case'!C12*$B667))-'Business Case'!D15*$F667</f>
        <v>233704213.110449</v>
      </c>
      <c r="K667" s="53" t="n">
        <f aca="false">(('Business Case'!E11*$C667*'Business Case'!E12*$B667)-'Business Case'!E11*$C667*'Business Case'!E13*$D667-'Business Case'!E14*$E667)-MAX(0,(('Business Case'!E11*$C667*'Business Case'!E12*$B667)-'Business Case'!E11*$C667*'Business Case'!E13*$D667-'Business Case'!E14*$E667))*'Business Case'!$B$7-'Business Case'!$B$8*(('Business Case'!E11*$C667*'Business Case'!E12*$B667)-('Business Case'!D11*$C667*'Business Case'!D12*$B667))-'Business Case'!E15*$F667</f>
        <v>543983928.120687</v>
      </c>
      <c r="L667" s="53" t="n">
        <f aca="false">(('Business Case'!F11*$C667*'Business Case'!F12*$B667)-'Business Case'!F11*$C667*'Business Case'!F13*$D667-'Business Case'!F14*$E667)-MAX(0,(('Business Case'!F11*$C667*'Business Case'!F12*$B667)-'Business Case'!F11*$C667*'Business Case'!F13*$D667-'Business Case'!F14*$E667))*'Business Case'!$B$7-'Business Case'!$B$8*(('Business Case'!F11*$C667*'Business Case'!F12*$B667)-('Business Case'!E11*$C667*'Business Case'!E12*$B667))-'Business Case'!F15*$F667</f>
        <v>662606406.826016</v>
      </c>
      <c r="M667" s="53" t="n">
        <f aca="false">(('Business Case'!G11*$C667*'Business Case'!G12*$B667)-'Business Case'!G11*$C667*'Business Case'!G13*$D667-'Business Case'!G14*$E667)-MAX(0,(('Business Case'!G11*$C667*'Business Case'!G12*$B667)-'Business Case'!G11*$C667*'Business Case'!G13*$D667-'Business Case'!G14*$E667))*'Business Case'!$B$7-'Business Case'!$B$8*(('Business Case'!G11*$C667*'Business Case'!G12*$B667)-('Business Case'!F11*$C667*'Business Case'!F12*$B667))-'Business Case'!G15*$F667+'Business Case'!$B$8*('Business Case'!G11*$C667*'Business Case'!G12*$B667)</f>
        <v>837901815.920954</v>
      </c>
      <c r="N667" s="53" t="n">
        <f aca="false">IF(COUNT('Business Case'!B11:G11)=0,"",H667+NPV(G667,I667:M667))</f>
        <v>-417393862.088679</v>
      </c>
      <c r="P667" s="54" t="n">
        <f aca="true">RAND()</f>
        <v>0.101786618596746</v>
      </c>
      <c r="Q667" s="54" t="n">
        <f aca="true">RAND()</f>
        <v>0.410295220336616</v>
      </c>
      <c r="R667" s="54" t="n">
        <f aca="true">RAND()</f>
        <v>0.348909974043134</v>
      </c>
      <c r="S667" s="54" t="n">
        <f aca="true">RAND()</f>
        <v>0.0975117298595046</v>
      </c>
      <c r="T667" s="54" t="n">
        <f aca="true">RAND()</f>
        <v>0.204466800619319</v>
      </c>
      <c r="U667" s="54" t="n">
        <f aca="true">RAND()</f>
        <v>0.0534146379138841</v>
      </c>
    </row>
    <row r="668" customFormat="false" ht="15" hidden="false" customHeight="false" outlineLevel="0" collapsed="false">
      <c r="A668" s="50" t="n">
        <v>588</v>
      </c>
      <c r="B668" s="51" t="n">
        <f aca="false">1+IF($G$6=$E$6,$F$6,IF(P668&lt;($F$6-$E$6)/($G$6-$E$6),$E$6+SQRT(P668*($G$6-$E$6)*($F$6-$E$6)),$G$6-SQRT((1-P668)*($G$6-$E$6)*($G$6-$F$6))))</f>
        <v>0.97959072541255</v>
      </c>
      <c r="C668" s="51" t="n">
        <f aca="false">1+IF($G$7=$E$7,$F$7,IF(Q668&lt;($F$7-$E$7)/($G$7-$E$7),$E$7+SQRT(Q668*($G$7-$E$7)*($F$7-$E$7)),$G$7-SQRT((1-Q668)*($G$7-$E$7)*($G$7-$F$7))))</f>
        <v>1.09035142434809</v>
      </c>
      <c r="D668" s="51" t="n">
        <f aca="false">1+IF($G$8=$E$8,$F$8,IF(R668&lt;($F$8-$E$8)/($G$8-$E$8),$E$8+SQRT(R668*($G$8-$E$8)*($F$8-$E$8)),$G$8-SQRT((1-R668)*($G$8-$E$8)*($G$8-$F$8))))</f>
        <v>1.02321177536449</v>
      </c>
      <c r="E668" s="51" t="n">
        <f aca="false">1+IF($G$9=$E$9,$F$9,IF(S668&lt;($F$9-$E$9)/($G$9-$E$9),$E$9+SQRT(S668*($G$9-$E$9)*($F$9-$E$9)),$G$9-SQRT((1-S668)*($G$9-$E$9)*($G$9-$F$9))))</f>
        <v>1.0287293205553</v>
      </c>
      <c r="F668" s="51" t="n">
        <f aca="false">1+IF($G$10=$E$10,$F$10,IF(T668&lt;($F$10-$E$10)/($G$10-$E$10),$E$10+SQRT(T668*($G$10-$E$10)*($F$10-$E$10)),$G$10-SQRT((1-T668)*($G$10-$E$10)*($G$10-$F$10))))</f>
        <v>1.07414885441167</v>
      </c>
      <c r="G668" s="52" t="n">
        <f aca="false">IF($G$11=$E$11,$F$11,IF(U668&lt;($F$11-$E$11)/($G$11-$E$11),$E$11+SQRT(U668*($G$11-$E$11)*($F$11-$E$11)),$G$11-SQRT((1-U668)*($G$11-$E$11)*($G$11-$F$11))))</f>
        <v>0.0996011041579994</v>
      </c>
      <c r="H668" s="53" t="n">
        <f aca="false">(('Business Case'!B11*$C668*'Business Case'!B12*$B668)-'Business Case'!B11*$C668*'Business Case'!B13*$D668-'Business Case'!B14*$E668)-MAX(0,(('Business Case'!B11*$C668*'Business Case'!B12*$B668)-'Business Case'!B11*$C668*'Business Case'!B13*$D668-'Business Case'!B14*$E668))*'Business Case'!$B$7-'Business Case'!$B$8*('Business Case'!B11*$C668*'Business Case'!B12*$B668)-'Business Case'!B15*$F668</f>
        <v>-2148297708.82334</v>
      </c>
      <c r="I668" s="53" t="n">
        <f aca="false">(('Business Case'!C11*$C668*'Business Case'!C12*$B668)-'Business Case'!C11*$C668*'Business Case'!C13*$D668-'Business Case'!C14*$E668)-MAX(0,(('Business Case'!C11*$C668*'Business Case'!C12*$B668)-'Business Case'!C11*$C668*'Business Case'!C13*$D668-'Business Case'!C14*$E668))*'Business Case'!$B$7-'Business Case'!$B$8*(('Business Case'!C11*$C668*'Business Case'!C12*$B668)-('Business Case'!B11*$C668*'Business Case'!B12*$B668))-'Business Case'!C15*$F668</f>
        <v>-5350001.08577642</v>
      </c>
      <c r="J668" s="53" t="n">
        <f aca="false">(('Business Case'!D11*$C668*'Business Case'!D12*$B668)-'Business Case'!D11*$C668*'Business Case'!D13*$D668-'Business Case'!D14*$E668)-MAX(0,(('Business Case'!D11*$C668*'Business Case'!D12*$B668)-'Business Case'!D11*$C668*'Business Case'!D13*$D668-'Business Case'!D14*$E668))*'Business Case'!$B$7-'Business Case'!$B$8*(('Business Case'!D11*$C668*'Business Case'!D12*$B668)-('Business Case'!C11*$C668*'Business Case'!C12*$B668))-'Business Case'!D15*$F668</f>
        <v>298370400.371792</v>
      </c>
      <c r="K668" s="53" t="n">
        <f aca="false">(('Business Case'!E11*$C668*'Business Case'!E12*$B668)-'Business Case'!E11*$C668*'Business Case'!E13*$D668-'Business Case'!E14*$E668)-MAX(0,(('Business Case'!E11*$C668*'Business Case'!E12*$B668)-'Business Case'!E11*$C668*'Business Case'!E13*$D668-'Business Case'!E14*$E668))*'Business Case'!$B$7-'Business Case'!$B$8*(('Business Case'!E11*$C668*'Business Case'!E12*$B668)-('Business Case'!D11*$C668*'Business Case'!D12*$B668))-'Business Case'!E15*$F668</f>
        <v>655798244.549944</v>
      </c>
      <c r="L668" s="53" t="n">
        <f aca="false">(('Business Case'!F11*$C668*'Business Case'!F12*$B668)-'Business Case'!F11*$C668*'Business Case'!F13*$D668-'Business Case'!F14*$E668)-MAX(0,(('Business Case'!F11*$C668*'Business Case'!F12*$B668)-'Business Case'!F11*$C668*'Business Case'!F13*$D668-'Business Case'!F14*$E668))*'Business Case'!$B$7-'Business Case'!$B$8*(('Business Case'!F11*$C668*'Business Case'!F12*$B668)-('Business Case'!E11*$C668*'Business Case'!E12*$B668))-'Business Case'!F15*$F668</f>
        <v>793951850.181943</v>
      </c>
      <c r="M668" s="53" t="n">
        <f aca="false">(('Business Case'!G11*$C668*'Business Case'!G12*$B668)-'Business Case'!G11*$C668*'Business Case'!G13*$D668-'Business Case'!G14*$E668)-MAX(0,(('Business Case'!G11*$C668*'Business Case'!G12*$B668)-'Business Case'!G11*$C668*'Business Case'!G13*$D668-'Business Case'!G14*$E668))*'Business Case'!$B$7-'Business Case'!$B$8*(('Business Case'!G11*$C668*'Business Case'!G12*$B668)-('Business Case'!F11*$C668*'Business Case'!F12*$B668))-'Business Case'!G15*$F668+'Business Case'!$B$8*('Business Case'!G11*$C668*'Business Case'!G12*$B668)</f>
        <v>996975945.152394</v>
      </c>
      <c r="N668" s="53" t="n">
        <f aca="false">IF(COUNT('Business Case'!B11:G11)=0,"",H668+NPV(G668,I668:M668))</f>
        <v>-249915353.284786</v>
      </c>
      <c r="P668" s="54" t="n">
        <f aca="true">RAND()</f>
        <v>0.36990151616604</v>
      </c>
      <c r="Q668" s="54" t="n">
        <f aca="true">RAND()</f>
        <v>0.932229474718053</v>
      </c>
      <c r="R668" s="54" t="n">
        <f aca="true">RAND()</f>
        <v>0.689913225264143</v>
      </c>
      <c r="S668" s="54" t="n">
        <f aca="true">RAND()</f>
        <v>0.661366016766073</v>
      </c>
      <c r="T668" s="54" t="n">
        <f aca="true">RAND()</f>
        <v>0.683229783082104</v>
      </c>
      <c r="U668" s="54" t="n">
        <f aca="true">RAND()</f>
        <v>0.307270670175842</v>
      </c>
    </row>
    <row r="669" customFormat="false" ht="15" hidden="false" customHeight="false" outlineLevel="0" collapsed="false">
      <c r="A669" s="50" t="n">
        <v>589</v>
      </c>
      <c r="B669" s="51" t="n">
        <f aca="false">1+IF($G$6=$E$6,$F$6,IF(P669&lt;($F$6-$E$6)/($G$6-$E$6),$E$6+SQRT(P669*($G$6-$E$6)*($F$6-$E$6)),$G$6-SQRT((1-P669)*($G$6-$E$6)*($G$6-$F$6))))</f>
        <v>0.942471551674684</v>
      </c>
      <c r="C669" s="51" t="n">
        <f aca="false">1+IF($G$7=$E$7,$F$7,IF(Q669&lt;($F$7-$E$7)/($G$7-$E$7),$E$7+SQRT(Q669*($G$7-$E$7)*($F$7-$E$7)),$G$7-SQRT((1-Q669)*($G$7-$E$7)*($G$7-$F$7))))</f>
        <v>0.946450950481856</v>
      </c>
      <c r="D669" s="51" t="n">
        <f aca="false">1+IF($G$8=$E$8,$F$8,IF(R669&lt;($F$8-$E$8)/($G$8-$E$8),$E$8+SQRT(R669*($G$8-$E$8)*($F$8-$E$8)),$G$8-SQRT((1-R669)*($G$8-$E$8)*($G$8-$F$8))))</f>
        <v>0.992044421175525</v>
      </c>
      <c r="E669" s="51" t="n">
        <f aca="false">1+IF($G$9=$E$9,$F$9,IF(S669&lt;($F$9-$E$9)/($G$9-$E$9),$E$9+SQRT(S669*($G$9-$E$9)*($F$9-$E$9)),$G$9-SQRT((1-S669)*($G$9-$E$9)*($G$9-$F$9))))</f>
        <v>0.972160179105484</v>
      </c>
      <c r="F669" s="51" t="n">
        <f aca="false">1+IF($G$10=$E$10,$F$10,IF(T669&lt;($F$10-$E$10)/($G$10-$E$10),$E$10+SQRT(T669*($G$10-$E$10)*($F$10-$E$10)),$G$10-SQRT((1-T669)*($G$10-$E$10)*($G$10-$F$10))))</f>
        <v>1.06459808972119</v>
      </c>
      <c r="G669" s="52" t="n">
        <f aca="false">IF($G$11=$E$11,$F$11,IF(U669&lt;($F$11-$E$11)/($G$11-$E$11),$E$11+SQRT(U669*($G$11-$E$11)*($F$11-$E$11)),$G$11-SQRT((1-U669)*($G$11-$E$11)*($G$11-$F$11))))</f>
        <v>0.111897755419631</v>
      </c>
      <c r="H669" s="53" t="n">
        <f aca="false">(('Business Case'!B11*$C669*'Business Case'!B12*$B669)-'Business Case'!B11*$C669*'Business Case'!B13*$D669-'Business Case'!B14*$E669)-MAX(0,(('Business Case'!B11*$C669*'Business Case'!B12*$B669)-'Business Case'!B11*$C669*'Business Case'!B13*$D669-'Business Case'!B14*$E669))*'Business Case'!$B$7-'Business Case'!$B$8*('Business Case'!B11*$C669*'Business Case'!B12*$B669)-'Business Case'!B15*$F669</f>
        <v>-2129196179.44238</v>
      </c>
      <c r="I669" s="53" t="n">
        <f aca="false">(('Business Case'!C11*$C669*'Business Case'!C12*$B669)-'Business Case'!C11*$C669*'Business Case'!C13*$D669-'Business Case'!C14*$E669)-MAX(0,(('Business Case'!C11*$C669*'Business Case'!C12*$B669)-'Business Case'!C11*$C669*'Business Case'!C13*$D669-'Business Case'!C14*$E669))*'Business Case'!$B$7-'Business Case'!$B$8*(('Business Case'!C11*$C669*'Business Case'!C12*$B669)-('Business Case'!B11*$C669*'Business Case'!B12*$B669))-'Business Case'!C15*$F669</f>
        <v>-40980302.7633476</v>
      </c>
      <c r="J669" s="53" t="n">
        <f aca="false">(('Business Case'!D11*$C669*'Business Case'!D12*$B669)-'Business Case'!D11*$C669*'Business Case'!D13*$D669-'Business Case'!D14*$E669)-MAX(0,(('Business Case'!D11*$C669*'Business Case'!D12*$B669)-'Business Case'!D11*$C669*'Business Case'!D13*$D669-'Business Case'!D14*$E669))*'Business Case'!$B$7-'Business Case'!$B$8*(('Business Case'!D11*$C669*'Business Case'!D12*$B669)-('Business Case'!C11*$C669*'Business Case'!C12*$B669))-'Business Case'!D15*$F669</f>
        <v>208981821.404882</v>
      </c>
      <c r="K669" s="53" t="n">
        <f aca="false">(('Business Case'!E11*$C669*'Business Case'!E12*$B669)-'Business Case'!E11*$C669*'Business Case'!E13*$D669-'Business Case'!E14*$E669)-MAX(0,(('Business Case'!E11*$C669*'Business Case'!E12*$B669)-'Business Case'!E11*$C669*'Business Case'!E13*$D669-'Business Case'!E14*$E669))*'Business Case'!$B$7-'Business Case'!$B$8*(('Business Case'!E11*$C669*'Business Case'!E12*$B669)-('Business Case'!D11*$C669*'Business Case'!D12*$B669))-'Business Case'!E15*$F669</f>
        <v>512173850.05917</v>
      </c>
      <c r="L669" s="53" t="n">
        <f aca="false">(('Business Case'!F11*$C669*'Business Case'!F12*$B669)-'Business Case'!F11*$C669*'Business Case'!F13*$D669-'Business Case'!F14*$E669)-MAX(0,(('Business Case'!F11*$C669*'Business Case'!F12*$B669)-'Business Case'!F11*$C669*'Business Case'!F13*$D669-'Business Case'!F14*$E669))*'Business Case'!$B$7-'Business Case'!$B$8*(('Business Case'!F11*$C669*'Business Case'!F12*$B669)-('Business Case'!E11*$C669*'Business Case'!E12*$B669))-'Business Case'!F15*$F669</f>
        <v>626322185.109019</v>
      </c>
      <c r="M669" s="53" t="n">
        <f aca="false">(('Business Case'!G11*$C669*'Business Case'!G12*$B669)-'Business Case'!G11*$C669*'Business Case'!G13*$D669-'Business Case'!G14*$E669)-MAX(0,(('Business Case'!G11*$C669*'Business Case'!G12*$B669)-'Business Case'!G11*$C669*'Business Case'!G13*$D669-'Business Case'!G14*$E669))*'Business Case'!$B$7-'Business Case'!$B$8*(('Business Case'!G11*$C669*'Business Case'!G12*$B669)-('Business Case'!F11*$C669*'Business Case'!F12*$B669))-'Business Case'!G15*$F669+'Business Case'!$B$8*('Business Case'!G11*$C669*'Business Case'!G12*$B669)</f>
        <v>795874133.574766</v>
      </c>
      <c r="N669" s="53" t="n">
        <f aca="false">IF(COUNT('Business Case'!B11:G11)=0,"",H669+NPV(G669,I669:M669))</f>
        <v>-746369712.427225</v>
      </c>
      <c r="P669" s="54" t="n">
        <f aca="true">RAND()</f>
        <v>0.0526011077779161</v>
      </c>
      <c r="Q669" s="54" t="n">
        <f aca="true">RAND()</f>
        <v>0.306398298529127</v>
      </c>
      <c r="R669" s="54" t="n">
        <f aca="true">RAND()</f>
        <v>0.271958977228453</v>
      </c>
      <c r="S669" s="54" t="n">
        <f aca="true">RAND()</f>
        <v>0.0654764717316162</v>
      </c>
      <c r="T669" s="54" t="n">
        <f aca="true">RAND()</f>
        <v>0.633326453856969</v>
      </c>
      <c r="U669" s="54" t="n">
        <f aca="true">RAND()</f>
        <v>0.890589387933122</v>
      </c>
    </row>
    <row r="670" customFormat="false" ht="15" hidden="false" customHeight="false" outlineLevel="0" collapsed="false">
      <c r="A670" s="50" t="n">
        <v>590</v>
      </c>
      <c r="B670" s="51" t="n">
        <f aca="false">1+IF($G$6=$E$6,$F$6,IF(P670&lt;($F$6-$E$6)/($G$6-$E$6),$E$6+SQRT(P670*($G$6-$E$6)*($F$6-$E$6)),$G$6-SQRT((1-P670)*($G$6-$E$6)*($G$6-$F$6))))</f>
        <v>1.00487902875764</v>
      </c>
      <c r="C670" s="51" t="n">
        <f aca="false">1+IF($G$7=$E$7,$F$7,IF(Q670&lt;($F$7-$E$7)/($G$7-$E$7),$E$7+SQRT(Q670*($G$7-$E$7)*($F$7-$E$7)),$G$7-SQRT((1-Q670)*($G$7-$E$7)*($G$7-$F$7))))</f>
        <v>0.978631686121337</v>
      </c>
      <c r="D670" s="51" t="n">
        <f aca="false">1+IF($G$8=$E$8,$F$8,IF(R670&lt;($F$8-$E$8)/($G$8-$E$8),$E$8+SQRT(R670*($G$8-$E$8)*($F$8-$E$8)),$G$8-SQRT((1-R670)*($G$8-$E$8)*($G$8-$F$8))))</f>
        <v>0.988731411134366</v>
      </c>
      <c r="E670" s="51" t="n">
        <f aca="false">1+IF($G$9=$E$9,$F$9,IF(S670&lt;($F$9-$E$9)/($G$9-$E$9),$E$9+SQRT(S670*($G$9-$E$9)*($F$9-$E$9)),$G$9-SQRT((1-S670)*($G$9-$E$9)*($G$9-$F$9))))</f>
        <v>1.00776933149281</v>
      </c>
      <c r="F670" s="51" t="n">
        <f aca="false">1+IF($G$10=$E$10,$F$10,IF(T670&lt;($F$10-$E$10)/($G$10-$E$10),$E$10+SQRT(T670*($G$10-$E$10)*($F$10-$E$10)),$G$10-SQRT((1-T670)*($G$10-$E$10)*($G$10-$F$10))))</f>
        <v>1.0520122772559</v>
      </c>
      <c r="G670" s="52" t="n">
        <f aca="false">IF($G$11=$E$11,$F$11,IF(U670&lt;($F$11-$E$11)/($G$11-$E$11),$E$11+SQRT(U670*($G$11-$E$11)*($F$11-$E$11)),$G$11-SQRT((1-U670)*($G$11-$E$11)*($G$11-$F$11))))</f>
        <v>0.100534069193242</v>
      </c>
      <c r="H670" s="53" t="n">
        <f aca="false">(('Business Case'!B11*$C670*'Business Case'!B12*$B670)-'Business Case'!B11*$C670*'Business Case'!B13*$D670-'Business Case'!B14*$E670)-MAX(0,(('Business Case'!B11*$C670*'Business Case'!B12*$B670)-'Business Case'!B11*$C670*'Business Case'!B13*$D670-'Business Case'!B14*$E670))*'Business Case'!$B$7-'Business Case'!$B$8*('Business Case'!B11*$C670*'Business Case'!B12*$B670)-'Business Case'!B15*$F670</f>
        <v>-2104024554.5118</v>
      </c>
      <c r="I670" s="53" t="n">
        <f aca="false">(('Business Case'!C11*$C670*'Business Case'!C12*$B670)-'Business Case'!C11*$C670*'Business Case'!C13*$D670-'Business Case'!C14*$E670)-MAX(0,(('Business Case'!C11*$C670*'Business Case'!C12*$B670)-'Business Case'!C11*$C670*'Business Case'!C13*$D670-'Business Case'!C14*$E670))*'Business Case'!$B$7-'Business Case'!$B$8*(('Business Case'!C11*$C670*'Business Case'!C12*$B670)-('Business Case'!B11*$C670*'Business Case'!B12*$B670))-'Business Case'!C15*$F670</f>
        <v>10659094.775952</v>
      </c>
      <c r="J670" s="53" t="n">
        <f aca="false">(('Business Case'!D11*$C670*'Business Case'!D12*$B670)-'Business Case'!D11*$C670*'Business Case'!D13*$D670-'Business Case'!D14*$E670)-MAX(0,(('Business Case'!D11*$C670*'Business Case'!D12*$B670)-'Business Case'!D11*$C670*'Business Case'!D13*$D670-'Business Case'!D14*$E670))*'Business Case'!$B$7-'Business Case'!$B$8*(('Business Case'!D11*$C670*'Business Case'!D12*$B670)-('Business Case'!C11*$C670*'Business Case'!C12*$B670))-'Business Case'!D15*$F670</f>
        <v>320804007.012026</v>
      </c>
      <c r="K670" s="53" t="n">
        <f aca="false">(('Business Case'!E11*$C670*'Business Case'!E12*$B670)-'Business Case'!E11*$C670*'Business Case'!E13*$D670-'Business Case'!E14*$E670)-MAX(0,(('Business Case'!E11*$C670*'Business Case'!E12*$B670)-'Business Case'!E11*$C670*'Business Case'!E13*$D670-'Business Case'!E14*$E670))*'Business Case'!$B$7-'Business Case'!$B$8*(('Business Case'!E11*$C670*'Business Case'!E12*$B670)-('Business Case'!D11*$C670*'Business Case'!D12*$B670))-'Business Case'!E15*$F670</f>
        <v>683549533.110895</v>
      </c>
      <c r="L670" s="53" t="n">
        <f aca="false">(('Business Case'!F11*$C670*'Business Case'!F12*$B670)-'Business Case'!F11*$C670*'Business Case'!F13*$D670-'Business Case'!F14*$E670)-MAX(0,(('Business Case'!F11*$C670*'Business Case'!F12*$B670)-'Business Case'!F11*$C670*'Business Case'!F13*$D670-'Business Case'!F14*$E670))*'Business Case'!$B$7-'Business Case'!$B$8*(('Business Case'!F11*$C670*'Business Case'!F12*$B670)-('Business Case'!E11*$C670*'Business Case'!E12*$B670))-'Business Case'!F15*$F670</f>
        <v>820917697.720422</v>
      </c>
      <c r="M670" s="53" t="n">
        <f aca="false">(('Business Case'!G11*$C670*'Business Case'!G12*$B670)-'Business Case'!G11*$C670*'Business Case'!G13*$D670-'Business Case'!G14*$E670)-MAX(0,(('Business Case'!G11*$C670*'Business Case'!G12*$B670)-'Business Case'!G11*$C670*'Business Case'!G13*$D670-'Business Case'!G14*$E670))*'Business Case'!$B$7-'Business Case'!$B$8*(('Business Case'!G11*$C670*'Business Case'!G12*$B670)-('Business Case'!F11*$C670*'Business Case'!F12*$B670))-'Business Case'!G15*$F670+'Business Case'!$B$8*('Business Case'!G11*$C670*'Business Case'!G12*$B670)</f>
        <v>1007843597.30668</v>
      </c>
      <c r="N670" s="53" t="n">
        <f aca="false">IF(COUNT('Business Case'!B11:G11)=0,"",H670+NPV(G670,I670:M670))</f>
        <v>-132770708.018505</v>
      </c>
      <c r="P670" s="54" t="n">
        <f aca="true">RAND()</f>
        <v>0.743024453956969</v>
      </c>
      <c r="Q670" s="54" t="n">
        <f aca="true">RAND()</f>
        <v>0.455846846950743</v>
      </c>
      <c r="R670" s="54" t="n">
        <f aca="true">RAND()</f>
        <v>0.230788032070658</v>
      </c>
      <c r="S670" s="54" t="n">
        <f aca="true">RAND()</f>
        <v>0.432900252447839</v>
      </c>
      <c r="T670" s="54" t="n">
        <f aca="true">RAND()</f>
        <v>0.561992678340314</v>
      </c>
      <c r="U670" s="54" t="n">
        <f aca="true">RAND()</f>
        <v>0.368462563044213</v>
      </c>
    </row>
    <row r="671" customFormat="false" ht="15" hidden="false" customHeight="false" outlineLevel="0" collapsed="false">
      <c r="A671" s="50" t="n">
        <v>591</v>
      </c>
      <c r="B671" s="51" t="n">
        <f aca="false">1+IF($G$6=$E$6,$F$6,IF(P671&lt;($F$6-$E$6)/($G$6-$E$6),$E$6+SQRT(P671*($G$6-$E$6)*($F$6-$E$6)),$G$6-SQRT((1-P671)*($G$6-$E$6)*($G$6-$F$6))))</f>
        <v>0.985168905779133</v>
      </c>
      <c r="C671" s="51" t="n">
        <f aca="false">1+IF($G$7=$E$7,$F$7,IF(Q671&lt;($F$7-$E$7)/($G$7-$E$7),$E$7+SQRT(Q671*($G$7-$E$7)*($F$7-$E$7)),$G$7-SQRT((1-Q671)*($G$7-$E$7)*($G$7-$F$7))))</f>
        <v>0.91412254732823</v>
      </c>
      <c r="D671" s="51" t="n">
        <f aca="false">1+IF($G$8=$E$8,$F$8,IF(R671&lt;($F$8-$E$8)/($G$8-$E$8),$E$8+SQRT(R671*($G$8-$E$8)*($F$8-$E$8)),$G$8-SQRT((1-R671)*($G$8-$E$8)*($G$8-$F$8))))</f>
        <v>1.07351039171516</v>
      </c>
      <c r="E671" s="51" t="n">
        <f aca="false">1+IF($G$9=$E$9,$F$9,IF(S671&lt;($F$9-$E$9)/($G$9-$E$9),$E$9+SQRT(S671*($G$9-$E$9)*($F$9-$E$9)),$G$9-SQRT((1-S671)*($G$9-$E$9)*($G$9-$F$9))))</f>
        <v>1.02945394855712</v>
      </c>
      <c r="F671" s="51" t="n">
        <f aca="false">1+IF($G$10=$E$10,$F$10,IF(T671&lt;($F$10-$E$10)/($G$10-$E$10),$E$10+SQRT(T671*($G$10-$E$10)*($F$10-$E$10)),$G$10-SQRT((1-T671)*($G$10-$E$10)*($G$10-$F$10))))</f>
        <v>1.00052844897829</v>
      </c>
      <c r="G671" s="52" t="n">
        <f aca="false">IF($G$11=$E$11,$F$11,IF(U671&lt;($F$11-$E$11)/($G$11-$E$11),$E$11+SQRT(U671*($G$11-$E$11)*($F$11-$E$11)),$G$11-SQRT((1-U671)*($G$11-$E$11)*($G$11-$F$11))))</f>
        <v>0.102242924624158</v>
      </c>
      <c r="H671" s="53" t="n">
        <f aca="false">(('Business Case'!B11*$C671*'Business Case'!B12*$B671)-'Business Case'!B11*$C671*'Business Case'!B13*$D671-'Business Case'!B14*$E671)-MAX(0,(('Business Case'!B11*$C671*'Business Case'!B12*$B671)-'Business Case'!B11*$C671*'Business Case'!B13*$D671-'Business Case'!B14*$E671))*'Business Case'!$B$7-'Business Case'!$B$8*('Business Case'!B11*$C671*'Business Case'!B12*$B671)-'Business Case'!B15*$F671</f>
        <v>-2001056897.95659</v>
      </c>
      <c r="I671" s="53" t="n">
        <f aca="false">(('Business Case'!C11*$C671*'Business Case'!C12*$B671)-'Business Case'!C11*$C671*'Business Case'!C13*$D671-'Business Case'!C14*$E671)-MAX(0,(('Business Case'!C11*$C671*'Business Case'!C12*$B671)-'Business Case'!C11*$C671*'Business Case'!C13*$D671-'Business Case'!C14*$E671))*'Business Case'!$B$7-'Business Case'!$B$8*(('Business Case'!C11*$C671*'Business Case'!C12*$B671)-('Business Case'!B11*$C671*'Business Case'!B12*$B671))-'Business Case'!C15*$F671</f>
        <v>-57856188.108753</v>
      </c>
      <c r="J671" s="53" t="n">
        <f aca="false">(('Business Case'!D11*$C671*'Business Case'!D12*$B671)-'Business Case'!D11*$C671*'Business Case'!D13*$D671-'Business Case'!D14*$E671)-MAX(0,(('Business Case'!D11*$C671*'Business Case'!D12*$B671)-'Business Case'!D11*$C671*'Business Case'!D13*$D671-'Business Case'!D14*$E671))*'Business Case'!$B$7-'Business Case'!$B$8*(('Business Case'!D11*$C671*'Business Case'!D12*$B671)-('Business Case'!C11*$C671*'Business Case'!C12*$B671))-'Business Case'!D15*$F671</f>
        <v>177414115.451962</v>
      </c>
      <c r="K671" s="53" t="n">
        <f aca="false">(('Business Case'!E11*$C671*'Business Case'!E12*$B671)-'Business Case'!E11*$C671*'Business Case'!E13*$D671-'Business Case'!E14*$E671)-MAX(0,(('Business Case'!E11*$C671*'Business Case'!E12*$B671)-'Business Case'!E11*$C671*'Business Case'!E13*$D671-'Business Case'!E14*$E671))*'Business Case'!$B$7-'Business Case'!$B$8*(('Business Case'!E11*$C671*'Business Case'!E12*$B671)-('Business Case'!D11*$C671*'Business Case'!D12*$B671))-'Business Case'!E15*$F671</f>
        <v>462710841.461592</v>
      </c>
      <c r="L671" s="53" t="n">
        <f aca="false">(('Business Case'!F11*$C671*'Business Case'!F12*$B671)-'Business Case'!F11*$C671*'Business Case'!F13*$D671-'Business Case'!F14*$E671)-MAX(0,(('Business Case'!F11*$C671*'Business Case'!F12*$B671)-'Business Case'!F11*$C671*'Business Case'!F13*$D671-'Business Case'!F14*$E671))*'Business Case'!$B$7-'Business Case'!$B$8*(('Business Case'!F11*$C671*'Business Case'!F12*$B671)-('Business Case'!E11*$C671*'Business Case'!E12*$B671))-'Business Case'!F15*$F671</f>
        <v>572257806.17304</v>
      </c>
      <c r="M671" s="53" t="n">
        <f aca="false">(('Business Case'!G11*$C671*'Business Case'!G12*$B671)-'Business Case'!G11*$C671*'Business Case'!G13*$D671-'Business Case'!G14*$E671)-MAX(0,(('Business Case'!G11*$C671*'Business Case'!G12*$B671)-'Business Case'!G11*$C671*'Business Case'!G13*$D671-'Business Case'!G14*$E671))*'Business Case'!$B$7-'Business Case'!$B$8*(('Business Case'!G11*$C671*'Business Case'!G12*$B671)-('Business Case'!F11*$C671*'Business Case'!F12*$B671))-'Business Case'!G15*$F671+'Business Case'!$B$8*('Business Case'!G11*$C671*'Business Case'!G12*$B671)</f>
        <v>743437222.2247</v>
      </c>
      <c r="N671" s="53" t="n">
        <f aca="false">IF(COUNT('Business Case'!B11:G11)=0,"",H671+NPV(G671,I671:M671))</f>
        <v>-717369154.528572</v>
      </c>
      <c r="P671" s="54" t="n">
        <f aca="true">RAND()</f>
        <v>0.442394404213497</v>
      </c>
      <c r="Q671" s="54" t="n">
        <f aca="true">RAND()</f>
        <v>0.186056511552629</v>
      </c>
      <c r="R671" s="54" t="n">
        <f aca="true">RAND()</f>
        <v>0.995950479260513</v>
      </c>
      <c r="S671" s="54" t="n">
        <f aca="true">RAND()</f>
        <v>0.668216975054541</v>
      </c>
      <c r="T671" s="54" t="n">
        <f aca="true">RAND()</f>
        <v>0.2042220066599</v>
      </c>
      <c r="U671" s="54" t="n">
        <f aca="true">RAND()</f>
        <v>0.474477123494467</v>
      </c>
    </row>
    <row r="672" customFormat="false" ht="15" hidden="false" customHeight="false" outlineLevel="0" collapsed="false">
      <c r="A672" s="50" t="n">
        <v>592</v>
      </c>
      <c r="B672" s="51" t="n">
        <f aca="false">1+IF($G$6=$E$6,$F$6,IF(P672&lt;($F$6-$E$6)/($G$6-$E$6),$E$6+SQRT(P672*($G$6-$E$6)*($F$6-$E$6)),$G$6-SQRT((1-P672)*($G$6-$E$6)*($G$6-$F$6))))</f>
        <v>0.948192418851361</v>
      </c>
      <c r="C672" s="51" t="n">
        <f aca="false">1+IF($G$7=$E$7,$F$7,IF(Q672&lt;($F$7-$E$7)/($G$7-$E$7),$E$7+SQRT(Q672*($G$7-$E$7)*($F$7-$E$7)),$G$7-SQRT((1-Q672)*($G$7-$E$7)*($G$7-$F$7))))</f>
        <v>1.11271475074293</v>
      </c>
      <c r="D672" s="51" t="n">
        <f aca="false">1+IF($G$8=$E$8,$F$8,IF(R672&lt;($F$8-$E$8)/($G$8-$E$8),$E$8+SQRT(R672*($G$8-$E$8)*($F$8-$E$8)),$G$8-SQRT((1-R672)*($G$8-$E$8)*($G$8-$F$8))))</f>
        <v>0.958468315273721</v>
      </c>
      <c r="E672" s="51" t="n">
        <f aca="false">1+IF($G$9=$E$9,$F$9,IF(S672&lt;($F$9-$E$9)/($G$9-$E$9),$E$9+SQRT(S672*($G$9-$E$9)*($F$9-$E$9)),$G$9-SQRT((1-S672)*($G$9-$E$9)*($G$9-$F$9))))</f>
        <v>1.05823050401228</v>
      </c>
      <c r="F672" s="51" t="n">
        <f aca="false">1+IF($G$10=$E$10,$F$10,IF(T672&lt;($F$10-$E$10)/($G$10-$E$10),$E$10+SQRT(T672*($G$10-$E$10)*($F$10-$E$10)),$G$10-SQRT((1-T672)*($G$10-$E$10)*($G$10-$F$10))))</f>
        <v>1.00510809310925</v>
      </c>
      <c r="G672" s="52" t="n">
        <f aca="false">IF($G$11=$E$11,$F$11,IF(U672&lt;($F$11-$E$11)/($G$11-$E$11),$E$11+SQRT(U672*($G$11-$E$11)*($F$11-$E$11)),$G$11-SQRT((1-U672)*($G$11-$E$11)*($G$11-$F$11))))</f>
        <v>0.110660383686184</v>
      </c>
      <c r="H672" s="53" t="n">
        <f aca="false">(('Business Case'!B11*$C672*'Business Case'!B12*$B672)-'Business Case'!B11*$C672*'Business Case'!B13*$D672-'Business Case'!B14*$E672)-MAX(0,(('Business Case'!B11*$C672*'Business Case'!B12*$B672)-'Business Case'!B11*$C672*'Business Case'!B13*$D672-'Business Case'!B14*$E672))*'Business Case'!$B$7-'Business Case'!$B$8*('Business Case'!B11*$C672*'Business Case'!B12*$B672)-'Business Case'!B15*$F672</f>
        <v>-2010216186.21849</v>
      </c>
      <c r="I672" s="53" t="n">
        <f aca="false">(('Business Case'!C11*$C672*'Business Case'!C12*$B672)-'Business Case'!C11*$C672*'Business Case'!C13*$D672-'Business Case'!C14*$E672)-MAX(0,(('Business Case'!C11*$C672*'Business Case'!C12*$B672)-'Business Case'!C11*$C672*'Business Case'!C13*$D672-'Business Case'!C14*$E672))*'Business Case'!$B$7-'Business Case'!$B$8*(('Business Case'!C11*$C672*'Business Case'!C12*$B672)-('Business Case'!B11*$C672*'Business Case'!B12*$B672))-'Business Case'!C15*$F672</f>
        <v>12526889.6126201</v>
      </c>
      <c r="J672" s="53" t="n">
        <f aca="false">(('Business Case'!D11*$C672*'Business Case'!D12*$B672)-'Business Case'!D11*$C672*'Business Case'!D13*$D672-'Business Case'!D14*$E672)-MAX(0,(('Business Case'!D11*$C672*'Business Case'!D12*$B672)-'Business Case'!D11*$C672*'Business Case'!D13*$D672-'Business Case'!D14*$E672))*'Business Case'!$B$7-'Business Case'!$B$8*(('Business Case'!D11*$C672*'Business Case'!D12*$B672)-('Business Case'!C11*$C672*'Business Case'!C12*$B672))-'Business Case'!D15*$F672</f>
        <v>330739675.308074</v>
      </c>
      <c r="K672" s="53" t="n">
        <f aca="false">(('Business Case'!E11*$C672*'Business Case'!E12*$B672)-'Business Case'!E11*$C672*'Business Case'!E13*$D672-'Business Case'!E14*$E672)-MAX(0,(('Business Case'!E11*$C672*'Business Case'!E12*$B672)-'Business Case'!E11*$C672*'Business Case'!E13*$D672-'Business Case'!E14*$E672))*'Business Case'!$B$7-'Business Case'!$B$8*(('Business Case'!E11*$C672*'Business Case'!E12*$B672)-('Business Case'!D11*$C672*'Business Case'!D12*$B672))-'Business Case'!E15*$F672</f>
        <v>699207865.658992</v>
      </c>
      <c r="L672" s="53" t="n">
        <f aca="false">(('Business Case'!F11*$C672*'Business Case'!F12*$B672)-'Business Case'!F11*$C672*'Business Case'!F13*$D672-'Business Case'!F14*$E672)-MAX(0,(('Business Case'!F11*$C672*'Business Case'!F12*$B672)-'Business Case'!F11*$C672*'Business Case'!F13*$D672-'Business Case'!F14*$E672))*'Business Case'!$B$7-'Business Case'!$B$8*(('Business Case'!F11*$C672*'Business Case'!F12*$B672)-('Business Case'!E11*$C672*'Business Case'!E12*$B672))-'Business Case'!F15*$F672</f>
        <v>841741933.625052</v>
      </c>
      <c r="M672" s="53" t="n">
        <f aca="false">(('Business Case'!G11*$C672*'Business Case'!G12*$B672)-'Business Case'!G11*$C672*'Business Case'!G13*$D672-'Business Case'!G14*$E672)-MAX(0,(('Business Case'!G11*$C672*'Business Case'!G12*$B672)-'Business Case'!G11*$C672*'Business Case'!G13*$D672-'Business Case'!G14*$E672))*'Business Case'!$B$7-'Business Case'!$B$8*(('Business Case'!G11*$C672*'Business Case'!G12*$B672)-('Business Case'!F11*$C672*'Business Case'!F12*$B672))-'Business Case'!G15*$F672+'Business Case'!$B$8*('Business Case'!G11*$C672*'Business Case'!G12*$B672)</f>
        <v>1042289200.33005</v>
      </c>
      <c r="N672" s="53" t="n">
        <f aca="false">IF(COUNT('Business Case'!B11:G11)=0,"",H672+NPV(G672,I672:M672))</f>
        <v>-50602335.0424817</v>
      </c>
      <c r="P672" s="54" t="n">
        <f aca="true">RAND()</f>
        <v>0.0827929667386025</v>
      </c>
      <c r="Q672" s="54" t="n">
        <f aca="true">RAND()</f>
        <v>0.973520194054063</v>
      </c>
      <c r="R672" s="54" t="n">
        <f aca="true">RAND()</f>
        <v>0.0110326713192511</v>
      </c>
      <c r="S672" s="54" t="n">
        <f aca="true">RAND()</f>
        <v>0.883687280328772</v>
      </c>
      <c r="T672" s="54" t="n">
        <f aca="true">RAND()</f>
        <v>0.240342892569724</v>
      </c>
      <c r="U672" s="54" t="n">
        <f aca="true">RAND()</f>
        <v>0.854619278517844</v>
      </c>
    </row>
    <row r="673" customFormat="false" ht="15" hidden="false" customHeight="false" outlineLevel="0" collapsed="false">
      <c r="A673" s="50" t="n">
        <v>593</v>
      </c>
      <c r="B673" s="51" t="n">
        <f aca="false">1+IF($G$6=$E$6,$F$6,IF(P673&lt;($F$6-$E$6)/($G$6-$E$6),$E$6+SQRT(P673*($G$6-$E$6)*($F$6-$E$6)),$G$6-SQRT((1-P673)*($G$6-$E$6)*($G$6-$F$6))))</f>
        <v>1.0082642108695</v>
      </c>
      <c r="C673" s="51" t="n">
        <f aca="false">1+IF($G$7=$E$7,$F$7,IF(Q673&lt;($F$7-$E$7)/($G$7-$E$7),$E$7+SQRT(Q673*($G$7-$E$7)*($F$7-$E$7)),$G$7-SQRT((1-Q673)*($G$7-$E$7)*($G$7-$F$7))))</f>
        <v>1.09944030400596</v>
      </c>
      <c r="D673" s="51" t="n">
        <f aca="false">1+IF($G$8=$E$8,$F$8,IF(R673&lt;($F$8-$E$8)/($G$8-$E$8),$E$8+SQRT(R673*($G$8-$E$8)*($F$8-$E$8)),$G$8-SQRT((1-R673)*($G$8-$E$8)*($G$8-$F$8))))</f>
        <v>1.00147731077019</v>
      </c>
      <c r="E673" s="51" t="n">
        <f aca="false">1+IF($G$9=$E$9,$F$9,IF(S673&lt;($F$9-$E$9)/($G$9-$E$9),$E$9+SQRT(S673*($G$9-$E$9)*($F$9-$E$9)),$G$9-SQRT((1-S673)*($G$9-$E$9)*($G$9-$F$9))))</f>
        <v>1.0164825954074</v>
      </c>
      <c r="F673" s="51" t="n">
        <f aca="false">1+IF($G$10=$E$10,$F$10,IF(T673&lt;($F$10-$E$10)/($G$10-$E$10),$E$10+SQRT(T673*($G$10-$E$10)*($F$10-$E$10)),$G$10-SQRT((1-T673)*($G$10-$E$10)*($G$10-$F$10))))</f>
        <v>0.992942745806224</v>
      </c>
      <c r="G673" s="52" t="n">
        <f aca="false">IF($G$11=$E$11,$F$11,IF(U673&lt;($F$11-$E$11)/($G$11-$E$11),$E$11+SQRT(U673*($G$11-$E$11)*($F$11-$E$11)),$G$11-SQRT((1-U673)*($G$11-$E$11)*($G$11-$F$11))))</f>
        <v>0.111498243958296</v>
      </c>
      <c r="H673" s="53" t="n">
        <f aca="false">(('Business Case'!B11*$C673*'Business Case'!B12*$B673)-'Business Case'!B11*$C673*'Business Case'!B13*$D673-'Business Case'!B14*$E673)-MAX(0,(('Business Case'!B11*$C673*'Business Case'!B12*$B673)-'Business Case'!B11*$C673*'Business Case'!B13*$D673-'Business Case'!B14*$E673))*'Business Case'!$B$7-'Business Case'!$B$8*('Business Case'!B11*$C673*'Business Case'!B12*$B673)-'Business Case'!B15*$F673</f>
        <v>-1985885491.61245</v>
      </c>
      <c r="I673" s="53" t="n">
        <f aca="false">(('Business Case'!C11*$C673*'Business Case'!C12*$B673)-'Business Case'!C11*$C673*'Business Case'!C13*$D673-'Business Case'!C14*$E673)-MAX(0,(('Business Case'!C11*$C673*'Business Case'!C12*$B673)-'Business Case'!C11*$C673*'Business Case'!C13*$D673-'Business Case'!C14*$E673))*'Business Case'!$B$7-'Business Case'!$B$8*(('Business Case'!C11*$C673*'Business Case'!C12*$B673)-('Business Case'!B11*$C673*'Business Case'!B12*$B673))-'Business Case'!C15*$F673</f>
        <v>43001810.0520823</v>
      </c>
      <c r="J673" s="53" t="n">
        <f aca="false">(('Business Case'!D11*$C673*'Business Case'!D12*$B673)-'Business Case'!D11*$C673*'Business Case'!D13*$D673-'Business Case'!D14*$E673)-MAX(0,(('Business Case'!D11*$C673*'Business Case'!D12*$B673)-'Business Case'!D11*$C673*'Business Case'!D13*$D673-'Business Case'!D14*$E673))*'Business Case'!$B$7-'Business Case'!$B$8*(('Business Case'!D11*$C673*'Business Case'!D12*$B673)-('Business Case'!C11*$C673*'Business Case'!C12*$B673))-'Business Case'!D15*$F673</f>
        <v>387307723.688905</v>
      </c>
      <c r="K673" s="53" t="n">
        <f aca="false">(('Business Case'!E11*$C673*'Business Case'!E12*$B673)-'Business Case'!E11*$C673*'Business Case'!E13*$D673-'Business Case'!E14*$E673)-MAX(0,(('Business Case'!E11*$C673*'Business Case'!E12*$B673)-'Business Case'!E11*$C673*'Business Case'!E13*$D673-'Business Case'!E14*$E673))*'Business Case'!$B$7-'Business Case'!$B$8*(('Business Case'!E11*$C673*'Business Case'!E12*$B673)-('Business Case'!D11*$C673*'Business Case'!D12*$B673))-'Business Case'!E15*$F673</f>
        <v>781260774.616039</v>
      </c>
      <c r="L673" s="53" t="n">
        <f aca="false">(('Business Case'!F11*$C673*'Business Case'!F12*$B673)-'Business Case'!F11*$C673*'Business Case'!F13*$D673-'Business Case'!F14*$E673)-MAX(0,(('Business Case'!F11*$C673*'Business Case'!F12*$B673)-'Business Case'!F11*$C673*'Business Case'!F13*$D673-'Business Case'!F14*$E673))*'Business Case'!$B$7-'Business Case'!$B$8*(('Business Case'!F11*$C673*'Business Case'!F12*$B673)-('Business Case'!E11*$C673*'Business Case'!E12*$B673))-'Business Case'!F15*$F673</f>
        <v>934340081.786437</v>
      </c>
      <c r="M673" s="53" t="n">
        <f aca="false">(('Business Case'!G11*$C673*'Business Case'!G12*$B673)-'Business Case'!G11*$C673*'Business Case'!G13*$D673-'Business Case'!G14*$E673)-MAX(0,(('Business Case'!G11*$C673*'Business Case'!G12*$B673)-'Business Case'!G11*$C673*'Business Case'!G13*$D673-'Business Case'!G14*$E673))*'Business Case'!$B$7-'Business Case'!$B$8*(('Business Case'!G11*$C673*'Business Case'!G12*$B673)-('Business Case'!F11*$C673*'Business Case'!F12*$B673))-'Business Case'!G15*$F673+'Business Case'!$B$8*('Business Case'!G11*$C673*'Business Case'!G12*$B673)</f>
        <v>1145048762.88945</v>
      </c>
      <c r="N673" s="53" t="n">
        <f aca="false">IF(COUNT('Business Case'!B11:G11)=0,"",H673+NPV(G673,I673:M673))</f>
        <v>222377710.275506</v>
      </c>
      <c r="P673" s="54" t="n">
        <f aca="true">RAND()</f>
        <v>0.790174935055052</v>
      </c>
      <c r="Q673" s="54" t="n">
        <f aca="true">RAND()</f>
        <v>0.951308897923621</v>
      </c>
      <c r="R673" s="54" t="n">
        <f aca="true">RAND()</f>
        <v>0.40713339193448</v>
      </c>
      <c r="S673" s="54" t="n">
        <f aca="true">RAND()</f>
        <v>0.534989542007785</v>
      </c>
      <c r="T673" s="54" t="n">
        <f aca="true">RAND()</f>
        <v>0.147526353390239</v>
      </c>
      <c r="U673" s="54" t="n">
        <f aca="true">RAND()</f>
        <v>0.879533573678919</v>
      </c>
    </row>
    <row r="674" customFormat="false" ht="15" hidden="false" customHeight="false" outlineLevel="0" collapsed="false">
      <c r="A674" s="50" t="n">
        <v>594</v>
      </c>
      <c r="B674" s="51" t="n">
        <f aca="false">1+IF($G$6=$E$6,$F$6,IF(P674&lt;($F$6-$E$6)/($G$6-$E$6),$E$6+SQRT(P674*($G$6-$E$6)*($F$6-$E$6)),$G$6-SQRT((1-P674)*($G$6-$E$6)*($G$6-$F$6))))</f>
        <v>0.937619293415664</v>
      </c>
      <c r="C674" s="51" t="n">
        <f aca="false">1+IF($G$7=$E$7,$F$7,IF(Q674&lt;($F$7-$E$7)/($G$7-$E$7),$E$7+SQRT(Q674*($G$7-$E$7)*($F$7-$E$7)),$G$7-SQRT((1-Q674)*($G$7-$E$7)*($G$7-$F$7))))</f>
        <v>0.837734355794275</v>
      </c>
      <c r="D674" s="51" t="n">
        <f aca="false">1+IF($G$8=$E$8,$F$8,IF(R674&lt;($F$8-$E$8)/($G$8-$E$8),$E$8+SQRT(R674*($G$8-$E$8)*($F$8-$E$8)),$G$8-SQRT((1-R674)*($G$8-$E$8)*($G$8-$F$8))))</f>
        <v>1.03041746221522</v>
      </c>
      <c r="E674" s="51" t="n">
        <f aca="false">1+IF($G$9=$E$9,$F$9,IF(S674&lt;($F$9-$E$9)/($G$9-$E$9),$E$9+SQRT(S674*($G$9-$E$9)*($F$9-$E$9)),$G$9-SQRT((1-S674)*($G$9-$E$9)*($G$9-$F$9))))</f>
        <v>0.988922049037889</v>
      </c>
      <c r="F674" s="51" t="n">
        <f aca="false">1+IF($G$10=$E$10,$F$10,IF(T674&lt;($F$10-$E$10)/($G$10-$E$10),$E$10+SQRT(T674*($G$10-$E$10)*($F$10-$E$10)),$G$10-SQRT((1-T674)*($G$10-$E$10)*($G$10-$F$10))))</f>
        <v>1.1692413240899</v>
      </c>
      <c r="G674" s="52" t="n">
        <f aca="false">IF($G$11=$E$11,$F$11,IF(U674&lt;($F$11-$E$11)/($G$11-$E$11),$E$11+SQRT(U674*($G$11-$E$11)*($F$11-$E$11)),$G$11-SQRT((1-U674)*($G$11-$E$11)*($G$11-$F$11))))</f>
        <v>0.0964081336545277</v>
      </c>
      <c r="H674" s="53" t="n">
        <f aca="false">(('Business Case'!B11*$C674*'Business Case'!B12*$B674)-'Business Case'!B11*$C674*'Business Case'!B13*$D674-'Business Case'!B14*$E674)-MAX(0,(('Business Case'!B11*$C674*'Business Case'!B12*$B674)-'Business Case'!B11*$C674*'Business Case'!B13*$D674-'Business Case'!B14*$E674))*'Business Case'!$B$7-'Business Case'!$B$8*('Business Case'!B11*$C674*'Business Case'!B12*$B674)-'Business Case'!B15*$F674</f>
        <v>-2338482648.1798</v>
      </c>
      <c r="I674" s="53" t="n">
        <f aca="false">(('Business Case'!C11*$C674*'Business Case'!C12*$B674)-'Business Case'!C11*$C674*'Business Case'!C13*$D674-'Business Case'!C14*$E674)-MAX(0,(('Business Case'!C11*$C674*'Business Case'!C12*$B674)-'Business Case'!C11*$C674*'Business Case'!C13*$D674-'Business Case'!C14*$E674))*'Business Case'!$B$7-'Business Case'!$B$8*(('Business Case'!C11*$C674*'Business Case'!C12*$B674)-('Business Case'!B11*$C674*'Business Case'!B12*$B674))-'Business Case'!C15*$F674</f>
        <v>-96804196.5736615</v>
      </c>
      <c r="J674" s="53" t="n">
        <f aca="false">(('Business Case'!D11*$C674*'Business Case'!D12*$B674)-'Business Case'!D11*$C674*'Business Case'!D13*$D674-'Business Case'!D14*$E674)-MAX(0,(('Business Case'!D11*$C674*'Business Case'!D12*$B674)-'Business Case'!D11*$C674*'Business Case'!D13*$D674-'Business Case'!D14*$E674))*'Business Case'!$B$7-'Business Case'!$B$8*(('Business Case'!D11*$C674*'Business Case'!D12*$B674)-('Business Case'!C11*$C674*'Business Case'!C12*$B674))-'Business Case'!D15*$F674</f>
        <v>104659525.018687</v>
      </c>
      <c r="K674" s="53" t="n">
        <f aca="false">(('Business Case'!E11*$C674*'Business Case'!E12*$B674)-'Business Case'!E11*$C674*'Business Case'!E13*$D674-'Business Case'!E14*$E674)-MAX(0,(('Business Case'!E11*$C674*'Business Case'!E12*$B674)-'Business Case'!E11*$C674*'Business Case'!E13*$D674-'Business Case'!E14*$E674))*'Business Case'!$B$7-'Business Case'!$B$8*(('Business Case'!E11*$C674*'Business Case'!E12*$B674)-('Business Case'!D11*$C674*'Business Case'!D12*$B674))-'Business Case'!E15*$F674</f>
        <v>364585312.815531</v>
      </c>
      <c r="L674" s="53" t="n">
        <f aca="false">(('Business Case'!F11*$C674*'Business Case'!F12*$B674)-'Business Case'!F11*$C674*'Business Case'!F13*$D674-'Business Case'!F14*$E674)-MAX(0,(('Business Case'!F11*$C674*'Business Case'!F12*$B674)-'Business Case'!F11*$C674*'Business Case'!F13*$D674-'Business Case'!F14*$E674))*'Business Case'!$B$7-'Business Case'!$B$8*(('Business Case'!F11*$C674*'Business Case'!F12*$B674)-('Business Case'!E11*$C674*'Business Case'!E12*$B674))-'Business Case'!F15*$F674</f>
        <v>458885933.602202</v>
      </c>
      <c r="M674" s="53" t="n">
        <f aca="false">(('Business Case'!G11*$C674*'Business Case'!G12*$B674)-'Business Case'!G11*$C674*'Business Case'!G13*$D674-'Business Case'!G14*$E674)-MAX(0,(('Business Case'!G11*$C674*'Business Case'!G12*$B674)-'Business Case'!G11*$C674*'Business Case'!G13*$D674-'Business Case'!G14*$E674))*'Business Case'!$B$7-'Business Case'!$B$8*(('Business Case'!G11*$C674*'Business Case'!G12*$B674)-('Business Case'!F11*$C674*'Business Case'!F12*$B674))-'Business Case'!G15*$F674+'Business Case'!$B$8*('Business Case'!G11*$C674*'Business Case'!G12*$B674)</f>
        <v>608189191.676254</v>
      </c>
      <c r="N674" s="53" t="n">
        <f aca="false">IF(COUNT('Business Case'!B11:G11)=0,"",H674+NPV(G674,I674:M674))</f>
        <v>-1361675655.4389</v>
      </c>
      <c r="P674" s="54" t="n">
        <f aca="true">RAND()</f>
        <v>0.03233744796534</v>
      </c>
      <c r="Q674" s="54" t="n">
        <f aca="true">RAND()</f>
        <v>0.0203411658172708</v>
      </c>
      <c r="R674" s="54" t="n">
        <f aca="true">RAND()</f>
        <v>0.763612687194335</v>
      </c>
      <c r="S674" s="54" t="n">
        <f aca="true">RAND()</f>
        <v>0.201990120174376</v>
      </c>
      <c r="T674" s="54" t="n">
        <f aca="true">RAND()</f>
        <v>0.981078077125148</v>
      </c>
      <c r="U674" s="54" t="n">
        <f aca="true">RAND()</f>
        <v>0.136880589780967</v>
      </c>
    </row>
    <row r="675" customFormat="false" ht="15" hidden="false" customHeight="false" outlineLevel="0" collapsed="false">
      <c r="A675" s="50" t="n">
        <v>595</v>
      </c>
      <c r="B675" s="51" t="n">
        <f aca="false">1+IF($G$6=$E$6,$F$6,IF(P675&lt;($F$6-$E$6)/($G$6-$E$6),$E$6+SQRT(P675*($G$6-$E$6)*($F$6-$E$6)),$G$6-SQRT((1-P675)*($G$6-$E$6)*($G$6-$F$6))))</f>
        <v>1.02081449079647</v>
      </c>
      <c r="C675" s="51" t="n">
        <f aca="false">1+IF($G$7=$E$7,$F$7,IF(Q675&lt;($F$7-$E$7)/($G$7-$E$7),$E$7+SQRT(Q675*($G$7-$E$7)*($F$7-$E$7)),$G$7-SQRT((1-Q675)*($G$7-$E$7)*($G$7-$F$7))))</f>
        <v>1.0110568197315</v>
      </c>
      <c r="D675" s="51" t="n">
        <f aca="false">1+IF($G$8=$E$8,$F$8,IF(R675&lt;($F$8-$E$8)/($G$8-$E$8),$E$8+SQRT(R675*($G$8-$E$8)*($F$8-$E$8)),$G$8-SQRT((1-R675)*($G$8-$E$8)*($G$8-$F$8))))</f>
        <v>0.965447705190456</v>
      </c>
      <c r="E675" s="51" t="n">
        <f aca="false">1+IF($G$9=$E$9,$F$9,IF(S675&lt;($F$9-$E$9)/($G$9-$E$9),$E$9+SQRT(S675*($G$9-$E$9)*($F$9-$E$9)),$G$9-SQRT((1-S675)*($G$9-$E$9)*($G$9-$F$9))))</f>
        <v>0.979133589025123</v>
      </c>
      <c r="F675" s="51" t="n">
        <f aca="false">1+IF($G$10=$E$10,$F$10,IF(T675&lt;($F$10-$E$10)/($G$10-$E$10),$E$10+SQRT(T675*($G$10-$E$10)*($F$10-$E$10)),$G$10-SQRT((1-T675)*($G$10-$E$10)*($G$10-$F$10))))</f>
        <v>1.12655508937677</v>
      </c>
      <c r="G675" s="52" t="n">
        <f aca="false">IF($G$11=$E$11,$F$11,IF(U675&lt;($F$11-$E$11)/($G$11-$E$11),$E$11+SQRT(U675*($G$11-$E$11)*($F$11-$E$11)),$G$11-SQRT((1-U675)*($G$11-$E$11)*($G$11-$F$11))))</f>
        <v>0.116222942585986</v>
      </c>
      <c r="H675" s="53" t="n">
        <f aca="false">(('Business Case'!B11*$C675*'Business Case'!B12*$B675)-'Business Case'!B11*$C675*'Business Case'!B13*$D675-'Business Case'!B14*$E675)-MAX(0,(('Business Case'!B11*$C675*'Business Case'!B12*$B675)-'Business Case'!B11*$C675*'Business Case'!B13*$D675-'Business Case'!B14*$E675))*'Business Case'!$B$7-'Business Case'!$B$8*('Business Case'!B11*$C675*'Business Case'!B12*$B675)-'Business Case'!B15*$F675</f>
        <v>-2253110178.75353</v>
      </c>
      <c r="I675" s="53" t="n">
        <f aca="false">(('Business Case'!C11*$C675*'Business Case'!C12*$B675)-'Business Case'!C11*$C675*'Business Case'!C13*$D675-'Business Case'!C14*$E675)-MAX(0,(('Business Case'!C11*$C675*'Business Case'!C12*$B675)-'Business Case'!C11*$C675*'Business Case'!C13*$D675-'Business Case'!C14*$E675))*'Business Case'!$B$7-'Business Case'!$B$8*(('Business Case'!C11*$C675*'Business Case'!C12*$B675)-('Business Case'!B11*$C675*'Business Case'!B12*$B675))-'Business Case'!C15*$F675</f>
        <v>40276333.1328665</v>
      </c>
      <c r="J675" s="53" t="n">
        <f aca="false">(('Business Case'!D11*$C675*'Business Case'!D12*$B675)-'Business Case'!D11*$C675*'Business Case'!D13*$D675-'Business Case'!D14*$E675)-MAX(0,(('Business Case'!D11*$C675*'Business Case'!D12*$B675)-'Business Case'!D11*$C675*'Business Case'!D13*$D675-'Business Case'!D14*$E675))*'Business Case'!$B$7-'Business Case'!$B$8*(('Business Case'!D11*$C675*'Business Case'!D12*$B675)-('Business Case'!C11*$C675*'Business Case'!C12*$B675))-'Business Case'!D15*$F675</f>
        <v>385945110.865592</v>
      </c>
      <c r="K675" s="53" t="n">
        <f aca="false">(('Business Case'!E11*$C675*'Business Case'!E12*$B675)-'Business Case'!E11*$C675*'Business Case'!E13*$D675-'Business Case'!E14*$E675)-MAX(0,(('Business Case'!E11*$C675*'Business Case'!E12*$B675)-'Business Case'!E11*$C675*'Business Case'!E13*$D675-'Business Case'!E14*$E675))*'Business Case'!$B$7-'Business Case'!$B$8*(('Business Case'!E11*$C675*'Business Case'!E12*$B675)-('Business Case'!D11*$C675*'Business Case'!D12*$B675))-'Business Case'!E15*$F675</f>
        <v>787941643.067157</v>
      </c>
      <c r="L675" s="53" t="n">
        <f aca="false">(('Business Case'!F11*$C675*'Business Case'!F12*$B675)-'Business Case'!F11*$C675*'Business Case'!F13*$D675-'Business Case'!F14*$E675)-MAX(0,(('Business Case'!F11*$C675*'Business Case'!F12*$B675)-'Business Case'!F11*$C675*'Business Case'!F13*$D675-'Business Case'!F14*$E675))*'Business Case'!$B$7-'Business Case'!$B$8*(('Business Case'!F11*$C675*'Business Case'!F12*$B675)-('Business Case'!E11*$C675*'Business Case'!E12*$B675))-'Business Case'!F15*$F675</f>
        <v>938833995.179938</v>
      </c>
      <c r="M675" s="53" t="n">
        <f aca="false">(('Business Case'!G11*$C675*'Business Case'!G12*$B675)-'Business Case'!G11*$C675*'Business Case'!G13*$D675-'Business Case'!G14*$E675)-MAX(0,(('Business Case'!G11*$C675*'Business Case'!G12*$B675)-'Business Case'!G11*$C675*'Business Case'!G13*$D675-'Business Case'!G14*$E675))*'Business Case'!$B$7-'Business Case'!$B$8*(('Business Case'!G11*$C675*'Business Case'!G12*$B675)-('Business Case'!F11*$C675*'Business Case'!F12*$B675))-'Business Case'!G15*$F675+'Business Case'!$B$8*('Business Case'!G11*$C675*'Business Case'!G12*$B675)</f>
        <v>1135015839.29024</v>
      </c>
      <c r="N675" s="53" t="n">
        <f aca="false">IF(COUNT('Business Case'!B11:G11)=0,"",H675+NPV(G675,I675:M675))</f>
        <v>-80943159.7180686</v>
      </c>
      <c r="P675" s="54" t="n">
        <f aca="true">RAND()</f>
        <v>0.923315882625248</v>
      </c>
      <c r="Q675" s="54" t="n">
        <f aca="true">RAND()</f>
        <v>0.632281764892867</v>
      </c>
      <c r="R675" s="54" t="n">
        <f aca="true">RAND()</f>
        <v>0.0367125531771134</v>
      </c>
      <c r="S675" s="54" t="n">
        <f aca="true">RAND()</f>
        <v>0.113168801264634</v>
      </c>
      <c r="T675" s="54" t="n">
        <f aca="true">RAND()</f>
        <v>0.892116902070901</v>
      </c>
      <c r="U675" s="54" t="n">
        <f aca="true">RAND()</f>
        <v>0.976223062152069</v>
      </c>
    </row>
    <row r="676" customFormat="false" ht="15" hidden="false" customHeight="false" outlineLevel="0" collapsed="false">
      <c r="A676" s="50" t="n">
        <v>596</v>
      </c>
      <c r="B676" s="51" t="n">
        <f aca="false">1+IF($G$6=$E$6,$F$6,IF(P676&lt;($F$6-$E$6)/($G$6-$E$6),$E$6+SQRT(P676*($G$6-$E$6)*($F$6-$E$6)),$G$6-SQRT((1-P676)*($G$6-$E$6)*($G$6-$F$6))))</f>
        <v>1.02957334653892</v>
      </c>
      <c r="C676" s="51" t="n">
        <f aca="false">1+IF($G$7=$E$7,$F$7,IF(Q676&lt;($F$7-$E$7)/($G$7-$E$7),$E$7+SQRT(Q676*($G$7-$E$7)*($F$7-$E$7)),$G$7-SQRT((1-Q676)*($G$7-$E$7)*($G$7-$F$7))))</f>
        <v>1.13391395496773</v>
      </c>
      <c r="D676" s="51" t="n">
        <f aca="false">1+IF($G$8=$E$8,$F$8,IF(R676&lt;($F$8-$E$8)/($G$8-$E$8),$E$8+SQRT(R676*($G$8-$E$8)*($F$8-$E$8)),$G$8-SQRT((1-R676)*($G$8-$E$8)*($G$8-$F$8))))</f>
        <v>1.00358988892748</v>
      </c>
      <c r="E676" s="51" t="n">
        <f aca="false">1+IF($G$9=$E$9,$F$9,IF(S676&lt;($F$9-$E$9)/($G$9-$E$9),$E$9+SQRT(S676*($G$9-$E$9)*($F$9-$E$9)),$G$9-SQRT((1-S676)*($G$9-$E$9)*($G$9-$F$9))))</f>
        <v>1.0314053204196</v>
      </c>
      <c r="F676" s="51" t="n">
        <f aca="false">1+IF($G$10=$E$10,$F$10,IF(T676&lt;($F$10-$E$10)/($G$10-$E$10),$E$10+SQRT(T676*($G$10-$E$10)*($F$10-$E$10)),$G$10-SQRT((1-T676)*($G$10-$E$10)*($G$10-$F$10))))</f>
        <v>1.02392214034707</v>
      </c>
      <c r="G676" s="52" t="n">
        <f aca="false">IF($G$11=$E$11,$F$11,IF(U676&lt;($F$11-$E$11)/($G$11-$E$11),$E$11+SQRT(U676*($G$11-$E$11)*($F$11-$E$11)),$G$11-SQRT((1-U676)*($G$11-$E$11)*($G$11-$F$11))))</f>
        <v>0.100030626739363</v>
      </c>
      <c r="H676" s="53" t="n">
        <f aca="false">(('Business Case'!B11*$C676*'Business Case'!B12*$B676)-'Business Case'!B11*$C676*'Business Case'!B13*$D676-'Business Case'!B14*$E676)-MAX(0,(('Business Case'!B11*$C676*'Business Case'!B12*$B676)-'Business Case'!B11*$C676*'Business Case'!B13*$D676-'Business Case'!B14*$E676))*'Business Case'!$B$7-'Business Case'!$B$8*('Business Case'!B11*$C676*'Business Case'!B12*$B676)-'Business Case'!B15*$F676</f>
        <v>-2047844280.69413</v>
      </c>
      <c r="I676" s="53" t="n">
        <f aca="false">(('Business Case'!C11*$C676*'Business Case'!C12*$B676)-'Business Case'!C11*$C676*'Business Case'!C13*$D676-'Business Case'!C14*$E676)-MAX(0,(('Business Case'!C11*$C676*'Business Case'!C12*$B676)-'Business Case'!C11*$C676*'Business Case'!C13*$D676-'Business Case'!C14*$E676))*'Business Case'!$B$7-'Business Case'!$B$8*(('Business Case'!C11*$C676*'Business Case'!C12*$B676)-('Business Case'!B11*$C676*'Business Case'!B12*$B676))-'Business Case'!C15*$F676</f>
        <v>64088028.9143389</v>
      </c>
      <c r="J676" s="53" t="n">
        <f aca="false">(('Business Case'!D11*$C676*'Business Case'!D12*$B676)-'Business Case'!D11*$C676*'Business Case'!D13*$D676-'Business Case'!D14*$E676)-MAX(0,(('Business Case'!D11*$C676*'Business Case'!D12*$B676)-'Business Case'!D11*$C676*'Business Case'!D13*$D676-'Business Case'!D14*$E676))*'Business Case'!$B$7-'Business Case'!$B$8*(('Business Case'!D11*$C676*'Business Case'!D12*$B676)-('Business Case'!C11*$C676*'Business Case'!C12*$B676))-'Business Case'!D15*$F676</f>
        <v>437754591.249176</v>
      </c>
      <c r="K676" s="53" t="n">
        <f aca="false">(('Business Case'!E11*$C676*'Business Case'!E12*$B676)-'Business Case'!E11*$C676*'Business Case'!E13*$D676-'Business Case'!E14*$E676)-MAX(0,(('Business Case'!E11*$C676*'Business Case'!E12*$B676)-'Business Case'!E11*$C676*'Business Case'!E13*$D676-'Business Case'!E14*$E676))*'Business Case'!$B$7-'Business Case'!$B$8*(('Business Case'!E11*$C676*'Business Case'!E12*$B676)-('Business Case'!D11*$C676*'Business Case'!D12*$B676))-'Business Case'!E15*$F676</f>
        <v>862617260.601366</v>
      </c>
      <c r="L676" s="53" t="n">
        <f aca="false">(('Business Case'!F11*$C676*'Business Case'!F12*$B676)-'Business Case'!F11*$C676*'Business Case'!F13*$D676-'Business Case'!F14*$E676)-MAX(0,(('Business Case'!F11*$C676*'Business Case'!F12*$B676)-'Business Case'!F11*$C676*'Business Case'!F13*$D676-'Business Case'!F14*$E676))*'Business Case'!$B$7-'Business Case'!$B$8*(('Business Case'!F11*$C676*'Business Case'!F12*$B676)-('Business Case'!E11*$C676*'Business Case'!E12*$B676))-'Business Case'!F15*$F676</f>
        <v>1027519769.92773</v>
      </c>
      <c r="M676" s="53" t="n">
        <f aca="false">(('Business Case'!G11*$C676*'Business Case'!G12*$B676)-'Business Case'!G11*$C676*'Business Case'!G13*$D676-'Business Case'!G14*$E676)-MAX(0,(('Business Case'!G11*$C676*'Business Case'!G12*$B676)-'Business Case'!G11*$C676*'Business Case'!G13*$D676-'Business Case'!G14*$E676))*'Business Case'!$B$7-'Business Case'!$B$8*(('Business Case'!G11*$C676*'Business Case'!G12*$B676)-('Business Case'!F11*$C676*'Business Case'!F12*$B676))-'Business Case'!G15*$F676+'Business Case'!$B$8*('Business Case'!G11*$C676*'Business Case'!G12*$B676)</f>
        <v>1249428206.94218</v>
      </c>
      <c r="N676" s="53" t="n">
        <f aca="false">IF(COUNT('Business Case'!B11:G11)=0,"",H676+NPV(G676,I676:M676))</f>
        <v>497639732.400153</v>
      </c>
      <c r="P676" s="54" t="n">
        <f aca="true">RAND()</f>
        <v>0.977351020333872</v>
      </c>
      <c r="Q676" s="54" t="n">
        <f aca="true">RAND()</f>
        <v>0.995071222004186</v>
      </c>
      <c r="R676" s="54" t="n">
        <f aca="true">RAND()</f>
        <v>0.438605281335136</v>
      </c>
      <c r="S676" s="54" t="n">
        <f aca="true">RAND()</f>
        <v>0.686317995550855</v>
      </c>
      <c r="T676" s="54" t="n">
        <f aca="true">RAND()</f>
        <v>0.37993174680084</v>
      </c>
      <c r="U676" s="54" t="n">
        <f aca="true">RAND()</f>
        <v>0.335373552628957</v>
      </c>
    </row>
    <row r="677" customFormat="false" ht="15" hidden="false" customHeight="false" outlineLevel="0" collapsed="false">
      <c r="A677" s="50" t="n">
        <v>597</v>
      </c>
      <c r="B677" s="51" t="n">
        <f aca="false">1+IF($G$6=$E$6,$F$6,IF(P677&lt;($F$6-$E$6)/($G$6-$E$6),$E$6+SQRT(P677*($G$6-$E$6)*($F$6-$E$6)),$G$6-SQRT((1-P677)*($G$6-$E$6)*($G$6-$F$6))))</f>
        <v>0.977297820380152</v>
      </c>
      <c r="C677" s="51" t="n">
        <f aca="false">1+IF($G$7=$E$7,$F$7,IF(Q677&lt;($F$7-$E$7)/($G$7-$E$7),$E$7+SQRT(Q677*($G$7-$E$7)*($F$7-$E$7)),$G$7-SQRT((1-Q677)*($G$7-$E$7)*($G$7-$F$7))))</f>
        <v>0.905399228673359</v>
      </c>
      <c r="D677" s="51" t="n">
        <f aca="false">1+IF($G$8=$E$8,$F$8,IF(R677&lt;($F$8-$E$8)/($G$8-$E$8),$E$8+SQRT(R677*($G$8-$E$8)*($F$8-$E$8)),$G$8-SQRT((1-R677)*($G$8-$E$8)*($G$8-$F$8))))</f>
        <v>0.971993215906961</v>
      </c>
      <c r="E677" s="51" t="n">
        <f aca="false">1+IF($G$9=$E$9,$F$9,IF(S677&lt;($F$9-$E$9)/($G$9-$E$9),$E$9+SQRT(S677*($G$9-$E$9)*($F$9-$E$9)),$G$9-SQRT((1-S677)*($G$9-$E$9)*($G$9-$F$9))))</f>
        <v>1.05736322130517</v>
      </c>
      <c r="F677" s="51" t="n">
        <f aca="false">1+IF($G$10=$E$10,$F$10,IF(T677&lt;($F$10-$E$10)/($G$10-$E$10),$E$10+SQRT(T677*($G$10-$E$10)*($F$10-$E$10)),$G$10-SQRT((1-T677)*($G$10-$E$10)*($G$10-$F$10))))</f>
        <v>0.992522668156603</v>
      </c>
      <c r="G677" s="52" t="n">
        <f aca="false">IF($G$11=$E$11,$F$11,IF(U677&lt;($F$11-$E$11)/($G$11-$E$11),$E$11+SQRT(U677*($G$11-$E$11)*($F$11-$E$11)),$G$11-SQRT((1-U677)*($G$11-$E$11)*($G$11-$F$11))))</f>
        <v>0.114859596097009</v>
      </c>
      <c r="H677" s="53" t="n">
        <f aca="false">(('Business Case'!B11*$C677*'Business Case'!B12*$B677)-'Business Case'!B11*$C677*'Business Case'!B13*$D677-'Business Case'!B14*$E677)-MAX(0,(('Business Case'!B11*$C677*'Business Case'!B12*$B677)-'Business Case'!B11*$C677*'Business Case'!B13*$D677-'Business Case'!B14*$E677))*'Business Case'!$B$7-'Business Case'!$B$8*('Business Case'!B11*$C677*'Business Case'!B12*$B677)-'Business Case'!B15*$F677</f>
        <v>-1985045336.31321</v>
      </c>
      <c r="I677" s="53" t="n">
        <f aca="false">(('Business Case'!C11*$C677*'Business Case'!C12*$B677)-'Business Case'!C11*$C677*'Business Case'!C13*$D677-'Business Case'!C14*$E677)-MAX(0,(('Business Case'!C11*$C677*'Business Case'!C12*$B677)-'Business Case'!C11*$C677*'Business Case'!C13*$D677-'Business Case'!C14*$E677))*'Business Case'!$B$7-'Business Case'!$B$8*(('Business Case'!C11*$C677*'Business Case'!C12*$B677)-('Business Case'!B11*$C677*'Business Case'!B12*$B677))-'Business Case'!C15*$F677</f>
        <v>-21239207.0942283</v>
      </c>
      <c r="J677" s="53" t="n">
        <f aca="false">(('Business Case'!D11*$C677*'Business Case'!D12*$B677)-'Business Case'!D11*$C677*'Business Case'!D13*$D677-'Business Case'!D14*$E677)-MAX(0,(('Business Case'!D11*$C677*'Business Case'!D12*$B677)-'Business Case'!D11*$C677*'Business Case'!D13*$D677-'Business Case'!D14*$E677))*'Business Case'!$B$7-'Business Case'!$B$8*(('Business Case'!D11*$C677*'Business Case'!D12*$B677)-('Business Case'!C11*$C677*'Business Case'!C12*$B677))-'Business Case'!D15*$F677</f>
        <v>253001251.569288</v>
      </c>
      <c r="K677" s="53" t="n">
        <f aca="false">(('Business Case'!E11*$C677*'Business Case'!E12*$B677)-'Business Case'!E11*$C677*'Business Case'!E13*$D677-'Business Case'!E14*$E677)-MAX(0,(('Business Case'!E11*$C677*'Business Case'!E12*$B677)-'Business Case'!E11*$C677*'Business Case'!E13*$D677-'Business Case'!E14*$E677))*'Business Case'!$B$7-'Business Case'!$B$8*(('Business Case'!E11*$C677*'Business Case'!E12*$B677)-('Business Case'!D11*$C677*'Business Case'!D12*$B677))-'Business Case'!E15*$F677</f>
        <v>576867843.640634</v>
      </c>
      <c r="L677" s="53" t="n">
        <f aca="false">(('Business Case'!F11*$C677*'Business Case'!F12*$B677)-'Business Case'!F11*$C677*'Business Case'!F13*$D677-'Business Case'!F14*$E677)-MAX(0,(('Business Case'!F11*$C677*'Business Case'!F12*$B677)-'Business Case'!F11*$C677*'Business Case'!F13*$D677-'Business Case'!F14*$E677))*'Business Case'!$B$7-'Business Case'!$B$8*(('Business Case'!F11*$C677*'Business Case'!F12*$B677)-('Business Case'!E11*$C677*'Business Case'!E12*$B677))-'Business Case'!F15*$F677</f>
        <v>698861562.443466</v>
      </c>
      <c r="M677" s="53" t="n">
        <f aca="false">(('Business Case'!G11*$C677*'Business Case'!G12*$B677)-'Business Case'!G11*$C677*'Business Case'!G13*$D677-'Business Case'!G14*$E677)-MAX(0,(('Business Case'!G11*$C677*'Business Case'!G12*$B677)-'Business Case'!G11*$C677*'Business Case'!G13*$D677-'Business Case'!G14*$E677))*'Business Case'!$B$7-'Business Case'!$B$8*(('Business Case'!G11*$C677*'Business Case'!G12*$B677)-('Business Case'!F11*$C677*'Business Case'!F12*$B677))-'Business Case'!G15*$F677+'Business Case'!$B$8*('Business Case'!G11*$C677*'Business Case'!G12*$B677)</f>
        <v>867052841.642592</v>
      </c>
      <c r="N677" s="53" t="n">
        <f aca="false">IF(COUNT('Business Case'!B11:G11)=0,"",H677+NPV(G677,I677:M677))</f>
        <v>-428408266.554508</v>
      </c>
      <c r="P677" s="54" t="n">
        <f aca="true">RAND()</f>
        <v>0.341983356282932</v>
      </c>
      <c r="Q677" s="54" t="n">
        <f aca="true">RAND()</f>
        <v>0.1586999629277</v>
      </c>
      <c r="R677" s="54" t="n">
        <f aca="true">RAND()</f>
        <v>0.0744156224508009</v>
      </c>
      <c r="S677" s="54" t="n">
        <f aca="true">RAND()</f>
        <v>0.878807006835217</v>
      </c>
      <c r="T677" s="54" t="n">
        <f aca="true">RAND()</f>
        <v>0.144654184572526</v>
      </c>
      <c r="U677" s="54" t="n">
        <f aca="true">RAND()</f>
        <v>0.955960412856858</v>
      </c>
    </row>
    <row r="678" customFormat="false" ht="15" hidden="false" customHeight="false" outlineLevel="0" collapsed="false">
      <c r="A678" s="50" t="n">
        <v>598</v>
      </c>
      <c r="B678" s="51" t="n">
        <f aca="false">1+IF($G$6=$E$6,$F$6,IF(P678&lt;($F$6-$E$6)/($G$6-$E$6),$E$6+SQRT(P678*($G$6-$E$6)*($F$6-$E$6)),$G$6-SQRT((1-P678)*($G$6-$E$6)*($G$6-$F$6))))</f>
        <v>1.00662386066526</v>
      </c>
      <c r="C678" s="51" t="n">
        <f aca="false">1+IF($G$7=$E$7,$F$7,IF(Q678&lt;($F$7-$E$7)/($G$7-$E$7),$E$7+SQRT(Q678*($G$7-$E$7)*($F$7-$E$7)),$G$7-SQRT((1-Q678)*($G$7-$E$7)*($G$7-$F$7))))</f>
        <v>1.0869784874819</v>
      </c>
      <c r="D678" s="51" t="n">
        <f aca="false">1+IF($G$8=$E$8,$F$8,IF(R678&lt;($F$8-$E$8)/($G$8-$E$8),$E$8+SQRT(R678*($G$8-$E$8)*($F$8-$E$8)),$G$8-SQRT((1-R678)*($G$8-$E$8)*($G$8-$F$8))))</f>
        <v>0.982326816617469</v>
      </c>
      <c r="E678" s="51" t="n">
        <f aca="false">1+IF($G$9=$E$9,$F$9,IF(S678&lt;($F$9-$E$9)/($G$9-$E$9),$E$9+SQRT(S678*($G$9-$E$9)*($F$9-$E$9)),$G$9-SQRT((1-S678)*($G$9-$E$9)*($G$9-$F$9))))</f>
        <v>1.06289381508993</v>
      </c>
      <c r="F678" s="51" t="n">
        <f aca="false">1+IF($G$10=$E$10,$F$10,IF(T678&lt;($F$10-$E$10)/($G$10-$E$10),$E$10+SQRT(T678*($G$10-$E$10)*($F$10-$E$10)),$G$10-SQRT((1-T678)*($G$10-$E$10)*($G$10-$F$10))))</f>
        <v>1.06029853739797</v>
      </c>
      <c r="G678" s="52" t="n">
        <f aca="false">IF($G$11=$E$11,$F$11,IF(U678&lt;($F$11-$E$11)/($G$11-$E$11),$E$11+SQRT(U678*($G$11-$E$11)*($F$11-$E$11)),$G$11-SQRT((1-U678)*($G$11-$E$11)*($G$11-$F$11))))</f>
        <v>0.0994240206797615</v>
      </c>
      <c r="H678" s="53" t="n">
        <f aca="false">(('Business Case'!B11*$C678*'Business Case'!B12*$B678)-'Business Case'!B11*$C678*'Business Case'!B13*$D678-'Business Case'!B14*$E678)-MAX(0,(('Business Case'!B11*$C678*'Business Case'!B12*$B678)-'Business Case'!B11*$C678*'Business Case'!B13*$D678-'Business Case'!B14*$E678))*'Business Case'!$B$7-'Business Case'!$B$8*('Business Case'!B11*$C678*'Business Case'!B12*$B678)-'Business Case'!B15*$F678</f>
        <v>-2120597074.79594</v>
      </c>
      <c r="I678" s="53" t="n">
        <f aca="false">(('Business Case'!C11*$C678*'Business Case'!C12*$B678)-'Business Case'!C11*$C678*'Business Case'!C13*$D678-'Business Case'!C14*$E678)-MAX(0,(('Business Case'!C11*$C678*'Business Case'!C12*$B678)-'Business Case'!C11*$C678*'Business Case'!C13*$D678-'Business Case'!C14*$E678))*'Business Case'!$B$7-'Business Case'!$B$8*(('Business Case'!C11*$C678*'Business Case'!C12*$B678)-('Business Case'!B11*$C678*'Business Case'!B12*$B678))-'Business Case'!C15*$F678</f>
        <v>35703535.8663861</v>
      </c>
      <c r="J678" s="53" t="n">
        <f aca="false">(('Business Case'!D11*$C678*'Business Case'!D12*$B678)-'Business Case'!D11*$C678*'Business Case'!D13*$D678-'Business Case'!D14*$E678)-MAX(0,(('Business Case'!D11*$C678*'Business Case'!D12*$B678)-'Business Case'!D11*$C678*'Business Case'!D13*$D678-'Business Case'!D14*$E678))*'Business Case'!$B$7-'Business Case'!$B$8*(('Business Case'!D11*$C678*'Business Case'!D12*$B678)-('Business Case'!C11*$C678*'Business Case'!C12*$B678))-'Business Case'!D15*$F678</f>
        <v>385302638.460827</v>
      </c>
      <c r="K678" s="53" t="n">
        <f aca="false">(('Business Case'!E11*$C678*'Business Case'!E12*$B678)-'Business Case'!E11*$C678*'Business Case'!E13*$D678-'Business Case'!E14*$E678)-MAX(0,(('Business Case'!E11*$C678*'Business Case'!E12*$B678)-'Business Case'!E11*$C678*'Business Case'!E13*$D678-'Business Case'!E14*$E678))*'Business Case'!$B$7-'Business Case'!$B$8*(('Business Case'!E11*$C678*'Business Case'!E12*$B678)-('Business Case'!D11*$C678*'Business Case'!D12*$B678))-'Business Case'!E15*$F678</f>
        <v>787916667.925166</v>
      </c>
      <c r="L678" s="53" t="n">
        <f aca="false">(('Business Case'!F11*$C678*'Business Case'!F12*$B678)-'Business Case'!F11*$C678*'Business Case'!F13*$D678-'Business Case'!F14*$E678)-MAX(0,(('Business Case'!F11*$C678*'Business Case'!F12*$B678)-'Business Case'!F11*$C678*'Business Case'!F13*$D678-'Business Case'!F14*$E678))*'Business Case'!$B$7-'Business Case'!$B$8*(('Business Case'!F11*$C678*'Business Case'!F12*$B678)-('Business Case'!E11*$C678*'Business Case'!E12*$B678))-'Business Case'!F15*$F678</f>
        <v>942264510.444959</v>
      </c>
      <c r="M678" s="53" t="n">
        <f aca="false">(('Business Case'!G11*$C678*'Business Case'!G12*$B678)-'Business Case'!G11*$C678*'Business Case'!G13*$D678-'Business Case'!G14*$E678)-MAX(0,(('Business Case'!G11*$C678*'Business Case'!G12*$B678)-'Business Case'!G11*$C678*'Business Case'!G13*$D678-'Business Case'!G14*$E678))*'Business Case'!$B$7-'Business Case'!$B$8*(('Business Case'!G11*$C678*'Business Case'!G12*$B678)-('Business Case'!F11*$C678*'Business Case'!F12*$B678))-'Business Case'!G15*$F678+'Business Case'!$B$8*('Business Case'!G11*$C678*'Business Case'!G12*$B678)</f>
        <v>1150245956.21401</v>
      </c>
      <c r="N678" s="53" t="n">
        <f aca="false">IF(COUNT('Business Case'!B11:G11)=0,"",H678+NPV(G678,I678:M678))</f>
        <v>184561805.063113</v>
      </c>
      <c r="P678" s="54" t="n">
        <f aca="true">RAND()</f>
        <v>0.767923608980821</v>
      </c>
      <c r="Q678" s="54" t="n">
        <f aca="true">RAND()</f>
        <v>0.924348361141537</v>
      </c>
      <c r="R678" s="54" t="n">
        <f aca="true">RAND()</f>
        <v>0.160772780402994</v>
      </c>
      <c r="S678" s="54" t="n">
        <f aca="true">RAND()</f>
        <v>0.908208736094653</v>
      </c>
      <c r="T678" s="54" t="n">
        <f aca="true">RAND()</f>
        <v>0.609670026937084</v>
      </c>
      <c r="U678" s="54" t="n">
        <f aca="true">RAND()</f>
        <v>0.29604055257524</v>
      </c>
    </row>
    <row r="679" customFormat="false" ht="15" hidden="false" customHeight="false" outlineLevel="0" collapsed="false">
      <c r="A679" s="50" t="n">
        <v>599</v>
      </c>
      <c r="B679" s="51" t="n">
        <f aca="false">1+IF($G$6=$E$6,$F$6,IF(P679&lt;($F$6-$E$6)/($G$6-$E$6),$E$6+SQRT(P679*($G$6-$E$6)*($F$6-$E$6)),$G$6-SQRT((1-P679)*($G$6-$E$6)*($G$6-$F$6))))</f>
        <v>0.990914668996906</v>
      </c>
      <c r="C679" s="51" t="n">
        <f aca="false">1+IF($G$7=$E$7,$F$7,IF(Q679&lt;($F$7-$E$7)/($G$7-$E$7),$E$7+SQRT(Q679*($G$7-$E$7)*($F$7-$E$7)),$G$7-SQRT((1-Q679)*($G$7-$E$7)*($G$7-$F$7))))</f>
        <v>1.05587233076667</v>
      </c>
      <c r="D679" s="51" t="n">
        <f aca="false">1+IF($G$8=$E$8,$F$8,IF(R679&lt;($F$8-$E$8)/($G$8-$E$8),$E$8+SQRT(R679*($G$8-$E$8)*($F$8-$E$8)),$G$8-SQRT((1-R679)*($G$8-$E$8)*($G$8-$F$8))))</f>
        <v>1.04077025725076</v>
      </c>
      <c r="E679" s="51" t="n">
        <f aca="false">1+IF($G$9=$E$9,$F$9,IF(S679&lt;($F$9-$E$9)/($G$9-$E$9),$E$9+SQRT(S679*($G$9-$E$9)*($F$9-$E$9)),$G$9-SQRT((1-S679)*($G$9-$E$9)*($G$9-$F$9))))</f>
        <v>0.997859956958675</v>
      </c>
      <c r="F679" s="51" t="n">
        <f aca="false">1+IF($G$10=$E$10,$F$10,IF(T679&lt;($F$10-$E$10)/($G$10-$E$10),$E$10+SQRT(T679*($G$10-$E$10)*($F$10-$E$10)),$G$10-SQRT((1-T679)*($G$10-$E$10)*($G$10-$F$10))))</f>
        <v>0.956358602763022</v>
      </c>
      <c r="G679" s="52" t="n">
        <f aca="false">IF($G$11=$E$11,$F$11,IF(U679&lt;($F$11-$E$11)/($G$11-$E$11),$E$11+SQRT(U679*($G$11-$E$11)*($F$11-$E$11)),$G$11-SQRT((1-U679)*($G$11-$E$11)*($G$11-$F$11))))</f>
        <v>0.0924811975667741</v>
      </c>
      <c r="H679" s="53" t="n">
        <f aca="false">(('Business Case'!B11*$C679*'Business Case'!B12*$B679)-'Business Case'!B11*$C679*'Business Case'!B13*$D679-'Business Case'!B14*$E679)-MAX(0,(('Business Case'!B11*$C679*'Business Case'!B12*$B679)-'Business Case'!B11*$C679*'Business Case'!B13*$D679-'Business Case'!B14*$E679))*'Business Case'!$B$7-'Business Case'!$B$8*('Business Case'!B11*$C679*'Business Case'!B12*$B679)-'Business Case'!B15*$F679</f>
        <v>-1912717205.52604</v>
      </c>
      <c r="I679" s="53" t="n">
        <f aca="false">(('Business Case'!C11*$C679*'Business Case'!C12*$B679)-'Business Case'!C11*$C679*'Business Case'!C13*$D679-'Business Case'!C14*$E679)-MAX(0,(('Business Case'!C11*$C679*'Business Case'!C12*$B679)-'Business Case'!C11*$C679*'Business Case'!C13*$D679-'Business Case'!C14*$E679))*'Business Case'!$B$7-'Business Case'!$B$8*(('Business Case'!C11*$C679*'Business Case'!C12*$B679)-('Business Case'!B11*$C679*'Business Case'!B12*$B679))-'Business Case'!C15*$F679</f>
        <v>2648084.77414241</v>
      </c>
      <c r="J679" s="53" t="n">
        <f aca="false">(('Business Case'!D11*$C679*'Business Case'!D12*$B679)-'Business Case'!D11*$C679*'Business Case'!D13*$D679-'Business Case'!D14*$E679)-MAX(0,(('Business Case'!D11*$C679*'Business Case'!D12*$B679)-'Business Case'!D11*$C679*'Business Case'!D13*$D679-'Business Case'!D14*$E679))*'Business Case'!$B$7-'Business Case'!$B$8*(('Business Case'!D11*$C679*'Business Case'!D12*$B679)-('Business Case'!C11*$C679*'Business Case'!C12*$B679))-'Business Case'!D15*$F679</f>
        <v>297066838.822649</v>
      </c>
      <c r="K679" s="53" t="n">
        <f aca="false">(('Business Case'!E11*$C679*'Business Case'!E12*$B679)-'Business Case'!E11*$C679*'Business Case'!E13*$D679-'Business Case'!E14*$E679)-MAX(0,(('Business Case'!E11*$C679*'Business Case'!E12*$B679)-'Business Case'!E11*$C679*'Business Case'!E13*$D679-'Business Case'!E14*$E679))*'Business Case'!$B$7-'Business Case'!$B$8*(('Business Case'!E11*$C679*'Business Case'!E12*$B679)-('Business Case'!D11*$C679*'Business Case'!D12*$B679))-'Business Case'!E15*$F679</f>
        <v>639303523.009306</v>
      </c>
      <c r="L679" s="53" t="n">
        <f aca="false">(('Business Case'!F11*$C679*'Business Case'!F12*$B679)-'Business Case'!F11*$C679*'Business Case'!F13*$D679-'Business Case'!F14*$E679)-MAX(0,(('Business Case'!F11*$C679*'Business Case'!F12*$B679)-'Business Case'!F11*$C679*'Business Case'!F13*$D679-'Business Case'!F14*$E679))*'Business Case'!$B$7-'Business Case'!$B$8*(('Business Case'!F11*$C679*'Business Case'!F12*$B679)-('Business Case'!E11*$C679*'Business Case'!E12*$B679))-'Business Case'!F15*$F679</f>
        <v>773602523.104501</v>
      </c>
      <c r="M679" s="53" t="n">
        <f aca="false">(('Business Case'!G11*$C679*'Business Case'!G12*$B679)-'Business Case'!G11*$C679*'Business Case'!G13*$D679-'Business Case'!G14*$E679)-MAX(0,(('Business Case'!G11*$C679*'Business Case'!G12*$B679)-'Business Case'!G11*$C679*'Business Case'!G13*$D679-'Business Case'!G14*$E679))*'Business Case'!$B$7-'Business Case'!$B$8*(('Business Case'!G11*$C679*'Business Case'!G12*$B679)-('Business Case'!F11*$C679*'Business Case'!F12*$B679))-'Business Case'!G15*$F679+'Business Case'!$B$8*('Business Case'!G11*$C679*'Business Case'!G12*$B679)</f>
        <v>972479307.872475</v>
      </c>
      <c r="N679" s="53" t="n">
        <f aca="false">IF(COUNT('Business Case'!B11:G11)=0,"",H679+NPV(G679,I679:M679))</f>
        <v>-3111094.22002888</v>
      </c>
      <c r="P679" s="54" t="n">
        <f aca="true">RAND()</f>
        <v>0.523842737389663</v>
      </c>
      <c r="Q679" s="54" t="n">
        <f aca="true">RAND()</f>
        <v>0.831237750184771</v>
      </c>
      <c r="R679" s="54" t="n">
        <f aca="true">RAND()</f>
        <v>0.852021854214291</v>
      </c>
      <c r="S679" s="54" t="n">
        <f aca="true">RAND()</f>
        <v>0.305410064011492</v>
      </c>
      <c r="T679" s="54" t="n">
        <f aca="true">RAND()</f>
        <v>0.00323454632783313</v>
      </c>
      <c r="U679" s="54" t="n">
        <f aca="true">RAND()</f>
        <v>0.0205211378845526</v>
      </c>
    </row>
    <row r="680" customFormat="false" ht="15" hidden="false" customHeight="false" outlineLevel="0" collapsed="false">
      <c r="A680" s="50" t="n">
        <v>600</v>
      </c>
      <c r="B680" s="51" t="n">
        <f aca="false">1+IF($G$6=$E$6,$F$6,IF(P680&lt;($F$6-$E$6)/($G$6-$E$6),$E$6+SQRT(P680*($G$6-$E$6)*($F$6-$E$6)),$G$6-SQRT((1-P680)*($G$6-$E$6)*($G$6-$F$6))))</f>
        <v>1.00848163097372</v>
      </c>
      <c r="C680" s="51" t="n">
        <f aca="false">1+IF($G$7=$E$7,$F$7,IF(Q680&lt;($F$7-$E$7)/($G$7-$E$7),$E$7+SQRT(Q680*($G$7-$E$7)*($F$7-$E$7)),$G$7-SQRT((1-Q680)*($G$7-$E$7)*($G$7-$F$7))))</f>
        <v>0.917363021611565</v>
      </c>
      <c r="D680" s="51" t="n">
        <f aca="false">1+IF($G$8=$E$8,$F$8,IF(R680&lt;($F$8-$E$8)/($G$8-$E$8),$E$8+SQRT(R680*($G$8-$E$8)*($F$8-$E$8)),$G$8-SQRT((1-R680)*($G$8-$E$8)*($G$8-$F$8))))</f>
        <v>0.967884434781047</v>
      </c>
      <c r="E680" s="51" t="n">
        <f aca="false">1+IF($G$9=$E$9,$F$9,IF(S680&lt;($F$9-$E$9)/($G$9-$E$9),$E$9+SQRT(S680*($G$9-$E$9)*($F$9-$E$9)),$G$9-SQRT((1-S680)*($G$9-$E$9)*($G$9-$F$9))))</f>
        <v>1.02960094785138</v>
      </c>
      <c r="F680" s="51" t="n">
        <f aca="false">1+IF($G$10=$E$10,$F$10,IF(T680&lt;($F$10-$E$10)/($G$10-$E$10),$E$10+SQRT(T680*($G$10-$E$10)*($F$10-$E$10)),$G$10-SQRT((1-T680)*($G$10-$E$10)*($G$10-$F$10))))</f>
        <v>0.985301272459826</v>
      </c>
      <c r="G680" s="52" t="n">
        <f aca="false">IF($G$11=$E$11,$F$11,IF(U680&lt;($F$11-$E$11)/($G$11-$E$11),$E$11+SQRT(U680*($G$11-$E$11)*($F$11-$E$11)),$G$11-SQRT((1-U680)*($G$11-$E$11)*($G$11-$F$11))))</f>
        <v>0.109508003841661</v>
      </c>
      <c r="H680" s="53" t="n">
        <f aca="false">(('Business Case'!B11*$C680*'Business Case'!B12*$B680)-'Business Case'!B11*$C680*'Business Case'!B13*$D680-'Business Case'!B14*$E680)-MAX(0,(('Business Case'!B11*$C680*'Business Case'!B12*$B680)-'Business Case'!B11*$C680*'Business Case'!B13*$D680-'Business Case'!B14*$E680))*'Business Case'!$B$7-'Business Case'!$B$8*('Business Case'!B11*$C680*'Business Case'!B12*$B680)-'Business Case'!B15*$F680</f>
        <v>-1970602544.91965</v>
      </c>
      <c r="I680" s="53" t="n">
        <f aca="false">(('Business Case'!C11*$C680*'Business Case'!C12*$B680)-'Business Case'!C11*$C680*'Business Case'!C13*$D680-'Business Case'!C14*$E680)-MAX(0,(('Business Case'!C11*$C680*'Business Case'!C12*$B680)-'Business Case'!C11*$C680*'Business Case'!C13*$D680-'Business Case'!C14*$E680))*'Business Case'!$B$7-'Business Case'!$B$8*(('Business Case'!C11*$C680*'Business Case'!C12*$B680)-('Business Case'!B11*$C680*'Business Case'!B12*$B680))-'Business Case'!C15*$F680</f>
        <v>10326032.9537233</v>
      </c>
      <c r="J680" s="53" t="n">
        <f aca="false">(('Business Case'!D11*$C680*'Business Case'!D12*$B680)-'Business Case'!D11*$C680*'Business Case'!D13*$D680-'Business Case'!D14*$E680)-MAX(0,(('Business Case'!D11*$C680*'Business Case'!D12*$B680)-'Business Case'!D11*$C680*'Business Case'!D13*$D680-'Business Case'!D14*$E680))*'Business Case'!$B$7-'Business Case'!$B$8*(('Business Case'!D11*$C680*'Business Case'!D12*$B680)-('Business Case'!C11*$C680*'Business Case'!C12*$B680))-'Business Case'!D15*$F680</f>
        <v>313550900.260849</v>
      </c>
      <c r="K680" s="53" t="n">
        <f aca="false">(('Business Case'!E11*$C680*'Business Case'!E12*$B680)-'Business Case'!E11*$C680*'Business Case'!E13*$D680-'Business Case'!E14*$E680)-MAX(0,(('Business Case'!E11*$C680*'Business Case'!E12*$B680)-'Business Case'!E11*$C680*'Business Case'!E13*$D680-'Business Case'!E14*$E680))*'Business Case'!$B$7-'Business Case'!$B$8*(('Business Case'!E11*$C680*'Business Case'!E12*$B680)-('Business Case'!D11*$C680*'Business Case'!D12*$B680))-'Business Case'!E15*$F680</f>
        <v>666040831.190965</v>
      </c>
      <c r="L680" s="53" t="n">
        <f aca="false">(('Business Case'!F11*$C680*'Business Case'!F12*$B680)-'Business Case'!F11*$C680*'Business Case'!F13*$D680-'Business Case'!F14*$E680)-MAX(0,(('Business Case'!F11*$C680*'Business Case'!F12*$B680)-'Business Case'!F11*$C680*'Business Case'!F13*$D680-'Business Case'!F14*$E680))*'Business Case'!$B$7-'Business Case'!$B$8*(('Business Case'!F11*$C680*'Business Case'!F12*$B680)-('Business Case'!E11*$C680*'Business Case'!E12*$B680))-'Business Case'!F15*$F680</f>
        <v>799088755.175309</v>
      </c>
      <c r="M680" s="53" t="n">
        <f aca="false">(('Business Case'!G11*$C680*'Business Case'!G12*$B680)-'Business Case'!G11*$C680*'Business Case'!G13*$D680-'Business Case'!G14*$E680)-MAX(0,(('Business Case'!G11*$C680*'Business Case'!G12*$B680)-'Business Case'!G11*$C680*'Business Case'!G13*$D680-'Business Case'!G14*$E680))*'Business Case'!$B$7-'Business Case'!$B$8*(('Business Case'!G11*$C680*'Business Case'!G12*$B680)-('Business Case'!F11*$C680*'Business Case'!F12*$B680))-'Business Case'!G15*$F680+'Business Case'!$B$8*('Business Case'!G11*$C680*'Business Case'!G12*$B680)</f>
        <v>974940080.359472</v>
      </c>
      <c r="N680" s="53" t="n">
        <f aca="false">IF(COUNT('Business Case'!B11:G11)=0,"",H680+NPV(G680,I680:M680))</f>
        <v>-111751282.480469</v>
      </c>
      <c r="P680" s="54" t="n">
        <f aca="true">RAND()</f>
        <v>0.793040086233986</v>
      </c>
      <c r="Q680" s="54" t="n">
        <f aca="true">RAND()</f>
        <v>0.19677255488281</v>
      </c>
      <c r="R680" s="54" t="n">
        <f aca="true">RAND()</f>
        <v>0.0492081549903892</v>
      </c>
      <c r="S680" s="54" t="n">
        <f aca="true">RAND()</f>
        <v>0.669598230438395</v>
      </c>
      <c r="T680" s="54" t="n">
        <f aca="true">RAND()</f>
        <v>0.0996943869826283</v>
      </c>
      <c r="U680" s="54" t="n">
        <f aca="true">RAND()</f>
        <v>0.816530027688995</v>
      </c>
    </row>
    <row r="681" customFormat="false" ht="15" hidden="false" customHeight="false" outlineLevel="0" collapsed="false">
      <c r="A681" s="50" t="n">
        <v>601</v>
      </c>
      <c r="B681" s="51" t="n">
        <f aca="false">1+IF($G$6=$E$6,$F$6,IF(P681&lt;($F$6-$E$6)/($G$6-$E$6),$E$6+SQRT(P681*($G$6-$E$6)*($F$6-$E$6)),$G$6-SQRT((1-P681)*($G$6-$E$6)*($G$6-$F$6))))</f>
        <v>1.0387722414715</v>
      </c>
      <c r="C681" s="51" t="n">
        <f aca="false">1+IF($G$7=$E$7,$F$7,IF(Q681&lt;($F$7-$E$7)/($G$7-$E$7),$E$7+SQRT(Q681*($G$7-$E$7)*($F$7-$E$7)),$G$7-SQRT((1-Q681)*($G$7-$E$7)*($G$7-$F$7))))</f>
        <v>1.01515982141977</v>
      </c>
      <c r="D681" s="51" t="n">
        <f aca="false">1+IF($G$8=$E$8,$F$8,IF(R681&lt;($F$8-$E$8)/($G$8-$E$8),$E$8+SQRT(R681*($G$8-$E$8)*($F$8-$E$8)),$G$8-SQRT((1-R681)*($G$8-$E$8)*($G$8-$F$8))))</f>
        <v>1.04424172383908</v>
      </c>
      <c r="E681" s="51" t="n">
        <f aca="false">1+IF($G$9=$E$9,$F$9,IF(S681&lt;($F$9-$E$9)/($G$9-$E$9),$E$9+SQRT(S681*($G$9-$E$9)*($F$9-$E$9)),$G$9-SQRT((1-S681)*($G$9-$E$9)*($G$9-$F$9))))</f>
        <v>1.04847966227852</v>
      </c>
      <c r="F681" s="51" t="n">
        <f aca="false">1+IF($G$10=$E$10,$F$10,IF(T681&lt;($F$10-$E$10)/($G$10-$E$10),$E$10+SQRT(T681*($G$10-$E$10)*($F$10-$E$10)),$G$10-SQRT((1-T681)*($G$10-$E$10)*($G$10-$F$10))))</f>
        <v>0.997579811524765</v>
      </c>
      <c r="G681" s="52" t="n">
        <f aca="false">IF($G$11=$E$11,$F$11,IF(U681&lt;($F$11-$E$11)/($G$11-$E$11),$E$11+SQRT(U681*($G$11-$E$11)*($F$11-$E$11)),$G$11-SQRT((1-U681)*($G$11-$E$11)*($G$11-$F$11))))</f>
        <v>0.105038191180573</v>
      </c>
      <c r="H681" s="53" t="n">
        <f aca="false">(('Business Case'!B11*$C681*'Business Case'!B12*$B681)-'Business Case'!B11*$C681*'Business Case'!B13*$D681-'Business Case'!B14*$E681)-MAX(0,(('Business Case'!B11*$C681*'Business Case'!B12*$B681)-'Business Case'!B11*$C681*'Business Case'!B13*$D681-'Business Case'!B14*$E681))*'Business Case'!$B$7-'Business Case'!$B$8*('Business Case'!B11*$C681*'Business Case'!B12*$B681)-'Business Case'!B15*$F681</f>
        <v>-1995159623.04953</v>
      </c>
      <c r="I681" s="53" t="n">
        <f aca="false">(('Business Case'!C11*$C681*'Business Case'!C12*$B681)-'Business Case'!C11*$C681*'Business Case'!C13*$D681-'Business Case'!C14*$E681)-MAX(0,(('Business Case'!C11*$C681*'Business Case'!C12*$B681)-'Business Case'!C11*$C681*'Business Case'!C13*$D681-'Business Case'!C14*$E681))*'Business Case'!$B$7-'Business Case'!$B$8*(('Business Case'!C11*$C681*'Business Case'!C12*$B681)-('Business Case'!B11*$C681*'Business Case'!B12*$B681))-'Business Case'!C15*$F681</f>
        <v>17537397.100535</v>
      </c>
      <c r="J681" s="53" t="n">
        <f aca="false">(('Business Case'!D11*$C681*'Business Case'!D12*$B681)-'Business Case'!D11*$C681*'Business Case'!D13*$D681-'Business Case'!D14*$E681)-MAX(0,(('Business Case'!D11*$C681*'Business Case'!D12*$B681)-'Business Case'!D11*$C681*'Business Case'!D13*$D681-'Business Case'!D14*$E681))*'Business Case'!$B$7-'Business Case'!$B$8*(('Business Case'!D11*$C681*'Business Case'!D12*$B681)-('Business Case'!C11*$C681*'Business Case'!C12*$B681))-'Business Case'!D15*$F681</f>
        <v>338592891.998346</v>
      </c>
      <c r="K681" s="53" t="n">
        <f aca="false">(('Business Case'!E11*$C681*'Business Case'!E12*$B681)-'Business Case'!E11*$C681*'Business Case'!E13*$D681-'Business Case'!E14*$E681)-MAX(0,(('Business Case'!E11*$C681*'Business Case'!E12*$B681)-'Business Case'!E11*$C681*'Business Case'!E13*$D681-'Business Case'!E14*$E681))*'Business Case'!$B$7-'Business Case'!$B$8*(('Business Case'!E11*$C681*'Business Case'!E12*$B681)-('Business Case'!D11*$C681*'Business Case'!D12*$B681))-'Business Case'!E15*$F681</f>
        <v>709527377.472395</v>
      </c>
      <c r="L681" s="53" t="n">
        <f aca="false">(('Business Case'!F11*$C681*'Business Case'!F12*$B681)-'Business Case'!F11*$C681*'Business Case'!F13*$D681-'Business Case'!F14*$E681)-MAX(0,(('Business Case'!F11*$C681*'Business Case'!F12*$B681)-'Business Case'!F11*$C681*'Business Case'!F13*$D681-'Business Case'!F14*$E681))*'Business Case'!$B$7-'Business Case'!$B$8*(('Business Case'!F11*$C681*'Business Case'!F12*$B681)-('Business Case'!E11*$C681*'Business Case'!E12*$B681))-'Business Case'!F15*$F681</f>
        <v>852990081.550861</v>
      </c>
      <c r="M681" s="53" t="n">
        <f aca="false">(('Business Case'!G11*$C681*'Business Case'!G12*$B681)-'Business Case'!G11*$C681*'Business Case'!G13*$D681-'Business Case'!G14*$E681)-MAX(0,(('Business Case'!G11*$C681*'Business Case'!G12*$B681)-'Business Case'!G11*$C681*'Business Case'!G13*$D681-'Business Case'!G14*$E681))*'Business Case'!$B$7-'Business Case'!$B$8*(('Business Case'!G11*$C681*'Business Case'!G12*$B681)-('Business Case'!F11*$C681*'Business Case'!F12*$B681))-'Business Case'!G15*$F681+'Business Case'!$B$8*('Business Case'!G11*$C681*'Business Case'!G12*$B681)</f>
        <v>1053433213.33644</v>
      </c>
      <c r="N681" s="53" t="n">
        <f aca="false">IF(COUNT('Business Case'!B11:G11)=0,"",H681+NPV(G681,I681:M681))</f>
        <v>35188477.8796213</v>
      </c>
      <c r="P681" s="54" t="n">
        <f aca="true">RAND()</f>
        <v>0.999685960207435</v>
      </c>
      <c r="Q681" s="54" t="n">
        <f aca="true">RAND()</f>
        <v>0.65367859505621</v>
      </c>
      <c r="R681" s="54" t="n">
        <f aca="true">RAND()</f>
        <v>0.87705246980762</v>
      </c>
      <c r="S681" s="54" t="n">
        <f aca="true">RAND()</f>
        <v>0.823043653404334</v>
      </c>
      <c r="T681" s="54" t="n">
        <f aca="true">RAND()</f>
        <v>0.181107077178575</v>
      </c>
      <c r="U681" s="54" t="n">
        <f aca="true">RAND()</f>
        <v>0.626907128084882</v>
      </c>
    </row>
    <row r="682" customFormat="false" ht="15" hidden="false" customHeight="false" outlineLevel="0" collapsed="false">
      <c r="A682" s="50" t="n">
        <v>602</v>
      </c>
      <c r="B682" s="51" t="n">
        <f aca="false">1+IF($G$6=$E$6,$F$6,IF(P682&lt;($F$6-$E$6)/($G$6-$E$6),$E$6+SQRT(P682*($G$6-$E$6)*($F$6-$E$6)),$G$6-SQRT((1-P682)*($G$6-$E$6)*($G$6-$F$6))))</f>
        <v>1.01310781136373</v>
      </c>
      <c r="C682" s="51" t="n">
        <f aca="false">1+IF($G$7=$E$7,$F$7,IF(Q682&lt;($F$7-$E$7)/($G$7-$E$7),$E$7+SQRT(Q682*($G$7-$E$7)*($F$7-$E$7)),$G$7-SQRT((1-Q682)*($G$7-$E$7)*($G$7-$F$7))))</f>
        <v>0.948583406369104</v>
      </c>
      <c r="D682" s="51" t="n">
        <f aca="false">1+IF($G$8=$E$8,$F$8,IF(R682&lt;($F$8-$E$8)/($G$8-$E$8),$E$8+SQRT(R682*($G$8-$E$8)*($F$8-$E$8)),$G$8-SQRT((1-R682)*($G$8-$E$8)*($G$8-$F$8))))</f>
        <v>0.984719397557964</v>
      </c>
      <c r="E682" s="51" t="n">
        <f aca="false">1+IF($G$9=$E$9,$F$9,IF(S682&lt;($F$9-$E$9)/($G$9-$E$9),$E$9+SQRT(S682*($G$9-$E$9)*($F$9-$E$9)),$G$9-SQRT((1-S682)*($G$9-$E$9)*($G$9-$F$9))))</f>
        <v>1.08619597524636</v>
      </c>
      <c r="F682" s="51" t="n">
        <f aca="false">1+IF($G$10=$E$10,$F$10,IF(T682&lt;($F$10-$E$10)/($G$10-$E$10),$E$10+SQRT(T682*($G$10-$E$10)*($F$10-$E$10)),$G$10-SQRT((1-T682)*($G$10-$E$10)*($G$10-$F$10))))</f>
        <v>1.08194176667242</v>
      </c>
      <c r="G682" s="52" t="n">
        <f aca="false">IF($G$11=$E$11,$F$11,IF(U682&lt;($F$11-$E$11)/($G$11-$E$11),$E$11+SQRT(U682*($G$11-$E$11)*($F$11-$E$11)),$G$11-SQRT((1-U682)*($G$11-$E$11)*($G$11-$F$11))))</f>
        <v>0.111234094312934</v>
      </c>
      <c r="H682" s="53" t="n">
        <f aca="false">(('Business Case'!B11*$C682*'Business Case'!B12*$B682)-'Business Case'!B11*$C682*'Business Case'!B13*$D682-'Business Case'!B14*$E682)-MAX(0,(('Business Case'!B11*$C682*'Business Case'!B12*$B682)-'Business Case'!B11*$C682*'Business Case'!B13*$D682-'Business Case'!B14*$E682))*'Business Case'!$B$7-'Business Case'!$B$8*('Business Case'!B11*$C682*'Business Case'!B12*$B682)-'Business Case'!B15*$F682</f>
        <v>-2163883533.34485</v>
      </c>
      <c r="I682" s="53" t="n">
        <f aca="false">(('Business Case'!C11*$C682*'Business Case'!C12*$B682)-'Business Case'!C11*$C682*'Business Case'!C13*$D682-'Business Case'!C14*$E682)-MAX(0,(('Business Case'!C11*$C682*'Business Case'!C12*$B682)-'Business Case'!C11*$C682*'Business Case'!C13*$D682-'Business Case'!C14*$E682))*'Business Case'!$B$7-'Business Case'!$B$8*(('Business Case'!C11*$C682*'Business Case'!C12*$B682)-('Business Case'!B11*$C682*'Business Case'!B12*$B682))-'Business Case'!C15*$F682</f>
        <v>-3506625.81668745</v>
      </c>
      <c r="J682" s="53" t="n">
        <f aca="false">(('Business Case'!D11*$C682*'Business Case'!D12*$B682)-'Business Case'!D11*$C682*'Business Case'!D13*$D682-'Business Case'!D14*$E682)-MAX(0,(('Business Case'!D11*$C682*'Business Case'!D12*$B682)-'Business Case'!D11*$C682*'Business Case'!D13*$D682-'Business Case'!D14*$E682))*'Business Case'!$B$7-'Business Case'!$B$8*(('Business Case'!D11*$C682*'Business Case'!D12*$B682)-('Business Case'!C11*$C682*'Business Case'!C12*$B682))-'Business Case'!D15*$F682</f>
        <v>305457127.406077</v>
      </c>
      <c r="K682" s="53" t="n">
        <f aca="false">(('Business Case'!E11*$C682*'Business Case'!E12*$B682)-'Business Case'!E11*$C682*'Business Case'!E13*$D682-'Business Case'!E14*$E682)-MAX(0,(('Business Case'!E11*$C682*'Business Case'!E12*$B682)-'Business Case'!E11*$C682*'Business Case'!E13*$D682-'Business Case'!E14*$E682))*'Business Case'!$B$7-'Business Case'!$B$8*(('Business Case'!E11*$C682*'Business Case'!E12*$B682)-('Business Case'!D11*$C682*'Business Case'!D12*$B682))-'Business Case'!E15*$F682</f>
        <v>668517968.962462</v>
      </c>
      <c r="L682" s="53" t="n">
        <f aca="false">(('Business Case'!F11*$C682*'Business Case'!F12*$B682)-'Business Case'!F11*$C682*'Business Case'!F13*$D682-'Business Case'!F14*$E682)-MAX(0,(('Business Case'!F11*$C682*'Business Case'!F12*$B682)-'Business Case'!F11*$C682*'Business Case'!F13*$D682-'Business Case'!F14*$E682))*'Business Case'!$B$7-'Business Case'!$B$8*(('Business Case'!F11*$C682*'Business Case'!F12*$B682)-('Business Case'!E11*$C682*'Business Case'!E12*$B682))-'Business Case'!F15*$F682</f>
        <v>804718643.164835</v>
      </c>
      <c r="M682" s="53" t="n">
        <f aca="false">(('Business Case'!G11*$C682*'Business Case'!G12*$B682)-'Business Case'!G11*$C682*'Business Case'!G13*$D682-'Business Case'!G14*$E682)-MAX(0,(('Business Case'!G11*$C682*'Business Case'!G12*$B682)-'Business Case'!G11*$C682*'Business Case'!G13*$D682-'Business Case'!G14*$E682))*'Business Case'!$B$7-'Business Case'!$B$8*(('Business Case'!G11*$C682*'Business Case'!G12*$B682)-('Business Case'!F11*$C682*'Business Case'!F12*$B682))-'Business Case'!G15*$F682+'Business Case'!$B$8*('Business Case'!G11*$C682*'Business Case'!G12*$B682)</f>
        <v>987388803.702818</v>
      </c>
      <c r="N682" s="53" t="n">
        <f aca="false">IF(COUNT('Business Case'!B11:G11)=0,"",H682+NPV(G682,I682:M682))</f>
        <v>-322022965.767535</v>
      </c>
      <c r="P682" s="54" t="n">
        <f aca="true">RAND()</f>
        <v>0.849335456323174</v>
      </c>
      <c r="Q682" s="54" t="n">
        <f aca="true">RAND()</f>
        <v>0.315386123546376</v>
      </c>
      <c r="R682" s="54" t="n">
        <f aca="true">RAND()</f>
        <v>0.185451779505844</v>
      </c>
      <c r="S682" s="54" t="n">
        <f aca="true">RAND()</f>
        <v>0.987296593373386</v>
      </c>
      <c r="T682" s="54" t="n">
        <f aca="true">RAND()</f>
        <v>0.721245070871433</v>
      </c>
      <c r="U682" s="54" t="n">
        <f aca="true">RAND()</f>
        <v>0.871931495809117</v>
      </c>
    </row>
    <row r="683" customFormat="false" ht="15" hidden="false" customHeight="false" outlineLevel="0" collapsed="false">
      <c r="A683" s="50" t="n">
        <v>603</v>
      </c>
      <c r="B683" s="51" t="n">
        <f aca="false">1+IF($G$6=$E$6,$F$6,IF(P683&lt;($F$6-$E$6)/($G$6-$E$6),$E$6+SQRT(P683*($G$6-$E$6)*($F$6-$E$6)),$G$6-SQRT((1-P683)*($G$6-$E$6)*($G$6-$F$6))))</f>
        <v>0.953176356015585</v>
      </c>
      <c r="C683" s="51" t="n">
        <f aca="false">1+IF($G$7=$E$7,$F$7,IF(Q683&lt;($F$7-$E$7)/($G$7-$E$7),$E$7+SQRT(Q683*($G$7-$E$7)*($F$7-$E$7)),$G$7-SQRT((1-Q683)*($G$7-$E$7)*($G$7-$F$7))))</f>
        <v>1.00017986692303</v>
      </c>
      <c r="D683" s="51" t="n">
        <f aca="false">1+IF($G$8=$E$8,$F$8,IF(R683&lt;($F$8-$E$8)/($G$8-$E$8),$E$8+SQRT(R683*($G$8-$E$8)*($F$8-$E$8)),$G$8-SQRT((1-R683)*($G$8-$E$8)*($G$8-$F$8))))</f>
        <v>0.983875542370327</v>
      </c>
      <c r="E683" s="51" t="n">
        <f aca="false">1+IF($G$9=$E$9,$F$9,IF(S683&lt;($F$9-$E$9)/($G$9-$E$9),$E$9+SQRT(S683*($G$9-$E$9)*($F$9-$E$9)),$G$9-SQRT((1-S683)*($G$9-$E$9)*($G$9-$F$9))))</f>
        <v>1.02683892861648</v>
      </c>
      <c r="F683" s="51" t="n">
        <f aca="false">1+IF($G$10=$E$10,$F$10,IF(T683&lt;($F$10-$E$10)/($G$10-$E$10),$E$10+SQRT(T683*($G$10-$E$10)*($F$10-$E$10)),$G$10-SQRT((1-T683)*($G$10-$E$10)*($G$10-$F$10))))</f>
        <v>0.98831441960768</v>
      </c>
      <c r="G683" s="52" t="n">
        <f aca="false">IF($G$11=$E$11,$F$11,IF(U683&lt;($F$11-$E$11)/($G$11-$E$11),$E$11+SQRT(U683*($G$11-$E$11)*($F$11-$E$11)),$G$11-SQRT((1-U683)*($G$11-$E$11)*($G$11-$F$11))))</f>
        <v>0.112209096317242</v>
      </c>
      <c r="H683" s="53" t="n">
        <f aca="false">(('Business Case'!B11*$C683*'Business Case'!B12*$B683)-'Business Case'!B11*$C683*'Business Case'!B13*$D683-'Business Case'!B14*$E683)-MAX(0,(('Business Case'!B11*$C683*'Business Case'!B12*$B683)-'Business Case'!B11*$C683*'Business Case'!B13*$D683-'Business Case'!B14*$E683))*'Business Case'!$B$7-'Business Case'!$B$8*('Business Case'!B11*$C683*'Business Case'!B12*$B683)-'Business Case'!B15*$F683</f>
        <v>-1976628839.21536</v>
      </c>
      <c r="I683" s="53" t="n">
        <f aca="false">(('Business Case'!C11*$C683*'Business Case'!C12*$B683)-'Business Case'!C11*$C683*'Business Case'!C13*$D683-'Business Case'!C14*$E683)-MAX(0,(('Business Case'!C11*$C683*'Business Case'!C12*$B683)-'Business Case'!C11*$C683*'Business Case'!C13*$D683-'Business Case'!C14*$E683))*'Business Case'!$B$7-'Business Case'!$B$8*(('Business Case'!C11*$C683*'Business Case'!C12*$B683)-('Business Case'!B11*$C683*'Business Case'!B12*$B683))-'Business Case'!C15*$F683</f>
        <v>-17165158.0454064</v>
      </c>
      <c r="J683" s="53" t="n">
        <f aca="false">(('Business Case'!D11*$C683*'Business Case'!D12*$B683)-'Business Case'!D11*$C683*'Business Case'!D13*$D683-'Business Case'!D14*$E683)-MAX(0,(('Business Case'!D11*$C683*'Business Case'!D12*$B683)-'Business Case'!D11*$C683*'Business Case'!D13*$D683-'Business Case'!D14*$E683))*'Business Case'!$B$7-'Business Case'!$B$8*(('Business Case'!D11*$C683*'Business Case'!D12*$B683)-('Business Case'!C11*$C683*'Business Case'!C12*$B683))-'Business Case'!D15*$F683</f>
        <v>259939171.518593</v>
      </c>
      <c r="K683" s="53" t="n">
        <f aca="false">(('Business Case'!E11*$C683*'Business Case'!E12*$B683)-'Business Case'!E11*$C683*'Business Case'!E13*$D683-'Business Case'!E14*$E683)-MAX(0,(('Business Case'!E11*$C683*'Business Case'!E12*$B683)-'Business Case'!E11*$C683*'Business Case'!E13*$D683-'Business Case'!E14*$E683))*'Business Case'!$B$7-'Business Case'!$B$8*(('Business Case'!E11*$C683*'Business Case'!E12*$B683)-('Business Case'!D11*$C683*'Business Case'!D12*$B683))-'Business Case'!E15*$F683</f>
        <v>586459222.062977</v>
      </c>
      <c r="L683" s="53" t="n">
        <f aca="false">(('Business Case'!F11*$C683*'Business Case'!F12*$B683)-'Business Case'!F11*$C683*'Business Case'!F13*$D683-'Business Case'!F14*$E683)-MAX(0,(('Business Case'!F11*$C683*'Business Case'!F12*$B683)-'Business Case'!F11*$C683*'Business Case'!F13*$D683-'Business Case'!F14*$E683))*'Business Case'!$B$7-'Business Case'!$B$8*(('Business Case'!F11*$C683*'Business Case'!F12*$B683)-('Business Case'!E11*$C683*'Business Case'!E12*$B683))-'Business Case'!F15*$F683</f>
        <v>711775031.917225</v>
      </c>
      <c r="M683" s="53" t="n">
        <f aca="false">(('Business Case'!G11*$C683*'Business Case'!G12*$B683)-'Business Case'!G11*$C683*'Business Case'!G13*$D683-'Business Case'!G14*$E683)-MAX(0,(('Business Case'!G11*$C683*'Business Case'!G12*$B683)-'Business Case'!G11*$C683*'Business Case'!G13*$D683-'Business Case'!G14*$E683))*'Business Case'!$B$7-'Business Case'!$B$8*(('Business Case'!G11*$C683*'Business Case'!G12*$B683)-('Business Case'!F11*$C683*'Business Case'!F12*$B683))-'Business Case'!G15*$F683+'Business Case'!$B$8*('Business Case'!G11*$C683*'Business Case'!G12*$B683)</f>
        <v>892987381.91493</v>
      </c>
      <c r="N683" s="53" t="n">
        <f aca="false">IF(COUNT('Business Case'!B11:G11)=0,"",H683+NPV(G683,I683:M683))</f>
        <v>-365806468.633666</v>
      </c>
      <c r="P683" s="54" t="n">
        <f aca="true">RAND()</f>
        <v>0.114653187340921</v>
      </c>
      <c r="Q683" s="54" t="n">
        <f aca="true">RAND()</f>
        <v>0.572455766186656</v>
      </c>
      <c r="R683" s="54" t="n">
        <f aca="true">RAND()</f>
        <v>0.17654651859751</v>
      </c>
      <c r="S683" s="54" t="n">
        <f aca="true">RAND()</f>
        <v>0.643163842267725</v>
      </c>
      <c r="T683" s="54" t="n">
        <f aca="true">RAND()</f>
        <v>0.117439579989869</v>
      </c>
      <c r="U683" s="54" t="n">
        <f aca="true">RAND()</f>
        <v>0.898836366343308</v>
      </c>
    </row>
    <row r="684" customFormat="false" ht="15" hidden="false" customHeight="false" outlineLevel="0" collapsed="false">
      <c r="A684" s="50" t="n">
        <v>604</v>
      </c>
      <c r="B684" s="51" t="n">
        <f aca="false">1+IF($G$6=$E$6,$F$6,IF(P684&lt;($F$6-$E$6)/($G$6-$E$6),$E$6+SQRT(P684*($G$6-$E$6)*($F$6-$E$6)),$G$6-SQRT((1-P684)*($G$6-$E$6)*($G$6-$F$6))))</f>
        <v>0.996532978563522</v>
      </c>
      <c r="C684" s="51" t="n">
        <f aca="false">1+IF($G$7=$E$7,$F$7,IF(Q684&lt;($F$7-$E$7)/($G$7-$E$7),$E$7+SQRT(Q684*($G$7-$E$7)*($F$7-$E$7)),$G$7-SQRT((1-Q684)*($G$7-$E$7)*($G$7-$F$7))))</f>
        <v>1.02575370019858</v>
      </c>
      <c r="D684" s="51" t="n">
        <f aca="false">1+IF($G$8=$E$8,$F$8,IF(R684&lt;($F$8-$E$8)/($G$8-$E$8),$E$8+SQRT(R684*($G$8-$E$8)*($F$8-$E$8)),$G$8-SQRT((1-R684)*($G$8-$E$8)*($G$8-$F$8))))</f>
        <v>0.993425841947447</v>
      </c>
      <c r="E684" s="51" t="n">
        <f aca="false">1+IF($G$9=$E$9,$F$9,IF(S684&lt;($F$9-$E$9)/($G$9-$E$9),$E$9+SQRT(S684*($G$9-$E$9)*($F$9-$E$9)),$G$9-SQRT((1-S684)*($G$9-$E$9)*($G$9-$F$9))))</f>
        <v>1.05225395171111</v>
      </c>
      <c r="F684" s="51" t="n">
        <f aca="false">1+IF($G$10=$E$10,$F$10,IF(T684&lt;($F$10-$E$10)/($G$10-$E$10),$E$10+SQRT(T684*($G$10-$E$10)*($F$10-$E$10)),$G$10-SQRT((1-T684)*($G$10-$E$10)*($G$10-$F$10))))</f>
        <v>1.01511557170091</v>
      </c>
      <c r="G684" s="52" t="n">
        <f aca="false">IF($G$11=$E$11,$F$11,IF(U684&lt;($F$11-$E$11)/($G$11-$E$11),$E$11+SQRT(U684*($G$11-$E$11)*($F$11-$E$11)),$G$11-SQRT((1-U684)*($G$11-$E$11)*($G$11-$F$11))))</f>
        <v>0.105480249918363</v>
      </c>
      <c r="H684" s="53" t="n">
        <f aca="false">(('Business Case'!B11*$C684*'Business Case'!B12*$B684)-'Business Case'!B11*$C684*'Business Case'!B13*$D684-'Business Case'!B14*$E684)-MAX(0,(('Business Case'!B11*$C684*'Business Case'!B12*$B684)-'Business Case'!B11*$C684*'Business Case'!B13*$D684-'Business Case'!B14*$E684))*'Business Case'!$B$7-'Business Case'!$B$8*('Business Case'!B11*$C684*'Business Case'!B12*$B684)-'Business Case'!B15*$F684</f>
        <v>-2030231143.40182</v>
      </c>
      <c r="I684" s="53" t="n">
        <f aca="false">(('Business Case'!C11*$C684*'Business Case'!C12*$B684)-'Business Case'!C11*$C684*'Business Case'!C13*$D684-'Business Case'!C14*$E684)-MAX(0,(('Business Case'!C11*$C684*'Business Case'!C12*$B684)-'Business Case'!C11*$C684*'Business Case'!C13*$D684-'Business Case'!C14*$E684))*'Business Case'!$B$7-'Business Case'!$B$8*(('Business Case'!C11*$C684*'Business Case'!C12*$B684)-('Business Case'!B11*$C684*'Business Case'!B12*$B684))-'Business Case'!C15*$F684</f>
        <v>11468760.3163302</v>
      </c>
      <c r="J684" s="53" t="n">
        <f aca="false">(('Business Case'!D11*$C684*'Business Case'!D12*$B684)-'Business Case'!D11*$C684*'Business Case'!D13*$D684-'Business Case'!D14*$E684)-MAX(0,(('Business Case'!D11*$C684*'Business Case'!D12*$B684)-'Business Case'!D11*$C684*'Business Case'!D13*$D684-'Business Case'!D14*$E684))*'Business Case'!$B$7-'Business Case'!$B$8*(('Business Case'!D11*$C684*'Business Case'!D12*$B684)-('Business Case'!C11*$C684*'Business Case'!C12*$B684))-'Business Case'!D15*$F684</f>
        <v>327070302.440485</v>
      </c>
      <c r="K684" s="53" t="n">
        <f aca="false">(('Business Case'!E11*$C684*'Business Case'!E12*$B684)-'Business Case'!E11*$C684*'Business Case'!E13*$D684-'Business Case'!E14*$E684)-MAX(0,(('Business Case'!E11*$C684*'Business Case'!E12*$B684)-'Business Case'!E11*$C684*'Business Case'!E13*$D684-'Business Case'!E14*$E684))*'Business Case'!$B$7-'Business Case'!$B$8*(('Business Case'!E11*$C684*'Business Case'!E12*$B684)-('Business Case'!D11*$C684*'Business Case'!D12*$B684))-'Business Case'!E15*$F684</f>
        <v>693427623.149684</v>
      </c>
      <c r="L684" s="53" t="n">
        <f aca="false">(('Business Case'!F11*$C684*'Business Case'!F12*$B684)-'Business Case'!F11*$C684*'Business Case'!F13*$D684-'Business Case'!F14*$E684)-MAX(0,(('Business Case'!F11*$C684*'Business Case'!F12*$B684)-'Business Case'!F11*$C684*'Business Case'!F13*$D684-'Business Case'!F14*$E684))*'Business Case'!$B$7-'Business Case'!$B$8*(('Business Case'!F11*$C684*'Business Case'!F12*$B684)-('Business Case'!E11*$C684*'Business Case'!E12*$B684))-'Business Case'!F15*$F684</f>
        <v>833955278.994011</v>
      </c>
      <c r="M684" s="53" t="n">
        <f aca="false">(('Business Case'!G11*$C684*'Business Case'!G12*$B684)-'Business Case'!G11*$C684*'Business Case'!G13*$D684-'Business Case'!G14*$E684)-MAX(0,(('Business Case'!G11*$C684*'Business Case'!G12*$B684)-'Business Case'!G11*$C684*'Business Case'!G13*$D684-'Business Case'!G14*$E684))*'Business Case'!$B$7-'Business Case'!$B$8*(('Business Case'!G11*$C684*'Business Case'!G12*$B684)-('Business Case'!F11*$C684*'Business Case'!F12*$B684))-'Business Case'!G15*$F684+'Business Case'!$B$8*('Business Case'!G11*$C684*'Business Case'!G12*$B684)</f>
        <v>1028254558.9102</v>
      </c>
      <c r="N684" s="53" t="n">
        <f aca="false">IF(COUNT('Business Case'!B11:G11)=0,"",H684+NPV(G684,I684:M684))</f>
        <v>-57763942.7687423</v>
      </c>
      <c r="P684" s="54" t="n">
        <f aca="true">RAND()</f>
        <v>0.610135084146301</v>
      </c>
      <c r="Q684" s="54" t="n">
        <f aca="true">RAND()</f>
        <v>0.705959180679142</v>
      </c>
      <c r="R684" s="54" t="n">
        <f aca="true">RAND()</f>
        <v>0.290123653668408</v>
      </c>
      <c r="S684" s="54" t="n">
        <f aca="true">RAND()</f>
        <v>0.848020991519649</v>
      </c>
      <c r="T684" s="54" t="n">
        <f aca="true">RAND()</f>
        <v>0.316354963450355</v>
      </c>
      <c r="U684" s="54" t="n">
        <f aca="true">RAND()</f>
        <v>0.648628095944672</v>
      </c>
    </row>
    <row r="685" customFormat="false" ht="15" hidden="false" customHeight="false" outlineLevel="0" collapsed="false">
      <c r="A685" s="50" t="n">
        <v>605</v>
      </c>
      <c r="B685" s="51" t="n">
        <f aca="false">1+IF($G$6=$E$6,$F$6,IF(P685&lt;($F$6-$E$6)/($G$6-$E$6),$E$6+SQRT(P685*($G$6-$E$6)*($F$6-$E$6)),$G$6-SQRT((1-P685)*($G$6-$E$6)*($G$6-$F$6))))</f>
        <v>0.989993780737888</v>
      </c>
      <c r="C685" s="51" t="n">
        <f aca="false">1+IF($G$7=$E$7,$F$7,IF(Q685&lt;($F$7-$E$7)/($G$7-$E$7),$E$7+SQRT(Q685*($G$7-$E$7)*($F$7-$E$7)),$G$7-SQRT((1-Q685)*($G$7-$E$7)*($G$7-$F$7))))</f>
        <v>0.961708699437269</v>
      </c>
      <c r="D685" s="51" t="n">
        <f aca="false">1+IF($G$8=$E$8,$F$8,IF(R685&lt;($F$8-$E$8)/($G$8-$E$8),$E$8+SQRT(R685*($G$8-$E$8)*($F$8-$E$8)),$G$8-SQRT((1-R685)*($G$8-$E$8)*($G$8-$F$8))))</f>
        <v>0.985986969757733</v>
      </c>
      <c r="E685" s="51" t="n">
        <f aca="false">1+IF($G$9=$E$9,$F$9,IF(S685&lt;($F$9-$E$9)/($G$9-$E$9),$E$9+SQRT(S685*($G$9-$E$9)*($F$9-$E$9)),$G$9-SQRT((1-S685)*($G$9-$E$9)*($G$9-$F$9))))</f>
        <v>1.03309929465653</v>
      </c>
      <c r="F685" s="51" t="n">
        <f aca="false">1+IF($G$10=$E$10,$F$10,IF(T685&lt;($F$10-$E$10)/($G$10-$E$10),$E$10+SQRT(T685*($G$10-$E$10)*($F$10-$E$10)),$G$10-SQRT((1-T685)*($G$10-$E$10)*($G$10-$F$10))))</f>
        <v>0.996151306198023</v>
      </c>
      <c r="G685" s="52" t="n">
        <f aca="false">IF($G$11=$E$11,$F$11,IF(U685&lt;($F$11-$E$11)/($G$11-$E$11),$E$11+SQRT(U685*($G$11-$E$11)*($F$11-$E$11)),$G$11-SQRT((1-U685)*($G$11-$E$11)*($G$11-$F$11))))</f>
        <v>0.0986586348368725</v>
      </c>
      <c r="H685" s="53" t="n">
        <f aca="false">(('Business Case'!B11*$C685*'Business Case'!B12*$B685)-'Business Case'!B11*$C685*'Business Case'!B13*$D685-'Business Case'!B14*$E685)-MAX(0,(('Business Case'!B11*$C685*'Business Case'!B12*$B685)-'Business Case'!B11*$C685*'Business Case'!B13*$D685-'Business Case'!B14*$E685))*'Business Case'!$B$7-'Business Case'!$B$8*('Business Case'!B11*$C685*'Business Case'!B12*$B685)-'Business Case'!B15*$F685</f>
        <v>-1992302612.39605</v>
      </c>
      <c r="I685" s="53" t="n">
        <f aca="false">(('Business Case'!C11*$C685*'Business Case'!C12*$B685)-'Business Case'!C11*$C685*'Business Case'!C13*$D685-'Business Case'!C14*$E685)-MAX(0,(('Business Case'!C11*$C685*'Business Case'!C12*$B685)-'Business Case'!C11*$C685*'Business Case'!C13*$D685-'Business Case'!C14*$E685))*'Business Case'!$B$7-'Business Case'!$B$8*(('Business Case'!C11*$C685*'Business Case'!C12*$B685)-('Business Case'!B11*$C685*'Business Case'!B12*$B685))-'Business Case'!C15*$F685</f>
        <v>-1470338.77803063</v>
      </c>
      <c r="J685" s="53" t="n">
        <f aca="false">(('Business Case'!D11*$C685*'Business Case'!D12*$B685)-'Business Case'!D11*$C685*'Business Case'!D13*$D685-'Business Case'!D14*$E685)-MAX(0,(('Business Case'!D11*$C685*'Business Case'!D12*$B685)-'Business Case'!D11*$C685*'Business Case'!D13*$D685-'Business Case'!D14*$E685))*'Business Case'!$B$7-'Business Case'!$B$8*(('Business Case'!D11*$C685*'Business Case'!D12*$B685)-('Business Case'!C11*$C685*'Business Case'!C12*$B685))-'Business Case'!D15*$F685</f>
        <v>292937291.891757</v>
      </c>
      <c r="K685" s="53" t="n">
        <f aca="false">(('Business Case'!E11*$C685*'Business Case'!E12*$B685)-'Business Case'!E11*$C685*'Business Case'!E13*$D685-'Business Case'!E14*$E685)-MAX(0,(('Business Case'!E11*$C685*'Business Case'!E12*$B685)-'Business Case'!E11*$C685*'Business Case'!E13*$D685-'Business Case'!E14*$E685))*'Business Case'!$B$7-'Business Case'!$B$8*(('Business Case'!E11*$C685*'Business Case'!E12*$B685)-('Business Case'!D11*$C685*'Business Case'!D12*$B685))-'Business Case'!E15*$F685</f>
        <v>637152487.871446</v>
      </c>
      <c r="L685" s="53" t="n">
        <f aca="false">(('Business Case'!F11*$C685*'Business Case'!F12*$B685)-'Business Case'!F11*$C685*'Business Case'!F13*$D685-'Business Case'!F14*$E685)-MAX(0,(('Business Case'!F11*$C685*'Business Case'!F12*$B685)-'Business Case'!F11*$C685*'Business Case'!F13*$D685-'Business Case'!F14*$E685))*'Business Case'!$B$7-'Business Case'!$B$8*(('Business Case'!F11*$C685*'Business Case'!F12*$B685)-('Business Case'!E11*$C685*'Business Case'!E12*$B685))-'Business Case'!F15*$F685</f>
        <v>768192444.179947</v>
      </c>
      <c r="M685" s="53" t="n">
        <f aca="false">(('Business Case'!G11*$C685*'Business Case'!G12*$B685)-'Business Case'!G11*$C685*'Business Case'!G13*$D685-'Business Case'!G14*$E685)-MAX(0,(('Business Case'!G11*$C685*'Business Case'!G12*$B685)-'Business Case'!G11*$C685*'Business Case'!G13*$D685-'Business Case'!G14*$E685))*'Business Case'!$B$7-'Business Case'!$B$8*(('Business Case'!G11*$C685*'Business Case'!G12*$B685)-('Business Case'!F11*$C685*'Business Case'!F12*$B685))-'Business Case'!G15*$F685+'Business Case'!$B$8*('Business Case'!G11*$C685*'Business Case'!G12*$B685)</f>
        <v>949164880.982093</v>
      </c>
      <c r="N685" s="53" t="n">
        <f aca="false">IF(COUNT('Business Case'!B11:G11)=0,"",H685+NPV(G685,I685:M685))</f>
        <v>-150278742.456867</v>
      </c>
      <c r="P685" s="54" t="n">
        <f aca="true">RAND()</f>
        <v>0.510325973123291</v>
      </c>
      <c r="Q685" s="54" t="n">
        <f aca="true">RAND()</f>
        <v>0.373567192481329</v>
      </c>
      <c r="R685" s="54" t="n">
        <f aca="true">RAND()</f>
        <v>0.199240306514458</v>
      </c>
      <c r="S685" s="54" t="n">
        <f aca="true">RAND()</f>
        <v>0.701619708303048</v>
      </c>
      <c r="T685" s="54" t="n">
        <f aca="true">RAND()</f>
        <v>0.170395445102691</v>
      </c>
      <c r="U685" s="54" t="n">
        <f aca="true">RAND()</f>
        <v>0.249906524127674</v>
      </c>
    </row>
    <row r="686" customFormat="false" ht="15" hidden="false" customHeight="false" outlineLevel="0" collapsed="false">
      <c r="A686" s="50" t="n">
        <v>606</v>
      </c>
      <c r="B686" s="51" t="n">
        <f aca="false">1+IF($G$6=$E$6,$F$6,IF(P686&lt;($F$6-$E$6)/($G$6-$E$6),$E$6+SQRT(P686*($G$6-$E$6)*($F$6-$E$6)),$G$6-SQRT((1-P686)*($G$6-$E$6)*($G$6-$F$6))))</f>
        <v>1.02793836811887</v>
      </c>
      <c r="C686" s="51" t="n">
        <f aca="false">1+IF($G$7=$E$7,$F$7,IF(Q686&lt;($F$7-$E$7)/($G$7-$E$7),$E$7+SQRT(Q686*($G$7-$E$7)*($F$7-$E$7)),$G$7-SQRT((1-Q686)*($G$7-$E$7)*($G$7-$F$7))))</f>
        <v>1.01133426704931</v>
      </c>
      <c r="D686" s="51" t="n">
        <f aca="false">1+IF($G$8=$E$8,$F$8,IF(R686&lt;($F$8-$E$8)/($G$8-$E$8),$E$8+SQRT(R686*($G$8-$E$8)*($F$8-$E$8)),$G$8-SQRT((1-R686)*($G$8-$E$8)*($G$8-$F$8))))</f>
        <v>1.02736648007324</v>
      </c>
      <c r="E686" s="51" t="n">
        <f aca="false">1+IF($G$9=$E$9,$F$9,IF(S686&lt;($F$9-$E$9)/($G$9-$E$9),$E$9+SQRT(S686*($G$9-$E$9)*($F$9-$E$9)),$G$9-SQRT((1-S686)*($G$9-$E$9)*($G$9-$F$9))))</f>
        <v>1.02624216717916</v>
      </c>
      <c r="F686" s="51" t="n">
        <f aca="false">1+IF($G$10=$E$10,$F$10,IF(T686&lt;($F$10-$E$10)/($G$10-$E$10),$E$10+SQRT(T686*($G$10-$E$10)*($F$10-$E$10)),$G$10-SQRT((1-T686)*($G$10-$E$10)*($G$10-$F$10))))</f>
        <v>0.973088121346555</v>
      </c>
      <c r="G686" s="52" t="n">
        <f aca="false">IF($G$11=$E$11,$F$11,IF(U686&lt;($F$11-$E$11)/($G$11-$E$11),$E$11+SQRT(U686*($G$11-$E$11)*($F$11-$E$11)),$G$11-SQRT((1-U686)*($G$11-$E$11)*($G$11-$F$11))))</f>
        <v>0.0964656737290718</v>
      </c>
      <c r="H686" s="53" t="n">
        <f aca="false">(('Business Case'!B11*$C686*'Business Case'!B12*$B686)-'Business Case'!B11*$C686*'Business Case'!B13*$D686-'Business Case'!B14*$E686)-MAX(0,(('Business Case'!B11*$C686*'Business Case'!B12*$B686)-'Business Case'!B11*$C686*'Business Case'!B13*$D686-'Business Case'!B14*$E686))*'Business Case'!$B$7-'Business Case'!$B$8*('Business Case'!B11*$C686*'Business Case'!B12*$B686)-'Business Case'!B15*$F686</f>
        <v>-1946176242.69311</v>
      </c>
      <c r="I686" s="53" t="n">
        <f aca="false">(('Business Case'!C11*$C686*'Business Case'!C12*$B686)-'Business Case'!C11*$C686*'Business Case'!C13*$D686-'Business Case'!C14*$E686)-MAX(0,(('Business Case'!C11*$C686*'Business Case'!C12*$B686)-'Business Case'!C11*$C686*'Business Case'!C13*$D686-'Business Case'!C14*$E686))*'Business Case'!$B$7-'Business Case'!$B$8*(('Business Case'!C11*$C686*'Business Case'!C12*$B686)-('Business Case'!B11*$C686*'Business Case'!B12*$B686))-'Business Case'!C15*$F686</f>
        <v>22475253.2155185</v>
      </c>
      <c r="J686" s="53" t="n">
        <f aca="false">(('Business Case'!D11*$C686*'Business Case'!D12*$B686)-'Business Case'!D11*$C686*'Business Case'!D13*$D686-'Business Case'!D14*$E686)-MAX(0,(('Business Case'!D11*$C686*'Business Case'!D12*$B686)-'Business Case'!D11*$C686*'Business Case'!D13*$D686-'Business Case'!D14*$E686))*'Business Case'!$B$7-'Business Case'!$B$8*(('Business Case'!D11*$C686*'Business Case'!D12*$B686)-('Business Case'!C11*$C686*'Business Case'!C12*$B686))-'Business Case'!D15*$F686</f>
        <v>342083263.848049</v>
      </c>
      <c r="K686" s="53" t="n">
        <f aca="false">(('Business Case'!E11*$C686*'Business Case'!E12*$B686)-'Business Case'!E11*$C686*'Business Case'!E13*$D686-'Business Case'!E14*$E686)-MAX(0,(('Business Case'!E11*$C686*'Business Case'!E12*$B686)-'Business Case'!E11*$C686*'Business Case'!E13*$D686-'Business Case'!E14*$E686))*'Business Case'!$B$7-'Business Case'!$B$8*(('Business Case'!E11*$C686*'Business Case'!E12*$B686)-('Business Case'!D11*$C686*'Business Case'!D12*$B686))-'Business Case'!E15*$F686</f>
        <v>710345680.547908</v>
      </c>
      <c r="L686" s="53" t="n">
        <f aca="false">(('Business Case'!F11*$C686*'Business Case'!F12*$B686)-'Business Case'!F11*$C686*'Business Case'!F13*$D686-'Business Case'!F14*$E686)-MAX(0,(('Business Case'!F11*$C686*'Business Case'!F12*$B686)-'Business Case'!F11*$C686*'Business Case'!F13*$D686-'Business Case'!F14*$E686))*'Business Case'!$B$7-'Business Case'!$B$8*(('Business Case'!F11*$C686*'Business Case'!F12*$B686)-('Business Case'!E11*$C686*'Business Case'!E12*$B686))-'Business Case'!F15*$F686</f>
        <v>852809890.165072</v>
      </c>
      <c r="M686" s="53" t="n">
        <f aca="false">(('Business Case'!G11*$C686*'Business Case'!G12*$B686)-'Business Case'!G11*$C686*'Business Case'!G13*$D686-'Business Case'!G14*$E686)-MAX(0,(('Business Case'!G11*$C686*'Business Case'!G12*$B686)-'Business Case'!G11*$C686*'Business Case'!G13*$D686-'Business Case'!G14*$E686))*'Business Case'!$B$7-'Business Case'!$B$8*(('Business Case'!G11*$C686*'Business Case'!G12*$B686)-('Business Case'!F11*$C686*'Business Case'!F12*$B686))-'Business Case'!G15*$F686+'Business Case'!$B$8*('Business Case'!G11*$C686*'Business Case'!G12*$B686)</f>
        <v>1050415023.5665</v>
      </c>
      <c r="N686" s="53" t="n">
        <f aca="false">IF(COUNT('Business Case'!B11:G11)=0,"",H686+NPV(G686,I686:M686))</f>
        <v>150563565.652499</v>
      </c>
      <c r="P686" s="54" t="n">
        <f aca="true">RAND()</f>
        <v>0.96969104924252</v>
      </c>
      <c r="Q686" s="54" t="n">
        <f aca="true">RAND()</f>
        <v>0.633748847719003</v>
      </c>
      <c r="R686" s="54" t="n">
        <f aca="true">RAND()</f>
        <v>0.733626209626832</v>
      </c>
      <c r="S686" s="54" t="n">
        <f aca="true">RAND()</f>
        <v>0.637318806504911</v>
      </c>
      <c r="T686" s="54" t="n">
        <f aca="true">RAND()</f>
        <v>0.0426449077850614</v>
      </c>
      <c r="U686" s="54" t="n">
        <f aca="true">RAND()</f>
        <v>0.13934978923603</v>
      </c>
    </row>
    <row r="687" customFormat="false" ht="15" hidden="false" customHeight="false" outlineLevel="0" collapsed="false">
      <c r="A687" s="50" t="n">
        <v>607</v>
      </c>
      <c r="B687" s="51" t="n">
        <f aca="false">1+IF($G$6=$E$6,$F$6,IF(P687&lt;($F$6-$E$6)/($G$6-$E$6),$E$6+SQRT(P687*($G$6-$E$6)*($F$6-$E$6)),$G$6-SQRT((1-P687)*($G$6-$E$6)*($G$6-$F$6))))</f>
        <v>0.953434133840453</v>
      </c>
      <c r="C687" s="51" t="n">
        <f aca="false">1+IF($G$7=$E$7,$F$7,IF(Q687&lt;($F$7-$E$7)/($G$7-$E$7),$E$7+SQRT(Q687*($G$7-$E$7)*($F$7-$E$7)),$G$7-SQRT((1-Q687)*($G$7-$E$7)*($G$7-$F$7))))</f>
        <v>1.02062779396798</v>
      </c>
      <c r="D687" s="51" t="n">
        <f aca="false">1+IF($G$8=$E$8,$F$8,IF(R687&lt;($F$8-$E$8)/($G$8-$E$8),$E$8+SQRT(R687*($G$8-$E$8)*($F$8-$E$8)),$G$8-SQRT((1-R687)*($G$8-$E$8)*($G$8-$F$8))))</f>
        <v>0.983908795537512</v>
      </c>
      <c r="E687" s="51" t="n">
        <f aca="false">1+IF($G$9=$E$9,$F$9,IF(S687&lt;($F$9-$E$9)/($G$9-$E$9),$E$9+SQRT(S687*($G$9-$E$9)*($F$9-$E$9)),$G$9-SQRT((1-S687)*($G$9-$E$9)*($G$9-$F$9))))</f>
        <v>0.970731909106246</v>
      </c>
      <c r="F687" s="51" t="n">
        <f aca="false">1+IF($G$10=$E$10,$F$10,IF(T687&lt;($F$10-$E$10)/($G$10-$E$10),$E$10+SQRT(T687*($G$10-$E$10)*($F$10-$E$10)),$G$10-SQRT((1-T687)*($G$10-$E$10)*($G$10-$F$10))))</f>
        <v>1.00083097540834</v>
      </c>
      <c r="G687" s="52" t="n">
        <f aca="false">IF($G$11=$E$11,$F$11,IF(U687&lt;($F$11-$E$11)/($G$11-$E$11),$E$11+SQRT(U687*($G$11-$E$11)*($F$11-$E$11)),$G$11-SQRT((1-U687)*($G$11-$E$11)*($G$11-$F$11))))</f>
        <v>0.100757580665224</v>
      </c>
      <c r="H687" s="53" t="n">
        <f aca="false">(('Business Case'!B11*$C687*'Business Case'!B12*$B687)-'Business Case'!B11*$C687*'Business Case'!B13*$D687-'Business Case'!B14*$E687)-MAX(0,(('Business Case'!B11*$C687*'Business Case'!B12*$B687)-'Business Case'!B11*$C687*'Business Case'!B13*$D687-'Business Case'!B14*$E687))*'Business Case'!$B$7-'Business Case'!$B$8*('Business Case'!B11*$C687*'Business Case'!B12*$B687)-'Business Case'!B15*$F687</f>
        <v>-2001661950.81668</v>
      </c>
      <c r="I687" s="53" t="n">
        <f aca="false">(('Business Case'!C11*$C687*'Business Case'!C12*$B687)-'Business Case'!C11*$C687*'Business Case'!C13*$D687-'Business Case'!C14*$E687)-MAX(0,(('Business Case'!C11*$C687*'Business Case'!C12*$B687)-'Business Case'!C11*$C687*'Business Case'!C13*$D687-'Business Case'!C14*$E687))*'Business Case'!$B$7-'Business Case'!$B$8*(('Business Case'!C11*$C687*'Business Case'!C12*$B687)-('Business Case'!B11*$C687*'Business Case'!B12*$B687))-'Business Case'!C15*$F687</f>
        <v>-5599110.87162466</v>
      </c>
      <c r="J687" s="53" t="n">
        <f aca="false">(('Business Case'!D11*$C687*'Business Case'!D12*$B687)-'Business Case'!D11*$C687*'Business Case'!D13*$D687-'Business Case'!D14*$E687)-MAX(0,(('Business Case'!D11*$C687*'Business Case'!D12*$B687)-'Business Case'!D11*$C687*'Business Case'!D13*$D687-'Business Case'!D14*$E687))*'Business Case'!$B$7-'Business Case'!$B$8*(('Business Case'!D11*$C687*'Business Case'!D12*$B687)-('Business Case'!C11*$C687*'Business Case'!C12*$B687))-'Business Case'!D15*$F687</f>
        <v>277368528.641417</v>
      </c>
      <c r="K687" s="53" t="n">
        <f aca="false">(('Business Case'!E11*$C687*'Business Case'!E12*$B687)-'Business Case'!E11*$C687*'Business Case'!E13*$D687-'Business Case'!E14*$E687)-MAX(0,(('Business Case'!E11*$C687*'Business Case'!E12*$B687)-'Business Case'!E11*$C687*'Business Case'!E13*$D687-'Business Case'!E14*$E687))*'Business Case'!$B$7-'Business Case'!$B$8*(('Business Case'!E11*$C687*'Business Case'!E12*$B687)-('Business Case'!D11*$C687*'Business Case'!D12*$B687))-'Business Case'!E15*$F687</f>
        <v>610377716.924876</v>
      </c>
      <c r="L687" s="53" t="n">
        <f aca="false">(('Business Case'!F11*$C687*'Business Case'!F12*$B687)-'Business Case'!F11*$C687*'Business Case'!F13*$D687-'Business Case'!F14*$E687)-MAX(0,(('Business Case'!F11*$C687*'Business Case'!F12*$B687)-'Business Case'!F11*$C687*'Business Case'!F13*$D687-'Business Case'!F14*$E687))*'Business Case'!$B$7-'Business Case'!$B$8*(('Business Case'!F11*$C687*'Business Case'!F12*$B687)-('Business Case'!E11*$C687*'Business Case'!E12*$B687))-'Business Case'!F15*$F687</f>
        <v>738330647.008506</v>
      </c>
      <c r="M687" s="53" t="n">
        <f aca="false">(('Business Case'!G11*$C687*'Business Case'!G12*$B687)-'Business Case'!G11*$C687*'Business Case'!G13*$D687-'Business Case'!G14*$E687)-MAX(0,(('Business Case'!G11*$C687*'Business Case'!G12*$B687)-'Business Case'!G11*$C687*'Business Case'!G13*$D687-'Business Case'!G14*$E687))*'Business Case'!$B$7-'Business Case'!$B$8*(('Business Case'!G11*$C687*'Business Case'!G12*$B687)-('Business Case'!F11*$C687*'Business Case'!F12*$B687))-'Business Case'!G15*$F687+'Business Case'!$B$8*('Business Case'!G11*$C687*'Business Case'!G12*$B687)</f>
        <v>923297756.69456</v>
      </c>
      <c r="N687" s="53" t="n">
        <f aca="false">IF(COUNT('Business Case'!B11:G11)=0,"",H687+NPV(G687,I687:M687))</f>
        <v>-245966075.653168</v>
      </c>
      <c r="P687" s="54" t="n">
        <f aca="true">RAND()</f>
        <v>0.116441802673056</v>
      </c>
      <c r="Q687" s="54" t="n">
        <f aca="true">RAND()</f>
        <v>0.681196805836356</v>
      </c>
      <c r="R687" s="54" t="n">
        <f aca="true">RAND()</f>
        <v>0.176893294585348</v>
      </c>
      <c r="S687" s="54" t="n">
        <f aca="true">RAND()</f>
        <v>0.057308274025284</v>
      </c>
      <c r="T687" s="54" t="n">
        <f aca="true">RAND()</f>
        <v>0.206633992864148</v>
      </c>
      <c r="U687" s="54" t="n">
        <f aca="true">RAND()</f>
        <v>0.382882163574403</v>
      </c>
    </row>
    <row r="688" customFormat="false" ht="15" hidden="false" customHeight="false" outlineLevel="0" collapsed="false">
      <c r="A688" s="50" t="n">
        <v>608</v>
      </c>
      <c r="B688" s="51" t="n">
        <f aca="false">1+IF($G$6=$E$6,$F$6,IF(P688&lt;($F$6-$E$6)/($G$6-$E$6),$E$6+SQRT(P688*($G$6-$E$6)*($F$6-$E$6)),$G$6-SQRT((1-P688)*($G$6-$E$6)*($G$6-$F$6))))</f>
        <v>1.00864639638374</v>
      </c>
      <c r="C688" s="51" t="n">
        <f aca="false">1+IF($G$7=$E$7,$F$7,IF(Q688&lt;($F$7-$E$7)/($G$7-$E$7),$E$7+SQRT(Q688*($G$7-$E$7)*($F$7-$E$7)),$G$7-SQRT((1-Q688)*($G$7-$E$7)*($G$7-$F$7))))</f>
        <v>1.08818300629767</v>
      </c>
      <c r="D688" s="51" t="n">
        <f aca="false">1+IF($G$8=$E$8,$F$8,IF(R688&lt;($F$8-$E$8)/($G$8-$E$8),$E$8+SQRT(R688*($G$8-$E$8)*($F$8-$E$8)),$G$8-SQRT((1-R688)*($G$8-$E$8)*($G$8-$F$8))))</f>
        <v>0.999094225502724</v>
      </c>
      <c r="E688" s="51" t="n">
        <f aca="false">1+IF($G$9=$E$9,$F$9,IF(S688&lt;($F$9-$E$9)/($G$9-$E$9),$E$9+SQRT(S688*($G$9-$E$9)*($F$9-$E$9)),$G$9-SQRT((1-S688)*($G$9-$E$9)*($G$9-$F$9))))</f>
        <v>0.968489424498752</v>
      </c>
      <c r="F688" s="51" t="n">
        <f aca="false">1+IF($G$10=$E$10,$F$10,IF(T688&lt;($F$10-$E$10)/($G$10-$E$10),$E$10+SQRT(T688*($G$10-$E$10)*($F$10-$E$10)),$G$10-SQRT((1-T688)*($G$10-$E$10)*($G$10-$F$10))))</f>
        <v>1.00963667136441</v>
      </c>
      <c r="G688" s="52" t="n">
        <f aca="false">IF($G$11=$E$11,$F$11,IF(U688&lt;($F$11-$E$11)/($G$11-$E$11),$E$11+SQRT(U688*($G$11-$E$11)*($F$11-$E$11)),$G$11-SQRT((1-U688)*($G$11-$E$11)*($G$11-$F$11))))</f>
        <v>0.099137256490478</v>
      </c>
      <c r="H688" s="53" t="n">
        <f aca="false">(('Business Case'!B11*$C688*'Business Case'!B12*$B688)-'Business Case'!B11*$C688*'Business Case'!B13*$D688-'Business Case'!B14*$E688)-MAX(0,(('Business Case'!B11*$C688*'Business Case'!B12*$B688)-'Business Case'!B11*$C688*'Business Case'!B13*$D688-'Business Case'!B14*$E688))*'Business Case'!$B$7-'Business Case'!$B$8*('Business Case'!B11*$C688*'Business Case'!B12*$B688)-'Business Case'!B15*$F688</f>
        <v>-2019273342.72882</v>
      </c>
      <c r="I688" s="53" t="n">
        <f aca="false">(('Business Case'!C11*$C688*'Business Case'!C12*$B688)-'Business Case'!C11*$C688*'Business Case'!C13*$D688-'Business Case'!C14*$E688)-MAX(0,(('Business Case'!C11*$C688*'Business Case'!C12*$B688)-'Business Case'!C11*$C688*'Business Case'!C13*$D688-'Business Case'!C14*$E688))*'Business Case'!$B$7-'Business Case'!$B$8*(('Business Case'!C11*$C688*'Business Case'!C12*$B688)-('Business Case'!B11*$C688*'Business Case'!B12*$B688))-'Business Case'!C15*$F688</f>
        <v>46866669.2517042</v>
      </c>
      <c r="J688" s="53" t="n">
        <f aca="false">(('Business Case'!D11*$C688*'Business Case'!D12*$B688)-'Business Case'!D11*$C688*'Business Case'!D13*$D688-'Business Case'!D14*$E688)-MAX(0,(('Business Case'!D11*$C688*'Business Case'!D12*$B688)-'Business Case'!D11*$C688*'Business Case'!D13*$D688-'Business Case'!D14*$E688))*'Business Case'!$B$7-'Business Case'!$B$8*(('Business Case'!D11*$C688*'Business Case'!D12*$B688)-('Business Case'!C11*$C688*'Business Case'!C12*$B688))-'Business Case'!D15*$F688</f>
        <v>389315364.235932</v>
      </c>
      <c r="K688" s="53" t="n">
        <f aca="false">(('Business Case'!E11*$C688*'Business Case'!E12*$B688)-'Business Case'!E11*$C688*'Business Case'!E13*$D688-'Business Case'!E14*$E688)-MAX(0,(('Business Case'!E11*$C688*'Business Case'!E12*$B688)-'Business Case'!E11*$C688*'Business Case'!E13*$D688-'Business Case'!E14*$E688))*'Business Case'!$B$7-'Business Case'!$B$8*(('Business Case'!E11*$C688*'Business Case'!E12*$B688)-('Business Case'!D11*$C688*'Business Case'!D12*$B688))-'Business Case'!E15*$F688</f>
        <v>782245892.788379</v>
      </c>
      <c r="L688" s="53" t="n">
        <f aca="false">(('Business Case'!F11*$C688*'Business Case'!F12*$B688)-'Business Case'!F11*$C688*'Business Case'!F13*$D688-'Business Case'!F14*$E688)-MAX(0,(('Business Case'!F11*$C688*'Business Case'!F12*$B688)-'Business Case'!F11*$C688*'Business Case'!F13*$D688-'Business Case'!F14*$E688))*'Business Case'!$B$7-'Business Case'!$B$8*(('Business Case'!F11*$C688*'Business Case'!F12*$B688)-('Business Case'!E11*$C688*'Business Case'!E12*$B688))-'Business Case'!F15*$F688</f>
        <v>934328232.738028</v>
      </c>
      <c r="M688" s="53" t="n">
        <f aca="false">(('Business Case'!G11*$C688*'Business Case'!G12*$B688)-'Business Case'!G11*$C688*'Business Case'!G13*$D688-'Business Case'!G14*$E688)-MAX(0,(('Business Case'!G11*$C688*'Business Case'!G12*$B688)-'Business Case'!G11*$C688*'Business Case'!G13*$D688-'Business Case'!G14*$E688))*'Business Case'!$B$7-'Business Case'!$B$8*(('Business Case'!G11*$C688*'Business Case'!G12*$B688)-('Business Case'!F11*$C688*'Business Case'!F12*$B688))-'Business Case'!G15*$F688+'Business Case'!$B$8*('Business Case'!G11*$C688*'Business Case'!G12*$B688)</f>
        <v>1142958494.99001</v>
      </c>
      <c r="N688" s="53" t="n">
        <f aca="false">IF(COUNT('Business Case'!B11:G11)=0,"",H688+NPV(G688,I688:M688))</f>
        <v>287359328.09581</v>
      </c>
      <c r="P688" s="54" t="n">
        <f aca="true">RAND()</f>
        <v>0.795198237557196</v>
      </c>
      <c r="Q688" s="54" t="n">
        <f aca="true">RAND()</f>
        <v>0.927212557897256</v>
      </c>
      <c r="R688" s="54" t="n">
        <f aca="true">RAND()</f>
        <v>0.37080661195574</v>
      </c>
      <c r="S688" s="54" t="n">
        <f aca="true">RAND()</f>
        <v>0.0455811757726746</v>
      </c>
      <c r="T688" s="54" t="n">
        <f aca="true">RAND()</f>
        <v>0.275236062215569</v>
      </c>
      <c r="U688" s="54" t="n">
        <f aca="true">RAND()</f>
        <v>0.278298187242606</v>
      </c>
    </row>
    <row r="689" customFormat="false" ht="15" hidden="false" customHeight="false" outlineLevel="0" collapsed="false">
      <c r="A689" s="50" t="n">
        <v>609</v>
      </c>
      <c r="B689" s="51" t="n">
        <f aca="false">1+IF($G$6=$E$6,$F$6,IF(P689&lt;($F$6-$E$6)/($G$6-$E$6),$E$6+SQRT(P689*($G$6-$E$6)*($F$6-$E$6)),$G$6-SQRT((1-P689)*($G$6-$E$6)*($G$6-$F$6))))</f>
        <v>0.976552080556292</v>
      </c>
      <c r="C689" s="51" t="n">
        <f aca="false">1+IF($G$7=$E$7,$F$7,IF(Q689&lt;($F$7-$E$7)/($G$7-$E$7),$E$7+SQRT(Q689*($G$7-$E$7)*($F$7-$E$7)),$G$7-SQRT((1-Q689)*($G$7-$E$7)*($G$7-$F$7))))</f>
        <v>1.00660138981838</v>
      </c>
      <c r="D689" s="51" t="n">
        <f aca="false">1+IF($G$8=$E$8,$F$8,IF(R689&lt;($F$8-$E$8)/($G$8-$E$8),$E$8+SQRT(R689*($G$8-$E$8)*($F$8-$E$8)),$G$8-SQRT((1-R689)*($G$8-$E$8)*($G$8-$F$8))))</f>
        <v>0.987116175259068</v>
      </c>
      <c r="E689" s="51" t="n">
        <f aca="false">1+IF($G$9=$E$9,$F$9,IF(S689&lt;($F$9-$E$9)/($G$9-$E$9),$E$9+SQRT(S689*($G$9-$E$9)*($F$9-$E$9)),$G$9-SQRT((1-S689)*($G$9-$E$9)*($G$9-$F$9))))</f>
        <v>1.06376738276425</v>
      </c>
      <c r="F689" s="51" t="n">
        <f aca="false">1+IF($G$10=$E$10,$F$10,IF(T689&lt;($F$10-$E$10)/($G$10-$E$10),$E$10+SQRT(T689*($G$10-$E$10)*($F$10-$E$10)),$G$10-SQRT((1-T689)*($G$10-$E$10)*($G$10-$F$10))))</f>
        <v>1.08018241478211</v>
      </c>
      <c r="G689" s="52" t="n">
        <f aca="false">IF($G$11=$E$11,$F$11,IF(U689&lt;($F$11-$E$11)/($G$11-$E$11),$E$11+SQRT(U689*($G$11-$E$11)*($F$11-$E$11)),$G$11-SQRT((1-U689)*($G$11-$E$11)*($G$11-$F$11))))</f>
        <v>0.0939010624947392</v>
      </c>
      <c r="H689" s="53" t="n">
        <f aca="false">(('Business Case'!B11*$C689*'Business Case'!B12*$B689)-'Business Case'!B11*$C689*'Business Case'!B13*$D689-'Business Case'!B14*$E689)-MAX(0,(('Business Case'!B11*$C689*'Business Case'!B12*$B689)-'Business Case'!B11*$C689*'Business Case'!B13*$D689-'Business Case'!B14*$E689))*'Business Case'!$B$7-'Business Case'!$B$8*('Business Case'!B11*$C689*'Business Case'!B12*$B689)-'Business Case'!B15*$F689</f>
        <v>-2160364829.56421</v>
      </c>
      <c r="I689" s="53" t="n">
        <f aca="false">(('Business Case'!C11*$C689*'Business Case'!C12*$B689)-'Business Case'!C11*$C689*'Business Case'!C13*$D689-'Business Case'!C14*$E689)-MAX(0,(('Business Case'!C11*$C689*'Business Case'!C12*$B689)-'Business Case'!C11*$C689*'Business Case'!C13*$D689-'Business Case'!C14*$E689))*'Business Case'!$B$7-'Business Case'!$B$8*(('Business Case'!C11*$C689*'Business Case'!C12*$B689)-('Business Case'!B11*$C689*'Business Case'!B12*$B689))-'Business Case'!C15*$F689</f>
        <v>-13758275.418885</v>
      </c>
      <c r="J689" s="53" t="n">
        <f aca="false">(('Business Case'!D11*$C689*'Business Case'!D12*$B689)-'Business Case'!D11*$C689*'Business Case'!D13*$D689-'Business Case'!D14*$E689)-MAX(0,(('Business Case'!D11*$C689*'Business Case'!D12*$B689)-'Business Case'!D11*$C689*'Business Case'!D13*$D689-'Business Case'!D14*$E689))*'Business Case'!$B$7-'Business Case'!$B$8*(('Business Case'!D11*$C689*'Business Case'!D12*$B689)-('Business Case'!C11*$C689*'Business Case'!C12*$B689))-'Business Case'!D15*$F689</f>
        <v>282728064.11941</v>
      </c>
      <c r="K689" s="53" t="n">
        <f aca="false">(('Business Case'!E11*$C689*'Business Case'!E12*$B689)-'Business Case'!E11*$C689*'Business Case'!E13*$D689-'Business Case'!E14*$E689)-MAX(0,(('Business Case'!E11*$C689*'Business Case'!E12*$B689)-'Business Case'!E11*$C689*'Business Case'!E13*$D689-'Business Case'!E14*$E689))*'Business Case'!$B$7-'Business Case'!$B$8*(('Business Case'!E11*$C689*'Business Case'!E12*$B689)-('Business Case'!D11*$C689*'Business Case'!D12*$B689))-'Business Case'!E15*$F689</f>
        <v>633223524.396811</v>
      </c>
      <c r="L689" s="53" t="n">
        <f aca="false">(('Business Case'!F11*$C689*'Business Case'!F12*$B689)-'Business Case'!F11*$C689*'Business Case'!F13*$D689-'Business Case'!F14*$E689)-MAX(0,(('Business Case'!F11*$C689*'Business Case'!F12*$B689)-'Business Case'!F11*$C689*'Business Case'!F13*$D689-'Business Case'!F14*$E689))*'Business Case'!$B$7-'Business Case'!$B$8*(('Business Case'!F11*$C689*'Business Case'!F12*$B689)-('Business Case'!E11*$C689*'Business Case'!E12*$B689))-'Business Case'!F15*$F689</f>
        <v>766024738.676172</v>
      </c>
      <c r="M689" s="53" t="n">
        <f aca="false">(('Business Case'!G11*$C689*'Business Case'!G12*$B689)-'Business Case'!G11*$C689*'Business Case'!G13*$D689-'Business Case'!G14*$E689)-MAX(0,(('Business Case'!G11*$C689*'Business Case'!G12*$B689)-'Business Case'!G11*$C689*'Business Case'!G13*$D689-'Business Case'!G14*$E689))*'Business Case'!$B$7-'Business Case'!$B$8*(('Business Case'!G11*$C689*'Business Case'!G12*$B689)-('Business Case'!F11*$C689*'Business Case'!F12*$B689))-'Business Case'!G15*$F689+'Business Case'!$B$8*('Business Case'!G11*$C689*'Business Case'!G12*$B689)</f>
        <v>952873128.059113</v>
      </c>
      <c r="N689" s="53" t="n">
        <f aca="false">IF(COUNT('Business Case'!B11:G11)=0,"",H689+NPV(G689,I689:M689))</f>
        <v>-309608280.468893</v>
      </c>
      <c r="P689" s="54" t="n">
        <f aca="true">RAND()</f>
        <v>0.333139355754724</v>
      </c>
      <c r="Q689" s="54" t="n">
        <f aca="true">RAND()</f>
        <v>0.608320735199636</v>
      </c>
      <c r="R689" s="54" t="n">
        <f aca="true">RAND()</f>
        <v>0.211940071671054</v>
      </c>
      <c r="S689" s="54" t="n">
        <f aca="true">RAND()</f>
        <v>0.912479829883191</v>
      </c>
      <c r="T689" s="54" t="n">
        <f aca="true">RAND()</f>
        <v>0.712874925451053</v>
      </c>
      <c r="U689" s="54" t="n">
        <f aca="true">RAND()</f>
        <v>0.0507276286262024</v>
      </c>
    </row>
    <row r="690" customFormat="false" ht="15" hidden="false" customHeight="false" outlineLevel="0" collapsed="false">
      <c r="A690" s="50" t="n">
        <v>610</v>
      </c>
      <c r="B690" s="51" t="n">
        <f aca="false">1+IF($G$6=$E$6,$F$6,IF(P690&lt;($F$6-$E$6)/($G$6-$E$6),$E$6+SQRT(P690*($G$6-$E$6)*($F$6-$E$6)),$G$6-SQRT((1-P690)*($G$6-$E$6)*($G$6-$F$6))))</f>
        <v>0.9659988112465</v>
      </c>
      <c r="C690" s="51" t="n">
        <f aca="false">1+IF($G$7=$E$7,$F$7,IF(Q690&lt;($F$7-$E$7)/($G$7-$E$7),$E$7+SQRT(Q690*($G$7-$E$7)*($F$7-$E$7)),$G$7-SQRT((1-Q690)*($G$7-$E$7)*($G$7-$F$7))))</f>
        <v>0.938378416139292</v>
      </c>
      <c r="D690" s="51" t="n">
        <f aca="false">1+IF($G$8=$E$8,$F$8,IF(R690&lt;($F$8-$E$8)/($G$8-$E$8),$E$8+SQRT(R690*($G$8-$E$8)*($F$8-$E$8)),$G$8-SQRT((1-R690)*($G$8-$E$8)*($G$8-$F$8))))</f>
        <v>1.00574977518697</v>
      </c>
      <c r="E690" s="51" t="n">
        <f aca="false">1+IF($G$9=$E$9,$F$9,IF(S690&lt;($F$9-$E$9)/($G$9-$E$9),$E$9+SQRT(S690*($G$9-$E$9)*($F$9-$E$9)),$G$9-SQRT((1-S690)*($G$9-$E$9)*($G$9-$F$9))))</f>
        <v>1.04443939076261</v>
      </c>
      <c r="F690" s="51" t="n">
        <f aca="false">1+IF($G$10=$E$10,$F$10,IF(T690&lt;($F$10-$E$10)/($G$10-$E$10),$E$10+SQRT(T690*($G$10-$E$10)*($F$10-$E$10)),$G$10-SQRT((1-T690)*($G$10-$E$10)*($G$10-$F$10))))</f>
        <v>0.979538041669147</v>
      </c>
      <c r="G690" s="52" t="n">
        <f aca="false">IF($G$11=$E$11,$F$11,IF(U690&lt;($F$11-$E$11)/($G$11-$E$11),$E$11+SQRT(U690*($G$11-$E$11)*($F$11-$E$11)),$G$11-SQRT((1-U690)*($G$11-$E$11)*($G$11-$F$11))))</f>
        <v>0.100840882989227</v>
      </c>
      <c r="H690" s="53" t="n">
        <f aca="false">(('Business Case'!B11*$C690*'Business Case'!B12*$B690)-'Business Case'!B11*$C690*'Business Case'!B13*$D690-'Business Case'!B14*$E690)-MAX(0,(('Business Case'!B11*$C690*'Business Case'!B12*$B690)-'Business Case'!B11*$C690*'Business Case'!B13*$D690-'Business Case'!B14*$E690))*'Business Case'!$B$7-'Business Case'!$B$8*('Business Case'!B11*$C690*'Business Case'!B12*$B690)-'Business Case'!B15*$F690</f>
        <v>-1959076083.33829</v>
      </c>
      <c r="I690" s="53" t="n">
        <f aca="false">(('Business Case'!C11*$C690*'Business Case'!C12*$B690)-'Business Case'!C11*$C690*'Business Case'!C13*$D690-'Business Case'!C14*$E690)-MAX(0,(('Business Case'!C11*$C690*'Business Case'!C12*$B690)-'Business Case'!C11*$C690*'Business Case'!C13*$D690-'Business Case'!C14*$E690))*'Business Case'!$B$7-'Business Case'!$B$8*(('Business Case'!C11*$C690*'Business Case'!C12*$B690)-('Business Case'!B11*$C690*'Business Case'!B12*$B690))-'Business Case'!C15*$F690</f>
        <v>-34135151.8733597</v>
      </c>
      <c r="J690" s="53" t="n">
        <f aca="false">(('Business Case'!D11*$C690*'Business Case'!D12*$B690)-'Business Case'!D11*$C690*'Business Case'!D13*$D690-'Business Case'!D14*$E690)-MAX(0,(('Business Case'!D11*$C690*'Business Case'!D12*$B690)-'Business Case'!D11*$C690*'Business Case'!D13*$D690-'Business Case'!D14*$E690))*'Business Case'!$B$7-'Business Case'!$B$8*(('Business Case'!D11*$C690*'Business Case'!D12*$B690)-('Business Case'!C11*$C690*'Business Case'!C12*$B690))-'Business Case'!D15*$F690</f>
        <v>225194312.790596</v>
      </c>
      <c r="K690" s="53" t="n">
        <f aca="false">(('Business Case'!E11*$C690*'Business Case'!E12*$B690)-'Business Case'!E11*$C690*'Business Case'!E13*$D690-'Business Case'!E14*$E690)-MAX(0,(('Business Case'!E11*$C690*'Business Case'!E12*$B690)-'Business Case'!E11*$C690*'Business Case'!E13*$D690-'Business Case'!E14*$E690))*'Business Case'!$B$7-'Business Case'!$B$8*(('Business Case'!E11*$C690*'Business Case'!E12*$B690)-('Business Case'!D11*$C690*'Business Case'!D12*$B690))-'Business Case'!E15*$F690</f>
        <v>533500679.538009</v>
      </c>
      <c r="L690" s="53" t="n">
        <f aca="false">(('Business Case'!F11*$C690*'Business Case'!F12*$B690)-'Business Case'!F11*$C690*'Business Case'!F13*$D690-'Business Case'!F14*$E690)-MAX(0,(('Business Case'!F11*$C690*'Business Case'!F12*$B690)-'Business Case'!F11*$C690*'Business Case'!F13*$D690-'Business Case'!F14*$E690))*'Business Case'!$B$7-'Business Case'!$B$8*(('Business Case'!F11*$C690*'Business Case'!F12*$B690)-('Business Case'!E11*$C690*'Business Case'!E12*$B690))-'Business Case'!F15*$F690</f>
        <v>651271521.761966</v>
      </c>
      <c r="M690" s="53" t="n">
        <f aca="false">(('Business Case'!G11*$C690*'Business Case'!G12*$B690)-'Business Case'!G11*$C690*'Business Case'!G13*$D690-'Business Case'!G14*$E690)-MAX(0,(('Business Case'!G11*$C690*'Business Case'!G12*$B690)-'Business Case'!G11*$C690*'Business Case'!G13*$D690-'Business Case'!G14*$E690))*'Business Case'!$B$7-'Business Case'!$B$8*(('Business Case'!G11*$C690*'Business Case'!G12*$B690)-('Business Case'!F11*$C690*'Business Case'!F12*$B690))-'Business Case'!G15*$F690+'Business Case'!$B$8*('Business Case'!G11*$C690*'Business Case'!G12*$B690)</f>
        <v>823573802.109811</v>
      </c>
      <c r="N690" s="53" t="n">
        <f aca="false">IF(COUNT('Business Case'!B11:G11)=0,"",H690+NPV(G690,I690:M690))</f>
        <v>-451454340.808883</v>
      </c>
      <c r="P690" s="54" t="n">
        <f aca="true">RAND()</f>
        <v>0.220405274592827</v>
      </c>
      <c r="Q690" s="54" t="n">
        <f aca="true">RAND()</f>
        <v>0.273551229331702</v>
      </c>
      <c r="R690" s="54" t="n">
        <f aca="true">RAND()</f>
        <v>0.469894626462883</v>
      </c>
      <c r="S690" s="54" t="n">
        <f aca="true">RAND()</f>
        <v>0.79420124674464</v>
      </c>
      <c r="T690" s="54" t="n">
        <f aca="true">RAND()</f>
        <v>0.0697996724518628</v>
      </c>
      <c r="U690" s="54" t="n">
        <f aca="true">RAND()</f>
        <v>0.388213725612527</v>
      </c>
    </row>
    <row r="691" customFormat="false" ht="15" hidden="false" customHeight="false" outlineLevel="0" collapsed="false">
      <c r="A691" s="50" t="n">
        <v>611</v>
      </c>
      <c r="B691" s="51" t="n">
        <f aca="false">1+IF($G$6=$E$6,$F$6,IF(P691&lt;($F$6-$E$6)/($G$6-$E$6),$E$6+SQRT(P691*($G$6-$E$6)*($F$6-$E$6)),$G$6-SQRT((1-P691)*($G$6-$E$6)*($G$6-$F$6))))</f>
        <v>0.986837028453375</v>
      </c>
      <c r="C691" s="51" t="n">
        <f aca="false">1+IF($G$7=$E$7,$F$7,IF(Q691&lt;($F$7-$E$7)/($G$7-$E$7),$E$7+SQRT(Q691*($G$7-$E$7)*($F$7-$E$7)),$G$7-SQRT((1-Q691)*($G$7-$E$7)*($G$7-$F$7))))</f>
        <v>0.910425390942276</v>
      </c>
      <c r="D691" s="51" t="n">
        <f aca="false">1+IF($G$8=$E$8,$F$8,IF(R691&lt;($F$8-$E$8)/($G$8-$E$8),$E$8+SQRT(R691*($G$8-$E$8)*($F$8-$E$8)),$G$8-SQRT((1-R691)*($G$8-$E$8)*($G$8-$F$8))))</f>
        <v>1.00777107042375</v>
      </c>
      <c r="E691" s="51" t="n">
        <f aca="false">1+IF($G$9=$E$9,$F$9,IF(S691&lt;($F$9-$E$9)/($G$9-$E$9),$E$9+SQRT(S691*($G$9-$E$9)*($F$9-$E$9)),$G$9-SQRT((1-S691)*($G$9-$E$9)*($G$9-$F$9))))</f>
        <v>0.978234459648883</v>
      </c>
      <c r="F691" s="51" t="n">
        <f aca="false">1+IF($G$10=$E$10,$F$10,IF(T691&lt;($F$10-$E$10)/($G$10-$E$10),$E$10+SQRT(T691*($G$10-$E$10)*($F$10-$E$10)),$G$10-SQRT((1-T691)*($G$10-$E$10)*($G$10-$F$10))))</f>
        <v>0.996931125189952</v>
      </c>
      <c r="G691" s="52" t="n">
        <f aca="false">IF($G$11=$E$11,$F$11,IF(U691&lt;($F$11-$E$11)/($G$11-$E$11),$E$11+SQRT(U691*($G$11-$E$11)*($F$11-$E$11)),$G$11-SQRT((1-U691)*($G$11-$E$11)*($G$11-$F$11))))</f>
        <v>0.105599443347876</v>
      </c>
      <c r="H691" s="53" t="n">
        <f aca="false">(('Business Case'!B11*$C691*'Business Case'!B12*$B691)-'Business Case'!B11*$C691*'Business Case'!B13*$D691-'Business Case'!B14*$E691)-MAX(0,(('Business Case'!B11*$C691*'Business Case'!B12*$B691)-'Business Case'!B11*$C691*'Business Case'!B13*$D691-'Business Case'!B14*$E691))*'Business Case'!$B$7-'Business Case'!$B$8*('Business Case'!B11*$C691*'Business Case'!B12*$B691)-'Business Case'!B15*$F691</f>
        <v>-1993862250.3799</v>
      </c>
      <c r="I691" s="53" t="n">
        <f aca="false">(('Business Case'!C11*$C691*'Business Case'!C12*$B691)-'Business Case'!C11*$C691*'Business Case'!C13*$D691-'Business Case'!C14*$E691)-MAX(0,(('Business Case'!C11*$C691*'Business Case'!C12*$B691)-'Business Case'!C11*$C691*'Business Case'!C13*$D691-'Business Case'!C14*$E691))*'Business Case'!$B$7-'Business Case'!$B$8*(('Business Case'!C11*$C691*'Business Case'!C12*$B691)-('Business Case'!B11*$C691*'Business Case'!B12*$B691))-'Business Case'!C15*$F691</f>
        <v>-19171783.2052772</v>
      </c>
      <c r="J691" s="53" t="n">
        <f aca="false">(('Business Case'!D11*$C691*'Business Case'!D12*$B691)-'Business Case'!D11*$C691*'Business Case'!D13*$D691-'Business Case'!D14*$E691)-MAX(0,(('Business Case'!D11*$C691*'Business Case'!D12*$B691)-'Business Case'!D11*$C691*'Business Case'!D13*$D691-'Business Case'!D14*$E691))*'Business Case'!$B$7-'Business Case'!$B$8*(('Business Case'!D11*$C691*'Business Case'!D12*$B691)-('Business Case'!C11*$C691*'Business Case'!C12*$B691))-'Business Case'!D15*$F691</f>
        <v>247029692.978675</v>
      </c>
      <c r="K691" s="53" t="n">
        <f aca="false">(('Business Case'!E11*$C691*'Business Case'!E12*$B691)-'Business Case'!E11*$C691*'Business Case'!E13*$D691-'Business Case'!E14*$E691)-MAX(0,(('Business Case'!E11*$C691*'Business Case'!E12*$B691)-'Business Case'!E11*$C691*'Business Case'!E13*$D691-'Business Case'!E14*$E691))*'Business Case'!$B$7-'Business Case'!$B$8*(('Business Case'!E11*$C691*'Business Case'!E12*$B691)-('Business Case'!D11*$C691*'Business Case'!D12*$B691))-'Business Case'!E15*$F691</f>
        <v>563077725.422124</v>
      </c>
      <c r="L691" s="53" t="n">
        <f aca="false">(('Business Case'!F11*$C691*'Business Case'!F12*$B691)-'Business Case'!F11*$C691*'Business Case'!F13*$D691-'Business Case'!F14*$E691)-MAX(0,(('Business Case'!F11*$C691*'Business Case'!F12*$B691)-'Business Case'!F11*$C691*'Business Case'!F13*$D691-'Business Case'!F14*$E691))*'Business Case'!$B$7-'Business Case'!$B$8*(('Business Case'!F11*$C691*'Business Case'!F12*$B691)-('Business Case'!E11*$C691*'Business Case'!E12*$B691))-'Business Case'!F15*$F691</f>
        <v>682861688.622217</v>
      </c>
      <c r="M691" s="53" t="n">
        <f aca="false">(('Business Case'!G11*$C691*'Business Case'!G12*$B691)-'Business Case'!G11*$C691*'Business Case'!G13*$D691-'Business Case'!G14*$E691)-MAX(0,(('Business Case'!G11*$C691*'Business Case'!G12*$B691)-'Business Case'!G11*$C691*'Business Case'!G13*$D691-'Business Case'!G14*$E691))*'Business Case'!$B$7-'Business Case'!$B$8*(('Business Case'!G11*$C691*'Business Case'!G12*$B691)-('Business Case'!F11*$C691*'Business Case'!F12*$B691))-'Business Case'!G15*$F691+'Business Case'!$B$8*('Business Case'!G11*$C691*'Business Case'!G12*$B691)</f>
        <v>853637446.552147</v>
      </c>
      <c r="N691" s="53" t="n">
        <f aca="false">IF(COUNT('Business Case'!B11:G11)=0,"",H691+NPV(G691,I691:M691))</f>
        <v>-418674150.302748</v>
      </c>
      <c r="P691" s="54" t="n">
        <f aca="true">RAND()</f>
        <v>0.465332122133047</v>
      </c>
      <c r="Q691" s="54" t="n">
        <f aca="true">RAND()</f>
        <v>0.174196670925065</v>
      </c>
      <c r="R691" s="54" t="n">
        <f aca="true">RAND()</f>
        <v>0.498363628102822</v>
      </c>
      <c r="S691" s="54" t="n">
        <f aca="true">RAND()</f>
        <v>0.10629129488859</v>
      </c>
      <c r="T691" s="54" t="n">
        <f aca="true">RAND()</f>
        <v>0.176202440927596</v>
      </c>
      <c r="U691" s="54" t="n">
        <f aca="true">RAND()</f>
        <v>0.654373280181591</v>
      </c>
    </row>
    <row r="692" customFormat="false" ht="15" hidden="false" customHeight="false" outlineLevel="0" collapsed="false">
      <c r="A692" s="50" t="n">
        <v>612</v>
      </c>
      <c r="B692" s="51" t="n">
        <f aca="false">1+IF($G$6=$E$6,$F$6,IF(P692&lt;($F$6-$E$6)/($G$6-$E$6),$E$6+SQRT(P692*($G$6-$E$6)*($F$6-$E$6)),$G$6-SQRT((1-P692)*($G$6-$E$6)*($G$6-$F$6))))</f>
        <v>0.989341678620854</v>
      </c>
      <c r="C692" s="51" t="n">
        <f aca="false">1+IF($G$7=$E$7,$F$7,IF(Q692&lt;($F$7-$E$7)/($G$7-$E$7),$E$7+SQRT(Q692*($G$7-$E$7)*($F$7-$E$7)),$G$7-SQRT((1-Q692)*($G$7-$E$7)*($G$7-$F$7))))</f>
        <v>1.01796376783009</v>
      </c>
      <c r="D692" s="51" t="n">
        <f aca="false">1+IF($G$8=$E$8,$F$8,IF(R692&lt;($F$8-$E$8)/($G$8-$E$8),$E$8+SQRT(R692*($G$8-$E$8)*($F$8-$E$8)),$G$8-SQRT((1-R692)*($G$8-$E$8)*($G$8-$F$8))))</f>
        <v>0.99543399269543</v>
      </c>
      <c r="E692" s="51" t="n">
        <f aca="false">1+IF($G$9=$E$9,$F$9,IF(S692&lt;($F$9-$E$9)/($G$9-$E$9),$E$9+SQRT(S692*($G$9-$E$9)*($F$9-$E$9)),$G$9-SQRT((1-S692)*($G$9-$E$9)*($G$9-$F$9))))</f>
        <v>1.0379650016908</v>
      </c>
      <c r="F692" s="51" t="n">
        <f aca="false">1+IF($G$10=$E$10,$F$10,IF(T692&lt;($F$10-$E$10)/($G$10-$E$10),$E$10+SQRT(T692*($G$10-$E$10)*($F$10-$E$10)),$G$10-SQRT((1-T692)*($G$10-$E$10)*($G$10-$F$10))))</f>
        <v>1.01781570455033</v>
      </c>
      <c r="G692" s="52" t="n">
        <f aca="false">IF($G$11=$E$11,$F$11,IF(U692&lt;($F$11-$E$11)/($G$11-$E$11),$E$11+SQRT(U692*($G$11-$E$11)*($F$11-$E$11)),$G$11-SQRT((1-U692)*($G$11-$E$11)*($G$11-$F$11))))</f>
        <v>0.0917455332930487</v>
      </c>
      <c r="H692" s="53" t="n">
        <f aca="false">(('Business Case'!B11*$C692*'Business Case'!B12*$B692)-'Business Case'!B11*$C692*'Business Case'!B13*$D692-'Business Case'!B14*$E692)-MAX(0,(('Business Case'!B11*$C692*'Business Case'!B12*$B692)-'Business Case'!B11*$C692*'Business Case'!B13*$D692-'Business Case'!B14*$E692))*'Business Case'!$B$7-'Business Case'!$B$8*('Business Case'!B11*$C692*'Business Case'!B12*$B692)-'Business Case'!B15*$F692</f>
        <v>-2035631409.10066</v>
      </c>
      <c r="I692" s="53" t="n">
        <f aca="false">(('Business Case'!C11*$C692*'Business Case'!C12*$B692)-'Business Case'!C11*$C692*'Business Case'!C13*$D692-'Business Case'!C14*$E692)-MAX(0,(('Business Case'!C11*$C692*'Business Case'!C12*$B692)-'Business Case'!C11*$C692*'Business Case'!C13*$D692-'Business Case'!C14*$E692))*'Business Case'!$B$7-'Business Case'!$B$8*(('Business Case'!C11*$C692*'Business Case'!C12*$B692)-('Business Case'!B11*$C692*'Business Case'!B12*$B692))-'Business Case'!C15*$F692</f>
        <v>4573289.07687677</v>
      </c>
      <c r="J692" s="53" t="n">
        <f aca="false">(('Business Case'!D11*$C692*'Business Case'!D12*$B692)-'Business Case'!D11*$C692*'Business Case'!D13*$D692-'Business Case'!D14*$E692)-MAX(0,(('Business Case'!D11*$C692*'Business Case'!D12*$B692)-'Business Case'!D11*$C692*'Business Case'!D13*$D692-'Business Case'!D14*$E692))*'Business Case'!$B$7-'Business Case'!$B$8*(('Business Case'!D11*$C692*'Business Case'!D12*$B692)-('Business Case'!C11*$C692*'Business Case'!C12*$B692))-'Business Case'!D15*$F692</f>
        <v>310735560.719655</v>
      </c>
      <c r="K692" s="53" t="n">
        <f aca="false">(('Business Case'!E11*$C692*'Business Case'!E12*$B692)-'Business Case'!E11*$C692*'Business Case'!E13*$D692-'Business Case'!E14*$E692)-MAX(0,(('Business Case'!E11*$C692*'Business Case'!E12*$B692)-'Business Case'!E11*$C692*'Business Case'!E13*$D692-'Business Case'!E14*$E692))*'Business Case'!$B$7-'Business Case'!$B$8*(('Business Case'!E11*$C692*'Business Case'!E12*$B692)-('Business Case'!D11*$C692*'Business Case'!D12*$B692))-'Business Case'!E15*$F692</f>
        <v>667788617.589951</v>
      </c>
      <c r="L692" s="53" t="n">
        <f aca="false">(('Business Case'!F11*$C692*'Business Case'!F12*$B692)-'Business Case'!F11*$C692*'Business Case'!F13*$D692-'Business Case'!F14*$E692)-MAX(0,(('Business Case'!F11*$C692*'Business Case'!F12*$B692)-'Business Case'!F11*$C692*'Business Case'!F13*$D692-'Business Case'!F14*$E692))*'Business Case'!$B$7-'Business Case'!$B$8*(('Business Case'!F11*$C692*'Business Case'!F12*$B692)-('Business Case'!E11*$C692*'Business Case'!E12*$B692))-'Business Case'!F15*$F692</f>
        <v>804648567.384501</v>
      </c>
      <c r="M692" s="53" t="n">
        <f aca="false">(('Business Case'!G11*$C692*'Business Case'!G12*$B692)-'Business Case'!G11*$C692*'Business Case'!G13*$D692-'Business Case'!G14*$E692)-MAX(0,(('Business Case'!G11*$C692*'Business Case'!G12*$B692)-'Business Case'!G11*$C692*'Business Case'!G13*$D692-'Business Case'!G14*$E692))*'Business Case'!$B$7-'Business Case'!$B$8*(('Business Case'!G11*$C692*'Business Case'!G12*$B692)-('Business Case'!F11*$C692*'Business Case'!F12*$B692))-'Business Case'!G15*$F692+'Business Case'!$B$8*('Business Case'!G11*$C692*'Business Case'!G12*$B692)</f>
        <v>996080793.242771</v>
      </c>
      <c r="N692" s="53" t="n">
        <f aca="false">IF(COUNT('Business Case'!B11:G11)=0,"",H692+NPV(G692,I692:M692))</f>
        <v>-48930423.167321</v>
      </c>
      <c r="P692" s="54" t="n">
        <f aca="true">RAND()</f>
        <v>0.50086129103727</v>
      </c>
      <c r="Q692" s="54" t="n">
        <f aca="true">RAND()</f>
        <v>0.667932064654714</v>
      </c>
      <c r="R692" s="54" t="n">
        <f aca="true">RAND()</f>
        <v>0.317576568038215</v>
      </c>
      <c r="S692" s="54" t="n">
        <f aca="true">RAND()</f>
        <v>0.743443932318477</v>
      </c>
      <c r="T692" s="54" t="n">
        <f aca="true">RAND()</f>
        <v>0.336177649830163</v>
      </c>
      <c r="U692" s="54" t="n">
        <f aca="true">RAND()</f>
        <v>0.0101562882571376</v>
      </c>
    </row>
    <row r="693" customFormat="false" ht="15" hidden="false" customHeight="false" outlineLevel="0" collapsed="false">
      <c r="A693" s="50" t="n">
        <v>613</v>
      </c>
      <c r="B693" s="51" t="n">
        <f aca="false">1+IF($G$6=$E$6,$F$6,IF(P693&lt;($F$6-$E$6)/($G$6-$E$6),$E$6+SQRT(P693*($G$6-$E$6)*($F$6-$E$6)),$G$6-SQRT((1-P693)*($G$6-$E$6)*($G$6-$F$6))))</f>
        <v>1.00371073406705</v>
      </c>
      <c r="C693" s="51" t="n">
        <f aca="false">1+IF($G$7=$E$7,$F$7,IF(Q693&lt;($F$7-$E$7)/($G$7-$E$7),$E$7+SQRT(Q693*($G$7-$E$7)*($F$7-$E$7)),$G$7-SQRT((1-Q693)*($G$7-$E$7)*($G$7-$F$7))))</f>
        <v>0.984730577211636</v>
      </c>
      <c r="D693" s="51" t="n">
        <f aca="false">1+IF($G$8=$E$8,$F$8,IF(R693&lt;($F$8-$E$8)/($G$8-$E$8),$E$8+SQRT(R693*($G$8-$E$8)*($F$8-$E$8)),$G$8-SQRT((1-R693)*($G$8-$E$8)*($G$8-$F$8))))</f>
        <v>1.03986105945317</v>
      </c>
      <c r="E693" s="51" t="n">
        <f aca="false">1+IF($G$9=$E$9,$F$9,IF(S693&lt;($F$9-$E$9)/($G$9-$E$9),$E$9+SQRT(S693*($G$9-$E$9)*($F$9-$E$9)),$G$9-SQRT((1-S693)*($G$9-$E$9)*($G$9-$F$9))))</f>
        <v>0.981733984502253</v>
      </c>
      <c r="F693" s="51" t="n">
        <f aca="false">1+IF($G$10=$E$10,$F$10,IF(T693&lt;($F$10-$E$10)/($G$10-$E$10),$E$10+SQRT(T693*($G$10-$E$10)*($F$10-$E$10)),$G$10-SQRT((1-T693)*($G$10-$E$10)*($G$10-$F$10))))</f>
        <v>1.05281353130568</v>
      </c>
      <c r="G693" s="52" t="n">
        <f aca="false">IF($G$11=$E$11,$F$11,IF(U693&lt;($F$11-$E$11)/($G$11-$E$11),$E$11+SQRT(U693*($G$11-$E$11)*($F$11-$E$11)),$G$11-SQRT((1-U693)*($G$11-$E$11)*($G$11-$F$11))))</f>
        <v>0.10177679100999</v>
      </c>
      <c r="H693" s="53" t="n">
        <f aca="false">(('Business Case'!B11*$C693*'Business Case'!B12*$B693)-'Business Case'!B11*$C693*'Business Case'!B13*$D693-'Business Case'!B14*$E693)-MAX(0,(('Business Case'!B11*$C693*'Business Case'!B12*$B693)-'Business Case'!B11*$C693*'Business Case'!B13*$D693-'Business Case'!B14*$E693))*'Business Case'!$B$7-'Business Case'!$B$8*('Business Case'!B11*$C693*'Business Case'!B12*$B693)-'Business Case'!B15*$F693</f>
        <v>-2105627062.61136</v>
      </c>
      <c r="I693" s="53" t="n">
        <f aca="false">(('Business Case'!C11*$C693*'Business Case'!C12*$B693)-'Business Case'!C11*$C693*'Business Case'!C13*$D693-'Business Case'!C14*$E693)-MAX(0,(('Business Case'!C11*$C693*'Business Case'!C12*$B693)-'Business Case'!C11*$C693*'Business Case'!C13*$D693-'Business Case'!C14*$E693))*'Business Case'!$B$7-'Business Case'!$B$8*(('Business Case'!C11*$C693*'Business Case'!C12*$B693)-('Business Case'!B11*$C693*'Business Case'!B12*$B693))-'Business Case'!C15*$F693</f>
        <v>-10760961.3303108</v>
      </c>
      <c r="J693" s="53" t="n">
        <f aca="false">(('Business Case'!D11*$C693*'Business Case'!D12*$B693)-'Business Case'!D11*$C693*'Business Case'!D13*$D693-'Business Case'!D14*$E693)-MAX(0,(('Business Case'!D11*$C693*'Business Case'!D12*$B693)-'Business Case'!D11*$C693*'Business Case'!D13*$D693-'Business Case'!D14*$E693))*'Business Case'!$B$7-'Business Case'!$B$8*(('Business Case'!D11*$C693*'Business Case'!D12*$B693)-('Business Case'!C11*$C693*'Business Case'!C12*$B693))-'Business Case'!D15*$F693</f>
        <v>274599863.348676</v>
      </c>
      <c r="K693" s="53" t="n">
        <f aca="false">(('Business Case'!E11*$C693*'Business Case'!E12*$B693)-'Business Case'!E11*$C693*'Business Case'!E13*$D693-'Business Case'!E14*$E693)-MAX(0,(('Business Case'!E11*$C693*'Business Case'!E12*$B693)-'Business Case'!E11*$C693*'Business Case'!E13*$D693-'Business Case'!E14*$E693))*'Business Case'!$B$7-'Business Case'!$B$8*(('Business Case'!E11*$C693*'Business Case'!E12*$B693)-('Business Case'!D11*$C693*'Business Case'!D12*$B693))-'Business Case'!E15*$F693</f>
        <v>612601364.592946</v>
      </c>
      <c r="L693" s="53" t="n">
        <f aca="false">(('Business Case'!F11*$C693*'Business Case'!F12*$B693)-'Business Case'!F11*$C693*'Business Case'!F13*$D693-'Business Case'!F14*$E693)-MAX(0,(('Business Case'!F11*$C693*'Business Case'!F12*$B693)-'Business Case'!F11*$C693*'Business Case'!F13*$D693-'Business Case'!F14*$E693))*'Business Case'!$B$7-'Business Case'!$B$8*(('Business Case'!F11*$C693*'Business Case'!F12*$B693)-('Business Case'!E11*$C693*'Business Case'!E12*$B693))-'Business Case'!F15*$F693</f>
        <v>741880213.007614</v>
      </c>
      <c r="M693" s="53" t="n">
        <f aca="false">(('Business Case'!G11*$C693*'Business Case'!G12*$B693)-'Business Case'!G11*$C693*'Business Case'!G13*$D693-'Business Case'!G14*$E693)-MAX(0,(('Business Case'!G11*$C693*'Business Case'!G12*$B693)-'Business Case'!G11*$C693*'Business Case'!G13*$D693-'Business Case'!G14*$E693))*'Business Case'!$B$7-'Business Case'!$B$8*(('Business Case'!G11*$C693*'Business Case'!G12*$B693)-('Business Case'!F11*$C693*'Business Case'!F12*$B693))-'Business Case'!G15*$F693+'Business Case'!$B$8*('Business Case'!G11*$C693*'Business Case'!G12*$B693)</f>
        <v>929752367.376813</v>
      </c>
      <c r="N693" s="53" t="n">
        <f aca="false">IF(COUNT('Business Case'!B11:G11)=0,"",H693+NPV(G693,I693:M693))</f>
        <v>-355033434.288417</v>
      </c>
      <c r="P693" s="54" t="n">
        <f aca="true">RAND()</f>
        <v>0.725643578759886</v>
      </c>
      <c r="Q693" s="54" t="n">
        <f aca="true">RAND()</f>
        <v>0.487505516527773</v>
      </c>
      <c r="R693" s="54" t="n">
        <f aca="true">RAND()</f>
        <v>0.845083216517156</v>
      </c>
      <c r="S693" s="54" t="n">
        <f aca="true">RAND()</f>
        <v>0.134272769651896</v>
      </c>
      <c r="T693" s="54" t="n">
        <f aca="true">RAND()</f>
        <v>0.566722868665919</v>
      </c>
      <c r="U693" s="54" t="n">
        <f aca="true">RAND()</f>
        <v>0.446524423510706</v>
      </c>
    </row>
    <row r="694" customFormat="false" ht="15" hidden="false" customHeight="false" outlineLevel="0" collapsed="false">
      <c r="A694" s="50" t="n">
        <v>614</v>
      </c>
      <c r="B694" s="51" t="n">
        <f aca="false">1+IF($G$6=$E$6,$F$6,IF(P694&lt;($F$6-$E$6)/($G$6-$E$6),$E$6+SQRT(P694*($G$6-$E$6)*($F$6-$E$6)),$G$6-SQRT((1-P694)*($G$6-$E$6)*($G$6-$F$6))))</f>
        <v>0.958593130422082</v>
      </c>
      <c r="C694" s="51" t="n">
        <f aca="false">1+IF($G$7=$E$7,$F$7,IF(Q694&lt;($F$7-$E$7)/($G$7-$E$7),$E$7+SQRT(Q694*($G$7-$E$7)*($F$7-$E$7)),$G$7-SQRT((1-Q694)*($G$7-$E$7)*($G$7-$F$7))))</f>
        <v>1.0208454983342</v>
      </c>
      <c r="D694" s="51" t="n">
        <f aca="false">1+IF($G$8=$E$8,$F$8,IF(R694&lt;($F$8-$E$8)/($G$8-$E$8),$E$8+SQRT(R694*($G$8-$E$8)*($F$8-$E$8)),$G$8-SQRT((1-R694)*($G$8-$E$8)*($G$8-$F$8))))</f>
        <v>1.06407495368606</v>
      </c>
      <c r="E694" s="51" t="n">
        <f aca="false">1+IF($G$9=$E$9,$F$9,IF(S694&lt;($F$9-$E$9)/($G$9-$E$9),$E$9+SQRT(S694*($G$9-$E$9)*($F$9-$E$9)),$G$9-SQRT((1-S694)*($G$9-$E$9)*($G$9-$F$9))))</f>
        <v>0.991120966722386</v>
      </c>
      <c r="F694" s="51" t="n">
        <f aca="false">1+IF($G$10=$E$10,$F$10,IF(T694&lt;($F$10-$E$10)/($G$10-$E$10),$E$10+SQRT(T694*($G$10-$E$10)*($F$10-$E$10)),$G$10-SQRT((1-T694)*($G$10-$E$10)*($G$10-$F$10))))</f>
        <v>1.021941049707</v>
      </c>
      <c r="G694" s="52" t="n">
        <f aca="false">IF($G$11=$E$11,$F$11,IF(U694&lt;($F$11-$E$11)/($G$11-$E$11),$E$11+SQRT(U694*($G$11-$E$11)*($F$11-$E$11)),$G$11-SQRT((1-U694)*($G$11-$E$11)*($G$11-$F$11))))</f>
        <v>0.0920164562929729</v>
      </c>
      <c r="H694" s="53" t="n">
        <f aca="false">(('Business Case'!B11*$C694*'Business Case'!B12*$B694)-'Business Case'!B11*$C694*'Business Case'!B13*$D694-'Business Case'!B14*$E694)-MAX(0,(('Business Case'!B11*$C694*'Business Case'!B12*$B694)-'Business Case'!B11*$C694*'Business Case'!B13*$D694-'Business Case'!B14*$E694))*'Business Case'!$B$7-'Business Case'!$B$8*('Business Case'!B11*$C694*'Business Case'!B12*$B694)-'Business Case'!B15*$F694</f>
        <v>-2043882099.41399</v>
      </c>
      <c r="I694" s="53" t="n">
        <f aca="false">(('Business Case'!C11*$C694*'Business Case'!C12*$B694)-'Business Case'!C11*$C694*'Business Case'!C13*$D694-'Business Case'!C14*$E694)-MAX(0,(('Business Case'!C11*$C694*'Business Case'!C12*$B694)-'Business Case'!C11*$C694*'Business Case'!C13*$D694-'Business Case'!C14*$E694))*'Business Case'!$B$7-'Business Case'!$B$8*(('Business Case'!C11*$C694*'Business Case'!C12*$B694)-('Business Case'!B11*$C694*'Business Case'!B12*$B694))-'Business Case'!C15*$F694</f>
        <v>-48413318.4964895</v>
      </c>
      <c r="J694" s="53" t="n">
        <f aca="false">(('Business Case'!D11*$C694*'Business Case'!D12*$B694)-'Business Case'!D11*$C694*'Business Case'!D13*$D694-'Business Case'!D14*$E694)-MAX(0,(('Business Case'!D11*$C694*'Business Case'!D12*$B694)-'Business Case'!D11*$C694*'Business Case'!D13*$D694-'Business Case'!D14*$E694))*'Business Case'!$B$7-'Business Case'!$B$8*(('Business Case'!D11*$C694*'Business Case'!D12*$B694)-('Business Case'!C11*$C694*'Business Case'!C12*$B694))-'Business Case'!D15*$F694</f>
        <v>197034222.42866</v>
      </c>
      <c r="K694" s="53" t="n">
        <f aca="false">(('Business Case'!E11*$C694*'Business Case'!E12*$B694)-'Business Case'!E11*$C694*'Business Case'!E13*$D694-'Business Case'!E14*$E694)-MAX(0,(('Business Case'!E11*$C694*'Business Case'!E12*$B694)-'Business Case'!E11*$C694*'Business Case'!E13*$D694-'Business Case'!E14*$E694))*'Business Case'!$B$7-'Business Case'!$B$8*(('Business Case'!E11*$C694*'Business Case'!E12*$B694)-('Business Case'!D11*$C694*'Business Case'!D12*$B694))-'Business Case'!E15*$F694</f>
        <v>493578815.83916</v>
      </c>
      <c r="L694" s="53" t="n">
        <f aca="false">(('Business Case'!F11*$C694*'Business Case'!F12*$B694)-'Business Case'!F11*$C694*'Business Case'!F13*$D694-'Business Case'!F14*$E694)-MAX(0,(('Business Case'!F11*$C694*'Business Case'!F12*$B694)-'Business Case'!F11*$C694*'Business Case'!F13*$D694-'Business Case'!F14*$E694))*'Business Case'!$B$7-'Business Case'!$B$8*(('Business Case'!F11*$C694*'Business Case'!F12*$B694)-('Business Case'!E11*$C694*'Business Case'!E12*$B694))-'Business Case'!F15*$F694</f>
        <v>609214231.469555</v>
      </c>
      <c r="M694" s="53" t="n">
        <f aca="false">(('Business Case'!G11*$C694*'Business Case'!G12*$B694)-'Business Case'!G11*$C694*'Business Case'!G13*$D694-'Business Case'!G14*$E694)-MAX(0,(('Business Case'!G11*$C694*'Business Case'!G12*$B694)-'Business Case'!G11*$C694*'Business Case'!G13*$D694-'Business Case'!G14*$E694))*'Business Case'!$B$7-'Business Case'!$B$8*(('Business Case'!G11*$C694*'Business Case'!G12*$B694)-('Business Case'!F11*$C694*'Business Case'!F12*$B694))-'Business Case'!G15*$F694+'Business Case'!$B$8*('Business Case'!G11*$C694*'Business Case'!G12*$B694)</f>
        <v>795221859.073949</v>
      </c>
      <c r="N694" s="53" t="n">
        <f aca="false">IF(COUNT('Business Case'!B11:G11)=0,"",H694+NPV(G694,I694:M694))</f>
        <v>-603472945.475738</v>
      </c>
      <c r="P694" s="54" t="n">
        <f aca="true">RAND()</f>
        <v>0.155148928726646</v>
      </c>
      <c r="Q694" s="54" t="n">
        <f aca="true">RAND()</f>
        <v>0.682268851418281</v>
      </c>
      <c r="R694" s="54" t="n">
        <f aca="true">RAND()</f>
        <v>0.975614701913344</v>
      </c>
      <c r="S694" s="54" t="n">
        <f aca="true">RAND()</f>
        <v>0.225457853891148</v>
      </c>
      <c r="T694" s="54" t="n">
        <f aca="true">RAND()</f>
        <v>0.36590020441107</v>
      </c>
      <c r="U694" s="54" t="n">
        <f aca="true">RAND()</f>
        <v>0.0135536532715667</v>
      </c>
    </row>
    <row r="695" customFormat="false" ht="15" hidden="false" customHeight="false" outlineLevel="0" collapsed="false">
      <c r="A695" s="50" t="n">
        <v>615</v>
      </c>
      <c r="B695" s="51" t="n">
        <f aca="false">1+IF($G$6=$E$6,$F$6,IF(P695&lt;($F$6-$E$6)/($G$6-$E$6),$E$6+SQRT(P695*($G$6-$E$6)*($F$6-$E$6)),$G$6-SQRT((1-P695)*($G$6-$E$6)*($G$6-$F$6))))</f>
        <v>1.02333099336061</v>
      </c>
      <c r="C695" s="51" t="n">
        <f aca="false">1+IF($G$7=$E$7,$F$7,IF(Q695&lt;($F$7-$E$7)/($G$7-$E$7),$E$7+SQRT(Q695*($G$7-$E$7)*($F$7-$E$7)),$G$7-SQRT((1-Q695)*($G$7-$E$7)*($G$7-$F$7))))</f>
        <v>0.996471483594738</v>
      </c>
      <c r="D695" s="51" t="n">
        <f aca="false">1+IF($G$8=$E$8,$F$8,IF(R695&lt;($F$8-$E$8)/($G$8-$E$8),$E$8+SQRT(R695*($G$8-$E$8)*($F$8-$E$8)),$G$8-SQRT((1-R695)*($G$8-$E$8)*($G$8-$F$8))))</f>
        <v>1.01190279218131</v>
      </c>
      <c r="E695" s="51" t="n">
        <f aca="false">1+IF($G$9=$E$9,$F$9,IF(S695&lt;($F$9-$E$9)/($G$9-$E$9),$E$9+SQRT(S695*($G$9-$E$9)*($F$9-$E$9)),$G$9-SQRT((1-S695)*($G$9-$E$9)*($G$9-$F$9))))</f>
        <v>1.00094377471165</v>
      </c>
      <c r="F695" s="51" t="n">
        <f aca="false">1+IF($G$10=$E$10,$F$10,IF(T695&lt;($F$10-$E$10)/($G$10-$E$10),$E$10+SQRT(T695*($G$10-$E$10)*($F$10-$E$10)),$G$10-SQRT((1-T695)*($G$10-$E$10)*($G$10-$F$10))))</f>
        <v>1.00276294002316</v>
      </c>
      <c r="G695" s="52" t="n">
        <f aca="false">IF($G$11=$E$11,$F$11,IF(U695&lt;($F$11-$E$11)/($G$11-$E$11),$E$11+SQRT(U695*($G$11-$E$11)*($F$11-$E$11)),$G$11-SQRT((1-U695)*($G$11-$E$11)*($G$11-$F$11))))</f>
        <v>0.100125265005645</v>
      </c>
      <c r="H695" s="53" t="n">
        <f aca="false">(('Business Case'!B11*$C695*'Business Case'!B12*$B695)-'Business Case'!B11*$C695*'Business Case'!B13*$D695-'Business Case'!B14*$E695)-MAX(0,(('Business Case'!B11*$C695*'Business Case'!B12*$B695)-'Business Case'!B11*$C695*'Business Case'!B13*$D695-'Business Case'!B14*$E695))*'Business Case'!$B$7-'Business Case'!$B$8*('Business Case'!B11*$C695*'Business Case'!B12*$B695)-'Business Case'!B15*$F695</f>
        <v>-2005525880.04632</v>
      </c>
      <c r="I695" s="53" t="n">
        <f aca="false">(('Business Case'!C11*$C695*'Business Case'!C12*$B695)-'Business Case'!C11*$C695*'Business Case'!C13*$D695-'Business Case'!C14*$E695)-MAX(0,(('Business Case'!C11*$C695*'Business Case'!C12*$B695)-'Business Case'!C11*$C695*'Business Case'!C13*$D695-'Business Case'!C14*$E695))*'Business Case'!$B$7-'Business Case'!$B$8*(('Business Case'!C11*$C695*'Business Case'!C12*$B695)-('Business Case'!B11*$C695*'Business Case'!B12*$B695))-'Business Case'!C15*$F695</f>
        <v>23565974.7587734</v>
      </c>
      <c r="J695" s="53" t="n">
        <f aca="false">(('Business Case'!D11*$C695*'Business Case'!D12*$B695)-'Business Case'!D11*$C695*'Business Case'!D13*$D695-'Business Case'!D14*$E695)-MAX(0,(('Business Case'!D11*$C695*'Business Case'!D12*$B695)-'Business Case'!D11*$C695*'Business Case'!D13*$D695-'Business Case'!D14*$E695))*'Business Case'!$B$7-'Business Case'!$B$8*(('Business Case'!D11*$C695*'Business Case'!D12*$B695)-('Business Case'!C11*$C695*'Business Case'!C12*$B695))-'Business Case'!D15*$F695</f>
        <v>342604741.023805</v>
      </c>
      <c r="K695" s="53" t="n">
        <f aca="false">(('Business Case'!E11*$C695*'Business Case'!E12*$B695)-'Business Case'!E11*$C695*'Business Case'!E13*$D695-'Business Case'!E14*$E695)-MAX(0,(('Business Case'!E11*$C695*'Business Case'!E12*$B695)-'Business Case'!E11*$C695*'Business Case'!E13*$D695-'Business Case'!E14*$E695))*'Business Case'!$B$7-'Business Case'!$B$8*(('Business Case'!E11*$C695*'Business Case'!E12*$B695)-('Business Case'!D11*$C695*'Business Case'!D12*$B695))-'Business Case'!E15*$F695</f>
        <v>711781654.289994</v>
      </c>
      <c r="L695" s="53" t="n">
        <f aca="false">(('Business Case'!F11*$C695*'Business Case'!F12*$B695)-'Business Case'!F11*$C695*'Business Case'!F13*$D695-'Business Case'!F14*$E695)-MAX(0,(('Business Case'!F11*$C695*'Business Case'!F12*$B695)-'Business Case'!F11*$C695*'Business Case'!F13*$D695-'Business Case'!F14*$E695))*'Business Case'!$B$7-'Business Case'!$B$8*(('Business Case'!F11*$C695*'Business Case'!F12*$B695)-('Business Case'!E11*$C695*'Business Case'!E12*$B695))-'Business Case'!F15*$F695</f>
        <v>853369438.204968</v>
      </c>
      <c r="M695" s="53" t="n">
        <f aca="false">(('Business Case'!G11*$C695*'Business Case'!G12*$B695)-'Business Case'!G11*$C695*'Business Case'!G13*$D695-'Business Case'!G14*$E695)-MAX(0,(('Business Case'!G11*$C695*'Business Case'!G12*$B695)-'Business Case'!G11*$C695*'Business Case'!G13*$D695-'Business Case'!G14*$E695))*'Business Case'!$B$7-'Business Case'!$B$8*(('Business Case'!G11*$C695*'Business Case'!G12*$B695)-('Business Case'!F11*$C695*'Business Case'!F12*$B695))-'Business Case'!G15*$F695+'Business Case'!$B$8*('Business Case'!G11*$C695*'Business Case'!G12*$B695)</f>
        <v>1047197844.9181</v>
      </c>
      <c r="N695" s="53" t="n">
        <f aca="false">IF(COUNT('Business Case'!B11:G11)=0,"",H695+NPV(G695,I695:M695))</f>
        <v>66019422.0363138</v>
      </c>
      <c r="P695" s="54" t="n">
        <f aca="true">RAND()</f>
        <v>0.942113378678321</v>
      </c>
      <c r="Q695" s="54" t="n">
        <f aca="true">RAND()</f>
        <v>0.551443483798822</v>
      </c>
      <c r="R695" s="54" t="n">
        <f aca="true">RAND()</f>
        <v>0.554112527624884</v>
      </c>
      <c r="S695" s="54" t="n">
        <f aca="true">RAND()</f>
        <v>0.345857615441603</v>
      </c>
      <c r="T695" s="54" t="n">
        <f aca="true">RAND()</f>
        <v>0.22195084343384</v>
      </c>
      <c r="U695" s="54" t="n">
        <f aca="true">RAND()</f>
        <v>0.341658181506945</v>
      </c>
    </row>
    <row r="696" customFormat="false" ht="15" hidden="false" customHeight="false" outlineLevel="0" collapsed="false">
      <c r="A696" s="50" t="n">
        <v>616</v>
      </c>
      <c r="B696" s="51" t="n">
        <f aca="false">1+IF($G$6=$E$6,$F$6,IF(P696&lt;($F$6-$E$6)/($G$6-$E$6),$E$6+SQRT(P696*($G$6-$E$6)*($F$6-$E$6)),$G$6-SQRT((1-P696)*($G$6-$E$6)*($G$6-$F$6))))</f>
        <v>0.996718968170432</v>
      </c>
      <c r="C696" s="51" t="n">
        <f aca="false">1+IF($G$7=$E$7,$F$7,IF(Q696&lt;($F$7-$E$7)/($G$7-$E$7),$E$7+SQRT(Q696*($G$7-$E$7)*($F$7-$E$7)),$G$7-SQRT((1-Q696)*($G$7-$E$7)*($G$7-$F$7))))</f>
        <v>0.967772072605126</v>
      </c>
      <c r="D696" s="51" t="n">
        <f aca="false">1+IF($G$8=$E$8,$F$8,IF(R696&lt;($F$8-$E$8)/($G$8-$E$8),$E$8+SQRT(R696*($G$8-$E$8)*($F$8-$E$8)),$G$8-SQRT((1-R696)*($G$8-$E$8)*($G$8-$F$8))))</f>
        <v>1.01706342497719</v>
      </c>
      <c r="E696" s="51" t="n">
        <f aca="false">1+IF($G$9=$E$9,$F$9,IF(S696&lt;($F$9-$E$9)/($G$9-$E$9),$E$9+SQRT(S696*($G$9-$E$9)*($F$9-$E$9)),$G$9-SQRT((1-S696)*($G$9-$E$9)*($G$9-$F$9))))</f>
        <v>1.05807337038316</v>
      </c>
      <c r="F696" s="51" t="n">
        <f aca="false">1+IF($G$10=$E$10,$F$10,IF(T696&lt;($F$10-$E$10)/($G$10-$E$10),$E$10+SQRT(T696*($G$10-$E$10)*($F$10-$E$10)),$G$10-SQRT((1-T696)*($G$10-$E$10)*($G$10-$F$10))))</f>
        <v>1.13401791387147</v>
      </c>
      <c r="G696" s="52" t="n">
        <f aca="false">IF($G$11=$E$11,$F$11,IF(U696&lt;($F$11-$E$11)/($G$11-$E$11),$E$11+SQRT(U696*($G$11-$E$11)*($F$11-$E$11)),$G$11-SQRT((1-U696)*($G$11-$E$11)*($G$11-$F$11))))</f>
        <v>0.105525031311369</v>
      </c>
      <c r="H696" s="53" t="n">
        <f aca="false">(('Business Case'!B11*$C696*'Business Case'!B12*$B696)-'Business Case'!B11*$C696*'Business Case'!B13*$D696-'Business Case'!B14*$E696)-MAX(0,(('Business Case'!B11*$C696*'Business Case'!B12*$B696)-'Business Case'!B11*$C696*'Business Case'!B13*$D696-'Business Case'!B14*$E696))*'Business Case'!$B$7-'Business Case'!$B$8*('Business Case'!B11*$C696*'Business Case'!B12*$B696)-'Business Case'!B15*$F696</f>
        <v>-2268035827.74295</v>
      </c>
      <c r="I696" s="53" t="n">
        <f aca="false">(('Business Case'!C11*$C696*'Business Case'!C12*$B696)-'Business Case'!C11*$C696*'Business Case'!C13*$D696-'Business Case'!C14*$E696)-MAX(0,(('Business Case'!C11*$C696*'Business Case'!C12*$B696)-'Business Case'!C11*$C696*'Business Case'!C13*$D696-'Business Case'!C14*$E696))*'Business Case'!$B$7-'Business Case'!$B$8*(('Business Case'!C11*$C696*'Business Case'!C12*$B696)-('Business Case'!B11*$C696*'Business Case'!B12*$B696))-'Business Case'!C15*$F696</f>
        <v>-27665780.1705622</v>
      </c>
      <c r="J696" s="53" t="n">
        <f aca="false">(('Business Case'!D11*$C696*'Business Case'!D12*$B696)-'Business Case'!D11*$C696*'Business Case'!D13*$D696-'Business Case'!D14*$E696)-MAX(0,(('Business Case'!D11*$C696*'Business Case'!D12*$B696)-'Business Case'!D11*$C696*'Business Case'!D13*$D696-'Business Case'!D14*$E696))*'Business Case'!$B$7-'Business Case'!$B$8*(('Business Case'!D11*$C696*'Business Case'!D12*$B696)-('Business Case'!C11*$C696*'Business Case'!C12*$B696))-'Business Case'!D15*$F696</f>
        <v>258532961.474268</v>
      </c>
      <c r="K696" s="53" t="n">
        <f aca="false">(('Business Case'!E11*$C696*'Business Case'!E12*$B696)-'Business Case'!E11*$C696*'Business Case'!E13*$D696-'Business Case'!E14*$E696)-MAX(0,(('Business Case'!E11*$C696*'Business Case'!E12*$B696)-'Business Case'!E11*$C696*'Business Case'!E13*$D696-'Business Case'!E14*$E696))*'Business Case'!$B$7-'Business Case'!$B$8*(('Business Case'!E11*$C696*'Business Case'!E12*$B696)-('Business Case'!D11*$C696*'Business Case'!D12*$B696))-'Business Case'!E15*$F696</f>
        <v>601432598.812671</v>
      </c>
      <c r="L696" s="53" t="n">
        <f aca="false">(('Business Case'!F11*$C696*'Business Case'!F12*$B696)-'Business Case'!F11*$C696*'Business Case'!F13*$D696-'Business Case'!F14*$E696)-MAX(0,(('Business Case'!F11*$C696*'Business Case'!F12*$B696)-'Business Case'!F11*$C696*'Business Case'!F13*$D696-'Business Case'!F14*$E696))*'Business Case'!$B$7-'Business Case'!$B$8*(('Business Case'!F11*$C696*'Business Case'!F12*$B696)-('Business Case'!E11*$C696*'Business Case'!E12*$B696))-'Business Case'!F15*$F696</f>
        <v>730168644.13412</v>
      </c>
      <c r="M696" s="53" t="n">
        <f aca="false">(('Business Case'!G11*$C696*'Business Case'!G12*$B696)-'Business Case'!G11*$C696*'Business Case'!G13*$D696-'Business Case'!G14*$E696)-MAX(0,(('Business Case'!G11*$C696*'Business Case'!G12*$B696)-'Business Case'!G11*$C696*'Business Case'!G13*$D696-'Business Case'!G14*$E696))*'Business Case'!$B$7-'Business Case'!$B$8*(('Business Case'!G11*$C696*'Business Case'!G12*$B696)-('Business Case'!F11*$C696*'Business Case'!F12*$B696))-'Business Case'!G15*$F696+'Business Case'!$B$8*('Business Case'!G11*$C696*'Business Case'!G12*$B696)</f>
        <v>913519200.386567</v>
      </c>
      <c r="N696" s="53" t="n">
        <f aca="false">IF(COUNT('Business Case'!B11:G11)=0,"",H696+NPV(G696,I696:M696))</f>
        <v>-594392857.593723</v>
      </c>
      <c r="P696" s="54" t="n">
        <f aca="true">RAND()</f>
        <v>0.613104174701637</v>
      </c>
      <c r="Q696" s="54" t="n">
        <f aca="true">RAND()</f>
        <v>0.402106690660283</v>
      </c>
      <c r="R696" s="54" t="n">
        <f aca="true">RAND()</f>
        <v>0.619133415807505</v>
      </c>
      <c r="S696" s="54" t="n">
        <f aca="true">RAND()</f>
        <v>0.882810515264848</v>
      </c>
      <c r="T696" s="54" t="n">
        <f aca="true">RAND()</f>
        <v>0.912927286202557</v>
      </c>
      <c r="U696" s="54" t="n">
        <f aca="true">RAND()</f>
        <v>0.650792135771911</v>
      </c>
    </row>
    <row r="697" customFormat="false" ht="15" hidden="false" customHeight="false" outlineLevel="0" collapsed="false">
      <c r="A697" s="50" t="n">
        <v>617</v>
      </c>
      <c r="B697" s="51" t="n">
        <f aca="false">1+IF($G$6=$E$6,$F$6,IF(P697&lt;($F$6-$E$6)/($G$6-$E$6),$E$6+SQRT(P697*($G$6-$E$6)*($F$6-$E$6)),$G$6-SQRT((1-P697)*($G$6-$E$6)*($G$6-$F$6))))</f>
        <v>0.948894580170186</v>
      </c>
      <c r="C697" s="51" t="n">
        <f aca="false">1+IF($G$7=$E$7,$F$7,IF(Q697&lt;($F$7-$E$7)/($G$7-$E$7),$E$7+SQRT(Q697*($G$7-$E$7)*($F$7-$E$7)),$G$7-SQRT((1-Q697)*($G$7-$E$7)*($G$7-$F$7))))</f>
        <v>0.948063657056427</v>
      </c>
      <c r="D697" s="51" t="n">
        <f aca="false">1+IF($G$8=$E$8,$F$8,IF(R697&lt;($F$8-$E$8)/($G$8-$E$8),$E$8+SQRT(R697*($G$8-$E$8)*($F$8-$E$8)),$G$8-SQRT((1-R697)*($G$8-$E$8)*($G$8-$F$8))))</f>
        <v>1.04536944881519</v>
      </c>
      <c r="E697" s="51" t="n">
        <f aca="false">1+IF($G$9=$E$9,$F$9,IF(S697&lt;($F$9-$E$9)/($G$9-$E$9),$E$9+SQRT(S697*($G$9-$E$9)*($F$9-$E$9)),$G$9-SQRT((1-S697)*($G$9-$E$9)*($G$9-$F$9))))</f>
        <v>1.02889589550223</v>
      </c>
      <c r="F697" s="51" t="n">
        <f aca="false">1+IF($G$10=$E$10,$F$10,IF(T697&lt;($F$10-$E$10)/($G$10-$E$10),$E$10+SQRT(T697*($G$10-$E$10)*($F$10-$E$10)),$G$10-SQRT((1-T697)*($G$10-$E$10)*($G$10-$F$10))))</f>
        <v>1.09052246805084</v>
      </c>
      <c r="G697" s="52" t="n">
        <f aca="false">IF($G$11=$E$11,$F$11,IF(U697&lt;($F$11-$E$11)/($G$11-$E$11),$E$11+SQRT(U697*($G$11-$E$11)*($F$11-$E$11)),$G$11-SQRT((1-U697)*($G$11-$E$11)*($G$11-$F$11))))</f>
        <v>0.105196808383889</v>
      </c>
      <c r="H697" s="53" t="n">
        <f aca="false">(('Business Case'!B11*$C697*'Business Case'!B12*$B697)-'Business Case'!B11*$C697*'Business Case'!B13*$D697-'Business Case'!B14*$E697)-MAX(0,(('Business Case'!B11*$C697*'Business Case'!B12*$B697)-'Business Case'!B11*$C697*'Business Case'!B13*$D697-'Business Case'!B14*$E697))*'Business Case'!$B$7-'Business Case'!$B$8*('Business Case'!B11*$C697*'Business Case'!B12*$B697)-'Business Case'!B15*$F697</f>
        <v>-2181044936.10167</v>
      </c>
      <c r="I697" s="53" t="n">
        <f aca="false">(('Business Case'!C11*$C697*'Business Case'!C12*$B697)-'Business Case'!C11*$C697*'Business Case'!C13*$D697-'Business Case'!C14*$E697)-MAX(0,(('Business Case'!C11*$C697*'Business Case'!C12*$B697)-'Business Case'!C11*$C697*'Business Case'!C13*$D697-'Business Case'!C14*$E697))*'Business Case'!$B$7-'Business Case'!$B$8*(('Business Case'!C11*$C697*'Business Case'!C12*$B697)-('Business Case'!B11*$C697*'Business Case'!B12*$B697))-'Business Case'!C15*$F697</f>
        <v>-72501798.3145281</v>
      </c>
      <c r="J697" s="53" t="n">
        <f aca="false">(('Business Case'!D11*$C697*'Business Case'!D12*$B697)-'Business Case'!D11*$C697*'Business Case'!D13*$D697-'Business Case'!D14*$E697)-MAX(0,(('Business Case'!D11*$C697*'Business Case'!D12*$B697)-'Business Case'!D11*$C697*'Business Case'!D13*$D697-'Business Case'!D14*$E697))*'Business Case'!$B$7-'Business Case'!$B$8*(('Business Case'!D11*$C697*'Business Case'!D12*$B697)-('Business Case'!C11*$C697*'Business Case'!C12*$B697))-'Business Case'!D15*$F697</f>
        <v>156993556.745444</v>
      </c>
      <c r="K697" s="53" t="n">
        <f aca="false">(('Business Case'!E11*$C697*'Business Case'!E12*$B697)-'Business Case'!E11*$C697*'Business Case'!E13*$D697-'Business Case'!E14*$E697)-MAX(0,(('Business Case'!E11*$C697*'Business Case'!E12*$B697)-'Business Case'!E11*$C697*'Business Case'!E13*$D697-'Business Case'!E14*$E697))*'Business Case'!$B$7-'Business Case'!$B$8*(('Business Case'!E11*$C697*'Business Case'!E12*$B697)-('Business Case'!D11*$C697*'Business Case'!D12*$B697))-'Business Case'!E15*$F697</f>
        <v>441015035.207958</v>
      </c>
      <c r="L697" s="53" t="n">
        <f aca="false">(('Business Case'!F11*$C697*'Business Case'!F12*$B697)-'Business Case'!F11*$C697*'Business Case'!F13*$D697-'Business Case'!F14*$E697)-MAX(0,(('Business Case'!F11*$C697*'Business Case'!F12*$B697)-'Business Case'!F11*$C697*'Business Case'!F13*$D697-'Business Case'!F14*$E697))*'Business Case'!$B$7-'Business Case'!$B$8*(('Business Case'!F11*$C697*'Business Case'!F12*$B697)-('Business Case'!E11*$C697*'Business Case'!E12*$B697))-'Business Case'!F15*$F697</f>
        <v>548604093.713948</v>
      </c>
      <c r="M697" s="53" t="n">
        <f aca="false">(('Business Case'!G11*$C697*'Business Case'!G12*$B697)-'Business Case'!G11*$C697*'Business Case'!G13*$D697-'Business Case'!G14*$E697)-MAX(0,(('Business Case'!G11*$C697*'Business Case'!G12*$B697)-'Business Case'!G11*$C697*'Business Case'!G13*$D697-'Business Case'!G14*$E697))*'Business Case'!$B$7-'Business Case'!$B$8*(('Business Case'!G11*$C697*'Business Case'!G12*$B697)-('Business Case'!F11*$C697*'Business Case'!F12*$B697))-'Business Case'!G15*$F697+'Business Case'!$B$8*('Business Case'!G11*$C697*'Business Case'!G12*$B697)</f>
        <v>719602431.220277</v>
      </c>
      <c r="N697" s="53" t="n">
        <f aca="false">IF(COUNT('Business Case'!B11:G11)=0,"",H697+NPV(G697,I697:M697))</f>
        <v>-987311613.840263</v>
      </c>
      <c r="P697" s="54" t="n">
        <f aca="true">RAND()</f>
        <v>0.0869684128345093</v>
      </c>
      <c r="Q697" s="54" t="n">
        <f aca="true">RAND()</f>
        <v>0.313183522013187</v>
      </c>
      <c r="R697" s="54" t="n">
        <f aca="true">RAND()</f>
        <v>0.884685088907313</v>
      </c>
      <c r="S697" s="54" t="n">
        <f aca="true">RAND()</f>
        <v>0.662947088238049</v>
      </c>
      <c r="T697" s="54" t="n">
        <f aca="true">RAND()</f>
        <v>0.760293399966393</v>
      </c>
      <c r="U697" s="54" t="n">
        <f aca="true">RAND()</f>
        <v>0.634775863294494</v>
      </c>
    </row>
    <row r="698" customFormat="false" ht="15" hidden="false" customHeight="false" outlineLevel="0" collapsed="false">
      <c r="A698" s="50" t="n">
        <v>618</v>
      </c>
      <c r="B698" s="51" t="n">
        <f aca="false">1+IF($G$6=$E$6,$F$6,IF(P698&lt;($F$6-$E$6)/($G$6-$E$6),$E$6+SQRT(P698*($G$6-$E$6)*($F$6-$E$6)),$G$6-SQRT((1-P698)*($G$6-$E$6)*($G$6-$F$6))))</f>
        <v>0.948563171377233</v>
      </c>
      <c r="C698" s="51" t="n">
        <f aca="false">1+IF($G$7=$E$7,$F$7,IF(Q698&lt;($F$7-$E$7)/($G$7-$E$7),$E$7+SQRT(Q698*($G$7-$E$7)*($F$7-$E$7)),$G$7-SQRT((1-Q698)*($G$7-$E$7)*($G$7-$F$7))))</f>
        <v>0.898576273900589</v>
      </c>
      <c r="D698" s="51" t="n">
        <f aca="false">1+IF($G$8=$E$8,$F$8,IF(R698&lt;($F$8-$E$8)/($G$8-$E$8),$E$8+SQRT(R698*($G$8-$E$8)*($F$8-$E$8)),$G$8-SQRT((1-R698)*($G$8-$E$8)*($G$8-$F$8))))</f>
        <v>1.03181652157526</v>
      </c>
      <c r="E698" s="51" t="n">
        <f aca="false">1+IF($G$9=$E$9,$F$9,IF(S698&lt;($F$9-$E$9)/($G$9-$E$9),$E$9+SQRT(S698*($G$9-$E$9)*($F$9-$E$9)),$G$9-SQRT((1-S698)*($G$9-$E$9)*($G$9-$F$9))))</f>
        <v>1.02249959293623</v>
      </c>
      <c r="F698" s="51" t="n">
        <f aca="false">1+IF($G$10=$E$10,$F$10,IF(T698&lt;($F$10-$E$10)/($G$10-$E$10),$E$10+SQRT(T698*($G$10-$E$10)*($F$10-$E$10)),$G$10-SQRT((1-T698)*($G$10-$E$10)*($G$10-$F$10))))</f>
        <v>1.11088264631593</v>
      </c>
      <c r="G698" s="52" t="n">
        <f aca="false">IF($G$11=$E$11,$F$11,IF(U698&lt;($F$11-$E$11)/($G$11-$E$11),$E$11+SQRT(U698*($G$11-$E$11)*($F$11-$E$11)),$G$11-SQRT((1-U698)*($G$11-$E$11)*($G$11-$F$11))))</f>
        <v>0.0987808226055469</v>
      </c>
      <c r="H698" s="53" t="n">
        <f aca="false">(('Business Case'!B11*$C698*'Business Case'!B12*$B698)-'Business Case'!B11*$C698*'Business Case'!B13*$D698-'Business Case'!B14*$E698)-MAX(0,(('Business Case'!B11*$C698*'Business Case'!B12*$B698)-'Business Case'!B11*$C698*'Business Case'!B13*$D698-'Business Case'!B14*$E698))*'Business Case'!$B$7-'Business Case'!$B$8*('Business Case'!B11*$C698*'Business Case'!B12*$B698)-'Business Case'!B15*$F698</f>
        <v>-2221765292.63186</v>
      </c>
      <c r="I698" s="53" t="n">
        <f aca="false">(('Business Case'!C11*$C698*'Business Case'!C12*$B698)-'Business Case'!C11*$C698*'Business Case'!C13*$D698-'Business Case'!C14*$E698)-MAX(0,(('Business Case'!C11*$C698*'Business Case'!C12*$B698)-'Business Case'!C11*$C698*'Business Case'!C13*$D698-'Business Case'!C14*$E698))*'Business Case'!$B$7-'Business Case'!$B$8*(('Business Case'!C11*$C698*'Business Case'!C12*$B698)-('Business Case'!B11*$C698*'Business Case'!B12*$B698))-'Business Case'!C15*$F698</f>
        <v>-77167371.407481</v>
      </c>
      <c r="J698" s="53" t="n">
        <f aca="false">(('Business Case'!D11*$C698*'Business Case'!D12*$B698)-'Business Case'!D11*$C698*'Business Case'!D13*$D698-'Business Case'!D14*$E698)-MAX(0,(('Business Case'!D11*$C698*'Business Case'!D12*$B698)-'Business Case'!D11*$C698*'Business Case'!D13*$D698-'Business Case'!D14*$E698))*'Business Case'!$B$7-'Business Case'!$B$8*(('Business Case'!D11*$C698*'Business Case'!D12*$B698)-('Business Case'!C11*$C698*'Business Case'!C12*$B698))-'Business Case'!D15*$F698</f>
        <v>146339117.639512</v>
      </c>
      <c r="K698" s="53" t="n">
        <f aca="false">(('Business Case'!E11*$C698*'Business Case'!E12*$B698)-'Business Case'!E11*$C698*'Business Case'!E13*$D698-'Business Case'!E14*$E698)-MAX(0,(('Business Case'!E11*$C698*'Business Case'!E12*$B698)-'Business Case'!E11*$C698*'Business Case'!E13*$D698-'Business Case'!E14*$E698))*'Business Case'!$B$7-'Business Case'!$B$8*(('Business Case'!E11*$C698*'Business Case'!E12*$B698)-('Business Case'!D11*$C698*'Business Case'!D12*$B698))-'Business Case'!E15*$F698</f>
        <v>425389739.002301</v>
      </c>
      <c r="L698" s="53" t="n">
        <f aca="false">(('Business Case'!F11*$C698*'Business Case'!F12*$B698)-'Business Case'!F11*$C698*'Business Case'!F13*$D698-'Business Case'!F14*$E698)-MAX(0,(('Business Case'!F11*$C698*'Business Case'!F12*$B698)-'Business Case'!F11*$C698*'Business Case'!F13*$D698-'Business Case'!F14*$E698))*'Business Case'!$B$7-'Business Case'!$B$8*(('Business Case'!F11*$C698*'Business Case'!F12*$B698)-('Business Case'!E11*$C698*'Business Case'!E12*$B698))-'Business Case'!F15*$F698</f>
        <v>529349337.822865</v>
      </c>
      <c r="M698" s="53" t="n">
        <f aca="false">(('Business Case'!G11*$C698*'Business Case'!G12*$B698)-'Business Case'!G11*$C698*'Business Case'!G13*$D698-'Business Case'!G14*$E698)-MAX(0,(('Business Case'!G11*$C698*'Business Case'!G12*$B698)-'Business Case'!G11*$C698*'Business Case'!G13*$D698-'Business Case'!G14*$E698))*'Business Case'!$B$7-'Business Case'!$B$8*(('Business Case'!G11*$C698*'Business Case'!G12*$B698)-('Business Case'!F11*$C698*'Business Case'!F12*$B698))-'Business Case'!G15*$F698+'Business Case'!$B$8*('Business Case'!G11*$C698*'Business Case'!G12*$B698)</f>
        <v>691365234.749814</v>
      </c>
      <c r="N698" s="53" t="n">
        <f aca="false">IF(COUNT('Business Case'!B11:G11)=0,"",H698+NPV(G698,I698:M698))</f>
        <v>-1055288297.696</v>
      </c>
      <c r="P698" s="54" t="n">
        <f aca="true">RAND()</f>
        <v>0.0849848707422055</v>
      </c>
      <c r="Q698" s="54" t="n">
        <f aca="true">RAND()</f>
        <v>0.138818311087484</v>
      </c>
      <c r="R698" s="54" t="n">
        <f aca="true">RAND()</f>
        <v>0.776764654508913</v>
      </c>
      <c r="S698" s="54" t="n">
        <f aca="true">RAND()</f>
        <v>0.599579126996639</v>
      </c>
      <c r="T698" s="54" t="n">
        <f aca="true">RAND()</f>
        <v>0.841161945446959</v>
      </c>
      <c r="U698" s="54" t="n">
        <f aca="true">RAND()</f>
        <v>0.257009485433611</v>
      </c>
    </row>
    <row r="699" customFormat="false" ht="15" hidden="false" customHeight="false" outlineLevel="0" collapsed="false">
      <c r="A699" s="50" t="n">
        <v>619</v>
      </c>
      <c r="B699" s="51" t="n">
        <f aca="false">1+IF($G$6=$E$6,$F$6,IF(P699&lt;($F$6-$E$6)/($G$6-$E$6),$E$6+SQRT(P699*($G$6-$E$6)*($F$6-$E$6)),$G$6-SQRT((1-P699)*($G$6-$E$6)*($G$6-$F$6))))</f>
        <v>1.01371430318295</v>
      </c>
      <c r="C699" s="51" t="n">
        <f aca="false">1+IF($G$7=$E$7,$F$7,IF(Q699&lt;($F$7-$E$7)/($G$7-$E$7),$E$7+SQRT(Q699*($G$7-$E$7)*($F$7-$E$7)),$G$7-SQRT((1-Q699)*($G$7-$E$7)*($G$7-$F$7))))</f>
        <v>0.868528372319893</v>
      </c>
      <c r="D699" s="51" t="n">
        <f aca="false">1+IF($G$8=$E$8,$F$8,IF(R699&lt;($F$8-$E$8)/($G$8-$E$8),$E$8+SQRT(R699*($G$8-$E$8)*($F$8-$E$8)),$G$8-SQRT((1-R699)*($G$8-$E$8)*($G$8-$F$8))))</f>
        <v>1.00480568215995</v>
      </c>
      <c r="E699" s="51" t="n">
        <f aca="false">1+IF($G$9=$E$9,$F$9,IF(S699&lt;($F$9-$E$9)/($G$9-$E$9),$E$9+SQRT(S699*($G$9-$E$9)*($F$9-$E$9)),$G$9-SQRT((1-S699)*($G$9-$E$9)*($G$9-$F$9))))</f>
        <v>1.02639151469115</v>
      </c>
      <c r="F699" s="51" t="n">
        <f aca="false">1+IF($G$10=$E$10,$F$10,IF(T699&lt;($F$10-$E$10)/($G$10-$E$10),$E$10+SQRT(T699*($G$10-$E$10)*($F$10-$E$10)),$G$10-SQRT((1-T699)*($G$10-$E$10)*($G$10-$F$10))))</f>
        <v>0.994172535938751</v>
      </c>
      <c r="G699" s="52" t="n">
        <f aca="false">IF($G$11=$E$11,$F$11,IF(U699&lt;($F$11-$E$11)/($G$11-$E$11),$E$11+SQRT(U699*($G$11-$E$11)*($F$11-$E$11)),$G$11-SQRT((1-U699)*($G$11-$E$11)*($G$11-$F$11))))</f>
        <v>0.105865115449818</v>
      </c>
      <c r="H699" s="53" t="n">
        <f aca="false">(('Business Case'!B11*$C699*'Business Case'!B12*$B699)-'Business Case'!B11*$C699*'Business Case'!B13*$D699-'Business Case'!B14*$E699)-MAX(0,(('Business Case'!B11*$C699*'Business Case'!B12*$B699)-'Business Case'!B11*$C699*'Business Case'!B13*$D699-'Business Case'!B14*$E699))*'Business Case'!$B$7-'Business Case'!$B$8*('Business Case'!B11*$C699*'Business Case'!B12*$B699)-'Business Case'!B15*$F699</f>
        <v>-1988345071.8775</v>
      </c>
      <c r="I699" s="53" t="n">
        <f aca="false">(('Business Case'!C11*$C699*'Business Case'!C12*$B699)-'Business Case'!C11*$C699*'Business Case'!C13*$D699-'Business Case'!C14*$E699)-MAX(0,(('Business Case'!C11*$C699*'Business Case'!C12*$B699)-'Business Case'!C11*$C699*'Business Case'!C13*$D699-'Business Case'!C14*$E699))*'Business Case'!$B$7-'Business Case'!$B$8*(('Business Case'!C11*$C699*'Business Case'!C12*$B699)-('Business Case'!B11*$C699*'Business Case'!B12*$B699))-'Business Case'!C15*$F699</f>
        <v>-16622398.4647551</v>
      </c>
      <c r="J699" s="53" t="n">
        <f aca="false">(('Business Case'!D11*$C699*'Business Case'!D12*$B699)-'Business Case'!D11*$C699*'Business Case'!D13*$D699-'Business Case'!D14*$E699)-MAX(0,(('Business Case'!D11*$C699*'Business Case'!D12*$B699)-'Business Case'!D11*$C699*'Business Case'!D13*$D699-'Business Case'!D14*$E699))*'Business Case'!$B$7-'Business Case'!$B$8*(('Business Case'!D11*$C699*'Business Case'!D12*$B699)-('Business Case'!C11*$C699*'Business Case'!C12*$B699))-'Business Case'!D15*$F699</f>
        <v>257767320.666573</v>
      </c>
      <c r="K699" s="53" t="n">
        <f aca="false">(('Business Case'!E11*$C699*'Business Case'!E12*$B699)-'Business Case'!E11*$C699*'Business Case'!E13*$D699-'Business Case'!E14*$E699)-MAX(0,(('Business Case'!E11*$C699*'Business Case'!E12*$B699)-'Business Case'!E11*$C699*'Business Case'!E13*$D699-'Business Case'!E14*$E699))*'Business Case'!$B$7-'Business Case'!$B$8*(('Business Case'!E11*$C699*'Business Case'!E12*$B699)-('Business Case'!D11*$C699*'Business Case'!D12*$B699))-'Business Case'!E15*$F699</f>
        <v>581865666.594838</v>
      </c>
      <c r="L699" s="53" t="n">
        <f aca="false">(('Business Case'!F11*$C699*'Business Case'!F12*$B699)-'Business Case'!F11*$C699*'Business Case'!F13*$D699-'Business Case'!F14*$E699)-MAX(0,(('Business Case'!F11*$C699*'Business Case'!F12*$B699)-'Business Case'!F11*$C699*'Business Case'!F13*$D699-'Business Case'!F14*$E699))*'Business Case'!$B$7-'Business Case'!$B$8*(('Business Case'!F11*$C699*'Business Case'!F12*$B699)-('Business Case'!E11*$C699*'Business Case'!E12*$B699))-'Business Case'!F15*$F699</f>
        <v>703756900.047366</v>
      </c>
      <c r="M699" s="53" t="n">
        <f aca="false">(('Business Case'!G11*$C699*'Business Case'!G12*$B699)-'Business Case'!G11*$C699*'Business Case'!G13*$D699-'Business Case'!G14*$E699)-MAX(0,(('Business Case'!G11*$C699*'Business Case'!G12*$B699)-'Business Case'!G11*$C699*'Business Case'!G13*$D699-'Business Case'!G14*$E699))*'Business Case'!$B$7-'Business Case'!$B$8*(('Business Case'!G11*$C699*'Business Case'!G12*$B699)-('Business Case'!F11*$C699*'Business Case'!F12*$B699))-'Business Case'!G15*$F699+'Business Case'!$B$8*('Business Case'!G11*$C699*'Business Case'!G12*$B699)</f>
        <v>871110865.628832</v>
      </c>
      <c r="N699" s="53" t="n">
        <f aca="false">IF(COUNT('Business Case'!B11:G11)=0,"",H699+NPV(G699,I699:M699))</f>
        <v>-365095502.239889</v>
      </c>
      <c r="P699" s="54" t="n">
        <f aca="true">RAND()</f>
        <v>0.856054613092061</v>
      </c>
      <c r="Q699" s="54" t="n">
        <f aca="true">RAND()</f>
        <v>0.0670876830401981</v>
      </c>
      <c r="R699" s="54" t="n">
        <f aca="true">RAND()</f>
        <v>0.456328323516303</v>
      </c>
      <c r="S699" s="54" t="n">
        <f aca="true">RAND()</f>
        <v>0.638786059369083</v>
      </c>
      <c r="T699" s="54" t="n">
        <f aca="true">RAND()</f>
        <v>0.156097034500818</v>
      </c>
      <c r="U699" s="54" t="n">
        <f aca="true">RAND()</f>
        <v>0.667008397921717</v>
      </c>
    </row>
    <row r="700" customFormat="false" ht="15" hidden="false" customHeight="false" outlineLevel="0" collapsed="false">
      <c r="A700" s="50" t="n">
        <v>620</v>
      </c>
      <c r="B700" s="51" t="n">
        <f aca="false">1+IF($G$6=$E$6,$F$6,IF(P700&lt;($F$6-$E$6)/($G$6-$E$6),$E$6+SQRT(P700*($G$6-$E$6)*($F$6-$E$6)),$G$6-SQRT((1-P700)*($G$6-$E$6)*($G$6-$F$6))))</f>
        <v>1.03001150299292</v>
      </c>
      <c r="C700" s="51" t="n">
        <f aca="false">1+IF($G$7=$E$7,$F$7,IF(Q700&lt;($F$7-$E$7)/($G$7-$E$7),$E$7+SQRT(Q700*($G$7-$E$7)*($F$7-$E$7)),$G$7-SQRT((1-Q700)*($G$7-$E$7)*($G$7-$F$7))))</f>
        <v>0.982486502622235</v>
      </c>
      <c r="D700" s="51" t="n">
        <f aca="false">1+IF($G$8=$E$8,$F$8,IF(R700&lt;($F$8-$E$8)/($G$8-$E$8),$E$8+SQRT(R700*($G$8-$E$8)*($F$8-$E$8)),$G$8-SQRT((1-R700)*($G$8-$E$8)*($G$8-$F$8))))</f>
        <v>0.99510559166962</v>
      </c>
      <c r="E700" s="51" t="n">
        <f aca="false">1+IF($G$9=$E$9,$F$9,IF(S700&lt;($F$9-$E$9)/($G$9-$E$9),$E$9+SQRT(S700*($G$9-$E$9)*($F$9-$E$9)),$G$9-SQRT((1-S700)*($G$9-$E$9)*($G$9-$F$9))))</f>
        <v>1.04232557926087</v>
      </c>
      <c r="F700" s="51" t="n">
        <f aca="false">1+IF($G$10=$E$10,$F$10,IF(T700&lt;($F$10-$E$10)/($G$10-$E$10),$E$10+SQRT(T700*($G$10-$E$10)*($F$10-$E$10)),$G$10-SQRT((1-T700)*($G$10-$E$10)*($G$10-$F$10))))</f>
        <v>1.05860228246237</v>
      </c>
      <c r="G700" s="52" t="n">
        <f aca="false">IF($G$11=$E$11,$F$11,IF(U700&lt;($F$11-$E$11)/($G$11-$E$11),$E$11+SQRT(U700*($G$11-$E$11)*($F$11-$E$11)),$G$11-SQRT((1-U700)*($G$11-$E$11)*($G$11-$F$11))))</f>
        <v>0.0978135817596311</v>
      </c>
      <c r="H700" s="53" t="n">
        <f aca="false">(('Business Case'!B11*$C700*'Business Case'!B12*$B700)-'Business Case'!B11*$C700*'Business Case'!B13*$D700-'Business Case'!B14*$E700)-MAX(0,(('Business Case'!B11*$C700*'Business Case'!B12*$B700)-'Business Case'!B11*$C700*'Business Case'!B13*$D700-'Business Case'!B14*$E700))*'Business Case'!$B$7-'Business Case'!$B$8*('Business Case'!B11*$C700*'Business Case'!B12*$B700)-'Business Case'!B15*$F700</f>
        <v>-2117204564.92473</v>
      </c>
      <c r="I700" s="53" t="n">
        <f aca="false">(('Business Case'!C11*$C700*'Business Case'!C12*$B700)-'Business Case'!C11*$C700*'Business Case'!C13*$D700-'Business Case'!C14*$E700)-MAX(0,(('Business Case'!C11*$C700*'Business Case'!C12*$B700)-'Business Case'!C11*$C700*'Business Case'!C13*$D700-'Business Case'!C14*$E700))*'Business Case'!$B$7-'Business Case'!$B$8*(('Business Case'!C11*$C700*'Business Case'!C12*$B700)-('Business Case'!B11*$C700*'Business Case'!B12*$B700))-'Business Case'!C15*$F700</f>
        <v>21845856.4189928</v>
      </c>
      <c r="J700" s="53" t="n">
        <f aca="false">(('Business Case'!D11*$C700*'Business Case'!D12*$B700)-'Business Case'!D11*$C700*'Business Case'!D13*$D700-'Business Case'!D14*$E700)-MAX(0,(('Business Case'!D11*$C700*'Business Case'!D12*$B700)-'Business Case'!D11*$C700*'Business Case'!D13*$D700-'Business Case'!D14*$E700))*'Business Case'!$B$7-'Business Case'!$B$8*(('Business Case'!D11*$C700*'Business Case'!D12*$B700)-('Business Case'!C11*$C700*'Business Case'!C12*$B700))-'Business Case'!D15*$F700</f>
        <v>350231287.631521</v>
      </c>
      <c r="K700" s="53" t="n">
        <f aca="false">(('Business Case'!E11*$C700*'Business Case'!E12*$B700)-'Business Case'!E11*$C700*'Business Case'!E13*$D700-'Business Case'!E14*$E700)-MAX(0,(('Business Case'!E11*$C700*'Business Case'!E12*$B700)-'Business Case'!E11*$C700*'Business Case'!E13*$D700-'Business Case'!E14*$E700))*'Business Case'!$B$7-'Business Case'!$B$8*(('Business Case'!E11*$C700*'Business Case'!E12*$B700)-('Business Case'!D11*$C700*'Business Case'!D12*$B700))-'Business Case'!E15*$F700</f>
        <v>731546832.967167</v>
      </c>
      <c r="L700" s="53" t="n">
        <f aca="false">(('Business Case'!F11*$C700*'Business Case'!F12*$B700)-'Business Case'!F11*$C700*'Business Case'!F13*$D700-'Business Case'!F14*$E700)-MAX(0,(('Business Case'!F11*$C700*'Business Case'!F12*$B700)-'Business Case'!F11*$C700*'Business Case'!F13*$D700-'Business Case'!F14*$E700))*'Business Case'!$B$7-'Business Case'!$B$8*(('Business Case'!F11*$C700*'Business Case'!F12*$B700)-('Business Case'!E11*$C700*'Business Case'!E12*$B700))-'Business Case'!F15*$F700</f>
        <v>875982409.488945</v>
      </c>
      <c r="M700" s="53" t="n">
        <f aca="false">(('Business Case'!G11*$C700*'Business Case'!G12*$B700)-'Business Case'!G11*$C700*'Business Case'!G13*$D700-'Business Case'!G14*$E700)-MAX(0,(('Business Case'!G11*$C700*'Business Case'!G12*$B700)-'Business Case'!G11*$C700*'Business Case'!G13*$D700-'Business Case'!G14*$E700))*'Business Case'!$B$7-'Business Case'!$B$8*(('Business Case'!G11*$C700*'Business Case'!G12*$B700)-('Business Case'!F11*$C700*'Business Case'!F12*$B700))-'Business Case'!G15*$F700+'Business Case'!$B$8*('Business Case'!G11*$C700*'Business Case'!G12*$B700)</f>
        <v>1068338123.13576</v>
      </c>
      <c r="N700" s="53" t="n">
        <f aca="false">IF(COUNT('Business Case'!B11:G11)=0,"",H700+NPV(G700,I700:M700))</f>
        <v>19283111.7943077</v>
      </c>
      <c r="P700" s="54" t="n">
        <f aca="true">RAND()</f>
        <v>0.979214568237388</v>
      </c>
      <c r="Q700" s="54" t="n">
        <f aca="true">RAND()</f>
        <v>0.475733194847072</v>
      </c>
      <c r="R700" s="54" t="n">
        <f aca="true">RAND()</f>
        <v>0.313002215364081</v>
      </c>
      <c r="S700" s="54" t="n">
        <f aca="true">RAND()</f>
        <v>0.778244079493684</v>
      </c>
      <c r="T700" s="54" t="n">
        <f aca="true">RAND()</f>
        <v>0.600133709502945</v>
      </c>
      <c r="U700" s="54" t="n">
        <f aca="true">RAND()</f>
        <v>0.203506866381468</v>
      </c>
    </row>
    <row r="701" customFormat="false" ht="15" hidden="false" customHeight="false" outlineLevel="0" collapsed="false">
      <c r="A701" s="50" t="n">
        <v>621</v>
      </c>
      <c r="B701" s="51" t="n">
        <f aca="false">1+IF($G$6=$E$6,$F$6,IF(P701&lt;($F$6-$E$6)/($G$6-$E$6),$E$6+SQRT(P701*($G$6-$E$6)*($F$6-$E$6)),$G$6-SQRT((1-P701)*($G$6-$E$6)*($G$6-$F$6))))</f>
        <v>0.960950221733135</v>
      </c>
      <c r="C701" s="51" t="n">
        <f aca="false">1+IF($G$7=$E$7,$F$7,IF(Q701&lt;($F$7-$E$7)/($G$7-$E$7),$E$7+SQRT(Q701*($G$7-$E$7)*($F$7-$E$7)),$G$7-SQRT((1-Q701)*($G$7-$E$7)*($G$7-$F$7))))</f>
        <v>1.00449551157148</v>
      </c>
      <c r="D701" s="51" t="n">
        <f aca="false">1+IF($G$8=$E$8,$F$8,IF(R701&lt;($F$8-$E$8)/($G$8-$E$8),$E$8+SQRT(R701*($G$8-$E$8)*($F$8-$E$8)),$G$8-SQRT((1-R701)*($G$8-$E$8)*($G$8-$F$8))))</f>
        <v>0.986822097954933</v>
      </c>
      <c r="E701" s="51" t="n">
        <f aca="false">1+IF($G$9=$E$9,$F$9,IF(S701&lt;($F$9-$E$9)/($G$9-$E$9),$E$9+SQRT(S701*($G$9-$E$9)*($F$9-$E$9)),$G$9-SQRT((1-S701)*($G$9-$E$9)*($G$9-$F$9))))</f>
        <v>1.01537036321494</v>
      </c>
      <c r="F701" s="51" t="n">
        <f aca="false">1+IF($G$10=$E$10,$F$10,IF(T701&lt;($F$10-$E$10)/($G$10-$E$10),$E$10+SQRT(T701*($G$10-$E$10)*($F$10-$E$10)),$G$10-SQRT((1-T701)*($G$10-$E$10)*($G$10-$F$10))))</f>
        <v>1.09581770994292</v>
      </c>
      <c r="G701" s="52" t="n">
        <f aca="false">IF($G$11=$E$11,$F$11,IF(U701&lt;($F$11-$E$11)/($G$11-$E$11),$E$11+SQRT(U701*($G$11-$E$11)*($F$11-$E$11)),$G$11-SQRT((1-U701)*($G$11-$E$11)*($G$11-$F$11))))</f>
        <v>0.101315532711574</v>
      </c>
      <c r="H701" s="53" t="n">
        <f aca="false">(('Business Case'!B11*$C701*'Business Case'!B12*$B701)-'Business Case'!B11*$C701*'Business Case'!B13*$D701-'Business Case'!B14*$E701)-MAX(0,(('Business Case'!B11*$C701*'Business Case'!B12*$B701)-'Business Case'!B11*$C701*'Business Case'!B13*$D701-'Business Case'!B14*$E701))*'Business Case'!$B$7-'Business Case'!$B$8*('Business Case'!B11*$C701*'Business Case'!B12*$B701)-'Business Case'!B15*$F701</f>
        <v>-2191635419.88584</v>
      </c>
      <c r="I701" s="53" t="n">
        <f aca="false">(('Business Case'!C11*$C701*'Business Case'!C12*$B701)-'Business Case'!C11*$C701*'Business Case'!C13*$D701-'Business Case'!C14*$E701)-MAX(0,(('Business Case'!C11*$C701*'Business Case'!C12*$B701)-'Business Case'!C11*$C701*'Business Case'!C13*$D701-'Business Case'!C14*$E701))*'Business Case'!$B$7-'Business Case'!$B$8*(('Business Case'!C11*$C701*'Business Case'!C12*$B701)-('Business Case'!B11*$C701*'Business Case'!B12*$B701))-'Business Case'!C15*$F701</f>
        <v>-20826246.1975279</v>
      </c>
      <c r="J701" s="53" t="n">
        <f aca="false">(('Business Case'!D11*$C701*'Business Case'!D12*$B701)-'Business Case'!D11*$C701*'Business Case'!D13*$D701-'Business Case'!D14*$E701)-MAX(0,(('Business Case'!D11*$C701*'Business Case'!D12*$B701)-'Business Case'!D11*$C701*'Business Case'!D13*$D701-'Business Case'!D14*$E701))*'Business Case'!$B$7-'Business Case'!$B$8*(('Business Case'!D11*$C701*'Business Case'!D12*$B701)-('Business Case'!C11*$C701*'Business Case'!C12*$B701))-'Business Case'!D15*$F701</f>
        <v>262354550.616746</v>
      </c>
      <c r="K701" s="53" t="n">
        <f aca="false">(('Business Case'!E11*$C701*'Business Case'!E12*$B701)-'Business Case'!E11*$C701*'Business Case'!E13*$D701-'Business Case'!E14*$E701)-MAX(0,(('Business Case'!E11*$C701*'Business Case'!E12*$B701)-'Business Case'!E11*$C701*'Business Case'!E13*$D701-'Business Case'!E14*$E701))*'Business Case'!$B$7-'Business Case'!$B$8*(('Business Case'!E11*$C701*'Business Case'!E12*$B701)-('Business Case'!D11*$C701*'Business Case'!D12*$B701))-'Business Case'!E15*$F701</f>
        <v>600326232.928166</v>
      </c>
      <c r="L701" s="53" t="n">
        <f aca="false">(('Business Case'!F11*$C701*'Business Case'!F12*$B701)-'Business Case'!F11*$C701*'Business Case'!F13*$D701-'Business Case'!F14*$E701)-MAX(0,(('Business Case'!F11*$C701*'Business Case'!F12*$B701)-'Business Case'!F11*$C701*'Business Case'!F13*$D701-'Business Case'!F14*$E701))*'Business Case'!$B$7-'Business Case'!$B$8*(('Business Case'!F11*$C701*'Business Case'!F12*$B701)-('Business Case'!E11*$C701*'Business Case'!E12*$B701))-'Business Case'!F15*$F701</f>
        <v>728079569.445154</v>
      </c>
      <c r="M701" s="53" t="n">
        <f aca="false">(('Business Case'!G11*$C701*'Business Case'!G12*$B701)-'Business Case'!G11*$C701*'Business Case'!G13*$D701-'Business Case'!G14*$E701)-MAX(0,(('Business Case'!G11*$C701*'Business Case'!G12*$B701)-'Business Case'!G11*$C701*'Business Case'!G13*$D701-'Business Case'!G14*$E701))*'Business Case'!$B$7-'Business Case'!$B$8*(('Business Case'!G11*$C701*'Business Case'!G12*$B701)-('Business Case'!F11*$C701*'Business Case'!F12*$B701))-'Business Case'!G15*$F701+'Business Case'!$B$8*('Business Case'!G11*$C701*'Business Case'!G12*$B701)</f>
        <v>911558126.129085</v>
      </c>
      <c r="N701" s="53" t="n">
        <f aca="false">IF(COUNT('Business Case'!B11:G11)=0,"",H701+NPV(G701,I701:M701))</f>
        <v>-487272097.209618</v>
      </c>
      <c r="P701" s="54" t="n">
        <f aca="true">RAND()</f>
        <v>0.174679235415929</v>
      </c>
      <c r="Q701" s="54" t="n">
        <f aca="true">RAND()</f>
        <v>0.596732263755337</v>
      </c>
      <c r="R701" s="54" t="n">
        <f aca="true">RAND()</f>
        <v>0.208594907354254</v>
      </c>
      <c r="S701" s="54" t="n">
        <f aca="true">RAND()</f>
        <v>0.522521638508584</v>
      </c>
      <c r="T701" s="54" t="n">
        <f aca="true">RAND()</f>
        <v>0.782921008769258</v>
      </c>
      <c r="U701" s="54" t="n">
        <f aca="true">RAND()</f>
        <v>0.4181511369129</v>
      </c>
    </row>
    <row r="702" customFormat="false" ht="15" hidden="false" customHeight="false" outlineLevel="0" collapsed="false">
      <c r="A702" s="50" t="n">
        <v>622</v>
      </c>
      <c r="B702" s="51" t="n">
        <f aca="false">1+IF($G$6=$E$6,$F$6,IF(P702&lt;($F$6-$E$6)/($G$6-$E$6),$E$6+SQRT(P702*($G$6-$E$6)*($F$6-$E$6)),$G$6-SQRT((1-P702)*($G$6-$E$6)*($G$6-$F$6))))</f>
        <v>1.00019218316613</v>
      </c>
      <c r="C702" s="51" t="n">
        <f aca="false">1+IF($G$7=$E$7,$F$7,IF(Q702&lt;($F$7-$E$7)/($G$7-$E$7),$E$7+SQRT(Q702*($G$7-$E$7)*($F$7-$E$7)),$G$7-SQRT((1-Q702)*($G$7-$E$7)*($G$7-$F$7))))</f>
        <v>0.938873544398664</v>
      </c>
      <c r="D702" s="51" t="n">
        <f aca="false">1+IF($G$8=$E$8,$F$8,IF(R702&lt;($F$8-$E$8)/($G$8-$E$8),$E$8+SQRT(R702*($G$8-$E$8)*($F$8-$E$8)),$G$8-SQRT((1-R702)*($G$8-$E$8)*($G$8-$F$8))))</f>
        <v>0.958965422710763</v>
      </c>
      <c r="E702" s="51" t="n">
        <f aca="false">1+IF($G$9=$E$9,$F$9,IF(S702&lt;($F$9-$E$9)/($G$9-$E$9),$E$9+SQRT(S702*($G$9-$E$9)*($F$9-$E$9)),$G$9-SQRT((1-S702)*($G$9-$E$9)*($G$9-$F$9))))</f>
        <v>1.07304910634263</v>
      </c>
      <c r="F702" s="51" t="n">
        <f aca="false">1+IF($G$10=$E$10,$F$10,IF(T702&lt;($F$10-$E$10)/($G$10-$E$10),$E$10+SQRT(T702*($G$10-$E$10)*($F$10-$E$10)),$G$10-SQRT((1-T702)*($G$10-$E$10)*($G$10-$F$10))))</f>
        <v>1.06302578106713</v>
      </c>
      <c r="G702" s="52" t="n">
        <f aca="false">IF($G$11=$E$11,$F$11,IF(U702&lt;($F$11-$E$11)/($G$11-$E$11),$E$11+SQRT(U702*($G$11-$E$11)*($F$11-$E$11)),$G$11-SQRT((1-U702)*($G$11-$E$11)*($G$11-$F$11))))</f>
        <v>0.0998608624687868</v>
      </c>
      <c r="H702" s="53" t="n">
        <f aca="false">(('Business Case'!B11*$C702*'Business Case'!B12*$B702)-'Business Case'!B11*$C702*'Business Case'!B13*$D702-'Business Case'!B14*$E702)-MAX(0,(('Business Case'!B11*$C702*'Business Case'!B12*$B702)-'Business Case'!B11*$C702*'Business Case'!B13*$D702-'Business Case'!B14*$E702))*'Business Case'!$B$7-'Business Case'!$B$8*('Business Case'!B11*$C702*'Business Case'!B12*$B702)-'Business Case'!B15*$F702</f>
        <v>-2126051562.13427</v>
      </c>
      <c r="I702" s="53" t="n">
        <f aca="false">(('Business Case'!C11*$C702*'Business Case'!C12*$B702)-'Business Case'!C11*$C702*'Business Case'!C13*$D702-'Business Case'!C14*$E702)-MAX(0,(('Business Case'!C11*$C702*'Business Case'!C12*$B702)-'Business Case'!C11*$C702*'Business Case'!C13*$D702-'Business Case'!C14*$E702))*'Business Case'!$B$7-'Business Case'!$B$8*(('Business Case'!C11*$C702*'Business Case'!C12*$B702)-('Business Case'!B11*$C702*'Business Case'!B12*$B702))-'Business Case'!C15*$F702</f>
        <v>676330.131632432</v>
      </c>
      <c r="J702" s="53" t="n">
        <f aca="false">(('Business Case'!D11*$C702*'Business Case'!D12*$B702)-'Business Case'!D11*$C702*'Business Case'!D13*$D702-'Business Case'!D14*$E702)-MAX(0,(('Business Case'!D11*$C702*'Business Case'!D12*$B702)-'Business Case'!D11*$C702*'Business Case'!D13*$D702-'Business Case'!D14*$E702))*'Business Case'!$B$7-'Business Case'!$B$8*(('Business Case'!D11*$C702*'Business Case'!D12*$B702)-('Business Case'!C11*$C702*'Business Case'!C12*$B702))-'Business Case'!D15*$F702</f>
        <v>308923379.619715</v>
      </c>
      <c r="K702" s="53" t="n">
        <f aca="false">(('Business Case'!E11*$C702*'Business Case'!E12*$B702)-'Business Case'!E11*$C702*'Business Case'!E13*$D702-'Business Case'!E14*$E702)-MAX(0,(('Business Case'!E11*$C702*'Business Case'!E12*$B702)-'Business Case'!E11*$C702*'Business Case'!E13*$D702-'Business Case'!E14*$E702))*'Business Case'!$B$7-'Business Case'!$B$8*(('Business Case'!E11*$C702*'Business Case'!E12*$B702)-('Business Case'!D11*$C702*'Business Case'!D12*$B702))-'Business Case'!E15*$F702</f>
        <v>670321718.161153</v>
      </c>
      <c r="L702" s="53" t="n">
        <f aca="false">(('Business Case'!F11*$C702*'Business Case'!F12*$B702)-'Business Case'!F11*$C702*'Business Case'!F13*$D702-'Business Case'!F14*$E702)-MAX(0,(('Business Case'!F11*$C702*'Business Case'!F12*$B702)-'Business Case'!F11*$C702*'Business Case'!F13*$D702-'Business Case'!F14*$E702))*'Business Case'!$B$7-'Business Case'!$B$8*(('Business Case'!F11*$C702*'Business Case'!F12*$B702)-('Business Case'!E11*$C702*'Business Case'!E12*$B702))-'Business Case'!F15*$F702</f>
        <v>805524440.209057</v>
      </c>
      <c r="M702" s="53" t="n">
        <f aca="false">(('Business Case'!G11*$C702*'Business Case'!G12*$B702)-'Business Case'!G11*$C702*'Business Case'!G13*$D702-'Business Case'!G14*$E702)-MAX(0,(('Business Case'!G11*$C702*'Business Case'!G12*$B702)-'Business Case'!G11*$C702*'Business Case'!G13*$D702-'Business Case'!G14*$E702))*'Business Case'!$B$7-'Business Case'!$B$8*(('Business Case'!G11*$C702*'Business Case'!G12*$B702)-('Business Case'!F11*$C702*'Business Case'!F12*$B702))-'Business Case'!G15*$F702+'Business Case'!$B$8*('Business Case'!G11*$C702*'Business Case'!G12*$B702)</f>
        <v>984019820.744378</v>
      </c>
      <c r="N702" s="53" t="n">
        <f aca="false">IF(COUNT('Business Case'!B11:G11)=0,"",H702+NPV(G702,I702:M702))</f>
        <v>-204401731.435749</v>
      </c>
      <c r="P702" s="54" t="n">
        <f aca="true">RAND()</f>
        <v>0.669862024775216</v>
      </c>
      <c r="Q702" s="54" t="n">
        <f aca="true">RAND()</f>
        <v>0.275512304769253</v>
      </c>
      <c r="R702" s="54" t="n">
        <f aca="true">RAND()</f>
        <v>0.0123659699050264</v>
      </c>
      <c r="S702" s="54" t="n">
        <f aca="true">RAND()</f>
        <v>0.951576622071263</v>
      </c>
      <c r="T702" s="54" t="n">
        <f aca="true">RAND()</f>
        <v>0.624761266954626</v>
      </c>
      <c r="U702" s="54" t="n">
        <f aca="true">RAND()</f>
        <v>0.324122028761093</v>
      </c>
    </row>
    <row r="703" customFormat="false" ht="15" hidden="false" customHeight="false" outlineLevel="0" collapsed="false">
      <c r="A703" s="50" t="n">
        <v>623</v>
      </c>
      <c r="B703" s="51" t="n">
        <f aca="false">1+IF($G$6=$E$6,$F$6,IF(P703&lt;($F$6-$E$6)/($G$6-$E$6),$E$6+SQRT(P703*($G$6-$E$6)*($F$6-$E$6)),$G$6-SQRT((1-P703)*($G$6-$E$6)*($G$6-$F$6))))</f>
        <v>1.0299446188084</v>
      </c>
      <c r="C703" s="51" t="n">
        <f aca="false">1+IF($G$7=$E$7,$F$7,IF(Q703&lt;($F$7-$E$7)/($G$7-$E$7),$E$7+SQRT(Q703*($G$7-$E$7)*($F$7-$E$7)),$G$7-SQRT((1-Q703)*($G$7-$E$7)*($G$7-$F$7))))</f>
        <v>0.834228588053656</v>
      </c>
      <c r="D703" s="51" t="n">
        <f aca="false">1+IF($G$8=$E$8,$F$8,IF(R703&lt;($F$8-$E$8)/($G$8-$E$8),$E$8+SQRT(R703*($G$8-$E$8)*($F$8-$E$8)),$G$8-SQRT((1-R703)*($G$8-$E$8)*($G$8-$F$8))))</f>
        <v>1.03019063663878</v>
      </c>
      <c r="E703" s="51" t="n">
        <f aca="false">1+IF($G$9=$E$9,$F$9,IF(S703&lt;($F$9-$E$9)/($G$9-$E$9),$E$9+SQRT(S703*($G$9-$E$9)*($F$9-$E$9)),$G$9-SQRT((1-S703)*($G$9-$E$9)*($G$9-$F$9))))</f>
        <v>0.993698461967768</v>
      </c>
      <c r="F703" s="51" t="n">
        <f aca="false">1+IF($G$10=$E$10,$F$10,IF(T703&lt;($F$10-$E$10)/($G$10-$E$10),$E$10+SQRT(T703*($G$10-$E$10)*($F$10-$E$10)),$G$10-SQRT((1-T703)*($G$10-$E$10)*($G$10-$F$10))))</f>
        <v>1.19178899735642</v>
      </c>
      <c r="G703" s="52" t="n">
        <f aca="false">IF($G$11=$E$11,$F$11,IF(U703&lt;($F$11-$E$11)/($G$11-$E$11),$E$11+SQRT(U703*($G$11-$E$11)*($F$11-$E$11)),$G$11-SQRT((1-U703)*($G$11-$E$11)*($G$11-$F$11))))</f>
        <v>0.103484259753657</v>
      </c>
      <c r="H703" s="53" t="n">
        <f aca="false">(('Business Case'!B11*$C703*'Business Case'!B12*$B703)-'Business Case'!B11*$C703*'Business Case'!B13*$D703-'Business Case'!B14*$E703)-MAX(0,(('Business Case'!B11*$C703*'Business Case'!B12*$B703)-'Business Case'!B11*$C703*'Business Case'!B13*$D703-'Business Case'!B14*$E703))*'Business Case'!$B$7-'Business Case'!$B$8*('Business Case'!B11*$C703*'Business Case'!B12*$B703)-'Business Case'!B15*$F703</f>
        <v>-2383577994.71284</v>
      </c>
      <c r="I703" s="53" t="n">
        <f aca="false">(('Business Case'!C11*$C703*'Business Case'!C12*$B703)-'Business Case'!C11*$C703*'Business Case'!C13*$D703-'Business Case'!C14*$E703)-MAX(0,(('Business Case'!C11*$C703*'Business Case'!C12*$B703)-'Business Case'!C11*$C703*'Business Case'!C13*$D703-'Business Case'!C14*$E703))*'Business Case'!$B$7-'Business Case'!$B$8*(('Business Case'!C11*$C703*'Business Case'!C12*$B703)-('Business Case'!B11*$C703*'Business Case'!B12*$B703))-'Business Case'!C15*$F703</f>
        <v>-41221454.1929851</v>
      </c>
      <c r="J703" s="53" t="n">
        <f aca="false">(('Business Case'!D11*$C703*'Business Case'!D12*$B703)-'Business Case'!D11*$C703*'Business Case'!D13*$D703-'Business Case'!D14*$E703)-MAX(0,(('Business Case'!D11*$C703*'Business Case'!D12*$B703)-'Business Case'!D11*$C703*'Business Case'!D13*$D703-'Business Case'!D14*$E703))*'Business Case'!$B$7-'Business Case'!$B$8*(('Business Case'!D11*$C703*'Business Case'!D12*$B703)-('Business Case'!C11*$C703*'Business Case'!C12*$B703))-'Business Case'!D15*$F703</f>
        <v>222581319.908613</v>
      </c>
      <c r="K703" s="53" t="n">
        <f aca="false">(('Business Case'!E11*$C703*'Business Case'!E12*$B703)-'Business Case'!E11*$C703*'Business Case'!E13*$D703-'Business Case'!E14*$E703)-MAX(0,(('Business Case'!E11*$C703*'Business Case'!E12*$B703)-'Business Case'!E11*$C703*'Business Case'!E13*$D703-'Business Case'!E14*$E703))*'Business Case'!$B$7-'Business Case'!$B$8*(('Business Case'!E11*$C703*'Business Case'!E12*$B703)-('Business Case'!D11*$C703*'Business Case'!D12*$B703))-'Business Case'!E15*$F703</f>
        <v>545973543.878031</v>
      </c>
      <c r="L703" s="53" t="n">
        <f aca="false">(('Business Case'!F11*$C703*'Business Case'!F12*$B703)-'Business Case'!F11*$C703*'Business Case'!F13*$D703-'Business Case'!F14*$E703)-MAX(0,(('Business Case'!F11*$C703*'Business Case'!F12*$B703)-'Business Case'!F11*$C703*'Business Case'!F13*$D703-'Business Case'!F14*$E703))*'Business Case'!$B$7-'Business Case'!$B$8*(('Business Case'!F11*$C703*'Business Case'!F12*$B703)-('Business Case'!E11*$C703*'Business Case'!E12*$B703))-'Business Case'!F15*$F703</f>
        <v>663602073.423313</v>
      </c>
      <c r="M703" s="53" t="n">
        <f aca="false">(('Business Case'!G11*$C703*'Business Case'!G12*$B703)-'Business Case'!G11*$C703*'Business Case'!G13*$D703-'Business Case'!G14*$E703)-MAX(0,(('Business Case'!G11*$C703*'Business Case'!G12*$B703)-'Business Case'!G11*$C703*'Business Case'!G13*$D703-'Business Case'!G14*$E703))*'Business Case'!$B$7-'Business Case'!$B$8*(('Business Case'!G11*$C703*'Business Case'!G12*$B703)-('Business Case'!F11*$C703*'Business Case'!F12*$B703))-'Business Case'!G15*$F703+'Business Case'!$B$8*('Business Case'!G11*$C703*'Business Case'!G12*$B703)</f>
        <v>826920566.736102</v>
      </c>
      <c r="N703" s="53" t="n">
        <f aca="false">IF(COUNT('Business Case'!B11:G11)=0,"",H703+NPV(G703,I703:M703))</f>
        <v>-878868247.083884</v>
      </c>
      <c r="P703" s="54" t="n">
        <f aca="true">RAND()</f>
        <v>0.97893527272743</v>
      </c>
      <c r="Q703" s="54" t="n">
        <f aca="true">RAND()</f>
        <v>0.0167370891449558</v>
      </c>
      <c r="R703" s="54" t="n">
        <f aca="true">RAND()</f>
        <v>0.761444934764387</v>
      </c>
      <c r="S703" s="54" t="n">
        <f aca="true">RAND()</f>
        <v>0.254607410446457</v>
      </c>
      <c r="T703" s="54" t="n">
        <f aca="true">RAND()</f>
        <v>0.998651588711743</v>
      </c>
      <c r="U703" s="54" t="n">
        <f aca="true">RAND()</f>
        <v>0.545383873525568</v>
      </c>
    </row>
    <row r="704" customFormat="false" ht="15" hidden="false" customHeight="false" outlineLevel="0" collapsed="false">
      <c r="A704" s="50" t="n">
        <v>624</v>
      </c>
      <c r="B704" s="51" t="n">
        <f aca="false">1+IF($G$6=$E$6,$F$6,IF(P704&lt;($F$6-$E$6)/($G$6-$E$6),$E$6+SQRT(P704*($G$6-$E$6)*($F$6-$E$6)),$G$6-SQRT((1-P704)*($G$6-$E$6)*($G$6-$F$6))))</f>
        <v>0.969317165975665</v>
      </c>
      <c r="C704" s="51" t="n">
        <f aca="false">1+IF($G$7=$E$7,$F$7,IF(Q704&lt;($F$7-$E$7)/($G$7-$E$7),$E$7+SQRT(Q704*($G$7-$E$7)*($F$7-$E$7)),$G$7-SQRT((1-Q704)*($G$7-$E$7)*($G$7-$F$7))))</f>
        <v>0.925398208047377</v>
      </c>
      <c r="D704" s="51" t="n">
        <f aca="false">1+IF($G$8=$E$8,$F$8,IF(R704&lt;($F$8-$E$8)/($G$8-$E$8),$E$8+SQRT(R704*($G$8-$E$8)*($F$8-$E$8)),$G$8-SQRT((1-R704)*($G$8-$E$8)*($G$8-$F$8))))</f>
        <v>1.00580131233113</v>
      </c>
      <c r="E704" s="51" t="n">
        <f aca="false">1+IF($G$9=$E$9,$F$9,IF(S704&lt;($F$9-$E$9)/($G$9-$E$9),$E$9+SQRT(S704*($G$9-$E$9)*($F$9-$E$9)),$G$9-SQRT((1-S704)*($G$9-$E$9)*($G$9-$F$9))))</f>
        <v>1.04278285862868</v>
      </c>
      <c r="F704" s="51" t="n">
        <f aca="false">1+IF($G$10=$E$10,$F$10,IF(T704&lt;($F$10-$E$10)/($G$10-$E$10),$E$10+SQRT(T704*($G$10-$E$10)*($F$10-$E$10)),$G$10-SQRT((1-T704)*($G$10-$E$10)*($G$10-$F$10))))</f>
        <v>0.98812730031394</v>
      </c>
      <c r="G704" s="52" t="n">
        <f aca="false">IF($G$11=$E$11,$F$11,IF(U704&lt;($F$11-$E$11)/($G$11-$E$11),$E$11+SQRT(U704*($G$11-$E$11)*($F$11-$E$11)),$G$11-SQRT((1-U704)*($G$11-$E$11)*($G$11-$F$11))))</f>
        <v>0.116095934093183</v>
      </c>
      <c r="H704" s="53" t="n">
        <f aca="false">(('Business Case'!B11*$C704*'Business Case'!B12*$B704)-'Business Case'!B11*$C704*'Business Case'!B13*$D704-'Business Case'!B14*$E704)-MAX(0,(('Business Case'!B11*$C704*'Business Case'!B12*$B704)-'Business Case'!B11*$C704*'Business Case'!B13*$D704-'Business Case'!B14*$E704))*'Business Case'!$B$7-'Business Case'!$B$8*('Business Case'!B11*$C704*'Business Case'!B12*$B704)-'Business Case'!B15*$F704</f>
        <v>-1976254600.62788</v>
      </c>
      <c r="I704" s="53" t="n">
        <f aca="false">(('Business Case'!C11*$C704*'Business Case'!C12*$B704)-'Business Case'!C11*$C704*'Business Case'!C13*$D704-'Business Case'!C14*$E704)-MAX(0,(('Business Case'!C11*$C704*'Business Case'!C12*$B704)-'Business Case'!C11*$C704*'Business Case'!C13*$D704-'Business Case'!C14*$E704))*'Business Case'!$B$7-'Business Case'!$B$8*(('Business Case'!C11*$C704*'Business Case'!C12*$B704)-('Business Case'!B11*$C704*'Business Case'!B12*$B704))-'Business Case'!C15*$F704</f>
        <v>-35364102.4220293</v>
      </c>
      <c r="J704" s="53" t="n">
        <f aca="false">(('Business Case'!D11*$C704*'Business Case'!D12*$B704)-'Business Case'!D11*$C704*'Business Case'!D13*$D704-'Business Case'!D14*$E704)-MAX(0,(('Business Case'!D11*$C704*'Business Case'!D12*$B704)-'Business Case'!D11*$C704*'Business Case'!D13*$D704-'Business Case'!D14*$E704))*'Business Case'!$B$7-'Business Case'!$B$8*(('Business Case'!D11*$C704*'Business Case'!D12*$B704)-('Business Case'!C11*$C704*'Business Case'!C12*$B704))-'Business Case'!D15*$F704</f>
        <v>222868954.143405</v>
      </c>
      <c r="K704" s="53" t="n">
        <f aca="false">(('Business Case'!E11*$C704*'Business Case'!E12*$B704)-'Business Case'!E11*$C704*'Business Case'!E13*$D704-'Business Case'!E14*$E704)-MAX(0,(('Business Case'!E11*$C704*'Business Case'!E12*$B704)-'Business Case'!E11*$C704*'Business Case'!E13*$D704-'Business Case'!E14*$E704))*'Business Case'!$B$7-'Business Case'!$B$8*(('Business Case'!E11*$C704*'Business Case'!E12*$B704)-('Business Case'!D11*$C704*'Business Case'!D12*$B704))-'Business Case'!E15*$F704</f>
        <v>530508375.724535</v>
      </c>
      <c r="L704" s="53" t="n">
        <f aca="false">(('Business Case'!F11*$C704*'Business Case'!F12*$B704)-'Business Case'!F11*$C704*'Business Case'!F13*$D704-'Business Case'!F14*$E704)-MAX(0,(('Business Case'!F11*$C704*'Business Case'!F12*$B704)-'Business Case'!F11*$C704*'Business Case'!F13*$D704-'Business Case'!F14*$E704))*'Business Case'!$B$7-'Business Case'!$B$8*(('Business Case'!F11*$C704*'Business Case'!F12*$B704)-('Business Case'!E11*$C704*'Business Case'!E12*$B704))-'Business Case'!F15*$F704</f>
        <v>647586532.219061</v>
      </c>
      <c r="M704" s="53" t="n">
        <f aca="false">(('Business Case'!G11*$C704*'Business Case'!G12*$B704)-'Business Case'!G11*$C704*'Business Case'!G13*$D704-'Business Case'!G14*$E704)-MAX(0,(('Business Case'!G11*$C704*'Business Case'!G12*$B704)-'Business Case'!G11*$C704*'Business Case'!G13*$D704-'Business Case'!G14*$E704))*'Business Case'!$B$7-'Business Case'!$B$8*(('Business Case'!G11*$C704*'Business Case'!G12*$B704)-('Business Case'!F11*$C704*'Business Case'!F12*$B704))-'Business Case'!G15*$F704+'Business Case'!$B$8*('Business Case'!G11*$C704*'Business Case'!G12*$B704)</f>
        <v>818089122.568989</v>
      </c>
      <c r="N704" s="53" t="n">
        <f aca="false">IF(COUNT('Business Case'!B11:G11)=0,"",H704+NPV(G704,I704:M704))</f>
        <v>-557720179.416822</v>
      </c>
      <c r="P704" s="54" t="n">
        <f aca="true">RAND()</f>
        <v>0.253352381236588</v>
      </c>
      <c r="Q704" s="54" t="n">
        <f aca="true">RAND()</f>
        <v>0.22463872259276</v>
      </c>
      <c r="R704" s="54" t="n">
        <f aca="true">RAND()</f>
        <v>0.470630264251654</v>
      </c>
      <c r="S704" s="54" t="n">
        <f aca="true">RAND()</f>
        <v>0.781746582219599</v>
      </c>
      <c r="T704" s="54" t="n">
        <f aca="true">RAND()</f>
        <v>0.11629528233835</v>
      </c>
      <c r="U704" s="54" t="n">
        <f aca="true">RAND()</f>
        <v>0.974597115658719</v>
      </c>
    </row>
    <row r="705" customFormat="false" ht="15" hidden="false" customHeight="false" outlineLevel="0" collapsed="false">
      <c r="A705" s="50" t="n">
        <v>625</v>
      </c>
      <c r="B705" s="51" t="n">
        <f aca="false">1+IF($G$6=$E$6,$F$6,IF(P705&lt;($F$6-$E$6)/($G$6-$E$6),$E$6+SQRT(P705*($G$6-$E$6)*($F$6-$E$6)),$G$6-SQRT((1-P705)*($G$6-$E$6)*($G$6-$F$6))))</f>
        <v>1.01000772951251</v>
      </c>
      <c r="C705" s="51" t="n">
        <f aca="false">1+IF($G$7=$E$7,$F$7,IF(Q705&lt;($F$7-$E$7)/($G$7-$E$7),$E$7+SQRT(Q705*($G$7-$E$7)*($F$7-$E$7)),$G$7-SQRT((1-Q705)*($G$7-$E$7)*($G$7-$F$7))))</f>
        <v>0.827391198774609</v>
      </c>
      <c r="D705" s="51" t="n">
        <f aca="false">1+IF($G$8=$E$8,$F$8,IF(R705&lt;($F$8-$E$8)/($G$8-$E$8),$E$8+SQRT(R705*($G$8-$E$8)*($F$8-$E$8)),$G$8-SQRT((1-R705)*($G$8-$E$8)*($G$8-$F$8))))</f>
        <v>0.974771164246854</v>
      </c>
      <c r="E705" s="51" t="n">
        <f aca="false">1+IF($G$9=$E$9,$F$9,IF(S705&lt;($F$9-$E$9)/($G$9-$E$9),$E$9+SQRT(S705*($G$9-$E$9)*($F$9-$E$9)),$G$9-SQRT((1-S705)*($G$9-$E$9)*($G$9-$F$9))))</f>
        <v>1.07063901856846</v>
      </c>
      <c r="F705" s="51" t="n">
        <f aca="false">1+IF($G$10=$E$10,$F$10,IF(T705&lt;($F$10-$E$10)/($G$10-$E$10),$E$10+SQRT(T705*($G$10-$E$10)*($F$10-$E$10)),$G$10-SQRT((1-T705)*($G$10-$E$10)*($G$10-$F$10))))</f>
        <v>1.06321126234485</v>
      </c>
      <c r="G705" s="52" t="n">
        <f aca="false">IF($G$11=$E$11,$F$11,IF(U705&lt;($F$11-$E$11)/($G$11-$E$11),$E$11+SQRT(U705*($G$11-$E$11)*($F$11-$E$11)),$G$11-SQRT((1-U705)*($G$11-$E$11)*($G$11-$F$11))))</f>
        <v>0.102952269534745</v>
      </c>
      <c r="H705" s="53" t="n">
        <f aca="false">(('Business Case'!B11*$C705*'Business Case'!B12*$B705)-'Business Case'!B11*$C705*'Business Case'!B13*$D705-'Business Case'!B14*$E705)-MAX(0,(('Business Case'!B11*$C705*'Business Case'!B12*$B705)-'Business Case'!B11*$C705*'Business Case'!B13*$D705-'Business Case'!B14*$E705))*'Business Case'!$B$7-'Business Case'!$B$8*('Business Case'!B11*$C705*'Business Case'!B12*$B705)-'Business Case'!B15*$F705</f>
        <v>-2126422524.6897</v>
      </c>
      <c r="I705" s="53" t="n">
        <f aca="false">(('Business Case'!C11*$C705*'Business Case'!C12*$B705)-'Business Case'!C11*$C705*'Business Case'!C13*$D705-'Business Case'!C14*$E705)-MAX(0,(('Business Case'!C11*$C705*'Business Case'!C12*$B705)-'Business Case'!C11*$C705*'Business Case'!C13*$D705-'Business Case'!C14*$E705))*'Business Case'!$B$7-'Business Case'!$B$8*(('Business Case'!C11*$C705*'Business Case'!C12*$B705)-('Business Case'!B11*$C705*'Business Case'!B12*$B705))-'Business Case'!C15*$F705</f>
        <v>-30284298.3895957</v>
      </c>
      <c r="J705" s="53" t="n">
        <f aca="false">(('Business Case'!D11*$C705*'Business Case'!D12*$B705)-'Business Case'!D11*$C705*'Business Case'!D13*$D705-'Business Case'!D14*$E705)-MAX(0,(('Business Case'!D11*$C705*'Business Case'!D12*$B705)-'Business Case'!D11*$C705*'Business Case'!D13*$D705-'Business Case'!D14*$E705))*'Business Case'!$B$7-'Business Case'!$B$8*(('Business Case'!D11*$C705*'Business Case'!D12*$B705)-('Business Case'!C11*$C705*'Business Case'!C12*$B705))-'Business Case'!D15*$F705</f>
        <v>241318608.771589</v>
      </c>
      <c r="K705" s="53" t="n">
        <f aca="false">(('Business Case'!E11*$C705*'Business Case'!E12*$B705)-'Business Case'!E11*$C705*'Business Case'!E13*$D705-'Business Case'!E14*$E705)-MAX(0,(('Business Case'!E11*$C705*'Business Case'!E12*$B705)-'Business Case'!E11*$C705*'Business Case'!E13*$D705-'Business Case'!E14*$E705))*'Business Case'!$B$7-'Business Case'!$B$8*(('Business Case'!E11*$C705*'Business Case'!E12*$B705)-('Business Case'!D11*$C705*'Business Case'!D12*$B705))-'Business Case'!E15*$F705</f>
        <v>566082079.050015</v>
      </c>
      <c r="L705" s="53" t="n">
        <f aca="false">(('Business Case'!F11*$C705*'Business Case'!F12*$B705)-'Business Case'!F11*$C705*'Business Case'!F13*$D705-'Business Case'!F14*$E705)-MAX(0,(('Business Case'!F11*$C705*'Business Case'!F12*$B705)-'Business Case'!F11*$C705*'Business Case'!F13*$D705-'Business Case'!F14*$E705))*'Business Case'!$B$7-'Business Case'!$B$8*(('Business Case'!F11*$C705*'Business Case'!F12*$B705)-('Business Case'!E11*$C705*'Business Case'!E12*$B705))-'Business Case'!F15*$F705</f>
        <v>685497188.68765</v>
      </c>
      <c r="M705" s="53" t="n">
        <f aca="false">(('Business Case'!G11*$C705*'Business Case'!G12*$B705)-'Business Case'!G11*$C705*'Business Case'!G13*$D705-'Business Case'!G14*$E705)-MAX(0,(('Business Case'!G11*$C705*'Business Case'!G12*$B705)-'Business Case'!G11*$C705*'Business Case'!G13*$D705-'Business Case'!G14*$E705))*'Business Case'!$B$7-'Business Case'!$B$8*(('Business Case'!G11*$C705*'Business Case'!G12*$B705)-('Business Case'!F11*$C705*'Business Case'!F12*$B705))-'Business Case'!G15*$F705+'Business Case'!$B$8*('Business Case'!G11*$C705*'Business Case'!G12*$B705)</f>
        <v>844341628.565802</v>
      </c>
      <c r="N705" s="53" t="n">
        <f aca="false">IF(COUNT('Business Case'!B11:G11)=0,"",H705+NPV(G705,I705:M705))</f>
        <v>-553108087.220004</v>
      </c>
      <c r="P705" s="54" t="n">
        <f aca="true">RAND()</f>
        <v>0.812596606459361</v>
      </c>
      <c r="Q705" s="54" t="n">
        <f aca="true">RAND()</f>
        <v>0.0107182538615734</v>
      </c>
      <c r="R705" s="54" t="n">
        <f aca="true">RAND()</f>
        <v>0.0944016274068612</v>
      </c>
      <c r="S705" s="54" t="n">
        <f aca="true">RAND()</f>
        <v>0.942528851291797</v>
      </c>
      <c r="T705" s="54" t="n">
        <f aca="true">RAND()</f>
        <v>0.6257768250142</v>
      </c>
      <c r="U705" s="54" t="n">
        <f aca="true">RAND()</f>
        <v>0.515624809973337</v>
      </c>
    </row>
    <row r="706" customFormat="false" ht="15" hidden="false" customHeight="false" outlineLevel="0" collapsed="false">
      <c r="A706" s="50" t="n">
        <v>626</v>
      </c>
      <c r="B706" s="51" t="n">
        <f aca="false">1+IF($G$6=$E$6,$F$6,IF(P706&lt;($F$6-$E$6)/($G$6-$E$6),$E$6+SQRT(P706*($G$6-$E$6)*($F$6-$E$6)),$G$6-SQRT((1-P706)*($G$6-$E$6)*($G$6-$F$6))))</f>
        <v>1.02020541291765</v>
      </c>
      <c r="C706" s="51" t="n">
        <f aca="false">1+IF($G$7=$E$7,$F$7,IF(Q706&lt;($F$7-$E$7)/($G$7-$E$7),$E$7+SQRT(Q706*($G$7-$E$7)*($F$7-$E$7)),$G$7-SQRT((1-Q706)*($G$7-$E$7)*($G$7-$F$7))))</f>
        <v>0.937034913788806</v>
      </c>
      <c r="D706" s="51" t="n">
        <f aca="false">1+IF($G$8=$E$8,$F$8,IF(R706&lt;($F$8-$E$8)/($G$8-$E$8),$E$8+SQRT(R706*($G$8-$E$8)*($F$8-$E$8)),$G$8-SQRT((1-R706)*($G$8-$E$8)*($G$8-$F$8))))</f>
        <v>1.04493863294548</v>
      </c>
      <c r="E706" s="51" t="n">
        <f aca="false">1+IF($G$9=$E$9,$F$9,IF(S706&lt;($F$9-$E$9)/($G$9-$E$9),$E$9+SQRT(S706*($G$9-$E$9)*($F$9-$E$9)),$G$9-SQRT((1-S706)*($G$9-$E$9)*($G$9-$F$9))))</f>
        <v>1.05807284446754</v>
      </c>
      <c r="F706" s="51" t="n">
        <f aca="false">1+IF($G$10=$E$10,$F$10,IF(T706&lt;($F$10-$E$10)/($G$10-$E$10),$E$10+SQRT(T706*($G$10-$E$10)*($F$10-$E$10)),$G$10-SQRT((1-T706)*($G$10-$E$10)*($G$10-$F$10))))</f>
        <v>1.08283540281738</v>
      </c>
      <c r="G706" s="52" t="n">
        <f aca="false">IF($G$11=$E$11,$F$11,IF(U706&lt;($F$11-$E$11)/($G$11-$E$11),$E$11+SQRT(U706*($G$11-$E$11)*($F$11-$E$11)),$G$11-SQRT((1-U706)*($G$11-$E$11)*($G$11-$F$11))))</f>
        <v>0.0954047058519371</v>
      </c>
      <c r="H706" s="53" t="n">
        <f aca="false">(('Business Case'!B11*$C706*'Business Case'!B12*$B706)-'Business Case'!B11*$C706*'Business Case'!B13*$D706-'Business Case'!B14*$E706)-MAX(0,(('Business Case'!B11*$C706*'Business Case'!B12*$B706)-'Business Case'!B11*$C706*'Business Case'!B13*$D706-'Business Case'!B14*$E706))*'Business Case'!$B$7-'Business Case'!$B$8*('Business Case'!B11*$C706*'Business Case'!B12*$B706)-'Business Case'!B15*$F706</f>
        <v>-2165670805.63475</v>
      </c>
      <c r="I706" s="53" t="n">
        <f aca="false">(('Business Case'!C11*$C706*'Business Case'!C12*$B706)-'Business Case'!C11*$C706*'Business Case'!C13*$D706-'Business Case'!C14*$E706)-MAX(0,(('Business Case'!C11*$C706*'Business Case'!C12*$B706)-'Business Case'!C11*$C706*'Business Case'!C13*$D706-'Business Case'!C14*$E706))*'Business Case'!$B$7-'Business Case'!$B$8*(('Business Case'!C11*$C706*'Business Case'!C12*$B706)-('Business Case'!B11*$C706*'Business Case'!B12*$B706))-'Business Case'!C15*$F706</f>
        <v>-26535575.4451958</v>
      </c>
      <c r="J706" s="53" t="n">
        <f aca="false">(('Business Case'!D11*$C706*'Business Case'!D12*$B706)-'Business Case'!D11*$C706*'Business Case'!D13*$D706-'Business Case'!D14*$E706)-MAX(0,(('Business Case'!D11*$C706*'Business Case'!D12*$B706)-'Business Case'!D11*$C706*'Business Case'!D13*$D706-'Business Case'!D14*$E706))*'Business Case'!$B$7-'Business Case'!$B$8*(('Business Case'!D11*$C706*'Business Case'!D12*$B706)-('Business Case'!C11*$C706*'Business Case'!C12*$B706))-'Business Case'!D15*$F706</f>
        <v>255227733.719337</v>
      </c>
      <c r="K706" s="53" t="n">
        <f aca="false">(('Business Case'!E11*$C706*'Business Case'!E12*$B706)-'Business Case'!E11*$C706*'Business Case'!E13*$D706-'Business Case'!E14*$E706)-MAX(0,(('Business Case'!E11*$C706*'Business Case'!E12*$B706)-'Business Case'!E11*$C706*'Business Case'!E13*$D706-'Business Case'!E14*$E706))*'Business Case'!$B$7-'Business Case'!$B$8*(('Business Case'!E11*$C706*'Business Case'!E12*$B706)-('Business Case'!D11*$C706*'Business Case'!D12*$B706))-'Business Case'!E15*$F706</f>
        <v>591132813.024739</v>
      </c>
      <c r="L706" s="53" t="n">
        <f aca="false">(('Business Case'!F11*$C706*'Business Case'!F12*$B706)-'Business Case'!F11*$C706*'Business Case'!F13*$D706-'Business Case'!F14*$E706)-MAX(0,(('Business Case'!F11*$C706*'Business Case'!F12*$B706)-'Business Case'!F11*$C706*'Business Case'!F13*$D706-'Business Case'!F14*$E706))*'Business Case'!$B$7-'Business Case'!$B$8*(('Business Case'!F11*$C706*'Business Case'!F12*$B706)-('Business Case'!E11*$C706*'Business Case'!E12*$B706))-'Business Case'!F15*$F706</f>
        <v>718092173.309386</v>
      </c>
      <c r="M706" s="53" t="n">
        <f aca="false">(('Business Case'!G11*$C706*'Business Case'!G12*$B706)-'Business Case'!G11*$C706*'Business Case'!G13*$D706-'Business Case'!G14*$E706)-MAX(0,(('Business Case'!G11*$C706*'Business Case'!G12*$B706)-'Business Case'!G11*$C706*'Business Case'!G13*$D706-'Business Case'!G14*$E706))*'Business Case'!$B$7-'Business Case'!$B$8*(('Business Case'!G11*$C706*'Business Case'!G12*$B706)-('Business Case'!F11*$C706*'Business Case'!F12*$B706))-'Business Case'!G15*$F706+'Business Case'!$B$8*('Business Case'!G11*$C706*'Business Case'!G12*$B706)</f>
        <v>899802588.073308</v>
      </c>
      <c r="N706" s="53" t="n">
        <f aca="false">IF(COUNT('Business Case'!B11:G11)=0,"",H706+NPV(G706,I706:M706))</f>
        <v>-458176935.722329</v>
      </c>
      <c r="P706" s="54" t="n">
        <f aca="true">RAND()</f>
        <v>0.918369650466499</v>
      </c>
      <c r="Q706" s="54" t="n">
        <f aca="true">RAND()</f>
        <v>0.26826525138722</v>
      </c>
      <c r="R706" s="54" t="n">
        <f aca="true">RAND()</f>
        <v>0.881798128871927</v>
      </c>
      <c r="S706" s="54" t="n">
        <f aca="true">RAND()</f>
        <v>0.882807575263813</v>
      </c>
      <c r="T706" s="54" t="n">
        <f aca="true">RAND()</f>
        <v>0.725449143340671</v>
      </c>
      <c r="U706" s="54" t="n">
        <f aca="true">RAND()</f>
        <v>0.0973694844865452</v>
      </c>
    </row>
    <row r="707" customFormat="false" ht="15" hidden="false" customHeight="false" outlineLevel="0" collapsed="false">
      <c r="A707" s="50" t="n">
        <v>627</v>
      </c>
      <c r="B707" s="51" t="n">
        <f aca="false">1+IF($G$6=$E$6,$F$6,IF(P707&lt;($F$6-$E$6)/($G$6-$E$6),$E$6+SQRT(P707*($G$6-$E$6)*($F$6-$E$6)),$G$6-SQRT((1-P707)*($G$6-$E$6)*($G$6-$F$6))))</f>
        <v>0.962738553717755</v>
      </c>
      <c r="C707" s="51" t="n">
        <f aca="false">1+IF($G$7=$E$7,$F$7,IF(Q707&lt;($F$7-$E$7)/($G$7-$E$7),$E$7+SQRT(Q707*($G$7-$E$7)*($F$7-$E$7)),$G$7-SQRT((1-Q707)*($G$7-$E$7)*($G$7-$F$7))))</f>
        <v>1.07394565058548</v>
      </c>
      <c r="D707" s="51" t="n">
        <f aca="false">1+IF($G$8=$E$8,$F$8,IF(R707&lt;($F$8-$E$8)/($G$8-$E$8),$E$8+SQRT(R707*($G$8-$E$8)*($F$8-$E$8)),$G$8-SQRT((1-R707)*($G$8-$E$8)*($G$8-$F$8))))</f>
        <v>1.01155207608686</v>
      </c>
      <c r="E707" s="51" t="n">
        <f aca="false">1+IF($G$9=$E$9,$F$9,IF(S707&lt;($F$9-$E$9)/($G$9-$E$9),$E$9+SQRT(S707*($G$9-$E$9)*($F$9-$E$9)),$G$9-SQRT((1-S707)*($G$9-$E$9)*($G$9-$F$9))))</f>
        <v>1.04777274793239</v>
      </c>
      <c r="F707" s="51" t="n">
        <f aca="false">1+IF($G$10=$E$10,$F$10,IF(T707&lt;($F$10-$E$10)/($G$10-$E$10),$E$10+SQRT(T707*($G$10-$E$10)*($F$10-$E$10)),$G$10-SQRT((1-T707)*($G$10-$E$10)*($G$10-$F$10))))</f>
        <v>1.04370381764241</v>
      </c>
      <c r="G707" s="52" t="n">
        <f aca="false">IF($G$11=$E$11,$F$11,IF(U707&lt;($F$11-$E$11)/($G$11-$E$11),$E$11+SQRT(U707*($G$11-$E$11)*($F$11-$E$11)),$G$11-SQRT((1-U707)*($G$11-$E$11)*($G$11-$F$11))))</f>
        <v>0.100298982361806</v>
      </c>
      <c r="H707" s="53" t="n">
        <f aca="false">(('Business Case'!B11*$C707*'Business Case'!B12*$B707)-'Business Case'!B11*$C707*'Business Case'!B13*$D707-'Business Case'!B14*$E707)-MAX(0,(('Business Case'!B11*$C707*'Business Case'!B12*$B707)-'Business Case'!B11*$C707*'Business Case'!B13*$D707-'Business Case'!B14*$E707))*'Business Case'!$B$7-'Business Case'!$B$8*('Business Case'!B11*$C707*'Business Case'!B12*$B707)-'Business Case'!B15*$F707</f>
        <v>-2087407635.28482</v>
      </c>
      <c r="I707" s="53" t="n">
        <f aca="false">(('Business Case'!C11*$C707*'Business Case'!C12*$B707)-'Business Case'!C11*$C707*'Business Case'!C13*$D707-'Business Case'!C14*$E707)-MAX(0,(('Business Case'!C11*$C707*'Business Case'!C12*$B707)-'Business Case'!C11*$C707*'Business Case'!C13*$D707-'Business Case'!C14*$E707))*'Business Case'!$B$7-'Business Case'!$B$8*(('Business Case'!C11*$C707*'Business Case'!C12*$B707)-('Business Case'!B11*$C707*'Business Case'!B12*$B707))-'Business Case'!C15*$F707</f>
        <v>-16225633.7066804</v>
      </c>
      <c r="J707" s="53" t="n">
        <f aca="false">(('Business Case'!D11*$C707*'Business Case'!D12*$B707)-'Business Case'!D11*$C707*'Business Case'!D13*$D707-'Business Case'!D14*$E707)-MAX(0,(('Business Case'!D11*$C707*'Business Case'!D12*$B707)-'Business Case'!D11*$C707*'Business Case'!D13*$D707-'Business Case'!D14*$E707))*'Business Case'!$B$7-'Business Case'!$B$8*(('Business Case'!D11*$C707*'Business Case'!D12*$B707)-('Business Case'!C11*$C707*'Business Case'!C12*$B707))-'Business Case'!D15*$F707</f>
        <v>274511272.371319</v>
      </c>
      <c r="K707" s="53" t="n">
        <f aca="false">(('Business Case'!E11*$C707*'Business Case'!E12*$B707)-'Business Case'!E11*$C707*'Business Case'!E13*$D707-'Business Case'!E14*$E707)-MAX(0,(('Business Case'!E11*$C707*'Business Case'!E12*$B707)-'Business Case'!E11*$C707*'Business Case'!E13*$D707-'Business Case'!E14*$E707))*'Business Case'!$B$7-'Business Case'!$B$8*(('Business Case'!E11*$C707*'Business Case'!E12*$B707)-('Business Case'!D11*$C707*'Business Case'!D12*$B707))-'Business Case'!E15*$F707</f>
        <v>617433369.331439</v>
      </c>
      <c r="L707" s="53" t="n">
        <f aca="false">(('Business Case'!F11*$C707*'Business Case'!F12*$B707)-'Business Case'!F11*$C707*'Business Case'!F13*$D707-'Business Case'!F14*$E707)-MAX(0,(('Business Case'!F11*$C707*'Business Case'!F12*$B707)-'Business Case'!F11*$C707*'Business Case'!F13*$D707-'Business Case'!F14*$E707))*'Business Case'!$B$7-'Business Case'!$B$8*(('Business Case'!F11*$C707*'Business Case'!F12*$B707)-('Business Case'!E11*$C707*'Business Case'!E12*$B707))-'Business Case'!F15*$F707</f>
        <v>750078253.533741</v>
      </c>
      <c r="M707" s="53" t="n">
        <f aca="false">(('Business Case'!G11*$C707*'Business Case'!G12*$B707)-'Business Case'!G11*$C707*'Business Case'!G13*$D707-'Business Case'!G14*$E707)-MAX(0,(('Business Case'!G11*$C707*'Business Case'!G12*$B707)-'Business Case'!G11*$C707*'Business Case'!G13*$D707-'Business Case'!G14*$E707))*'Business Case'!$B$7-'Business Case'!$B$8*(('Business Case'!G11*$C707*'Business Case'!G12*$B707)-('Business Case'!F11*$C707*'Business Case'!F12*$B707))-'Business Case'!G15*$F707+'Business Case'!$B$8*('Business Case'!G11*$C707*'Business Case'!G12*$B707)</f>
        <v>946607455.503401</v>
      </c>
      <c r="N707" s="53" t="n">
        <f aca="false">IF(COUNT('Business Case'!B11:G11)=0,"",H707+NPV(G707,I707:M707))</f>
        <v>-313172334.627648</v>
      </c>
      <c r="P707" s="54" t="n">
        <f aca="true">RAND()</f>
        <v>0.190269163946396</v>
      </c>
      <c r="Q707" s="54" t="n">
        <f aca="true">RAND()</f>
        <v>0.889823541621607</v>
      </c>
      <c r="R707" s="54" t="n">
        <f aca="true">RAND()</f>
        <v>0.549507856921248</v>
      </c>
      <c r="S707" s="54" t="n">
        <f aca="true">RAND()</f>
        <v>0.818154276097789</v>
      </c>
      <c r="T707" s="54" t="n">
        <f aca="true">RAND()</f>
        <v>0.511430067608846</v>
      </c>
      <c r="U707" s="54" t="n">
        <f aca="true">RAND()</f>
        <v>0.353116506699303</v>
      </c>
    </row>
    <row r="708" customFormat="false" ht="15" hidden="false" customHeight="false" outlineLevel="0" collapsed="false">
      <c r="A708" s="50" t="n">
        <v>628</v>
      </c>
      <c r="B708" s="51" t="n">
        <f aca="false">1+IF($G$6=$E$6,$F$6,IF(P708&lt;($F$6-$E$6)/($G$6-$E$6),$E$6+SQRT(P708*($G$6-$E$6)*($F$6-$E$6)),$G$6-SQRT((1-P708)*($G$6-$E$6)*($G$6-$F$6))))</f>
        <v>1.02174143722906</v>
      </c>
      <c r="C708" s="51" t="n">
        <f aca="false">1+IF($G$7=$E$7,$F$7,IF(Q708&lt;($F$7-$E$7)/($G$7-$E$7),$E$7+SQRT(Q708*($G$7-$E$7)*($F$7-$E$7)),$G$7-SQRT((1-Q708)*($G$7-$E$7)*($G$7-$F$7))))</f>
        <v>0.850718083056679</v>
      </c>
      <c r="D708" s="51" t="n">
        <f aca="false">1+IF($G$8=$E$8,$F$8,IF(R708&lt;($F$8-$E$8)/($G$8-$E$8),$E$8+SQRT(R708*($G$8-$E$8)*($F$8-$E$8)),$G$8-SQRT((1-R708)*($G$8-$E$8)*($G$8-$F$8))))</f>
        <v>1.00280357834586</v>
      </c>
      <c r="E708" s="51" t="n">
        <f aca="false">1+IF($G$9=$E$9,$F$9,IF(S708&lt;($F$9-$E$9)/($G$9-$E$9),$E$9+SQRT(S708*($G$9-$E$9)*($F$9-$E$9)),$G$9-SQRT((1-S708)*($G$9-$E$9)*($G$9-$F$9))))</f>
        <v>1.00711869612557</v>
      </c>
      <c r="F708" s="51" t="n">
        <f aca="false">1+IF($G$10=$E$10,$F$10,IF(T708&lt;($F$10-$E$10)/($G$10-$E$10),$E$10+SQRT(T708*($G$10-$E$10)*($F$10-$E$10)),$G$10-SQRT((1-T708)*($G$10-$E$10)*($G$10-$F$10))))</f>
        <v>1.03575005764804</v>
      </c>
      <c r="G708" s="52" t="n">
        <f aca="false">IF($G$11=$E$11,$F$11,IF(U708&lt;($F$11-$E$11)/($G$11-$E$11),$E$11+SQRT(U708*($G$11-$E$11)*($F$11-$E$11)),$G$11-SQRT((1-U708)*($G$11-$E$11)*($G$11-$F$11))))</f>
        <v>0.101318586209425</v>
      </c>
      <c r="H708" s="53" t="n">
        <f aca="false">(('Business Case'!B11*$C708*'Business Case'!B12*$B708)-'Business Case'!B11*$C708*'Business Case'!B13*$D708-'Business Case'!B14*$E708)-MAX(0,(('Business Case'!B11*$C708*'Business Case'!B12*$B708)-'Business Case'!B11*$C708*'Business Case'!B13*$D708-'Business Case'!B14*$E708))*'Business Case'!$B$7-'Business Case'!$B$8*('Business Case'!B11*$C708*'Business Case'!B12*$B708)-'Business Case'!B15*$F708</f>
        <v>-2071500115.29609</v>
      </c>
      <c r="I708" s="53" t="n">
        <f aca="false">(('Business Case'!C11*$C708*'Business Case'!C12*$B708)-'Business Case'!C11*$C708*'Business Case'!C13*$D708-'Business Case'!C14*$E708)-MAX(0,(('Business Case'!C11*$C708*'Business Case'!C12*$B708)-'Business Case'!C11*$C708*'Business Case'!C13*$D708-'Business Case'!C14*$E708))*'Business Case'!$B$7-'Business Case'!$B$8*(('Business Case'!C11*$C708*'Business Case'!C12*$B708)-('Business Case'!B11*$C708*'Business Case'!B12*$B708))-'Business Case'!C15*$F708</f>
        <v>-16619110.8238185</v>
      </c>
      <c r="J708" s="53" t="n">
        <f aca="false">(('Business Case'!D11*$C708*'Business Case'!D12*$B708)-'Business Case'!D11*$C708*'Business Case'!D13*$D708-'Business Case'!D14*$E708)-MAX(0,(('Business Case'!D11*$C708*'Business Case'!D12*$B708)-'Business Case'!D11*$C708*'Business Case'!D13*$D708-'Business Case'!D14*$E708))*'Business Case'!$B$7-'Business Case'!$B$8*(('Business Case'!D11*$C708*'Business Case'!D12*$B708)-('Business Case'!C11*$C708*'Business Case'!C12*$B708))-'Business Case'!D15*$F708</f>
        <v>258609112.156199</v>
      </c>
      <c r="K708" s="53" t="n">
        <f aca="false">(('Business Case'!E11*$C708*'Business Case'!E12*$B708)-'Business Case'!E11*$C708*'Business Case'!E13*$D708-'Business Case'!E14*$E708)-MAX(0,(('Business Case'!E11*$C708*'Business Case'!E12*$B708)-'Business Case'!E11*$C708*'Business Case'!E13*$D708-'Business Case'!E14*$E708))*'Business Case'!$B$7-'Business Case'!$B$8*(('Business Case'!E11*$C708*'Business Case'!E12*$B708)-('Business Case'!D11*$C708*'Business Case'!D12*$B708))-'Business Case'!E15*$F708</f>
        <v>585624838.018619</v>
      </c>
      <c r="L708" s="53" t="n">
        <f aca="false">(('Business Case'!F11*$C708*'Business Case'!F12*$B708)-'Business Case'!F11*$C708*'Business Case'!F13*$D708-'Business Case'!F14*$E708)-MAX(0,(('Business Case'!F11*$C708*'Business Case'!F12*$B708)-'Business Case'!F11*$C708*'Business Case'!F13*$D708-'Business Case'!F14*$E708))*'Business Case'!$B$7-'Business Case'!$B$8*(('Business Case'!F11*$C708*'Business Case'!F12*$B708)-('Business Case'!E11*$C708*'Business Case'!E12*$B708))-'Business Case'!F15*$F708</f>
        <v>707407611.978607</v>
      </c>
      <c r="M708" s="53" t="n">
        <f aca="false">(('Business Case'!G11*$C708*'Business Case'!G12*$B708)-'Business Case'!G11*$C708*'Business Case'!G13*$D708-'Business Case'!G14*$E708)-MAX(0,(('Business Case'!G11*$C708*'Business Case'!G12*$B708)-'Business Case'!G11*$C708*'Business Case'!G13*$D708-'Business Case'!G14*$E708))*'Business Case'!$B$7-'Business Case'!$B$8*(('Business Case'!G11*$C708*'Business Case'!G12*$B708)-('Business Case'!F11*$C708*'Business Case'!F12*$B708))-'Business Case'!G15*$F708+'Business Case'!$B$8*('Business Case'!G11*$C708*'Business Case'!G12*$B708)</f>
        <v>872627793.295182</v>
      </c>
      <c r="N708" s="53" t="n">
        <f aca="false">IF(COUNT('Business Case'!B11:G11)=0,"",H708+NPV(G708,I708:M708))</f>
        <v>-415508663.20916</v>
      </c>
      <c r="P708" s="54" t="n">
        <f aca="true">RAND()</f>
        <v>0.930546851154123</v>
      </c>
      <c r="Q708" s="54" t="n">
        <f aca="true">RAND()</f>
        <v>0.036747484984917</v>
      </c>
      <c r="R708" s="54" t="n">
        <f aca="true">RAND()</f>
        <v>0.426991584980347</v>
      </c>
      <c r="S708" s="54" t="n">
        <f aca="true">RAND()</f>
        <v>0.424870892705779</v>
      </c>
      <c r="T708" s="54" t="n">
        <f aca="true">RAND()</f>
        <v>0.460439128747577</v>
      </c>
      <c r="U708" s="54" t="n">
        <f aca="true">RAND()</f>
        <v>0.418341297975522</v>
      </c>
    </row>
    <row r="709" customFormat="false" ht="15" hidden="false" customHeight="false" outlineLevel="0" collapsed="false">
      <c r="A709" s="50" t="n">
        <v>629</v>
      </c>
      <c r="B709" s="51" t="n">
        <f aca="false">1+IF($G$6=$E$6,$F$6,IF(P709&lt;($F$6-$E$6)/($G$6-$E$6),$E$6+SQRT(P709*($G$6-$E$6)*($F$6-$E$6)),$G$6-SQRT((1-P709)*($G$6-$E$6)*($G$6-$F$6))))</f>
        <v>1.00607700449508</v>
      </c>
      <c r="C709" s="51" t="n">
        <f aca="false">1+IF($G$7=$E$7,$F$7,IF(Q709&lt;($F$7-$E$7)/($G$7-$E$7),$E$7+SQRT(Q709*($G$7-$E$7)*($F$7-$E$7)),$G$7-SQRT((1-Q709)*($G$7-$E$7)*($G$7-$F$7))))</f>
        <v>0.947383879757346</v>
      </c>
      <c r="D709" s="51" t="n">
        <f aca="false">1+IF($G$8=$E$8,$F$8,IF(R709&lt;($F$8-$E$8)/($G$8-$E$8),$E$8+SQRT(R709*($G$8-$E$8)*($F$8-$E$8)),$G$8-SQRT((1-R709)*($G$8-$E$8)*($G$8-$F$8))))</f>
        <v>1.03928056995527</v>
      </c>
      <c r="E709" s="51" t="n">
        <f aca="false">1+IF($G$9=$E$9,$F$9,IF(S709&lt;($F$9-$E$9)/($G$9-$E$9),$E$9+SQRT(S709*($G$9-$E$9)*($F$9-$E$9)),$G$9-SQRT((1-S709)*($G$9-$E$9)*($G$9-$F$9))))</f>
        <v>1.0440122222029</v>
      </c>
      <c r="F709" s="51" t="n">
        <f aca="false">1+IF($G$10=$E$10,$F$10,IF(T709&lt;($F$10-$E$10)/($G$10-$E$10),$E$10+SQRT(T709*($G$10-$E$10)*($F$10-$E$10)),$G$10-SQRT((1-T709)*($G$10-$E$10)*($G$10-$F$10))))</f>
        <v>1.09389301848289</v>
      </c>
      <c r="G709" s="52" t="n">
        <f aca="false">IF($G$11=$E$11,$F$11,IF(U709&lt;($F$11-$E$11)/($G$11-$E$11),$E$11+SQRT(U709*($G$11-$E$11)*($F$11-$E$11)),$G$11-SQRT((1-U709)*($G$11-$E$11)*($G$11-$F$11))))</f>
        <v>0.111495802256949</v>
      </c>
      <c r="H709" s="53" t="n">
        <f aca="false">(('Business Case'!B11*$C709*'Business Case'!B12*$B709)-'Business Case'!B11*$C709*'Business Case'!B13*$D709-'Business Case'!B14*$E709)-MAX(0,(('Business Case'!B11*$C709*'Business Case'!B12*$B709)-'Business Case'!B11*$C709*'Business Case'!B13*$D709-'Business Case'!B14*$E709))*'Business Case'!$B$7-'Business Case'!$B$8*('Business Case'!B11*$C709*'Business Case'!B12*$B709)-'Business Case'!B15*$F709</f>
        <v>-2187786036.96579</v>
      </c>
      <c r="I709" s="53" t="n">
        <f aca="false">(('Business Case'!C11*$C709*'Business Case'!C12*$B709)-'Business Case'!C11*$C709*'Business Case'!C13*$D709-'Business Case'!C14*$E709)-MAX(0,(('Business Case'!C11*$C709*'Business Case'!C12*$B709)-'Business Case'!C11*$C709*'Business Case'!C13*$D709-'Business Case'!C14*$E709))*'Business Case'!$B$7-'Business Case'!$B$8*(('Business Case'!C11*$C709*'Business Case'!C12*$B709)-('Business Case'!B11*$C709*'Business Case'!B12*$B709))-'Business Case'!C15*$F709</f>
        <v>-30602693.2525138</v>
      </c>
      <c r="J709" s="53" t="n">
        <f aca="false">(('Business Case'!D11*$C709*'Business Case'!D12*$B709)-'Business Case'!D11*$C709*'Business Case'!D13*$D709-'Business Case'!D14*$E709)-MAX(0,(('Business Case'!D11*$C709*'Business Case'!D12*$B709)-'Business Case'!D11*$C709*'Business Case'!D13*$D709-'Business Case'!D14*$E709))*'Business Case'!$B$7-'Business Case'!$B$8*(('Business Case'!D11*$C709*'Business Case'!D12*$B709)-('Business Case'!C11*$C709*'Business Case'!C12*$B709))-'Business Case'!D15*$F709</f>
        <v>246053289.823144</v>
      </c>
      <c r="K709" s="53" t="n">
        <f aca="false">(('Business Case'!E11*$C709*'Business Case'!E12*$B709)-'Business Case'!E11*$C709*'Business Case'!E13*$D709-'Business Case'!E14*$E709)-MAX(0,(('Business Case'!E11*$C709*'Business Case'!E12*$B709)-'Business Case'!E11*$C709*'Business Case'!E13*$D709-'Business Case'!E14*$E709))*'Business Case'!$B$7-'Business Case'!$B$8*(('Business Case'!E11*$C709*'Business Case'!E12*$B709)-('Business Case'!D11*$C709*'Business Case'!D12*$B709))-'Business Case'!E15*$F709</f>
        <v>577403923.822947</v>
      </c>
      <c r="L709" s="53" t="n">
        <f aca="false">(('Business Case'!F11*$C709*'Business Case'!F12*$B709)-'Business Case'!F11*$C709*'Business Case'!F13*$D709-'Business Case'!F14*$E709)-MAX(0,(('Business Case'!F11*$C709*'Business Case'!F12*$B709)-'Business Case'!F11*$C709*'Business Case'!F13*$D709-'Business Case'!F14*$E709))*'Business Case'!$B$7-'Business Case'!$B$8*(('Business Case'!F11*$C709*'Business Case'!F12*$B709)-('Business Case'!E11*$C709*'Business Case'!E12*$B709))-'Business Case'!F15*$F709</f>
        <v>702563142.503253</v>
      </c>
      <c r="M709" s="53" t="n">
        <f aca="false">(('Business Case'!G11*$C709*'Business Case'!G12*$B709)-'Business Case'!G11*$C709*'Business Case'!G13*$D709-'Business Case'!G14*$E709)-MAX(0,(('Business Case'!G11*$C709*'Business Case'!G12*$B709)-'Business Case'!G11*$C709*'Business Case'!G13*$D709-'Business Case'!G14*$E709))*'Business Case'!$B$7-'Business Case'!$B$8*(('Business Case'!G11*$C709*'Business Case'!G12*$B709)-('Business Case'!F11*$C709*'Business Case'!F12*$B709))-'Business Case'!G15*$F709+'Business Case'!$B$8*('Business Case'!G11*$C709*'Business Case'!G12*$B709)</f>
        <v>883736209.606229</v>
      </c>
      <c r="N709" s="53" t="n">
        <f aca="false">IF(COUNT('Business Case'!B11:G11)=0,"",H709+NPV(G709,I709:M709))</f>
        <v>-614414300.970274</v>
      </c>
      <c r="P709" s="54" t="n">
        <f aca="true">RAND()</f>
        <v>0.760256328327757</v>
      </c>
      <c r="Q709" s="54" t="n">
        <f aca="true">RAND()</f>
        <v>0.310314400176111</v>
      </c>
      <c r="R709" s="54" t="n">
        <f aca="true">RAND()</f>
        <v>0.840570001618528</v>
      </c>
      <c r="S709" s="54" t="n">
        <f aca="true">RAND()</f>
        <v>0.791024582489513</v>
      </c>
      <c r="T709" s="54" t="n">
        <f aca="true">RAND()</f>
        <v>0.774826169466566</v>
      </c>
      <c r="U709" s="54" t="n">
        <f aca="true">RAND()</f>
        <v>0.879464367911799</v>
      </c>
    </row>
    <row r="710" customFormat="false" ht="15" hidden="false" customHeight="false" outlineLevel="0" collapsed="false">
      <c r="A710" s="50" t="n">
        <v>630</v>
      </c>
      <c r="B710" s="51" t="n">
        <f aca="false">1+IF($G$6=$E$6,$F$6,IF(P710&lt;($F$6-$E$6)/($G$6-$E$6),$E$6+SQRT(P710*($G$6-$E$6)*($F$6-$E$6)),$G$6-SQRT((1-P710)*($G$6-$E$6)*($G$6-$F$6))))</f>
        <v>1.00277652539503</v>
      </c>
      <c r="C710" s="51" t="n">
        <f aca="false">1+IF($G$7=$E$7,$F$7,IF(Q710&lt;($F$7-$E$7)/($G$7-$E$7),$E$7+SQRT(Q710*($G$7-$E$7)*($F$7-$E$7)),$G$7-SQRT((1-Q710)*($G$7-$E$7)*($G$7-$F$7))))</f>
        <v>1.06653251581995</v>
      </c>
      <c r="D710" s="51" t="n">
        <f aca="false">1+IF($G$8=$E$8,$F$8,IF(R710&lt;($F$8-$E$8)/($G$8-$E$8),$E$8+SQRT(R710*($G$8-$E$8)*($F$8-$E$8)),$G$8-SQRT((1-R710)*($G$8-$E$8)*($G$8-$F$8))))</f>
        <v>1.01437940937404</v>
      </c>
      <c r="E710" s="51" t="n">
        <f aca="false">1+IF($G$9=$E$9,$F$9,IF(S710&lt;($F$9-$E$9)/($G$9-$E$9),$E$9+SQRT(S710*($G$9-$E$9)*($F$9-$E$9)),$G$9-SQRT((1-S710)*($G$9-$E$9)*($G$9-$F$9))))</f>
        <v>1.05100070759416</v>
      </c>
      <c r="F710" s="51" t="n">
        <f aca="false">1+IF($G$10=$E$10,$F$10,IF(T710&lt;($F$10-$E$10)/($G$10-$E$10),$E$10+SQRT(T710*($G$10-$E$10)*($F$10-$E$10)),$G$10-SQRT((1-T710)*($G$10-$E$10)*($G$10-$F$10))))</f>
        <v>1.04689233443089</v>
      </c>
      <c r="G710" s="52" t="n">
        <f aca="false">IF($G$11=$E$11,$F$11,IF(U710&lt;($F$11-$E$11)/($G$11-$E$11),$E$11+SQRT(U710*($G$11-$E$11)*($F$11-$E$11)),$G$11-SQRT((1-U710)*($G$11-$E$11)*($G$11-$F$11))))</f>
        <v>0.103546537871325</v>
      </c>
      <c r="H710" s="53" t="n">
        <f aca="false">(('Business Case'!B11*$C710*'Business Case'!B12*$B710)-'Business Case'!B11*$C710*'Business Case'!B13*$D710-'Business Case'!B14*$E710)-MAX(0,(('Business Case'!B11*$C710*'Business Case'!B12*$B710)-'Business Case'!B11*$C710*'Business Case'!B13*$D710-'Business Case'!B14*$E710))*'Business Case'!$B$7-'Business Case'!$B$8*('Business Case'!B11*$C710*'Business Case'!B12*$B710)-'Business Case'!B15*$F710</f>
        <v>-2093784668.86177</v>
      </c>
      <c r="I710" s="53" t="n">
        <f aca="false">(('Business Case'!C11*$C710*'Business Case'!C12*$B710)-'Business Case'!C11*$C710*'Business Case'!C13*$D710-'Business Case'!C14*$E710)-MAX(0,(('Business Case'!C11*$C710*'Business Case'!C12*$B710)-'Business Case'!C11*$C710*'Business Case'!C13*$D710-'Business Case'!C14*$E710))*'Business Case'!$B$7-'Business Case'!$B$8*(('Business Case'!C11*$C710*'Business Case'!C12*$B710)-('Business Case'!B11*$C710*'Business Case'!B12*$B710))-'Business Case'!C15*$F710</f>
        <v>12578124.6855625</v>
      </c>
      <c r="J710" s="53" t="n">
        <f aca="false">(('Business Case'!D11*$C710*'Business Case'!D12*$B710)-'Business Case'!D11*$C710*'Business Case'!D13*$D710-'Business Case'!D14*$E710)-MAX(0,(('Business Case'!D11*$C710*'Business Case'!D12*$B710)-'Business Case'!D11*$C710*'Business Case'!D13*$D710-'Business Case'!D14*$E710))*'Business Case'!$B$7-'Business Case'!$B$8*(('Business Case'!D11*$C710*'Business Case'!D12*$B710)-('Business Case'!C11*$C710*'Business Case'!C12*$B710))-'Business Case'!D15*$F710</f>
        <v>334740340.49344</v>
      </c>
      <c r="K710" s="53" t="n">
        <f aca="false">(('Business Case'!E11*$C710*'Business Case'!E12*$B710)-'Business Case'!E11*$C710*'Business Case'!E13*$D710-'Business Case'!E14*$E710)-MAX(0,(('Business Case'!E11*$C710*'Business Case'!E12*$B710)-'Business Case'!E11*$C710*'Business Case'!E13*$D710-'Business Case'!E14*$E710))*'Business Case'!$B$7-'Business Case'!$B$8*(('Business Case'!E11*$C710*'Business Case'!E12*$B710)-('Business Case'!D11*$C710*'Business Case'!D12*$B710))-'Business Case'!E15*$F710</f>
        <v>709247173.022862</v>
      </c>
      <c r="L710" s="53" t="n">
        <f aca="false">(('Business Case'!F11*$C710*'Business Case'!F12*$B710)-'Business Case'!F11*$C710*'Business Case'!F13*$D710-'Business Case'!F14*$E710)-MAX(0,(('Business Case'!F11*$C710*'Business Case'!F12*$B710)-'Business Case'!F11*$C710*'Business Case'!F13*$D710-'Business Case'!F14*$E710))*'Business Case'!$B$7-'Business Case'!$B$8*(('Business Case'!F11*$C710*'Business Case'!F12*$B710)-('Business Case'!E11*$C710*'Business Case'!E12*$B710))-'Business Case'!F15*$F710</f>
        <v>853596282.99838</v>
      </c>
      <c r="M710" s="53" t="n">
        <f aca="false">(('Business Case'!G11*$C710*'Business Case'!G12*$B710)-'Business Case'!G11*$C710*'Business Case'!G13*$D710-'Business Case'!G14*$E710)-MAX(0,(('Business Case'!G11*$C710*'Business Case'!G12*$B710)-'Business Case'!G11*$C710*'Business Case'!G13*$D710-'Business Case'!G14*$E710))*'Business Case'!$B$7-'Business Case'!$B$8*(('Business Case'!G11*$C710*'Business Case'!G12*$B710)-('Business Case'!F11*$C710*'Business Case'!F12*$B710))-'Business Case'!G15*$F710+'Business Case'!$B$8*('Business Case'!G11*$C710*'Business Case'!G12*$B710)</f>
        <v>1056885658.88262</v>
      </c>
      <c r="N710" s="53" t="n">
        <f aca="false">IF(COUNT('Business Case'!B11:G11)=0,"",H710+NPV(G710,I710:M710))</f>
        <v>-58445848.241122</v>
      </c>
      <c r="P710" s="54" t="n">
        <f aca="true">RAND()</f>
        <v>0.711336028819416</v>
      </c>
      <c r="Q710" s="54" t="n">
        <f aca="true">RAND()</f>
        <v>0.867298649231497</v>
      </c>
      <c r="R710" s="54" t="n">
        <f aca="true">RAND()</f>
        <v>0.585955585182708</v>
      </c>
      <c r="S710" s="54" t="n">
        <f aca="true">RAND()</f>
        <v>0.839937956248446</v>
      </c>
      <c r="T710" s="54" t="n">
        <f aca="true">RAND()</f>
        <v>0.531160854879524</v>
      </c>
      <c r="U710" s="54" t="n">
        <f aca="true">RAND()</f>
        <v>0.548805973300418</v>
      </c>
    </row>
    <row r="711" customFormat="false" ht="15" hidden="false" customHeight="false" outlineLevel="0" collapsed="false">
      <c r="A711" s="50" t="n">
        <v>631</v>
      </c>
      <c r="B711" s="51" t="n">
        <f aca="false">1+IF($G$6=$E$6,$F$6,IF(P711&lt;($F$6-$E$6)/($G$6-$E$6),$E$6+SQRT(P711*($G$6-$E$6)*($F$6-$E$6)),$G$6-SQRT((1-P711)*($G$6-$E$6)*($G$6-$F$6))))</f>
        <v>0.966271326481577</v>
      </c>
      <c r="C711" s="51" t="n">
        <f aca="false">1+IF($G$7=$E$7,$F$7,IF(Q711&lt;($F$7-$E$7)/($G$7-$E$7),$E$7+SQRT(Q711*($G$7-$E$7)*($F$7-$E$7)),$G$7-SQRT((1-Q711)*($G$7-$E$7)*($G$7-$F$7))))</f>
        <v>0.984663552121189</v>
      </c>
      <c r="D711" s="51" t="n">
        <f aca="false">1+IF($G$8=$E$8,$F$8,IF(R711&lt;($F$8-$E$8)/($G$8-$E$8),$E$8+SQRT(R711*($G$8-$E$8)*($F$8-$E$8)),$G$8-SQRT((1-R711)*($G$8-$E$8)*($G$8-$F$8))))</f>
        <v>1.01468276082837</v>
      </c>
      <c r="E711" s="51" t="n">
        <f aca="false">1+IF($G$9=$E$9,$F$9,IF(S711&lt;($F$9-$E$9)/($G$9-$E$9),$E$9+SQRT(S711*($G$9-$E$9)*($F$9-$E$9)),$G$9-SQRT((1-S711)*($G$9-$E$9)*($G$9-$F$9))))</f>
        <v>1.04593470175003</v>
      </c>
      <c r="F711" s="51" t="n">
        <f aca="false">1+IF($G$10=$E$10,$F$10,IF(T711&lt;($F$10-$E$10)/($G$10-$E$10),$E$10+SQRT(T711*($G$10-$E$10)*($F$10-$E$10)),$G$10-SQRT((1-T711)*($G$10-$E$10)*($G$10-$F$10))))</f>
        <v>1.04149514962</v>
      </c>
      <c r="G711" s="52" t="n">
        <f aca="false">IF($G$11=$E$11,$F$11,IF(U711&lt;($F$11-$E$11)/($G$11-$E$11),$E$11+SQRT(U711*($G$11-$E$11)*($F$11-$E$11)),$G$11-SQRT((1-U711)*($G$11-$E$11)*($G$11-$F$11))))</f>
        <v>0.103088263747915</v>
      </c>
      <c r="H711" s="53" t="n">
        <f aca="false">(('Business Case'!B11*$C711*'Business Case'!B12*$B711)-'Business Case'!B11*$C711*'Business Case'!B13*$D711-'Business Case'!B14*$E711)-MAX(0,(('Business Case'!B11*$C711*'Business Case'!B12*$B711)-'Business Case'!B11*$C711*'Business Case'!B13*$D711-'Business Case'!B14*$E711))*'Business Case'!$B$7-'Business Case'!$B$8*('Business Case'!B11*$C711*'Business Case'!B12*$B711)-'Business Case'!B15*$F711</f>
        <v>-2082990299.23999</v>
      </c>
      <c r="I711" s="53" t="n">
        <f aca="false">(('Business Case'!C11*$C711*'Business Case'!C12*$B711)-'Business Case'!C11*$C711*'Business Case'!C13*$D711-'Business Case'!C14*$E711)-MAX(0,(('Business Case'!C11*$C711*'Business Case'!C12*$B711)-'Business Case'!C11*$C711*'Business Case'!C13*$D711-'Business Case'!C14*$E711))*'Business Case'!$B$7-'Business Case'!$B$8*(('Business Case'!C11*$C711*'Business Case'!C12*$B711)-('Business Case'!B11*$C711*'Business Case'!B12*$B711))-'Business Case'!C15*$F711</f>
        <v>-34366978.1676907</v>
      </c>
      <c r="J711" s="53" t="n">
        <f aca="false">(('Business Case'!D11*$C711*'Business Case'!D12*$B711)-'Business Case'!D11*$C711*'Business Case'!D13*$D711-'Business Case'!D14*$E711)-MAX(0,(('Business Case'!D11*$C711*'Business Case'!D12*$B711)-'Business Case'!D11*$C711*'Business Case'!D13*$D711-'Business Case'!D14*$E711))*'Business Case'!$B$7-'Business Case'!$B$8*(('Business Case'!D11*$C711*'Business Case'!D12*$B711)-('Business Case'!C11*$C711*'Business Case'!C12*$B711))-'Business Case'!D15*$F711</f>
        <v>233470753.016012</v>
      </c>
      <c r="K711" s="53" t="n">
        <f aca="false">(('Business Case'!E11*$C711*'Business Case'!E12*$B711)-'Business Case'!E11*$C711*'Business Case'!E13*$D711-'Business Case'!E14*$E711)-MAX(0,(('Business Case'!E11*$C711*'Business Case'!E12*$B711)-'Business Case'!E11*$C711*'Business Case'!E13*$D711-'Business Case'!E14*$E711))*'Business Case'!$B$7-'Business Case'!$B$8*(('Business Case'!E11*$C711*'Business Case'!E12*$B711)-('Business Case'!D11*$C711*'Business Case'!D12*$B711))-'Business Case'!E15*$F711</f>
        <v>553383241.680714</v>
      </c>
      <c r="L711" s="53" t="n">
        <f aca="false">(('Business Case'!F11*$C711*'Business Case'!F12*$B711)-'Business Case'!F11*$C711*'Business Case'!F13*$D711-'Business Case'!F14*$E711)-MAX(0,(('Business Case'!F11*$C711*'Business Case'!F12*$B711)-'Business Case'!F11*$C711*'Business Case'!F13*$D711-'Business Case'!F14*$E711))*'Business Case'!$B$7-'Business Case'!$B$8*(('Business Case'!F11*$C711*'Business Case'!F12*$B711)-('Business Case'!E11*$C711*'Business Case'!E12*$B711))-'Business Case'!F15*$F711</f>
        <v>675544671.942308</v>
      </c>
      <c r="M711" s="53" t="n">
        <f aca="false">(('Business Case'!G11*$C711*'Business Case'!G12*$B711)-'Business Case'!G11*$C711*'Business Case'!G13*$D711-'Business Case'!G14*$E711)-MAX(0,(('Business Case'!G11*$C711*'Business Case'!G12*$B711)-'Business Case'!G11*$C711*'Business Case'!G13*$D711-'Business Case'!G14*$E711))*'Business Case'!$B$7-'Business Case'!$B$8*(('Business Case'!G11*$C711*'Business Case'!G12*$B711)-('Business Case'!F11*$C711*'Business Case'!F12*$B711))-'Business Case'!G15*$F711+'Business Case'!$B$8*('Business Case'!G11*$C711*'Business Case'!G12*$B711)</f>
        <v>856396697.877618</v>
      </c>
      <c r="N711" s="53" t="n">
        <f aca="false">IF(COUNT('Business Case'!B11:G11)=0,"",H711+NPV(G711,I711:M711))</f>
        <v>-529377046.692796</v>
      </c>
      <c r="P711" s="54" t="n">
        <f aca="true">RAND()</f>
        <v>0.223024547329656</v>
      </c>
      <c r="Q711" s="54" t="n">
        <f aca="true">RAND()</f>
        <v>0.487151821171645</v>
      </c>
      <c r="R711" s="54" t="n">
        <f aca="true">RAND()</f>
        <v>0.58977483336503</v>
      </c>
      <c r="S711" s="54" t="n">
        <f aca="true">RAND()</f>
        <v>0.805129568342791</v>
      </c>
      <c r="T711" s="54" t="n">
        <f aca="true">RAND()</f>
        <v>0.497524248120251</v>
      </c>
      <c r="U711" s="54" t="n">
        <f aca="true">RAND()</f>
        <v>0.523321961566538</v>
      </c>
    </row>
    <row r="712" customFormat="false" ht="15" hidden="false" customHeight="false" outlineLevel="0" collapsed="false">
      <c r="A712" s="50" t="n">
        <v>632</v>
      </c>
      <c r="B712" s="51" t="n">
        <f aca="false">1+IF($G$6=$E$6,$F$6,IF(P712&lt;($F$6-$E$6)/($G$6-$E$6),$E$6+SQRT(P712*($G$6-$E$6)*($F$6-$E$6)),$G$6-SQRT((1-P712)*($G$6-$E$6)*($G$6-$F$6))))</f>
        <v>0.99844423132094</v>
      </c>
      <c r="C712" s="51" t="n">
        <f aca="false">1+IF($G$7=$E$7,$F$7,IF(Q712&lt;($F$7-$E$7)/($G$7-$E$7),$E$7+SQRT(Q712*($G$7-$E$7)*($F$7-$E$7)),$G$7-SQRT((1-Q712)*($G$7-$E$7)*($G$7-$F$7))))</f>
        <v>1.07702041247588</v>
      </c>
      <c r="D712" s="51" t="n">
        <f aca="false">1+IF($G$8=$E$8,$F$8,IF(R712&lt;($F$8-$E$8)/($G$8-$E$8),$E$8+SQRT(R712*($G$8-$E$8)*($F$8-$E$8)),$G$8-SQRT((1-R712)*($G$8-$E$8)*($G$8-$F$8))))</f>
        <v>1.0334733775037</v>
      </c>
      <c r="E712" s="51" t="n">
        <f aca="false">1+IF($G$9=$E$9,$F$9,IF(S712&lt;($F$9-$E$9)/($G$9-$E$9),$E$9+SQRT(S712*($G$9-$E$9)*($F$9-$E$9)),$G$9-SQRT((1-S712)*($G$9-$E$9)*($G$9-$F$9))))</f>
        <v>0.992486013756521</v>
      </c>
      <c r="F712" s="51" t="n">
        <f aca="false">1+IF($G$10=$E$10,$F$10,IF(T712&lt;($F$10-$E$10)/($G$10-$E$10),$E$10+SQRT(T712*($G$10-$E$10)*($F$10-$E$10)),$G$10-SQRT((1-T712)*($G$10-$E$10)*($G$10-$F$10))))</f>
        <v>1.08523254992646</v>
      </c>
      <c r="G712" s="52" t="n">
        <f aca="false">IF($G$11=$E$11,$F$11,IF(U712&lt;($F$11-$E$11)/($G$11-$E$11),$E$11+SQRT(U712*($G$11-$E$11)*($F$11-$E$11)),$G$11-SQRT((1-U712)*($G$11-$E$11)*($G$11-$F$11))))</f>
        <v>0.102863658030647</v>
      </c>
      <c r="H712" s="53" t="n">
        <f aca="false">(('Business Case'!B11*$C712*'Business Case'!B12*$B712)-'Business Case'!B11*$C712*'Business Case'!B13*$D712-'Business Case'!B14*$E712)-MAX(0,(('Business Case'!B11*$C712*'Business Case'!B12*$B712)-'Business Case'!B11*$C712*'Business Case'!B13*$D712-'Business Case'!B14*$E712))*'Business Case'!$B$7-'Business Case'!$B$8*('Business Case'!B11*$C712*'Business Case'!B12*$B712)-'Business Case'!B15*$F712</f>
        <v>-2170465099.85292</v>
      </c>
      <c r="I712" s="53" t="n">
        <f aca="false">(('Business Case'!C11*$C712*'Business Case'!C12*$B712)-'Business Case'!C11*$C712*'Business Case'!C13*$D712-'Business Case'!C14*$E712)-MAX(0,(('Business Case'!C11*$C712*'Business Case'!C12*$B712)-'Business Case'!C11*$C712*'Business Case'!C13*$D712-'Business Case'!C14*$E712))*'Business Case'!$B$7-'Business Case'!$B$8*(('Business Case'!C11*$C712*'Business Case'!C12*$B712)-('Business Case'!B11*$C712*'Business Case'!B12*$B712))-'Business Case'!C15*$F712</f>
        <v>5580410.15403758</v>
      </c>
      <c r="J712" s="53" t="n">
        <f aca="false">(('Business Case'!D11*$C712*'Business Case'!D12*$B712)-'Business Case'!D11*$C712*'Business Case'!D13*$D712-'Business Case'!D14*$E712)-MAX(0,(('Business Case'!D11*$C712*'Business Case'!D12*$B712)-'Business Case'!D11*$C712*'Business Case'!D13*$D712-'Business Case'!D14*$E712))*'Business Case'!$B$7-'Business Case'!$B$8*(('Business Case'!D11*$C712*'Business Case'!D12*$B712)-('Business Case'!C11*$C712*'Business Case'!C12*$B712))-'Business Case'!D15*$F712</f>
        <v>316561461.814317</v>
      </c>
      <c r="K712" s="53" t="n">
        <f aca="false">(('Business Case'!E11*$C712*'Business Case'!E12*$B712)-'Business Case'!E11*$C712*'Business Case'!E13*$D712-'Business Case'!E14*$E712)-MAX(0,(('Business Case'!E11*$C712*'Business Case'!E12*$B712)-'Business Case'!E11*$C712*'Business Case'!E13*$D712-'Business Case'!E14*$E712))*'Business Case'!$B$7-'Business Case'!$B$8*(('Business Case'!E11*$C712*'Business Case'!E12*$B712)-('Business Case'!D11*$C712*'Business Case'!D12*$B712))-'Business Case'!E15*$F712</f>
        <v>681804140.970919</v>
      </c>
      <c r="L712" s="53" t="n">
        <f aca="false">(('Business Case'!F11*$C712*'Business Case'!F12*$B712)-'Business Case'!F11*$C712*'Business Case'!F13*$D712-'Business Case'!F14*$E712)-MAX(0,(('Business Case'!F11*$C712*'Business Case'!F12*$B712)-'Business Case'!F11*$C712*'Business Case'!F13*$D712-'Business Case'!F14*$E712))*'Business Case'!$B$7-'Business Case'!$B$8*(('Business Case'!F11*$C712*'Business Case'!F12*$B712)-('Business Case'!E11*$C712*'Business Case'!E12*$B712))-'Business Case'!F15*$F712</f>
        <v>822628408.429291</v>
      </c>
      <c r="M712" s="53" t="n">
        <f aca="false">(('Business Case'!G11*$C712*'Business Case'!G12*$B712)-'Business Case'!G11*$C712*'Business Case'!G13*$D712-'Business Case'!G14*$E712)-MAX(0,(('Business Case'!G11*$C712*'Business Case'!G12*$B712)-'Business Case'!G11*$C712*'Business Case'!G13*$D712-'Business Case'!G14*$E712))*'Business Case'!$B$7-'Business Case'!$B$8*(('Business Case'!G11*$C712*'Business Case'!G12*$B712)-('Business Case'!F11*$C712*'Business Case'!F12*$B712))-'Business Case'!G15*$F712+'Business Case'!$B$8*('Business Case'!G11*$C712*'Business Case'!G12*$B712)</f>
        <v>1027029951.40649</v>
      </c>
      <c r="N712" s="53" t="n">
        <f aca="false">IF(COUNT('Business Case'!B11:G11)=0,"",H712+NPV(G712,I712:M712))</f>
        <v>-211349634.417174</v>
      </c>
      <c r="P712" s="54" t="n">
        <f aca="true">RAND()</f>
        <v>0.640989315368039</v>
      </c>
      <c r="Q712" s="54" t="n">
        <f aca="true">RAND()</f>
        <v>0.898551996282076</v>
      </c>
      <c r="R712" s="54" t="n">
        <f aca="true">RAND()</f>
        <v>0.791853211450679</v>
      </c>
      <c r="S712" s="54" t="n">
        <f aca="true">RAND()</f>
        <v>0.2406748486559</v>
      </c>
      <c r="T712" s="54" t="n">
        <f aca="true">RAND()</f>
        <v>0.736568648072349</v>
      </c>
      <c r="U712" s="54" t="n">
        <f aca="true">RAND()</f>
        <v>0.51057630651563</v>
      </c>
    </row>
    <row r="713" customFormat="false" ht="15" hidden="false" customHeight="false" outlineLevel="0" collapsed="false">
      <c r="A713" s="50" t="n">
        <v>633</v>
      </c>
      <c r="B713" s="51" t="n">
        <f aca="false">1+IF($G$6=$E$6,$F$6,IF(P713&lt;($F$6-$E$6)/($G$6-$E$6),$E$6+SQRT(P713*($G$6-$E$6)*($F$6-$E$6)),$G$6-SQRT((1-P713)*($G$6-$E$6)*($G$6-$F$6))))</f>
        <v>0.961776076935939</v>
      </c>
      <c r="C713" s="51" t="n">
        <f aca="false">1+IF($G$7=$E$7,$F$7,IF(Q713&lt;($F$7-$E$7)/($G$7-$E$7),$E$7+SQRT(Q713*($G$7-$E$7)*($F$7-$E$7)),$G$7-SQRT((1-Q713)*($G$7-$E$7)*($G$7-$F$7))))</f>
        <v>0.978083086634609</v>
      </c>
      <c r="D713" s="51" t="n">
        <f aca="false">1+IF($G$8=$E$8,$F$8,IF(R713&lt;($F$8-$E$8)/($G$8-$E$8),$E$8+SQRT(R713*($G$8-$E$8)*($F$8-$E$8)),$G$8-SQRT((1-R713)*($G$8-$E$8)*($G$8-$F$8))))</f>
        <v>1.01668779928413</v>
      </c>
      <c r="E713" s="51" t="n">
        <f aca="false">1+IF($G$9=$E$9,$F$9,IF(S713&lt;($F$9-$E$9)/($G$9-$E$9),$E$9+SQRT(S713*($G$9-$E$9)*($F$9-$E$9)),$G$9-SQRT((1-S713)*($G$9-$E$9)*($G$9-$F$9))))</f>
        <v>0.990020535668786</v>
      </c>
      <c r="F713" s="51" t="n">
        <f aca="false">1+IF($G$10=$E$10,$F$10,IF(T713&lt;($F$10-$E$10)/($G$10-$E$10),$E$10+SQRT(T713*($G$10-$E$10)*($F$10-$E$10)),$G$10-SQRT((1-T713)*($G$10-$E$10)*($G$10-$F$10))))</f>
        <v>1.03667158778362</v>
      </c>
      <c r="G713" s="52" t="n">
        <f aca="false">IF($G$11=$E$11,$F$11,IF(U713&lt;($F$11-$E$11)/($G$11-$E$11),$E$11+SQRT(U713*($G$11-$E$11)*($F$11-$E$11)),$G$11-SQRT((1-U713)*($G$11-$E$11)*($G$11-$F$11))))</f>
        <v>0.107975057494841</v>
      </c>
      <c r="H713" s="53" t="n">
        <f aca="false">(('Business Case'!B11*$C713*'Business Case'!B12*$B713)-'Business Case'!B11*$C713*'Business Case'!B13*$D713-'Business Case'!B14*$E713)-MAX(0,(('Business Case'!B11*$C713*'Business Case'!B12*$B713)-'Business Case'!B11*$C713*'Business Case'!B13*$D713-'Business Case'!B14*$E713))*'Business Case'!$B$7-'Business Case'!$B$8*('Business Case'!B11*$C713*'Business Case'!B12*$B713)-'Business Case'!B15*$F713</f>
        <v>-2073343175.56724</v>
      </c>
      <c r="I713" s="53" t="n">
        <f aca="false">(('Business Case'!C11*$C713*'Business Case'!C12*$B713)-'Business Case'!C11*$C713*'Business Case'!C13*$D713-'Business Case'!C14*$E713)-MAX(0,(('Business Case'!C11*$C713*'Business Case'!C12*$B713)-'Business Case'!C11*$C713*'Business Case'!C13*$D713-'Business Case'!C14*$E713))*'Business Case'!$B$7-'Business Case'!$B$8*(('Business Case'!C11*$C713*'Business Case'!C12*$B713)-('Business Case'!B11*$C713*'Business Case'!B12*$B713))-'Business Case'!C15*$F713</f>
        <v>-31771183.9560486</v>
      </c>
      <c r="J713" s="53" t="n">
        <f aca="false">(('Business Case'!D11*$C713*'Business Case'!D12*$B713)-'Business Case'!D11*$C713*'Business Case'!D13*$D713-'Business Case'!D14*$E713)-MAX(0,(('Business Case'!D11*$C713*'Business Case'!D12*$B713)-'Business Case'!D11*$C713*'Business Case'!D13*$D713-'Business Case'!D14*$E713))*'Business Case'!$B$7-'Business Case'!$B$8*(('Business Case'!D11*$C713*'Business Case'!D12*$B713)-('Business Case'!C11*$C713*'Business Case'!C12*$B713))-'Business Case'!D15*$F713</f>
        <v>229671439.059132</v>
      </c>
      <c r="K713" s="53" t="n">
        <f aca="false">(('Business Case'!E11*$C713*'Business Case'!E12*$B713)-'Business Case'!E11*$C713*'Business Case'!E13*$D713-'Business Case'!E14*$E713)-MAX(0,(('Business Case'!E11*$C713*'Business Case'!E12*$B713)-'Business Case'!E11*$C713*'Business Case'!E13*$D713-'Business Case'!E14*$E713))*'Business Case'!$B$7-'Business Case'!$B$8*(('Business Case'!E11*$C713*'Business Case'!E12*$B713)-('Business Case'!D11*$C713*'Business Case'!D12*$B713))-'Business Case'!E15*$F713</f>
        <v>542947641.463494</v>
      </c>
      <c r="L713" s="53" t="n">
        <f aca="false">(('Business Case'!F11*$C713*'Business Case'!F12*$B713)-'Business Case'!F11*$C713*'Business Case'!F13*$D713-'Business Case'!F14*$E713)-MAX(0,(('Business Case'!F11*$C713*'Business Case'!F12*$B713)-'Business Case'!F11*$C713*'Business Case'!F13*$D713-'Business Case'!F14*$E713))*'Business Case'!$B$7-'Business Case'!$B$8*(('Business Case'!F11*$C713*'Business Case'!F12*$B713)-('Business Case'!E11*$C713*'Business Case'!E12*$B713))-'Business Case'!F15*$F713</f>
        <v>662605667.815732</v>
      </c>
      <c r="M713" s="53" t="n">
        <f aca="false">(('Business Case'!G11*$C713*'Business Case'!G12*$B713)-'Business Case'!G11*$C713*'Business Case'!G13*$D713-'Business Case'!G14*$E713)-MAX(0,(('Business Case'!G11*$C713*'Business Case'!G12*$B713)-'Business Case'!G11*$C713*'Business Case'!G13*$D713-'Business Case'!G14*$E713))*'Business Case'!$B$7-'Business Case'!$B$8*(('Business Case'!G11*$C713*'Business Case'!G12*$B713)-('Business Case'!F11*$C713*'Business Case'!F12*$B713))-'Business Case'!G15*$F713+'Business Case'!$B$8*('Business Case'!G11*$C713*'Business Case'!G12*$B713)</f>
        <v>841413337.225208</v>
      </c>
      <c r="N713" s="53" t="n">
        <f aca="false">IF(COUNT('Business Case'!B11:G11)=0,"",H713+NPV(G713,I713:M713))</f>
        <v>-572154396.963723</v>
      </c>
      <c r="P713" s="54" t="n">
        <f aca="true">RAND()</f>
        <v>0.181795896266407</v>
      </c>
      <c r="Q713" s="54" t="n">
        <f aca="true">RAND()</f>
        <v>0.453051224932995</v>
      </c>
      <c r="R713" s="54" t="n">
        <f aca="true">RAND()</f>
        <v>0.614573580818551</v>
      </c>
      <c r="S713" s="54" t="n">
        <f aca="true">RAND()</f>
        <v>0.213552436695547</v>
      </c>
      <c r="T713" s="54" t="n">
        <f aca="true">RAND()</f>
        <v>0.466476595257508</v>
      </c>
      <c r="U713" s="54" t="n">
        <f aca="true">RAND()</f>
        <v>0.759001262912693</v>
      </c>
    </row>
    <row r="714" customFormat="false" ht="15" hidden="false" customHeight="false" outlineLevel="0" collapsed="false">
      <c r="A714" s="50" t="n">
        <v>634</v>
      </c>
      <c r="B714" s="51" t="n">
        <f aca="false">1+IF($G$6=$E$6,$F$6,IF(P714&lt;($F$6-$E$6)/($G$6-$E$6),$E$6+SQRT(P714*($G$6-$E$6)*($F$6-$E$6)),$G$6-SQRT((1-P714)*($G$6-$E$6)*($G$6-$F$6))))</f>
        <v>1.01565303641767</v>
      </c>
      <c r="C714" s="51" t="n">
        <f aca="false">1+IF($G$7=$E$7,$F$7,IF(Q714&lt;($F$7-$E$7)/($G$7-$E$7),$E$7+SQRT(Q714*($G$7-$E$7)*($F$7-$E$7)),$G$7-SQRT((1-Q714)*($G$7-$E$7)*($G$7-$F$7))))</f>
        <v>0.984815546536339</v>
      </c>
      <c r="D714" s="51" t="n">
        <f aca="false">1+IF($G$8=$E$8,$F$8,IF(R714&lt;($F$8-$E$8)/($G$8-$E$8),$E$8+SQRT(R714*($G$8-$E$8)*($F$8-$E$8)),$G$8-SQRT((1-R714)*($G$8-$E$8)*($G$8-$F$8))))</f>
        <v>1.0488936910994</v>
      </c>
      <c r="E714" s="51" t="n">
        <f aca="false">1+IF($G$9=$E$9,$F$9,IF(S714&lt;($F$9-$E$9)/($G$9-$E$9),$E$9+SQRT(S714*($G$9-$E$9)*($F$9-$E$9)),$G$9-SQRT((1-S714)*($G$9-$E$9)*($G$9-$F$9))))</f>
        <v>1.032448656156</v>
      </c>
      <c r="F714" s="51" t="n">
        <f aca="false">1+IF($G$10=$E$10,$F$10,IF(T714&lt;($F$10-$E$10)/($G$10-$E$10),$E$10+SQRT(T714*($G$10-$E$10)*($F$10-$E$10)),$G$10-SQRT((1-T714)*($G$10-$E$10)*($G$10-$F$10))))</f>
        <v>0.98539693091719</v>
      </c>
      <c r="G714" s="52" t="n">
        <f aca="false">IF($G$11=$E$11,$F$11,IF(U714&lt;($F$11-$E$11)/($G$11-$E$11),$E$11+SQRT(U714*($G$11-$E$11)*($F$11-$E$11)),$G$11-SQRT((1-U714)*($G$11-$E$11)*($G$11-$F$11))))</f>
        <v>0.105245028936717</v>
      </c>
      <c r="H714" s="53" t="n">
        <f aca="false">(('Business Case'!B11*$C714*'Business Case'!B12*$B714)-'Business Case'!B11*$C714*'Business Case'!B13*$D714-'Business Case'!B14*$E714)-MAX(0,(('Business Case'!B11*$C714*'Business Case'!B12*$B714)-'Business Case'!B11*$C714*'Business Case'!B13*$D714-'Business Case'!B14*$E714))*'Business Case'!$B$7-'Business Case'!$B$8*('Business Case'!B11*$C714*'Business Case'!B12*$B714)-'Business Case'!B15*$F714</f>
        <v>-1970793861.83438</v>
      </c>
      <c r="I714" s="53" t="n">
        <f aca="false">(('Business Case'!C11*$C714*'Business Case'!C12*$B714)-'Business Case'!C11*$C714*'Business Case'!C13*$D714-'Business Case'!C14*$E714)-MAX(0,(('Business Case'!C11*$C714*'Business Case'!C12*$B714)-'Business Case'!C11*$C714*'Business Case'!C13*$D714-'Business Case'!C14*$E714))*'Business Case'!$B$7-'Business Case'!$B$8*(('Business Case'!C11*$C714*'Business Case'!C12*$B714)-('Business Case'!B11*$C714*'Business Case'!B12*$B714))-'Business Case'!C15*$F714</f>
        <v>-6741109.26057647</v>
      </c>
      <c r="J714" s="53" t="n">
        <f aca="false">(('Business Case'!D11*$C714*'Business Case'!D12*$B714)-'Business Case'!D11*$C714*'Business Case'!D13*$D714-'Business Case'!D14*$E714)-MAX(0,(('Business Case'!D11*$C714*'Business Case'!D12*$B714)-'Business Case'!D11*$C714*'Business Case'!D13*$D714-'Business Case'!D14*$E714))*'Business Case'!$B$7-'Business Case'!$B$8*(('Business Case'!D11*$C714*'Business Case'!D12*$B714)-('Business Case'!C11*$C714*'Business Case'!C12*$B714))-'Business Case'!D15*$F714</f>
        <v>283723643.339776</v>
      </c>
      <c r="K714" s="53" t="n">
        <f aca="false">(('Business Case'!E11*$C714*'Business Case'!E12*$B714)-'Business Case'!E11*$C714*'Business Case'!E13*$D714-'Business Case'!E14*$E714)-MAX(0,(('Business Case'!E11*$C714*'Business Case'!E12*$B714)-'Business Case'!E11*$C714*'Business Case'!E13*$D714-'Business Case'!E14*$E714))*'Business Case'!$B$7-'Business Case'!$B$8*(('Business Case'!E11*$C714*'Business Case'!E12*$B714)-('Business Case'!D11*$C714*'Business Case'!D12*$B714))-'Business Case'!E15*$F714</f>
        <v>623458242.485987</v>
      </c>
      <c r="L714" s="53" t="n">
        <f aca="false">(('Business Case'!F11*$C714*'Business Case'!F12*$B714)-'Business Case'!F11*$C714*'Business Case'!F13*$D714-'Business Case'!F14*$E714)-MAX(0,(('Business Case'!F11*$C714*'Business Case'!F12*$B714)-'Business Case'!F11*$C714*'Business Case'!F13*$D714-'Business Case'!F14*$E714))*'Business Case'!$B$7-'Business Case'!$B$8*(('Business Case'!F11*$C714*'Business Case'!F12*$B714)-('Business Case'!E11*$C714*'Business Case'!E12*$B714))-'Business Case'!F15*$F714</f>
        <v>754847806.595321</v>
      </c>
      <c r="M714" s="53" t="n">
        <f aca="false">(('Business Case'!G11*$C714*'Business Case'!G12*$B714)-'Business Case'!G11*$C714*'Business Case'!G13*$D714-'Business Case'!G14*$E714)-MAX(0,(('Business Case'!G11*$C714*'Business Case'!G12*$B714)-'Business Case'!G11*$C714*'Business Case'!G13*$D714-'Business Case'!G14*$E714))*'Business Case'!$B$7-'Business Case'!$B$8*(('Business Case'!G11*$C714*'Business Case'!G12*$B714)-('Business Case'!F11*$C714*'Business Case'!F12*$B714))-'Business Case'!G15*$F714+'Business Case'!$B$8*('Business Case'!G11*$C714*'Business Case'!G12*$B714)</f>
        <v>944971696.096017</v>
      </c>
      <c r="N714" s="53" t="n">
        <f aca="false">IF(COUNT('Business Case'!B11:G11)=0,"",H714+NPV(G714,I714:M714))</f>
        <v>-204038530.703585</v>
      </c>
      <c r="P714" s="54" t="n">
        <f aca="true">RAND()</f>
        <v>0.876505284233528</v>
      </c>
      <c r="Q714" s="54" t="n">
        <f aca="true">RAND()</f>
        <v>0.487954089164651</v>
      </c>
      <c r="R714" s="54" t="n">
        <f aca="true">RAND()</f>
        <v>0.906961302555833</v>
      </c>
      <c r="S714" s="54" t="n">
        <f aca="true">RAND()</f>
        <v>0.695787729658007</v>
      </c>
      <c r="T714" s="54" t="n">
        <f aca="true">RAND()</f>
        <v>0.100235417468505</v>
      </c>
      <c r="U714" s="54" t="n">
        <f aca="true">RAND()</f>
        <v>0.637151381536148</v>
      </c>
    </row>
    <row r="715" customFormat="false" ht="15" hidden="false" customHeight="false" outlineLevel="0" collapsed="false">
      <c r="A715" s="50" t="n">
        <v>635</v>
      </c>
      <c r="B715" s="51" t="n">
        <f aca="false">1+IF($G$6=$E$6,$F$6,IF(P715&lt;($F$6-$E$6)/($G$6-$E$6),$E$6+SQRT(P715*($G$6-$E$6)*($F$6-$E$6)),$G$6-SQRT((1-P715)*($G$6-$E$6)*($G$6-$F$6))))</f>
        <v>0.981554414865775</v>
      </c>
      <c r="C715" s="51" t="n">
        <f aca="false">1+IF($G$7=$E$7,$F$7,IF(Q715&lt;($F$7-$E$7)/($G$7-$E$7),$E$7+SQRT(Q715*($G$7-$E$7)*($F$7-$E$7)),$G$7-SQRT((1-Q715)*($G$7-$E$7)*($G$7-$F$7))))</f>
        <v>0.905550873551163</v>
      </c>
      <c r="D715" s="51" t="n">
        <f aca="false">1+IF($G$8=$E$8,$F$8,IF(R715&lt;($F$8-$E$8)/($G$8-$E$8),$E$8+SQRT(R715*($G$8-$E$8)*($F$8-$E$8)),$G$8-SQRT((1-R715)*($G$8-$E$8)*($G$8-$F$8))))</f>
        <v>1.04382191260069</v>
      </c>
      <c r="E715" s="51" t="n">
        <f aca="false">1+IF($G$9=$E$9,$F$9,IF(S715&lt;($F$9-$E$9)/($G$9-$E$9),$E$9+SQRT(S715*($G$9-$E$9)*($F$9-$E$9)),$G$9-SQRT((1-S715)*($G$9-$E$9)*($G$9-$F$9))))</f>
        <v>0.999715663365896</v>
      </c>
      <c r="F715" s="51" t="n">
        <f aca="false">1+IF($G$10=$E$10,$F$10,IF(T715&lt;($F$10-$E$10)/($G$10-$E$10),$E$10+SQRT(T715*($G$10-$E$10)*($F$10-$E$10)),$G$10-SQRT((1-T715)*($G$10-$E$10)*($G$10-$F$10))))</f>
        <v>1.00519858435836</v>
      </c>
      <c r="G715" s="52" t="n">
        <f aca="false">IF($G$11=$E$11,$F$11,IF(U715&lt;($F$11-$E$11)/($G$11-$E$11),$E$11+SQRT(U715*($G$11-$E$11)*($F$11-$E$11)),$G$11-SQRT((1-U715)*($G$11-$E$11)*($G$11-$F$11))))</f>
        <v>0.108712208271594</v>
      </c>
      <c r="H715" s="53" t="n">
        <f aca="false">(('Business Case'!B11*$C715*'Business Case'!B12*$B715)-'Business Case'!B11*$C715*'Business Case'!B13*$D715-'Business Case'!B14*$E715)-MAX(0,(('Business Case'!B11*$C715*'Business Case'!B12*$B715)-'Business Case'!B11*$C715*'Business Case'!B13*$D715-'Business Case'!B14*$E715))*'Business Case'!$B$7-'Business Case'!$B$8*('Business Case'!B11*$C715*'Business Case'!B12*$B715)-'Business Case'!B15*$F715</f>
        <v>-2010397168.71673</v>
      </c>
      <c r="I715" s="53" t="n">
        <f aca="false">(('Business Case'!C11*$C715*'Business Case'!C12*$B715)-'Business Case'!C11*$C715*'Business Case'!C13*$D715-'Business Case'!C14*$E715)-MAX(0,(('Business Case'!C11*$C715*'Business Case'!C12*$B715)-'Business Case'!C11*$C715*'Business Case'!C13*$D715-'Business Case'!C14*$E715))*'Business Case'!$B$7-'Business Case'!$B$8*(('Business Case'!C11*$C715*'Business Case'!C12*$B715)-('Business Case'!B11*$C715*'Business Case'!B12*$B715))-'Business Case'!C15*$F715</f>
        <v>-44611322.8321076</v>
      </c>
      <c r="J715" s="53" t="n">
        <f aca="false">(('Business Case'!D11*$C715*'Business Case'!D12*$B715)-'Business Case'!D11*$C715*'Business Case'!D13*$D715-'Business Case'!D14*$E715)-MAX(0,(('Business Case'!D11*$C715*'Business Case'!D12*$B715)-'Business Case'!D11*$C715*'Business Case'!D13*$D715-'Business Case'!D14*$E715))*'Business Case'!$B$7-'Business Case'!$B$8*(('Business Case'!D11*$C715*'Business Case'!D12*$B715)-('Business Case'!C11*$C715*'Business Case'!C12*$B715))-'Business Case'!D15*$F715</f>
        <v>199534632.315625</v>
      </c>
      <c r="K715" s="53" t="n">
        <f aca="false">(('Business Case'!E11*$C715*'Business Case'!E12*$B715)-'Business Case'!E11*$C715*'Business Case'!E13*$D715-'Business Case'!E14*$E715)-MAX(0,(('Business Case'!E11*$C715*'Business Case'!E12*$B715)-'Business Case'!E11*$C715*'Business Case'!E13*$D715-'Business Case'!E14*$E715))*'Business Case'!$B$7-'Business Case'!$B$8*(('Business Case'!E11*$C715*'Business Case'!E12*$B715)-('Business Case'!D11*$C715*'Business Case'!D12*$B715))-'Business Case'!E15*$F715</f>
        <v>493940516.681276</v>
      </c>
      <c r="L715" s="53" t="n">
        <f aca="false">(('Business Case'!F11*$C715*'Business Case'!F12*$B715)-'Business Case'!F11*$C715*'Business Case'!F13*$D715-'Business Case'!F14*$E715)-MAX(0,(('Business Case'!F11*$C715*'Business Case'!F12*$B715)-'Business Case'!F11*$C715*'Business Case'!F13*$D715-'Business Case'!F14*$E715))*'Business Case'!$B$7-'Business Case'!$B$8*(('Business Case'!F11*$C715*'Business Case'!F12*$B715)-('Business Case'!E11*$C715*'Business Case'!E12*$B715))-'Business Case'!F15*$F715</f>
        <v>606041069.872769</v>
      </c>
      <c r="M715" s="53" t="n">
        <f aca="false">(('Business Case'!G11*$C715*'Business Case'!G12*$B715)-'Business Case'!G11*$C715*'Business Case'!G13*$D715-'Business Case'!G14*$E715)-MAX(0,(('Business Case'!G11*$C715*'Business Case'!G12*$B715)-'Business Case'!G11*$C715*'Business Case'!G13*$D715-'Business Case'!G14*$E715))*'Business Case'!$B$7-'Business Case'!$B$8*(('Business Case'!G11*$C715*'Business Case'!G12*$B715)-('Business Case'!F11*$C715*'Business Case'!F12*$B715))-'Business Case'!G15*$F715+'Business Case'!$B$8*('Business Case'!G11*$C715*'Business Case'!G12*$B715)</f>
        <v>774993194.655138</v>
      </c>
      <c r="N715" s="53" t="n">
        <f aca="false">IF(COUNT('Business Case'!B11:G11)=0,"",H715+NPV(G715,I715:M715))</f>
        <v>-662211960.876201</v>
      </c>
      <c r="P715" s="54" t="n">
        <f aca="true">RAND()</f>
        <v>0.394681873902905</v>
      </c>
      <c r="Q715" s="54" t="n">
        <f aca="true">RAND()</f>
        <v>0.159156955820195</v>
      </c>
      <c r="R715" s="54" t="n">
        <f aca="true">RAND()</f>
        <v>0.874148653089232</v>
      </c>
      <c r="S715" s="54" t="n">
        <f aca="true">RAND()</f>
        <v>0.329552957854808</v>
      </c>
      <c r="T715" s="54" t="n">
        <f aca="true">RAND()</f>
        <v>0.241048169280295</v>
      </c>
      <c r="U715" s="54" t="n">
        <f aca="true">RAND()</f>
        <v>0.787642929826882</v>
      </c>
    </row>
    <row r="716" customFormat="false" ht="15" hidden="false" customHeight="false" outlineLevel="0" collapsed="false">
      <c r="A716" s="50" t="n">
        <v>636</v>
      </c>
      <c r="B716" s="51" t="n">
        <f aca="false">1+IF($G$6=$E$6,$F$6,IF(P716&lt;($F$6-$E$6)/($G$6-$E$6),$E$6+SQRT(P716*($G$6-$E$6)*($F$6-$E$6)),$G$6-SQRT((1-P716)*($G$6-$E$6)*($G$6-$F$6))))</f>
        <v>0.992189029556828</v>
      </c>
      <c r="C716" s="51" t="n">
        <f aca="false">1+IF($G$7=$E$7,$F$7,IF(Q716&lt;($F$7-$E$7)/($G$7-$E$7),$E$7+SQRT(Q716*($G$7-$E$7)*($F$7-$E$7)),$G$7-SQRT((1-Q716)*($G$7-$E$7)*($G$7-$F$7))))</f>
        <v>0.960091100985966</v>
      </c>
      <c r="D716" s="51" t="n">
        <f aca="false">1+IF($G$8=$E$8,$F$8,IF(R716&lt;($F$8-$E$8)/($G$8-$E$8),$E$8+SQRT(R716*($G$8-$E$8)*($F$8-$E$8)),$G$8-SQRT((1-R716)*($G$8-$E$8)*($G$8-$F$8))))</f>
        <v>1.00316299040543</v>
      </c>
      <c r="E716" s="51" t="n">
        <f aca="false">1+IF($G$9=$E$9,$F$9,IF(S716&lt;($F$9-$E$9)/($G$9-$E$9),$E$9+SQRT(S716*($G$9-$E$9)*($F$9-$E$9)),$G$9-SQRT((1-S716)*($G$9-$E$9)*($G$9-$F$9))))</f>
        <v>0.982995651616821</v>
      </c>
      <c r="F716" s="51" t="n">
        <f aca="false">1+IF($G$10=$E$10,$F$10,IF(T716&lt;($F$10-$E$10)/($G$10-$E$10),$E$10+SQRT(T716*($G$10-$E$10)*($F$10-$E$10)),$G$10-SQRT((1-T716)*($G$10-$E$10)*($G$10-$F$10))))</f>
        <v>1.04327100143258</v>
      </c>
      <c r="G716" s="52" t="n">
        <f aca="false">IF($G$11=$E$11,$F$11,IF(U716&lt;($F$11-$E$11)/($G$11-$E$11),$E$11+SQRT(U716*($G$11-$E$11)*($F$11-$E$11)),$G$11-SQRT((1-U716)*($G$11-$E$11)*($G$11-$F$11))))</f>
        <v>0.103343025954107</v>
      </c>
      <c r="H716" s="53" t="n">
        <f aca="false">(('Business Case'!B11*$C716*'Business Case'!B12*$B716)-'Business Case'!B11*$C716*'Business Case'!B13*$D716-'Business Case'!B14*$E716)-MAX(0,(('Business Case'!B11*$C716*'Business Case'!B12*$B716)-'Business Case'!B11*$C716*'Business Case'!B13*$D716-'Business Case'!B14*$E716))*'Business Case'!$B$7-'Business Case'!$B$8*('Business Case'!B11*$C716*'Business Case'!B12*$B716)-'Business Case'!B15*$F716</f>
        <v>-2086542002.86517</v>
      </c>
      <c r="I716" s="53" t="n">
        <f aca="false">(('Business Case'!C11*$C716*'Business Case'!C12*$B716)-'Business Case'!C11*$C716*'Business Case'!C13*$D716-'Business Case'!C14*$E716)-MAX(0,(('Business Case'!C11*$C716*'Business Case'!C12*$B716)-'Business Case'!C11*$C716*'Business Case'!C13*$D716-'Business Case'!C14*$E716))*'Business Case'!$B$7-'Business Case'!$B$8*(('Business Case'!C11*$C716*'Business Case'!C12*$B716)-('Business Case'!B11*$C716*'Business Case'!B12*$B716))-'Business Case'!C15*$F716</f>
        <v>-6294539.63364676</v>
      </c>
      <c r="J716" s="53" t="n">
        <f aca="false">(('Business Case'!D11*$C716*'Business Case'!D12*$B716)-'Business Case'!D11*$C716*'Business Case'!D13*$D716-'Business Case'!D14*$E716)-MAX(0,(('Business Case'!D11*$C716*'Business Case'!D12*$B716)-'Business Case'!D11*$C716*'Business Case'!D13*$D716-'Business Case'!D14*$E716))*'Business Case'!$B$7-'Business Case'!$B$8*(('Business Case'!D11*$C716*'Business Case'!D12*$B716)-('Business Case'!C11*$C716*'Business Case'!C12*$B716))-'Business Case'!D15*$F716</f>
        <v>280902364.442851</v>
      </c>
      <c r="K716" s="53" t="n">
        <f aca="false">(('Business Case'!E11*$C716*'Business Case'!E12*$B716)-'Business Case'!E11*$C716*'Business Case'!E13*$D716-'Business Case'!E14*$E716)-MAX(0,(('Business Case'!E11*$C716*'Business Case'!E12*$B716)-'Business Case'!E11*$C716*'Business Case'!E13*$D716-'Business Case'!E14*$E716))*'Business Case'!$B$7-'Business Case'!$B$8*(('Business Case'!E11*$C716*'Business Case'!E12*$B716)-('Business Case'!D11*$C716*'Business Case'!D12*$B716))-'Business Case'!E15*$F716</f>
        <v>620262818.590977</v>
      </c>
      <c r="L716" s="53" t="n">
        <f aca="false">(('Business Case'!F11*$C716*'Business Case'!F12*$B716)-'Business Case'!F11*$C716*'Business Case'!F13*$D716-'Business Case'!F14*$E716)-MAX(0,(('Business Case'!F11*$C716*'Business Case'!F12*$B716)-'Business Case'!F11*$C716*'Business Case'!F13*$D716-'Business Case'!F14*$E716))*'Business Case'!$B$7-'Business Case'!$B$8*(('Business Case'!F11*$C716*'Business Case'!F12*$B716)-('Business Case'!E11*$C716*'Business Case'!E12*$B716))-'Business Case'!F15*$F716</f>
        <v>748916694.554458</v>
      </c>
      <c r="M716" s="53" t="n">
        <f aca="false">(('Business Case'!G11*$C716*'Business Case'!G12*$B716)-'Business Case'!G11*$C716*'Business Case'!G13*$D716-'Business Case'!G14*$E716)-MAX(0,(('Business Case'!G11*$C716*'Business Case'!G12*$B716)-'Business Case'!G11*$C716*'Business Case'!G13*$D716-'Business Case'!G14*$E716))*'Business Case'!$B$7-'Business Case'!$B$8*(('Business Case'!G11*$C716*'Business Case'!G12*$B716)-('Business Case'!F11*$C716*'Business Case'!F12*$B716))-'Business Case'!G15*$F716+'Business Case'!$B$8*('Business Case'!G11*$C716*'Business Case'!G12*$B716)</f>
        <v>929985354.880029</v>
      </c>
      <c r="N716" s="53" t="n">
        <f aca="false">IF(COUNT('Business Case'!B11:G11)=0,"",H716+NPV(G716,I716:M716))</f>
        <v>-325609993.186222</v>
      </c>
      <c r="P716" s="54" t="n">
        <f aca="true">RAND()</f>
        <v>0.542839165453816</v>
      </c>
      <c r="Q716" s="54" t="n">
        <f aca="true">RAND()</f>
        <v>0.366130865927123</v>
      </c>
      <c r="R716" s="54" t="n">
        <f aca="true">RAND()</f>
        <v>0.432314803515737</v>
      </c>
      <c r="S716" s="54" t="n">
        <f aca="true">RAND()</f>
        <v>0.145161736749146</v>
      </c>
      <c r="T716" s="54" t="n">
        <f aca="true">RAND()</f>
        <v>0.508720420161097</v>
      </c>
      <c r="U716" s="54" t="n">
        <f aca="true">RAND()</f>
        <v>0.537575359390717</v>
      </c>
    </row>
    <row r="717" customFormat="false" ht="15" hidden="false" customHeight="false" outlineLevel="0" collapsed="false">
      <c r="A717" s="50" t="n">
        <v>637</v>
      </c>
      <c r="B717" s="51" t="n">
        <f aca="false">1+IF($G$6=$E$6,$F$6,IF(P717&lt;($F$6-$E$6)/($G$6-$E$6),$E$6+SQRT(P717*($G$6-$E$6)*($F$6-$E$6)),$G$6-SQRT((1-P717)*($G$6-$E$6)*($G$6-$F$6))))</f>
        <v>0.965789512795514</v>
      </c>
      <c r="C717" s="51" t="n">
        <f aca="false">1+IF($G$7=$E$7,$F$7,IF(Q717&lt;($F$7-$E$7)/($G$7-$E$7),$E$7+SQRT(Q717*($G$7-$E$7)*($F$7-$E$7)),$G$7-SQRT((1-Q717)*($G$7-$E$7)*($G$7-$F$7))))</f>
        <v>0.932740111999428</v>
      </c>
      <c r="D717" s="51" t="n">
        <f aca="false">1+IF($G$8=$E$8,$F$8,IF(R717&lt;($F$8-$E$8)/($G$8-$E$8),$E$8+SQRT(R717*($G$8-$E$8)*($F$8-$E$8)),$G$8-SQRT((1-R717)*($G$8-$E$8)*($G$8-$F$8))))</f>
        <v>1.03910077726032</v>
      </c>
      <c r="E717" s="51" t="n">
        <f aca="false">1+IF($G$9=$E$9,$F$9,IF(S717&lt;($F$9-$E$9)/($G$9-$E$9),$E$9+SQRT(S717*($G$9-$E$9)*($F$9-$E$9)),$G$9-SQRT((1-S717)*($G$9-$E$9)*($G$9-$F$9))))</f>
        <v>1.0491737736349</v>
      </c>
      <c r="F717" s="51" t="n">
        <f aca="false">1+IF($G$10=$E$10,$F$10,IF(T717&lt;($F$10-$E$10)/($G$10-$E$10),$E$10+SQRT(T717*($G$10-$E$10)*($F$10-$E$10)),$G$10-SQRT((1-T717)*($G$10-$E$10)*($G$10-$F$10))))</f>
        <v>1.00846630812349</v>
      </c>
      <c r="G717" s="52" t="n">
        <f aca="false">IF($G$11=$E$11,$F$11,IF(U717&lt;($F$11-$E$11)/($G$11-$E$11),$E$11+SQRT(U717*($G$11-$E$11)*($F$11-$E$11)),$G$11-SQRT((1-U717)*($G$11-$E$11)*($G$11-$F$11))))</f>
        <v>0.0945213338256182</v>
      </c>
      <c r="H717" s="53" t="n">
        <f aca="false">(('Business Case'!B11*$C717*'Business Case'!B12*$B717)-'Business Case'!B11*$C717*'Business Case'!B13*$D717-'Business Case'!B14*$E717)-MAX(0,(('Business Case'!B11*$C717*'Business Case'!B12*$B717)-'Business Case'!B11*$C717*'Business Case'!B13*$D717-'Business Case'!B14*$E717))*'Business Case'!$B$7-'Business Case'!$B$8*('Business Case'!B11*$C717*'Business Case'!B12*$B717)-'Business Case'!B15*$F717</f>
        <v>-2016932616.24698</v>
      </c>
      <c r="I717" s="53" t="n">
        <f aca="false">(('Business Case'!C11*$C717*'Business Case'!C12*$B717)-'Business Case'!C11*$C717*'Business Case'!C13*$D717-'Business Case'!C14*$E717)-MAX(0,(('Business Case'!C11*$C717*'Business Case'!C12*$B717)-'Business Case'!C11*$C717*'Business Case'!C13*$D717-'Business Case'!C14*$E717))*'Business Case'!$B$7-'Business Case'!$B$8*(('Business Case'!C11*$C717*'Business Case'!C12*$B717)-('Business Case'!B11*$C717*'Business Case'!B12*$B717))-'Business Case'!C15*$F717</f>
        <v>-55051546.9650881</v>
      </c>
      <c r="J717" s="53" t="n">
        <f aca="false">(('Business Case'!D11*$C717*'Business Case'!D12*$B717)-'Business Case'!D11*$C717*'Business Case'!D13*$D717-'Business Case'!D14*$E717)-MAX(0,(('Business Case'!D11*$C717*'Business Case'!D12*$B717)-'Business Case'!D11*$C717*'Business Case'!D13*$D717-'Business Case'!D14*$E717))*'Business Case'!$B$7-'Business Case'!$B$8*(('Business Case'!D11*$C717*'Business Case'!D12*$B717)-('Business Case'!C11*$C717*'Business Case'!C12*$B717))-'Business Case'!D15*$F717</f>
        <v>186635106.747426</v>
      </c>
      <c r="K717" s="53" t="n">
        <f aca="false">(('Business Case'!E11*$C717*'Business Case'!E12*$B717)-'Business Case'!E11*$C717*'Business Case'!E13*$D717-'Business Case'!E14*$E717)-MAX(0,(('Business Case'!E11*$C717*'Business Case'!E12*$B717)-'Business Case'!E11*$C717*'Business Case'!E13*$D717-'Business Case'!E14*$E717))*'Business Case'!$B$7-'Business Case'!$B$8*(('Business Case'!E11*$C717*'Business Case'!E12*$B717)-('Business Case'!D11*$C717*'Business Case'!D12*$B717))-'Business Case'!E15*$F717</f>
        <v>478745075.866115</v>
      </c>
      <c r="L717" s="53" t="n">
        <f aca="false">(('Business Case'!F11*$C717*'Business Case'!F12*$B717)-'Business Case'!F11*$C717*'Business Case'!F13*$D717-'Business Case'!F14*$E717)-MAX(0,(('Business Case'!F11*$C717*'Business Case'!F12*$B717)-'Business Case'!F11*$C717*'Business Case'!F13*$D717-'Business Case'!F14*$E717))*'Business Case'!$B$7-'Business Case'!$B$8*(('Business Case'!F11*$C717*'Business Case'!F12*$B717)-('Business Case'!E11*$C717*'Business Case'!E12*$B717))-'Business Case'!F15*$F717</f>
        <v>590439999.939866</v>
      </c>
      <c r="M717" s="53" t="n">
        <f aca="false">(('Business Case'!G11*$C717*'Business Case'!G12*$B717)-'Business Case'!G11*$C717*'Business Case'!G13*$D717-'Business Case'!G14*$E717)-MAX(0,(('Business Case'!G11*$C717*'Business Case'!G12*$B717)-'Business Case'!G11*$C717*'Business Case'!G13*$D717-'Business Case'!G14*$E717))*'Business Case'!$B$7-'Business Case'!$B$8*(('Business Case'!G11*$C717*'Business Case'!G12*$B717)-('Business Case'!F11*$C717*'Business Case'!F12*$B717))-'Business Case'!G15*$F717+'Business Case'!$B$8*('Business Case'!G11*$C717*'Business Case'!G12*$B717)</f>
        <v>761669883.872557</v>
      </c>
      <c r="N717" s="53" t="n">
        <f aca="false">IF(COUNT('Business Case'!B11:G11)=0,"",H717+NPV(G717,I717:M717))</f>
        <v>-650014972.670971</v>
      </c>
      <c r="P717" s="54" t="n">
        <f aca="true">RAND()</f>
        <v>0.218404112713595</v>
      </c>
      <c r="Q717" s="54" t="n">
        <f aca="true">RAND()</f>
        <v>0.251713390480294</v>
      </c>
      <c r="R717" s="54" t="n">
        <f aca="true">RAND()</f>
        <v>0.839158998008621</v>
      </c>
      <c r="S717" s="54" t="n">
        <f aca="true">RAND()</f>
        <v>0.827779647565581</v>
      </c>
      <c r="T717" s="54" t="n">
        <f aca="true">RAND()</f>
        <v>0.266296897523086</v>
      </c>
      <c r="U717" s="54" t="n">
        <f aca="true">RAND()</f>
        <v>0.0681415318755983</v>
      </c>
    </row>
    <row r="718" customFormat="false" ht="15" hidden="false" customHeight="false" outlineLevel="0" collapsed="false">
      <c r="A718" s="50" t="n">
        <v>638</v>
      </c>
      <c r="B718" s="51" t="n">
        <f aca="false">1+IF($G$6=$E$6,$F$6,IF(P718&lt;($F$6-$E$6)/($G$6-$E$6),$E$6+SQRT(P718*($G$6-$E$6)*($F$6-$E$6)),$G$6-SQRT((1-P718)*($G$6-$E$6)*($G$6-$F$6))))</f>
        <v>0.957252892873917</v>
      </c>
      <c r="C718" s="51" t="n">
        <f aca="false">1+IF($G$7=$E$7,$F$7,IF(Q718&lt;($F$7-$E$7)/($G$7-$E$7),$E$7+SQRT(Q718*($G$7-$E$7)*($F$7-$E$7)),$G$7-SQRT((1-Q718)*($G$7-$E$7)*($G$7-$F$7))))</f>
        <v>0.909163113947922</v>
      </c>
      <c r="D718" s="51" t="n">
        <f aca="false">1+IF($G$8=$E$8,$F$8,IF(R718&lt;($F$8-$E$8)/($G$8-$E$8),$E$8+SQRT(R718*($G$8-$E$8)*($F$8-$E$8)),$G$8-SQRT((1-R718)*($G$8-$E$8)*($G$8-$F$8))))</f>
        <v>1.0001971933108</v>
      </c>
      <c r="E718" s="51" t="n">
        <f aca="false">1+IF($G$9=$E$9,$F$9,IF(S718&lt;($F$9-$E$9)/($G$9-$E$9),$E$9+SQRT(S718*($G$9-$E$9)*($F$9-$E$9)),$G$9-SQRT((1-S718)*($G$9-$E$9)*($G$9-$F$9))))</f>
        <v>0.982060725454964</v>
      </c>
      <c r="F718" s="51" t="n">
        <f aca="false">1+IF($G$10=$E$10,$F$10,IF(T718&lt;($F$10-$E$10)/($G$10-$E$10),$E$10+SQRT(T718*($G$10-$E$10)*($F$10-$E$10)),$G$10-SQRT((1-T718)*($G$10-$E$10)*($G$10-$F$10))))</f>
        <v>1.07813523479884</v>
      </c>
      <c r="G718" s="52" t="n">
        <f aca="false">IF($G$11=$E$11,$F$11,IF(U718&lt;($F$11-$E$11)/($G$11-$E$11),$E$11+SQRT(U718*($G$11-$E$11)*($F$11-$E$11)),$G$11-SQRT((1-U718)*($G$11-$E$11)*($G$11-$F$11))))</f>
        <v>0.10645740760374</v>
      </c>
      <c r="H718" s="53" t="n">
        <f aca="false">(('Business Case'!B11*$C718*'Business Case'!B12*$B718)-'Business Case'!B11*$C718*'Business Case'!B13*$D718-'Business Case'!B14*$E718)-MAX(0,(('Business Case'!B11*$C718*'Business Case'!B12*$B718)-'Business Case'!B11*$C718*'Business Case'!B13*$D718-'Business Case'!B14*$E718))*'Business Case'!$B$7-'Business Case'!$B$8*('Business Case'!B11*$C718*'Business Case'!B12*$B718)-'Business Case'!B15*$F718</f>
        <v>-2156270469.59769</v>
      </c>
      <c r="I718" s="53" t="n">
        <f aca="false">(('Business Case'!C11*$C718*'Business Case'!C12*$B718)-'Business Case'!C11*$C718*'Business Case'!C13*$D718-'Business Case'!C14*$E718)-MAX(0,(('Business Case'!C11*$C718*'Business Case'!C12*$B718)-'Business Case'!C11*$C718*'Business Case'!C13*$D718-'Business Case'!C14*$E718))*'Business Case'!$B$7-'Business Case'!$B$8*(('Business Case'!C11*$C718*'Business Case'!C12*$B718)-('Business Case'!B11*$C718*'Business Case'!B12*$B718))-'Business Case'!C15*$F718</f>
        <v>-45251858.9830033</v>
      </c>
      <c r="J718" s="53" t="n">
        <f aca="false">(('Business Case'!D11*$C718*'Business Case'!D12*$B718)-'Business Case'!D11*$C718*'Business Case'!D13*$D718-'Business Case'!D14*$E718)-MAX(0,(('Business Case'!D11*$C718*'Business Case'!D12*$B718)-'Business Case'!D11*$C718*'Business Case'!D13*$D718-'Business Case'!D14*$E718))*'Business Case'!$B$7-'Business Case'!$B$8*(('Business Case'!D11*$C718*'Business Case'!D12*$B718)-('Business Case'!C11*$C718*'Business Case'!C12*$B718))-'Business Case'!D15*$F718</f>
        <v>202075141.918114</v>
      </c>
      <c r="K718" s="53" t="n">
        <f aca="false">(('Business Case'!E11*$C718*'Business Case'!E12*$B718)-'Business Case'!E11*$C718*'Business Case'!E13*$D718-'Business Case'!E14*$E718)-MAX(0,(('Business Case'!E11*$C718*'Business Case'!E12*$B718)-'Business Case'!E11*$C718*'Business Case'!E13*$D718-'Business Case'!E14*$E718))*'Business Case'!$B$7-'Business Case'!$B$8*(('Business Case'!E11*$C718*'Business Case'!E12*$B718)-('Business Case'!D11*$C718*'Business Case'!D12*$B718))-'Business Case'!E15*$F718</f>
        <v>503308904.559173</v>
      </c>
      <c r="L718" s="53" t="n">
        <f aca="false">(('Business Case'!F11*$C718*'Business Case'!F12*$B718)-'Business Case'!F11*$C718*'Business Case'!F13*$D718-'Business Case'!F14*$E718)-MAX(0,(('Business Case'!F11*$C718*'Business Case'!F12*$B718)-'Business Case'!F11*$C718*'Business Case'!F13*$D718-'Business Case'!F14*$E718))*'Business Case'!$B$7-'Business Case'!$B$8*(('Business Case'!F11*$C718*'Business Case'!F12*$B718)-('Business Case'!E11*$C718*'Business Case'!E12*$B718))-'Business Case'!F15*$F718</f>
        <v>615828772.355905</v>
      </c>
      <c r="M718" s="53" t="n">
        <f aca="false">(('Business Case'!G11*$C718*'Business Case'!G12*$B718)-'Business Case'!G11*$C718*'Business Case'!G13*$D718-'Business Case'!G14*$E718)-MAX(0,(('Business Case'!G11*$C718*'Business Case'!G12*$B718)-'Business Case'!G11*$C718*'Business Case'!G13*$D718-'Business Case'!G14*$E718))*'Business Case'!$B$7-'Business Case'!$B$8*(('Business Case'!G11*$C718*'Business Case'!G12*$B718)-('Business Case'!F11*$C718*'Business Case'!F12*$B718))-'Business Case'!G15*$F718+'Business Case'!$B$8*('Business Case'!G11*$C718*'Business Case'!G12*$B718)</f>
        <v>781255210.252551</v>
      </c>
      <c r="N718" s="53" t="n">
        <f aca="false">IF(COUNT('Business Case'!B11:G11)=0,"",H718+NPV(G718,I718:M718))</f>
        <v>-778553784.011477</v>
      </c>
      <c r="P718" s="54" t="n">
        <f aca="true">RAND()</f>
        <v>0.14456021119537</v>
      </c>
      <c r="Q718" s="54" t="n">
        <f aca="true">RAND()</f>
        <v>0.170236934954387</v>
      </c>
      <c r="R718" s="54" t="n">
        <f aca="true">RAND()</f>
        <v>0.387645388896775</v>
      </c>
      <c r="S718" s="54" t="n">
        <f aca="true">RAND()</f>
        <v>0.137052015559809</v>
      </c>
      <c r="T718" s="54" t="n">
        <f aca="true">RAND()</f>
        <v>0.702979580049343</v>
      </c>
      <c r="U718" s="54" t="n">
        <f aca="true">RAND()</f>
        <v>0.694330318647922</v>
      </c>
    </row>
    <row r="719" customFormat="false" ht="15" hidden="false" customHeight="false" outlineLevel="0" collapsed="false">
      <c r="A719" s="50" t="n">
        <v>639</v>
      </c>
      <c r="B719" s="51" t="n">
        <f aca="false">1+IF($G$6=$E$6,$F$6,IF(P719&lt;($F$6-$E$6)/($G$6-$E$6),$E$6+SQRT(P719*($G$6-$E$6)*($F$6-$E$6)),$G$6-SQRT((1-P719)*($G$6-$E$6)*($G$6-$F$6))))</f>
        <v>0.940899539225737</v>
      </c>
      <c r="C719" s="51" t="n">
        <f aca="false">1+IF($G$7=$E$7,$F$7,IF(Q719&lt;($F$7-$E$7)/($G$7-$E$7),$E$7+SQRT(Q719*($G$7-$E$7)*($F$7-$E$7)),$G$7-SQRT((1-Q719)*($G$7-$E$7)*($G$7-$F$7))))</f>
        <v>0.99622998651507</v>
      </c>
      <c r="D719" s="51" t="n">
        <f aca="false">1+IF($G$8=$E$8,$F$8,IF(R719&lt;($F$8-$E$8)/($G$8-$E$8),$E$8+SQRT(R719*($G$8-$E$8)*($F$8-$E$8)),$G$8-SQRT((1-R719)*($G$8-$E$8)*($G$8-$F$8))))</f>
        <v>0.982556435145597</v>
      </c>
      <c r="E719" s="51" t="n">
        <f aca="false">1+IF($G$9=$E$9,$F$9,IF(S719&lt;($F$9-$E$9)/($G$9-$E$9),$E$9+SQRT(S719*($G$9-$E$9)*($F$9-$E$9)),$G$9-SQRT((1-S719)*($G$9-$E$9)*($G$9-$F$9))))</f>
        <v>1.03053446179807</v>
      </c>
      <c r="F719" s="51" t="n">
        <f aca="false">1+IF($G$10=$E$10,$F$10,IF(T719&lt;($F$10-$E$10)/($G$10-$E$10),$E$10+SQRT(T719*($G$10-$E$10)*($F$10-$E$10)),$G$10-SQRT((1-T719)*($G$10-$E$10)*($G$10-$F$10))))</f>
        <v>1.06601671665637</v>
      </c>
      <c r="G719" s="52" t="n">
        <f aca="false">IF($G$11=$E$11,$F$11,IF(U719&lt;($F$11-$E$11)/($G$11-$E$11),$E$11+SQRT(U719*($G$11-$E$11)*($F$11-$E$11)),$G$11-SQRT((1-U719)*($G$11-$E$11)*($G$11-$F$11))))</f>
        <v>0.0999608761221943</v>
      </c>
      <c r="H719" s="53" t="n">
        <f aca="false">(('Business Case'!B11*$C719*'Business Case'!B12*$B719)-'Business Case'!B11*$C719*'Business Case'!B13*$D719-'Business Case'!B14*$E719)-MAX(0,(('Business Case'!B11*$C719*'Business Case'!B12*$B719)-'Business Case'!B11*$C719*'Business Case'!B13*$D719-'Business Case'!B14*$E719))*'Business Case'!$B$7-'Business Case'!$B$8*('Business Case'!B11*$C719*'Business Case'!B12*$B719)-'Business Case'!B15*$F719</f>
        <v>-2132033433.31274</v>
      </c>
      <c r="I719" s="53" t="n">
        <f aca="false">(('Business Case'!C11*$C719*'Business Case'!C12*$B719)-'Business Case'!C11*$C719*'Business Case'!C13*$D719-'Business Case'!C14*$E719)-MAX(0,(('Business Case'!C11*$C719*'Business Case'!C12*$B719)-'Business Case'!C11*$C719*'Business Case'!C13*$D719-'Business Case'!C14*$E719))*'Business Case'!$B$7-'Business Case'!$B$8*(('Business Case'!C11*$C719*'Business Case'!C12*$B719)-('Business Case'!B11*$C719*'Business Case'!B12*$B719))-'Business Case'!C15*$F719</f>
        <v>-35070975.3382877</v>
      </c>
      <c r="J719" s="53" t="n">
        <f aca="false">(('Business Case'!D11*$C719*'Business Case'!D12*$B719)-'Business Case'!D11*$C719*'Business Case'!D13*$D719-'Business Case'!D14*$E719)-MAX(0,(('Business Case'!D11*$C719*'Business Case'!D12*$B719)-'Business Case'!D11*$C719*'Business Case'!D13*$D719-'Business Case'!D14*$E719))*'Business Case'!$B$7-'Business Case'!$B$8*(('Business Case'!D11*$C719*'Business Case'!D12*$B719)-('Business Case'!C11*$C719*'Business Case'!C12*$B719))-'Business Case'!D15*$F719</f>
        <v>231594066.517397</v>
      </c>
      <c r="K719" s="53" t="n">
        <f aca="false">(('Business Case'!E11*$C719*'Business Case'!E12*$B719)-'Business Case'!E11*$C719*'Business Case'!E13*$D719-'Business Case'!E14*$E719)-MAX(0,(('Business Case'!E11*$C719*'Business Case'!E12*$B719)-'Business Case'!E11*$C719*'Business Case'!E13*$D719-'Business Case'!E14*$E719))*'Business Case'!$B$7-'Business Case'!$B$8*(('Business Case'!E11*$C719*'Business Case'!E12*$B719)-('Business Case'!D11*$C719*'Business Case'!D12*$B719))-'Business Case'!E15*$F719</f>
        <v>551559944.205901</v>
      </c>
      <c r="L719" s="53" t="n">
        <f aca="false">(('Business Case'!F11*$C719*'Business Case'!F12*$B719)-'Business Case'!F11*$C719*'Business Case'!F13*$D719-'Business Case'!F14*$E719)-MAX(0,(('Business Case'!F11*$C719*'Business Case'!F12*$B719)-'Business Case'!F11*$C719*'Business Case'!F13*$D719-'Business Case'!F14*$E719))*'Business Case'!$B$7-'Business Case'!$B$8*(('Business Case'!F11*$C719*'Business Case'!F12*$B719)-('Business Case'!E11*$C719*'Business Case'!E12*$B719))-'Business Case'!F15*$F719</f>
        <v>672843188.198229</v>
      </c>
      <c r="M719" s="53" t="n">
        <f aca="false">(('Business Case'!G11*$C719*'Business Case'!G12*$B719)-'Business Case'!G11*$C719*'Business Case'!G13*$D719-'Business Case'!G14*$E719)-MAX(0,(('Business Case'!G11*$C719*'Business Case'!G12*$B719)-'Business Case'!G11*$C719*'Business Case'!G13*$D719-'Business Case'!G14*$E719))*'Business Case'!$B$7-'Business Case'!$B$8*(('Business Case'!G11*$C719*'Business Case'!G12*$B719)-('Business Case'!F11*$C719*'Business Case'!F12*$B719))-'Business Case'!G15*$F719+'Business Case'!$B$8*('Business Case'!G11*$C719*'Business Case'!G12*$B719)</f>
        <v>851015120.087281</v>
      </c>
      <c r="N719" s="53" t="n">
        <f aca="false">IF(COUNT('Business Case'!B11:G11)=0,"",H719+NPV(G719,I719:M719))</f>
        <v>-569930478.996524</v>
      </c>
      <c r="P719" s="54" t="n">
        <f aca="true">RAND()</f>
        <v>0.0454990354008444</v>
      </c>
      <c r="Q719" s="54" t="n">
        <f aca="true">RAND()</f>
        <v>0.550088680110066</v>
      </c>
      <c r="R719" s="54" t="n">
        <f aca="true">RAND()</f>
        <v>0.163064841444536</v>
      </c>
      <c r="S719" s="54" t="n">
        <f aca="true">RAND()</f>
        <v>0.678302600154405</v>
      </c>
      <c r="T719" s="54" t="n">
        <f aca="true">RAND()</f>
        <v>0.640969595689212</v>
      </c>
      <c r="U719" s="54" t="n">
        <f aca="true">RAND()</f>
        <v>0.330730177072335</v>
      </c>
    </row>
    <row r="720" customFormat="false" ht="15" hidden="false" customHeight="false" outlineLevel="0" collapsed="false">
      <c r="A720" s="50" t="n">
        <v>640</v>
      </c>
      <c r="B720" s="51" t="n">
        <f aca="false">1+IF($G$6=$E$6,$F$6,IF(P720&lt;($F$6-$E$6)/($G$6-$E$6),$E$6+SQRT(P720*($G$6-$E$6)*($F$6-$E$6)),$G$6-SQRT((1-P720)*($G$6-$E$6)*($G$6-$F$6))))</f>
        <v>0.956160403229038</v>
      </c>
      <c r="C720" s="51" t="n">
        <f aca="false">1+IF($G$7=$E$7,$F$7,IF(Q720&lt;($F$7-$E$7)/($G$7-$E$7),$E$7+SQRT(Q720*($G$7-$E$7)*($F$7-$E$7)),$G$7-SQRT((1-Q720)*($G$7-$E$7)*($G$7-$F$7))))</f>
        <v>0.892877345234233</v>
      </c>
      <c r="D720" s="51" t="n">
        <f aca="false">1+IF($G$8=$E$8,$F$8,IF(R720&lt;($F$8-$E$8)/($G$8-$E$8),$E$8+SQRT(R720*($G$8-$E$8)*($F$8-$E$8)),$G$8-SQRT((1-R720)*($G$8-$E$8)*($G$8-$F$8))))</f>
        <v>1.04638769863188</v>
      </c>
      <c r="E720" s="51" t="n">
        <f aca="false">1+IF($G$9=$E$9,$F$9,IF(S720&lt;($F$9-$E$9)/($G$9-$E$9),$E$9+SQRT(S720*($G$9-$E$9)*($F$9-$E$9)),$G$9-SQRT((1-S720)*($G$9-$E$9)*($G$9-$F$9))))</f>
        <v>0.982023335917399</v>
      </c>
      <c r="F720" s="51" t="n">
        <f aca="false">1+IF($G$10=$E$10,$F$10,IF(T720&lt;($F$10-$E$10)/($G$10-$E$10),$E$10+SQRT(T720*($G$10-$E$10)*($F$10-$E$10)),$G$10-SQRT((1-T720)*($G$10-$E$10)*($G$10-$F$10))))</f>
        <v>0.966907079581355</v>
      </c>
      <c r="G720" s="52" t="n">
        <f aca="false">IF($G$11=$E$11,$F$11,IF(U720&lt;($F$11-$E$11)/($G$11-$E$11),$E$11+SQRT(U720*($G$11-$E$11)*($F$11-$E$11)),$G$11-SQRT((1-U720)*($G$11-$E$11)*($G$11-$F$11))))</f>
        <v>0.10555367534509</v>
      </c>
      <c r="H720" s="53" t="n">
        <f aca="false">(('Business Case'!B11*$C720*'Business Case'!B12*$B720)-'Business Case'!B11*$C720*'Business Case'!B13*$D720-'Business Case'!B14*$E720)-MAX(0,(('Business Case'!B11*$C720*'Business Case'!B12*$B720)-'Business Case'!B11*$C720*'Business Case'!B13*$D720-'Business Case'!B14*$E720))*'Business Case'!$B$7-'Business Case'!$B$8*('Business Case'!B11*$C720*'Business Case'!B12*$B720)-'Business Case'!B15*$F720</f>
        <v>-1933814159.16271</v>
      </c>
      <c r="I720" s="53" t="n">
        <f aca="false">(('Business Case'!C11*$C720*'Business Case'!C12*$B720)-'Business Case'!C11*$C720*'Business Case'!C13*$D720-'Business Case'!C14*$E720)-MAX(0,(('Business Case'!C11*$C720*'Business Case'!C12*$B720)-'Business Case'!C11*$C720*'Business Case'!C13*$D720-'Business Case'!C14*$E720))*'Business Case'!$B$7-'Business Case'!$B$8*(('Business Case'!C11*$C720*'Business Case'!C12*$B720)-('Business Case'!B11*$C720*'Business Case'!B12*$B720))-'Business Case'!C15*$F720</f>
        <v>-59607152.8404107</v>
      </c>
      <c r="J720" s="53" t="n">
        <f aca="false">(('Business Case'!D11*$C720*'Business Case'!D12*$B720)-'Business Case'!D11*$C720*'Business Case'!D13*$D720-'Business Case'!D14*$E720)-MAX(0,(('Business Case'!D11*$C720*'Business Case'!D12*$B720)-'Business Case'!D11*$C720*'Business Case'!D13*$D720-'Business Case'!D14*$E720))*'Business Case'!$B$7-'Business Case'!$B$8*(('Business Case'!D11*$C720*'Business Case'!D12*$B720)-('Business Case'!C11*$C720*'Business Case'!C12*$B720))-'Business Case'!D15*$F720</f>
        <v>161377689.258344</v>
      </c>
      <c r="K720" s="53" t="n">
        <f aca="false">(('Business Case'!E11*$C720*'Business Case'!E12*$B720)-'Business Case'!E11*$C720*'Business Case'!E13*$D720-'Business Case'!E14*$E720)-MAX(0,(('Business Case'!E11*$C720*'Business Case'!E12*$B720)-'Business Case'!E11*$C720*'Business Case'!E13*$D720-'Business Case'!E14*$E720))*'Business Case'!$B$7-'Business Case'!$B$8*(('Business Case'!E11*$C720*'Business Case'!E12*$B720)-('Business Case'!D11*$C720*'Business Case'!D12*$B720))-'Business Case'!E15*$F720</f>
        <v>430707885.336166</v>
      </c>
      <c r="L720" s="53" t="n">
        <f aca="false">(('Business Case'!F11*$C720*'Business Case'!F12*$B720)-'Business Case'!F11*$C720*'Business Case'!F13*$D720-'Business Case'!F14*$E720)-MAX(0,(('Business Case'!F11*$C720*'Business Case'!F12*$B720)-'Business Case'!F11*$C720*'Business Case'!F13*$D720-'Business Case'!F14*$E720))*'Business Case'!$B$7-'Business Case'!$B$8*(('Business Case'!F11*$C720*'Business Case'!F12*$B720)-('Business Case'!E11*$C720*'Business Case'!E12*$B720))-'Business Case'!F15*$F720</f>
        <v>533874545.111468</v>
      </c>
      <c r="M720" s="53" t="n">
        <f aca="false">(('Business Case'!G11*$C720*'Business Case'!G12*$B720)-'Business Case'!G11*$C720*'Business Case'!G13*$D720-'Business Case'!G14*$E720)-MAX(0,(('Business Case'!G11*$C720*'Business Case'!G12*$B720)-'Business Case'!G11*$C720*'Business Case'!G13*$D720-'Business Case'!G14*$E720))*'Business Case'!$B$7-'Business Case'!$B$8*(('Business Case'!G11*$C720*'Business Case'!G12*$B720)-('Business Case'!F11*$C720*'Business Case'!F12*$B720))-'Business Case'!G15*$F720+'Business Case'!$B$8*('Business Case'!G11*$C720*'Business Case'!G12*$B720)</f>
        <v>696152296.69458</v>
      </c>
      <c r="N720" s="53" t="n">
        <f aca="false">IF(COUNT('Business Case'!B11:G11)=0,"",H720+NPV(G720,I720:M720))</f>
        <v>-758073133.113855</v>
      </c>
      <c r="P720" s="54" t="n">
        <f aca="true">RAND()</f>
        <v>0.136205704342357</v>
      </c>
      <c r="Q720" s="54" t="n">
        <f aca="true">RAND()</f>
        <v>0.123231446539412</v>
      </c>
      <c r="R720" s="54" t="n">
        <f aca="true">RAND()</f>
        <v>0.891366653532569</v>
      </c>
      <c r="S720" s="54" t="n">
        <f aca="true">RAND()</f>
        <v>0.13673253910381</v>
      </c>
      <c r="T720" s="54" t="n">
        <f aca="true">RAND()</f>
        <v>0.0228679471976211</v>
      </c>
      <c r="U720" s="54" t="n">
        <f aca="true">RAND()</f>
        <v>0.652172839941574</v>
      </c>
    </row>
    <row r="721" customFormat="false" ht="15" hidden="false" customHeight="false" outlineLevel="0" collapsed="false">
      <c r="A721" s="50" t="n">
        <v>641</v>
      </c>
      <c r="B721" s="51" t="n">
        <f aca="false">1+IF($G$6=$E$6,$F$6,IF(P721&lt;($F$6-$E$6)/($G$6-$E$6),$E$6+SQRT(P721*($G$6-$E$6)*($F$6-$E$6)),$G$6-SQRT((1-P721)*($G$6-$E$6)*($G$6-$F$6))))</f>
        <v>1.0170319714498</v>
      </c>
      <c r="C721" s="51" t="n">
        <f aca="false">1+IF($G$7=$E$7,$F$7,IF(Q721&lt;($F$7-$E$7)/($G$7-$E$7),$E$7+SQRT(Q721*($G$7-$E$7)*($F$7-$E$7)),$G$7-SQRT((1-Q721)*($G$7-$E$7)*($G$7-$F$7))))</f>
        <v>0.935000773322349</v>
      </c>
      <c r="D721" s="51" t="n">
        <f aca="false">1+IF($G$8=$E$8,$F$8,IF(R721&lt;($F$8-$E$8)/($G$8-$E$8),$E$8+SQRT(R721*($G$8-$E$8)*($F$8-$E$8)),$G$8-SQRT((1-R721)*($G$8-$E$8)*($G$8-$F$8))))</f>
        <v>1.00689452835594</v>
      </c>
      <c r="E721" s="51" t="n">
        <f aca="false">1+IF($G$9=$E$9,$F$9,IF(S721&lt;($F$9-$E$9)/($G$9-$E$9),$E$9+SQRT(S721*($G$9-$E$9)*($F$9-$E$9)),$G$9-SQRT((1-S721)*($G$9-$E$9)*($G$9-$F$9))))</f>
        <v>0.980828476257361</v>
      </c>
      <c r="F721" s="51" t="n">
        <f aca="false">1+IF($G$10=$E$10,$F$10,IF(T721&lt;($F$10-$E$10)/($G$10-$E$10),$E$10+SQRT(T721*($G$10-$E$10)*($F$10-$E$10)),$G$10-SQRT((1-T721)*($G$10-$E$10)*($G$10-$F$10))))</f>
        <v>1.0526321542444</v>
      </c>
      <c r="G721" s="52" t="n">
        <f aca="false">IF($G$11=$E$11,$F$11,IF(U721&lt;($F$11-$E$11)/($G$11-$E$11),$E$11+SQRT(U721*($G$11-$E$11)*($F$11-$E$11)),$G$11-SQRT((1-U721)*($G$11-$E$11)*($G$11-$F$11))))</f>
        <v>0.117475346563245</v>
      </c>
      <c r="H721" s="53" t="n">
        <f aca="false">(('Business Case'!B11*$C721*'Business Case'!B12*$B721)-'Business Case'!B11*$C721*'Business Case'!B13*$D721-'Business Case'!B14*$E721)-MAX(0,(('Business Case'!B11*$C721*'Business Case'!B12*$B721)-'Business Case'!B11*$C721*'Business Case'!B13*$D721-'Business Case'!B14*$E721))*'Business Case'!$B$7-'Business Case'!$B$8*('Business Case'!B11*$C721*'Business Case'!B12*$B721)-'Business Case'!B15*$F721</f>
        <v>-2105264308.48881</v>
      </c>
      <c r="I721" s="53" t="n">
        <f aca="false">(('Business Case'!C11*$C721*'Business Case'!C12*$B721)-'Business Case'!C11*$C721*'Business Case'!C13*$D721-'Business Case'!C14*$E721)-MAX(0,(('Business Case'!C11*$C721*'Business Case'!C12*$B721)-'Business Case'!C11*$C721*'Business Case'!C13*$D721-'Business Case'!C14*$E721))*'Business Case'!$B$7-'Business Case'!$B$8*(('Business Case'!C11*$C721*'Business Case'!C12*$B721)-('Business Case'!B11*$C721*'Business Case'!B12*$B721))-'Business Case'!C15*$F721</f>
        <v>2897954.90298642</v>
      </c>
      <c r="J721" s="53" t="n">
        <f aca="false">(('Business Case'!D11*$C721*'Business Case'!D12*$B721)-'Business Case'!D11*$C721*'Business Case'!D13*$D721-'Business Case'!D14*$E721)-MAX(0,(('Business Case'!D11*$C721*'Business Case'!D12*$B721)-'Business Case'!D11*$C721*'Business Case'!D13*$D721-'Business Case'!D14*$E721))*'Business Case'!$B$7-'Business Case'!$B$8*(('Business Case'!D11*$C721*'Business Case'!D12*$B721)-('Business Case'!C11*$C721*'Business Case'!C12*$B721))-'Business Case'!D15*$F721</f>
        <v>299828921.794996</v>
      </c>
      <c r="K721" s="53" t="n">
        <f aca="false">(('Business Case'!E11*$C721*'Business Case'!E12*$B721)-'Business Case'!E11*$C721*'Business Case'!E13*$D721-'Business Case'!E14*$E721)-MAX(0,(('Business Case'!E11*$C721*'Business Case'!E12*$B721)-'Business Case'!E11*$C721*'Business Case'!E13*$D721-'Business Case'!E14*$E721))*'Business Case'!$B$7-'Business Case'!$B$8*(('Business Case'!E11*$C721*'Business Case'!E12*$B721)-('Business Case'!D11*$C721*'Business Case'!D12*$B721))-'Business Case'!E15*$F721</f>
        <v>649391496.399227</v>
      </c>
      <c r="L721" s="53" t="n">
        <f aca="false">(('Business Case'!F11*$C721*'Business Case'!F12*$B721)-'Business Case'!F11*$C721*'Business Case'!F13*$D721-'Business Case'!F14*$E721)-MAX(0,(('Business Case'!F11*$C721*'Business Case'!F12*$B721)-'Business Case'!F11*$C721*'Business Case'!F13*$D721-'Business Case'!F14*$E721))*'Business Case'!$B$7-'Business Case'!$B$8*(('Business Case'!F11*$C721*'Business Case'!F12*$B721)-('Business Case'!E11*$C721*'Business Case'!E12*$B721))-'Business Case'!F15*$F721</f>
        <v>781232476.857087</v>
      </c>
      <c r="M721" s="53" t="n">
        <f aca="false">(('Business Case'!G11*$C721*'Business Case'!G12*$B721)-'Business Case'!G11*$C721*'Business Case'!G13*$D721-'Business Case'!G14*$E721)-MAX(0,(('Business Case'!G11*$C721*'Business Case'!G12*$B721)-'Business Case'!G11*$C721*'Business Case'!G13*$D721-'Business Case'!G14*$E721))*'Business Case'!$B$7-'Business Case'!$B$8*(('Business Case'!G11*$C721*'Business Case'!G12*$B721)-('Business Case'!F11*$C721*'Business Case'!F12*$B721))-'Business Case'!G15*$F721+'Business Case'!$B$8*('Business Case'!G11*$C721*'Business Case'!G12*$B721)</f>
        <v>961984430.073303</v>
      </c>
      <c r="N721" s="53" t="n">
        <f aca="false">IF(COUNT('Business Case'!B11:G11)=0,"",H721+NPV(G721,I721:M721))</f>
        <v>-344164840.781355</v>
      </c>
      <c r="P721" s="54" t="n">
        <f aca="true">RAND()</f>
        <v>0.890097846774416</v>
      </c>
      <c r="Q721" s="54" t="n">
        <f aca="true">RAND()</f>
        <v>0.260360125680459</v>
      </c>
      <c r="R721" s="54" t="n">
        <f aca="true">RAND()</f>
        <v>0.486114424586496</v>
      </c>
      <c r="S721" s="54" t="n">
        <f aca="true">RAND()</f>
        <v>0.126719326446755</v>
      </c>
      <c r="T721" s="54" t="n">
        <f aca="true">RAND()</f>
        <v>0.5656543607471</v>
      </c>
      <c r="U721" s="54" t="n">
        <f aca="true">RAND()</f>
        <v>0.989376875040466</v>
      </c>
    </row>
    <row r="722" customFormat="false" ht="15" hidden="false" customHeight="false" outlineLevel="0" collapsed="false">
      <c r="A722" s="50" t="n">
        <v>642</v>
      </c>
      <c r="B722" s="51" t="n">
        <f aca="false">1+IF($G$6=$E$6,$F$6,IF(P722&lt;($F$6-$E$6)/($G$6-$E$6),$E$6+SQRT(P722*($G$6-$E$6)*($F$6-$E$6)),$G$6-SQRT((1-P722)*($G$6-$E$6)*($G$6-$F$6))))</f>
        <v>0.9611706564099</v>
      </c>
      <c r="C722" s="51" t="n">
        <f aca="false">1+IF($G$7=$E$7,$F$7,IF(Q722&lt;($F$7-$E$7)/($G$7-$E$7),$E$7+SQRT(Q722*($G$7-$E$7)*($F$7-$E$7)),$G$7-SQRT((1-Q722)*($G$7-$E$7)*($G$7-$F$7))))</f>
        <v>0.966893439368643</v>
      </c>
      <c r="D722" s="51" t="n">
        <f aca="false">1+IF($G$8=$E$8,$F$8,IF(R722&lt;($F$8-$E$8)/($G$8-$E$8),$E$8+SQRT(R722*($G$8-$E$8)*($F$8-$E$8)),$G$8-SQRT((1-R722)*($G$8-$E$8)*($G$8-$F$8))))</f>
        <v>1.02976983915411</v>
      </c>
      <c r="E722" s="51" t="n">
        <f aca="false">1+IF($G$9=$E$9,$F$9,IF(S722&lt;($F$9-$E$9)/($G$9-$E$9),$E$9+SQRT(S722*($G$9-$E$9)*($F$9-$E$9)),$G$9-SQRT((1-S722)*($G$9-$E$9)*($G$9-$F$9))))</f>
        <v>1.00174643998421</v>
      </c>
      <c r="F722" s="51" t="n">
        <f aca="false">1+IF($G$10=$E$10,$F$10,IF(T722&lt;($F$10-$E$10)/($G$10-$E$10),$E$10+SQRT(T722*($G$10-$E$10)*($F$10-$E$10)),$G$10-SQRT((1-T722)*($G$10-$E$10)*($G$10-$F$10))))</f>
        <v>1.04112977180415</v>
      </c>
      <c r="G722" s="52" t="n">
        <f aca="false">IF($G$11=$E$11,$F$11,IF(U722&lt;($F$11-$E$11)/($G$11-$E$11),$E$11+SQRT(U722*($G$11-$E$11)*($F$11-$E$11)),$G$11-SQRT((1-U722)*($G$11-$E$11)*($G$11-$F$11))))</f>
        <v>0.0919092092819282</v>
      </c>
      <c r="H722" s="53" t="n">
        <f aca="false">(('Business Case'!B11*$C722*'Business Case'!B12*$B722)-'Business Case'!B11*$C722*'Business Case'!B13*$D722-'Business Case'!B14*$E722)-MAX(0,(('Business Case'!B11*$C722*'Business Case'!B12*$B722)-'Business Case'!B11*$C722*'Business Case'!B13*$D722-'Business Case'!B14*$E722))*'Business Case'!$B$7-'Business Case'!$B$8*('Business Case'!B11*$C722*'Business Case'!B12*$B722)-'Business Case'!B15*$F722</f>
        <v>-2082259543.60829</v>
      </c>
      <c r="I722" s="53" t="n">
        <f aca="false">(('Business Case'!C11*$C722*'Business Case'!C12*$B722)-'Business Case'!C11*$C722*'Business Case'!C13*$D722-'Business Case'!C14*$E722)-MAX(0,(('Business Case'!C11*$C722*'Business Case'!C12*$B722)-'Business Case'!C11*$C722*'Business Case'!C13*$D722-'Business Case'!C14*$E722))*'Business Case'!$B$7-'Business Case'!$B$8*(('Business Case'!C11*$C722*'Business Case'!C12*$B722)-('Business Case'!B11*$C722*'Business Case'!B12*$B722))-'Business Case'!C15*$F722</f>
        <v>-43241896.2319629</v>
      </c>
      <c r="J722" s="53" t="n">
        <f aca="false">(('Business Case'!D11*$C722*'Business Case'!D12*$B722)-'Business Case'!D11*$C722*'Business Case'!D13*$D722-'Business Case'!D14*$E722)-MAX(0,(('Business Case'!D11*$C722*'Business Case'!D12*$B722)-'Business Case'!D11*$C722*'Business Case'!D13*$D722-'Business Case'!D14*$E722))*'Business Case'!$B$7-'Business Case'!$B$8*(('Business Case'!D11*$C722*'Business Case'!D12*$B722)-('Business Case'!C11*$C722*'Business Case'!C12*$B722))-'Business Case'!D15*$F722</f>
        <v>208255011.839368</v>
      </c>
      <c r="K722" s="53" t="n">
        <f aca="false">(('Business Case'!E11*$C722*'Business Case'!E12*$B722)-'Business Case'!E11*$C722*'Business Case'!E13*$D722-'Business Case'!E14*$E722)-MAX(0,(('Business Case'!E11*$C722*'Business Case'!E12*$B722)-'Business Case'!E11*$C722*'Business Case'!E13*$D722-'Business Case'!E14*$E722))*'Business Case'!$B$7-'Business Case'!$B$8*(('Business Case'!E11*$C722*'Business Case'!E12*$B722)-('Business Case'!D11*$C722*'Business Case'!D12*$B722))-'Business Case'!E15*$F722</f>
        <v>511808408.500905</v>
      </c>
      <c r="L722" s="53" t="n">
        <f aca="false">(('Business Case'!F11*$C722*'Business Case'!F12*$B722)-'Business Case'!F11*$C722*'Business Case'!F13*$D722-'Business Case'!F14*$E722)-MAX(0,(('Business Case'!F11*$C722*'Business Case'!F12*$B722)-'Business Case'!F11*$C722*'Business Case'!F13*$D722-'Business Case'!F14*$E722))*'Business Case'!$B$7-'Business Case'!$B$8*(('Business Case'!F11*$C722*'Business Case'!F12*$B722)-('Business Case'!E11*$C722*'Business Case'!E12*$B722))-'Business Case'!F15*$F722</f>
        <v>627759033.429432</v>
      </c>
      <c r="M722" s="53" t="n">
        <f aca="false">(('Business Case'!G11*$C722*'Business Case'!G12*$B722)-'Business Case'!G11*$C722*'Business Case'!G13*$D722-'Business Case'!G14*$E722)-MAX(0,(('Business Case'!G11*$C722*'Business Case'!G12*$B722)-'Business Case'!G11*$C722*'Business Case'!G13*$D722-'Business Case'!G14*$E722))*'Business Case'!$B$7-'Business Case'!$B$8*(('Business Case'!G11*$C722*'Business Case'!G12*$B722)-('Business Case'!F11*$C722*'Business Case'!F12*$B722))-'Business Case'!G15*$F722+'Business Case'!$B$8*('Business Case'!G11*$C722*'Business Case'!G12*$B722)</f>
        <v>804409805.738889</v>
      </c>
      <c r="N722" s="53" t="n">
        <f aca="false">IF(COUNT('Business Case'!B11:G11)=0,"",H722+NPV(G722,I722:M722))</f>
        <v>-594174924.570256</v>
      </c>
      <c r="P722" s="54" t="n">
        <f aca="true">RAND()</f>
        <v>0.176564890543963</v>
      </c>
      <c r="Q722" s="54" t="n">
        <f aca="true">RAND()</f>
        <v>0.397906001489928</v>
      </c>
      <c r="R722" s="54" t="n">
        <f aca="true">RAND()</f>
        <v>0.757397205903489</v>
      </c>
      <c r="S722" s="54" t="n">
        <f aca="true">RAND()</f>
        <v>0.356415862948196</v>
      </c>
      <c r="T722" s="54" t="n">
        <f aca="true">RAND()</f>
        <v>0.495205011859939</v>
      </c>
      <c r="U722" s="54" t="n">
        <f aca="true">RAND()</f>
        <v>0.0121502669406698</v>
      </c>
    </row>
    <row r="723" customFormat="false" ht="15" hidden="false" customHeight="false" outlineLevel="0" collapsed="false">
      <c r="A723" s="50" t="n">
        <v>643</v>
      </c>
      <c r="B723" s="51" t="n">
        <f aca="false">1+IF($G$6=$E$6,$F$6,IF(P723&lt;($F$6-$E$6)/($G$6-$E$6),$E$6+SQRT(P723*($G$6-$E$6)*($F$6-$E$6)),$G$6-SQRT((1-P723)*($G$6-$E$6)*($G$6-$F$6))))</f>
        <v>0.997210521298807</v>
      </c>
      <c r="C723" s="51" t="n">
        <f aca="false">1+IF($G$7=$E$7,$F$7,IF(Q723&lt;($F$7-$E$7)/($G$7-$E$7),$E$7+SQRT(Q723*($G$7-$E$7)*($F$7-$E$7)),$G$7-SQRT((1-Q723)*($G$7-$E$7)*($G$7-$F$7))))</f>
        <v>0.91946222085949</v>
      </c>
      <c r="D723" s="51" t="n">
        <f aca="false">1+IF($G$8=$E$8,$F$8,IF(R723&lt;($F$8-$E$8)/($G$8-$E$8),$E$8+SQRT(R723*($G$8-$E$8)*($F$8-$E$8)),$G$8-SQRT((1-R723)*($G$8-$E$8)*($G$8-$F$8))))</f>
        <v>1.03683510505448</v>
      </c>
      <c r="E723" s="51" t="n">
        <f aca="false">1+IF($G$9=$E$9,$F$9,IF(S723&lt;($F$9-$E$9)/($G$9-$E$9),$E$9+SQRT(S723*($G$9-$E$9)*($F$9-$E$9)),$G$9-SQRT((1-S723)*($G$9-$E$9)*($G$9-$F$9))))</f>
        <v>1.01449554340789</v>
      </c>
      <c r="F723" s="51" t="n">
        <f aca="false">1+IF($G$10=$E$10,$F$10,IF(T723&lt;($F$10-$E$10)/($G$10-$E$10),$E$10+SQRT(T723*($G$10-$E$10)*($F$10-$E$10)),$G$10-SQRT((1-T723)*($G$10-$E$10)*($G$10-$F$10))))</f>
        <v>1.00680649623344</v>
      </c>
      <c r="G723" s="52" t="n">
        <f aca="false">IF($G$11=$E$11,$F$11,IF(U723&lt;($F$11-$E$11)/($G$11-$E$11),$E$11+SQRT(U723*($G$11-$E$11)*($F$11-$E$11)),$G$11-SQRT((1-U723)*($G$11-$E$11)*($G$11-$F$11))))</f>
        <v>0.112723882540023</v>
      </c>
      <c r="H723" s="53" t="n">
        <f aca="false">(('Business Case'!B11*$C723*'Business Case'!B12*$B723)-'Business Case'!B11*$C723*'Business Case'!B13*$D723-'Business Case'!B14*$E723)-MAX(0,(('Business Case'!B11*$C723*'Business Case'!B12*$B723)-'Business Case'!B11*$C723*'Business Case'!B13*$D723-'Business Case'!B14*$E723))*'Business Case'!$B$7-'Business Case'!$B$8*('Business Case'!B11*$C723*'Business Case'!B12*$B723)-'Business Case'!B15*$F723</f>
        <v>-2013612992.46687</v>
      </c>
      <c r="I723" s="53" t="n">
        <f aca="false">(('Business Case'!C11*$C723*'Business Case'!C12*$B723)-'Business Case'!C11*$C723*'Business Case'!C13*$D723-'Business Case'!C14*$E723)-MAX(0,(('Business Case'!C11*$C723*'Business Case'!C12*$B723)-'Business Case'!C11*$C723*'Business Case'!C13*$D723-'Business Case'!C14*$E723))*'Business Case'!$B$7-'Business Case'!$B$8*(('Business Case'!C11*$C723*'Business Case'!C12*$B723)-('Business Case'!B11*$C723*'Business Case'!B12*$B723))-'Business Case'!C15*$F723</f>
        <v>-29497945.6786684</v>
      </c>
      <c r="J723" s="53" t="n">
        <f aca="false">(('Business Case'!D11*$C723*'Business Case'!D12*$B723)-'Business Case'!D11*$C723*'Business Case'!D13*$D723-'Business Case'!D14*$E723)-MAX(0,(('Business Case'!D11*$C723*'Business Case'!D12*$B723)-'Business Case'!D11*$C723*'Business Case'!D13*$D723-'Business Case'!D14*$E723))*'Business Case'!$B$7-'Business Case'!$B$8*(('Business Case'!D11*$C723*'Business Case'!D12*$B723)-('Business Case'!C11*$C723*'Business Case'!C12*$B723))-'Business Case'!D15*$F723</f>
        <v>233477985.784564</v>
      </c>
      <c r="K723" s="53" t="n">
        <f aca="false">(('Business Case'!E11*$C723*'Business Case'!E12*$B723)-'Business Case'!E11*$C723*'Business Case'!E13*$D723-'Business Case'!E14*$E723)-MAX(0,(('Business Case'!E11*$C723*'Business Case'!E12*$B723)-'Business Case'!E11*$C723*'Business Case'!E13*$D723-'Business Case'!E14*$E723))*'Business Case'!$B$7-'Business Case'!$B$8*(('Business Case'!E11*$C723*'Business Case'!E12*$B723)-('Business Case'!D11*$C723*'Business Case'!D12*$B723))-'Business Case'!E15*$F723</f>
        <v>546794242.059467</v>
      </c>
      <c r="L723" s="53" t="n">
        <f aca="false">(('Business Case'!F11*$C723*'Business Case'!F12*$B723)-'Business Case'!F11*$C723*'Business Case'!F13*$D723-'Business Case'!F14*$E723)-MAX(0,(('Business Case'!F11*$C723*'Business Case'!F12*$B723)-'Business Case'!F11*$C723*'Business Case'!F13*$D723-'Business Case'!F14*$E723))*'Business Case'!$B$7-'Business Case'!$B$8*(('Business Case'!F11*$C723*'Business Case'!F12*$B723)-('Business Case'!E11*$C723*'Business Case'!E12*$B723))-'Business Case'!F15*$F723</f>
        <v>666140860.044516</v>
      </c>
      <c r="M723" s="53" t="n">
        <f aca="false">(('Business Case'!G11*$C723*'Business Case'!G12*$B723)-'Business Case'!G11*$C723*'Business Case'!G13*$D723-'Business Case'!G14*$E723)-MAX(0,(('Business Case'!G11*$C723*'Business Case'!G12*$B723)-'Business Case'!G11*$C723*'Business Case'!G13*$D723-'Business Case'!G14*$E723))*'Business Case'!$B$7-'Business Case'!$B$8*(('Business Case'!G11*$C723*'Business Case'!G12*$B723)-('Business Case'!F11*$C723*'Business Case'!F12*$B723))-'Business Case'!G15*$F723+'Business Case'!$B$8*('Business Case'!G11*$C723*'Business Case'!G12*$B723)</f>
        <v>840424717.946353</v>
      </c>
      <c r="N723" s="53" t="n">
        <f aca="false">IF(COUNT('Business Case'!B11:G11)=0,"",H723+NPV(G723,I723:M723))</f>
        <v>-527467952.78715</v>
      </c>
      <c r="P723" s="54" t="n">
        <f aca="true">RAND()</f>
        <v>0.620985895753491</v>
      </c>
      <c r="Q723" s="54" t="n">
        <f aca="true">RAND()</f>
        <v>0.203874603038306</v>
      </c>
      <c r="R723" s="54" t="n">
        <f aca="true">RAND()</f>
        <v>0.820845369648266</v>
      </c>
      <c r="S723" s="54" t="n">
        <f aca="true">RAND()</f>
        <v>0.512599193525808</v>
      </c>
      <c r="T723" s="54" t="n">
        <f aca="true">RAND()</f>
        <v>0.253525402047969</v>
      </c>
      <c r="U723" s="54" t="n">
        <f aca="true">RAND()</f>
        <v>0.911763524514359</v>
      </c>
    </row>
    <row r="724" customFormat="false" ht="15" hidden="false" customHeight="false" outlineLevel="0" collapsed="false">
      <c r="A724" s="50" t="n">
        <v>644</v>
      </c>
      <c r="B724" s="51" t="n">
        <f aca="false">1+IF($G$6=$E$6,$F$6,IF(P724&lt;($F$6-$E$6)/($G$6-$E$6),$E$6+SQRT(P724*($G$6-$E$6)*($F$6-$E$6)),$G$6-SQRT((1-P724)*($G$6-$E$6)*($G$6-$F$6))))</f>
        <v>0.968184244285483</v>
      </c>
      <c r="C724" s="51" t="n">
        <f aca="false">1+IF($G$7=$E$7,$F$7,IF(Q724&lt;($F$7-$E$7)/($G$7-$E$7),$E$7+SQRT(Q724*($G$7-$E$7)*($F$7-$E$7)),$G$7-SQRT((1-Q724)*($G$7-$E$7)*($G$7-$F$7))))</f>
        <v>0.907211947343943</v>
      </c>
      <c r="D724" s="51" t="n">
        <f aca="false">1+IF($G$8=$E$8,$F$8,IF(R724&lt;($F$8-$E$8)/($G$8-$E$8),$E$8+SQRT(R724*($G$8-$E$8)*($F$8-$E$8)),$G$8-SQRT((1-R724)*($G$8-$E$8)*($G$8-$F$8))))</f>
        <v>1.00669212074764</v>
      </c>
      <c r="E724" s="51" t="n">
        <f aca="false">1+IF($G$9=$E$9,$F$9,IF(S724&lt;($F$9-$E$9)/($G$9-$E$9),$E$9+SQRT(S724*($G$9-$E$9)*($F$9-$E$9)),$G$9-SQRT((1-S724)*($G$9-$E$9)*($G$9-$F$9))))</f>
        <v>1.00516381231346</v>
      </c>
      <c r="F724" s="51" t="n">
        <f aca="false">1+IF($G$10=$E$10,$F$10,IF(T724&lt;($F$10-$E$10)/($G$10-$E$10),$E$10+SQRT(T724*($G$10-$E$10)*($F$10-$E$10)),$G$10-SQRT((1-T724)*($G$10-$E$10)*($G$10-$F$10))))</f>
        <v>1.07650367803069</v>
      </c>
      <c r="G724" s="52" t="n">
        <f aca="false">IF($G$11=$E$11,$F$11,IF(U724&lt;($F$11-$E$11)/($G$11-$E$11),$E$11+SQRT(U724*($G$11-$E$11)*($F$11-$E$11)),$G$11-SQRT((1-U724)*($G$11-$E$11)*($G$11-$F$11))))</f>
        <v>0.0995017138067662</v>
      </c>
      <c r="H724" s="53" t="n">
        <f aca="false">(('Business Case'!B11*$C724*'Business Case'!B12*$B724)-'Business Case'!B11*$C724*'Business Case'!B13*$D724-'Business Case'!B14*$E724)-MAX(0,(('Business Case'!B11*$C724*'Business Case'!B12*$B724)-'Business Case'!B11*$C724*'Business Case'!B13*$D724-'Business Case'!B14*$E724))*'Business Case'!$B$7-'Business Case'!$B$8*('Business Case'!B11*$C724*'Business Case'!B12*$B724)-'Business Case'!B15*$F724</f>
        <v>-2153007356.06139</v>
      </c>
      <c r="I724" s="53" t="n">
        <f aca="false">(('Business Case'!C11*$C724*'Business Case'!C12*$B724)-'Business Case'!C11*$C724*'Business Case'!C13*$D724-'Business Case'!C14*$E724)-MAX(0,(('Business Case'!C11*$C724*'Business Case'!C12*$B724)-'Business Case'!C11*$C724*'Business Case'!C13*$D724-'Business Case'!C14*$E724))*'Business Case'!$B$7-'Business Case'!$B$8*(('Business Case'!C11*$C724*'Business Case'!C12*$B724)-('Business Case'!B11*$C724*'Business Case'!B12*$B724))-'Business Case'!C15*$F724</f>
        <v>-44215622.939794</v>
      </c>
      <c r="J724" s="53" t="n">
        <f aca="false">(('Business Case'!D11*$C724*'Business Case'!D12*$B724)-'Business Case'!D11*$C724*'Business Case'!D13*$D724-'Business Case'!D14*$E724)-MAX(0,(('Business Case'!D11*$C724*'Business Case'!D12*$B724)-'Business Case'!D11*$C724*'Business Case'!D13*$D724-'Business Case'!D14*$E724))*'Business Case'!$B$7-'Business Case'!$B$8*(('Business Case'!D11*$C724*'Business Case'!D12*$B724)-('Business Case'!C11*$C724*'Business Case'!C12*$B724))-'Business Case'!D15*$F724</f>
        <v>207686992.613862</v>
      </c>
      <c r="K724" s="53" t="n">
        <f aca="false">(('Business Case'!E11*$C724*'Business Case'!E12*$B724)-'Business Case'!E11*$C724*'Business Case'!E13*$D724-'Business Case'!E14*$E724)-MAX(0,(('Business Case'!E11*$C724*'Business Case'!E12*$B724)-'Business Case'!E11*$C724*'Business Case'!E13*$D724-'Business Case'!E14*$E724))*'Business Case'!$B$7-'Business Case'!$B$8*(('Business Case'!E11*$C724*'Business Case'!E12*$B724)-('Business Case'!D11*$C724*'Business Case'!D12*$B724))-'Business Case'!E15*$F724</f>
        <v>513414792.069053</v>
      </c>
      <c r="L724" s="53" t="n">
        <f aca="false">(('Business Case'!F11*$C724*'Business Case'!F12*$B724)-'Business Case'!F11*$C724*'Business Case'!F13*$D724-'Business Case'!F14*$E724)-MAX(0,(('Business Case'!F11*$C724*'Business Case'!F12*$B724)-'Business Case'!F11*$C724*'Business Case'!F13*$D724-'Business Case'!F14*$E724))*'Business Case'!$B$7-'Business Case'!$B$8*(('Business Case'!F11*$C724*'Business Case'!F12*$B724)-('Business Case'!E11*$C724*'Business Case'!E12*$B724))-'Business Case'!F15*$F724</f>
        <v>627738048.306543</v>
      </c>
      <c r="M724" s="53" t="n">
        <f aca="false">(('Business Case'!G11*$C724*'Business Case'!G12*$B724)-'Business Case'!G11*$C724*'Business Case'!G13*$D724-'Business Case'!G14*$E724)-MAX(0,(('Business Case'!G11*$C724*'Business Case'!G12*$B724)-'Business Case'!G11*$C724*'Business Case'!G13*$D724-'Business Case'!G14*$E724))*'Business Case'!$B$7-'Business Case'!$B$8*(('Business Case'!G11*$C724*'Business Case'!G12*$B724)-('Business Case'!F11*$C724*'Business Case'!F12*$B724))-'Business Case'!G15*$F724+'Business Case'!$B$8*('Business Case'!G11*$C724*'Business Case'!G12*$B724)</f>
        <v>794694495.764366</v>
      </c>
      <c r="N724" s="53" t="n">
        <f aca="false">IF(COUNT('Business Case'!B11:G11)=0,"",H724+NPV(G724,I724:M724))</f>
        <v>-711069844.245745</v>
      </c>
      <c r="P724" s="54" t="n">
        <f aca="true">RAND()</f>
        <v>0.241845978891989</v>
      </c>
      <c r="Q724" s="54" t="n">
        <f aca="true">RAND()</f>
        <v>0.164205737904004</v>
      </c>
      <c r="R724" s="54" t="n">
        <f aca="true">RAND()</f>
        <v>0.483264888415447</v>
      </c>
      <c r="S724" s="54" t="n">
        <f aca="true">RAND()</f>
        <v>0.400406500338917</v>
      </c>
      <c r="T724" s="54" t="n">
        <f aca="true">RAND()</f>
        <v>0.694973169201071</v>
      </c>
      <c r="U724" s="54" t="n">
        <f aca="true">RAND()</f>
        <v>0.300941884218968</v>
      </c>
    </row>
    <row r="725" customFormat="false" ht="15" hidden="false" customHeight="false" outlineLevel="0" collapsed="false">
      <c r="A725" s="50" t="n">
        <v>645</v>
      </c>
      <c r="B725" s="51" t="n">
        <f aca="false">1+IF($G$6=$E$6,$F$6,IF(P725&lt;($F$6-$E$6)/($G$6-$E$6),$E$6+SQRT(P725*($G$6-$E$6)*($F$6-$E$6)),$G$6-SQRT((1-P725)*($G$6-$E$6)*($G$6-$F$6))))</f>
        <v>0.975465882194107</v>
      </c>
      <c r="C725" s="51" t="n">
        <f aca="false">1+IF($G$7=$E$7,$F$7,IF(Q725&lt;($F$7-$E$7)/($G$7-$E$7),$E$7+SQRT(Q725*($G$7-$E$7)*($F$7-$E$7)),$G$7-SQRT((1-Q725)*($G$7-$E$7)*($G$7-$F$7))))</f>
        <v>1.03065363809083</v>
      </c>
      <c r="D725" s="51" t="n">
        <f aca="false">1+IF($G$8=$E$8,$F$8,IF(R725&lt;($F$8-$E$8)/($G$8-$E$8),$E$8+SQRT(R725*($G$8-$E$8)*($F$8-$E$8)),$G$8-SQRT((1-R725)*($G$8-$E$8)*($G$8-$F$8))))</f>
        <v>1.00170251904868</v>
      </c>
      <c r="E725" s="51" t="n">
        <f aca="false">1+IF($G$9=$E$9,$F$9,IF(S725&lt;($F$9-$E$9)/($G$9-$E$9),$E$9+SQRT(S725*($G$9-$E$9)*($F$9-$E$9)),$G$9-SQRT((1-S725)*($G$9-$E$9)*($G$9-$F$9))))</f>
        <v>1.01177761152019</v>
      </c>
      <c r="F725" s="51" t="n">
        <f aca="false">1+IF($G$10=$E$10,$F$10,IF(T725&lt;($F$10-$E$10)/($G$10-$E$10),$E$10+SQRT(T725*($G$10-$E$10)*($F$10-$E$10)),$G$10-SQRT((1-T725)*($G$10-$E$10)*($G$10-$F$10))))</f>
        <v>1.05661320894737</v>
      </c>
      <c r="G725" s="52" t="n">
        <f aca="false">IF($G$11=$E$11,$F$11,IF(U725&lt;($F$11-$E$11)/($G$11-$E$11),$E$11+SQRT(U725*($G$11-$E$11)*($F$11-$E$11)),$G$11-SQRT((1-U725)*($G$11-$E$11)*($G$11-$F$11))))</f>
        <v>0.10414455119814</v>
      </c>
      <c r="H725" s="53" t="n">
        <f aca="false">(('Business Case'!B11*$C725*'Business Case'!B12*$B725)-'Business Case'!B11*$C725*'Business Case'!B13*$D725-'Business Case'!B14*$E725)-MAX(0,(('Business Case'!B11*$C725*'Business Case'!B12*$B725)-'Business Case'!B11*$C725*'Business Case'!B13*$D725-'Business Case'!B14*$E725))*'Business Case'!$B$7-'Business Case'!$B$8*('Business Case'!B11*$C725*'Business Case'!B12*$B725)-'Business Case'!B15*$F725</f>
        <v>-2113226417.89473</v>
      </c>
      <c r="I725" s="53" t="n">
        <f aca="false">(('Business Case'!C11*$C725*'Business Case'!C12*$B725)-'Business Case'!C11*$C725*'Business Case'!C13*$D725-'Business Case'!C14*$E725)-MAX(0,(('Business Case'!C11*$C725*'Business Case'!C12*$B725)-'Business Case'!C11*$C725*'Business Case'!C13*$D725-'Business Case'!C14*$E725))*'Business Case'!$B$7-'Business Case'!$B$8*(('Business Case'!C11*$C725*'Business Case'!C12*$B725)-('Business Case'!B11*$C725*'Business Case'!B12*$B725))-'Business Case'!C15*$F725</f>
        <v>-6696490.18909821</v>
      </c>
      <c r="J725" s="53" t="n">
        <f aca="false">(('Business Case'!D11*$C725*'Business Case'!D12*$B725)-'Business Case'!D11*$C725*'Business Case'!D13*$D725-'Business Case'!D14*$E725)-MAX(0,(('Business Case'!D11*$C725*'Business Case'!D12*$B725)-'Business Case'!D11*$C725*'Business Case'!D13*$D725-'Business Case'!D14*$E725))*'Business Case'!$B$7-'Business Case'!$B$8*(('Business Case'!D11*$C725*'Business Case'!D12*$B725)-('Business Case'!C11*$C725*'Business Case'!C12*$B725))-'Business Case'!D15*$F725</f>
        <v>288261366.017536</v>
      </c>
      <c r="K725" s="53" t="n">
        <f aca="false">(('Business Case'!E11*$C725*'Business Case'!E12*$B725)-'Business Case'!E11*$C725*'Business Case'!E13*$D725-'Business Case'!E14*$E725)-MAX(0,(('Business Case'!E11*$C725*'Business Case'!E12*$B725)-'Business Case'!E11*$C725*'Business Case'!E13*$D725-'Business Case'!E14*$E725))*'Business Case'!$B$7-'Business Case'!$B$8*(('Business Case'!E11*$C725*'Business Case'!E12*$B725)-('Business Case'!D11*$C725*'Business Case'!D12*$B725))-'Business Case'!E15*$F725</f>
        <v>636049882.671538</v>
      </c>
      <c r="L725" s="53" t="n">
        <f aca="false">(('Business Case'!F11*$C725*'Business Case'!F12*$B725)-'Business Case'!F11*$C725*'Business Case'!F13*$D725-'Business Case'!F14*$E725)-MAX(0,(('Business Case'!F11*$C725*'Business Case'!F12*$B725)-'Business Case'!F11*$C725*'Business Case'!F13*$D725-'Business Case'!F14*$E725))*'Business Case'!$B$7-'Business Case'!$B$8*(('Business Case'!F11*$C725*'Business Case'!F12*$B725)-('Business Case'!E11*$C725*'Business Case'!E12*$B725))-'Business Case'!F15*$F725</f>
        <v>769114667.502299</v>
      </c>
      <c r="M725" s="53" t="n">
        <f aca="false">(('Business Case'!G11*$C725*'Business Case'!G12*$B725)-'Business Case'!G11*$C725*'Business Case'!G13*$D725-'Business Case'!G14*$E725)-MAX(0,(('Business Case'!G11*$C725*'Business Case'!G12*$B725)-'Business Case'!G11*$C725*'Business Case'!G13*$D725-'Business Case'!G14*$E725))*'Business Case'!$B$7-'Business Case'!$B$8*(('Business Case'!G11*$C725*'Business Case'!G12*$B725)-('Business Case'!F11*$C725*'Business Case'!F12*$B725))-'Business Case'!G15*$F725+'Business Case'!$B$8*('Business Case'!G11*$C725*'Business Case'!G12*$B725)</f>
        <v>960214914.359323</v>
      </c>
      <c r="N725" s="53" t="n">
        <f aca="false">IF(COUNT('Business Case'!B11:G11)=0,"",H725+NPV(G725,I725:M725))</f>
        <v>-307746992.107588</v>
      </c>
      <c r="P725" s="54" t="n">
        <f aca="true">RAND()</f>
        <v>0.320465009121933</v>
      </c>
      <c r="Q725" s="54" t="n">
        <f aca="true">RAND()</f>
        <v>0.72869420760085</v>
      </c>
      <c r="R725" s="54" t="n">
        <f aca="true">RAND()</f>
        <v>0.410529276603576</v>
      </c>
      <c r="S725" s="54" t="n">
        <f aca="true">RAND()</f>
        <v>0.481120678061151</v>
      </c>
      <c r="T725" s="54" t="n">
        <f aca="true">RAND()</f>
        <v>0.588804563032569</v>
      </c>
      <c r="U725" s="54" t="n">
        <f aca="true">RAND()</f>
        <v>0.581007905485972</v>
      </c>
    </row>
    <row r="726" customFormat="false" ht="15" hidden="false" customHeight="false" outlineLevel="0" collapsed="false">
      <c r="A726" s="50" t="n">
        <v>646</v>
      </c>
      <c r="B726" s="51" t="n">
        <f aca="false">1+IF($G$6=$E$6,$F$6,IF(P726&lt;($F$6-$E$6)/($G$6-$E$6),$E$6+SQRT(P726*($G$6-$E$6)*($F$6-$E$6)),$G$6-SQRT((1-P726)*($G$6-$E$6)*($G$6-$F$6))))</f>
        <v>0.990054923646321</v>
      </c>
      <c r="C726" s="51" t="n">
        <f aca="false">1+IF($G$7=$E$7,$F$7,IF(Q726&lt;($F$7-$E$7)/($G$7-$E$7),$E$7+SQRT(Q726*($G$7-$E$7)*($F$7-$E$7)),$G$7-SQRT((1-Q726)*($G$7-$E$7)*($G$7-$F$7))))</f>
        <v>0.833387959087586</v>
      </c>
      <c r="D726" s="51" t="n">
        <f aca="false">1+IF($G$8=$E$8,$F$8,IF(R726&lt;($F$8-$E$8)/($G$8-$E$8),$E$8+SQRT(R726*($G$8-$E$8)*($F$8-$E$8)),$G$8-SQRT((1-R726)*($G$8-$E$8)*($G$8-$F$8))))</f>
        <v>0.983498553199886</v>
      </c>
      <c r="E726" s="51" t="n">
        <f aca="false">1+IF($G$9=$E$9,$F$9,IF(S726&lt;($F$9-$E$9)/($G$9-$E$9),$E$9+SQRT(S726*($G$9-$E$9)*($F$9-$E$9)),$G$9-SQRT((1-S726)*($G$9-$E$9)*($G$9-$F$9))))</f>
        <v>1.04270962717893</v>
      </c>
      <c r="F726" s="51" t="n">
        <f aca="false">1+IF($G$10=$E$10,$F$10,IF(T726&lt;($F$10-$E$10)/($G$10-$E$10),$E$10+SQRT(T726*($G$10-$E$10)*($F$10-$E$10)),$G$10-SQRT((1-T726)*($G$10-$E$10)*($G$10-$F$10))))</f>
        <v>1.00122220845661</v>
      </c>
      <c r="G726" s="52" t="n">
        <f aca="false">IF($G$11=$E$11,$F$11,IF(U726&lt;($F$11-$E$11)/($G$11-$E$11),$E$11+SQRT(U726*($G$11-$E$11)*($F$11-$E$11)),$G$11-SQRT((1-U726)*($G$11-$E$11)*($G$11-$F$11))))</f>
        <v>0.101639933751895</v>
      </c>
      <c r="H726" s="53" t="n">
        <f aca="false">(('Business Case'!B11*$C726*'Business Case'!B12*$B726)-'Business Case'!B11*$C726*'Business Case'!B13*$D726-'Business Case'!B14*$E726)-MAX(0,(('Business Case'!B11*$C726*'Business Case'!B12*$B726)-'Business Case'!B11*$C726*'Business Case'!B13*$D726-'Business Case'!B14*$E726))*'Business Case'!$B$7-'Business Case'!$B$8*('Business Case'!B11*$C726*'Business Case'!B12*$B726)-'Business Case'!B15*$F726</f>
        <v>-2002444416.91322</v>
      </c>
      <c r="I726" s="53" t="n">
        <f aca="false">(('Business Case'!C11*$C726*'Business Case'!C12*$B726)-'Business Case'!C11*$C726*'Business Case'!C13*$D726-'Business Case'!C14*$E726)-MAX(0,(('Business Case'!C11*$C726*'Business Case'!C12*$B726)-'Business Case'!C11*$C726*'Business Case'!C13*$D726-'Business Case'!C14*$E726))*'Business Case'!$B$7-'Business Case'!$B$8*(('Business Case'!C11*$C726*'Business Case'!C12*$B726)-('Business Case'!B11*$C726*'Business Case'!B12*$B726))-'Business Case'!C15*$F726</f>
        <v>-34940505.3901522</v>
      </c>
      <c r="J726" s="53" t="n">
        <f aca="false">(('Business Case'!D11*$C726*'Business Case'!D12*$B726)-'Business Case'!D11*$C726*'Business Case'!D13*$D726-'Business Case'!D14*$E726)-MAX(0,(('Business Case'!D11*$C726*'Business Case'!D12*$B726)-'Business Case'!D11*$C726*'Business Case'!D13*$D726-'Business Case'!D14*$E726))*'Business Case'!$B$7-'Business Case'!$B$8*(('Business Case'!D11*$C726*'Business Case'!D12*$B726)-('Business Case'!C11*$C726*'Business Case'!C12*$B726))-'Business Case'!D15*$F726</f>
        <v>221287695.388363</v>
      </c>
      <c r="K726" s="53" t="n">
        <f aca="false">(('Business Case'!E11*$C726*'Business Case'!E12*$B726)-'Business Case'!E11*$C726*'Business Case'!E13*$D726-'Business Case'!E14*$E726)-MAX(0,(('Business Case'!E11*$C726*'Business Case'!E12*$B726)-'Business Case'!E11*$C726*'Business Case'!E13*$D726-'Business Case'!E14*$E726))*'Business Case'!$B$7-'Business Case'!$B$8*(('Business Case'!E11*$C726*'Business Case'!E12*$B726)-('Business Case'!D11*$C726*'Business Case'!D12*$B726))-'Business Case'!E15*$F726</f>
        <v>527577006.589709</v>
      </c>
      <c r="L726" s="53" t="n">
        <f aca="false">(('Business Case'!F11*$C726*'Business Case'!F12*$B726)-'Business Case'!F11*$C726*'Business Case'!F13*$D726-'Business Case'!F14*$E726)-MAX(0,(('Business Case'!F11*$C726*'Business Case'!F12*$B726)-'Business Case'!F11*$C726*'Business Case'!F13*$D726-'Business Case'!F14*$E726))*'Business Case'!$B$7-'Business Case'!$B$8*(('Business Case'!F11*$C726*'Business Case'!F12*$B726)-('Business Case'!E11*$C726*'Business Case'!E12*$B726))-'Business Case'!F15*$F726</f>
        <v>641501857.741323</v>
      </c>
      <c r="M726" s="53" t="n">
        <f aca="false">(('Business Case'!G11*$C726*'Business Case'!G12*$B726)-'Business Case'!G11*$C726*'Business Case'!G13*$D726-'Business Case'!G14*$E726)-MAX(0,(('Business Case'!G11*$C726*'Business Case'!G12*$B726)-'Business Case'!G11*$C726*'Business Case'!G13*$D726-'Business Case'!G14*$E726))*'Business Case'!$B$7-'Business Case'!$B$8*(('Business Case'!G11*$C726*'Business Case'!G12*$B726)-('Business Case'!F11*$C726*'Business Case'!F12*$B726))-'Business Case'!G15*$F726+'Business Case'!$B$8*('Business Case'!G11*$C726*'Business Case'!G12*$B726)</f>
        <v>798336837.647921</v>
      </c>
      <c r="N726" s="53" t="n">
        <f aca="false">IF(COUNT('Business Case'!B11:G11)=0,"",H726+NPV(G726,I726:M726))</f>
        <v>-529637087.966488</v>
      </c>
      <c r="P726" s="54" t="n">
        <f aca="true">RAND()</f>
        <v>0.511217950738733</v>
      </c>
      <c r="Q726" s="54" t="n">
        <f aca="true">RAND()</f>
        <v>0.0159250830290618</v>
      </c>
      <c r="R726" s="54" t="n">
        <f aca="true">RAND()</f>
        <v>0.172638933305474</v>
      </c>
      <c r="S726" s="54" t="n">
        <f aca="true">RAND()</f>
        <v>0.781187545468164</v>
      </c>
      <c r="T726" s="54" t="n">
        <f aca="true">RAND()</f>
        <v>0.209747791782639</v>
      </c>
      <c r="U726" s="54" t="n">
        <f aca="true">RAND()</f>
        <v>0.438179945608632</v>
      </c>
    </row>
    <row r="727" customFormat="false" ht="15" hidden="false" customHeight="false" outlineLevel="0" collapsed="false">
      <c r="A727" s="50" t="n">
        <v>647</v>
      </c>
      <c r="B727" s="51" t="n">
        <f aca="false">1+IF($G$6=$E$6,$F$6,IF(P727&lt;($F$6-$E$6)/($G$6-$E$6),$E$6+SQRT(P727*($G$6-$E$6)*($F$6-$E$6)),$G$6-SQRT((1-P727)*($G$6-$E$6)*($G$6-$F$6))))</f>
        <v>1.00005975207579</v>
      </c>
      <c r="C727" s="51" t="n">
        <f aca="false">1+IF($G$7=$E$7,$F$7,IF(Q727&lt;($F$7-$E$7)/($G$7-$E$7),$E$7+SQRT(Q727*($G$7-$E$7)*($F$7-$E$7)),$G$7-SQRT((1-Q727)*($G$7-$E$7)*($G$7-$F$7))))</f>
        <v>1.10371344658808</v>
      </c>
      <c r="D727" s="51" t="n">
        <f aca="false">1+IF($G$8=$E$8,$F$8,IF(R727&lt;($F$8-$E$8)/($G$8-$E$8),$E$8+SQRT(R727*($G$8-$E$8)*($F$8-$E$8)),$G$8-SQRT((1-R727)*($G$8-$E$8)*($G$8-$F$8))))</f>
        <v>0.976263647551039</v>
      </c>
      <c r="E727" s="51" t="n">
        <f aca="false">1+IF($G$9=$E$9,$F$9,IF(S727&lt;($F$9-$E$9)/($G$9-$E$9),$E$9+SQRT(S727*($G$9-$E$9)*($F$9-$E$9)),$G$9-SQRT((1-S727)*($G$9-$E$9)*($G$9-$F$9))))</f>
        <v>1.01115446569683</v>
      </c>
      <c r="F727" s="51" t="n">
        <f aca="false">1+IF($G$10=$E$10,$F$10,IF(T727&lt;($F$10-$E$10)/($G$10-$E$10),$E$10+SQRT(T727*($G$10-$E$10)*($F$10-$E$10)),$G$10-SQRT((1-T727)*($G$10-$E$10)*($G$10-$F$10))))</f>
        <v>1.14187406914925</v>
      </c>
      <c r="G727" s="52" t="n">
        <f aca="false">IF($G$11=$E$11,$F$11,IF(U727&lt;($F$11-$E$11)/($G$11-$E$11),$E$11+SQRT(U727*($G$11-$E$11)*($F$11-$E$11)),$G$11-SQRT((1-U727)*($G$11-$E$11)*($G$11-$F$11))))</f>
        <v>0.0994358261546895</v>
      </c>
      <c r="H727" s="53" t="n">
        <f aca="false">(('Business Case'!B11*$C727*'Business Case'!B12*$B727)-'Business Case'!B11*$C727*'Business Case'!B13*$D727-'Business Case'!B14*$E727)-MAX(0,(('Business Case'!B11*$C727*'Business Case'!B12*$B727)-'Business Case'!B11*$C727*'Business Case'!B13*$D727-'Business Case'!B14*$E727))*'Business Case'!$B$7-'Business Case'!$B$8*('Business Case'!B11*$C727*'Business Case'!B12*$B727)-'Business Case'!B15*$F727</f>
        <v>-2283748138.29851</v>
      </c>
      <c r="I727" s="53" t="n">
        <f aca="false">(('Business Case'!C11*$C727*'Business Case'!C12*$B727)-'Business Case'!C11*$C727*'Business Case'!C13*$D727-'Business Case'!C14*$E727)-MAX(0,(('Business Case'!C11*$C727*'Business Case'!C12*$B727)-'Business Case'!C11*$C727*'Business Case'!C13*$D727-'Business Case'!C14*$E727))*'Business Case'!$B$7-'Business Case'!$B$8*(('Business Case'!C11*$C727*'Business Case'!C12*$B727)-('Business Case'!B11*$C727*'Business Case'!B12*$B727))-'Business Case'!C15*$F727</f>
        <v>37279661.2628772</v>
      </c>
      <c r="J727" s="53" t="n">
        <f aca="false">(('Business Case'!D11*$C727*'Business Case'!D12*$B727)-'Business Case'!D11*$C727*'Business Case'!D13*$D727-'Business Case'!D14*$E727)-MAX(0,(('Business Case'!D11*$C727*'Business Case'!D12*$B727)-'Business Case'!D11*$C727*'Business Case'!D13*$D727-'Business Case'!D14*$E727))*'Business Case'!$B$7-'Business Case'!$B$8*(('Business Case'!D11*$C727*'Business Case'!D12*$B727)-('Business Case'!C11*$C727*'Business Case'!C12*$B727))-'Business Case'!D15*$F727</f>
        <v>389752818.338842</v>
      </c>
      <c r="K727" s="53" t="n">
        <f aca="false">(('Business Case'!E11*$C727*'Business Case'!E12*$B727)-'Business Case'!E11*$C727*'Business Case'!E13*$D727-'Business Case'!E14*$E727)-MAX(0,(('Business Case'!E11*$C727*'Business Case'!E12*$B727)-'Business Case'!E11*$C727*'Business Case'!E13*$D727-'Business Case'!E14*$E727))*'Business Case'!$B$7-'Business Case'!$B$8*(('Business Case'!E11*$C727*'Business Case'!E12*$B727)-('Business Case'!D11*$C727*'Business Case'!D12*$B727))-'Business Case'!E15*$F727</f>
        <v>799319678.87227</v>
      </c>
      <c r="L727" s="53" t="n">
        <f aca="false">(('Business Case'!F11*$C727*'Business Case'!F12*$B727)-'Business Case'!F11*$C727*'Business Case'!F13*$D727-'Business Case'!F14*$E727)-MAX(0,(('Business Case'!F11*$C727*'Business Case'!F12*$B727)-'Business Case'!F11*$C727*'Business Case'!F13*$D727-'Business Case'!F14*$E727))*'Business Case'!$B$7-'Business Case'!$B$8*(('Business Case'!F11*$C727*'Business Case'!F12*$B727)-('Business Case'!E11*$C727*'Business Case'!E12*$B727))-'Business Case'!F15*$F727</f>
        <v>954957347.148307</v>
      </c>
      <c r="M727" s="53" t="n">
        <f aca="false">(('Business Case'!G11*$C727*'Business Case'!G12*$B727)-'Business Case'!G11*$C727*'Business Case'!G13*$D727-'Business Case'!G14*$E727)-MAX(0,(('Business Case'!G11*$C727*'Business Case'!G12*$B727)-'Business Case'!G11*$C727*'Business Case'!G13*$D727-'Business Case'!G14*$E727))*'Business Case'!$B$7-'Business Case'!$B$8*(('Business Case'!G11*$C727*'Business Case'!G12*$B727)-('Business Case'!F11*$C727*'Business Case'!F12*$B727))-'Business Case'!G15*$F727+'Business Case'!$B$8*('Business Case'!G11*$C727*'Business Case'!G12*$B727)</f>
        <v>1164763734.69391</v>
      </c>
      <c r="N727" s="53" t="n">
        <f aca="false">IF(COUNT('Business Case'!B11:G11)=0,"",H727+NPV(G727,I727:M727))</f>
        <v>52738673.628428</v>
      </c>
      <c r="P727" s="54" t="n">
        <f aca="true">RAND()</f>
        <v>0.667661790781762</v>
      </c>
      <c r="Q727" s="54" t="n">
        <f aca="true">RAND()</f>
        <v>0.959191523299907</v>
      </c>
      <c r="R727" s="54" t="n">
        <f aca="true">RAND()</f>
        <v>0.106119874259262</v>
      </c>
      <c r="S727" s="54" t="n">
        <f aca="true">RAND()</f>
        <v>0.473764735625613</v>
      </c>
      <c r="T727" s="54" t="n">
        <f aca="true">RAND()</f>
        <v>0.932427523254687</v>
      </c>
      <c r="U727" s="54" t="n">
        <f aca="true">RAND()</f>
        <v>0.296782717405072</v>
      </c>
    </row>
    <row r="728" customFormat="false" ht="15" hidden="false" customHeight="false" outlineLevel="0" collapsed="false">
      <c r="A728" s="50" t="n">
        <v>648</v>
      </c>
      <c r="B728" s="51" t="n">
        <f aca="false">1+IF($G$6=$E$6,$F$6,IF(P728&lt;($F$6-$E$6)/($G$6-$E$6),$E$6+SQRT(P728*($G$6-$E$6)*($F$6-$E$6)),$G$6-SQRT((1-P728)*($G$6-$E$6)*($G$6-$F$6))))</f>
        <v>0.99737782642996</v>
      </c>
      <c r="C728" s="51" t="n">
        <f aca="false">1+IF($G$7=$E$7,$F$7,IF(Q728&lt;($F$7-$E$7)/($G$7-$E$7),$E$7+SQRT(Q728*($G$7-$E$7)*($F$7-$E$7)),$G$7-SQRT((1-Q728)*($G$7-$E$7)*($G$7-$F$7))))</f>
        <v>1.03110026747697</v>
      </c>
      <c r="D728" s="51" t="n">
        <f aca="false">1+IF($G$8=$E$8,$F$8,IF(R728&lt;($F$8-$E$8)/($G$8-$E$8),$E$8+SQRT(R728*($G$8-$E$8)*($F$8-$E$8)),$G$8-SQRT((1-R728)*($G$8-$E$8)*($G$8-$F$8))))</f>
        <v>1.00159691417799</v>
      </c>
      <c r="E728" s="51" t="n">
        <f aca="false">1+IF($G$9=$E$9,$F$9,IF(S728&lt;($F$9-$E$9)/($G$9-$E$9),$E$9+SQRT(S728*($G$9-$E$9)*($F$9-$E$9)),$G$9-SQRT((1-S728)*($G$9-$E$9)*($G$9-$F$9))))</f>
        <v>0.983413571423571</v>
      </c>
      <c r="F728" s="51" t="n">
        <f aca="false">1+IF($G$10=$E$10,$F$10,IF(T728&lt;($F$10-$E$10)/($G$10-$E$10),$E$10+SQRT(T728*($G$10-$E$10)*($F$10-$E$10)),$G$10-SQRT((1-T728)*($G$10-$E$10)*($G$10-$F$10))))</f>
        <v>1.11292701375202</v>
      </c>
      <c r="G728" s="52" t="n">
        <f aca="false">IF($G$11=$E$11,$F$11,IF(U728&lt;($F$11-$E$11)/($G$11-$E$11),$E$11+SQRT(U728*($G$11-$E$11)*($F$11-$E$11)),$G$11-SQRT((1-U728)*($G$11-$E$11)*($G$11-$F$11))))</f>
        <v>0.0959345819177241</v>
      </c>
      <c r="H728" s="53" t="n">
        <f aca="false">(('Business Case'!B11*$C728*'Business Case'!B12*$B728)-'Business Case'!B11*$C728*'Business Case'!B13*$D728-'Business Case'!B14*$E728)-MAX(0,(('Business Case'!B11*$C728*'Business Case'!B12*$B728)-'Business Case'!B11*$C728*'Business Case'!B13*$D728-'Business Case'!B14*$E728))*'Business Case'!$B$7-'Business Case'!$B$8*('Business Case'!B11*$C728*'Business Case'!B12*$B728)-'Business Case'!B15*$F728</f>
        <v>-2225854027.50403</v>
      </c>
      <c r="I728" s="53" t="n">
        <f aca="false">(('Business Case'!C11*$C728*'Business Case'!C12*$B728)-'Business Case'!C11*$C728*'Business Case'!C13*$D728-'Business Case'!C14*$E728)-MAX(0,(('Business Case'!C11*$C728*'Business Case'!C12*$B728)-'Business Case'!C11*$C728*'Business Case'!C13*$D728-'Business Case'!C14*$E728))*'Business Case'!$B$7-'Business Case'!$B$8*(('Business Case'!C11*$C728*'Business Case'!C12*$B728)-('Business Case'!B11*$C728*'Business Case'!B12*$B728))-'Business Case'!C15*$F728</f>
        <v>9200860.25127579</v>
      </c>
      <c r="J728" s="53" t="n">
        <f aca="false">(('Business Case'!D11*$C728*'Business Case'!D12*$B728)-'Business Case'!D11*$C728*'Business Case'!D13*$D728-'Business Case'!D14*$E728)-MAX(0,(('Business Case'!D11*$C728*'Business Case'!D12*$B728)-'Business Case'!D11*$C728*'Business Case'!D13*$D728-'Business Case'!D14*$E728))*'Business Case'!$B$7-'Business Case'!$B$8*(('Business Case'!D11*$C728*'Business Case'!D12*$B728)-('Business Case'!C11*$C728*'Business Case'!C12*$B728))-'Business Case'!D15*$F728</f>
        <v>322847908.554799</v>
      </c>
      <c r="K728" s="53" t="n">
        <f aca="false">(('Business Case'!E11*$C728*'Business Case'!E12*$B728)-'Business Case'!E11*$C728*'Business Case'!E13*$D728-'Business Case'!E14*$E728)-MAX(0,(('Business Case'!E11*$C728*'Business Case'!E12*$B728)-'Business Case'!E11*$C728*'Business Case'!E13*$D728-'Business Case'!E14*$E728))*'Business Case'!$B$7-'Business Case'!$B$8*(('Business Case'!E11*$C728*'Business Case'!E12*$B728)-('Business Case'!D11*$C728*'Business Case'!D12*$B728))-'Business Case'!E15*$F728</f>
        <v>692141307.545923</v>
      </c>
      <c r="L728" s="53" t="n">
        <f aca="false">(('Business Case'!F11*$C728*'Business Case'!F12*$B728)-'Business Case'!F11*$C728*'Business Case'!F13*$D728-'Business Case'!F14*$E728)-MAX(0,(('Business Case'!F11*$C728*'Business Case'!F12*$B728)-'Business Case'!F11*$C728*'Business Case'!F13*$D728-'Business Case'!F14*$E728))*'Business Case'!$B$7-'Business Case'!$B$8*(('Business Case'!F11*$C728*'Business Case'!F12*$B728)-('Business Case'!E11*$C728*'Business Case'!E12*$B728))-'Business Case'!F15*$F728</f>
        <v>832231708.194174</v>
      </c>
      <c r="M728" s="53" t="n">
        <f aca="false">(('Business Case'!G11*$C728*'Business Case'!G12*$B728)-'Business Case'!G11*$C728*'Business Case'!G13*$D728-'Business Case'!G14*$E728)-MAX(0,(('Business Case'!G11*$C728*'Business Case'!G12*$B728)-'Business Case'!G11*$C728*'Business Case'!G13*$D728-'Business Case'!G14*$E728))*'Business Case'!$B$7-'Business Case'!$B$8*(('Business Case'!G11*$C728*'Business Case'!G12*$B728)-('Business Case'!F11*$C728*'Business Case'!F12*$B728))-'Business Case'!G15*$F728+'Business Case'!$B$8*('Business Case'!G11*$C728*'Business Case'!G12*$B728)</f>
        <v>1027709323.20309</v>
      </c>
      <c r="N728" s="53" t="n">
        <f aca="false">IF(COUNT('Business Case'!B11:G11)=0,"",H728+NPV(G728,I728:M728))</f>
        <v>-195876884.771043</v>
      </c>
      <c r="P728" s="54" t="n">
        <f aca="true">RAND()</f>
        <v>0.623680002398437</v>
      </c>
      <c r="Q728" s="54" t="n">
        <f aca="true">RAND()</f>
        <v>0.730721021065752</v>
      </c>
      <c r="R728" s="54" t="n">
        <f aca="true">RAND()</f>
        <v>0.40893808976793</v>
      </c>
      <c r="S728" s="54" t="n">
        <f aca="true">RAND()</f>
        <v>0.148862234037077</v>
      </c>
      <c r="T728" s="54" t="n">
        <f aca="true">RAND()</f>
        <v>0.848365901317171</v>
      </c>
      <c r="U728" s="54" t="n">
        <f aca="true">RAND()</f>
        <v>0.117397541793925</v>
      </c>
    </row>
    <row r="729" customFormat="false" ht="15" hidden="false" customHeight="false" outlineLevel="0" collapsed="false">
      <c r="A729" s="50" t="n">
        <v>649</v>
      </c>
      <c r="B729" s="51" t="n">
        <f aca="false">1+IF($G$6=$E$6,$F$6,IF(P729&lt;($F$6-$E$6)/($G$6-$E$6),$E$6+SQRT(P729*($G$6-$E$6)*($F$6-$E$6)),$G$6-SQRT((1-P729)*($G$6-$E$6)*($G$6-$F$6))))</f>
        <v>1.00117027173007</v>
      </c>
      <c r="C729" s="51" t="n">
        <f aca="false">1+IF($G$7=$E$7,$F$7,IF(Q729&lt;($F$7-$E$7)/($G$7-$E$7),$E$7+SQRT(Q729*($G$7-$E$7)*($F$7-$E$7)),$G$7-SQRT((1-Q729)*($G$7-$E$7)*($G$7-$F$7))))</f>
        <v>0.892415463831462</v>
      </c>
      <c r="D729" s="51" t="n">
        <f aca="false">1+IF($G$8=$E$8,$F$8,IF(R729&lt;($F$8-$E$8)/($G$8-$E$8),$E$8+SQRT(R729*($G$8-$E$8)*($F$8-$E$8)),$G$8-SQRT((1-R729)*($G$8-$E$8)*($G$8-$F$8))))</f>
        <v>1.00109780293415</v>
      </c>
      <c r="E729" s="51" t="n">
        <f aca="false">1+IF($G$9=$E$9,$F$9,IF(S729&lt;($F$9-$E$9)/($G$9-$E$9),$E$9+SQRT(S729*($G$9-$E$9)*($F$9-$E$9)),$G$9-SQRT((1-S729)*($G$9-$E$9)*($G$9-$F$9))))</f>
        <v>1.03540028117874</v>
      </c>
      <c r="F729" s="51" t="n">
        <f aca="false">1+IF($G$10=$E$10,$F$10,IF(T729&lt;($F$10-$E$10)/($G$10-$E$10),$E$10+SQRT(T729*($G$10-$E$10)*($F$10-$E$10)),$G$10-SQRT((1-T729)*($G$10-$E$10)*($G$10-$F$10))))</f>
        <v>1.09487913421105</v>
      </c>
      <c r="G729" s="52" t="n">
        <f aca="false">IF($G$11=$E$11,$F$11,IF(U729&lt;($F$11-$E$11)/($G$11-$E$11),$E$11+SQRT(U729*($G$11-$E$11)*($F$11-$E$11)),$G$11-SQRT((1-U729)*($G$11-$E$11)*($G$11-$F$11))))</f>
        <v>0.10072745691194</v>
      </c>
      <c r="H729" s="53" t="n">
        <f aca="false">(('Business Case'!B11*$C729*'Business Case'!B12*$B729)-'Business Case'!B11*$C729*'Business Case'!B13*$D729-'Business Case'!B14*$E729)-MAX(0,(('Business Case'!B11*$C729*'Business Case'!B12*$B729)-'Business Case'!B11*$C729*'Business Case'!B13*$D729-'Business Case'!B14*$E729))*'Business Case'!$B$7-'Business Case'!$B$8*('Business Case'!B11*$C729*'Business Case'!B12*$B729)-'Business Case'!B15*$F729</f>
        <v>-2189758268.4221</v>
      </c>
      <c r="I729" s="53" t="n">
        <f aca="false">(('Business Case'!C11*$C729*'Business Case'!C12*$B729)-'Business Case'!C11*$C729*'Business Case'!C13*$D729-'Business Case'!C14*$E729)-MAX(0,(('Business Case'!C11*$C729*'Business Case'!C12*$B729)-'Business Case'!C11*$C729*'Business Case'!C13*$D729-'Business Case'!C14*$E729))*'Business Case'!$B$7-'Business Case'!$B$8*(('Business Case'!C11*$C729*'Business Case'!C12*$B729)-('Business Case'!B11*$C729*'Business Case'!B12*$B729))-'Business Case'!C15*$F729</f>
        <v>-28577709.6392712</v>
      </c>
      <c r="J729" s="53" t="n">
        <f aca="false">(('Business Case'!D11*$C729*'Business Case'!D12*$B729)-'Business Case'!D11*$C729*'Business Case'!D13*$D729-'Business Case'!D14*$E729)-MAX(0,(('Business Case'!D11*$C729*'Business Case'!D12*$B729)-'Business Case'!D11*$C729*'Business Case'!D13*$D729-'Business Case'!D14*$E729))*'Business Case'!$B$7-'Business Case'!$B$8*(('Business Case'!D11*$C729*'Business Case'!D12*$B729)-('Business Case'!C11*$C729*'Business Case'!C12*$B729))-'Business Case'!D15*$F729</f>
        <v>245883371.838845</v>
      </c>
      <c r="K729" s="53" t="n">
        <f aca="false">(('Business Case'!E11*$C729*'Business Case'!E12*$B729)-'Business Case'!E11*$C729*'Business Case'!E13*$D729-'Business Case'!E14*$E729)-MAX(0,(('Business Case'!E11*$C729*'Business Case'!E12*$B729)-'Business Case'!E11*$C729*'Business Case'!E13*$D729-'Business Case'!E14*$E729))*'Business Case'!$B$7-'Business Case'!$B$8*(('Business Case'!E11*$C729*'Business Case'!E12*$B729)-('Business Case'!D11*$C729*'Business Case'!D12*$B729))-'Business Case'!E15*$F729</f>
        <v>575088410.027514</v>
      </c>
      <c r="L729" s="53" t="n">
        <f aca="false">(('Business Case'!F11*$C729*'Business Case'!F12*$B729)-'Business Case'!F11*$C729*'Business Case'!F13*$D729-'Business Case'!F14*$E729)-MAX(0,(('Business Case'!F11*$C729*'Business Case'!F12*$B729)-'Business Case'!F11*$C729*'Business Case'!F13*$D729-'Business Case'!F14*$E729))*'Business Case'!$B$7-'Business Case'!$B$8*(('Business Case'!F11*$C729*'Business Case'!F12*$B729)-('Business Case'!E11*$C729*'Business Case'!E12*$B729))-'Business Case'!F15*$F729</f>
        <v>697453408.99533</v>
      </c>
      <c r="M729" s="53" t="n">
        <f aca="false">(('Business Case'!G11*$C729*'Business Case'!G12*$B729)-'Business Case'!G11*$C729*'Business Case'!G13*$D729-'Business Case'!G14*$E729)-MAX(0,(('Business Case'!G11*$C729*'Business Case'!G12*$B729)-'Business Case'!G11*$C729*'Business Case'!G13*$D729-'Business Case'!G14*$E729))*'Business Case'!$B$7-'Business Case'!$B$8*(('Business Case'!G11*$C729*'Business Case'!G12*$B729)-('Business Case'!F11*$C729*'Business Case'!F12*$B729))-'Business Case'!G15*$F729+'Business Case'!$B$8*('Business Case'!G11*$C729*'Business Case'!G12*$B729)</f>
        <v>867282253.941773</v>
      </c>
      <c r="N729" s="53" t="n">
        <f aca="false">IF(COUNT('Business Case'!B11:G11)=0,"",H729+NPV(G729,I729:M729))</f>
        <v>-569714686.111331</v>
      </c>
      <c r="P729" s="54" t="n">
        <f aca="true">RAND()</f>
        <v>0.685885875517361</v>
      </c>
      <c r="Q729" s="54" t="n">
        <f aca="true">RAND()</f>
        <v>0.122008827931203</v>
      </c>
      <c r="R729" s="54" t="n">
        <f aca="true">RAND()</f>
        <v>0.401388778671354</v>
      </c>
      <c r="S729" s="54" t="n">
        <f aca="true">RAND()</f>
        <v>0.721791755214259</v>
      </c>
      <c r="T729" s="54" t="n">
        <f aca="true">RAND()</f>
        <v>0.778992071515619</v>
      </c>
      <c r="U729" s="54" t="n">
        <f aca="true">RAND()</f>
        <v>0.380948471531467</v>
      </c>
    </row>
    <row r="730" customFormat="false" ht="15" hidden="false" customHeight="false" outlineLevel="0" collapsed="false">
      <c r="A730" s="50" t="n">
        <v>650</v>
      </c>
      <c r="B730" s="51" t="n">
        <f aca="false">1+IF($G$6=$E$6,$F$6,IF(P730&lt;($F$6-$E$6)/($G$6-$E$6),$E$6+SQRT(P730*($G$6-$E$6)*($F$6-$E$6)),$G$6-SQRT((1-P730)*($G$6-$E$6)*($G$6-$F$6))))</f>
        <v>0.984808716641855</v>
      </c>
      <c r="C730" s="51" t="n">
        <f aca="false">1+IF($G$7=$E$7,$F$7,IF(Q730&lt;($F$7-$E$7)/($G$7-$E$7),$E$7+SQRT(Q730*($G$7-$E$7)*($F$7-$E$7)),$G$7-SQRT((1-Q730)*($G$7-$E$7)*($G$7-$F$7))))</f>
        <v>0.944424010746093</v>
      </c>
      <c r="D730" s="51" t="n">
        <f aca="false">1+IF($G$8=$E$8,$F$8,IF(R730&lt;($F$8-$E$8)/($G$8-$E$8),$E$8+SQRT(R730*($G$8-$E$8)*($F$8-$E$8)),$G$8-SQRT((1-R730)*($G$8-$E$8)*($G$8-$F$8))))</f>
        <v>0.987877010028466</v>
      </c>
      <c r="E730" s="51" t="n">
        <f aca="false">1+IF($G$9=$E$9,$F$9,IF(S730&lt;($F$9-$E$9)/($G$9-$E$9),$E$9+SQRT(S730*($G$9-$E$9)*($F$9-$E$9)),$G$9-SQRT((1-S730)*($G$9-$E$9)*($G$9-$F$9))))</f>
        <v>1.07956618290816</v>
      </c>
      <c r="F730" s="51" t="n">
        <f aca="false">1+IF($G$10=$E$10,$F$10,IF(T730&lt;($F$10-$E$10)/($G$10-$E$10),$E$10+SQRT(T730*($G$10-$E$10)*($F$10-$E$10)),$G$10-SQRT((1-T730)*($G$10-$E$10)*($G$10-$F$10))))</f>
        <v>0.998618124562289</v>
      </c>
      <c r="G730" s="52" t="n">
        <f aca="false">IF($G$11=$E$11,$F$11,IF(U730&lt;($F$11-$E$11)/($G$11-$E$11),$E$11+SQRT(U730*($G$11-$E$11)*($F$11-$E$11)),$G$11-SQRT((1-U730)*($G$11-$E$11)*($G$11-$F$11))))</f>
        <v>0.104325352897471</v>
      </c>
      <c r="H730" s="53" t="n">
        <f aca="false">(('Business Case'!B11*$C730*'Business Case'!B12*$B730)-'Business Case'!B11*$C730*'Business Case'!B13*$D730-'Business Case'!B14*$E730)-MAX(0,(('Business Case'!B11*$C730*'Business Case'!B12*$B730)-'Business Case'!B11*$C730*'Business Case'!B13*$D730-'Business Case'!B14*$E730))*'Business Case'!$B$7-'Business Case'!$B$8*('Business Case'!B11*$C730*'Business Case'!B12*$B730)-'Business Case'!B15*$F730</f>
        <v>-1997236249.12458</v>
      </c>
      <c r="I730" s="53" t="n">
        <f aca="false">(('Business Case'!C11*$C730*'Business Case'!C12*$B730)-'Business Case'!C11*$C730*'Business Case'!C13*$D730-'Business Case'!C14*$E730)-MAX(0,(('Business Case'!C11*$C730*'Business Case'!C12*$B730)-'Business Case'!C11*$C730*'Business Case'!C13*$D730-'Business Case'!C14*$E730))*'Business Case'!$B$7-'Business Case'!$B$8*(('Business Case'!C11*$C730*'Business Case'!C12*$B730)-('Business Case'!B11*$C730*'Business Case'!B12*$B730))-'Business Case'!C15*$F730</f>
        <v>-17399731.5462252</v>
      </c>
      <c r="J730" s="53" t="n">
        <f aca="false">(('Business Case'!D11*$C730*'Business Case'!D12*$B730)-'Business Case'!D11*$C730*'Business Case'!D13*$D730-'Business Case'!D14*$E730)-MAX(0,(('Business Case'!D11*$C730*'Business Case'!D12*$B730)-'Business Case'!D11*$C730*'Business Case'!D13*$D730-'Business Case'!D14*$E730))*'Business Case'!$B$7-'Business Case'!$B$8*(('Business Case'!D11*$C730*'Business Case'!D12*$B730)-('Business Case'!C11*$C730*'Business Case'!C12*$B730))-'Business Case'!D15*$F730</f>
        <v>266791852.149049</v>
      </c>
      <c r="K730" s="53" t="n">
        <f aca="false">(('Business Case'!E11*$C730*'Business Case'!E12*$B730)-'Business Case'!E11*$C730*'Business Case'!E13*$D730-'Business Case'!E14*$E730)-MAX(0,(('Business Case'!E11*$C730*'Business Case'!E12*$B730)-'Business Case'!E11*$C730*'Business Case'!E13*$D730-'Business Case'!E14*$E730))*'Business Case'!$B$7-'Business Case'!$B$8*(('Business Case'!E11*$C730*'Business Case'!E12*$B730)-('Business Case'!D11*$C730*'Business Case'!D12*$B730))-'Business Case'!E15*$F730</f>
        <v>600914342.072436</v>
      </c>
      <c r="L730" s="53" t="n">
        <f aca="false">(('Business Case'!F11*$C730*'Business Case'!F12*$B730)-'Business Case'!F11*$C730*'Business Case'!F13*$D730-'Business Case'!F14*$E730)-MAX(0,(('Business Case'!F11*$C730*'Business Case'!F12*$B730)-'Business Case'!F11*$C730*'Business Case'!F13*$D730-'Business Case'!F14*$E730))*'Business Case'!$B$7-'Business Case'!$B$8*(('Business Case'!F11*$C730*'Business Case'!F12*$B730)-('Business Case'!E11*$C730*'Business Case'!E12*$B730))-'Business Case'!F15*$F730</f>
        <v>727788331.021348</v>
      </c>
      <c r="M730" s="53" t="n">
        <f aca="false">(('Business Case'!G11*$C730*'Business Case'!G12*$B730)-'Business Case'!G11*$C730*'Business Case'!G13*$D730-'Business Case'!G14*$E730)-MAX(0,(('Business Case'!G11*$C730*'Business Case'!G12*$B730)-'Business Case'!G11*$C730*'Business Case'!G13*$D730-'Business Case'!G14*$E730))*'Business Case'!$B$7-'Business Case'!$B$8*(('Business Case'!G11*$C730*'Business Case'!G12*$B730)-('Business Case'!F11*$C730*'Business Case'!F12*$B730))-'Business Case'!G15*$F730+'Business Case'!$B$8*('Business Case'!G11*$C730*'Business Case'!G12*$B730)</f>
        <v>904577366.799024</v>
      </c>
      <c r="N730" s="53" t="n">
        <f aca="false">IF(COUNT('Business Case'!B11:G11)=0,"",H730+NPV(G730,I730:M730))</f>
        <v>-307930667.960807</v>
      </c>
      <c r="P730" s="54" t="n">
        <f aca="true">RAND()</f>
        <v>0.437517682579613</v>
      </c>
      <c r="Q730" s="54" t="n">
        <f aca="true">RAND()</f>
        <v>0.297975641142678</v>
      </c>
      <c r="R730" s="54" t="n">
        <f aca="true">RAND()</f>
        <v>0.220718136722544</v>
      </c>
      <c r="S730" s="54" t="n">
        <f aca="true">RAND()</f>
        <v>0.972163941270485</v>
      </c>
      <c r="T730" s="54" t="n">
        <f aca="true">RAND()</f>
        <v>0.189097762876338</v>
      </c>
      <c r="U730" s="54" t="n">
        <f aca="true">RAND()</f>
        <v>0.590509063685316</v>
      </c>
    </row>
    <row r="731" customFormat="false" ht="15" hidden="false" customHeight="false" outlineLevel="0" collapsed="false">
      <c r="A731" s="50" t="n">
        <v>651</v>
      </c>
      <c r="B731" s="51" t="n">
        <f aca="false">1+IF($G$6=$E$6,$F$6,IF(P731&lt;($F$6-$E$6)/($G$6-$E$6),$E$6+SQRT(P731*($G$6-$E$6)*($F$6-$E$6)),$G$6-SQRT((1-P731)*($G$6-$E$6)*($G$6-$F$6))))</f>
        <v>0.973255207262816</v>
      </c>
      <c r="C731" s="51" t="n">
        <f aca="false">1+IF($G$7=$E$7,$F$7,IF(Q731&lt;($F$7-$E$7)/($G$7-$E$7),$E$7+SQRT(Q731*($G$7-$E$7)*($F$7-$E$7)),$G$7-SQRT((1-Q731)*($G$7-$E$7)*($G$7-$F$7))))</f>
        <v>0.902996102945948</v>
      </c>
      <c r="D731" s="51" t="n">
        <f aca="false">1+IF($G$8=$E$8,$F$8,IF(R731&lt;($F$8-$E$8)/($G$8-$E$8),$E$8+SQRT(R731*($G$8-$E$8)*($F$8-$E$8)),$G$8-SQRT((1-R731)*($G$8-$E$8)*($G$8-$F$8))))</f>
        <v>0.977289167044672</v>
      </c>
      <c r="E731" s="51" t="n">
        <f aca="false">1+IF($G$9=$E$9,$F$9,IF(S731&lt;($F$9-$E$9)/($G$9-$E$9),$E$9+SQRT(S731*($G$9-$E$9)*($F$9-$E$9)),$G$9-SQRT((1-S731)*($G$9-$E$9)*($G$9-$F$9))))</f>
        <v>0.974786359216468</v>
      </c>
      <c r="F731" s="51" t="n">
        <f aca="false">1+IF($G$10=$E$10,$F$10,IF(T731&lt;($F$10-$E$10)/($G$10-$E$10),$E$10+SQRT(T731*($G$10-$E$10)*($F$10-$E$10)),$G$10-SQRT((1-T731)*($G$10-$E$10)*($G$10-$F$10))))</f>
        <v>1.06675944057394</v>
      </c>
      <c r="G731" s="52" t="n">
        <f aca="false">IF($G$11=$E$11,$F$11,IF(U731&lt;($F$11-$E$11)/($G$11-$E$11),$E$11+SQRT(U731*($G$11-$E$11)*($F$11-$E$11)),$G$11-SQRT((1-U731)*($G$11-$E$11)*($G$11-$F$11))))</f>
        <v>0.107272052639426</v>
      </c>
      <c r="H731" s="53" t="n">
        <f aca="false">(('Business Case'!B11*$C731*'Business Case'!B12*$B731)-'Business Case'!B11*$C731*'Business Case'!B13*$D731-'Business Case'!B14*$E731)-MAX(0,(('Business Case'!B11*$C731*'Business Case'!B12*$B731)-'Business Case'!B11*$C731*'Business Case'!B13*$D731-'Business Case'!B14*$E731))*'Business Case'!$B$7-'Business Case'!$B$8*('Business Case'!B11*$C731*'Business Case'!B12*$B731)-'Business Case'!B15*$F731</f>
        <v>-2133518881.14789</v>
      </c>
      <c r="I731" s="53" t="n">
        <f aca="false">(('Business Case'!C11*$C731*'Business Case'!C12*$B731)-'Business Case'!C11*$C731*'Business Case'!C13*$D731-'Business Case'!C14*$E731)-MAX(0,(('Business Case'!C11*$C731*'Business Case'!C12*$B731)-'Business Case'!C11*$C731*'Business Case'!C13*$D731-'Business Case'!C14*$E731))*'Business Case'!$B$7-'Business Case'!$B$8*(('Business Case'!C11*$C731*'Business Case'!C12*$B731)-('Business Case'!B11*$C731*'Business Case'!B12*$B731))-'Business Case'!C15*$F731</f>
        <v>-22775466.7318519</v>
      </c>
      <c r="J731" s="53" t="n">
        <f aca="false">(('Business Case'!D11*$C731*'Business Case'!D12*$B731)-'Business Case'!D11*$C731*'Business Case'!D13*$D731-'Business Case'!D14*$E731)-MAX(0,(('Business Case'!D11*$C731*'Business Case'!D12*$B731)-'Business Case'!D11*$C731*'Business Case'!D13*$D731-'Business Case'!D14*$E731))*'Business Case'!$B$7-'Business Case'!$B$8*(('Business Case'!D11*$C731*'Business Case'!D12*$B731)-('Business Case'!C11*$C731*'Business Case'!C12*$B731))-'Business Case'!D15*$F731</f>
        <v>245298989.853948</v>
      </c>
      <c r="K731" s="53" t="n">
        <f aca="false">(('Business Case'!E11*$C731*'Business Case'!E12*$B731)-'Business Case'!E11*$C731*'Business Case'!E13*$D731-'Business Case'!E14*$E731)-MAX(0,(('Business Case'!E11*$C731*'Business Case'!E12*$B731)-'Business Case'!E11*$C731*'Business Case'!E13*$D731-'Business Case'!E14*$E731))*'Business Case'!$B$7-'Business Case'!$B$8*(('Business Case'!E11*$C731*'Business Case'!E12*$B731)-('Business Case'!D11*$C731*'Business Case'!D12*$B731))-'Business Case'!E15*$F731</f>
        <v>566711418.468446</v>
      </c>
      <c r="L731" s="53" t="n">
        <f aca="false">(('Business Case'!F11*$C731*'Business Case'!F12*$B731)-'Business Case'!F11*$C731*'Business Case'!F13*$D731-'Business Case'!F14*$E731)-MAX(0,(('Business Case'!F11*$C731*'Business Case'!F12*$B731)-'Business Case'!F11*$C731*'Business Case'!F13*$D731-'Business Case'!F14*$E731))*'Business Case'!$B$7-'Business Case'!$B$8*(('Business Case'!F11*$C731*'Business Case'!F12*$B731)-('Business Case'!E11*$C731*'Business Case'!E12*$B731))-'Business Case'!F15*$F731</f>
        <v>686442476.650164</v>
      </c>
      <c r="M731" s="53" t="n">
        <f aca="false">(('Business Case'!G11*$C731*'Business Case'!G12*$B731)-'Business Case'!G11*$C731*'Business Case'!G13*$D731-'Business Case'!G14*$E731)-MAX(0,(('Business Case'!G11*$C731*'Business Case'!G12*$B731)-'Business Case'!G11*$C731*'Business Case'!G13*$D731-'Business Case'!G14*$E731))*'Business Case'!$B$7-'Business Case'!$B$8*(('Business Case'!G11*$C731*'Business Case'!G12*$B731)-('Business Case'!F11*$C731*'Business Case'!F12*$B731))-'Business Case'!G15*$F731+'Business Case'!$B$8*('Business Case'!G11*$C731*'Business Case'!G12*$B731)</f>
        <v>853493459.575643</v>
      </c>
      <c r="N731" s="53" t="n">
        <f aca="false">IF(COUNT('Business Case'!B11:G11)=0,"",H731+NPV(G731,I731:M731))</f>
        <v>-567140352.897897</v>
      </c>
      <c r="P731" s="54" t="n">
        <f aca="true">RAND()</f>
        <v>0.295428864646401</v>
      </c>
      <c r="Q731" s="54" t="n">
        <f aca="true">RAND()</f>
        <v>0.151545674600746</v>
      </c>
      <c r="R731" s="54" t="n">
        <f aca="true">RAND()</f>
        <v>0.11456902122954</v>
      </c>
      <c r="S731" s="54" t="n">
        <f aca="true">RAND()</f>
        <v>0.0819151470943704</v>
      </c>
      <c r="T731" s="54" t="n">
        <f aca="true">RAND()</f>
        <v>0.644939066476631</v>
      </c>
      <c r="U731" s="54" t="n">
        <f aca="true">RAND()</f>
        <v>0.729998926644084</v>
      </c>
    </row>
    <row r="732" customFormat="false" ht="15" hidden="false" customHeight="false" outlineLevel="0" collapsed="false">
      <c r="A732" s="50" t="n">
        <v>652</v>
      </c>
      <c r="B732" s="51" t="n">
        <f aca="false">1+IF($G$6=$E$6,$F$6,IF(P732&lt;($F$6-$E$6)/($G$6-$E$6),$E$6+SQRT(P732*($G$6-$E$6)*($F$6-$E$6)),$G$6-SQRT((1-P732)*($G$6-$E$6)*($G$6-$F$6))))</f>
        <v>0.943877917646432</v>
      </c>
      <c r="C732" s="51" t="n">
        <f aca="false">1+IF($G$7=$E$7,$F$7,IF(Q732&lt;($F$7-$E$7)/($G$7-$E$7),$E$7+SQRT(Q732*($G$7-$E$7)*($F$7-$E$7)),$G$7-SQRT((1-Q732)*($G$7-$E$7)*($G$7-$F$7))))</f>
        <v>0.831838741133529</v>
      </c>
      <c r="D732" s="51" t="n">
        <f aca="false">1+IF($G$8=$E$8,$F$8,IF(R732&lt;($F$8-$E$8)/($G$8-$E$8),$E$8+SQRT(R732*($G$8-$E$8)*($F$8-$E$8)),$G$8-SQRT((1-R732)*($G$8-$E$8)*($G$8-$F$8))))</f>
        <v>0.990980639043426</v>
      </c>
      <c r="E732" s="51" t="n">
        <f aca="false">1+IF($G$9=$E$9,$F$9,IF(S732&lt;($F$9-$E$9)/($G$9-$E$9),$E$9+SQRT(S732*($G$9-$E$9)*($F$9-$E$9)),$G$9-SQRT((1-S732)*($G$9-$E$9)*($G$9-$F$9))))</f>
        <v>0.998286849438781</v>
      </c>
      <c r="F732" s="51" t="n">
        <f aca="false">1+IF($G$10=$E$10,$F$10,IF(T732&lt;($F$10-$E$10)/($G$10-$E$10),$E$10+SQRT(T732*($G$10-$E$10)*($F$10-$E$10)),$G$10-SQRT((1-T732)*($G$10-$E$10)*($G$10-$F$10))))</f>
        <v>0.966076338552441</v>
      </c>
      <c r="G732" s="52" t="n">
        <f aca="false">IF($G$11=$E$11,$F$11,IF(U732&lt;($F$11-$E$11)/($G$11-$E$11),$E$11+SQRT(U732*($G$11-$E$11)*($F$11-$E$11)),$G$11-SQRT((1-U732)*($G$11-$E$11)*($G$11-$F$11))))</f>
        <v>0.100804099035415</v>
      </c>
      <c r="H732" s="53" t="n">
        <f aca="false">(('Business Case'!B11*$C732*'Business Case'!B12*$B732)-'Business Case'!B11*$C732*'Business Case'!B13*$D732-'Business Case'!B14*$E732)-MAX(0,(('Business Case'!B11*$C732*'Business Case'!B12*$B732)-'Business Case'!B11*$C732*'Business Case'!B13*$D732-'Business Case'!B14*$E732))*'Business Case'!$B$7-'Business Case'!$B$8*('Business Case'!B11*$C732*'Business Case'!B12*$B732)-'Business Case'!B15*$F732</f>
        <v>-1932152677.10488</v>
      </c>
      <c r="I732" s="53" t="n">
        <f aca="false">(('Business Case'!C11*$C732*'Business Case'!C12*$B732)-'Business Case'!C11*$C732*'Business Case'!C13*$D732-'Business Case'!C14*$E732)-MAX(0,(('Business Case'!C11*$C732*'Business Case'!C12*$B732)-'Business Case'!C11*$C732*'Business Case'!C13*$D732-'Business Case'!C14*$E732))*'Business Case'!$B$7-'Business Case'!$B$8*(('Business Case'!C11*$C732*'Business Case'!C12*$B732)-('Business Case'!B11*$C732*'Business Case'!B12*$B732))-'Business Case'!C15*$F732</f>
        <v>-58162712.0430855</v>
      </c>
      <c r="J732" s="53" t="n">
        <f aca="false">(('Business Case'!D11*$C732*'Business Case'!D12*$B732)-'Business Case'!D11*$C732*'Business Case'!D13*$D732-'Business Case'!D14*$E732)-MAX(0,(('Business Case'!D11*$C732*'Business Case'!D12*$B732)-'Business Case'!D11*$C732*'Business Case'!D13*$D732-'Business Case'!D14*$E732))*'Business Case'!$B$7-'Business Case'!$B$8*(('Business Case'!D11*$C732*'Business Case'!D12*$B732)-('Business Case'!C11*$C732*'Business Case'!C12*$B732))-'Business Case'!D15*$F732</f>
        <v>162940994.461795</v>
      </c>
      <c r="K732" s="53" t="n">
        <f aca="false">(('Business Case'!E11*$C732*'Business Case'!E12*$B732)-'Business Case'!E11*$C732*'Business Case'!E13*$D732-'Business Case'!E14*$E732)-MAX(0,(('Business Case'!E11*$C732*'Business Case'!E12*$B732)-'Business Case'!E11*$C732*'Business Case'!E13*$D732-'Business Case'!E14*$E732))*'Business Case'!$B$7-'Business Case'!$B$8*(('Business Case'!E11*$C732*'Business Case'!E12*$B732)-('Business Case'!D11*$C732*'Business Case'!D12*$B732))-'Business Case'!E15*$F732</f>
        <v>432348517.894297</v>
      </c>
      <c r="L732" s="53" t="n">
        <f aca="false">(('Business Case'!F11*$C732*'Business Case'!F12*$B732)-'Business Case'!F11*$C732*'Business Case'!F13*$D732-'Business Case'!F14*$E732)-MAX(0,(('Business Case'!F11*$C732*'Business Case'!F12*$B732)-'Business Case'!F11*$C732*'Business Case'!F13*$D732-'Business Case'!F14*$E732))*'Business Case'!$B$7-'Business Case'!$B$8*(('Business Case'!F11*$C732*'Business Case'!F12*$B732)-('Business Case'!E11*$C732*'Business Case'!E12*$B732))-'Business Case'!F15*$F732</f>
        <v>533184683.197608</v>
      </c>
      <c r="M732" s="53" t="n">
        <f aca="false">(('Business Case'!G11*$C732*'Business Case'!G12*$B732)-'Business Case'!G11*$C732*'Business Case'!G13*$D732-'Business Case'!G14*$E732)-MAX(0,(('Business Case'!G11*$C732*'Business Case'!G12*$B732)-'Business Case'!G11*$C732*'Business Case'!G13*$D732-'Business Case'!G14*$E732))*'Business Case'!$B$7-'Business Case'!$B$8*(('Business Case'!G11*$C732*'Business Case'!G12*$B732)-('Business Case'!F11*$C732*'Business Case'!F12*$B732))-'Business Case'!G15*$F732+'Business Case'!$B$8*('Business Case'!G11*$C732*'Business Case'!G12*$B732)</f>
        <v>682426797.106874</v>
      </c>
      <c r="N732" s="53" t="n">
        <f aca="false">IF(COUNT('Business Case'!B11:G11)=0,"",H732+NPV(G732,I732:M732))</f>
        <v>-741107983.337613</v>
      </c>
      <c r="P732" s="54" t="n">
        <f aca="true">RAND()</f>
        <v>0.0593911407426854</v>
      </c>
      <c r="Q732" s="54" t="n">
        <f aca="true">RAND()</f>
        <v>0.0144815062423981</v>
      </c>
      <c r="R732" s="54" t="n">
        <f aca="true">RAND()</f>
        <v>0.258371196370393</v>
      </c>
      <c r="S732" s="54" t="n">
        <f aca="true">RAND()</f>
        <v>0.310882643829804</v>
      </c>
      <c r="T732" s="54" t="n">
        <f aca="true">RAND()</f>
        <v>0.0206758929002152</v>
      </c>
      <c r="U732" s="54" t="n">
        <f aca="true">RAND()</f>
        <v>0.385862310263106</v>
      </c>
    </row>
    <row r="733" customFormat="false" ht="15" hidden="false" customHeight="false" outlineLevel="0" collapsed="false">
      <c r="A733" s="50" t="n">
        <v>653</v>
      </c>
      <c r="B733" s="51" t="n">
        <f aca="false">1+IF($G$6=$E$6,$F$6,IF(P733&lt;($F$6-$E$6)/($G$6-$E$6),$E$6+SQRT(P733*($G$6-$E$6)*($F$6-$E$6)),$G$6-SQRT((1-P733)*($G$6-$E$6)*($G$6-$F$6))))</f>
        <v>1.03299722099436</v>
      </c>
      <c r="C733" s="51" t="n">
        <f aca="false">1+IF($G$7=$E$7,$F$7,IF(Q733&lt;($F$7-$E$7)/($G$7-$E$7),$E$7+SQRT(Q733*($G$7-$E$7)*($F$7-$E$7)),$G$7-SQRT((1-Q733)*($G$7-$E$7)*($G$7-$F$7))))</f>
        <v>0.929059080344511</v>
      </c>
      <c r="D733" s="51" t="n">
        <f aca="false">1+IF($G$8=$E$8,$F$8,IF(R733&lt;($F$8-$E$8)/($G$8-$E$8),$E$8+SQRT(R733*($G$8-$E$8)*($F$8-$E$8)),$G$8-SQRT((1-R733)*($G$8-$E$8)*($G$8-$F$8))))</f>
        <v>1.01523372200204</v>
      </c>
      <c r="E733" s="51" t="n">
        <f aca="false">1+IF($G$9=$E$9,$F$9,IF(S733&lt;($F$9-$E$9)/($G$9-$E$9),$E$9+SQRT(S733*($G$9-$E$9)*($F$9-$E$9)),$G$9-SQRT((1-S733)*($G$9-$E$9)*($G$9-$F$9))))</f>
        <v>1.04908931109407</v>
      </c>
      <c r="F733" s="51" t="n">
        <f aca="false">1+IF($G$10=$E$10,$F$10,IF(T733&lt;($F$10-$E$10)/($G$10-$E$10),$E$10+SQRT(T733*($G$10-$E$10)*($F$10-$E$10)),$G$10-SQRT((1-T733)*($G$10-$E$10)*($G$10-$F$10))))</f>
        <v>1.09336783678645</v>
      </c>
      <c r="G733" s="52" t="n">
        <f aca="false">IF($G$11=$E$11,$F$11,IF(U733&lt;($F$11-$E$11)/($G$11-$E$11),$E$11+SQRT(U733*($G$11-$E$11)*($F$11-$E$11)),$G$11-SQRT((1-U733)*($G$11-$E$11)*($G$11-$F$11))))</f>
        <v>0.104803421931021</v>
      </c>
      <c r="H733" s="53" t="n">
        <f aca="false">(('Business Case'!B11*$C733*'Business Case'!B12*$B733)-'Business Case'!B11*$C733*'Business Case'!B13*$D733-'Business Case'!B14*$E733)-MAX(0,(('Business Case'!B11*$C733*'Business Case'!B12*$B733)-'Business Case'!B11*$C733*'Business Case'!B13*$D733-'Business Case'!B14*$E733))*'Business Case'!$B$7-'Business Case'!$B$8*('Business Case'!B11*$C733*'Business Case'!B12*$B733)-'Business Case'!B15*$F733</f>
        <v>-2186735673.57289</v>
      </c>
      <c r="I733" s="53" t="n">
        <f aca="false">(('Business Case'!C11*$C733*'Business Case'!C12*$B733)-'Business Case'!C11*$C733*'Business Case'!C13*$D733-'Business Case'!C14*$E733)-MAX(0,(('Business Case'!C11*$C733*'Business Case'!C12*$B733)-'Business Case'!C11*$C733*'Business Case'!C13*$D733-'Business Case'!C14*$E733))*'Business Case'!$B$7-'Business Case'!$B$8*(('Business Case'!C11*$C733*'Business Case'!C12*$B733)-('Business Case'!B11*$C733*'Business Case'!B12*$B733))-'Business Case'!C15*$F733</f>
        <v>-5042023.38986613</v>
      </c>
      <c r="J733" s="53" t="n">
        <f aca="false">(('Business Case'!D11*$C733*'Business Case'!D12*$B733)-'Business Case'!D11*$C733*'Business Case'!D13*$D733-'Business Case'!D14*$E733)-MAX(0,(('Business Case'!D11*$C733*'Business Case'!D12*$B733)-'Business Case'!D11*$C733*'Business Case'!D13*$D733-'Business Case'!D14*$E733))*'Business Case'!$B$7-'Business Case'!$B$8*(('Business Case'!D11*$C733*'Business Case'!D12*$B733)-('Business Case'!C11*$C733*'Business Case'!C12*$B733))-'Business Case'!D15*$F733</f>
        <v>298184885.767831</v>
      </c>
      <c r="K733" s="53" t="n">
        <f aca="false">(('Business Case'!E11*$C733*'Business Case'!E12*$B733)-'Business Case'!E11*$C733*'Business Case'!E13*$D733-'Business Case'!E14*$E733)-MAX(0,(('Business Case'!E11*$C733*'Business Case'!E12*$B733)-'Business Case'!E11*$C733*'Business Case'!E13*$D733-'Business Case'!E14*$E733))*'Business Case'!$B$7-'Business Case'!$B$8*(('Business Case'!E11*$C733*'Business Case'!E12*$B733)-('Business Case'!D11*$C733*'Business Case'!D12*$B733))-'Business Case'!E15*$F733</f>
        <v>656080186.764849</v>
      </c>
      <c r="L733" s="53" t="n">
        <f aca="false">(('Business Case'!F11*$C733*'Business Case'!F12*$B733)-'Business Case'!F11*$C733*'Business Case'!F13*$D733-'Business Case'!F14*$E733)-MAX(0,(('Business Case'!F11*$C733*'Business Case'!F12*$B733)-'Business Case'!F11*$C733*'Business Case'!F13*$D733-'Business Case'!F14*$E733))*'Business Case'!$B$7-'Business Case'!$B$8*(('Business Case'!F11*$C733*'Business Case'!F12*$B733)-('Business Case'!E11*$C733*'Business Case'!E12*$B733))-'Business Case'!F15*$F733</f>
        <v>790323589.03831</v>
      </c>
      <c r="M733" s="53" t="n">
        <f aca="false">(('Business Case'!G11*$C733*'Business Case'!G12*$B733)-'Business Case'!G11*$C733*'Business Case'!G13*$D733-'Business Case'!G14*$E733)-MAX(0,(('Business Case'!G11*$C733*'Business Case'!G12*$B733)-'Business Case'!G11*$C733*'Business Case'!G13*$D733-'Business Case'!G14*$E733))*'Business Case'!$B$7-'Business Case'!$B$8*(('Business Case'!G11*$C733*'Business Case'!G12*$B733)-('Business Case'!F11*$C733*'Business Case'!F12*$B733))-'Business Case'!G15*$F733+'Business Case'!$B$8*('Business Case'!G11*$C733*'Business Case'!G12*$B733)</f>
        <v>972746301.419897</v>
      </c>
      <c r="N733" s="53" t="n">
        <f aca="false">IF(COUNT('Business Case'!B11:G11)=0,"",H733+NPV(G733,I733:M733))</f>
        <v>-339025130.884613</v>
      </c>
      <c r="P733" s="54" t="n">
        <f aca="true">RAND()</f>
        <v>0.989783559624609</v>
      </c>
      <c r="Q733" s="54" t="n">
        <f aca="true">RAND()</f>
        <v>0.237946374562442</v>
      </c>
      <c r="R733" s="54" t="n">
        <f aca="true">RAND()</f>
        <v>0.596666272528032</v>
      </c>
      <c r="S733" s="54" t="n">
        <f aca="true">RAND()</f>
        <v>0.827206783674898</v>
      </c>
      <c r="T733" s="54" t="n">
        <f aca="true">RAND()</f>
        <v>0.772591635367957</v>
      </c>
      <c r="U733" s="54" t="n">
        <f aca="true">RAND()</f>
        <v>0.615106691655705</v>
      </c>
    </row>
    <row r="734" customFormat="false" ht="15" hidden="false" customHeight="false" outlineLevel="0" collapsed="false">
      <c r="A734" s="50" t="n">
        <v>654</v>
      </c>
      <c r="B734" s="51" t="n">
        <f aca="false">1+IF($G$6=$E$6,$F$6,IF(P734&lt;($F$6-$E$6)/($G$6-$E$6),$E$6+SQRT(P734*($G$6-$E$6)*($F$6-$E$6)),$G$6-SQRT((1-P734)*($G$6-$E$6)*($G$6-$F$6))))</f>
        <v>0.978119875633391</v>
      </c>
      <c r="C734" s="51" t="n">
        <f aca="false">1+IF($G$7=$E$7,$F$7,IF(Q734&lt;($F$7-$E$7)/($G$7-$E$7),$E$7+SQRT(Q734*($G$7-$E$7)*($F$7-$E$7)),$G$7-SQRT((1-Q734)*($G$7-$E$7)*($G$7-$F$7))))</f>
        <v>1.05348788462451</v>
      </c>
      <c r="D734" s="51" t="n">
        <f aca="false">1+IF($G$8=$E$8,$F$8,IF(R734&lt;($F$8-$E$8)/($G$8-$E$8),$E$8+SQRT(R734*($G$8-$E$8)*($F$8-$E$8)),$G$8-SQRT((1-R734)*($G$8-$E$8)*($G$8-$F$8))))</f>
        <v>0.974896645390205</v>
      </c>
      <c r="E734" s="51" t="n">
        <f aca="false">1+IF($G$9=$E$9,$F$9,IF(S734&lt;($F$9-$E$9)/($G$9-$E$9),$E$9+SQRT(S734*($G$9-$E$9)*($F$9-$E$9)),$G$9-SQRT((1-S734)*($G$9-$E$9)*($G$9-$F$9))))</f>
        <v>1.01087194097193</v>
      </c>
      <c r="F734" s="51" t="n">
        <f aca="false">1+IF($G$10=$E$10,$F$10,IF(T734&lt;($F$10-$E$10)/($G$10-$E$10),$E$10+SQRT(T734*($G$10-$E$10)*($F$10-$E$10)),$G$10-SQRT((1-T734)*($G$10-$E$10)*($G$10-$F$10))))</f>
        <v>1.05724526297627</v>
      </c>
      <c r="G734" s="52" t="n">
        <f aca="false">IF($G$11=$E$11,$F$11,IF(U734&lt;($F$11-$E$11)/($G$11-$E$11),$E$11+SQRT(U734*($G$11-$E$11)*($F$11-$E$11)),$G$11-SQRT((1-U734)*($G$11-$E$11)*($G$11-$F$11))))</f>
        <v>0.101219826267227</v>
      </c>
      <c r="H734" s="53" t="n">
        <f aca="false">(('Business Case'!B11*$C734*'Business Case'!B12*$B734)-'Business Case'!B11*$C734*'Business Case'!B13*$D734-'Business Case'!B14*$E734)-MAX(0,(('Business Case'!B11*$C734*'Business Case'!B12*$B734)-'Business Case'!B11*$C734*'Business Case'!B13*$D734-'Business Case'!B14*$E734))*'Business Case'!$B$7-'Business Case'!$B$8*('Business Case'!B11*$C734*'Business Case'!B12*$B734)-'Business Case'!B15*$F734</f>
        <v>-2114490525.95255</v>
      </c>
      <c r="I734" s="53" t="n">
        <f aca="false">(('Business Case'!C11*$C734*'Business Case'!C12*$B734)-'Business Case'!C11*$C734*'Business Case'!C13*$D734-'Business Case'!C14*$E734)-MAX(0,(('Business Case'!C11*$C734*'Business Case'!C12*$B734)-'Business Case'!C11*$C734*'Business Case'!C13*$D734-'Business Case'!C14*$E734))*'Business Case'!$B$7-'Business Case'!$B$8*(('Business Case'!C11*$C734*'Business Case'!C12*$B734)-('Business Case'!B11*$C734*'Business Case'!B12*$B734))-'Business Case'!C15*$F734</f>
        <v>15350820.0057215</v>
      </c>
      <c r="J734" s="53" t="n">
        <f aca="false">(('Business Case'!D11*$C734*'Business Case'!D12*$B734)-'Business Case'!D11*$C734*'Business Case'!D13*$D734-'Business Case'!D14*$E734)-MAX(0,(('Business Case'!D11*$C734*'Business Case'!D12*$B734)-'Business Case'!D11*$C734*'Business Case'!D13*$D734-'Business Case'!D14*$E734))*'Business Case'!$B$7-'Business Case'!$B$8*(('Business Case'!D11*$C734*'Business Case'!D12*$B734)-('Business Case'!C11*$C734*'Business Case'!C12*$B734))-'Business Case'!D15*$F734</f>
        <v>333590033.13698</v>
      </c>
      <c r="K734" s="53" t="n">
        <f aca="false">(('Business Case'!E11*$C734*'Business Case'!E12*$B734)-'Business Case'!E11*$C734*'Business Case'!E13*$D734-'Business Case'!E14*$E734)-MAX(0,(('Business Case'!E11*$C734*'Business Case'!E12*$B734)-'Business Case'!E11*$C734*'Business Case'!E13*$D734-'Business Case'!E14*$E734))*'Business Case'!$B$7-'Business Case'!$B$8*(('Business Case'!E11*$C734*'Business Case'!E12*$B734)-('Business Case'!D11*$C734*'Business Case'!D12*$B734))-'Business Case'!E15*$F734</f>
        <v>704691509.417051</v>
      </c>
      <c r="L734" s="53" t="n">
        <f aca="false">(('Business Case'!F11*$C734*'Business Case'!F12*$B734)-'Business Case'!F11*$C734*'Business Case'!F13*$D734-'Business Case'!F14*$E734)-MAX(0,(('Business Case'!F11*$C734*'Business Case'!F12*$B734)-'Business Case'!F11*$C734*'Business Case'!F13*$D734-'Business Case'!F14*$E734))*'Business Case'!$B$7-'Business Case'!$B$8*(('Business Case'!F11*$C734*'Business Case'!F12*$B734)-('Business Case'!E11*$C734*'Business Case'!E12*$B734))-'Business Case'!F15*$F734</f>
        <v>846383165.008605</v>
      </c>
      <c r="M734" s="53" t="n">
        <f aca="false">(('Business Case'!G11*$C734*'Business Case'!G12*$B734)-'Business Case'!G11*$C734*'Business Case'!G13*$D734-'Business Case'!G14*$E734)-MAX(0,(('Business Case'!G11*$C734*'Business Case'!G12*$B734)-'Business Case'!G11*$C734*'Business Case'!G13*$D734-'Business Case'!G14*$E734))*'Business Case'!$B$7-'Business Case'!$B$8*(('Business Case'!G11*$C734*'Business Case'!G12*$B734)-('Business Case'!F11*$C734*'Business Case'!F12*$B734))-'Business Case'!G15*$F734+'Business Case'!$B$8*('Business Case'!G11*$C734*'Business Case'!G12*$B734)</f>
        <v>1042248713.35484</v>
      </c>
      <c r="N734" s="53" t="n">
        <f aca="false">IF(COUNT('Business Case'!B11:G11)=0,"",H734+NPV(G734,I734:M734))</f>
        <v>-78667157.2850571</v>
      </c>
      <c r="P734" s="54" t="n">
        <f aca="true">RAND()</f>
        <v>0.351866660795922</v>
      </c>
      <c r="Q734" s="54" t="n">
        <f aca="true">RAND()</f>
        <v>0.822579268299974</v>
      </c>
      <c r="R734" s="54" t="n">
        <f aca="true">RAND()</f>
        <v>0.0953604541054765</v>
      </c>
      <c r="S734" s="54" t="n">
        <f aca="true">RAND()</f>
        <v>0.470412606259271</v>
      </c>
      <c r="T734" s="54" t="n">
        <f aca="true">RAND()</f>
        <v>0.59242170114574</v>
      </c>
      <c r="U734" s="54" t="n">
        <f aca="true">RAND()</f>
        <v>0.412175124278134</v>
      </c>
    </row>
    <row r="735" customFormat="false" ht="15" hidden="false" customHeight="false" outlineLevel="0" collapsed="false">
      <c r="A735" s="50" t="n">
        <v>655</v>
      </c>
      <c r="B735" s="51" t="n">
        <f aca="false">1+IF($G$6=$E$6,$F$6,IF(P735&lt;($F$6-$E$6)/($G$6-$E$6),$E$6+SQRT(P735*($G$6-$E$6)*($F$6-$E$6)),$G$6-SQRT((1-P735)*($G$6-$E$6)*($G$6-$F$6))))</f>
        <v>1.01852601654361</v>
      </c>
      <c r="C735" s="51" t="n">
        <f aca="false">1+IF($G$7=$E$7,$F$7,IF(Q735&lt;($F$7-$E$7)/($G$7-$E$7),$E$7+SQRT(Q735*($G$7-$E$7)*($F$7-$E$7)),$G$7-SQRT((1-Q735)*($G$7-$E$7)*($G$7-$F$7))))</f>
        <v>0.990040270621974</v>
      </c>
      <c r="D735" s="51" t="n">
        <f aca="false">1+IF($G$8=$E$8,$F$8,IF(R735&lt;($F$8-$E$8)/($G$8-$E$8),$E$8+SQRT(R735*($G$8-$E$8)*($F$8-$E$8)),$G$8-SQRT((1-R735)*($G$8-$E$8)*($G$8-$F$8))))</f>
        <v>1.04631016557924</v>
      </c>
      <c r="E735" s="51" t="n">
        <f aca="false">1+IF($G$9=$E$9,$F$9,IF(S735&lt;($F$9-$E$9)/($G$9-$E$9),$E$9+SQRT(S735*($G$9-$E$9)*($F$9-$E$9)),$G$9-SQRT((1-S735)*($G$9-$E$9)*($G$9-$F$9))))</f>
        <v>0.976464030866521</v>
      </c>
      <c r="F735" s="51" t="n">
        <f aca="false">1+IF($G$10=$E$10,$F$10,IF(T735&lt;($F$10-$E$10)/($G$10-$E$10),$E$10+SQRT(T735*($G$10-$E$10)*($F$10-$E$10)),$G$10-SQRT((1-T735)*($G$10-$E$10)*($G$10-$F$10))))</f>
        <v>0.980671944400577</v>
      </c>
      <c r="G735" s="52" t="n">
        <f aca="false">IF($G$11=$E$11,$F$11,IF(U735&lt;($F$11-$E$11)/($G$11-$E$11),$E$11+SQRT(U735*($G$11-$E$11)*($F$11-$E$11)),$G$11-SQRT((1-U735)*($G$11-$E$11)*($G$11-$F$11))))</f>
        <v>0.104719983177023</v>
      </c>
      <c r="H735" s="53" t="n">
        <f aca="false">(('Business Case'!B11*$C735*'Business Case'!B12*$B735)-'Business Case'!B11*$C735*'Business Case'!B13*$D735-'Business Case'!B14*$E735)-MAX(0,(('Business Case'!B11*$C735*'Business Case'!B12*$B735)-'Business Case'!B11*$C735*'Business Case'!B13*$D735-'Business Case'!B14*$E735))*'Business Case'!$B$7-'Business Case'!$B$8*('Business Case'!B11*$C735*'Business Case'!B12*$B735)-'Business Case'!B15*$F735</f>
        <v>-1961343888.80115</v>
      </c>
      <c r="I735" s="53" t="n">
        <f aca="false">(('Business Case'!C11*$C735*'Business Case'!C12*$B735)-'Business Case'!C11*$C735*'Business Case'!C13*$D735-'Business Case'!C14*$E735)-MAX(0,(('Business Case'!C11*$C735*'Business Case'!C12*$B735)-'Business Case'!C11*$C735*'Business Case'!C13*$D735-'Business Case'!C14*$E735))*'Business Case'!$B$7-'Business Case'!$B$8*(('Business Case'!C11*$C735*'Business Case'!C12*$B735)-('Business Case'!B11*$C735*'Business Case'!B12*$B735))-'Business Case'!C15*$F735</f>
        <v>6449985.8746151</v>
      </c>
      <c r="J735" s="53" t="n">
        <f aca="false">(('Business Case'!D11*$C735*'Business Case'!D12*$B735)-'Business Case'!D11*$C735*'Business Case'!D13*$D735-'Business Case'!D14*$E735)-MAX(0,(('Business Case'!D11*$C735*'Business Case'!D12*$B735)-'Business Case'!D11*$C735*'Business Case'!D13*$D735-'Business Case'!D14*$E735))*'Business Case'!$B$7-'Business Case'!$B$8*(('Business Case'!D11*$C735*'Business Case'!D12*$B735)-('Business Case'!C11*$C735*'Business Case'!C12*$B735))-'Business Case'!D15*$F735</f>
        <v>302094862.493645</v>
      </c>
      <c r="K735" s="53" t="n">
        <f aca="false">(('Business Case'!E11*$C735*'Business Case'!E12*$B735)-'Business Case'!E11*$C735*'Business Case'!E13*$D735-'Business Case'!E14*$E735)-MAX(0,(('Business Case'!E11*$C735*'Business Case'!E12*$B735)-'Business Case'!E11*$C735*'Business Case'!E13*$D735-'Business Case'!E14*$E735))*'Business Case'!$B$7-'Business Case'!$B$8*(('Business Case'!E11*$C735*'Business Case'!E12*$B735)-('Business Case'!D11*$C735*'Business Case'!D12*$B735))-'Business Case'!E15*$F735</f>
        <v>646773336.332704</v>
      </c>
      <c r="L735" s="53" t="n">
        <f aca="false">(('Business Case'!F11*$C735*'Business Case'!F12*$B735)-'Business Case'!F11*$C735*'Business Case'!F13*$D735-'Business Case'!F14*$E735)-MAX(0,(('Business Case'!F11*$C735*'Business Case'!F12*$B735)-'Business Case'!F11*$C735*'Business Case'!F13*$D735-'Business Case'!F14*$E735))*'Business Case'!$B$7-'Business Case'!$B$8*(('Business Case'!F11*$C735*'Business Case'!F12*$B735)-('Business Case'!E11*$C735*'Business Case'!E12*$B735))-'Business Case'!F15*$F735</f>
        <v>780171302.615807</v>
      </c>
      <c r="M735" s="53" t="n">
        <f aca="false">(('Business Case'!G11*$C735*'Business Case'!G12*$B735)-'Business Case'!G11*$C735*'Business Case'!G13*$D735-'Business Case'!G14*$E735)-MAX(0,(('Business Case'!G11*$C735*'Business Case'!G12*$B735)-'Business Case'!G11*$C735*'Business Case'!G13*$D735-'Business Case'!G14*$E735))*'Business Case'!$B$7-'Business Case'!$B$8*(('Business Case'!G11*$C735*'Business Case'!G12*$B735)-('Business Case'!F11*$C735*'Business Case'!F12*$B735))-'Business Case'!G15*$F735+'Business Case'!$B$8*('Business Case'!G11*$C735*'Business Case'!G12*$B735)</f>
        <v>971844510.037979</v>
      </c>
      <c r="N735" s="53" t="n">
        <f aca="false">IF(COUNT('Business Case'!B11:G11)=0,"",H735+NPV(G735,I735:M735))</f>
        <v>-113764173.039654</v>
      </c>
      <c r="P735" s="54" t="n">
        <f aca="true">RAND()</f>
        <v>0.903930840523921</v>
      </c>
      <c r="Q735" s="54" t="n">
        <f aca="true">RAND()</f>
        <v>0.515932920829614</v>
      </c>
      <c r="R735" s="54" t="n">
        <f aca="true">RAND()</f>
        <v>0.890864909298216</v>
      </c>
      <c r="S735" s="54" t="n">
        <f aca="true">RAND()</f>
        <v>0.0933793239605597</v>
      </c>
      <c r="T735" s="54" t="n">
        <f aca="true">RAND()</f>
        <v>0.0752614538649687</v>
      </c>
      <c r="U735" s="54" t="n">
        <f aca="true">RAND()</f>
        <v>0.610868476482544</v>
      </c>
    </row>
    <row r="736" customFormat="false" ht="15" hidden="false" customHeight="false" outlineLevel="0" collapsed="false">
      <c r="A736" s="50" t="n">
        <v>656</v>
      </c>
      <c r="B736" s="51" t="n">
        <f aca="false">1+IF($G$6=$E$6,$F$6,IF(P736&lt;($F$6-$E$6)/($G$6-$E$6),$E$6+SQRT(P736*($G$6-$E$6)*($F$6-$E$6)),$G$6-SQRT((1-P736)*($G$6-$E$6)*($G$6-$F$6))))</f>
        <v>0.974718044450114</v>
      </c>
      <c r="C736" s="51" t="n">
        <f aca="false">1+IF($G$7=$E$7,$F$7,IF(Q736&lt;($F$7-$E$7)/($G$7-$E$7),$E$7+SQRT(Q736*($G$7-$E$7)*($F$7-$E$7)),$G$7-SQRT((1-Q736)*($G$7-$E$7)*($G$7-$F$7))))</f>
        <v>0.981117655108416</v>
      </c>
      <c r="D736" s="51" t="n">
        <f aca="false">1+IF($G$8=$E$8,$F$8,IF(R736&lt;($F$8-$E$8)/($G$8-$E$8),$E$8+SQRT(R736*($G$8-$E$8)*($F$8-$E$8)),$G$8-SQRT((1-R736)*($G$8-$E$8)*($G$8-$F$8))))</f>
        <v>1.01399357206926</v>
      </c>
      <c r="E736" s="51" t="n">
        <f aca="false">1+IF($G$9=$E$9,$F$9,IF(S736&lt;($F$9-$E$9)/($G$9-$E$9),$E$9+SQRT(S736*($G$9-$E$9)*($F$9-$E$9)),$G$9-SQRT((1-S736)*($G$9-$E$9)*($G$9-$F$9))))</f>
        <v>1.0864636342425</v>
      </c>
      <c r="F736" s="51" t="n">
        <f aca="false">1+IF($G$10=$E$10,$F$10,IF(T736&lt;($F$10-$E$10)/($G$10-$E$10),$E$10+SQRT(T736*($G$10-$E$10)*($F$10-$E$10)),$G$10-SQRT((1-T736)*($G$10-$E$10)*($G$10-$F$10))))</f>
        <v>1.05982948026886</v>
      </c>
      <c r="G736" s="52" t="n">
        <f aca="false">IF($G$11=$E$11,$F$11,IF(U736&lt;($F$11-$E$11)/($G$11-$E$11),$E$11+SQRT(U736*($G$11-$E$11)*($F$11-$E$11)),$G$11-SQRT((1-U736)*($G$11-$E$11)*($G$11-$F$11))))</f>
        <v>0.0933225590160906</v>
      </c>
      <c r="H736" s="53" t="n">
        <f aca="false">(('Business Case'!B11*$C736*'Business Case'!B12*$B736)-'Business Case'!B11*$C736*'Business Case'!B13*$D736-'Business Case'!B14*$E736)-MAX(0,(('Business Case'!B11*$C736*'Business Case'!B12*$B736)-'Business Case'!B11*$C736*'Business Case'!B13*$D736-'Business Case'!B14*$E736))*'Business Case'!$B$7-'Business Case'!$B$8*('Business Case'!B11*$C736*'Business Case'!B12*$B736)-'Business Case'!B15*$F736</f>
        <v>-2119658960.53771</v>
      </c>
      <c r="I736" s="53" t="n">
        <f aca="false">(('Business Case'!C11*$C736*'Business Case'!C12*$B736)-'Business Case'!C11*$C736*'Business Case'!C13*$D736-'Business Case'!C14*$E736)-MAX(0,(('Business Case'!C11*$C736*'Business Case'!C12*$B736)-'Business Case'!C11*$C736*'Business Case'!C13*$D736-'Business Case'!C14*$E736))*'Business Case'!$B$7-'Business Case'!$B$8*(('Business Case'!C11*$C736*'Business Case'!C12*$B736)-('Business Case'!B11*$C736*'Business Case'!B12*$B736))-'Business Case'!C15*$F736</f>
        <v>-36046152.2130952</v>
      </c>
      <c r="J736" s="53" t="n">
        <f aca="false">(('Business Case'!D11*$C736*'Business Case'!D12*$B736)-'Business Case'!D11*$C736*'Business Case'!D13*$D736-'Business Case'!D14*$E736)-MAX(0,(('Business Case'!D11*$C736*'Business Case'!D12*$B736)-'Business Case'!D11*$C736*'Business Case'!D13*$D736-'Business Case'!D14*$E736))*'Business Case'!$B$7-'Business Case'!$B$8*(('Business Case'!D11*$C736*'Business Case'!D12*$B736)-('Business Case'!C11*$C736*'Business Case'!C12*$B736))-'Business Case'!D15*$F736</f>
        <v>237961042.569295</v>
      </c>
      <c r="K736" s="53" t="n">
        <f aca="false">(('Business Case'!E11*$C736*'Business Case'!E12*$B736)-'Business Case'!E11*$C736*'Business Case'!E13*$D736-'Business Case'!E14*$E736)-MAX(0,(('Business Case'!E11*$C736*'Business Case'!E12*$B736)-'Business Case'!E11*$C736*'Business Case'!E13*$D736-'Business Case'!E14*$E736))*'Business Case'!$B$7-'Business Case'!$B$8*(('Business Case'!E11*$C736*'Business Case'!E12*$B736)-('Business Case'!D11*$C736*'Business Case'!D12*$B736))-'Business Case'!E15*$F736</f>
        <v>564959711.365129</v>
      </c>
      <c r="L736" s="53" t="n">
        <f aca="false">(('Business Case'!F11*$C736*'Business Case'!F12*$B736)-'Business Case'!F11*$C736*'Business Case'!F13*$D736-'Business Case'!F14*$E736)-MAX(0,(('Business Case'!F11*$C736*'Business Case'!F12*$B736)-'Business Case'!F11*$C736*'Business Case'!F13*$D736-'Business Case'!F14*$E736))*'Business Case'!$B$7-'Business Case'!$B$8*(('Business Case'!F11*$C736*'Business Case'!F12*$B736)-('Business Case'!E11*$C736*'Business Case'!E12*$B736))-'Business Case'!F15*$F736</f>
        <v>689345623.078804</v>
      </c>
      <c r="M736" s="53" t="n">
        <f aca="false">(('Business Case'!G11*$C736*'Business Case'!G12*$B736)-'Business Case'!G11*$C736*'Business Case'!G13*$D736-'Business Case'!G14*$E736)-MAX(0,(('Business Case'!G11*$C736*'Business Case'!G12*$B736)-'Business Case'!G11*$C736*'Business Case'!G13*$D736-'Business Case'!G14*$E736))*'Business Case'!$B$7-'Business Case'!$B$8*(('Business Case'!G11*$C736*'Business Case'!G12*$B736)-('Business Case'!F11*$C736*'Business Case'!F12*$B736))-'Business Case'!G15*$F736+'Business Case'!$B$8*('Business Case'!G11*$C736*'Business Case'!G12*$B736)</f>
        <v>871121613.736301</v>
      </c>
      <c r="N736" s="53" t="n">
        <f aca="false">IF(COUNT('Business Case'!B11:G11)=0,"",H736+NPV(G736,I736:M736))</f>
        <v>-481210262.99129</v>
      </c>
      <c r="P736" s="54" t="n">
        <f aca="true">RAND()</f>
        <v>0.311881707129648</v>
      </c>
      <c r="Q736" s="54" t="n">
        <f aca="true">RAND()</f>
        <v>0.468622928456732</v>
      </c>
      <c r="R736" s="54" t="n">
        <f aca="true">RAND()</f>
        <v>0.581072256906104</v>
      </c>
      <c r="S736" s="54" t="n">
        <f aca="true">RAND()</f>
        <v>0.987784453471936</v>
      </c>
      <c r="T736" s="54" t="n">
        <f aca="true">RAND()</f>
        <v>0.607044507966025</v>
      </c>
      <c r="U736" s="54" t="n">
        <f aca="true">RAND()</f>
        <v>0.0367979947180154</v>
      </c>
    </row>
    <row r="737" customFormat="false" ht="15" hidden="false" customHeight="false" outlineLevel="0" collapsed="false">
      <c r="A737" s="50" t="n">
        <v>657</v>
      </c>
      <c r="B737" s="51" t="n">
        <f aca="false">1+IF($G$6=$E$6,$F$6,IF(P737&lt;($F$6-$E$6)/($G$6-$E$6),$E$6+SQRT(P737*($G$6-$E$6)*($F$6-$E$6)),$G$6-SQRT((1-P737)*($G$6-$E$6)*($G$6-$F$6))))</f>
        <v>0.985359417118085</v>
      </c>
      <c r="C737" s="51" t="n">
        <f aca="false">1+IF($G$7=$E$7,$F$7,IF(Q737&lt;($F$7-$E$7)/($G$7-$E$7),$E$7+SQRT(Q737*($G$7-$E$7)*($F$7-$E$7)),$G$7-SQRT((1-Q737)*($G$7-$E$7)*($G$7-$F$7))))</f>
        <v>1.00505124359157</v>
      </c>
      <c r="D737" s="51" t="n">
        <f aca="false">1+IF($G$8=$E$8,$F$8,IF(R737&lt;($F$8-$E$8)/($G$8-$E$8),$E$8+SQRT(R737*($G$8-$E$8)*($F$8-$E$8)),$G$8-SQRT((1-R737)*($G$8-$E$8)*($G$8-$F$8))))</f>
        <v>1.01406665113933</v>
      </c>
      <c r="E737" s="51" t="n">
        <f aca="false">1+IF($G$9=$E$9,$F$9,IF(S737&lt;($F$9-$E$9)/($G$9-$E$9),$E$9+SQRT(S737*($G$9-$E$9)*($F$9-$E$9)),$G$9-SQRT((1-S737)*($G$9-$E$9)*($G$9-$F$9))))</f>
        <v>0.965236527406517</v>
      </c>
      <c r="F737" s="51" t="n">
        <f aca="false">1+IF($G$10=$E$10,$F$10,IF(T737&lt;($F$10-$E$10)/($G$10-$E$10),$E$10+SQRT(T737*($G$10-$E$10)*($F$10-$E$10)),$G$10-SQRT((1-T737)*($G$10-$E$10)*($G$10-$F$10))))</f>
        <v>0.995012951081605</v>
      </c>
      <c r="G737" s="52" t="n">
        <f aca="false">IF($G$11=$E$11,$F$11,IF(U737&lt;($F$11-$E$11)/($G$11-$E$11),$E$11+SQRT(U737*($G$11-$E$11)*($F$11-$E$11)),$G$11-SQRT((1-U737)*($G$11-$E$11)*($G$11-$F$11))))</f>
        <v>0.0987416547945584</v>
      </c>
      <c r="H737" s="53" t="n">
        <f aca="false">(('Business Case'!B11*$C737*'Business Case'!B12*$B737)-'Business Case'!B11*$C737*'Business Case'!B13*$D737-'Business Case'!B14*$E737)-MAX(0,(('Business Case'!B11*$C737*'Business Case'!B12*$B737)-'Business Case'!B11*$C737*'Business Case'!B13*$D737-'Business Case'!B14*$E737))*'Business Case'!$B$7-'Business Case'!$B$8*('Business Case'!B11*$C737*'Business Case'!B12*$B737)-'Business Case'!B15*$F737</f>
        <v>-1990025902.16321</v>
      </c>
      <c r="I737" s="53" t="n">
        <f aca="false">(('Business Case'!C11*$C737*'Business Case'!C12*$B737)-'Business Case'!C11*$C737*'Business Case'!C13*$D737-'Business Case'!C14*$E737)-MAX(0,(('Business Case'!C11*$C737*'Business Case'!C12*$B737)-'Business Case'!C11*$C737*'Business Case'!C13*$D737-'Business Case'!C14*$E737))*'Business Case'!$B$7-'Business Case'!$B$8*(('Business Case'!C11*$C737*'Business Case'!C12*$B737)-('Business Case'!B11*$C737*'Business Case'!B12*$B737))-'Business Case'!C15*$F737</f>
        <v>1316876.83268669</v>
      </c>
      <c r="J737" s="53" t="n">
        <f aca="false">(('Business Case'!D11*$C737*'Business Case'!D12*$B737)-'Business Case'!D11*$C737*'Business Case'!D13*$D737-'Business Case'!D14*$E737)-MAX(0,(('Business Case'!D11*$C737*'Business Case'!D12*$B737)-'Business Case'!D11*$C737*'Business Case'!D13*$D737-'Business Case'!D14*$E737))*'Business Case'!$B$7-'Business Case'!$B$8*(('Business Case'!D11*$C737*'Business Case'!D12*$B737)-('Business Case'!C11*$C737*'Business Case'!C12*$B737))-'Business Case'!D15*$F737</f>
        <v>290730737.89061</v>
      </c>
      <c r="K737" s="53" t="n">
        <f aca="false">(('Business Case'!E11*$C737*'Business Case'!E12*$B737)-'Business Case'!E11*$C737*'Business Case'!E13*$D737-'Business Case'!E14*$E737)-MAX(0,(('Business Case'!E11*$C737*'Business Case'!E12*$B737)-'Business Case'!E11*$C737*'Business Case'!E13*$D737-'Business Case'!E14*$E737))*'Business Case'!$B$7-'Business Case'!$B$8*(('Business Case'!E11*$C737*'Business Case'!E12*$B737)-('Business Case'!D11*$C737*'Business Case'!D12*$B737))-'Business Case'!E15*$F737</f>
        <v>629895246.502613</v>
      </c>
      <c r="L737" s="53" t="n">
        <f aca="false">(('Business Case'!F11*$C737*'Business Case'!F12*$B737)-'Business Case'!F11*$C737*'Business Case'!F13*$D737-'Business Case'!F14*$E737)-MAX(0,(('Business Case'!F11*$C737*'Business Case'!F12*$B737)-'Business Case'!F11*$C737*'Business Case'!F13*$D737-'Business Case'!F14*$E737))*'Business Case'!$B$7-'Business Case'!$B$8*(('Business Case'!F11*$C737*'Business Case'!F12*$B737)-('Business Case'!E11*$C737*'Business Case'!E12*$B737))-'Business Case'!F15*$F737</f>
        <v>760592570.135166</v>
      </c>
      <c r="M737" s="53" t="n">
        <f aca="false">(('Business Case'!G11*$C737*'Business Case'!G12*$B737)-'Business Case'!G11*$C737*'Business Case'!G13*$D737-'Business Case'!G14*$E737)-MAX(0,(('Business Case'!G11*$C737*'Business Case'!G12*$B737)-'Business Case'!G11*$C737*'Business Case'!G13*$D737-'Business Case'!G14*$E737))*'Business Case'!$B$7-'Business Case'!$B$8*(('Business Case'!G11*$C737*'Business Case'!G12*$B737)-('Business Case'!F11*$C737*'Business Case'!F12*$B737))-'Business Case'!G15*$F737+'Business Case'!$B$8*('Business Case'!G11*$C737*'Business Case'!G12*$B737)</f>
        <v>948835771.508019</v>
      </c>
      <c r="N737" s="53" t="n">
        <f aca="false">IF(COUNT('Business Case'!B11:G11)=0,"",H737+NPV(G737,I737:M737))</f>
        <v>-158713258.766462</v>
      </c>
      <c r="P737" s="54" t="n">
        <f aca="true">RAND()</f>
        <v>0.44498472979331</v>
      </c>
      <c r="Q737" s="54" t="n">
        <f aca="true">RAND()</f>
        <v>0.599806819345731</v>
      </c>
      <c r="R737" s="54" t="n">
        <f aca="true">RAND()</f>
        <v>0.58199937577088</v>
      </c>
      <c r="S737" s="54" t="n">
        <f aca="true">RAND()</f>
        <v>0.0309535689879378</v>
      </c>
      <c r="T737" s="54" t="n">
        <f aca="true">RAND()</f>
        <v>0.162093261205996</v>
      </c>
      <c r="U737" s="54" t="n">
        <f aca="true">RAND()</f>
        <v>0.254721761824089</v>
      </c>
    </row>
    <row r="738" customFormat="false" ht="15" hidden="false" customHeight="false" outlineLevel="0" collapsed="false">
      <c r="A738" s="50" t="n">
        <v>658</v>
      </c>
      <c r="B738" s="51" t="n">
        <f aca="false">1+IF($G$6=$E$6,$F$6,IF(P738&lt;($F$6-$E$6)/($G$6-$E$6),$E$6+SQRT(P738*($G$6-$E$6)*($F$6-$E$6)),$G$6-SQRT((1-P738)*($G$6-$E$6)*($G$6-$F$6))))</f>
        <v>0.992053061665346</v>
      </c>
      <c r="C738" s="51" t="n">
        <f aca="false">1+IF($G$7=$E$7,$F$7,IF(Q738&lt;($F$7-$E$7)/($G$7-$E$7),$E$7+SQRT(Q738*($G$7-$E$7)*($F$7-$E$7)),$G$7-SQRT((1-Q738)*($G$7-$E$7)*($G$7-$F$7))))</f>
        <v>0.943320288970719</v>
      </c>
      <c r="D738" s="51" t="n">
        <f aca="false">1+IF($G$8=$E$8,$F$8,IF(R738&lt;($F$8-$E$8)/($G$8-$E$8),$E$8+SQRT(R738*($G$8-$E$8)*($F$8-$E$8)),$G$8-SQRT((1-R738)*($G$8-$E$8)*($G$8-$F$8))))</f>
        <v>1.06005364478674</v>
      </c>
      <c r="E738" s="51" t="n">
        <f aca="false">1+IF($G$9=$E$9,$F$9,IF(S738&lt;($F$9-$E$9)/($G$9-$E$9),$E$9+SQRT(S738*($G$9-$E$9)*($F$9-$E$9)),$G$9-SQRT((1-S738)*($G$9-$E$9)*($G$9-$F$9))))</f>
        <v>1.0096000195358</v>
      </c>
      <c r="F738" s="51" t="n">
        <f aca="false">1+IF($G$10=$E$10,$F$10,IF(T738&lt;($F$10-$E$10)/($G$10-$E$10),$E$10+SQRT(T738*($G$10-$E$10)*($F$10-$E$10)),$G$10-SQRT((1-T738)*($G$10-$E$10)*($G$10-$F$10))))</f>
        <v>1.01424794089997</v>
      </c>
      <c r="G738" s="52" t="n">
        <f aca="false">IF($G$11=$E$11,$F$11,IF(U738&lt;($F$11-$E$11)/($G$11-$E$11),$E$11+SQRT(U738*($G$11-$E$11)*($F$11-$E$11)),$G$11-SQRT((1-U738)*($G$11-$E$11)*($G$11-$F$11))))</f>
        <v>0.104361788747977</v>
      </c>
      <c r="H738" s="53" t="n">
        <f aca="false">(('Business Case'!B11*$C738*'Business Case'!B12*$B738)-'Business Case'!B11*$C738*'Business Case'!B13*$D738-'Business Case'!B14*$E738)-MAX(0,(('Business Case'!B11*$C738*'Business Case'!B12*$B738)-'Business Case'!B11*$C738*'Business Case'!B13*$D738-'Business Case'!B14*$E738))*'Business Case'!$B$7-'Business Case'!$B$8*('Business Case'!B11*$C738*'Business Case'!B12*$B738)-'Business Case'!B15*$F738</f>
        <v>-2028495881.79994</v>
      </c>
      <c r="I738" s="53" t="n">
        <f aca="false">(('Business Case'!C11*$C738*'Business Case'!C12*$B738)-'Business Case'!C11*$C738*'Business Case'!C13*$D738-'Business Case'!C14*$E738)-MAX(0,(('Business Case'!C11*$C738*'Business Case'!C12*$B738)-'Business Case'!C11*$C738*'Business Case'!C13*$D738-'Business Case'!C14*$E738))*'Business Case'!$B$7-'Business Case'!$B$8*(('Business Case'!C11*$C738*'Business Case'!C12*$B738)-('Business Case'!B11*$C738*'Business Case'!B12*$B738))-'Business Case'!C15*$F738</f>
        <v>-38900664.8536357</v>
      </c>
      <c r="J738" s="53" t="n">
        <f aca="false">(('Business Case'!D11*$C738*'Business Case'!D12*$B738)-'Business Case'!D11*$C738*'Business Case'!D13*$D738-'Business Case'!D14*$E738)-MAX(0,(('Business Case'!D11*$C738*'Business Case'!D12*$B738)-'Business Case'!D11*$C738*'Business Case'!D13*$D738-'Business Case'!D14*$E738))*'Business Case'!$B$7-'Business Case'!$B$8*(('Business Case'!D11*$C738*'Business Case'!D12*$B738)-('Business Case'!C11*$C738*'Business Case'!C12*$B738))-'Business Case'!D15*$F738</f>
        <v>215701691.957619</v>
      </c>
      <c r="K738" s="53" t="n">
        <f aca="false">(('Business Case'!E11*$C738*'Business Case'!E12*$B738)-'Business Case'!E11*$C738*'Business Case'!E13*$D738-'Business Case'!E14*$E738)-MAX(0,(('Business Case'!E11*$C738*'Business Case'!E12*$B738)-'Business Case'!E11*$C738*'Business Case'!E13*$D738-'Business Case'!E14*$E738))*'Business Case'!$B$7-'Business Case'!$B$8*(('Business Case'!E11*$C738*'Business Case'!E12*$B738)-('Business Case'!D11*$C738*'Business Case'!D12*$B738))-'Business Case'!E15*$F738</f>
        <v>521016445.813873</v>
      </c>
      <c r="L738" s="53" t="n">
        <f aca="false">(('Business Case'!F11*$C738*'Business Case'!F12*$B738)-'Business Case'!F11*$C738*'Business Case'!F13*$D738-'Business Case'!F14*$E738)-MAX(0,(('Business Case'!F11*$C738*'Business Case'!F12*$B738)-'Business Case'!F11*$C738*'Business Case'!F13*$D738-'Business Case'!F14*$E738))*'Business Case'!$B$7-'Business Case'!$B$8*(('Business Case'!F11*$C738*'Business Case'!F12*$B738)-('Business Case'!E11*$C738*'Business Case'!E12*$B738))-'Business Case'!F15*$F738</f>
        <v>638225967.948893</v>
      </c>
      <c r="M738" s="53" t="n">
        <f aca="false">(('Business Case'!G11*$C738*'Business Case'!G12*$B738)-'Business Case'!G11*$C738*'Business Case'!G13*$D738-'Business Case'!G14*$E738)-MAX(0,(('Business Case'!G11*$C738*'Business Case'!G12*$B738)-'Business Case'!G11*$C738*'Business Case'!G13*$D738-'Business Case'!G14*$E738))*'Business Case'!$B$7-'Business Case'!$B$8*(('Business Case'!G11*$C738*'Business Case'!G12*$B738)-('Business Case'!F11*$C738*'Business Case'!F12*$B738))-'Business Case'!G15*$F738+'Business Case'!$B$8*('Business Case'!G11*$C738*'Business Case'!G12*$B738)</f>
        <v>816107352.204201</v>
      </c>
      <c r="N738" s="53" t="n">
        <f aca="false">IF(COUNT('Business Case'!B11:G11)=0,"",H738+NPV(G738,I738:M738))</f>
        <v>-574151541.917894</v>
      </c>
      <c r="P738" s="54" t="n">
        <f aca="true">RAND()</f>
        <v>0.540796218265636</v>
      </c>
      <c r="Q738" s="54" t="n">
        <f aca="true">RAND()</f>
        <v>0.293438646152147</v>
      </c>
      <c r="R738" s="54" t="n">
        <f aca="true">RAND()</f>
        <v>0.961744510933309</v>
      </c>
      <c r="S738" s="54" t="n">
        <f aca="true">RAND()</f>
        <v>0.455189568804862</v>
      </c>
      <c r="T738" s="54" t="n">
        <f aca="true">RAND()</f>
        <v>0.30992345080199</v>
      </c>
      <c r="U738" s="54" t="n">
        <f aca="true">RAND()</f>
        <v>0.592410581395184</v>
      </c>
    </row>
    <row r="739" customFormat="false" ht="15" hidden="false" customHeight="false" outlineLevel="0" collapsed="false">
      <c r="A739" s="50" t="n">
        <v>659</v>
      </c>
      <c r="B739" s="51" t="n">
        <f aca="false">1+IF($G$6=$E$6,$F$6,IF(P739&lt;($F$6-$E$6)/($G$6-$E$6),$E$6+SQRT(P739*($G$6-$E$6)*($F$6-$E$6)),$G$6-SQRT((1-P739)*($G$6-$E$6)*($G$6-$F$6))))</f>
        <v>1.00320293377112</v>
      </c>
      <c r="C739" s="51" t="n">
        <f aca="false">1+IF($G$7=$E$7,$F$7,IF(Q739&lt;($F$7-$E$7)/($G$7-$E$7),$E$7+SQRT(Q739*($G$7-$E$7)*($F$7-$E$7)),$G$7-SQRT((1-Q739)*($G$7-$E$7)*($G$7-$F$7))))</f>
        <v>0.99081792856723</v>
      </c>
      <c r="D739" s="51" t="n">
        <f aca="false">1+IF($G$8=$E$8,$F$8,IF(R739&lt;($F$8-$E$8)/($G$8-$E$8),$E$8+SQRT(R739*($G$8-$E$8)*($F$8-$E$8)),$G$8-SQRT((1-R739)*($G$8-$E$8)*($G$8-$F$8))))</f>
        <v>0.97630517555513</v>
      </c>
      <c r="E739" s="51" t="n">
        <f aca="false">1+IF($G$9=$E$9,$F$9,IF(S739&lt;($F$9-$E$9)/($G$9-$E$9),$E$9+SQRT(S739*($G$9-$E$9)*($F$9-$E$9)),$G$9-SQRT((1-S739)*($G$9-$E$9)*($G$9-$F$9))))</f>
        <v>1.07485789135418</v>
      </c>
      <c r="F739" s="51" t="n">
        <f aca="false">1+IF($G$10=$E$10,$F$10,IF(T739&lt;($F$10-$E$10)/($G$10-$E$10),$E$10+SQRT(T739*($G$10-$E$10)*($F$10-$E$10)),$G$10-SQRT((1-T739)*($G$10-$E$10)*($G$10-$F$10))))</f>
        <v>1.12751230297394</v>
      </c>
      <c r="G739" s="52" t="n">
        <f aca="false">IF($G$11=$E$11,$F$11,IF(U739&lt;($F$11-$E$11)/($G$11-$E$11),$E$11+SQRT(U739*($G$11-$E$11)*($F$11-$E$11)),$G$11-SQRT((1-U739)*($G$11-$E$11)*($G$11-$F$11))))</f>
        <v>0.0992715539158481</v>
      </c>
      <c r="H739" s="53" t="n">
        <f aca="false">(('Business Case'!B11*$C739*'Business Case'!B12*$B739)-'Business Case'!B11*$C739*'Business Case'!B13*$D739-'Business Case'!B14*$E739)-MAX(0,(('Business Case'!B11*$C739*'Business Case'!B12*$B739)-'Business Case'!B11*$C739*'Business Case'!B13*$D739-'Business Case'!B14*$E739))*'Business Case'!$B$7-'Business Case'!$B$8*('Business Case'!B11*$C739*'Business Case'!B12*$B739)-'Business Case'!B15*$F739</f>
        <v>-2255024605.94788</v>
      </c>
      <c r="I739" s="53" t="n">
        <f aca="false">(('Business Case'!C11*$C739*'Business Case'!C12*$B739)-'Business Case'!C11*$C739*'Business Case'!C13*$D739-'Business Case'!C14*$E739)-MAX(0,(('Business Case'!C11*$C739*'Business Case'!C12*$B739)-'Business Case'!C11*$C739*'Business Case'!C13*$D739-'Business Case'!C14*$E739))*'Business Case'!$B$7-'Business Case'!$B$8*(('Business Case'!C11*$C739*'Business Case'!C12*$B739)-('Business Case'!B11*$C739*'Business Case'!B12*$B739))-'Business Case'!C15*$F739</f>
        <v>1824991.19187632</v>
      </c>
      <c r="J739" s="53" t="n">
        <f aca="false">(('Business Case'!D11*$C739*'Business Case'!D12*$B739)-'Business Case'!D11*$C739*'Business Case'!D13*$D739-'Business Case'!D14*$E739)-MAX(0,(('Business Case'!D11*$C739*'Business Case'!D12*$B739)-'Business Case'!D11*$C739*'Business Case'!D13*$D739-'Business Case'!D14*$E739))*'Business Case'!$B$7-'Business Case'!$B$8*(('Business Case'!D11*$C739*'Business Case'!D12*$B739)-('Business Case'!C11*$C739*'Business Case'!C12*$B739))-'Business Case'!D15*$F739</f>
        <v>320774521.743394</v>
      </c>
      <c r="K739" s="53" t="n">
        <f aca="false">(('Business Case'!E11*$C739*'Business Case'!E12*$B739)-'Business Case'!E11*$C739*'Business Case'!E13*$D739-'Business Case'!E14*$E739)-MAX(0,(('Business Case'!E11*$C739*'Business Case'!E12*$B739)-'Business Case'!E11*$C739*'Business Case'!E13*$D739-'Business Case'!E14*$E739))*'Business Case'!$B$7-'Business Case'!$B$8*(('Business Case'!E11*$C739*'Business Case'!E12*$B739)-('Business Case'!D11*$C739*'Business Case'!D12*$B739))-'Business Case'!E15*$F739</f>
        <v>696099667.443609</v>
      </c>
      <c r="L739" s="53" t="n">
        <f aca="false">(('Business Case'!F11*$C739*'Business Case'!F12*$B739)-'Business Case'!F11*$C739*'Business Case'!F13*$D739-'Business Case'!F14*$E739)-MAX(0,(('Business Case'!F11*$C739*'Business Case'!F12*$B739)-'Business Case'!F11*$C739*'Business Case'!F13*$D739-'Business Case'!F14*$E739))*'Business Case'!$B$7-'Business Case'!$B$8*(('Business Case'!F11*$C739*'Business Case'!F12*$B739)-('Business Case'!E11*$C739*'Business Case'!E12*$B739))-'Business Case'!F15*$F739</f>
        <v>836768522.235237</v>
      </c>
      <c r="M739" s="53" t="n">
        <f aca="false">(('Business Case'!G11*$C739*'Business Case'!G12*$B739)-'Business Case'!G11*$C739*'Business Case'!G13*$D739-'Business Case'!G14*$E739)-MAX(0,(('Business Case'!G11*$C739*'Business Case'!G12*$B739)-'Business Case'!G11*$C739*'Business Case'!G13*$D739-'Business Case'!G14*$E739))*'Business Case'!$B$7-'Business Case'!$B$8*(('Business Case'!G11*$C739*'Business Case'!G12*$B739)-('Business Case'!F11*$C739*'Business Case'!F12*$B739))-'Business Case'!G15*$F739+'Business Case'!$B$8*('Business Case'!G11*$C739*'Business Case'!G12*$B739)</f>
        <v>1025706417.57808</v>
      </c>
      <c r="N739" s="53" t="n">
        <f aca="false">IF(COUNT('Business Case'!B11:G11)=0,"",H739+NPV(G739,I739:M739))</f>
        <v>-251843125.641684</v>
      </c>
      <c r="P739" s="54" t="n">
        <f aca="true">RAND()</f>
        <v>0.717911649364069</v>
      </c>
      <c r="Q739" s="54" t="n">
        <f aca="true">RAND()</f>
        <v>0.520164026609838</v>
      </c>
      <c r="R739" s="54" t="n">
        <f aca="true">RAND()</f>
        <v>0.106455732459413</v>
      </c>
      <c r="S739" s="54" t="n">
        <f aca="true">RAND()</f>
        <v>0.957858291522779</v>
      </c>
      <c r="T739" s="54" t="n">
        <f aca="true">RAND()</f>
        <v>0.894910675597159</v>
      </c>
      <c r="U739" s="54" t="n">
        <f aca="true">RAND()</f>
        <v>0.286539040048259</v>
      </c>
    </row>
    <row r="740" customFormat="false" ht="15" hidden="false" customHeight="false" outlineLevel="0" collapsed="false">
      <c r="A740" s="50" t="n">
        <v>660</v>
      </c>
      <c r="B740" s="51" t="n">
        <f aca="false">1+IF($G$6=$E$6,$F$6,IF(P740&lt;($F$6-$E$6)/($G$6-$E$6),$E$6+SQRT(P740*($G$6-$E$6)*($F$6-$E$6)),$G$6-SQRT((1-P740)*($G$6-$E$6)*($G$6-$F$6))))</f>
        <v>0.968417242405517</v>
      </c>
      <c r="C740" s="51" t="n">
        <f aca="false">1+IF($G$7=$E$7,$F$7,IF(Q740&lt;($F$7-$E$7)/($G$7-$E$7),$E$7+SQRT(Q740*($G$7-$E$7)*($F$7-$E$7)),$G$7-SQRT((1-Q740)*($G$7-$E$7)*($G$7-$F$7))))</f>
        <v>1.00269674084214</v>
      </c>
      <c r="D740" s="51" t="n">
        <f aca="false">1+IF($G$8=$E$8,$F$8,IF(R740&lt;($F$8-$E$8)/($G$8-$E$8),$E$8+SQRT(R740*($G$8-$E$8)*($F$8-$E$8)),$G$8-SQRT((1-R740)*($G$8-$E$8)*($G$8-$F$8))))</f>
        <v>1.00033056164822</v>
      </c>
      <c r="E740" s="51" t="n">
        <f aca="false">1+IF($G$9=$E$9,$F$9,IF(S740&lt;($F$9-$E$9)/($G$9-$E$9),$E$9+SQRT(S740*($G$9-$E$9)*($F$9-$E$9)),$G$9-SQRT((1-S740)*($G$9-$E$9)*($G$9-$F$9))))</f>
        <v>1.04080752908416</v>
      </c>
      <c r="F740" s="51" t="n">
        <f aca="false">1+IF($G$10=$E$10,$F$10,IF(T740&lt;($F$10-$E$10)/($G$10-$E$10),$E$10+SQRT(T740*($G$10-$E$10)*($F$10-$E$10)),$G$10-SQRT((1-T740)*($G$10-$E$10)*($G$10-$F$10))))</f>
        <v>0.993595506094763</v>
      </c>
      <c r="G740" s="52" t="n">
        <f aca="false">IF($G$11=$E$11,$F$11,IF(U740&lt;($F$11-$E$11)/($G$11-$E$11),$E$11+SQRT(U740*($G$11-$E$11)*($F$11-$E$11)),$G$11-SQRT((1-U740)*($G$11-$E$11)*($G$11-$F$11))))</f>
        <v>0.100665146364018</v>
      </c>
      <c r="H740" s="53" t="n">
        <f aca="false">(('Business Case'!B11*$C740*'Business Case'!B12*$B740)-'Business Case'!B11*$C740*'Business Case'!B13*$D740-'Business Case'!B14*$E740)-MAX(0,(('Business Case'!B11*$C740*'Business Case'!B12*$B740)-'Business Case'!B11*$C740*'Business Case'!B13*$D740-'Business Case'!B14*$E740))*'Business Case'!$B$7-'Business Case'!$B$8*('Business Case'!B11*$C740*'Business Case'!B12*$B740)-'Business Case'!B15*$F740</f>
        <v>-1987191012.18953</v>
      </c>
      <c r="I740" s="53" t="n">
        <f aca="false">(('Business Case'!C11*$C740*'Business Case'!C12*$B740)-'Business Case'!C11*$C740*'Business Case'!C13*$D740-'Business Case'!C14*$E740)-MAX(0,(('Business Case'!C11*$C740*'Business Case'!C12*$B740)-'Business Case'!C11*$C740*'Business Case'!C13*$D740-'Business Case'!C14*$E740))*'Business Case'!$B$7-'Business Case'!$B$8*(('Business Case'!C11*$C740*'Business Case'!C12*$B740)-('Business Case'!B11*$C740*'Business Case'!B12*$B740))-'Business Case'!C15*$F740</f>
        <v>-15828196.2290454</v>
      </c>
      <c r="J740" s="53" t="n">
        <f aca="false">(('Business Case'!D11*$C740*'Business Case'!D12*$B740)-'Business Case'!D11*$C740*'Business Case'!D13*$D740-'Business Case'!D14*$E740)-MAX(0,(('Business Case'!D11*$C740*'Business Case'!D12*$B740)-'Business Case'!D11*$C740*'Business Case'!D13*$D740-'Business Case'!D14*$E740))*'Business Case'!$B$7-'Business Case'!$B$8*(('Business Case'!D11*$C740*'Business Case'!D12*$B740)-('Business Case'!C11*$C740*'Business Case'!C12*$B740))-'Business Case'!D15*$F740</f>
        <v>266044122.439354</v>
      </c>
      <c r="K740" s="53" t="n">
        <f aca="false">(('Business Case'!E11*$C740*'Business Case'!E12*$B740)-'Business Case'!E11*$C740*'Business Case'!E13*$D740-'Business Case'!E14*$E740)-MAX(0,(('Business Case'!E11*$C740*'Business Case'!E12*$B740)-'Business Case'!E11*$C740*'Business Case'!E13*$D740-'Business Case'!E14*$E740))*'Business Case'!$B$7-'Business Case'!$B$8*(('Business Case'!E11*$C740*'Business Case'!E12*$B740)-('Business Case'!D11*$C740*'Business Case'!D12*$B740))-'Business Case'!E15*$F740</f>
        <v>597596216.412491</v>
      </c>
      <c r="L740" s="53" t="n">
        <f aca="false">(('Business Case'!F11*$C740*'Business Case'!F12*$B740)-'Business Case'!F11*$C740*'Business Case'!F13*$D740-'Business Case'!F14*$E740)-MAX(0,(('Business Case'!F11*$C740*'Business Case'!F12*$B740)-'Business Case'!F11*$C740*'Business Case'!F13*$D740-'Business Case'!F14*$E740))*'Business Case'!$B$7-'Business Case'!$B$8*(('Business Case'!F11*$C740*'Business Case'!F12*$B740)-('Business Case'!E11*$C740*'Business Case'!E12*$B740))-'Business Case'!F15*$F740</f>
        <v>725112411.736757</v>
      </c>
      <c r="M740" s="53" t="n">
        <f aca="false">(('Business Case'!G11*$C740*'Business Case'!G12*$B740)-'Business Case'!G11*$C740*'Business Case'!G13*$D740-'Business Case'!G14*$E740)-MAX(0,(('Business Case'!G11*$C740*'Business Case'!G12*$B740)-'Business Case'!G11*$C740*'Business Case'!G13*$D740-'Business Case'!G14*$E740))*'Business Case'!$B$7-'Business Case'!$B$8*(('Business Case'!G11*$C740*'Business Case'!G12*$B740)-('Business Case'!F11*$C740*'Business Case'!F12*$B740))-'Business Case'!G15*$F740+'Business Case'!$B$8*('Business Case'!G11*$C740*'Business Case'!G12*$B740)</f>
        <v>909685568.461492</v>
      </c>
      <c r="N740" s="53" t="n">
        <f aca="false">IF(COUNT('Business Case'!B11:G11)=0,"",H740+NPV(G740,I740:M740))</f>
        <v>-276592712.466483</v>
      </c>
      <c r="P740" s="54" t="n">
        <f aca="true">RAND()</f>
        <v>0.244190558557773</v>
      </c>
      <c r="Q740" s="54" t="n">
        <f aca="true">RAND()</f>
        <v>0.586699996980432</v>
      </c>
      <c r="R740" s="54" t="n">
        <f aca="true">RAND()</f>
        <v>0.389690441606848</v>
      </c>
      <c r="S740" s="54" t="n">
        <f aca="true">RAND()</f>
        <v>0.766416759125173</v>
      </c>
      <c r="T740" s="54" t="n">
        <f aca="true">RAND()</f>
        <v>0.15204545213268</v>
      </c>
      <c r="U740" s="54" t="n">
        <f aca="true">RAND()</f>
        <v>0.376939058125255</v>
      </c>
    </row>
    <row r="741" customFormat="false" ht="15" hidden="false" customHeight="false" outlineLevel="0" collapsed="false">
      <c r="A741" s="50" t="n">
        <v>661</v>
      </c>
      <c r="B741" s="51" t="n">
        <f aca="false">1+IF($G$6=$E$6,$F$6,IF(P741&lt;($F$6-$E$6)/($G$6-$E$6),$E$6+SQRT(P741*($G$6-$E$6)*($F$6-$E$6)),$G$6-SQRT((1-P741)*($G$6-$E$6)*($G$6-$F$6))))</f>
        <v>1.0035510297428</v>
      </c>
      <c r="C741" s="51" t="n">
        <f aca="false">1+IF($G$7=$E$7,$F$7,IF(Q741&lt;($F$7-$E$7)/($G$7-$E$7),$E$7+SQRT(Q741*($G$7-$E$7)*($F$7-$E$7)),$G$7-SQRT((1-Q741)*($G$7-$E$7)*($G$7-$F$7))))</f>
        <v>1.06802342693094</v>
      </c>
      <c r="D741" s="51" t="n">
        <f aca="false">1+IF($G$8=$E$8,$F$8,IF(R741&lt;($F$8-$E$8)/($G$8-$E$8),$E$8+SQRT(R741*($G$8-$E$8)*($F$8-$E$8)),$G$8-SQRT((1-R741)*($G$8-$E$8)*($G$8-$F$8))))</f>
        <v>0.96760994394737</v>
      </c>
      <c r="E741" s="51" t="n">
        <f aca="false">1+IF($G$9=$E$9,$F$9,IF(S741&lt;($F$9-$E$9)/($G$9-$E$9),$E$9+SQRT(S741*($G$9-$E$9)*($F$9-$E$9)),$G$9-SQRT((1-S741)*($G$9-$E$9)*($G$9-$F$9))))</f>
        <v>1.05747932751809</v>
      </c>
      <c r="F741" s="51" t="n">
        <f aca="false">1+IF($G$10=$E$10,$F$10,IF(T741&lt;($F$10-$E$10)/($G$10-$E$10),$E$10+SQRT(T741*($G$10-$E$10)*($F$10-$E$10)),$G$10-SQRT((1-T741)*($G$10-$E$10)*($G$10-$F$10))))</f>
        <v>1.00612160371947</v>
      </c>
      <c r="G741" s="52" t="n">
        <f aca="false">IF($G$11=$E$11,$F$11,IF(U741&lt;($F$11-$E$11)/($G$11-$E$11),$E$11+SQRT(U741*($G$11-$E$11)*($F$11-$E$11)),$G$11-SQRT((1-U741)*($G$11-$E$11)*($G$11-$F$11))))</f>
        <v>0.103832700834162</v>
      </c>
      <c r="H741" s="53" t="n">
        <f aca="false">(('Business Case'!B11*$C741*'Business Case'!B12*$B741)-'Business Case'!B11*$C741*'Business Case'!B13*$D741-'Business Case'!B14*$E741)-MAX(0,(('Business Case'!B11*$C741*'Business Case'!B12*$B741)-'Business Case'!B11*$C741*'Business Case'!B13*$D741-'Business Case'!B14*$E741))*'Business Case'!$B$7-'Business Case'!$B$8*('Business Case'!B11*$C741*'Business Case'!B12*$B741)-'Business Case'!B15*$F741</f>
        <v>-2012243207.43894</v>
      </c>
      <c r="I741" s="53" t="n">
        <f aca="false">(('Business Case'!C11*$C741*'Business Case'!C12*$B741)-'Business Case'!C11*$C741*'Business Case'!C13*$D741-'Business Case'!C14*$E741)-MAX(0,(('Business Case'!C11*$C741*'Business Case'!C12*$B741)-'Business Case'!C11*$C741*'Business Case'!C13*$D741-'Business Case'!C14*$E741))*'Business Case'!$B$7-'Business Case'!$B$8*(('Business Case'!C11*$C741*'Business Case'!C12*$B741)-('Business Case'!B11*$C741*'Business Case'!B12*$B741))-'Business Case'!C15*$F741</f>
        <v>42312289.3661169</v>
      </c>
      <c r="J741" s="53" t="n">
        <f aca="false">(('Business Case'!D11*$C741*'Business Case'!D12*$B741)-'Business Case'!D11*$C741*'Business Case'!D13*$D741-'Business Case'!D14*$E741)-MAX(0,(('Business Case'!D11*$C741*'Business Case'!D12*$B741)-'Business Case'!D11*$C741*'Business Case'!D13*$D741-'Business Case'!D14*$E741))*'Business Case'!$B$7-'Business Case'!$B$8*(('Business Case'!D11*$C741*'Business Case'!D12*$B741)-('Business Case'!C11*$C741*'Business Case'!C12*$B741))-'Business Case'!D15*$F741</f>
        <v>391173241.429743</v>
      </c>
      <c r="K741" s="53" t="n">
        <f aca="false">(('Business Case'!E11*$C741*'Business Case'!E12*$B741)-'Business Case'!E11*$C741*'Business Case'!E13*$D741-'Business Case'!E14*$E741)-MAX(0,(('Business Case'!E11*$C741*'Business Case'!E12*$B741)-'Business Case'!E11*$C741*'Business Case'!E13*$D741-'Business Case'!E14*$E741))*'Business Case'!$B$7-'Business Case'!$B$8*(('Business Case'!E11*$C741*'Business Case'!E12*$B741)-('Business Case'!D11*$C741*'Business Case'!D12*$B741))-'Business Case'!E15*$F741</f>
        <v>790340273.679343</v>
      </c>
      <c r="L741" s="53" t="n">
        <f aca="false">(('Business Case'!F11*$C741*'Business Case'!F12*$B741)-'Business Case'!F11*$C741*'Business Case'!F13*$D741-'Business Case'!F14*$E741)-MAX(0,(('Business Case'!F11*$C741*'Business Case'!F12*$B741)-'Business Case'!F11*$C741*'Business Case'!F13*$D741-'Business Case'!F14*$E741))*'Business Case'!$B$7-'Business Case'!$B$8*(('Business Case'!F11*$C741*'Business Case'!F12*$B741)-('Business Case'!E11*$C741*'Business Case'!E12*$B741))-'Business Case'!F15*$F741</f>
        <v>943669219.002211</v>
      </c>
      <c r="M741" s="53" t="n">
        <f aca="false">(('Business Case'!G11*$C741*'Business Case'!G12*$B741)-'Business Case'!G11*$C741*'Business Case'!G13*$D741-'Business Case'!G14*$E741)-MAX(0,(('Business Case'!G11*$C741*'Business Case'!G12*$B741)-'Business Case'!G11*$C741*'Business Case'!G13*$D741-'Business Case'!G14*$E741))*'Business Case'!$B$7-'Business Case'!$B$8*(('Business Case'!G11*$C741*'Business Case'!G12*$B741)-('Business Case'!F11*$C741*'Business Case'!F12*$B741))-'Business Case'!G15*$F741+'Business Case'!$B$8*('Business Case'!G11*$C741*'Business Case'!G12*$B741)</f>
        <v>1147400006.16134</v>
      </c>
      <c r="N741" s="53" t="n">
        <f aca="false">IF(COUNT('Business Case'!B11:G11)=0,"",H741+NPV(G741,I741:M741))</f>
        <v>270557580.342746</v>
      </c>
      <c r="P741" s="54" t="n">
        <f aca="true">RAND()</f>
        <v>0.723223451497913</v>
      </c>
      <c r="Q741" s="54" t="n">
        <f aca="true">RAND()</f>
        <v>0.87199698034007</v>
      </c>
      <c r="R741" s="54" t="n">
        <f aca="true">RAND()</f>
        <v>0.0477092501276147</v>
      </c>
      <c r="S741" s="54" t="n">
        <f aca="true">RAND()</f>
        <v>0.8794661607791</v>
      </c>
      <c r="T741" s="54" t="n">
        <f aca="true">RAND()</f>
        <v>0.24822334911378</v>
      </c>
      <c r="U741" s="54" t="n">
        <f aca="true">RAND()</f>
        <v>0.56436406280384</v>
      </c>
    </row>
    <row r="742" customFormat="false" ht="15" hidden="false" customHeight="false" outlineLevel="0" collapsed="false">
      <c r="A742" s="50" t="n">
        <v>662</v>
      </c>
      <c r="B742" s="51" t="n">
        <f aca="false">1+IF($G$6=$E$6,$F$6,IF(P742&lt;($F$6-$E$6)/($G$6-$E$6),$E$6+SQRT(P742*($G$6-$E$6)*($F$6-$E$6)),$G$6-SQRT((1-P742)*($G$6-$E$6)*($G$6-$F$6))))</f>
        <v>0.986688235856723</v>
      </c>
      <c r="C742" s="51" t="n">
        <f aca="false">1+IF($G$7=$E$7,$F$7,IF(Q742&lt;($F$7-$E$7)/($G$7-$E$7),$E$7+SQRT(Q742*($G$7-$E$7)*($F$7-$E$7)),$G$7-SQRT((1-Q742)*($G$7-$E$7)*($G$7-$F$7))))</f>
        <v>1.03826144583749</v>
      </c>
      <c r="D742" s="51" t="n">
        <f aca="false">1+IF($G$8=$E$8,$F$8,IF(R742&lt;($F$8-$E$8)/($G$8-$E$8),$E$8+SQRT(R742*($G$8-$E$8)*($F$8-$E$8)),$G$8-SQRT((1-R742)*($G$8-$E$8)*($G$8-$F$8))))</f>
        <v>1.05289585308786</v>
      </c>
      <c r="E742" s="51" t="n">
        <f aca="false">1+IF($G$9=$E$9,$F$9,IF(S742&lt;($F$9-$E$9)/($G$9-$E$9),$E$9+SQRT(S742*($G$9-$E$9)*($F$9-$E$9)),$G$9-SQRT((1-S742)*($G$9-$E$9)*($G$9-$F$9))))</f>
        <v>0.98654556413294</v>
      </c>
      <c r="F742" s="51" t="n">
        <f aca="false">1+IF($G$10=$E$10,$F$10,IF(T742&lt;($F$10-$E$10)/($G$10-$E$10),$E$10+SQRT(T742*($G$10-$E$10)*($F$10-$E$10)),$G$10-SQRT((1-T742)*($G$10-$E$10)*($G$10-$F$10))))</f>
        <v>0.982007784556709</v>
      </c>
      <c r="G742" s="52" t="n">
        <f aca="false">IF($G$11=$E$11,$F$11,IF(U742&lt;($F$11-$E$11)/($G$11-$E$11),$E$11+SQRT(U742*($G$11-$E$11)*($F$11-$E$11)),$G$11-SQRT((1-U742)*($G$11-$E$11)*($G$11-$F$11))))</f>
        <v>0.111195688492757</v>
      </c>
      <c r="H742" s="53" t="n">
        <f aca="false">(('Business Case'!B11*$C742*'Business Case'!B12*$B742)-'Business Case'!B11*$C742*'Business Case'!B13*$D742-'Business Case'!B14*$E742)-MAX(0,(('Business Case'!B11*$C742*'Business Case'!B12*$B742)-'Business Case'!B11*$C742*'Business Case'!B13*$D742-'Business Case'!B14*$E742))*'Business Case'!$B$7-'Business Case'!$B$8*('Business Case'!B11*$C742*'Business Case'!B12*$B742)-'Business Case'!B15*$F742</f>
        <v>-1964015569.11342</v>
      </c>
      <c r="I742" s="53" t="n">
        <f aca="false">(('Business Case'!C11*$C742*'Business Case'!C12*$B742)-'Business Case'!C11*$C742*'Business Case'!C13*$D742-'Business Case'!C14*$E742)-MAX(0,(('Business Case'!C11*$C742*'Business Case'!C12*$B742)-'Business Case'!C11*$C742*'Business Case'!C13*$D742-'Business Case'!C14*$E742))*'Business Case'!$B$7-'Business Case'!$B$8*(('Business Case'!C11*$C742*'Business Case'!C12*$B742)-('Business Case'!B11*$C742*'Business Case'!B12*$B742))-'Business Case'!C15*$F742</f>
        <v>-12125440.6525204</v>
      </c>
      <c r="J742" s="53" t="n">
        <f aca="false">(('Business Case'!D11*$C742*'Business Case'!D12*$B742)-'Business Case'!D11*$C742*'Business Case'!D13*$D742-'Business Case'!D14*$E742)-MAX(0,(('Business Case'!D11*$C742*'Business Case'!D12*$B742)-'Business Case'!D11*$C742*'Business Case'!D13*$D742-'Business Case'!D14*$E742))*'Business Case'!$B$7-'Business Case'!$B$8*(('Business Case'!D11*$C742*'Business Case'!D12*$B742)-('Business Case'!C11*$C742*'Business Case'!C12*$B742))-'Business Case'!D15*$F742</f>
        <v>267343664.339913</v>
      </c>
      <c r="K742" s="53" t="n">
        <f aca="false">(('Business Case'!E11*$C742*'Business Case'!E12*$B742)-'Business Case'!E11*$C742*'Business Case'!E13*$D742-'Business Case'!E14*$E742)-MAX(0,(('Business Case'!E11*$C742*'Business Case'!E12*$B742)-'Business Case'!E11*$C742*'Business Case'!E13*$D742-'Business Case'!E14*$E742))*'Business Case'!$B$7-'Business Case'!$B$8*(('Business Case'!E11*$C742*'Business Case'!E12*$B742)-('Business Case'!D11*$C742*'Business Case'!D12*$B742))-'Business Case'!E15*$F742</f>
        <v>595913158.560182</v>
      </c>
      <c r="L742" s="53" t="n">
        <f aca="false">(('Business Case'!F11*$C742*'Business Case'!F12*$B742)-'Business Case'!F11*$C742*'Business Case'!F13*$D742-'Business Case'!F14*$E742)-MAX(0,(('Business Case'!F11*$C742*'Business Case'!F12*$B742)-'Business Case'!F11*$C742*'Business Case'!F13*$D742-'Business Case'!F14*$E742))*'Business Case'!$B$7-'Business Case'!$B$8*(('Business Case'!F11*$C742*'Business Case'!F12*$B742)-('Business Case'!E11*$C742*'Business Case'!E12*$B742))-'Business Case'!F15*$F742</f>
        <v>724474185.537378</v>
      </c>
      <c r="M742" s="53" t="n">
        <f aca="false">(('Business Case'!G11*$C742*'Business Case'!G12*$B742)-'Business Case'!G11*$C742*'Business Case'!G13*$D742-'Business Case'!G14*$E742)-MAX(0,(('Business Case'!G11*$C742*'Business Case'!G12*$B742)-'Business Case'!G11*$C742*'Business Case'!G13*$D742-'Business Case'!G14*$E742))*'Business Case'!$B$7-'Business Case'!$B$8*(('Business Case'!G11*$C742*'Business Case'!G12*$B742)-('Business Case'!F11*$C742*'Business Case'!F12*$B742))-'Business Case'!G15*$F742+'Business Case'!$B$8*('Business Case'!G11*$C742*'Business Case'!G12*$B742)</f>
        <v>919199808.092501</v>
      </c>
      <c r="N742" s="53" t="n">
        <f aca="false">IF(COUNT('Business Case'!B11:G11)=0,"",H742+NPV(G742,I742:M742))</f>
        <v>-306336151.50148</v>
      </c>
      <c r="P742" s="54" t="n">
        <f aca="true">RAND()</f>
        <v>0.46326258350853</v>
      </c>
      <c r="Q742" s="54" t="n">
        <f aca="true">RAND()</f>
        <v>0.762180866927076</v>
      </c>
      <c r="R742" s="54" t="n">
        <f aca="true">RAND()</f>
        <v>0.929362040400514</v>
      </c>
      <c r="S742" s="54" t="n">
        <f aca="true">RAND()</f>
        <v>0.178077101039307</v>
      </c>
      <c r="T742" s="54" t="n">
        <f aca="true">RAND()</f>
        <v>0.0819598617782962</v>
      </c>
      <c r="U742" s="54" t="n">
        <f aca="true">RAND()</f>
        <v>0.870806831472393</v>
      </c>
    </row>
    <row r="743" customFormat="false" ht="15" hidden="false" customHeight="false" outlineLevel="0" collapsed="false">
      <c r="A743" s="50" t="n">
        <v>663</v>
      </c>
      <c r="B743" s="51" t="n">
        <f aca="false">1+IF($G$6=$E$6,$F$6,IF(P743&lt;($F$6-$E$6)/($G$6-$E$6),$E$6+SQRT(P743*($G$6-$E$6)*($F$6-$E$6)),$G$6-SQRT((1-P743)*($G$6-$E$6)*($G$6-$F$6))))</f>
        <v>0.983539968624837</v>
      </c>
      <c r="C743" s="51" t="n">
        <f aca="false">1+IF($G$7=$E$7,$F$7,IF(Q743&lt;($F$7-$E$7)/($G$7-$E$7),$E$7+SQRT(Q743*($G$7-$E$7)*($F$7-$E$7)),$G$7-SQRT((1-Q743)*($G$7-$E$7)*($G$7-$F$7))))</f>
        <v>0.960337339996186</v>
      </c>
      <c r="D743" s="51" t="n">
        <f aca="false">1+IF($G$8=$E$8,$F$8,IF(R743&lt;($F$8-$E$8)/($G$8-$E$8),$E$8+SQRT(R743*($G$8-$E$8)*($F$8-$E$8)),$G$8-SQRT((1-R743)*($G$8-$E$8)*($G$8-$F$8))))</f>
        <v>1.0171152420519</v>
      </c>
      <c r="E743" s="51" t="n">
        <f aca="false">1+IF($G$9=$E$9,$F$9,IF(S743&lt;($F$9-$E$9)/($G$9-$E$9),$E$9+SQRT(S743*($G$9-$E$9)*($F$9-$E$9)),$G$9-SQRT((1-S743)*($G$9-$E$9)*($G$9-$F$9))))</f>
        <v>1.01493208349631</v>
      </c>
      <c r="F743" s="51" t="n">
        <f aca="false">1+IF($G$10=$E$10,$F$10,IF(T743&lt;($F$10-$E$10)/($G$10-$E$10),$E$10+SQRT(T743*($G$10-$E$10)*($F$10-$E$10)),$G$10-SQRT((1-T743)*($G$10-$E$10)*($G$10-$F$10))))</f>
        <v>0.97030348065689</v>
      </c>
      <c r="G743" s="52" t="n">
        <f aca="false">IF($G$11=$E$11,$F$11,IF(U743&lt;($F$11-$E$11)/($G$11-$E$11),$E$11+SQRT(U743*($G$11-$E$11)*($F$11-$E$11)),$G$11-SQRT((1-U743)*($G$11-$E$11)*($G$11-$F$11))))</f>
        <v>0.112983725867551</v>
      </c>
      <c r="H743" s="53" t="n">
        <f aca="false">(('Business Case'!B11*$C743*'Business Case'!B12*$B743)-'Business Case'!B11*$C743*'Business Case'!B13*$D743-'Business Case'!B14*$E743)-MAX(0,(('Business Case'!B11*$C743*'Business Case'!B12*$B743)-'Business Case'!B11*$C743*'Business Case'!B13*$D743-'Business Case'!B14*$E743))*'Business Case'!$B$7-'Business Case'!$B$8*('Business Case'!B11*$C743*'Business Case'!B12*$B743)-'Business Case'!B15*$F743</f>
        <v>-1940606961.31378</v>
      </c>
      <c r="I743" s="53" t="n">
        <f aca="false">(('Business Case'!C11*$C743*'Business Case'!C12*$B743)-'Business Case'!C11*$C743*'Business Case'!C13*$D743-'Business Case'!C14*$E743)-MAX(0,(('Business Case'!C11*$C743*'Business Case'!C12*$B743)-'Business Case'!C11*$C743*'Business Case'!C13*$D743-'Business Case'!C14*$E743))*'Business Case'!$B$7-'Business Case'!$B$8*(('Business Case'!C11*$C743*'Business Case'!C12*$B743)-('Business Case'!B11*$C743*'Business Case'!B12*$B743))-'Business Case'!C15*$F743</f>
        <v>-16709944.7957442</v>
      </c>
      <c r="J743" s="53" t="n">
        <f aca="false">(('Business Case'!D11*$C743*'Business Case'!D12*$B743)-'Business Case'!D11*$C743*'Business Case'!D13*$D743-'Business Case'!D14*$E743)-MAX(0,(('Business Case'!D11*$C743*'Business Case'!D12*$B743)-'Business Case'!D11*$C743*'Business Case'!D13*$D743-'Business Case'!D14*$E743))*'Business Case'!$B$7-'Business Case'!$B$8*(('Business Case'!D11*$C743*'Business Case'!D12*$B743)-('Business Case'!C11*$C743*'Business Case'!C12*$B743))-'Business Case'!D15*$F743</f>
        <v>256898244.09917</v>
      </c>
      <c r="K743" s="53" t="n">
        <f aca="false">(('Business Case'!E11*$C743*'Business Case'!E12*$B743)-'Business Case'!E11*$C743*'Business Case'!E13*$D743-'Business Case'!E14*$E743)-MAX(0,(('Business Case'!E11*$C743*'Business Case'!E12*$B743)-'Business Case'!E11*$C743*'Business Case'!E13*$D743-'Business Case'!E14*$E743))*'Business Case'!$B$7-'Business Case'!$B$8*(('Business Case'!E11*$C743*'Business Case'!E12*$B743)-('Business Case'!D11*$C743*'Business Case'!D12*$B743))-'Business Case'!E15*$F743</f>
        <v>579021607.02693</v>
      </c>
      <c r="L743" s="53" t="n">
        <f aca="false">(('Business Case'!F11*$C743*'Business Case'!F12*$B743)-'Business Case'!F11*$C743*'Business Case'!F13*$D743-'Business Case'!F14*$E743)-MAX(0,(('Business Case'!F11*$C743*'Business Case'!F12*$B743)-'Business Case'!F11*$C743*'Business Case'!F13*$D743-'Business Case'!F14*$E743))*'Business Case'!$B$7-'Business Case'!$B$8*(('Business Case'!F11*$C743*'Business Case'!F12*$B743)-('Business Case'!E11*$C743*'Business Case'!E12*$B743))-'Business Case'!F15*$F743</f>
        <v>702867298.893097</v>
      </c>
      <c r="M743" s="53" t="n">
        <f aca="false">(('Business Case'!G11*$C743*'Business Case'!G12*$B743)-'Business Case'!G11*$C743*'Business Case'!G13*$D743-'Business Case'!G14*$E743)-MAX(0,(('Business Case'!G11*$C743*'Business Case'!G12*$B743)-'Business Case'!G11*$C743*'Business Case'!G13*$D743-'Business Case'!G14*$E743))*'Business Case'!$B$7-'Business Case'!$B$8*(('Business Case'!G11*$C743*'Business Case'!G12*$B743)-('Business Case'!F11*$C743*'Business Case'!F12*$B743))-'Business Case'!G15*$F743+'Business Case'!$B$8*('Business Case'!G11*$C743*'Business Case'!G12*$B743)</f>
        <v>882403591.183007</v>
      </c>
      <c r="N743" s="53" t="n">
        <f aca="false">IF(COUNT('Business Case'!B11:G11)=0,"",H743+NPV(G743,I743:M743))</f>
        <v>-353515618.322799</v>
      </c>
      <c r="P743" s="54" t="n">
        <f aca="true">RAND()</f>
        <v>0.420554959671384</v>
      </c>
      <c r="Q743" s="54" t="n">
        <f aca="true">RAND()</f>
        <v>0.367258037100753</v>
      </c>
      <c r="R743" s="54" t="n">
        <f aca="true">RAND()</f>
        <v>0.619760309404683</v>
      </c>
      <c r="S743" s="54" t="n">
        <f aca="true">RAND()</f>
        <v>0.517563305448125</v>
      </c>
      <c r="T743" s="54" t="n">
        <f aca="true">RAND()</f>
        <v>0.0329785061427764</v>
      </c>
      <c r="U743" s="54" t="n">
        <f aca="true">RAND()</f>
        <v>0.917953162163874</v>
      </c>
    </row>
    <row r="744" customFormat="false" ht="15" hidden="false" customHeight="false" outlineLevel="0" collapsed="false">
      <c r="A744" s="50" t="n">
        <v>664</v>
      </c>
      <c r="B744" s="51" t="n">
        <f aca="false">1+IF($G$6=$E$6,$F$6,IF(P744&lt;($F$6-$E$6)/($G$6-$E$6),$E$6+SQRT(P744*($G$6-$E$6)*($F$6-$E$6)),$G$6-SQRT((1-P744)*($G$6-$E$6)*($G$6-$F$6))))</f>
        <v>0.99478440550262</v>
      </c>
      <c r="C744" s="51" t="n">
        <f aca="false">1+IF($G$7=$E$7,$F$7,IF(Q744&lt;($F$7-$E$7)/($G$7-$E$7),$E$7+SQRT(Q744*($G$7-$E$7)*($F$7-$E$7)),$G$7-SQRT((1-Q744)*($G$7-$E$7)*($G$7-$F$7))))</f>
        <v>0.991884154371507</v>
      </c>
      <c r="D744" s="51" t="n">
        <f aca="false">1+IF($G$8=$E$8,$F$8,IF(R744&lt;($F$8-$E$8)/($G$8-$E$8),$E$8+SQRT(R744*($G$8-$E$8)*($F$8-$E$8)),$G$8-SQRT((1-R744)*($G$8-$E$8)*($G$8-$F$8))))</f>
        <v>1.03789534245347</v>
      </c>
      <c r="E744" s="51" t="n">
        <f aca="false">1+IF($G$9=$E$9,$F$9,IF(S744&lt;($F$9-$E$9)/($G$9-$E$9),$E$9+SQRT(S744*($G$9-$E$9)*($F$9-$E$9)),$G$9-SQRT((1-S744)*($G$9-$E$9)*($G$9-$F$9))))</f>
        <v>1.06126649328591</v>
      </c>
      <c r="F744" s="51" t="n">
        <f aca="false">1+IF($G$10=$E$10,$F$10,IF(T744&lt;($F$10-$E$10)/($G$10-$E$10),$E$10+SQRT(T744*($G$10-$E$10)*($F$10-$E$10)),$G$10-SQRT((1-T744)*($G$10-$E$10)*($G$10-$F$10))))</f>
        <v>1.13059488020829</v>
      </c>
      <c r="G744" s="52" t="n">
        <f aca="false">IF($G$11=$E$11,$F$11,IF(U744&lt;($F$11-$E$11)/($G$11-$E$11),$E$11+SQRT(U744*($G$11-$E$11)*($F$11-$E$11)),$G$11-SQRT((1-U744)*($G$11-$E$11)*($G$11-$F$11))))</f>
        <v>0.0977864081114778</v>
      </c>
      <c r="H744" s="53" t="n">
        <f aca="false">(('Business Case'!B11*$C744*'Business Case'!B12*$B744)-'Business Case'!B11*$C744*'Business Case'!B13*$D744-'Business Case'!B14*$E744)-MAX(0,(('Business Case'!B11*$C744*'Business Case'!B12*$B744)-'Business Case'!B11*$C744*'Business Case'!B13*$D744-'Business Case'!B14*$E744))*'Business Case'!$B$7-'Business Case'!$B$8*('Business Case'!B11*$C744*'Business Case'!B12*$B744)-'Business Case'!B15*$F744</f>
        <v>-2261189760.41659</v>
      </c>
      <c r="I744" s="53" t="n">
        <f aca="false">(('Business Case'!C11*$C744*'Business Case'!C12*$B744)-'Business Case'!C11*$C744*'Business Case'!C13*$D744-'Business Case'!C14*$E744)-MAX(0,(('Business Case'!C11*$C744*'Business Case'!C12*$B744)-'Business Case'!C11*$C744*'Business Case'!C13*$D744-'Business Case'!C14*$E744))*'Business Case'!$B$7-'Business Case'!$B$8*(('Business Case'!C11*$C744*'Business Case'!C12*$B744)-('Business Case'!B11*$C744*'Business Case'!B12*$B744))-'Business Case'!C15*$F744</f>
        <v>-33942692.3154251</v>
      </c>
      <c r="J744" s="53" t="n">
        <f aca="false">(('Business Case'!D11*$C744*'Business Case'!D12*$B744)-'Business Case'!D11*$C744*'Business Case'!D13*$D744-'Business Case'!D14*$E744)-MAX(0,(('Business Case'!D11*$C744*'Business Case'!D12*$B744)-'Business Case'!D11*$C744*'Business Case'!D13*$D744-'Business Case'!D14*$E744))*'Business Case'!$B$7-'Business Case'!$B$8*(('Business Case'!D11*$C744*'Business Case'!D12*$B744)-('Business Case'!C11*$C744*'Business Case'!C12*$B744))-'Business Case'!D15*$F744</f>
        <v>247237291.212386</v>
      </c>
      <c r="K744" s="53" t="n">
        <f aca="false">(('Business Case'!E11*$C744*'Business Case'!E12*$B744)-'Business Case'!E11*$C744*'Business Case'!E13*$D744-'Business Case'!E14*$E744)-MAX(0,(('Business Case'!E11*$C744*'Business Case'!E12*$B744)-'Business Case'!E11*$C744*'Business Case'!E13*$D744-'Business Case'!E14*$E744))*'Business Case'!$B$7-'Business Case'!$B$8*(('Business Case'!E11*$C744*'Business Case'!E12*$B744)-('Business Case'!D11*$C744*'Business Case'!D12*$B744))-'Business Case'!E15*$F744</f>
        <v>584947018.750612</v>
      </c>
      <c r="L744" s="53" t="n">
        <f aca="false">(('Business Case'!F11*$C744*'Business Case'!F12*$B744)-'Business Case'!F11*$C744*'Business Case'!F13*$D744-'Business Case'!F14*$E744)-MAX(0,(('Business Case'!F11*$C744*'Business Case'!F12*$B744)-'Business Case'!F11*$C744*'Business Case'!F13*$D744-'Business Case'!F14*$E744))*'Business Case'!$B$7-'Business Case'!$B$8*(('Business Case'!F11*$C744*'Business Case'!F12*$B744)-('Business Case'!E11*$C744*'Business Case'!E12*$B744))-'Business Case'!F15*$F744</f>
        <v>712774408.24465</v>
      </c>
      <c r="M744" s="53" t="n">
        <f aca="false">(('Business Case'!G11*$C744*'Business Case'!G12*$B744)-'Business Case'!G11*$C744*'Business Case'!G13*$D744-'Business Case'!G14*$E744)-MAX(0,(('Business Case'!G11*$C744*'Business Case'!G12*$B744)-'Business Case'!G11*$C744*'Business Case'!G13*$D744-'Business Case'!G14*$E744))*'Business Case'!$B$7-'Business Case'!$B$8*(('Business Case'!G11*$C744*'Business Case'!G12*$B744)-('Business Case'!F11*$C744*'Business Case'!F12*$B744))-'Business Case'!G15*$F744+'Business Case'!$B$8*('Business Case'!G11*$C744*'Business Case'!G12*$B744)</f>
        <v>900328413.994203</v>
      </c>
      <c r="N744" s="53" t="n">
        <f aca="false">IF(COUNT('Business Case'!B11:G11)=0,"",H744+NPV(G744,I744:M744))</f>
        <v>-589347407.582912</v>
      </c>
      <c r="P744" s="54" t="n">
        <f aca="true">RAND()</f>
        <v>0.582573677747947</v>
      </c>
      <c r="Q744" s="54" t="n">
        <f aca="true">RAND()</f>
        <v>0.525993267126687</v>
      </c>
      <c r="R744" s="54" t="n">
        <f aca="true">RAND()</f>
        <v>0.829538251239339</v>
      </c>
      <c r="S744" s="54" t="n">
        <f aca="true">RAND()</f>
        <v>0.899981030508622</v>
      </c>
      <c r="T744" s="54" t="n">
        <f aca="true">RAND()</f>
        <v>0.90365858693398</v>
      </c>
      <c r="U744" s="54" t="n">
        <f aca="true">RAND()</f>
        <v>0.202093837594959</v>
      </c>
    </row>
    <row r="745" customFormat="false" ht="15" hidden="false" customHeight="false" outlineLevel="0" collapsed="false">
      <c r="A745" s="50" t="n">
        <v>665</v>
      </c>
      <c r="B745" s="51" t="n">
        <f aca="false">1+IF($G$6=$E$6,$F$6,IF(P745&lt;($F$6-$E$6)/($G$6-$E$6),$E$6+SQRT(P745*($G$6-$E$6)*($F$6-$E$6)),$G$6-SQRT((1-P745)*($G$6-$E$6)*($G$6-$F$6))))</f>
        <v>1.01838617603582</v>
      </c>
      <c r="C745" s="51" t="n">
        <f aca="false">1+IF($G$7=$E$7,$F$7,IF(Q745&lt;($F$7-$E$7)/($G$7-$E$7),$E$7+SQRT(Q745*($G$7-$E$7)*($F$7-$E$7)),$G$7-SQRT((1-Q745)*($G$7-$E$7)*($G$7-$F$7))))</f>
        <v>0.970511365186568</v>
      </c>
      <c r="D745" s="51" t="n">
        <f aca="false">1+IF($G$8=$E$8,$F$8,IF(R745&lt;($F$8-$E$8)/($G$8-$E$8),$E$8+SQRT(R745*($G$8-$E$8)*($F$8-$E$8)),$G$8-SQRT((1-R745)*($G$8-$E$8)*($G$8-$F$8))))</f>
        <v>0.962831225928715</v>
      </c>
      <c r="E745" s="51" t="n">
        <f aca="false">1+IF($G$9=$E$9,$F$9,IF(S745&lt;($F$9-$E$9)/($G$9-$E$9),$E$9+SQRT(S745*($G$9-$E$9)*($F$9-$E$9)),$G$9-SQRT((1-S745)*($G$9-$E$9)*($G$9-$F$9))))</f>
        <v>1.07090712713813</v>
      </c>
      <c r="F745" s="51" t="n">
        <f aca="false">1+IF($G$10=$E$10,$F$10,IF(T745&lt;($F$10-$E$10)/($G$10-$E$10),$E$10+SQRT(T745*($G$10-$E$10)*($F$10-$E$10)),$G$10-SQRT((1-T745)*($G$10-$E$10)*($G$10-$F$10))))</f>
        <v>0.976757158616685</v>
      </c>
      <c r="G745" s="52" t="n">
        <f aca="false">IF($G$11=$E$11,$F$11,IF(U745&lt;($F$11-$E$11)/($G$11-$E$11),$E$11+SQRT(U745*($G$11-$E$11)*($F$11-$E$11)),$G$11-SQRT((1-U745)*($G$11-$E$11)*($G$11-$F$11))))</f>
        <v>0.0949314874531182</v>
      </c>
      <c r="H745" s="53" t="n">
        <f aca="false">(('Business Case'!B11*$C745*'Business Case'!B12*$B745)-'Business Case'!B11*$C745*'Business Case'!B13*$D745-'Business Case'!B14*$E745)-MAX(0,(('Business Case'!B11*$C745*'Business Case'!B12*$B745)-'Business Case'!B11*$C745*'Business Case'!B13*$D745-'Business Case'!B14*$E745))*'Business Case'!$B$7-'Business Case'!$B$8*('Business Case'!B11*$C745*'Business Case'!B12*$B745)-'Business Case'!B15*$F745</f>
        <v>-1953514317.23337</v>
      </c>
      <c r="I745" s="53" t="n">
        <f aca="false">(('Business Case'!C11*$C745*'Business Case'!C12*$B745)-'Business Case'!C11*$C745*'Business Case'!C13*$D745-'Business Case'!C14*$E745)-MAX(0,(('Business Case'!C11*$C745*'Business Case'!C12*$B745)-'Business Case'!C11*$C745*'Business Case'!C13*$D745-'Business Case'!C14*$E745))*'Business Case'!$B$7-'Business Case'!$B$8*(('Business Case'!C11*$C745*'Business Case'!C12*$B745)-('Business Case'!B11*$C745*'Business Case'!B12*$B745))-'Business Case'!C15*$F745</f>
        <v>29981316.2433313</v>
      </c>
      <c r="J745" s="53" t="n">
        <f aca="false">(('Business Case'!D11*$C745*'Business Case'!D12*$B745)-'Business Case'!D11*$C745*'Business Case'!D13*$D745-'Business Case'!D14*$E745)-MAX(0,(('Business Case'!D11*$C745*'Business Case'!D12*$B745)-'Business Case'!D11*$C745*'Business Case'!D13*$D745-'Business Case'!D14*$E745))*'Business Case'!$B$7-'Business Case'!$B$8*(('Business Case'!D11*$C745*'Business Case'!D12*$B745)-('Business Case'!C11*$C745*'Business Case'!C12*$B745))-'Business Case'!D15*$F745</f>
        <v>361157683.58566</v>
      </c>
      <c r="K745" s="53" t="n">
        <f aca="false">(('Business Case'!E11*$C745*'Business Case'!E12*$B745)-'Business Case'!E11*$C745*'Business Case'!E13*$D745-'Business Case'!E14*$E745)-MAX(0,(('Business Case'!E11*$C745*'Business Case'!E12*$B745)-'Business Case'!E11*$C745*'Business Case'!E13*$D745-'Business Case'!E14*$E745))*'Business Case'!$B$7-'Business Case'!$B$8*(('Business Case'!E11*$C745*'Business Case'!E12*$B745)-('Business Case'!D11*$C745*'Business Case'!D12*$B745))-'Business Case'!E15*$F745</f>
        <v>741171908.858823</v>
      </c>
      <c r="L745" s="53" t="n">
        <f aca="false">(('Business Case'!F11*$C745*'Business Case'!F12*$B745)-'Business Case'!F11*$C745*'Business Case'!F13*$D745-'Business Case'!F14*$E745)-MAX(0,(('Business Case'!F11*$C745*'Business Case'!F12*$B745)-'Business Case'!F11*$C745*'Business Case'!F13*$D745-'Business Case'!F14*$E745))*'Business Case'!$B$7-'Business Case'!$B$8*(('Business Case'!F11*$C745*'Business Case'!F12*$B745)-('Business Case'!E11*$C745*'Business Case'!E12*$B745))-'Business Case'!F15*$F745</f>
        <v>885721592.478458</v>
      </c>
      <c r="M745" s="53" t="n">
        <f aca="false">(('Business Case'!G11*$C745*'Business Case'!G12*$B745)-'Business Case'!G11*$C745*'Business Case'!G13*$D745-'Business Case'!G14*$E745)-MAX(0,(('Business Case'!G11*$C745*'Business Case'!G12*$B745)-'Business Case'!G11*$C745*'Business Case'!G13*$D745-'Business Case'!G14*$E745))*'Business Case'!$B$7-'Business Case'!$B$8*(('Business Case'!G11*$C745*'Business Case'!G12*$B745)-('Business Case'!F11*$C745*'Business Case'!F12*$B745))-'Business Case'!G15*$F745+'Business Case'!$B$8*('Business Case'!G11*$C745*'Business Case'!G12*$B745)</f>
        <v>1073588178.92551</v>
      </c>
      <c r="N745" s="53" t="n">
        <f aca="false">IF(COUNT('Business Case'!B11:G11)=0,"",H745+NPV(G745,I745:M745))</f>
        <v>238162861.468313</v>
      </c>
      <c r="P745" s="54" t="n">
        <f aca="true">RAND()</f>
        <v>0.902675544509459</v>
      </c>
      <c r="Q745" s="54" t="n">
        <f aca="true">RAND()</f>
        <v>0.415344652254105</v>
      </c>
      <c r="R745" s="54" t="n">
        <f aca="true">RAND()</f>
        <v>0.0253292859744196</v>
      </c>
      <c r="S745" s="54" t="n">
        <f aca="true">RAND()</f>
        <v>0.943573649909525</v>
      </c>
      <c r="T745" s="54" t="n">
        <f aca="true">RAND()</f>
        <v>0.0572756429790755</v>
      </c>
      <c r="U745" s="54" t="n">
        <f aca="true">RAND()</f>
        <v>0.0810652283342062</v>
      </c>
    </row>
    <row r="746" customFormat="false" ht="15" hidden="false" customHeight="false" outlineLevel="0" collapsed="false">
      <c r="A746" s="50" t="n">
        <v>666</v>
      </c>
      <c r="B746" s="51" t="n">
        <f aca="false">1+IF($G$6=$E$6,$F$6,IF(P746&lt;($F$6-$E$6)/($G$6-$E$6),$E$6+SQRT(P746*($G$6-$E$6)*($F$6-$E$6)),$G$6-SQRT((1-P746)*($G$6-$E$6)*($G$6-$F$6))))</f>
        <v>1.00882382755989</v>
      </c>
      <c r="C746" s="51" t="n">
        <f aca="false">1+IF($G$7=$E$7,$F$7,IF(Q746&lt;($F$7-$E$7)/($G$7-$E$7),$E$7+SQRT(Q746*($G$7-$E$7)*($F$7-$E$7)),$G$7-SQRT((1-Q746)*($G$7-$E$7)*($G$7-$F$7))))</f>
        <v>0.930933212765205</v>
      </c>
      <c r="D746" s="51" t="n">
        <f aca="false">1+IF($G$8=$E$8,$F$8,IF(R746&lt;($F$8-$E$8)/($G$8-$E$8),$E$8+SQRT(R746*($G$8-$E$8)*($F$8-$E$8)),$G$8-SQRT((1-R746)*($G$8-$E$8)*($G$8-$F$8))))</f>
        <v>0.997965668072125</v>
      </c>
      <c r="E746" s="51" t="n">
        <f aca="false">1+IF($G$9=$E$9,$F$9,IF(S746&lt;($F$9-$E$9)/($G$9-$E$9),$E$9+SQRT(S746*($G$9-$E$9)*($F$9-$E$9)),$G$9-SQRT((1-S746)*($G$9-$E$9)*($G$9-$F$9))))</f>
        <v>0.964903137013038</v>
      </c>
      <c r="F746" s="51" t="n">
        <f aca="false">1+IF($G$10=$E$10,$F$10,IF(T746&lt;($F$10-$E$10)/($G$10-$E$10),$E$10+SQRT(T746*($G$10-$E$10)*($F$10-$E$10)),$G$10-SQRT((1-T746)*($G$10-$E$10)*($G$10-$F$10))))</f>
        <v>1.03310966472353</v>
      </c>
      <c r="G746" s="52" t="n">
        <f aca="false">IF($G$11=$E$11,$F$11,IF(U746&lt;($F$11-$E$11)/($G$11-$E$11),$E$11+SQRT(U746*($G$11-$E$11)*($F$11-$E$11)),$G$11-SQRT((1-U746)*($G$11-$E$11)*($G$11-$F$11))))</f>
        <v>0.0976565741490127</v>
      </c>
      <c r="H746" s="53" t="n">
        <f aca="false">(('Business Case'!B11*$C746*'Business Case'!B12*$B746)-'Business Case'!B11*$C746*'Business Case'!B13*$D746-'Business Case'!B14*$E746)-MAX(0,(('Business Case'!B11*$C746*'Business Case'!B12*$B746)-'Business Case'!B11*$C746*'Business Case'!B13*$D746-'Business Case'!B14*$E746))*'Business Case'!$B$7-'Business Case'!$B$8*('Business Case'!B11*$C746*'Business Case'!B12*$B746)-'Business Case'!B15*$F746</f>
        <v>-2066219329.44705</v>
      </c>
      <c r="I746" s="53" t="n">
        <f aca="false">(('Business Case'!C11*$C746*'Business Case'!C12*$B746)-'Business Case'!C11*$C746*'Business Case'!C13*$D746-'Business Case'!C14*$E746)-MAX(0,(('Business Case'!C11*$C746*'Business Case'!C12*$B746)-'Business Case'!C11*$C746*'Business Case'!C13*$D746-'Business Case'!C14*$E746))*'Business Case'!$B$7-'Business Case'!$B$8*(('Business Case'!C11*$C746*'Business Case'!C12*$B746)-('Business Case'!B11*$C746*'Business Case'!B12*$B746))-'Business Case'!C15*$F746</f>
        <v>4430061.90455812</v>
      </c>
      <c r="J746" s="53" t="n">
        <f aca="false">(('Business Case'!D11*$C746*'Business Case'!D12*$B746)-'Business Case'!D11*$C746*'Business Case'!D13*$D746-'Business Case'!D14*$E746)-MAX(0,(('Business Case'!D11*$C746*'Business Case'!D12*$B746)-'Business Case'!D11*$C746*'Business Case'!D13*$D746-'Business Case'!D14*$E746))*'Business Case'!$B$7-'Business Case'!$B$8*(('Business Case'!D11*$C746*'Business Case'!D12*$B746)-('Business Case'!C11*$C746*'Business Case'!C12*$B746))-'Business Case'!D15*$F746</f>
        <v>298065728.306648</v>
      </c>
      <c r="K746" s="53" t="n">
        <f aca="false">(('Business Case'!E11*$C746*'Business Case'!E12*$B746)-'Business Case'!E11*$C746*'Business Case'!E13*$D746-'Business Case'!E14*$E746)-MAX(0,(('Business Case'!E11*$C746*'Business Case'!E12*$B746)-'Business Case'!E11*$C746*'Business Case'!E13*$D746-'Business Case'!E14*$E746))*'Business Case'!$B$7-'Business Case'!$B$8*(('Business Case'!E11*$C746*'Business Case'!E12*$B746)-('Business Case'!D11*$C746*'Business Case'!D12*$B746))-'Business Case'!E15*$F746</f>
        <v>643356877.944914</v>
      </c>
      <c r="L746" s="53" t="n">
        <f aca="false">(('Business Case'!F11*$C746*'Business Case'!F12*$B746)-'Business Case'!F11*$C746*'Business Case'!F13*$D746-'Business Case'!F14*$E746)-MAX(0,(('Business Case'!F11*$C746*'Business Case'!F12*$B746)-'Business Case'!F11*$C746*'Business Case'!F13*$D746-'Business Case'!F14*$E746))*'Business Case'!$B$7-'Business Case'!$B$8*(('Business Case'!F11*$C746*'Business Case'!F12*$B746)-('Business Case'!E11*$C746*'Business Case'!E12*$B746))-'Business Case'!F15*$F746</f>
        <v>773692374.706894</v>
      </c>
      <c r="M746" s="53" t="n">
        <f aca="false">(('Business Case'!G11*$C746*'Business Case'!G12*$B746)-'Business Case'!G11*$C746*'Business Case'!G13*$D746-'Business Case'!G14*$E746)-MAX(0,(('Business Case'!G11*$C746*'Business Case'!G12*$B746)-'Business Case'!G11*$C746*'Business Case'!G13*$D746-'Business Case'!G14*$E746))*'Business Case'!$B$7-'Business Case'!$B$8*(('Business Case'!G11*$C746*'Business Case'!G12*$B746)-('Business Case'!F11*$C746*'Business Case'!F12*$B746))-'Business Case'!G15*$F746+'Business Case'!$B$8*('Business Case'!G11*$C746*'Business Case'!G12*$B746)</f>
        <v>952205551.827285</v>
      </c>
      <c r="N746" s="53" t="n">
        <f aca="false">IF(COUNT('Business Case'!B11:G11)=0,"",H746+NPV(G746,I746:M746))</f>
        <v>-197776519.464484</v>
      </c>
      <c r="P746" s="54" t="n">
        <f aca="true">RAND()</f>
        <v>0.797509639996715</v>
      </c>
      <c r="Q746" s="54" t="n">
        <f aca="true">RAND()</f>
        <v>0.244907231500263</v>
      </c>
      <c r="R746" s="54" t="n">
        <f aca="true">RAND()</f>
        <v>0.353954663631587</v>
      </c>
      <c r="S746" s="54" t="n">
        <f aca="true">RAND()</f>
        <v>0.0296137990439185</v>
      </c>
      <c r="T746" s="54" t="n">
        <f aca="true">RAND()</f>
        <v>0.442952319826128</v>
      </c>
      <c r="U746" s="54" t="n">
        <f aca="true">RAND()</f>
        <v>0.195410425664429</v>
      </c>
    </row>
    <row r="747" customFormat="false" ht="15" hidden="false" customHeight="false" outlineLevel="0" collapsed="false">
      <c r="A747" s="50" t="n">
        <v>667</v>
      </c>
      <c r="B747" s="51" t="n">
        <f aca="false">1+IF($G$6=$E$6,$F$6,IF(P747&lt;($F$6-$E$6)/($G$6-$E$6),$E$6+SQRT(P747*($G$6-$E$6)*($F$6-$E$6)),$G$6-SQRT((1-P747)*($G$6-$E$6)*($G$6-$F$6))))</f>
        <v>1.00662229388178</v>
      </c>
      <c r="C747" s="51" t="n">
        <f aca="false">1+IF($G$7=$E$7,$F$7,IF(Q747&lt;($F$7-$E$7)/($G$7-$E$7),$E$7+SQRT(Q747*($G$7-$E$7)*($F$7-$E$7)),$G$7-SQRT((1-Q747)*($G$7-$E$7)*($G$7-$F$7))))</f>
        <v>0.881710032595656</v>
      </c>
      <c r="D747" s="51" t="n">
        <f aca="false">1+IF($G$8=$E$8,$F$8,IF(R747&lt;($F$8-$E$8)/($G$8-$E$8),$E$8+SQRT(R747*($G$8-$E$8)*($F$8-$E$8)),$G$8-SQRT((1-R747)*($G$8-$E$8)*($G$8-$F$8))))</f>
        <v>1.0428570251067</v>
      </c>
      <c r="E747" s="51" t="n">
        <f aca="false">1+IF($G$9=$E$9,$F$9,IF(S747&lt;($F$9-$E$9)/($G$9-$E$9),$E$9+SQRT(S747*($G$9-$E$9)*($F$9-$E$9)),$G$9-SQRT((1-S747)*($G$9-$E$9)*($G$9-$F$9))))</f>
        <v>0.997587175156663</v>
      </c>
      <c r="F747" s="51" t="n">
        <f aca="false">1+IF($G$10=$E$10,$F$10,IF(T747&lt;($F$10-$E$10)/($G$10-$E$10),$E$10+SQRT(T747*($G$10-$E$10)*($F$10-$E$10)),$G$10-SQRT((1-T747)*($G$10-$E$10)*($G$10-$F$10))))</f>
        <v>1.11240038421881</v>
      </c>
      <c r="G747" s="52" t="n">
        <f aca="false">IF($G$11=$E$11,$F$11,IF(U747&lt;($F$11-$E$11)/($G$11-$E$11),$E$11+SQRT(U747*($G$11-$E$11)*($F$11-$E$11)),$G$11-SQRT((1-U747)*($G$11-$E$11)*($G$11-$F$11))))</f>
        <v>0.104432200728906</v>
      </c>
      <c r="H747" s="53" t="n">
        <f aca="false">(('Business Case'!B11*$C747*'Business Case'!B12*$B747)-'Business Case'!B11*$C747*'Business Case'!B13*$D747-'Business Case'!B14*$E747)-MAX(0,(('Business Case'!B11*$C747*'Business Case'!B12*$B747)-'Business Case'!B11*$C747*'Business Case'!B13*$D747-'Business Case'!B14*$E747))*'Business Case'!$B$7-'Business Case'!$B$8*('Business Case'!B11*$C747*'Business Case'!B12*$B747)-'Business Case'!B15*$F747</f>
        <v>-2224800768.43763</v>
      </c>
      <c r="I747" s="53" t="n">
        <f aca="false">(('Business Case'!C11*$C747*'Business Case'!C12*$B747)-'Business Case'!C11*$C747*'Business Case'!C13*$D747-'Business Case'!C14*$E747)-MAX(0,(('Business Case'!C11*$C747*'Business Case'!C12*$B747)-'Business Case'!C11*$C747*'Business Case'!C13*$D747-'Business Case'!C14*$E747))*'Business Case'!$B$7-'Business Case'!$B$8*(('Business Case'!C11*$C747*'Business Case'!C12*$B747)-('Business Case'!B11*$C747*'Business Case'!B12*$B747))-'Business Case'!C15*$F747</f>
        <v>-42850120.1387495</v>
      </c>
      <c r="J747" s="53" t="n">
        <f aca="false">(('Business Case'!D11*$C747*'Business Case'!D12*$B747)-'Business Case'!D11*$C747*'Business Case'!D13*$D747-'Business Case'!D14*$E747)-MAX(0,(('Business Case'!D11*$C747*'Business Case'!D12*$B747)-'Business Case'!D11*$C747*'Business Case'!D13*$D747-'Business Case'!D14*$E747))*'Business Case'!$B$7-'Business Case'!$B$8*(('Business Case'!D11*$C747*'Business Case'!D12*$B747)-('Business Case'!C11*$C747*'Business Case'!C12*$B747))-'Business Case'!D15*$F747</f>
        <v>213407233.344173</v>
      </c>
      <c r="K747" s="53" t="n">
        <f aca="false">(('Business Case'!E11*$C747*'Business Case'!E12*$B747)-'Business Case'!E11*$C747*'Business Case'!E13*$D747-'Business Case'!E14*$E747)-MAX(0,(('Business Case'!E11*$C747*'Business Case'!E12*$B747)-'Business Case'!E11*$C747*'Business Case'!E13*$D747-'Business Case'!E14*$E747))*'Business Case'!$B$7-'Business Case'!$B$8*(('Business Case'!E11*$C747*'Business Case'!E12*$B747)-('Business Case'!D11*$C747*'Business Case'!D12*$B747))-'Business Case'!E15*$F747</f>
        <v>525284606.038036</v>
      </c>
      <c r="L747" s="53" t="n">
        <f aca="false">(('Business Case'!F11*$C747*'Business Case'!F12*$B747)-'Business Case'!F11*$C747*'Business Case'!F13*$D747-'Business Case'!F14*$E747)-MAX(0,(('Business Case'!F11*$C747*'Business Case'!F12*$B747)-'Business Case'!F11*$C747*'Business Case'!F13*$D747-'Business Case'!F14*$E747))*'Business Case'!$B$7-'Business Case'!$B$8*(('Business Case'!F11*$C747*'Business Case'!F12*$B747)-('Business Case'!E11*$C747*'Business Case'!E12*$B747))-'Business Case'!F15*$F747</f>
        <v>641377416.460686</v>
      </c>
      <c r="M747" s="53" t="n">
        <f aca="false">(('Business Case'!G11*$C747*'Business Case'!G12*$B747)-'Business Case'!G11*$C747*'Business Case'!G13*$D747-'Business Case'!G14*$E747)-MAX(0,(('Business Case'!G11*$C747*'Business Case'!G12*$B747)-'Business Case'!G11*$C747*'Business Case'!G13*$D747-'Business Case'!G14*$E747))*'Business Case'!$B$7-'Business Case'!$B$8*(('Business Case'!G11*$C747*'Business Case'!G12*$B747)-('Business Case'!F11*$C747*'Business Case'!F12*$B747))-'Business Case'!G15*$F747+'Business Case'!$B$8*('Business Case'!G11*$C747*'Business Case'!G12*$B747)</f>
        <v>810082725.733234</v>
      </c>
      <c r="N747" s="53" t="n">
        <f aca="false">IF(COUNT('Business Case'!B11:G11)=0,"",H747+NPV(G747,I747:M747))</f>
        <v>-774655475.406742</v>
      </c>
      <c r="P747" s="54" t="n">
        <f aca="true">RAND()</f>
        <v>0.767901819642889</v>
      </c>
      <c r="Q747" s="54" t="n">
        <f aca="true">RAND()</f>
        <v>0.0953789918111883</v>
      </c>
      <c r="R747" s="54" t="n">
        <f aca="true">RAND()</f>
        <v>0.867346097699577</v>
      </c>
      <c r="S747" s="54" t="n">
        <f aca="true">RAND()</f>
        <v>0.301938565252127</v>
      </c>
      <c r="T747" s="54" t="n">
        <f aca="true">RAND()</f>
        <v>0.846526146299775</v>
      </c>
      <c r="U747" s="54" t="n">
        <f aca="true">RAND()</f>
        <v>0.596072709758205</v>
      </c>
    </row>
    <row r="748" customFormat="false" ht="15" hidden="false" customHeight="false" outlineLevel="0" collapsed="false">
      <c r="A748" s="50" t="n">
        <v>668</v>
      </c>
      <c r="B748" s="51" t="n">
        <f aca="false">1+IF($G$6=$E$6,$F$6,IF(P748&lt;($F$6-$E$6)/($G$6-$E$6),$E$6+SQRT(P748*($G$6-$E$6)*($F$6-$E$6)),$G$6-SQRT((1-P748)*($G$6-$E$6)*($G$6-$F$6))))</f>
        <v>0.98788781811939</v>
      </c>
      <c r="C748" s="51" t="n">
        <f aca="false">1+IF($G$7=$E$7,$F$7,IF(Q748&lt;($F$7-$E$7)/($G$7-$E$7),$E$7+SQRT(Q748*($G$7-$E$7)*($F$7-$E$7)),$G$7-SQRT((1-Q748)*($G$7-$E$7)*($G$7-$F$7))))</f>
        <v>0.950349844800926</v>
      </c>
      <c r="D748" s="51" t="n">
        <f aca="false">1+IF($G$8=$E$8,$F$8,IF(R748&lt;($F$8-$E$8)/($G$8-$E$8),$E$8+SQRT(R748*($G$8-$E$8)*($F$8-$E$8)),$G$8-SQRT((1-R748)*($G$8-$E$8)*($G$8-$F$8))))</f>
        <v>1.00146327858478</v>
      </c>
      <c r="E748" s="51" t="n">
        <f aca="false">1+IF($G$9=$E$9,$F$9,IF(S748&lt;($F$9-$E$9)/($G$9-$E$9),$E$9+SQRT(S748*($G$9-$E$9)*($F$9-$E$9)),$G$9-SQRT((1-S748)*($G$9-$E$9)*($G$9-$F$9))))</f>
        <v>1.00346231807888</v>
      </c>
      <c r="F748" s="51" t="n">
        <f aca="false">1+IF($G$10=$E$10,$F$10,IF(T748&lt;($F$10-$E$10)/($G$10-$E$10),$E$10+SQRT(T748*($G$10-$E$10)*($F$10-$E$10)),$G$10-SQRT((1-T748)*($G$10-$E$10)*($G$10-$F$10))))</f>
        <v>0.976962647438312</v>
      </c>
      <c r="G748" s="52" t="n">
        <f aca="false">IF($G$11=$E$11,$F$11,IF(U748&lt;($F$11-$E$11)/($G$11-$E$11),$E$11+SQRT(U748*($G$11-$E$11)*($F$11-$E$11)),$G$11-SQRT((1-U748)*($G$11-$E$11)*($G$11-$F$11))))</f>
        <v>0.0965031386730801</v>
      </c>
      <c r="H748" s="53" t="n">
        <f aca="false">(('Business Case'!B11*$C748*'Business Case'!B12*$B748)-'Business Case'!B11*$C748*'Business Case'!B13*$D748-'Business Case'!B14*$E748)-MAX(0,(('Business Case'!B11*$C748*'Business Case'!B12*$B748)-'Business Case'!B11*$C748*'Business Case'!B13*$D748-'Business Case'!B14*$E748))*'Business Case'!$B$7-'Business Case'!$B$8*('Business Case'!B11*$C748*'Business Case'!B12*$B748)-'Business Case'!B15*$F748</f>
        <v>-1953925294.87662</v>
      </c>
      <c r="I748" s="53" t="n">
        <f aca="false">(('Business Case'!C11*$C748*'Business Case'!C12*$B748)-'Business Case'!C11*$C748*'Business Case'!C13*$D748-'Business Case'!C14*$E748)-MAX(0,(('Business Case'!C11*$C748*'Business Case'!C12*$B748)-'Business Case'!C11*$C748*'Business Case'!C13*$D748-'Business Case'!C14*$E748))*'Business Case'!$B$7-'Business Case'!$B$8*(('Business Case'!C11*$C748*'Business Case'!C12*$B748)-('Business Case'!B11*$C748*'Business Case'!B12*$B748))-'Business Case'!C15*$F748</f>
        <v>-7296238.26427713</v>
      </c>
      <c r="J748" s="53" t="n">
        <f aca="false">(('Business Case'!D11*$C748*'Business Case'!D12*$B748)-'Business Case'!D11*$C748*'Business Case'!D13*$D748-'Business Case'!D14*$E748)-MAX(0,(('Business Case'!D11*$C748*'Business Case'!D12*$B748)-'Business Case'!D11*$C748*'Business Case'!D13*$D748-'Business Case'!D14*$E748))*'Business Case'!$B$7-'Business Case'!$B$8*(('Business Case'!D11*$C748*'Business Case'!D12*$B748)-('Business Case'!C11*$C748*'Business Case'!C12*$B748))-'Business Case'!D15*$F748</f>
        <v>274465545.401339</v>
      </c>
      <c r="K748" s="53" t="n">
        <f aca="false">(('Business Case'!E11*$C748*'Business Case'!E12*$B748)-'Business Case'!E11*$C748*'Business Case'!E13*$D748-'Business Case'!E14*$E748)-MAX(0,(('Business Case'!E11*$C748*'Business Case'!E12*$B748)-'Business Case'!E11*$C748*'Business Case'!E13*$D748-'Business Case'!E14*$E748))*'Business Case'!$B$7-'Business Case'!$B$8*(('Business Case'!E11*$C748*'Business Case'!E12*$B748)-('Business Case'!D11*$C748*'Business Case'!D12*$B748))-'Business Case'!E15*$F748</f>
        <v>605075461.43887</v>
      </c>
      <c r="L748" s="53" t="n">
        <f aca="false">(('Business Case'!F11*$C748*'Business Case'!F12*$B748)-'Business Case'!F11*$C748*'Business Case'!F13*$D748-'Business Case'!F14*$E748)-MAX(0,(('Business Case'!F11*$C748*'Business Case'!F12*$B748)-'Business Case'!F11*$C748*'Business Case'!F13*$D748-'Business Case'!F14*$E748))*'Business Case'!$B$7-'Business Case'!$B$8*(('Business Case'!F11*$C748*'Business Case'!F12*$B748)-('Business Case'!E11*$C748*'Business Case'!E12*$B748))-'Business Case'!F15*$F748</f>
        <v>731442333.030905</v>
      </c>
      <c r="M748" s="53" t="n">
        <f aca="false">(('Business Case'!G11*$C748*'Business Case'!G12*$B748)-'Business Case'!G11*$C748*'Business Case'!G13*$D748-'Business Case'!G14*$E748)-MAX(0,(('Business Case'!G11*$C748*'Business Case'!G12*$B748)-'Business Case'!G11*$C748*'Business Case'!G13*$D748-'Business Case'!G14*$E748))*'Business Case'!$B$7-'Business Case'!$B$8*(('Business Case'!G11*$C748*'Business Case'!G12*$B748)-('Business Case'!F11*$C748*'Business Case'!F12*$B748))-'Business Case'!G15*$F748+'Business Case'!$B$8*('Business Case'!G11*$C748*'Business Case'!G12*$B748)</f>
        <v>909896856.733468</v>
      </c>
      <c r="N748" s="53" t="n">
        <f aca="false">IF(COUNT('Business Case'!B11:G11)=0,"",H748+NPV(G748,I748:M748))</f>
        <v>-193304698.835319</v>
      </c>
      <c r="P748" s="54" t="n">
        <f aca="true">RAND()</f>
        <v>0.480078734272018</v>
      </c>
      <c r="Q748" s="54" t="n">
        <f aca="true">RAND()</f>
        <v>0.322929654738038</v>
      </c>
      <c r="R748" s="54" t="n">
        <f aca="true">RAND()</f>
        <v>0.406921479744975</v>
      </c>
      <c r="S748" s="54" t="n">
        <f aca="true">RAND()</f>
        <v>0.378698397953139</v>
      </c>
      <c r="T748" s="54" t="n">
        <f aca="true">RAND()</f>
        <v>0.0581587485506179</v>
      </c>
      <c r="U748" s="54" t="n">
        <f aca="true">RAND()</f>
        <v>0.140969375337701</v>
      </c>
    </row>
    <row r="749" customFormat="false" ht="15" hidden="false" customHeight="false" outlineLevel="0" collapsed="false">
      <c r="A749" s="50" t="n">
        <v>669</v>
      </c>
      <c r="B749" s="51" t="n">
        <f aca="false">1+IF($G$6=$E$6,$F$6,IF(P749&lt;($F$6-$E$6)/($G$6-$E$6),$E$6+SQRT(P749*($G$6-$E$6)*($F$6-$E$6)),$G$6-SQRT((1-P749)*($G$6-$E$6)*($G$6-$F$6))))</f>
        <v>1.03064861993119</v>
      </c>
      <c r="C749" s="51" t="n">
        <f aca="false">1+IF($G$7=$E$7,$F$7,IF(Q749&lt;($F$7-$E$7)/($G$7-$E$7),$E$7+SQRT(Q749*($G$7-$E$7)*($F$7-$E$7)),$G$7-SQRT((1-Q749)*($G$7-$E$7)*($G$7-$F$7))))</f>
        <v>0.926936534019928</v>
      </c>
      <c r="D749" s="51" t="n">
        <f aca="false">1+IF($G$8=$E$8,$F$8,IF(R749&lt;($F$8-$E$8)/($G$8-$E$8),$E$8+SQRT(R749*($G$8-$E$8)*($F$8-$E$8)),$G$8-SQRT((1-R749)*($G$8-$E$8)*($G$8-$F$8))))</f>
        <v>0.979824257045936</v>
      </c>
      <c r="E749" s="51" t="n">
        <f aca="false">1+IF($G$9=$E$9,$F$9,IF(S749&lt;($F$9-$E$9)/($G$9-$E$9),$E$9+SQRT(S749*($G$9-$E$9)*($F$9-$E$9)),$G$9-SQRT((1-S749)*($G$9-$E$9)*($G$9-$F$9))))</f>
        <v>1.04648355165727</v>
      </c>
      <c r="F749" s="51" t="n">
        <f aca="false">1+IF($G$10=$E$10,$F$10,IF(T749&lt;($F$10-$E$10)/($G$10-$E$10),$E$10+SQRT(T749*($G$10-$E$10)*($F$10-$E$10)),$G$10-SQRT((1-T749)*($G$10-$E$10)*($G$10-$F$10))))</f>
        <v>1.11920241702073</v>
      </c>
      <c r="G749" s="52" t="n">
        <f aca="false">IF($G$11=$E$11,$F$11,IF(U749&lt;($F$11-$E$11)/($G$11-$E$11),$E$11+SQRT(U749*($G$11-$E$11)*($F$11-$E$11)),$G$11-SQRT((1-U749)*($G$11-$E$11)*($G$11-$F$11))))</f>
        <v>0.101776966955049</v>
      </c>
      <c r="H749" s="53" t="n">
        <f aca="false">(('Business Case'!B11*$C749*'Business Case'!B12*$B749)-'Business Case'!B11*$C749*'Business Case'!B13*$D749-'Business Case'!B14*$E749)-MAX(0,(('Business Case'!B11*$C749*'Business Case'!B12*$B749)-'Business Case'!B11*$C749*'Business Case'!B13*$D749-'Business Case'!B14*$E749))*'Business Case'!$B$7-'Business Case'!$B$8*('Business Case'!B11*$C749*'Business Case'!B12*$B749)-'Business Case'!B15*$F749</f>
        <v>-2238404834.04146</v>
      </c>
      <c r="I749" s="53" t="n">
        <f aca="false">(('Business Case'!C11*$C749*'Business Case'!C12*$B749)-'Business Case'!C11*$C749*'Business Case'!C13*$D749-'Business Case'!C14*$E749)-MAX(0,(('Business Case'!C11*$C749*'Business Case'!C12*$B749)-'Business Case'!C11*$C749*'Business Case'!C13*$D749-'Business Case'!C14*$E749))*'Business Case'!$B$7-'Business Case'!$B$8*(('Business Case'!C11*$C749*'Business Case'!C12*$B749)-('Business Case'!B11*$C749*'Business Case'!B12*$B749))-'Business Case'!C15*$F749</f>
        <v>7298101.3629898</v>
      </c>
      <c r="J749" s="53" t="n">
        <f aca="false">(('Business Case'!D11*$C749*'Business Case'!D12*$B749)-'Business Case'!D11*$C749*'Business Case'!D13*$D749-'Business Case'!D14*$E749)-MAX(0,(('Business Case'!D11*$C749*'Business Case'!D12*$B749)-'Business Case'!D11*$C749*'Business Case'!D13*$D749-'Business Case'!D14*$E749))*'Business Case'!$B$7-'Business Case'!$B$8*(('Business Case'!D11*$C749*'Business Case'!D12*$B749)-('Business Case'!C11*$C749*'Business Case'!C12*$B749))-'Business Case'!D15*$F749</f>
        <v>324851534.832863</v>
      </c>
      <c r="K749" s="53" t="n">
        <f aca="false">(('Business Case'!E11*$C749*'Business Case'!E12*$B749)-'Business Case'!E11*$C749*'Business Case'!E13*$D749-'Business Case'!E14*$E749)-MAX(0,(('Business Case'!E11*$C749*'Business Case'!E12*$B749)-'Business Case'!E11*$C749*'Business Case'!E13*$D749-'Business Case'!E14*$E749))*'Business Case'!$B$7-'Business Case'!$B$8*(('Business Case'!E11*$C749*'Business Case'!E12*$B749)-('Business Case'!D11*$C749*'Business Case'!D12*$B749))-'Business Case'!E15*$F749</f>
        <v>698365089.153773</v>
      </c>
      <c r="L749" s="53" t="n">
        <f aca="false">(('Business Case'!F11*$C749*'Business Case'!F12*$B749)-'Business Case'!F11*$C749*'Business Case'!F13*$D749-'Business Case'!F14*$E749)-MAX(0,(('Business Case'!F11*$C749*'Business Case'!F12*$B749)-'Business Case'!F11*$C749*'Business Case'!F13*$D749-'Business Case'!F14*$E749))*'Business Case'!$B$7-'Business Case'!$B$8*(('Business Case'!F11*$C749*'Business Case'!F12*$B749)-('Business Case'!E11*$C749*'Business Case'!E12*$B749))-'Business Case'!F15*$F749</f>
        <v>837232986.549829</v>
      </c>
      <c r="M749" s="53" t="n">
        <f aca="false">(('Business Case'!G11*$C749*'Business Case'!G12*$B749)-'Business Case'!G11*$C749*'Business Case'!G13*$D749-'Business Case'!G14*$E749)-MAX(0,(('Business Case'!G11*$C749*'Business Case'!G12*$B749)-'Business Case'!G11*$C749*'Business Case'!G13*$D749-'Business Case'!G14*$E749))*'Business Case'!$B$7-'Business Case'!$B$8*(('Business Case'!G11*$C749*'Business Case'!G12*$B749)-('Business Case'!F11*$C749*'Business Case'!F12*$B749))-'Business Case'!G15*$F749+'Business Case'!$B$8*('Business Case'!G11*$C749*'Business Case'!G12*$B749)</f>
        <v>1018825127.53337</v>
      </c>
      <c r="N749" s="53" t="n">
        <f aca="false">IF(COUNT('Business Case'!B11:G11)=0,"",H749+NPV(G749,I749:M749))</f>
        <v>-246329981.339261</v>
      </c>
      <c r="P749" s="54" t="n">
        <f aca="true">RAND()</f>
        <v>0.981781602251796</v>
      </c>
      <c r="Q749" s="54" t="n">
        <f aca="true">RAND()</f>
        <v>0.230184052414175</v>
      </c>
      <c r="R749" s="54" t="n">
        <f aca="true">RAND()</f>
        <v>0.136844047437241</v>
      </c>
      <c r="S749" s="54" t="n">
        <f aca="true">RAND()</f>
        <v>0.809065983785356</v>
      </c>
      <c r="T749" s="54" t="n">
        <f aca="true">RAND()</f>
        <v>0.869435011694157</v>
      </c>
      <c r="U749" s="54" t="n">
        <f aca="true">RAND()</f>
        <v>0.446535111071032</v>
      </c>
    </row>
    <row r="750" customFormat="false" ht="15" hidden="false" customHeight="false" outlineLevel="0" collapsed="false">
      <c r="A750" s="50" t="n">
        <v>670</v>
      </c>
      <c r="B750" s="51" t="n">
        <f aca="false">1+IF($G$6=$E$6,$F$6,IF(P750&lt;($F$6-$E$6)/($G$6-$E$6),$E$6+SQRT(P750*($G$6-$E$6)*($F$6-$E$6)),$G$6-SQRT((1-P750)*($G$6-$E$6)*($G$6-$F$6))))</f>
        <v>0.951384397123183</v>
      </c>
      <c r="C750" s="51" t="n">
        <f aca="false">1+IF($G$7=$E$7,$F$7,IF(Q750&lt;($F$7-$E$7)/($G$7-$E$7),$E$7+SQRT(Q750*($G$7-$E$7)*($F$7-$E$7)),$G$7-SQRT((1-Q750)*($G$7-$E$7)*($G$7-$F$7))))</f>
        <v>0.8418889216842</v>
      </c>
      <c r="D750" s="51" t="n">
        <f aca="false">1+IF($G$8=$E$8,$F$8,IF(R750&lt;($F$8-$E$8)/($G$8-$E$8),$E$8+SQRT(R750*($G$8-$E$8)*($F$8-$E$8)),$G$8-SQRT((1-R750)*($G$8-$E$8)*($G$8-$F$8))))</f>
        <v>1.01971556990173</v>
      </c>
      <c r="E750" s="51" t="n">
        <f aca="false">1+IF($G$9=$E$9,$F$9,IF(S750&lt;($F$9-$E$9)/($G$9-$E$9),$E$9+SQRT(S750*($G$9-$E$9)*($F$9-$E$9)),$G$9-SQRT((1-S750)*($G$9-$E$9)*($G$9-$F$9))))</f>
        <v>1.06583221382682</v>
      </c>
      <c r="F750" s="51" t="n">
        <f aca="false">1+IF($G$10=$E$10,$F$10,IF(T750&lt;($F$10-$E$10)/($G$10-$E$10),$E$10+SQRT(T750*($G$10-$E$10)*($F$10-$E$10)),$G$10-SQRT((1-T750)*($G$10-$E$10)*($G$10-$F$10))))</f>
        <v>0.970979545426714</v>
      </c>
      <c r="G750" s="52" t="n">
        <f aca="false">IF($G$11=$E$11,$F$11,IF(U750&lt;($F$11-$E$11)/($G$11-$E$11),$E$11+SQRT(U750*($G$11-$E$11)*($F$11-$E$11)),$G$11-SQRT((1-U750)*($G$11-$E$11)*($G$11-$F$11))))</f>
        <v>0.0945449573796428</v>
      </c>
      <c r="H750" s="53" t="n">
        <f aca="false">(('Business Case'!B11*$C750*'Business Case'!B12*$B750)-'Business Case'!B11*$C750*'Business Case'!B13*$D750-'Business Case'!B14*$E750)-MAX(0,(('Business Case'!B11*$C750*'Business Case'!B12*$B750)-'Business Case'!B11*$C750*'Business Case'!B13*$D750-'Business Case'!B14*$E750))*'Business Case'!$B$7-'Business Case'!$B$8*('Business Case'!B11*$C750*'Business Case'!B12*$B750)-'Business Case'!B15*$F750</f>
        <v>-1941959090.85343</v>
      </c>
      <c r="I750" s="53" t="n">
        <f aca="false">(('Business Case'!C11*$C750*'Business Case'!C12*$B750)-'Business Case'!C11*$C750*'Business Case'!C13*$D750-'Business Case'!C14*$E750)-MAX(0,(('Business Case'!C11*$C750*'Business Case'!C12*$B750)-'Business Case'!C11*$C750*'Business Case'!C13*$D750-'Business Case'!C14*$E750))*'Business Case'!$B$7-'Business Case'!$B$8*(('Business Case'!C11*$C750*'Business Case'!C12*$B750)-('Business Case'!B11*$C750*'Business Case'!B12*$B750))-'Business Case'!C15*$F750</f>
        <v>-73613953.4542648</v>
      </c>
      <c r="J750" s="53" t="n">
        <f aca="false">(('Business Case'!D11*$C750*'Business Case'!D12*$B750)-'Business Case'!D11*$C750*'Business Case'!D13*$D750-'Business Case'!D14*$E750)-MAX(0,(('Business Case'!D11*$C750*'Business Case'!D12*$B750)-'Business Case'!D11*$C750*'Business Case'!D13*$D750-'Business Case'!D14*$E750))*'Business Case'!$B$7-'Business Case'!$B$8*(('Business Case'!D11*$C750*'Business Case'!D12*$B750)-('Business Case'!C11*$C750*'Business Case'!C12*$B750))-'Business Case'!D15*$F750</f>
        <v>142953154.021306</v>
      </c>
      <c r="K750" s="53" t="n">
        <f aca="false">(('Business Case'!E11*$C750*'Business Case'!E12*$B750)-'Business Case'!E11*$C750*'Business Case'!E13*$D750-'Business Case'!E14*$E750)-MAX(0,(('Business Case'!E11*$C750*'Business Case'!E12*$B750)-'Business Case'!E11*$C750*'Business Case'!E13*$D750-'Business Case'!E14*$E750))*'Business Case'!$B$7-'Business Case'!$B$8*(('Business Case'!E11*$C750*'Business Case'!E12*$B750)-('Business Case'!D11*$C750*'Business Case'!D12*$B750))-'Business Case'!E15*$F750</f>
        <v>408069238.768212</v>
      </c>
      <c r="L750" s="53" t="n">
        <f aca="false">(('Business Case'!F11*$C750*'Business Case'!F12*$B750)-'Business Case'!F11*$C750*'Business Case'!F13*$D750-'Business Case'!F14*$E750)-MAX(0,(('Business Case'!F11*$C750*'Business Case'!F12*$B750)-'Business Case'!F11*$C750*'Business Case'!F13*$D750-'Business Case'!F14*$E750))*'Business Case'!$B$7-'Business Case'!$B$8*(('Business Case'!F11*$C750*'Business Case'!F12*$B750)-('Business Case'!E11*$C750*'Business Case'!E12*$B750))-'Business Case'!F15*$F750</f>
        <v>507939451.647395</v>
      </c>
      <c r="M750" s="53" t="n">
        <f aca="false">(('Business Case'!G11*$C750*'Business Case'!G12*$B750)-'Business Case'!G11*$C750*'Business Case'!G13*$D750-'Business Case'!G14*$E750)-MAX(0,(('Business Case'!G11*$C750*'Business Case'!G12*$B750)-'Business Case'!G11*$C750*'Business Case'!G13*$D750-'Business Case'!G14*$E750))*'Business Case'!$B$7-'Business Case'!$B$8*(('Business Case'!G11*$C750*'Business Case'!G12*$B750)-('Business Case'!F11*$C750*'Business Case'!F12*$B750))-'Business Case'!G15*$F750+'Business Case'!$B$8*('Business Case'!G11*$C750*'Business Case'!G12*$B750)</f>
        <v>660185925.444361</v>
      </c>
      <c r="N750" s="53" t="n">
        <f aca="false">IF(COUNT('Business Case'!B11:G11)=0,"",H750+NPV(G750,I750:M750))</f>
        <v>-804557082.268717</v>
      </c>
      <c r="P750" s="54" t="n">
        <f aca="true">RAND()</f>
        <v>0.102602123206837</v>
      </c>
      <c r="Q750" s="54" t="n">
        <f aca="true">RAND()</f>
        <v>0.0250668822837867</v>
      </c>
      <c r="R750" s="54" t="n">
        <f aca="true">RAND()</f>
        <v>0.650556489204489</v>
      </c>
      <c r="S750" s="54" t="n">
        <f aca="true">RAND()</f>
        <v>0.922170825868234</v>
      </c>
      <c r="T750" s="54" t="n">
        <f aca="true">RAND()</f>
        <v>0.0352113061049235</v>
      </c>
      <c r="U750" s="54" t="n">
        <f aca="true">RAND()</f>
        <v>0.0688554586092328</v>
      </c>
    </row>
    <row r="751" customFormat="false" ht="15" hidden="false" customHeight="false" outlineLevel="0" collapsed="false">
      <c r="A751" s="50" t="n">
        <v>671</v>
      </c>
      <c r="B751" s="51" t="n">
        <f aca="false">1+IF($G$6=$E$6,$F$6,IF(P751&lt;($F$6-$E$6)/($G$6-$E$6),$E$6+SQRT(P751*($G$6-$E$6)*($F$6-$E$6)),$G$6-SQRT((1-P751)*($G$6-$E$6)*($G$6-$F$6))))</f>
        <v>1.00129492454313</v>
      </c>
      <c r="C751" s="51" t="n">
        <f aca="false">1+IF($G$7=$E$7,$F$7,IF(Q751&lt;($F$7-$E$7)/($G$7-$E$7),$E$7+SQRT(Q751*($G$7-$E$7)*($F$7-$E$7)),$G$7-SQRT((1-Q751)*($G$7-$E$7)*($G$7-$F$7))))</f>
        <v>0.991040134112165</v>
      </c>
      <c r="D751" s="51" t="n">
        <f aca="false">1+IF($G$8=$E$8,$F$8,IF(R751&lt;($F$8-$E$8)/($G$8-$E$8),$E$8+SQRT(R751*($G$8-$E$8)*($F$8-$E$8)),$G$8-SQRT((1-R751)*($G$8-$E$8)*($G$8-$F$8))))</f>
        <v>1.03934879939227</v>
      </c>
      <c r="E751" s="51" t="n">
        <f aca="false">1+IF($G$9=$E$9,$F$9,IF(S751&lt;($F$9-$E$9)/($G$9-$E$9),$E$9+SQRT(S751*($G$9-$E$9)*($F$9-$E$9)),$G$9-SQRT((1-S751)*($G$9-$E$9)*($G$9-$F$9))))</f>
        <v>1.00285267749306</v>
      </c>
      <c r="F751" s="51" t="n">
        <f aca="false">1+IF($G$10=$E$10,$F$10,IF(T751&lt;($F$10-$E$10)/($G$10-$E$10),$E$10+SQRT(T751*($G$10-$E$10)*($F$10-$E$10)),$G$10-SQRT((1-T751)*($G$10-$E$10)*($G$10-$F$10))))</f>
        <v>1.10779336755919</v>
      </c>
      <c r="G751" s="52" t="n">
        <f aca="false">IF($G$11=$E$11,$F$11,IF(U751&lt;($F$11-$E$11)/($G$11-$E$11),$E$11+SQRT(U751*($G$11-$E$11)*($F$11-$E$11)),$G$11-SQRT((1-U751)*($G$11-$E$11)*($G$11-$F$11))))</f>
        <v>0.115876916794526</v>
      </c>
      <c r="H751" s="53" t="n">
        <f aca="false">(('Business Case'!B11*$C751*'Business Case'!B12*$B751)-'Business Case'!B11*$C751*'Business Case'!B13*$D751-'Business Case'!B14*$E751)-MAX(0,(('Business Case'!B11*$C751*'Business Case'!B12*$B751)-'Business Case'!B11*$C751*'Business Case'!B13*$D751-'Business Case'!B14*$E751))*'Business Case'!$B$7-'Business Case'!$B$8*('Business Case'!B11*$C751*'Business Case'!B12*$B751)-'Business Case'!B15*$F751</f>
        <v>-2215586735.11838</v>
      </c>
      <c r="I751" s="53" t="n">
        <f aca="false">(('Business Case'!C11*$C751*'Business Case'!C12*$B751)-'Business Case'!C11*$C751*'Business Case'!C13*$D751-'Business Case'!C14*$E751)-MAX(0,(('Business Case'!C11*$C751*'Business Case'!C12*$B751)-'Business Case'!C11*$C751*'Business Case'!C13*$D751-'Business Case'!C14*$E751))*'Business Case'!$B$7-'Business Case'!$B$8*(('Business Case'!C11*$C751*'Business Case'!C12*$B751)-('Business Case'!B11*$C751*'Business Case'!B12*$B751))-'Business Case'!C15*$F751</f>
        <v>-19338897.8096939</v>
      </c>
      <c r="J751" s="53" t="n">
        <f aca="false">(('Business Case'!D11*$C751*'Business Case'!D12*$B751)-'Business Case'!D11*$C751*'Business Case'!D13*$D751-'Business Case'!D14*$E751)-MAX(0,(('Business Case'!D11*$C751*'Business Case'!D12*$B751)-'Business Case'!D11*$C751*'Business Case'!D13*$D751-'Business Case'!D14*$E751))*'Business Case'!$B$7-'Business Case'!$B$8*(('Business Case'!D11*$C751*'Business Case'!D12*$B751)-('Business Case'!C11*$C751*'Business Case'!C12*$B751))-'Business Case'!D15*$F751</f>
        <v>266149239.850899</v>
      </c>
      <c r="K751" s="53" t="n">
        <f aca="false">(('Business Case'!E11*$C751*'Business Case'!E12*$B751)-'Business Case'!E11*$C751*'Business Case'!E13*$D751-'Business Case'!E14*$E751)-MAX(0,(('Business Case'!E11*$C751*'Business Case'!E12*$B751)-'Business Case'!E11*$C751*'Business Case'!E13*$D751-'Business Case'!E14*$E751))*'Business Case'!$B$7-'Business Case'!$B$8*(('Business Case'!E11*$C751*'Business Case'!E12*$B751)-('Business Case'!D11*$C751*'Business Case'!D12*$B751))-'Business Case'!E15*$F751</f>
        <v>607027045.889452</v>
      </c>
      <c r="L751" s="53" t="n">
        <f aca="false">(('Business Case'!F11*$C751*'Business Case'!F12*$B751)-'Business Case'!F11*$C751*'Business Case'!F13*$D751-'Business Case'!F14*$E751)-MAX(0,(('Business Case'!F11*$C751*'Business Case'!F12*$B751)-'Business Case'!F11*$C751*'Business Case'!F13*$D751-'Business Case'!F14*$E751))*'Business Case'!$B$7-'Business Case'!$B$8*(('Business Case'!F11*$C751*'Business Case'!F12*$B751)-('Business Case'!E11*$C751*'Business Case'!E12*$B751))-'Business Case'!F15*$F751</f>
        <v>736484457.092885</v>
      </c>
      <c r="M751" s="53" t="n">
        <f aca="false">(('Business Case'!G11*$C751*'Business Case'!G12*$B751)-'Business Case'!G11*$C751*'Business Case'!G13*$D751-'Business Case'!G14*$E751)-MAX(0,(('Business Case'!G11*$C751*'Business Case'!G12*$B751)-'Business Case'!G11*$C751*'Business Case'!G13*$D751-'Business Case'!G14*$E751))*'Business Case'!$B$7-'Business Case'!$B$8*(('Business Case'!G11*$C751*'Business Case'!G12*$B751)-('Business Case'!F11*$C751*'Business Case'!F12*$B751))-'Business Case'!G15*$F751+'Business Case'!$B$8*('Business Case'!G11*$C751*'Business Case'!G12*$B751)</f>
        <v>925105299.66735</v>
      </c>
      <c r="N751" s="53" t="n">
        <f aca="false">IF(COUNT('Business Case'!B11:G11)=0,"",H751+NPV(G751,I751:M751))</f>
        <v>-572592409.273006</v>
      </c>
      <c r="P751" s="54" t="n">
        <f aca="true">RAND()</f>
        <v>0.687899402891298</v>
      </c>
      <c r="Q751" s="54" t="n">
        <f aca="true">RAND()</f>
        <v>0.521376183451341</v>
      </c>
      <c r="R751" s="54" t="n">
        <f aca="true">RAND()</f>
        <v>0.84110383549521</v>
      </c>
      <c r="S751" s="54" t="n">
        <f aca="true">RAND()</f>
        <v>0.370826515315561</v>
      </c>
      <c r="T751" s="54" t="n">
        <f aca="true">RAND()</f>
        <v>0.829958738678509</v>
      </c>
      <c r="U751" s="54" t="n">
        <f aca="true">RAND()</f>
        <v>0.971666974801231</v>
      </c>
    </row>
    <row r="752" customFormat="false" ht="15" hidden="false" customHeight="false" outlineLevel="0" collapsed="false">
      <c r="A752" s="50" t="n">
        <v>672</v>
      </c>
      <c r="B752" s="51" t="n">
        <f aca="false">1+IF($G$6=$E$6,$F$6,IF(P752&lt;($F$6-$E$6)/($G$6-$E$6),$E$6+SQRT(P752*($G$6-$E$6)*($F$6-$E$6)),$G$6-SQRT((1-P752)*($G$6-$E$6)*($G$6-$F$6))))</f>
        <v>1.01127235379886</v>
      </c>
      <c r="C752" s="51" t="n">
        <f aca="false">1+IF($G$7=$E$7,$F$7,IF(Q752&lt;($F$7-$E$7)/($G$7-$E$7),$E$7+SQRT(Q752*($G$7-$E$7)*($F$7-$E$7)),$G$7-SQRT((1-Q752)*($G$7-$E$7)*($G$7-$F$7))))</f>
        <v>1.08447790038146</v>
      </c>
      <c r="D752" s="51" t="n">
        <f aca="false">1+IF($G$8=$E$8,$F$8,IF(R752&lt;($F$8-$E$8)/($G$8-$E$8),$E$8+SQRT(R752*($G$8-$E$8)*($F$8-$E$8)),$G$8-SQRT((1-R752)*($G$8-$E$8)*($G$8-$F$8))))</f>
        <v>1.05338772740777</v>
      </c>
      <c r="E752" s="51" t="n">
        <f aca="false">1+IF($G$9=$E$9,$F$9,IF(S752&lt;($F$9-$E$9)/($G$9-$E$9),$E$9+SQRT(S752*($G$9-$E$9)*($F$9-$E$9)),$G$9-SQRT((1-S752)*($G$9-$E$9)*($G$9-$F$9))))</f>
        <v>1.00506027369228</v>
      </c>
      <c r="F752" s="51" t="n">
        <f aca="false">1+IF($G$10=$E$10,$F$10,IF(T752&lt;($F$10-$E$10)/($G$10-$E$10),$E$10+SQRT(T752*($G$10-$E$10)*($F$10-$E$10)),$G$10-SQRT((1-T752)*($G$10-$E$10)*($G$10-$F$10))))</f>
        <v>1.14638198384214</v>
      </c>
      <c r="G752" s="52" t="n">
        <f aca="false">IF($G$11=$E$11,$F$11,IF(U752&lt;($F$11-$E$11)/($G$11-$E$11),$E$11+SQRT(U752*($G$11-$E$11)*($F$11-$E$11)),$G$11-SQRT((1-U752)*($G$11-$E$11)*($G$11-$F$11))))</f>
        <v>0.115791387921232</v>
      </c>
      <c r="H752" s="53" t="n">
        <f aca="false">(('Business Case'!B11*$C752*'Business Case'!B12*$B752)-'Business Case'!B11*$C752*'Business Case'!B13*$D752-'Business Case'!B14*$E752)-MAX(0,(('Business Case'!B11*$C752*'Business Case'!B12*$B752)-'Business Case'!B11*$C752*'Business Case'!B13*$D752-'Business Case'!B14*$E752))*'Business Case'!$B$7-'Business Case'!$B$8*('Business Case'!B11*$C752*'Business Case'!B12*$B752)-'Business Case'!B15*$F752</f>
        <v>-2292763967.68428</v>
      </c>
      <c r="I752" s="53" t="n">
        <f aca="false">(('Business Case'!C11*$C752*'Business Case'!C12*$B752)-'Business Case'!C11*$C752*'Business Case'!C13*$D752-'Business Case'!C14*$E752)-MAX(0,(('Business Case'!C11*$C752*'Business Case'!C12*$B752)-'Business Case'!C11*$C752*'Business Case'!C13*$D752-'Business Case'!C14*$E752))*'Business Case'!$B$7-'Business Case'!$B$8*(('Business Case'!C11*$C752*'Business Case'!C12*$B752)-('Business Case'!B11*$C752*'Business Case'!B12*$B752))-'Business Case'!C15*$F752</f>
        <v>-937476.20270671</v>
      </c>
      <c r="J752" s="53" t="n">
        <f aca="false">(('Business Case'!D11*$C752*'Business Case'!D12*$B752)-'Business Case'!D11*$C752*'Business Case'!D13*$D752-'Business Case'!D14*$E752)-MAX(0,(('Business Case'!D11*$C752*'Business Case'!D12*$B752)-'Business Case'!D11*$C752*'Business Case'!D13*$D752-'Business Case'!D14*$E752))*'Business Case'!$B$7-'Business Case'!$B$8*(('Business Case'!D11*$C752*'Business Case'!D12*$B752)-('Business Case'!C11*$C752*'Business Case'!C12*$B752))-'Business Case'!D15*$F752</f>
        <v>312535875.480813</v>
      </c>
      <c r="K752" s="53" t="n">
        <f aca="false">(('Business Case'!E11*$C752*'Business Case'!E12*$B752)-'Business Case'!E11*$C752*'Business Case'!E13*$D752-'Business Case'!E14*$E752)-MAX(0,(('Business Case'!E11*$C752*'Business Case'!E12*$B752)-'Business Case'!E11*$C752*'Business Case'!E13*$D752-'Business Case'!E14*$E752))*'Business Case'!$B$7-'Business Case'!$B$8*(('Business Case'!E11*$C752*'Business Case'!E12*$B752)-('Business Case'!D11*$C752*'Business Case'!D12*$B752))-'Business Case'!E15*$F752</f>
        <v>683328326.356439</v>
      </c>
      <c r="L752" s="53" t="n">
        <f aca="false">(('Business Case'!F11*$C752*'Business Case'!F12*$B752)-'Business Case'!F11*$C752*'Business Case'!F13*$D752-'Business Case'!F14*$E752)-MAX(0,(('Business Case'!F11*$C752*'Business Case'!F12*$B752)-'Business Case'!F11*$C752*'Business Case'!F13*$D752-'Business Case'!F14*$E752))*'Business Case'!$B$7-'Business Case'!$B$8*(('Business Case'!F11*$C752*'Business Case'!F12*$B752)-('Business Case'!E11*$C752*'Business Case'!E12*$B752))-'Business Case'!F15*$F752</f>
        <v>825721482.639592</v>
      </c>
      <c r="M752" s="53" t="n">
        <f aca="false">(('Business Case'!G11*$C752*'Business Case'!G12*$B752)-'Business Case'!G11*$C752*'Business Case'!G13*$D752-'Business Case'!G14*$E752)-MAX(0,(('Business Case'!G11*$C752*'Business Case'!G12*$B752)-'Business Case'!G11*$C752*'Business Case'!G13*$D752-'Business Case'!G14*$E752))*'Business Case'!$B$7-'Business Case'!$B$8*(('Business Case'!G11*$C752*'Business Case'!G12*$B752)-('Business Case'!F11*$C752*'Business Case'!F12*$B752))-'Business Case'!G15*$F752+'Business Case'!$B$8*('Business Case'!G11*$C752*'Business Case'!G12*$B752)</f>
        <v>1034182697.44381</v>
      </c>
      <c r="N752" s="53" t="n">
        <f aca="false">IF(COUNT('Business Case'!B11:G11)=0,"",H752+NPV(G752,I752:M752))</f>
        <v>-419968270.946264</v>
      </c>
      <c r="P752" s="54" t="n">
        <f aca="true">RAND()</f>
        <v>0.828067154946231</v>
      </c>
      <c r="Q752" s="54" t="n">
        <f aca="true">RAND()</f>
        <v>0.918225799268158</v>
      </c>
      <c r="R752" s="54" t="n">
        <f aca="true">RAND()</f>
        <v>0.931902591103546</v>
      </c>
      <c r="S752" s="54" t="n">
        <f aca="true">RAND()</f>
        <v>0.399096557907725</v>
      </c>
      <c r="T752" s="54" t="n">
        <f aca="true">RAND()</f>
        <v>0.942502166865907</v>
      </c>
      <c r="U752" s="54" t="n">
        <f aca="true">RAND()</f>
        <v>0.970479307284078</v>
      </c>
    </row>
    <row r="753" customFormat="false" ht="15" hidden="false" customHeight="false" outlineLevel="0" collapsed="false">
      <c r="A753" s="50" t="n">
        <v>673</v>
      </c>
      <c r="B753" s="51" t="n">
        <f aca="false">1+IF($G$6=$E$6,$F$6,IF(P753&lt;($F$6-$E$6)/($G$6-$E$6),$E$6+SQRT(P753*($G$6-$E$6)*($F$6-$E$6)),$G$6-SQRT((1-P753)*($G$6-$E$6)*($G$6-$F$6))))</f>
        <v>0.978137030087401</v>
      </c>
      <c r="C753" s="51" t="n">
        <f aca="false">1+IF($G$7=$E$7,$F$7,IF(Q753&lt;($F$7-$E$7)/($G$7-$E$7),$E$7+SQRT(Q753*($G$7-$E$7)*($F$7-$E$7)),$G$7-SQRT((1-Q753)*($G$7-$E$7)*($G$7-$F$7))))</f>
        <v>0.975540274964077</v>
      </c>
      <c r="D753" s="51" t="n">
        <f aca="false">1+IF($G$8=$E$8,$F$8,IF(R753&lt;($F$8-$E$8)/($G$8-$E$8),$E$8+SQRT(R753*($G$8-$E$8)*($F$8-$E$8)),$G$8-SQRT((1-R753)*($G$8-$E$8)*($G$8-$F$8))))</f>
        <v>1.03240567089637</v>
      </c>
      <c r="E753" s="51" t="n">
        <f aca="false">1+IF($G$9=$E$9,$F$9,IF(S753&lt;($F$9-$E$9)/($G$9-$E$9),$E$9+SQRT(S753*($G$9-$E$9)*($F$9-$E$9)),$G$9-SQRT((1-S753)*($G$9-$E$9)*($G$9-$F$9))))</f>
        <v>1.03085376992342</v>
      </c>
      <c r="F753" s="51" t="n">
        <f aca="false">1+IF($G$10=$E$10,$F$10,IF(T753&lt;($F$10-$E$10)/($G$10-$E$10),$E$10+SQRT(T753*($G$10-$E$10)*($F$10-$E$10)),$G$10-SQRT((1-T753)*($G$10-$E$10)*($G$10-$F$10))))</f>
        <v>1.03490041471123</v>
      </c>
      <c r="G753" s="52" t="n">
        <f aca="false">IF($G$11=$E$11,$F$11,IF(U753&lt;($F$11-$E$11)/($G$11-$E$11),$E$11+SQRT(U753*($G$11-$E$11)*($F$11-$E$11)),$G$11-SQRT((1-U753)*($G$11-$E$11)*($G$11-$F$11))))</f>
        <v>0.0970582339578829</v>
      </c>
      <c r="H753" s="53" t="n">
        <f aca="false">(('Business Case'!B11*$C753*'Business Case'!B12*$B753)-'Business Case'!B11*$C753*'Business Case'!B13*$D753-'Business Case'!B14*$E753)-MAX(0,(('Business Case'!B11*$C753*'Business Case'!B12*$B753)-'Business Case'!B11*$C753*'Business Case'!B13*$D753-'Business Case'!B14*$E753))*'Business Case'!$B$7-'Business Case'!$B$8*('Business Case'!B11*$C753*'Business Case'!B12*$B753)-'Business Case'!B15*$F753</f>
        <v>-2069800829.42247</v>
      </c>
      <c r="I753" s="53" t="n">
        <f aca="false">(('Business Case'!C11*$C753*'Business Case'!C12*$B753)-'Business Case'!C11*$C753*'Business Case'!C13*$D753-'Business Case'!C14*$E753)-MAX(0,(('Business Case'!C11*$C753*'Business Case'!C12*$B753)-'Business Case'!C11*$C753*'Business Case'!C13*$D753-'Business Case'!C14*$E753))*'Business Case'!$B$7-'Business Case'!$B$8*(('Business Case'!C11*$C753*'Business Case'!C12*$B753)-('Business Case'!B11*$C753*'Business Case'!B12*$B753))-'Business Case'!C15*$F753</f>
        <v>-33557338.2579096</v>
      </c>
      <c r="J753" s="53" t="n">
        <f aca="false">(('Business Case'!D11*$C753*'Business Case'!D12*$B753)-'Business Case'!D11*$C753*'Business Case'!D13*$D753-'Business Case'!D14*$E753)-MAX(0,(('Business Case'!D11*$C753*'Business Case'!D12*$B753)-'Business Case'!D11*$C753*'Business Case'!D13*$D753-'Business Case'!D14*$E753))*'Business Case'!$B$7-'Business Case'!$B$8*(('Business Case'!D11*$C753*'Business Case'!D12*$B753)-('Business Case'!C11*$C753*'Business Case'!C12*$B753))-'Business Case'!D15*$F753</f>
        <v>232429124.606418</v>
      </c>
      <c r="K753" s="53" t="n">
        <f aca="false">(('Business Case'!E11*$C753*'Business Case'!E12*$B753)-'Business Case'!E11*$C753*'Business Case'!E13*$D753-'Business Case'!E14*$E753)-MAX(0,(('Business Case'!E11*$C753*'Business Case'!E12*$B753)-'Business Case'!E11*$C753*'Business Case'!E13*$D753-'Business Case'!E14*$E753))*'Business Case'!$B$7-'Business Case'!$B$8*(('Business Case'!E11*$C753*'Business Case'!E12*$B753)-('Business Case'!D11*$C753*'Business Case'!D12*$B753))-'Business Case'!E15*$F753</f>
        <v>550160608.206307</v>
      </c>
      <c r="L753" s="53" t="n">
        <f aca="false">(('Business Case'!F11*$C753*'Business Case'!F12*$B753)-'Business Case'!F11*$C753*'Business Case'!F13*$D753-'Business Case'!F14*$E753)-MAX(0,(('Business Case'!F11*$C753*'Business Case'!F12*$B753)-'Business Case'!F11*$C753*'Business Case'!F13*$D753-'Business Case'!F14*$E753))*'Business Case'!$B$7-'Business Case'!$B$8*(('Business Case'!F11*$C753*'Business Case'!F12*$B753)-('Business Case'!E11*$C753*'Business Case'!E12*$B753))-'Business Case'!F15*$F753</f>
        <v>671800331.539752</v>
      </c>
      <c r="M753" s="53" t="n">
        <f aca="false">(('Business Case'!G11*$C753*'Business Case'!G12*$B753)-'Business Case'!G11*$C753*'Business Case'!G13*$D753-'Business Case'!G14*$E753)-MAX(0,(('Business Case'!G11*$C753*'Business Case'!G12*$B753)-'Business Case'!G11*$C753*'Business Case'!G13*$D753-'Business Case'!G14*$E753))*'Business Case'!$B$7-'Business Case'!$B$8*(('Business Case'!G11*$C753*'Business Case'!G12*$B753)-('Business Case'!F11*$C753*'Business Case'!F12*$B753))-'Business Case'!G15*$F753+'Business Case'!$B$8*('Business Case'!G11*$C753*'Business Case'!G12*$B753)</f>
        <v>853176961.289096</v>
      </c>
      <c r="N753" s="53" t="n">
        <f aca="false">IF(COUNT('Business Case'!B11:G11)=0,"",H753+NPV(G753,I753:M753))</f>
        <v>-489902886.728545</v>
      </c>
      <c r="P753" s="54" t="n">
        <f aca="true">RAND()</f>
        <v>0.352074402852432</v>
      </c>
      <c r="Q753" s="54" t="n">
        <f aca="true">RAND()</f>
        <v>0.440205544778053</v>
      </c>
      <c r="R753" s="54" t="n">
        <f aca="true">RAND()</f>
        <v>0.782190368959125</v>
      </c>
      <c r="S753" s="54" t="n">
        <f aca="true">RAND()</f>
        <v>0.681253257746483</v>
      </c>
      <c r="T753" s="54" t="n">
        <f aca="true">RAND()</f>
        <v>0.454842538749541</v>
      </c>
      <c r="U753" s="54" t="n">
        <f aca="true">RAND()</f>
        <v>0.166062222014037</v>
      </c>
    </row>
    <row r="754" customFormat="false" ht="15" hidden="false" customHeight="false" outlineLevel="0" collapsed="false">
      <c r="A754" s="50" t="n">
        <v>674</v>
      </c>
      <c r="B754" s="51" t="n">
        <f aca="false">1+IF($G$6=$E$6,$F$6,IF(P754&lt;($F$6-$E$6)/($G$6-$E$6),$E$6+SQRT(P754*($G$6-$E$6)*($F$6-$E$6)),$G$6-SQRT((1-P754)*($G$6-$E$6)*($G$6-$F$6))))</f>
        <v>0.982533465745006</v>
      </c>
      <c r="C754" s="51" t="n">
        <f aca="false">1+IF($G$7=$E$7,$F$7,IF(Q754&lt;($F$7-$E$7)/($G$7-$E$7),$E$7+SQRT(Q754*($G$7-$E$7)*($F$7-$E$7)),$G$7-SQRT((1-Q754)*($G$7-$E$7)*($G$7-$F$7))))</f>
        <v>0.972873736229287</v>
      </c>
      <c r="D754" s="51" t="n">
        <f aca="false">1+IF($G$8=$E$8,$F$8,IF(R754&lt;($F$8-$E$8)/($G$8-$E$8),$E$8+SQRT(R754*($G$8-$E$8)*($F$8-$E$8)),$G$8-SQRT((1-R754)*($G$8-$E$8)*($G$8-$F$8))))</f>
        <v>1.06038785810129</v>
      </c>
      <c r="E754" s="51" t="n">
        <f aca="false">1+IF($G$9=$E$9,$F$9,IF(S754&lt;($F$9-$E$9)/($G$9-$E$9),$E$9+SQRT(S754*($G$9-$E$9)*($F$9-$E$9)),$G$9-SQRT((1-S754)*($G$9-$E$9)*($G$9-$F$9))))</f>
        <v>1.08925693793484</v>
      </c>
      <c r="F754" s="51" t="n">
        <f aca="false">1+IF($G$10=$E$10,$F$10,IF(T754&lt;($F$10-$E$10)/($G$10-$E$10),$E$10+SQRT(T754*($G$10-$E$10)*($F$10-$E$10)),$G$10-SQRT((1-T754)*($G$10-$E$10)*($G$10-$F$10))))</f>
        <v>1.11954687476189</v>
      </c>
      <c r="G754" s="52" t="n">
        <f aca="false">IF($G$11=$E$11,$F$11,IF(U754&lt;($F$11-$E$11)/($G$11-$E$11),$E$11+SQRT(U754*($G$11-$E$11)*($F$11-$E$11)),$G$11-SQRT((1-U754)*($G$11-$E$11)*($G$11-$F$11))))</f>
        <v>0.0977309869443445</v>
      </c>
      <c r="H754" s="53" t="n">
        <f aca="false">(('Business Case'!B11*$C754*'Business Case'!B12*$B754)-'Business Case'!B11*$C754*'Business Case'!B13*$D754-'Business Case'!B14*$E754)-MAX(0,(('Business Case'!B11*$C754*'Business Case'!B12*$B754)-'Business Case'!B11*$C754*'Business Case'!B13*$D754-'Business Case'!B14*$E754))*'Business Case'!$B$7-'Business Case'!$B$8*('Business Case'!B11*$C754*'Business Case'!B12*$B754)-'Business Case'!B15*$F754</f>
        <v>-2239093749.52378</v>
      </c>
      <c r="I754" s="53" t="n">
        <f aca="false">(('Business Case'!C11*$C754*'Business Case'!C12*$B754)-'Business Case'!C11*$C754*'Business Case'!C13*$D754-'Business Case'!C14*$E754)-MAX(0,(('Business Case'!C11*$C754*'Business Case'!C12*$B754)-'Business Case'!C11*$C754*'Business Case'!C13*$D754-'Business Case'!C14*$E754))*'Business Case'!$B$7-'Business Case'!$B$8*(('Business Case'!C11*$C754*'Business Case'!C12*$B754)-('Business Case'!B11*$C754*'Business Case'!B12*$B754))-'Business Case'!C15*$F754</f>
        <v>-61573230.5211373</v>
      </c>
      <c r="J754" s="53" t="n">
        <f aca="false">(('Business Case'!D11*$C754*'Business Case'!D12*$B754)-'Business Case'!D11*$C754*'Business Case'!D13*$D754-'Business Case'!D14*$E754)-MAX(0,(('Business Case'!D11*$C754*'Business Case'!D12*$B754)-'Business Case'!D11*$C754*'Business Case'!D13*$D754-'Business Case'!D14*$E754))*'Business Case'!$B$7-'Business Case'!$B$8*(('Business Case'!D11*$C754*'Business Case'!D12*$B754)-('Business Case'!C11*$C754*'Business Case'!C12*$B754))-'Business Case'!D15*$F754</f>
        <v>193253434.244705</v>
      </c>
      <c r="K754" s="53" t="n">
        <f aca="false">(('Business Case'!E11*$C754*'Business Case'!E12*$B754)-'Business Case'!E11*$C754*'Business Case'!E13*$D754-'Business Case'!E14*$E754)-MAX(0,(('Business Case'!E11*$C754*'Business Case'!E12*$B754)-'Business Case'!E11*$C754*'Business Case'!E13*$D754-'Business Case'!E14*$E754))*'Business Case'!$B$7-'Business Case'!$B$8*(('Business Case'!E11*$C754*'Business Case'!E12*$B754)-('Business Case'!D11*$C754*'Business Case'!D12*$B754))-'Business Case'!E15*$F754</f>
        <v>504057442.748642</v>
      </c>
      <c r="L754" s="53" t="n">
        <f aca="false">(('Business Case'!F11*$C754*'Business Case'!F12*$B754)-'Business Case'!F11*$C754*'Business Case'!F13*$D754-'Business Case'!F14*$E754)-MAX(0,(('Business Case'!F11*$C754*'Business Case'!F12*$B754)-'Business Case'!F11*$C754*'Business Case'!F13*$D754-'Business Case'!F14*$E754))*'Business Case'!$B$7-'Business Case'!$B$8*(('Business Case'!F11*$C754*'Business Case'!F12*$B754)-('Business Case'!E11*$C754*'Business Case'!E12*$B754))-'Business Case'!F15*$F754</f>
        <v>622034911.828226</v>
      </c>
      <c r="M754" s="53" t="n">
        <f aca="false">(('Business Case'!G11*$C754*'Business Case'!G12*$B754)-'Business Case'!G11*$C754*'Business Case'!G13*$D754-'Business Case'!G14*$E754)-MAX(0,(('Business Case'!G11*$C754*'Business Case'!G12*$B754)-'Business Case'!G11*$C754*'Business Case'!G13*$D754-'Business Case'!G14*$E754))*'Business Case'!$B$7-'Business Case'!$B$8*(('Business Case'!G11*$C754*'Business Case'!G12*$B754)-('Business Case'!F11*$C754*'Business Case'!F12*$B754))-'Business Case'!G15*$F754+'Business Case'!$B$8*('Business Case'!G11*$C754*'Business Case'!G12*$B754)</f>
        <v>803728773.028564</v>
      </c>
      <c r="N754" s="53" t="n">
        <f aca="false">IF(COUNT('Business Case'!B11:G11)=0,"",H754+NPV(G754,I754:M754))</f>
        <v>-821138296.152308</v>
      </c>
      <c r="P754" s="54" t="n">
        <f aca="true">RAND()</f>
        <v>0.407336910216864</v>
      </c>
      <c r="Q754" s="54" t="n">
        <f aca="true">RAND()</f>
        <v>0.42693326682676</v>
      </c>
      <c r="R754" s="54" t="n">
        <f aca="true">RAND()</f>
        <v>0.963015758667793</v>
      </c>
      <c r="S754" s="54" t="n">
        <f aca="true">RAND()</f>
        <v>0.992305774497613</v>
      </c>
      <c r="T754" s="54" t="n">
        <f aca="true">RAND()</f>
        <v>0.870545892788422</v>
      </c>
      <c r="U754" s="54" t="n">
        <f aca="true">RAND()</f>
        <v>0.199227197112085</v>
      </c>
    </row>
    <row r="755" customFormat="false" ht="15" hidden="false" customHeight="false" outlineLevel="0" collapsed="false">
      <c r="A755" s="50" t="n">
        <v>675</v>
      </c>
      <c r="B755" s="51" t="n">
        <f aca="false">1+IF($G$6=$E$6,$F$6,IF(P755&lt;($F$6-$E$6)/($G$6-$E$6),$E$6+SQRT(P755*($G$6-$E$6)*($F$6-$E$6)),$G$6-SQRT((1-P755)*($G$6-$E$6)*($G$6-$F$6))))</f>
        <v>0.971436093436281</v>
      </c>
      <c r="C755" s="51" t="n">
        <f aca="false">1+IF($G$7=$E$7,$F$7,IF(Q755&lt;($F$7-$E$7)/($G$7-$E$7),$E$7+SQRT(Q755*($G$7-$E$7)*($F$7-$E$7)),$G$7-SQRT((1-Q755)*($G$7-$E$7)*($G$7-$F$7))))</f>
        <v>0.950419244309407</v>
      </c>
      <c r="D755" s="51" t="n">
        <f aca="false">1+IF($G$8=$E$8,$F$8,IF(R755&lt;($F$8-$E$8)/($G$8-$E$8),$E$8+SQRT(R755*($G$8-$E$8)*($F$8-$E$8)),$G$8-SQRT((1-R755)*($G$8-$E$8)*($G$8-$F$8))))</f>
        <v>1.06863424841865</v>
      </c>
      <c r="E755" s="51" t="n">
        <f aca="false">1+IF($G$9=$E$9,$F$9,IF(S755&lt;($F$9-$E$9)/($G$9-$E$9),$E$9+SQRT(S755*($G$9-$E$9)*($F$9-$E$9)),$G$9-SQRT((1-S755)*($G$9-$E$9)*($G$9-$F$9))))</f>
        <v>0.9881645103045</v>
      </c>
      <c r="F755" s="51" t="n">
        <f aca="false">1+IF($G$10=$E$10,$F$10,IF(T755&lt;($F$10-$E$10)/($G$10-$E$10),$E$10+SQRT(T755*($G$10-$E$10)*($F$10-$E$10)),$G$10-SQRT((1-T755)*($G$10-$E$10)*($G$10-$F$10))))</f>
        <v>0.982768487956606</v>
      </c>
      <c r="G755" s="52" t="n">
        <f aca="false">IF($G$11=$E$11,$F$11,IF(U755&lt;($F$11-$E$11)/($G$11-$E$11),$E$11+SQRT(U755*($G$11-$E$11)*($F$11-$E$11)),$G$11-SQRT((1-U755)*($G$11-$E$11)*($G$11-$F$11))))</f>
        <v>0.0970248874610628</v>
      </c>
      <c r="H755" s="53" t="n">
        <f aca="false">(('Business Case'!B11*$C755*'Business Case'!B12*$B755)-'Business Case'!B11*$C755*'Business Case'!B13*$D755-'Business Case'!B14*$E755)-MAX(0,(('Business Case'!B11*$C755*'Business Case'!B12*$B755)-'Business Case'!B11*$C755*'Business Case'!B13*$D755-'Business Case'!B14*$E755))*'Business Case'!$B$7-'Business Case'!$B$8*('Business Case'!B11*$C755*'Business Case'!B12*$B755)-'Business Case'!B15*$F755</f>
        <v>-1965536975.91321</v>
      </c>
      <c r="I755" s="53" t="n">
        <f aca="false">(('Business Case'!C11*$C755*'Business Case'!C12*$B755)-'Business Case'!C11*$C755*'Business Case'!C13*$D755-'Business Case'!C14*$E755)-MAX(0,(('Business Case'!C11*$C755*'Business Case'!C12*$B755)-'Business Case'!C11*$C755*'Business Case'!C13*$D755-'Business Case'!C14*$E755))*'Business Case'!$B$7-'Business Case'!$B$8*(('Business Case'!C11*$C755*'Business Case'!C12*$B755)-('Business Case'!B11*$C755*'Business Case'!B12*$B755))-'Business Case'!C15*$F755</f>
        <v>-50362190.3388036</v>
      </c>
      <c r="J755" s="53" t="n">
        <f aca="false">(('Business Case'!D11*$C755*'Business Case'!D12*$B755)-'Business Case'!D11*$C755*'Business Case'!D13*$D755-'Business Case'!D14*$E755)-MAX(0,(('Business Case'!D11*$C755*'Business Case'!D12*$B755)-'Business Case'!D11*$C755*'Business Case'!D13*$D755-'Business Case'!D14*$E755))*'Business Case'!$B$7-'Business Case'!$B$8*(('Business Case'!D11*$C755*'Business Case'!D12*$B755)-('Business Case'!C11*$C755*'Business Case'!C12*$B755))-'Business Case'!D15*$F755</f>
        <v>185931859.040669</v>
      </c>
      <c r="K755" s="53" t="n">
        <f aca="false">(('Business Case'!E11*$C755*'Business Case'!E12*$B755)-'Business Case'!E11*$C755*'Business Case'!E13*$D755-'Business Case'!E14*$E755)-MAX(0,(('Business Case'!E11*$C755*'Business Case'!E12*$B755)-'Business Case'!E11*$C755*'Business Case'!E13*$D755-'Business Case'!E14*$E755))*'Business Case'!$B$7-'Business Case'!$B$8*(('Business Case'!E11*$C755*'Business Case'!E12*$B755)-('Business Case'!D11*$C755*'Business Case'!D12*$B755))-'Business Case'!E15*$F755</f>
        <v>471364332.817972</v>
      </c>
      <c r="L755" s="53" t="n">
        <f aca="false">(('Business Case'!F11*$C755*'Business Case'!F12*$B755)-'Business Case'!F11*$C755*'Business Case'!F13*$D755-'Business Case'!F14*$E755)-MAX(0,(('Business Case'!F11*$C755*'Business Case'!F12*$B755)-'Business Case'!F11*$C755*'Business Case'!F13*$D755-'Business Case'!F14*$E755))*'Business Case'!$B$7-'Business Case'!$B$8*(('Business Case'!F11*$C755*'Business Case'!F12*$B755)-('Business Case'!E11*$C755*'Business Case'!E12*$B755))-'Business Case'!F15*$F755</f>
        <v>582037280.982674</v>
      </c>
      <c r="M755" s="53" t="n">
        <f aca="false">(('Business Case'!G11*$C755*'Business Case'!G12*$B755)-'Business Case'!G11*$C755*'Business Case'!G13*$D755-'Business Case'!G14*$E755)-MAX(0,(('Business Case'!G11*$C755*'Business Case'!G12*$B755)-'Business Case'!G11*$C755*'Business Case'!G13*$D755-'Business Case'!G14*$E755))*'Business Case'!$B$7-'Business Case'!$B$8*(('Business Case'!G11*$C755*'Business Case'!G12*$B755)-('Business Case'!F11*$C755*'Business Case'!F12*$B755))-'Business Case'!G15*$F755+'Business Case'!$B$8*('Business Case'!G11*$C755*'Business Case'!G12*$B755)</f>
        <v>757532738.692832</v>
      </c>
      <c r="N755" s="53" t="n">
        <f aca="false">IF(COUNT('Business Case'!B11:G11)=0,"",H755+NPV(G755,I755:M755))</f>
        <v>-621265135.685138</v>
      </c>
      <c r="P755" s="54" t="n">
        <f aca="true">RAND()</f>
        <v>0.275590802915187</v>
      </c>
      <c r="Q755" s="54" t="n">
        <f aca="true">RAND()</f>
        <v>0.323227843694474</v>
      </c>
      <c r="R755" s="54" t="n">
        <f aca="true">RAND()</f>
        <v>0.987578816441441</v>
      </c>
      <c r="S755" s="54" t="n">
        <f aca="true">RAND()</f>
        <v>0.194203979570966</v>
      </c>
      <c r="T755" s="54" t="n">
        <f aca="true">RAND()</f>
        <v>0.0859019042369806</v>
      </c>
      <c r="U755" s="54" t="n">
        <f aca="true">RAND()</f>
        <v>0.164496812801993</v>
      </c>
    </row>
    <row r="756" customFormat="false" ht="15" hidden="false" customHeight="false" outlineLevel="0" collapsed="false">
      <c r="A756" s="50" t="n">
        <v>676</v>
      </c>
      <c r="B756" s="51" t="n">
        <f aca="false">1+IF($G$6=$E$6,$F$6,IF(P756&lt;($F$6-$E$6)/($G$6-$E$6),$E$6+SQRT(P756*($G$6-$E$6)*($F$6-$E$6)),$G$6-SQRT((1-P756)*($G$6-$E$6)*($G$6-$F$6))))</f>
        <v>1.03295663385945</v>
      </c>
      <c r="C756" s="51" t="n">
        <f aca="false">1+IF($G$7=$E$7,$F$7,IF(Q756&lt;($F$7-$E$7)/($G$7-$E$7),$E$7+SQRT(Q756*($G$7-$E$7)*($F$7-$E$7)),$G$7-SQRT((1-Q756)*($G$7-$E$7)*($G$7-$F$7))))</f>
        <v>1.05284385164444</v>
      </c>
      <c r="D756" s="51" t="n">
        <f aca="false">1+IF($G$8=$E$8,$F$8,IF(R756&lt;($F$8-$E$8)/($G$8-$E$8),$E$8+SQRT(R756*($G$8-$E$8)*($F$8-$E$8)),$G$8-SQRT((1-R756)*($G$8-$E$8)*($G$8-$F$8))))</f>
        <v>1.01240276048122</v>
      </c>
      <c r="E756" s="51" t="n">
        <f aca="false">1+IF($G$9=$E$9,$F$9,IF(S756&lt;($F$9-$E$9)/($G$9-$E$9),$E$9+SQRT(S756*($G$9-$E$9)*($F$9-$E$9)),$G$9-SQRT((1-S756)*($G$9-$E$9)*($G$9-$F$9))))</f>
        <v>0.998902509978754</v>
      </c>
      <c r="F756" s="51" t="n">
        <f aca="false">1+IF($G$10=$E$10,$F$10,IF(T756&lt;($F$10-$E$10)/($G$10-$E$10),$E$10+SQRT(T756*($G$10-$E$10)*($F$10-$E$10)),$G$10-SQRT((1-T756)*($G$10-$E$10)*($G$10-$F$10))))</f>
        <v>1.03920312593037</v>
      </c>
      <c r="G756" s="52" t="n">
        <f aca="false">IF($G$11=$E$11,$F$11,IF(U756&lt;($F$11-$E$11)/($G$11-$E$11),$E$11+SQRT(U756*($G$11-$E$11)*($F$11-$E$11)),$G$11-SQRT((1-U756)*($G$11-$E$11)*($G$11-$F$11))))</f>
        <v>0.0968450928083021</v>
      </c>
      <c r="H756" s="53" t="n">
        <f aca="false">(('Business Case'!B11*$C756*'Business Case'!B12*$B756)-'Business Case'!B11*$C756*'Business Case'!B13*$D756-'Business Case'!B14*$E756)-MAX(0,(('Business Case'!B11*$C756*'Business Case'!B12*$B756)-'Business Case'!B11*$C756*'Business Case'!B13*$D756-'Business Case'!B14*$E756))*'Business Case'!$B$7-'Business Case'!$B$8*('Business Case'!B11*$C756*'Business Case'!B12*$B756)-'Business Case'!B15*$F756</f>
        <v>-2078406251.86075</v>
      </c>
      <c r="I756" s="53" t="n">
        <f aca="false">(('Business Case'!C11*$C756*'Business Case'!C12*$B756)-'Business Case'!C11*$C756*'Business Case'!C13*$D756-'Business Case'!C14*$E756)-MAX(0,(('Business Case'!C11*$C756*'Business Case'!C12*$B756)-'Business Case'!C11*$C756*'Business Case'!C13*$D756-'Business Case'!C14*$E756))*'Business Case'!$B$7-'Business Case'!$B$8*(('Business Case'!C11*$C756*'Business Case'!C12*$B756)-('Business Case'!B11*$C756*'Business Case'!B12*$B756))-'Business Case'!C15*$F756</f>
        <v>42776242.689105</v>
      </c>
      <c r="J756" s="53" t="n">
        <f aca="false">(('Business Case'!D11*$C756*'Business Case'!D12*$B756)-'Business Case'!D11*$C756*'Business Case'!D13*$D756-'Business Case'!D14*$E756)-MAX(0,(('Business Case'!D11*$C756*'Business Case'!D12*$B756)-'Business Case'!D11*$C756*'Business Case'!D13*$D756-'Business Case'!D14*$E756))*'Business Case'!$B$7-'Business Case'!$B$8*(('Business Case'!D11*$C756*'Business Case'!D12*$B756)-('Business Case'!C11*$C756*'Business Case'!C12*$B756))-'Business Case'!D15*$F756</f>
        <v>387894914.294332</v>
      </c>
      <c r="K756" s="53" t="n">
        <f aca="false">(('Business Case'!E11*$C756*'Business Case'!E12*$B756)-'Business Case'!E11*$C756*'Business Case'!E13*$D756-'Business Case'!E14*$E756)-MAX(0,(('Business Case'!E11*$C756*'Business Case'!E12*$B756)-'Business Case'!E11*$C756*'Business Case'!E13*$D756-'Business Case'!E14*$E756))*'Business Case'!$B$7-'Business Case'!$B$8*(('Business Case'!E11*$C756*'Business Case'!E12*$B756)-('Business Case'!D11*$C756*'Business Case'!D12*$B756))-'Business Case'!E15*$F756</f>
        <v>784973742.196078</v>
      </c>
      <c r="L756" s="53" t="n">
        <f aca="false">(('Business Case'!F11*$C756*'Business Case'!F12*$B756)-'Business Case'!F11*$C756*'Business Case'!F13*$D756-'Business Case'!F14*$E756)-MAX(0,(('Business Case'!F11*$C756*'Business Case'!F12*$B756)-'Business Case'!F11*$C756*'Business Case'!F13*$D756-'Business Case'!F14*$E756))*'Business Case'!$B$7-'Business Case'!$B$8*(('Business Case'!F11*$C756*'Business Case'!F12*$B756)-('Business Case'!E11*$C756*'Business Case'!E12*$B756))-'Business Case'!F15*$F756</f>
        <v>937598752.33389</v>
      </c>
      <c r="M756" s="53" t="n">
        <f aca="false">(('Business Case'!G11*$C756*'Business Case'!G12*$B756)-'Business Case'!G11*$C756*'Business Case'!G13*$D756-'Business Case'!G14*$E756)-MAX(0,(('Business Case'!G11*$C756*'Business Case'!G12*$B756)-'Business Case'!G11*$C756*'Business Case'!G13*$D756-'Business Case'!G14*$E756))*'Business Case'!$B$7-'Business Case'!$B$8*(('Business Case'!G11*$C756*'Business Case'!G12*$B756)-('Business Case'!F11*$C756*'Business Case'!F12*$B756))-'Business Case'!G15*$F756+'Business Case'!$B$8*('Business Case'!G11*$C756*'Business Case'!G12*$B756)</f>
        <v>1144318743.48228</v>
      </c>
      <c r="N756" s="53" t="n">
        <f aca="false">IF(COUNT('Business Case'!B11:G11)=0,"",H756+NPV(G756,I756:M756))</f>
        <v>246482273.185889</v>
      </c>
      <c r="P756" s="54" t="n">
        <f aca="true">RAND()</f>
        <v>0.989664790293788</v>
      </c>
      <c r="Q756" s="54" t="n">
        <f aca="true">RAND()</f>
        <v>0.820203482604045</v>
      </c>
      <c r="R756" s="54" t="n">
        <f aca="true">RAND()</f>
        <v>0.560635885523195</v>
      </c>
      <c r="S756" s="54" t="n">
        <f aca="true">RAND()</f>
        <v>0.318860730962951</v>
      </c>
      <c r="T756" s="54" t="n">
        <f aca="true">RAND()</f>
        <v>0.48288730578873</v>
      </c>
      <c r="U756" s="54" t="n">
        <f aca="true">RAND()</f>
        <v>0.15618431851423</v>
      </c>
    </row>
    <row r="757" customFormat="false" ht="15" hidden="false" customHeight="false" outlineLevel="0" collapsed="false">
      <c r="A757" s="50" t="n">
        <v>677</v>
      </c>
      <c r="B757" s="51" t="n">
        <f aca="false">1+IF($G$6=$E$6,$F$6,IF(P757&lt;($F$6-$E$6)/($G$6-$E$6),$E$6+SQRT(P757*($G$6-$E$6)*($F$6-$E$6)),$G$6-SQRT((1-P757)*($G$6-$E$6)*($G$6-$F$6))))</f>
        <v>1.01677374575084</v>
      </c>
      <c r="C757" s="51" t="n">
        <f aca="false">1+IF($G$7=$E$7,$F$7,IF(Q757&lt;($F$7-$E$7)/($G$7-$E$7),$E$7+SQRT(Q757*($G$7-$E$7)*($F$7-$E$7)),$G$7-SQRT((1-Q757)*($G$7-$E$7)*($G$7-$F$7))))</f>
        <v>0.937566029803888</v>
      </c>
      <c r="D757" s="51" t="n">
        <f aca="false">1+IF($G$8=$E$8,$F$8,IF(R757&lt;($F$8-$E$8)/($G$8-$E$8),$E$8+SQRT(R757*($G$8-$E$8)*($F$8-$E$8)),$G$8-SQRT((1-R757)*($G$8-$E$8)*($G$8-$F$8))))</f>
        <v>0.965352232801934</v>
      </c>
      <c r="E757" s="51" t="n">
        <f aca="false">1+IF($G$9=$E$9,$F$9,IF(S757&lt;($F$9-$E$9)/($G$9-$E$9),$E$9+SQRT(S757*($G$9-$E$9)*($F$9-$E$9)),$G$9-SQRT((1-S757)*($G$9-$E$9)*($G$9-$F$9))))</f>
        <v>0.995825010575513</v>
      </c>
      <c r="F757" s="51" t="n">
        <f aca="false">1+IF($G$10=$E$10,$F$10,IF(T757&lt;($F$10-$E$10)/($G$10-$E$10),$E$10+SQRT(T757*($G$10-$E$10)*($F$10-$E$10)),$G$10-SQRT((1-T757)*($G$10-$E$10)*($G$10-$F$10))))</f>
        <v>1.13739155468085</v>
      </c>
      <c r="G757" s="52" t="n">
        <f aca="false">IF($G$11=$E$11,$F$11,IF(U757&lt;($F$11-$E$11)/($G$11-$E$11),$E$11+SQRT(U757*($G$11-$E$11)*($F$11-$E$11)),$G$11-SQRT((1-U757)*($G$11-$E$11)*($G$11-$F$11))))</f>
        <v>0.0995131040641726</v>
      </c>
      <c r="H757" s="53" t="n">
        <f aca="false">(('Business Case'!B11*$C757*'Business Case'!B12*$B757)-'Business Case'!B11*$C757*'Business Case'!B13*$D757-'Business Case'!B14*$E757)-MAX(0,(('Business Case'!B11*$C757*'Business Case'!B12*$B757)-'Business Case'!B11*$C757*'Business Case'!B13*$D757-'Business Case'!B14*$E757))*'Business Case'!$B$7-'Business Case'!$B$8*('Business Case'!B11*$C757*'Business Case'!B12*$B757)-'Business Case'!B15*$F757</f>
        <v>-2274783109.36171</v>
      </c>
      <c r="I757" s="53" t="n">
        <f aca="false">(('Business Case'!C11*$C757*'Business Case'!C12*$B757)-'Business Case'!C11*$C757*'Business Case'!C13*$D757-'Business Case'!C14*$E757)-MAX(0,(('Business Case'!C11*$C757*'Business Case'!C12*$B757)-'Business Case'!C11*$C757*'Business Case'!C13*$D757-'Business Case'!C14*$E757))*'Business Case'!$B$7-'Business Case'!$B$8*(('Business Case'!C11*$C757*'Business Case'!C12*$B757)-('Business Case'!B11*$C757*'Business Case'!B12*$B757))-'Business Case'!C15*$F757</f>
        <v>12721756.6695571</v>
      </c>
      <c r="J757" s="53" t="n">
        <f aca="false">(('Business Case'!D11*$C757*'Business Case'!D12*$B757)-'Business Case'!D11*$C757*'Business Case'!D13*$D757-'Business Case'!D14*$E757)-MAX(0,(('Business Case'!D11*$C757*'Business Case'!D12*$B757)-'Business Case'!D11*$C757*'Business Case'!D13*$D757-'Business Case'!D14*$E757))*'Business Case'!$B$7-'Business Case'!$B$8*(('Business Case'!D11*$C757*'Business Case'!D12*$B757)-('Business Case'!C11*$C757*'Business Case'!C12*$B757))-'Business Case'!D15*$F757</f>
        <v>330207669.755843</v>
      </c>
      <c r="K757" s="53" t="n">
        <f aca="false">(('Business Case'!E11*$C757*'Business Case'!E12*$B757)-'Business Case'!E11*$C757*'Business Case'!E13*$D757-'Business Case'!E14*$E757)-MAX(0,(('Business Case'!E11*$C757*'Business Case'!E12*$B757)-'Business Case'!E11*$C757*'Business Case'!E13*$D757-'Business Case'!E14*$E757))*'Business Case'!$B$7-'Business Case'!$B$8*(('Business Case'!E11*$C757*'Business Case'!E12*$B757)-('Business Case'!D11*$C757*'Business Case'!D12*$B757))-'Business Case'!E15*$F757</f>
        <v>704563160.576171</v>
      </c>
      <c r="L757" s="53" t="n">
        <f aca="false">(('Business Case'!F11*$C757*'Business Case'!F12*$B757)-'Business Case'!F11*$C757*'Business Case'!F13*$D757-'Business Case'!F14*$E757)-MAX(0,(('Business Case'!F11*$C757*'Business Case'!F12*$B757)-'Business Case'!F11*$C757*'Business Case'!F13*$D757-'Business Case'!F14*$E757))*'Business Case'!$B$7-'Business Case'!$B$8*(('Business Case'!F11*$C757*'Business Case'!F12*$B757)-('Business Case'!E11*$C757*'Business Case'!E12*$B757))-'Business Case'!F15*$F757</f>
        <v>843337587.901469</v>
      </c>
      <c r="M757" s="53" t="n">
        <f aca="false">(('Business Case'!G11*$C757*'Business Case'!G12*$B757)-'Business Case'!G11*$C757*'Business Case'!G13*$D757-'Business Case'!G14*$E757)-MAX(0,(('Business Case'!G11*$C757*'Business Case'!G12*$B757)-'Business Case'!G11*$C757*'Business Case'!G13*$D757-'Business Case'!G14*$E757))*'Business Case'!$B$7-'Business Case'!$B$8*(('Business Case'!G11*$C757*'Business Case'!G12*$B757)-('Business Case'!F11*$C757*'Business Case'!F12*$B757))-'Business Case'!G15*$F757+'Business Case'!$B$8*('Business Case'!G11*$C757*'Business Case'!G12*$B757)</f>
        <v>1024539430.86575</v>
      </c>
      <c r="N757" s="53" t="n">
        <f aca="false">IF(COUNT('Business Case'!B11:G11)=0,"",H757+NPV(G757,I757:M757))</f>
        <v>-245419763.631583</v>
      </c>
      <c r="P757" s="54" t="n">
        <f aca="true">RAND()</f>
        <v>0.887612731990328</v>
      </c>
      <c r="Q757" s="54" t="n">
        <f aca="true">RAND()</f>
        <v>0.270348750800061</v>
      </c>
      <c r="R757" s="54" t="n">
        <f aca="true">RAND()</f>
        <v>0.0362601618468875</v>
      </c>
      <c r="S757" s="54" t="n">
        <f aca="true">RAND()</f>
        <v>0.279990879232783</v>
      </c>
      <c r="T757" s="54" t="n">
        <f aca="true">RAND()</f>
        <v>0.921603651494388</v>
      </c>
      <c r="U757" s="54" t="n">
        <f aca="true">RAND()</f>
        <v>0.301663829785926</v>
      </c>
    </row>
    <row r="758" customFormat="false" ht="15" hidden="false" customHeight="false" outlineLevel="0" collapsed="false">
      <c r="A758" s="50" t="n">
        <v>678</v>
      </c>
      <c r="B758" s="51" t="n">
        <f aca="false">1+IF($G$6=$E$6,$F$6,IF(P758&lt;($F$6-$E$6)/($G$6-$E$6),$E$6+SQRT(P758*($G$6-$E$6)*($F$6-$E$6)),$G$6-SQRT((1-P758)*($G$6-$E$6)*($G$6-$F$6))))</f>
        <v>0.952386312245277</v>
      </c>
      <c r="C758" s="51" t="n">
        <f aca="false">1+IF($G$7=$E$7,$F$7,IF(Q758&lt;($F$7-$E$7)/($G$7-$E$7),$E$7+SQRT(Q758*($G$7-$E$7)*($F$7-$E$7)),$G$7-SQRT((1-Q758)*($G$7-$E$7)*($G$7-$F$7))))</f>
        <v>1.0043575709778</v>
      </c>
      <c r="D758" s="51" t="n">
        <f aca="false">1+IF($G$8=$E$8,$F$8,IF(R758&lt;($F$8-$E$8)/($G$8-$E$8),$E$8+SQRT(R758*($G$8-$E$8)*($F$8-$E$8)),$G$8-SQRT((1-R758)*($G$8-$E$8)*($G$8-$F$8))))</f>
        <v>0.982663866631501</v>
      </c>
      <c r="E758" s="51" t="n">
        <f aca="false">1+IF($G$9=$E$9,$F$9,IF(S758&lt;($F$9-$E$9)/($G$9-$E$9),$E$9+SQRT(S758*($G$9-$E$9)*($F$9-$E$9)),$G$9-SQRT((1-S758)*($G$9-$E$9)*($G$9-$F$9))))</f>
        <v>1.01833903880956</v>
      </c>
      <c r="F758" s="51" t="n">
        <f aca="false">1+IF($G$10=$E$10,$F$10,IF(T758&lt;($F$10-$E$10)/($G$10-$E$10),$E$10+SQRT(T758*($G$10-$E$10)*($F$10-$E$10)),$G$10-SQRT((1-T758)*($G$10-$E$10)*($G$10-$F$10))))</f>
        <v>1.07933901893436</v>
      </c>
      <c r="G758" s="52" t="n">
        <f aca="false">IF($G$11=$E$11,$F$11,IF(U758&lt;($F$11-$E$11)/($G$11-$E$11),$E$11+SQRT(U758*($G$11-$E$11)*($F$11-$E$11)),$G$11-SQRT((1-U758)*($G$11-$E$11)*($G$11-$F$11))))</f>
        <v>0.0998799676547313</v>
      </c>
      <c r="H758" s="53" t="n">
        <f aca="false">(('Business Case'!B11*$C758*'Business Case'!B12*$B758)-'Business Case'!B11*$C758*'Business Case'!B13*$D758-'Business Case'!B14*$E758)-MAX(0,(('Business Case'!B11*$C758*'Business Case'!B12*$B758)-'Business Case'!B11*$C758*'Business Case'!B13*$D758-'Business Case'!B14*$E758))*'Business Case'!$B$7-'Business Case'!$B$8*('Business Case'!B11*$C758*'Business Case'!B12*$B758)-'Business Case'!B15*$F758</f>
        <v>-2158678037.86871</v>
      </c>
      <c r="I758" s="53" t="n">
        <f aca="false">(('Business Case'!C11*$C758*'Business Case'!C12*$B758)-'Business Case'!C11*$C758*'Business Case'!C13*$D758-'Business Case'!C14*$E758)-MAX(0,(('Business Case'!C11*$C758*'Business Case'!C12*$B758)-'Business Case'!C11*$C758*'Business Case'!C13*$D758-'Business Case'!C14*$E758))*'Business Case'!$B$7-'Business Case'!$B$8*(('Business Case'!C11*$C758*'Business Case'!C12*$B758)-('Business Case'!B11*$C758*'Business Case'!B12*$B758))-'Business Case'!C15*$F758</f>
        <v>-24093717.6602794</v>
      </c>
      <c r="J758" s="53" t="n">
        <f aca="false">(('Business Case'!D11*$C758*'Business Case'!D12*$B758)-'Business Case'!D11*$C758*'Business Case'!D13*$D758-'Business Case'!D14*$E758)-MAX(0,(('Business Case'!D11*$C758*'Business Case'!D12*$B758)-'Business Case'!D11*$C758*'Business Case'!D13*$D758-'Business Case'!D14*$E758))*'Business Case'!$B$7-'Business Case'!$B$8*(('Business Case'!D11*$C758*'Business Case'!D12*$B758)-('Business Case'!C11*$C758*'Business Case'!C12*$B758))-'Business Case'!D15*$F758</f>
        <v>254141125.033441</v>
      </c>
      <c r="K758" s="53" t="n">
        <f aca="false">(('Business Case'!E11*$C758*'Business Case'!E12*$B758)-'Business Case'!E11*$C758*'Business Case'!E13*$D758-'Business Case'!E14*$E758)-MAX(0,(('Business Case'!E11*$C758*'Business Case'!E12*$B758)-'Business Case'!E11*$C758*'Business Case'!E13*$D758-'Business Case'!E14*$E758))*'Business Case'!$B$7-'Business Case'!$B$8*(('Business Case'!E11*$C758*'Business Case'!E12*$B758)-('Business Case'!D11*$C758*'Business Case'!D12*$B758))-'Business Case'!E15*$F758</f>
        <v>586342918.673879</v>
      </c>
      <c r="L758" s="53" t="n">
        <f aca="false">(('Business Case'!F11*$C758*'Business Case'!F12*$B758)-'Business Case'!F11*$C758*'Business Case'!F13*$D758-'Business Case'!F14*$E758)-MAX(0,(('Business Case'!F11*$C758*'Business Case'!F12*$B758)-'Business Case'!F11*$C758*'Business Case'!F13*$D758-'Business Case'!F14*$E758))*'Business Case'!$B$7-'Business Case'!$B$8*(('Business Case'!F11*$C758*'Business Case'!F12*$B758)-('Business Case'!E11*$C758*'Business Case'!E12*$B758))-'Business Case'!F15*$F758</f>
        <v>712145764.333015</v>
      </c>
      <c r="M758" s="53" t="n">
        <f aca="false">(('Business Case'!G11*$C758*'Business Case'!G12*$B758)-'Business Case'!G11*$C758*'Business Case'!G13*$D758-'Business Case'!G14*$E758)-MAX(0,(('Business Case'!G11*$C758*'Business Case'!G12*$B758)-'Business Case'!G11*$C758*'Business Case'!G13*$D758-'Business Case'!G14*$E758))*'Business Case'!$B$7-'Business Case'!$B$8*(('Business Case'!G11*$C758*'Business Case'!G12*$B758)-('Business Case'!F11*$C758*'Business Case'!F12*$B758))-'Business Case'!G15*$F758+'Business Case'!$B$8*('Business Case'!G11*$C758*'Business Case'!G12*$B758)</f>
        <v>893964203.853114</v>
      </c>
      <c r="N758" s="53" t="n">
        <f aca="false">IF(COUNT('Business Case'!B11:G11)=0,"",H758+NPV(G758,I758:M758))</f>
        <v>-487829725.889228</v>
      </c>
      <c r="P758" s="54" t="n">
        <f aca="true">RAND()</f>
        <v>0.109257627171724</v>
      </c>
      <c r="Q758" s="54" t="n">
        <f aca="true">RAND()</f>
        <v>0.5959672927336</v>
      </c>
      <c r="R758" s="54" t="n">
        <f aca="true">RAND()</f>
        <v>0.164142797433921</v>
      </c>
      <c r="S758" s="54" t="n">
        <f aca="true">RAND()</f>
        <v>0.555432494496847</v>
      </c>
      <c r="T758" s="54" t="n">
        <f aca="true">RAND()</f>
        <v>0.708818552965521</v>
      </c>
      <c r="U758" s="54" t="n">
        <f aca="true">RAND()</f>
        <v>0.325379202861789</v>
      </c>
    </row>
    <row r="759" customFormat="false" ht="15" hidden="false" customHeight="false" outlineLevel="0" collapsed="false">
      <c r="A759" s="50" t="n">
        <v>679</v>
      </c>
      <c r="B759" s="51" t="n">
        <f aca="false">1+IF($G$6=$E$6,$F$6,IF(P759&lt;($F$6-$E$6)/($G$6-$E$6),$E$6+SQRT(P759*($G$6-$E$6)*($F$6-$E$6)),$G$6-SQRT((1-P759)*($G$6-$E$6)*($G$6-$F$6))))</f>
        <v>0.947538915473783</v>
      </c>
      <c r="C759" s="51" t="n">
        <f aca="false">1+IF($G$7=$E$7,$F$7,IF(Q759&lt;($F$7-$E$7)/($G$7-$E$7),$E$7+SQRT(Q759*($G$7-$E$7)*($F$7-$E$7)),$G$7-SQRT((1-Q759)*($G$7-$E$7)*($G$7-$F$7))))</f>
        <v>1.0539531857931</v>
      </c>
      <c r="D759" s="51" t="n">
        <f aca="false">1+IF($G$8=$E$8,$F$8,IF(R759&lt;($F$8-$E$8)/($G$8-$E$8),$E$8+SQRT(R759*($G$8-$E$8)*($F$8-$E$8)),$G$8-SQRT((1-R759)*($G$8-$E$8)*($G$8-$F$8))))</f>
        <v>0.980199892068632</v>
      </c>
      <c r="E759" s="51" t="n">
        <f aca="false">1+IF($G$9=$E$9,$F$9,IF(S759&lt;($F$9-$E$9)/($G$9-$E$9),$E$9+SQRT(S759*($G$9-$E$9)*($F$9-$E$9)),$G$9-SQRT((1-S759)*($G$9-$E$9)*($G$9-$F$9))))</f>
        <v>0.977808818340544</v>
      </c>
      <c r="F759" s="51" t="n">
        <f aca="false">1+IF($G$10=$E$10,$F$10,IF(T759&lt;($F$10-$E$10)/($G$10-$E$10),$E$10+SQRT(T759*($G$10-$E$10)*($F$10-$E$10)),$G$10-SQRT((1-T759)*($G$10-$E$10)*($G$10-$F$10))))</f>
        <v>1.00031575494429</v>
      </c>
      <c r="G759" s="52" t="n">
        <f aca="false">IF($G$11=$E$11,$F$11,IF(U759&lt;($F$11-$E$11)/($G$11-$E$11),$E$11+SQRT(U759*($G$11-$E$11)*($F$11-$E$11)),$G$11-SQRT((1-U759)*($G$11-$E$11)*($G$11-$F$11))))</f>
        <v>0.115972715968497</v>
      </c>
      <c r="H759" s="53" t="n">
        <f aca="false">(('Business Case'!B11*$C759*'Business Case'!B12*$B759)-'Business Case'!B11*$C759*'Business Case'!B13*$D759-'Business Case'!B14*$E759)-MAX(0,(('Business Case'!B11*$C759*'Business Case'!B12*$B759)-'Business Case'!B11*$C759*'Business Case'!B13*$D759-'Business Case'!B14*$E759))*'Business Case'!$B$7-'Business Case'!$B$8*('Business Case'!B11*$C759*'Business Case'!B12*$B759)-'Business Case'!B15*$F759</f>
        <v>-2000631509.88858</v>
      </c>
      <c r="I759" s="53" t="n">
        <f aca="false">(('Business Case'!C11*$C759*'Business Case'!C12*$B759)-'Business Case'!C11*$C759*'Business Case'!C13*$D759-'Business Case'!C14*$E759)-MAX(0,(('Business Case'!C11*$C759*'Business Case'!C12*$B759)-'Business Case'!C11*$C759*'Business Case'!C13*$D759-'Business Case'!C14*$E759))*'Business Case'!$B$7-'Business Case'!$B$8*(('Business Case'!C11*$C759*'Business Case'!C12*$B759)-('Business Case'!B11*$C759*'Business Case'!B12*$B759))-'Business Case'!C15*$F759</f>
        <v>-1727578.07459666</v>
      </c>
      <c r="J759" s="53" t="n">
        <f aca="false">(('Business Case'!D11*$C759*'Business Case'!D12*$B759)-'Business Case'!D11*$C759*'Business Case'!D13*$D759-'Business Case'!D14*$E759)-MAX(0,(('Business Case'!D11*$C759*'Business Case'!D12*$B759)-'Business Case'!D11*$C759*'Business Case'!D13*$D759-'Business Case'!D14*$E759))*'Business Case'!$B$7-'Business Case'!$B$8*(('Business Case'!D11*$C759*'Business Case'!D12*$B759)-('Business Case'!C11*$C759*'Business Case'!C12*$B759))-'Business Case'!D15*$F759</f>
        <v>287391453.69646</v>
      </c>
      <c r="K759" s="53" t="n">
        <f aca="false">(('Business Case'!E11*$C759*'Business Case'!E12*$B759)-'Business Case'!E11*$C759*'Business Case'!E13*$D759-'Business Case'!E14*$E759)-MAX(0,(('Business Case'!E11*$C759*'Business Case'!E12*$B759)-'Business Case'!E11*$C759*'Business Case'!E13*$D759-'Business Case'!E14*$E759))*'Business Case'!$B$7-'Business Case'!$B$8*(('Business Case'!E11*$C759*'Business Case'!E12*$B759)-('Business Case'!D11*$C759*'Business Case'!D12*$B759))-'Business Case'!E15*$F759</f>
        <v>626526273.214732</v>
      </c>
      <c r="L759" s="53" t="n">
        <f aca="false">(('Business Case'!F11*$C759*'Business Case'!F12*$B759)-'Business Case'!F11*$C759*'Business Case'!F13*$D759-'Business Case'!F14*$E759)-MAX(0,(('Business Case'!F11*$C759*'Business Case'!F12*$B759)-'Business Case'!F11*$C759*'Business Case'!F13*$D759-'Business Case'!F14*$E759))*'Business Case'!$B$7-'Business Case'!$B$8*(('Business Case'!F11*$C759*'Business Case'!F12*$B759)-('Business Case'!E11*$C759*'Business Case'!E12*$B759))-'Business Case'!F15*$F759</f>
        <v>757413030.727217</v>
      </c>
      <c r="M759" s="53" t="n">
        <f aca="false">(('Business Case'!G11*$C759*'Business Case'!G12*$B759)-'Business Case'!G11*$C759*'Business Case'!G13*$D759-'Business Case'!G14*$E759)-MAX(0,(('Business Case'!G11*$C759*'Business Case'!G12*$B759)-'Business Case'!G11*$C759*'Business Case'!G13*$D759-'Business Case'!G14*$E759))*'Business Case'!$B$7-'Business Case'!$B$8*(('Business Case'!G11*$C759*'Business Case'!G12*$B759)-('Business Case'!F11*$C759*'Business Case'!F12*$B759))-'Business Case'!G15*$F759+'Business Case'!$B$8*('Business Case'!G11*$C759*'Business Case'!G12*$B759)</f>
        <v>947238638.798949</v>
      </c>
      <c r="N759" s="53" t="n">
        <f aca="false">IF(COUNT('Business Case'!B11:G11)=0,"",H759+NPV(G759,I759:M759))</f>
        <v>-285028898.390799</v>
      </c>
      <c r="P759" s="54" t="n">
        <f aca="true">RAND()</f>
        <v>0.0789991526533497</v>
      </c>
      <c r="Q759" s="54" t="n">
        <f aca="true">RAND()</f>
        <v>0.824285894870578</v>
      </c>
      <c r="R759" s="54" t="n">
        <f aca="true">RAND()</f>
        <v>0.140312843224156</v>
      </c>
      <c r="S759" s="54" t="n">
        <f aca="true">RAND()</f>
        <v>0.103110716999648</v>
      </c>
      <c r="T759" s="54" t="n">
        <f aca="true">RAND()</f>
        <v>0.20252404553061</v>
      </c>
      <c r="U759" s="54" t="n">
        <f aca="true">RAND()</f>
        <v>0.972968305549329</v>
      </c>
    </row>
    <row r="760" customFormat="false" ht="15" hidden="false" customHeight="false" outlineLevel="0" collapsed="false">
      <c r="A760" s="50" t="n">
        <v>680</v>
      </c>
      <c r="B760" s="51" t="n">
        <f aca="false">1+IF($G$6=$E$6,$F$6,IF(P760&lt;($F$6-$E$6)/($G$6-$E$6),$E$6+SQRT(P760*($G$6-$E$6)*($F$6-$E$6)),$G$6-SQRT((1-P760)*($G$6-$E$6)*($G$6-$F$6))))</f>
        <v>0.988547395785221</v>
      </c>
      <c r="C760" s="51" t="n">
        <f aca="false">1+IF($G$7=$E$7,$F$7,IF(Q760&lt;($F$7-$E$7)/($G$7-$E$7),$E$7+SQRT(Q760*($G$7-$E$7)*($F$7-$E$7)),$G$7-SQRT((1-Q760)*($G$7-$E$7)*($G$7-$F$7))))</f>
        <v>0.993062259123717</v>
      </c>
      <c r="D760" s="51" t="n">
        <f aca="false">1+IF($G$8=$E$8,$F$8,IF(R760&lt;($F$8-$E$8)/($G$8-$E$8),$E$8+SQRT(R760*($G$8-$E$8)*($F$8-$E$8)),$G$8-SQRT((1-R760)*($G$8-$E$8)*($G$8-$F$8))))</f>
        <v>1.03665424086196</v>
      </c>
      <c r="E760" s="51" t="n">
        <f aca="false">1+IF($G$9=$E$9,$F$9,IF(S760&lt;($F$9-$E$9)/($G$9-$E$9),$E$9+SQRT(S760*($G$9-$E$9)*($F$9-$E$9)),$G$9-SQRT((1-S760)*($G$9-$E$9)*($G$9-$F$9))))</f>
        <v>0.980855855405277</v>
      </c>
      <c r="F760" s="51" t="n">
        <f aca="false">1+IF($G$10=$E$10,$F$10,IF(T760&lt;($F$10-$E$10)/($G$10-$E$10),$E$10+SQRT(T760*($G$10-$E$10)*($F$10-$E$10)),$G$10-SQRT((1-T760)*($G$10-$E$10)*($G$10-$F$10))))</f>
        <v>1.05318431414796</v>
      </c>
      <c r="G760" s="52" t="n">
        <f aca="false">IF($G$11=$E$11,$F$11,IF(U760&lt;($F$11-$E$11)/($G$11-$E$11),$E$11+SQRT(U760*($G$11-$E$11)*($F$11-$E$11)),$G$11-SQRT((1-U760)*($G$11-$E$11)*($G$11-$F$11))))</f>
        <v>0.109176609980581</v>
      </c>
      <c r="H760" s="53" t="n">
        <f aca="false">(('Business Case'!B11*$C760*'Business Case'!B12*$B760)-'Business Case'!B11*$C760*'Business Case'!B13*$D760-'Business Case'!B14*$E760)-MAX(0,(('Business Case'!B11*$C760*'Business Case'!B12*$B760)-'Business Case'!B11*$C760*'Business Case'!B13*$D760-'Business Case'!B14*$E760))*'Business Case'!$B$7-'Business Case'!$B$8*('Business Case'!B11*$C760*'Business Case'!B12*$B760)-'Business Case'!B15*$F760</f>
        <v>-2106368628.29592</v>
      </c>
      <c r="I760" s="53" t="n">
        <f aca="false">(('Business Case'!C11*$C760*'Business Case'!C12*$B760)-'Business Case'!C11*$C760*'Business Case'!C13*$D760-'Business Case'!C14*$E760)-MAX(0,(('Business Case'!C11*$C760*'Business Case'!C12*$B760)-'Business Case'!C11*$C760*'Business Case'!C13*$D760-'Business Case'!C14*$E760))*'Business Case'!$B$7-'Business Case'!$B$8*(('Business Case'!C11*$C760*'Business Case'!C12*$B760)-('Business Case'!B11*$C760*'Business Case'!B12*$B760))-'Business Case'!C15*$F760</f>
        <v>-18615125.358436</v>
      </c>
      <c r="J760" s="53" t="n">
        <f aca="false">(('Business Case'!D11*$C760*'Business Case'!D12*$B760)-'Business Case'!D11*$C760*'Business Case'!D13*$D760-'Business Case'!D14*$E760)-MAX(0,(('Business Case'!D11*$C760*'Business Case'!D12*$B760)-'Business Case'!D11*$C760*'Business Case'!D13*$D760-'Business Case'!D14*$E760))*'Business Case'!$B$7-'Business Case'!$B$8*(('Business Case'!D11*$C760*'Business Case'!D12*$B760)-('Business Case'!C11*$C760*'Business Case'!C12*$B760))-'Business Case'!D15*$F760</f>
        <v>258456646.804623</v>
      </c>
      <c r="K760" s="53" t="n">
        <f aca="false">(('Business Case'!E11*$C760*'Business Case'!E12*$B760)-'Business Case'!E11*$C760*'Business Case'!E13*$D760-'Business Case'!E14*$E760)-MAX(0,(('Business Case'!E11*$C760*'Business Case'!E12*$B760)-'Business Case'!E11*$C760*'Business Case'!E13*$D760-'Business Case'!E14*$E760))*'Business Case'!$B$7-'Business Case'!$B$8*(('Business Case'!E11*$C760*'Business Case'!E12*$B760)-('Business Case'!D11*$C760*'Business Case'!D12*$B760))-'Business Case'!E15*$F760</f>
        <v>588187634.67508</v>
      </c>
      <c r="L760" s="53" t="n">
        <f aca="false">(('Business Case'!F11*$C760*'Business Case'!F12*$B760)-'Business Case'!F11*$C760*'Business Case'!F13*$D760-'Business Case'!F14*$E760)-MAX(0,(('Business Case'!F11*$C760*'Business Case'!F12*$B760)-'Business Case'!F11*$C760*'Business Case'!F13*$D760-'Business Case'!F14*$E760))*'Business Case'!$B$7-'Business Case'!$B$8*(('Business Case'!F11*$C760*'Business Case'!F12*$B760)-('Business Case'!E11*$C760*'Business Case'!E12*$B760))-'Business Case'!F15*$F760</f>
        <v>714472067.708145</v>
      </c>
      <c r="M760" s="53" t="n">
        <f aca="false">(('Business Case'!G11*$C760*'Business Case'!G12*$B760)-'Business Case'!G11*$C760*'Business Case'!G13*$D760-'Business Case'!G14*$E760)-MAX(0,(('Business Case'!G11*$C760*'Business Case'!G12*$B760)-'Business Case'!G11*$C760*'Business Case'!G13*$D760-'Business Case'!G14*$E760))*'Business Case'!$B$7-'Business Case'!$B$8*(('Business Case'!G11*$C760*'Business Case'!G12*$B760)-('Business Case'!F11*$C760*'Business Case'!F12*$B760))-'Business Case'!G15*$F760+'Business Case'!$B$8*('Business Case'!G11*$C760*'Business Case'!G12*$B760)</f>
        <v>901071533.757728</v>
      </c>
      <c r="N760" s="53" t="n">
        <f aca="false">IF(COUNT('Business Case'!B11:G11)=0,"",H760+NPV(G760,I760:M760))</f>
        <v>-473260637.014118</v>
      </c>
      <c r="P760" s="54" t="n">
        <f aca="true">RAND()</f>
        <v>0.489452653014141</v>
      </c>
      <c r="Q760" s="54" t="n">
        <f aca="true">RAND()</f>
        <v>0.532471941399333</v>
      </c>
      <c r="R760" s="54" t="n">
        <f aca="true">RAND()</f>
        <v>0.819340881225673</v>
      </c>
      <c r="S760" s="54" t="n">
        <f aca="true">RAND()</f>
        <v>0.126944508372183</v>
      </c>
      <c r="T760" s="54" t="n">
        <f aca="true">RAND()</f>
        <v>0.568903087755911</v>
      </c>
      <c r="U760" s="54" t="n">
        <f aca="true">RAND()</f>
        <v>0.804757047479244</v>
      </c>
    </row>
    <row r="761" customFormat="false" ht="15" hidden="false" customHeight="false" outlineLevel="0" collapsed="false">
      <c r="A761" s="50" t="n">
        <v>681</v>
      </c>
      <c r="B761" s="51" t="n">
        <f aca="false">1+IF($G$6=$E$6,$F$6,IF(P761&lt;($F$6-$E$6)/($G$6-$E$6),$E$6+SQRT(P761*($G$6-$E$6)*($F$6-$E$6)),$G$6-SQRT((1-P761)*($G$6-$E$6)*($G$6-$F$6))))</f>
        <v>0.974163276013205</v>
      </c>
      <c r="C761" s="51" t="n">
        <f aca="false">1+IF($G$7=$E$7,$F$7,IF(Q761&lt;($F$7-$E$7)/($G$7-$E$7),$E$7+SQRT(Q761*($G$7-$E$7)*($F$7-$E$7)),$G$7-SQRT((1-Q761)*($G$7-$E$7)*($G$7-$F$7))))</f>
        <v>0.878247480215527</v>
      </c>
      <c r="D761" s="51" t="n">
        <f aca="false">1+IF($G$8=$E$8,$F$8,IF(R761&lt;($F$8-$E$8)/($G$8-$E$8),$E$8+SQRT(R761*($G$8-$E$8)*($F$8-$E$8)),$G$8-SQRT((1-R761)*($G$8-$E$8)*($G$8-$F$8))))</f>
        <v>0.969753346061354</v>
      </c>
      <c r="E761" s="51" t="n">
        <f aca="false">1+IF($G$9=$E$9,$F$9,IF(S761&lt;($F$9-$E$9)/($G$9-$E$9),$E$9+SQRT(S761*($G$9-$E$9)*($F$9-$E$9)),$G$9-SQRT((1-S761)*($G$9-$E$9)*($G$9-$F$9))))</f>
        <v>0.988189786542968</v>
      </c>
      <c r="F761" s="51" t="n">
        <f aca="false">1+IF($G$10=$E$10,$F$10,IF(T761&lt;($F$10-$E$10)/($G$10-$E$10),$E$10+SQRT(T761*($G$10-$E$10)*($F$10-$E$10)),$G$10-SQRT((1-T761)*($G$10-$E$10)*($G$10-$F$10))))</f>
        <v>1.11018577046827</v>
      </c>
      <c r="G761" s="52" t="n">
        <f aca="false">IF($G$11=$E$11,$F$11,IF(U761&lt;($F$11-$E$11)/($G$11-$E$11),$E$11+SQRT(U761*($G$11-$E$11)*($F$11-$E$11)),$G$11-SQRT((1-U761)*($G$11-$E$11)*($G$11-$F$11))))</f>
        <v>0.116462252952209</v>
      </c>
      <c r="H761" s="53" t="n">
        <f aca="false">(('Business Case'!B11*$C761*'Business Case'!B12*$B761)-'Business Case'!B11*$C761*'Business Case'!B13*$D761-'Business Case'!B14*$E761)-MAX(0,(('Business Case'!B11*$C761*'Business Case'!B12*$B761)-'Business Case'!B11*$C761*'Business Case'!B13*$D761-'Business Case'!B14*$E761))*'Business Case'!$B$7-'Business Case'!$B$8*('Business Case'!B11*$C761*'Business Case'!B12*$B761)-'Business Case'!B15*$F761</f>
        <v>-2220371540.93654</v>
      </c>
      <c r="I761" s="53" t="n">
        <f aca="false">(('Business Case'!C11*$C761*'Business Case'!C12*$B761)-'Business Case'!C11*$C761*'Business Case'!C13*$D761-'Business Case'!C14*$E761)-MAX(0,(('Business Case'!C11*$C761*'Business Case'!C12*$B761)-'Business Case'!C11*$C761*'Business Case'!C13*$D761-'Business Case'!C14*$E761))*'Business Case'!$B$7-'Business Case'!$B$8*(('Business Case'!C11*$C761*'Business Case'!C12*$B761)-('Business Case'!B11*$C761*'Business Case'!B12*$B761))-'Business Case'!C15*$F761</f>
        <v>-31122667.039825</v>
      </c>
      <c r="J761" s="53" t="n">
        <f aca="false">(('Business Case'!D11*$C761*'Business Case'!D12*$B761)-'Business Case'!D11*$C761*'Business Case'!D13*$D761-'Business Case'!D14*$E761)-MAX(0,(('Business Case'!D11*$C761*'Business Case'!D12*$B761)-'Business Case'!D11*$C761*'Business Case'!D13*$D761-'Business Case'!D14*$E761))*'Business Case'!$B$7-'Business Case'!$B$8*(('Business Case'!D11*$C761*'Business Case'!D12*$B761)-('Business Case'!C11*$C761*'Business Case'!C12*$B761))-'Business Case'!D15*$F761</f>
        <v>233645876.5916</v>
      </c>
      <c r="K761" s="53" t="n">
        <f aca="false">(('Business Case'!E11*$C761*'Business Case'!E12*$B761)-'Business Case'!E11*$C761*'Business Case'!E13*$D761-'Business Case'!E14*$E761)-MAX(0,(('Business Case'!E11*$C761*'Business Case'!E12*$B761)-'Business Case'!E11*$C761*'Business Case'!E13*$D761-'Business Case'!E14*$E761))*'Business Case'!$B$7-'Business Case'!$B$8*(('Business Case'!E11*$C761*'Business Case'!E12*$B761)-('Business Case'!D11*$C761*'Business Case'!D12*$B761))-'Business Case'!E15*$F761</f>
        <v>553923708.746438</v>
      </c>
      <c r="L761" s="53" t="n">
        <f aca="false">(('Business Case'!F11*$C761*'Business Case'!F12*$B761)-'Business Case'!F11*$C761*'Business Case'!F13*$D761-'Business Case'!F14*$E761)-MAX(0,(('Business Case'!F11*$C761*'Business Case'!F12*$B761)-'Business Case'!F11*$C761*'Business Case'!F13*$D761-'Business Case'!F14*$E761))*'Business Case'!$B$7-'Business Case'!$B$8*(('Business Case'!F11*$C761*'Business Case'!F12*$B761)-('Business Case'!E11*$C761*'Business Case'!E12*$B761))-'Business Case'!F15*$F761</f>
        <v>671747920.608922</v>
      </c>
      <c r="M761" s="53" t="n">
        <f aca="false">(('Business Case'!G11*$C761*'Business Case'!G12*$B761)-'Business Case'!G11*$C761*'Business Case'!G13*$D761-'Business Case'!G14*$E761)-MAX(0,(('Business Case'!G11*$C761*'Business Case'!G12*$B761)-'Business Case'!G11*$C761*'Business Case'!G13*$D761-'Business Case'!G14*$E761))*'Business Case'!$B$7-'Business Case'!$B$8*(('Business Case'!G11*$C761*'Business Case'!G12*$B761)-('Business Case'!F11*$C761*'Business Case'!F12*$B761))-'Business Case'!G15*$F761+'Business Case'!$B$8*('Business Case'!G11*$C761*'Business Case'!G12*$B761)</f>
        <v>834372089.194969</v>
      </c>
      <c r="N761" s="53" t="n">
        <f aca="false">IF(COUNT('Business Case'!B11:G11)=0,"",H761+NPV(G761,I761:M761))</f>
        <v>-749433906.329864</v>
      </c>
      <c r="P761" s="54" t="n">
        <f aca="true">RAND()</f>
        <v>0.30558963213361</v>
      </c>
      <c r="Q761" s="54" t="n">
        <f aca="true">RAND()</f>
        <v>0.0874666880011333</v>
      </c>
      <c r="R761" s="54" t="n">
        <f aca="true">RAND()</f>
        <v>0.0600299508645551</v>
      </c>
      <c r="S761" s="54" t="n">
        <f aca="true">RAND()</f>
        <v>0.194461306159661</v>
      </c>
      <c r="T761" s="54" t="n">
        <f aca="true">RAND()</f>
        <v>0.838668083472431</v>
      </c>
      <c r="U761" s="54" t="n">
        <f aca="true">RAND()</f>
        <v>0.979140576376413</v>
      </c>
    </row>
    <row r="762" customFormat="false" ht="15" hidden="false" customHeight="false" outlineLevel="0" collapsed="false">
      <c r="A762" s="50" t="n">
        <v>682</v>
      </c>
      <c r="B762" s="51" t="n">
        <f aca="false">1+IF($G$6=$E$6,$F$6,IF(P762&lt;($F$6-$E$6)/($G$6-$E$6),$E$6+SQRT(P762*($G$6-$E$6)*($F$6-$E$6)),$G$6-SQRT((1-P762)*($G$6-$E$6)*($G$6-$F$6))))</f>
        <v>1.02250013578303</v>
      </c>
      <c r="C762" s="51" t="n">
        <f aca="false">1+IF($G$7=$E$7,$F$7,IF(Q762&lt;($F$7-$E$7)/($G$7-$E$7),$E$7+SQRT(Q762*($G$7-$E$7)*($F$7-$E$7)),$G$7-SQRT((1-Q762)*($G$7-$E$7)*($G$7-$F$7))))</f>
        <v>0.972207492953423</v>
      </c>
      <c r="D762" s="51" t="n">
        <f aca="false">1+IF($G$8=$E$8,$F$8,IF(R762&lt;($F$8-$E$8)/($G$8-$E$8),$E$8+SQRT(R762*($G$8-$E$8)*($F$8-$E$8)),$G$8-SQRT((1-R762)*($G$8-$E$8)*($G$8-$F$8))))</f>
        <v>1.01594786880786</v>
      </c>
      <c r="E762" s="51" t="n">
        <f aca="false">1+IF($G$9=$E$9,$F$9,IF(S762&lt;($F$9-$E$9)/($G$9-$E$9),$E$9+SQRT(S762*($G$9-$E$9)*($F$9-$E$9)),$G$9-SQRT((1-S762)*($G$9-$E$9)*($G$9-$F$9))))</f>
        <v>0.991192636032261</v>
      </c>
      <c r="F762" s="51" t="n">
        <f aca="false">1+IF($G$10=$E$10,$F$10,IF(T762&lt;($F$10-$E$10)/($G$10-$E$10),$E$10+SQRT(T762*($G$10-$E$10)*($F$10-$E$10)),$G$10-SQRT((1-T762)*($G$10-$E$10)*($G$10-$F$10))))</f>
        <v>0.958809984246058</v>
      </c>
      <c r="G762" s="52" t="n">
        <f aca="false">IF($G$11=$E$11,$F$11,IF(U762&lt;($F$11-$E$11)/($G$11-$E$11),$E$11+SQRT(U762*($G$11-$E$11)*($F$11-$E$11)),$G$11-SQRT((1-U762)*($G$11-$E$11)*($G$11-$F$11))))</f>
        <v>0.108618770614153</v>
      </c>
      <c r="H762" s="53" t="n">
        <f aca="false">(('Business Case'!B11*$C762*'Business Case'!B12*$B762)-'Business Case'!B11*$C762*'Business Case'!B13*$D762-'Business Case'!B14*$E762)-MAX(0,(('Business Case'!B11*$C762*'Business Case'!B12*$B762)-'Business Case'!B11*$C762*'Business Case'!B13*$D762-'Business Case'!B14*$E762))*'Business Case'!$B$7-'Business Case'!$B$8*('Business Case'!B11*$C762*'Business Case'!B12*$B762)-'Business Case'!B15*$F762</f>
        <v>-1917619968.49212</v>
      </c>
      <c r="I762" s="53" t="n">
        <f aca="false">(('Business Case'!C11*$C762*'Business Case'!C12*$B762)-'Business Case'!C11*$C762*'Business Case'!C13*$D762-'Business Case'!C14*$E762)-MAX(0,(('Business Case'!C11*$C762*'Business Case'!C12*$B762)-'Business Case'!C11*$C762*'Business Case'!C13*$D762-'Business Case'!C14*$E762))*'Business Case'!$B$7-'Business Case'!$B$8*(('Business Case'!C11*$C762*'Business Case'!C12*$B762)-('Business Case'!B11*$C762*'Business Case'!B12*$B762))-'Business Case'!C15*$F762</f>
        <v>20233561.1315976</v>
      </c>
      <c r="J762" s="53" t="n">
        <f aca="false">(('Business Case'!D11*$C762*'Business Case'!D12*$B762)-'Business Case'!D11*$C762*'Business Case'!D13*$D762-'Business Case'!D14*$E762)-MAX(0,(('Business Case'!D11*$C762*'Business Case'!D12*$B762)-'Business Case'!D11*$C762*'Business Case'!D13*$D762-'Business Case'!D14*$E762))*'Business Case'!$B$7-'Business Case'!$B$8*(('Business Case'!D11*$C762*'Business Case'!D12*$B762)-('Business Case'!C11*$C762*'Business Case'!C12*$B762))-'Business Case'!D15*$F762</f>
        <v>328828939.629436</v>
      </c>
      <c r="K762" s="53" t="n">
        <f aca="false">(('Business Case'!E11*$C762*'Business Case'!E12*$B762)-'Business Case'!E11*$C762*'Business Case'!E13*$D762-'Business Case'!E14*$E762)-MAX(0,(('Business Case'!E11*$C762*'Business Case'!E12*$B762)-'Business Case'!E11*$C762*'Business Case'!E13*$D762-'Business Case'!E14*$E762))*'Business Case'!$B$7-'Business Case'!$B$8*(('Business Case'!E11*$C762*'Business Case'!E12*$B762)-('Business Case'!D11*$C762*'Business Case'!D12*$B762))-'Business Case'!E15*$F762</f>
        <v>685364817.339577</v>
      </c>
      <c r="L762" s="53" t="n">
        <f aca="false">(('Business Case'!F11*$C762*'Business Case'!F12*$B762)-'Business Case'!F11*$C762*'Business Case'!F13*$D762-'Business Case'!F14*$E762)-MAX(0,(('Business Case'!F11*$C762*'Business Case'!F12*$B762)-'Business Case'!F11*$C762*'Business Case'!F13*$D762-'Business Case'!F14*$E762))*'Business Case'!$B$7-'Business Case'!$B$8*(('Business Case'!F11*$C762*'Business Case'!F12*$B762)-('Business Case'!E11*$C762*'Business Case'!E12*$B762))-'Business Case'!F15*$F762</f>
        <v>822585427.570754</v>
      </c>
      <c r="M762" s="53" t="n">
        <f aca="false">(('Business Case'!G11*$C762*'Business Case'!G12*$B762)-'Business Case'!G11*$C762*'Business Case'!G13*$D762-'Business Case'!G14*$E762)-MAX(0,(('Business Case'!G11*$C762*'Business Case'!G12*$B762)-'Business Case'!G11*$C762*'Business Case'!G13*$D762-'Business Case'!G14*$E762))*'Business Case'!$B$7-'Business Case'!$B$8*(('Business Case'!G11*$C762*'Business Case'!G12*$B762)-('Business Case'!F11*$C762*'Business Case'!F12*$B762))-'Business Case'!G15*$F762+'Business Case'!$B$8*('Business Case'!G11*$C762*'Business Case'!G12*$B762)</f>
        <v>1011540589.92953</v>
      </c>
      <c r="N762" s="53" t="n">
        <f aca="false">IF(COUNT('Business Case'!B11:G11)=0,"",H762+NPV(G762,I762:M762))</f>
        <v>19806815.3907306</v>
      </c>
      <c r="P762" s="54" t="n">
        <f aca="true">RAND()</f>
        <v>0.936198906747447</v>
      </c>
      <c r="Q762" s="54" t="n">
        <f aca="true">RAND()</f>
        <v>0.423648866132901</v>
      </c>
      <c r="R762" s="54" t="n">
        <f aca="true">RAND()</f>
        <v>0.605511970167803</v>
      </c>
      <c r="S762" s="54" t="n">
        <f aca="true">RAND()</f>
        <v>0.226244435104842</v>
      </c>
      <c r="T762" s="54" t="n">
        <f aca="true">RAND()</f>
        <v>0.00620926579326332</v>
      </c>
      <c r="U762" s="54" t="n">
        <f aca="true">RAND()</f>
        <v>0.784112696111215</v>
      </c>
    </row>
    <row r="763" customFormat="false" ht="15" hidden="false" customHeight="false" outlineLevel="0" collapsed="false">
      <c r="A763" s="50" t="n">
        <v>683</v>
      </c>
      <c r="B763" s="51" t="n">
        <f aca="false">1+IF($G$6=$E$6,$F$6,IF(P763&lt;($F$6-$E$6)/($G$6-$E$6),$E$6+SQRT(P763*($G$6-$E$6)*($F$6-$E$6)),$G$6-SQRT((1-P763)*($G$6-$E$6)*($G$6-$F$6))))</f>
        <v>0.98413972076723</v>
      </c>
      <c r="C763" s="51" t="n">
        <f aca="false">1+IF($G$7=$E$7,$F$7,IF(Q763&lt;($F$7-$E$7)/($G$7-$E$7),$E$7+SQRT(Q763*($G$7-$E$7)*($F$7-$E$7)),$G$7-SQRT((1-Q763)*($G$7-$E$7)*($G$7-$F$7))))</f>
        <v>0.869453515157279</v>
      </c>
      <c r="D763" s="51" t="n">
        <f aca="false">1+IF($G$8=$E$8,$F$8,IF(R763&lt;($F$8-$E$8)/($G$8-$E$8),$E$8+SQRT(R763*($G$8-$E$8)*($F$8-$E$8)),$G$8-SQRT((1-R763)*($G$8-$E$8)*($G$8-$F$8))))</f>
        <v>1.0089407985966</v>
      </c>
      <c r="E763" s="51" t="n">
        <f aca="false">1+IF($G$9=$E$9,$F$9,IF(S763&lt;($F$9-$E$9)/($G$9-$E$9),$E$9+SQRT(S763*($G$9-$E$9)*($F$9-$E$9)),$G$9-SQRT((1-S763)*($G$9-$E$9)*($G$9-$F$9))))</f>
        <v>1.07104313279168</v>
      </c>
      <c r="F763" s="51" t="n">
        <f aca="false">1+IF($G$10=$E$10,$F$10,IF(T763&lt;($F$10-$E$10)/($G$10-$E$10),$E$10+SQRT(T763*($G$10-$E$10)*($F$10-$E$10)),$G$10-SQRT((1-T763)*($G$10-$E$10)*($G$10-$F$10))))</f>
        <v>1.05082294088511</v>
      </c>
      <c r="G763" s="52" t="n">
        <f aca="false">IF($G$11=$E$11,$F$11,IF(U763&lt;($F$11-$E$11)/($G$11-$E$11),$E$11+SQRT(U763*($G$11-$E$11)*($F$11-$E$11)),$G$11-SQRT((1-U763)*($G$11-$E$11)*($G$11-$F$11))))</f>
        <v>0.101577647305454</v>
      </c>
      <c r="H763" s="53" t="n">
        <f aca="false">(('Business Case'!B11*$C763*'Business Case'!B12*$B763)-'Business Case'!B11*$C763*'Business Case'!B13*$D763-'Business Case'!B14*$E763)-MAX(0,(('Business Case'!B11*$C763*'Business Case'!B12*$B763)-'Business Case'!B11*$C763*'Business Case'!B13*$D763-'Business Case'!B14*$E763))*'Business Case'!$B$7-'Business Case'!$B$8*('Business Case'!B11*$C763*'Business Case'!B12*$B763)-'Business Case'!B15*$F763</f>
        <v>-2101645881.77022</v>
      </c>
      <c r="I763" s="53" t="n">
        <f aca="false">(('Business Case'!C11*$C763*'Business Case'!C12*$B763)-'Business Case'!C11*$C763*'Business Case'!C13*$D763-'Business Case'!C14*$E763)-MAX(0,(('Business Case'!C11*$C763*'Business Case'!C12*$B763)-'Business Case'!C11*$C763*'Business Case'!C13*$D763-'Business Case'!C14*$E763))*'Business Case'!$B$7-'Business Case'!$B$8*(('Business Case'!C11*$C763*'Business Case'!C12*$B763)-('Business Case'!B11*$C763*'Business Case'!B12*$B763))-'Business Case'!C15*$F763</f>
        <v>-49962134.5698997</v>
      </c>
      <c r="J763" s="53" t="n">
        <f aca="false">(('Business Case'!D11*$C763*'Business Case'!D12*$B763)-'Business Case'!D11*$C763*'Business Case'!D13*$D763-'Business Case'!D14*$E763)-MAX(0,(('Business Case'!D11*$C763*'Business Case'!D12*$B763)-'Business Case'!D11*$C763*'Business Case'!D13*$D763-'Business Case'!D14*$E763))*'Business Case'!$B$7-'Business Case'!$B$8*(('Business Case'!D11*$C763*'Business Case'!D12*$B763)-('Business Case'!C11*$C763*'Business Case'!C12*$B763))-'Business Case'!D15*$F763</f>
        <v>201817966.693951</v>
      </c>
      <c r="K763" s="53" t="n">
        <f aca="false">(('Business Case'!E11*$C763*'Business Case'!E12*$B763)-'Business Case'!E11*$C763*'Business Case'!E13*$D763-'Business Case'!E14*$E763)-MAX(0,(('Business Case'!E11*$C763*'Business Case'!E12*$B763)-'Business Case'!E11*$C763*'Business Case'!E13*$D763-'Business Case'!E14*$E763))*'Business Case'!$B$7-'Business Case'!$B$8*(('Business Case'!E11*$C763*'Business Case'!E12*$B763)-('Business Case'!D11*$C763*'Business Case'!D12*$B763))-'Business Case'!E15*$F763</f>
        <v>506139215.002057</v>
      </c>
      <c r="L763" s="53" t="n">
        <f aca="false">(('Business Case'!F11*$C763*'Business Case'!F12*$B763)-'Business Case'!F11*$C763*'Business Case'!F13*$D763-'Business Case'!F14*$E763)-MAX(0,(('Business Case'!F11*$C763*'Business Case'!F12*$B763)-'Business Case'!F11*$C763*'Business Case'!F13*$D763-'Business Case'!F14*$E763))*'Business Case'!$B$7-'Business Case'!$B$8*(('Business Case'!F11*$C763*'Business Case'!F12*$B763)-('Business Case'!E11*$C763*'Business Case'!E12*$B763))-'Business Case'!F15*$F763</f>
        <v>619637654.264848</v>
      </c>
      <c r="M763" s="53" t="n">
        <f aca="false">(('Business Case'!G11*$C763*'Business Case'!G12*$B763)-'Business Case'!G11*$C763*'Business Case'!G13*$D763-'Business Case'!G14*$E763)-MAX(0,(('Business Case'!G11*$C763*'Business Case'!G12*$B763)-'Business Case'!G11*$C763*'Business Case'!G13*$D763-'Business Case'!G14*$E763))*'Business Case'!$B$7-'Business Case'!$B$8*(('Business Case'!G11*$C763*'Business Case'!G12*$B763)-('Business Case'!F11*$C763*'Business Case'!F12*$B763))-'Business Case'!G15*$F763+'Business Case'!$B$8*('Business Case'!G11*$C763*'Business Case'!G12*$B763)</f>
        <v>782282217.893143</v>
      </c>
      <c r="N763" s="53" t="n">
        <f aca="false">IF(COUNT('Business Case'!B11:G11)=0,"",H763+NPV(G763,I763:M763))</f>
        <v>-698979328.222639</v>
      </c>
      <c r="P763" s="54" t="n">
        <f aca="true">RAND()</f>
        <v>0.428531643760226</v>
      </c>
      <c r="Q763" s="54" t="n">
        <f aca="true">RAND()</f>
        <v>0.0689112966814627</v>
      </c>
      <c r="R763" s="54" t="n">
        <f aca="true">RAND()</f>
        <v>0.514479797683685</v>
      </c>
      <c r="S763" s="54" t="n">
        <f aca="true">RAND()</f>
        <v>0.944099989431982</v>
      </c>
      <c r="T763" s="54" t="n">
        <f aca="true">RAND()</f>
        <v>0.554924100676661</v>
      </c>
      <c r="U763" s="54" t="n">
        <f aca="true">RAND()</f>
        <v>0.434361535329576</v>
      </c>
    </row>
    <row r="764" customFormat="false" ht="15" hidden="false" customHeight="false" outlineLevel="0" collapsed="false">
      <c r="A764" s="50" t="n">
        <v>684</v>
      </c>
      <c r="B764" s="51" t="n">
        <f aca="false">1+IF($G$6=$E$6,$F$6,IF(P764&lt;($F$6-$E$6)/($G$6-$E$6),$E$6+SQRT(P764*($G$6-$E$6)*($F$6-$E$6)),$G$6-SQRT((1-P764)*($G$6-$E$6)*($G$6-$F$6))))</f>
        <v>0.982547938490272</v>
      </c>
      <c r="C764" s="51" t="n">
        <f aca="false">1+IF($G$7=$E$7,$F$7,IF(Q764&lt;($F$7-$E$7)/($G$7-$E$7),$E$7+SQRT(Q764*($G$7-$E$7)*($F$7-$E$7)),$G$7-SQRT((1-Q764)*($G$7-$E$7)*($G$7-$F$7))))</f>
        <v>0.976608768323385</v>
      </c>
      <c r="D764" s="51" t="n">
        <f aca="false">1+IF($G$8=$E$8,$F$8,IF(R764&lt;($F$8-$E$8)/($G$8-$E$8),$E$8+SQRT(R764*($G$8-$E$8)*($F$8-$E$8)),$G$8-SQRT((1-R764)*($G$8-$E$8)*($G$8-$F$8))))</f>
        <v>0.976735352711452</v>
      </c>
      <c r="E764" s="51" t="n">
        <f aca="false">1+IF($G$9=$E$9,$F$9,IF(S764&lt;($F$9-$E$9)/($G$9-$E$9),$E$9+SQRT(S764*($G$9-$E$9)*($F$9-$E$9)),$G$9-SQRT((1-S764)*($G$9-$E$9)*($G$9-$F$9))))</f>
        <v>1.00207857824531</v>
      </c>
      <c r="F764" s="51" t="n">
        <f aca="false">1+IF($G$10=$E$10,$F$10,IF(T764&lt;($F$10-$E$10)/($G$10-$E$10),$E$10+SQRT(T764*($G$10-$E$10)*($F$10-$E$10)),$G$10-SQRT((1-T764)*($G$10-$E$10)*($G$10-$F$10))))</f>
        <v>0.978052551975339</v>
      </c>
      <c r="G764" s="52" t="n">
        <f aca="false">IF($G$11=$E$11,$F$11,IF(U764&lt;($F$11-$E$11)/($G$11-$E$11),$E$11+SQRT(U764*($G$11-$E$11)*($F$11-$E$11)),$G$11-SQRT((1-U764)*($G$11-$E$11)*($G$11-$F$11))))</f>
        <v>0.0995140951846332</v>
      </c>
      <c r="H764" s="53" t="n">
        <f aca="false">(('Business Case'!B11*$C764*'Business Case'!B12*$B764)-'Business Case'!B11*$C764*'Business Case'!B13*$D764-'Business Case'!B14*$E764)-MAX(0,(('Business Case'!B11*$C764*'Business Case'!B12*$B764)-'Business Case'!B11*$C764*'Business Case'!B13*$D764-'Business Case'!B14*$E764))*'Business Case'!$B$7-'Business Case'!$B$8*('Business Case'!B11*$C764*'Business Case'!B12*$B764)-'Business Case'!B15*$F764</f>
        <v>-1956105103.95068</v>
      </c>
      <c r="I764" s="53" t="n">
        <f aca="false">(('Business Case'!C11*$C764*'Business Case'!C12*$B764)-'Business Case'!C11*$C764*'Business Case'!C13*$D764-'Business Case'!C14*$E764)-MAX(0,(('Business Case'!C11*$C764*'Business Case'!C12*$B764)-'Business Case'!C11*$C764*'Business Case'!C13*$D764-'Business Case'!C14*$E764))*'Business Case'!$B$7-'Business Case'!$B$8*(('Business Case'!C11*$C764*'Business Case'!C12*$B764)-('Business Case'!B11*$C764*'Business Case'!B12*$B764))-'Business Case'!C15*$F764</f>
        <v>7593589.35802285</v>
      </c>
      <c r="J764" s="53" t="n">
        <f aca="false">(('Business Case'!D11*$C764*'Business Case'!D12*$B764)-'Business Case'!D11*$C764*'Business Case'!D13*$D764-'Business Case'!D14*$E764)-MAX(0,(('Business Case'!D11*$C764*'Business Case'!D12*$B764)-'Business Case'!D11*$C764*'Business Case'!D13*$D764-'Business Case'!D14*$E764))*'Business Case'!$B$7-'Business Case'!$B$8*(('Business Case'!D11*$C764*'Business Case'!D12*$B764)-('Business Case'!C11*$C764*'Business Case'!C12*$B764))-'Business Case'!D15*$F764</f>
        <v>305231853.816377</v>
      </c>
      <c r="K764" s="53" t="n">
        <f aca="false">(('Business Case'!E11*$C764*'Business Case'!E12*$B764)-'Business Case'!E11*$C764*'Business Case'!E13*$D764-'Business Case'!E14*$E764)-MAX(0,(('Business Case'!E11*$C764*'Business Case'!E12*$B764)-'Business Case'!E11*$C764*'Business Case'!E13*$D764-'Business Case'!E14*$E764))*'Business Case'!$B$7-'Business Case'!$B$8*(('Business Case'!E11*$C764*'Business Case'!E12*$B764)-('Business Case'!D11*$C764*'Business Case'!D12*$B764))-'Business Case'!E15*$F764</f>
        <v>651772745.873499</v>
      </c>
      <c r="L764" s="53" t="n">
        <f aca="false">(('Business Case'!F11*$C764*'Business Case'!F12*$B764)-'Business Case'!F11*$C764*'Business Case'!F13*$D764-'Business Case'!F14*$E764)-MAX(0,(('Business Case'!F11*$C764*'Business Case'!F12*$B764)-'Business Case'!F11*$C764*'Business Case'!F13*$D764-'Business Case'!F14*$E764))*'Business Case'!$B$7-'Business Case'!$B$8*(('Business Case'!F11*$C764*'Business Case'!F12*$B764)-('Business Case'!E11*$C764*'Business Case'!E12*$B764))-'Business Case'!F15*$F764</f>
        <v>784148064.743826</v>
      </c>
      <c r="M764" s="53" t="n">
        <f aca="false">(('Business Case'!G11*$C764*'Business Case'!G12*$B764)-'Business Case'!G11*$C764*'Business Case'!G13*$D764-'Business Case'!G14*$E764)-MAX(0,(('Business Case'!G11*$C764*'Business Case'!G12*$B764)-'Business Case'!G11*$C764*'Business Case'!G13*$D764-'Business Case'!G14*$E764))*'Business Case'!$B$7-'Business Case'!$B$8*(('Business Case'!G11*$C764*'Business Case'!G12*$B764)-('Business Case'!F11*$C764*'Business Case'!F12*$B764))-'Business Case'!G15*$F764+'Business Case'!$B$8*('Business Case'!G11*$C764*'Business Case'!G12*$B764)</f>
        <v>966542167.023645</v>
      </c>
      <c r="N764" s="53" t="n">
        <f aca="false">IF(COUNT('Business Case'!B11:G11)=0,"",H764+NPV(G764,I764:M764))</f>
        <v>-68377056.2988172</v>
      </c>
      <c r="P764" s="54" t="n">
        <f aca="true">RAND()</f>
        <v>0.407525480144042</v>
      </c>
      <c r="Q764" s="54" t="n">
        <f aca="true">RAND()</f>
        <v>0.445580814981471</v>
      </c>
      <c r="R764" s="54" t="n">
        <f aca="true">RAND()</f>
        <v>0.109966013016269</v>
      </c>
      <c r="S764" s="54" t="n">
        <f aca="true">RAND()</f>
        <v>0.360759677436047</v>
      </c>
      <c r="T764" s="54" t="n">
        <f aca="true">RAND()</f>
        <v>0.0629556537863283</v>
      </c>
      <c r="U764" s="54" t="n">
        <f aca="true">RAND()</f>
        <v>0.301726690607535</v>
      </c>
    </row>
    <row r="765" customFormat="false" ht="15" hidden="false" customHeight="false" outlineLevel="0" collapsed="false">
      <c r="A765" s="50" t="n">
        <v>685</v>
      </c>
      <c r="B765" s="51" t="n">
        <f aca="false">1+IF($G$6=$E$6,$F$6,IF(P765&lt;($F$6-$E$6)/($G$6-$E$6),$E$6+SQRT(P765*($G$6-$E$6)*($F$6-$E$6)),$G$6-SQRT((1-P765)*($G$6-$E$6)*($G$6-$F$6))))</f>
        <v>0.989733014442377</v>
      </c>
      <c r="C765" s="51" t="n">
        <f aca="false">1+IF($G$7=$E$7,$F$7,IF(Q765&lt;($F$7-$E$7)/($G$7-$E$7),$E$7+SQRT(Q765*($G$7-$E$7)*($F$7-$E$7)),$G$7-SQRT((1-Q765)*($G$7-$E$7)*($G$7-$F$7))))</f>
        <v>0.906699426408484</v>
      </c>
      <c r="D765" s="51" t="n">
        <f aca="false">1+IF($G$8=$E$8,$F$8,IF(R765&lt;($F$8-$E$8)/($G$8-$E$8),$E$8+SQRT(R765*($G$8-$E$8)*($F$8-$E$8)),$G$8-SQRT((1-R765)*($G$8-$E$8)*($G$8-$F$8))))</f>
        <v>0.996526357783167</v>
      </c>
      <c r="E765" s="51" t="n">
        <f aca="false">1+IF($G$9=$E$9,$F$9,IF(S765&lt;($F$9-$E$9)/($G$9-$E$9),$E$9+SQRT(S765*($G$9-$E$9)*($F$9-$E$9)),$G$9-SQRT((1-S765)*($G$9-$E$9)*($G$9-$F$9))))</f>
        <v>0.995096029232895</v>
      </c>
      <c r="F765" s="51" t="n">
        <f aca="false">1+IF($G$10=$E$10,$F$10,IF(T765&lt;($F$10-$E$10)/($G$10-$E$10),$E$10+SQRT(T765*($G$10-$E$10)*($F$10-$E$10)),$G$10-SQRT((1-T765)*($G$10-$E$10)*($G$10-$F$10))))</f>
        <v>1.08365471773252</v>
      </c>
      <c r="G765" s="52" t="n">
        <f aca="false">IF($G$11=$E$11,$F$11,IF(U765&lt;($F$11-$E$11)/($G$11-$E$11),$E$11+SQRT(U765*($G$11-$E$11)*($F$11-$E$11)),$G$11-SQRT((1-U765)*($G$11-$E$11)*($G$11-$F$11))))</f>
        <v>0.105720350033875</v>
      </c>
      <c r="H765" s="53" t="n">
        <f aca="false">(('Business Case'!B11*$C765*'Business Case'!B12*$B765)-'Business Case'!B11*$C765*'Business Case'!B13*$D765-'Business Case'!B14*$E765)-MAX(0,(('Business Case'!B11*$C765*'Business Case'!B12*$B765)-'Business Case'!B11*$C765*'Business Case'!B13*$D765-'Business Case'!B14*$E765))*'Business Case'!$B$7-'Business Case'!$B$8*('Business Case'!B11*$C765*'Business Case'!B12*$B765)-'Business Case'!B15*$F765</f>
        <v>-2167309435.46503</v>
      </c>
      <c r="I765" s="53" t="n">
        <f aca="false">(('Business Case'!C11*$C765*'Business Case'!C12*$B765)-'Business Case'!C11*$C765*'Business Case'!C13*$D765-'Business Case'!C14*$E765)-MAX(0,(('Business Case'!C11*$C765*'Business Case'!C12*$B765)-'Business Case'!C11*$C765*'Business Case'!C13*$D765-'Business Case'!C14*$E765))*'Business Case'!$B$7-'Business Case'!$B$8*(('Business Case'!C11*$C765*'Business Case'!C12*$B765)-('Business Case'!B11*$C765*'Business Case'!B12*$B765))-'Business Case'!C15*$F765</f>
        <v>-23906782.173101</v>
      </c>
      <c r="J765" s="53" t="n">
        <f aca="false">(('Business Case'!D11*$C765*'Business Case'!D12*$B765)-'Business Case'!D11*$C765*'Business Case'!D13*$D765-'Business Case'!D14*$E765)-MAX(0,(('Business Case'!D11*$C765*'Business Case'!D12*$B765)-'Business Case'!D11*$C765*'Business Case'!D13*$D765-'Business Case'!D14*$E765))*'Business Case'!$B$7-'Business Case'!$B$8*(('Business Case'!D11*$C765*'Business Case'!D12*$B765)-('Business Case'!C11*$C765*'Business Case'!C12*$B765))-'Business Case'!D15*$F765</f>
        <v>248575278.864535</v>
      </c>
      <c r="K765" s="53" t="n">
        <f aca="false">(('Business Case'!E11*$C765*'Business Case'!E12*$B765)-'Business Case'!E11*$C765*'Business Case'!E13*$D765-'Business Case'!E14*$E765)-MAX(0,(('Business Case'!E11*$C765*'Business Case'!E12*$B765)-'Business Case'!E11*$C765*'Business Case'!E13*$D765-'Business Case'!E14*$E765))*'Business Case'!$B$7-'Business Case'!$B$8*(('Business Case'!E11*$C765*'Business Case'!E12*$B765)-('Business Case'!D11*$C765*'Business Case'!D12*$B765))-'Business Case'!E15*$F765</f>
        <v>575240075.788797</v>
      </c>
      <c r="L765" s="53" t="n">
        <f aca="false">(('Business Case'!F11*$C765*'Business Case'!F12*$B765)-'Business Case'!F11*$C765*'Business Case'!F13*$D765-'Business Case'!F14*$E765)-MAX(0,(('Business Case'!F11*$C765*'Business Case'!F12*$B765)-'Business Case'!F11*$C765*'Business Case'!F13*$D765-'Business Case'!F14*$E765))*'Business Case'!$B$7-'Business Case'!$B$8*(('Business Case'!F11*$C765*'Business Case'!F12*$B765)-('Business Case'!E11*$C765*'Business Case'!E12*$B765))-'Business Case'!F15*$F765</f>
        <v>697081240.188389</v>
      </c>
      <c r="M765" s="53" t="n">
        <f aca="false">(('Business Case'!G11*$C765*'Business Case'!G12*$B765)-'Business Case'!G11*$C765*'Business Case'!G13*$D765-'Business Case'!G14*$E765)-MAX(0,(('Business Case'!G11*$C765*'Business Case'!G12*$B765)-'Business Case'!G11*$C765*'Business Case'!G13*$D765-'Business Case'!G14*$E765))*'Business Case'!$B$7-'Business Case'!$B$8*(('Business Case'!G11*$C765*'Business Case'!G12*$B765)-('Business Case'!F11*$C765*'Business Case'!F12*$B765))-'Business Case'!G15*$F765+'Business Case'!$B$8*('Business Case'!G11*$C765*'Business Case'!G12*$B765)</f>
        <v>867657199.150472</v>
      </c>
      <c r="N765" s="53" t="n">
        <f aca="false">IF(COUNT('Business Case'!B11:G11)=0,"",H765+NPV(G765,I765:M765))</f>
        <v>-568809050.683818</v>
      </c>
      <c r="P765" s="54" t="n">
        <f aca="true">RAND()</f>
        <v>0.506530552418822</v>
      </c>
      <c r="Q765" s="54" t="n">
        <f aca="true">RAND()</f>
        <v>0.162639537084277</v>
      </c>
      <c r="R765" s="54" t="n">
        <f aca="true">RAND()</f>
        <v>0.333031072087266</v>
      </c>
      <c r="S765" s="54" t="n">
        <f aca="true">RAND()</f>
        <v>0.271153580343212</v>
      </c>
      <c r="T765" s="54" t="n">
        <f aca="true">RAND()</f>
        <v>0.729275505881986</v>
      </c>
      <c r="U765" s="54" t="n">
        <f aca="true">RAND()</f>
        <v>0.660152661408248</v>
      </c>
    </row>
    <row r="766" customFormat="false" ht="15" hidden="false" customHeight="false" outlineLevel="0" collapsed="false">
      <c r="A766" s="50" t="n">
        <v>686</v>
      </c>
      <c r="B766" s="51" t="n">
        <f aca="false">1+IF($G$6=$E$6,$F$6,IF(P766&lt;($F$6-$E$6)/($G$6-$E$6),$E$6+SQRT(P766*($G$6-$E$6)*($F$6-$E$6)),$G$6-SQRT((1-P766)*($G$6-$E$6)*($G$6-$F$6))))</f>
        <v>0.968144164569999</v>
      </c>
      <c r="C766" s="51" t="n">
        <f aca="false">1+IF($G$7=$E$7,$F$7,IF(Q766&lt;($F$7-$E$7)/($G$7-$E$7),$E$7+SQRT(Q766*($G$7-$E$7)*($F$7-$E$7)),$G$7-SQRT((1-Q766)*($G$7-$E$7)*($G$7-$F$7))))</f>
        <v>0.988636912382395</v>
      </c>
      <c r="D766" s="51" t="n">
        <f aca="false">1+IF($G$8=$E$8,$F$8,IF(R766&lt;($F$8-$E$8)/($G$8-$E$8),$E$8+SQRT(R766*($G$8-$E$8)*($F$8-$E$8)),$G$8-SQRT((1-R766)*($G$8-$E$8)*($G$8-$F$8))))</f>
        <v>1.03903951323146</v>
      </c>
      <c r="E766" s="51" t="n">
        <f aca="false">1+IF($G$9=$E$9,$F$9,IF(S766&lt;($F$9-$E$9)/($G$9-$E$9),$E$9+SQRT(S766*($G$9-$E$9)*($F$9-$E$9)),$G$9-SQRT((1-S766)*($G$9-$E$9)*($G$9-$F$9))))</f>
        <v>1.0630787471028</v>
      </c>
      <c r="F766" s="51" t="n">
        <f aca="false">1+IF($G$10=$E$10,$F$10,IF(T766&lt;($F$10-$E$10)/($G$10-$E$10),$E$10+SQRT(T766*($G$10-$E$10)*($F$10-$E$10)),$G$10-SQRT((1-T766)*($G$10-$E$10)*($G$10-$F$10))))</f>
        <v>1.02191162674439</v>
      </c>
      <c r="G766" s="52" t="n">
        <f aca="false">IF($G$11=$E$11,$F$11,IF(U766&lt;($F$11-$E$11)/($G$11-$E$11),$E$11+SQRT(U766*($G$11-$E$11)*($F$11-$E$11)),$G$11-SQRT((1-U766)*($G$11-$E$11)*($G$11-$F$11))))</f>
        <v>0.0961939771566557</v>
      </c>
      <c r="H766" s="53" t="n">
        <f aca="false">(('Business Case'!B11*$C766*'Business Case'!B12*$B766)-'Business Case'!B11*$C766*'Business Case'!B13*$D766-'Business Case'!B14*$E766)-MAX(0,(('Business Case'!B11*$C766*'Business Case'!B12*$B766)-'Business Case'!B11*$C766*'Business Case'!B13*$D766-'Business Case'!B14*$E766))*'Business Case'!$B$7-'Business Case'!$B$8*('Business Case'!B11*$C766*'Business Case'!B12*$B766)-'Business Case'!B15*$F766</f>
        <v>-2043823253.48879</v>
      </c>
      <c r="I766" s="53" t="n">
        <f aca="false">(('Business Case'!C11*$C766*'Business Case'!C12*$B766)-'Business Case'!C11*$C766*'Business Case'!C13*$D766-'Business Case'!C14*$E766)-MAX(0,(('Business Case'!C11*$C766*'Business Case'!C12*$B766)-'Business Case'!C11*$C766*'Business Case'!C13*$D766-'Business Case'!C14*$E766))*'Business Case'!$B$7-'Business Case'!$B$8*(('Business Case'!C11*$C766*'Business Case'!C12*$B766)-('Business Case'!B11*$C766*'Business Case'!B12*$B766))-'Business Case'!C15*$F766</f>
        <v>-44871201.4141144</v>
      </c>
      <c r="J766" s="53" t="n">
        <f aca="false">(('Business Case'!D11*$C766*'Business Case'!D12*$B766)-'Business Case'!D11*$C766*'Business Case'!D13*$D766-'Business Case'!D14*$E766)-MAX(0,(('Business Case'!D11*$C766*'Business Case'!D12*$B766)-'Business Case'!D11*$C766*'Business Case'!D13*$D766-'Business Case'!D14*$E766))*'Business Case'!$B$7-'Business Case'!$B$8*(('Business Case'!D11*$C766*'Business Case'!D12*$B766)-('Business Case'!C11*$C766*'Business Case'!C12*$B766))-'Business Case'!D15*$F766</f>
        <v>213236853.790292</v>
      </c>
      <c r="K766" s="53" t="n">
        <f aca="false">(('Business Case'!E11*$C766*'Business Case'!E12*$B766)-'Business Case'!E11*$C766*'Business Case'!E13*$D766-'Business Case'!E14*$E766)-MAX(0,(('Business Case'!E11*$C766*'Business Case'!E12*$B766)-'Business Case'!E11*$C766*'Business Case'!E13*$D766-'Business Case'!E14*$E766))*'Business Case'!$B$7-'Business Case'!$B$8*(('Business Case'!E11*$C766*'Business Case'!E12*$B766)-('Business Case'!D11*$C766*'Business Case'!D12*$B766))-'Business Case'!E15*$F766</f>
        <v>522440490.331918</v>
      </c>
      <c r="L766" s="53" t="n">
        <f aca="false">(('Business Case'!F11*$C766*'Business Case'!F12*$B766)-'Business Case'!F11*$C766*'Business Case'!F13*$D766-'Business Case'!F14*$E766)-MAX(0,(('Business Case'!F11*$C766*'Business Case'!F12*$B766)-'Business Case'!F11*$C766*'Business Case'!F13*$D766-'Business Case'!F14*$E766))*'Business Case'!$B$7-'Business Case'!$B$8*(('Business Case'!F11*$C766*'Business Case'!F12*$B766)-('Business Case'!E11*$C766*'Business Case'!E12*$B766))-'Business Case'!F15*$F766</f>
        <v>641555372.804095</v>
      </c>
      <c r="M766" s="53" t="n">
        <f aca="false">(('Business Case'!G11*$C766*'Business Case'!G12*$B766)-'Business Case'!G11*$C766*'Business Case'!G13*$D766-'Business Case'!G14*$E766)-MAX(0,(('Business Case'!G11*$C766*'Business Case'!G12*$B766)-'Business Case'!G11*$C766*'Business Case'!G13*$D766-'Business Case'!G14*$E766))*'Business Case'!$B$7-'Business Case'!$B$8*(('Business Case'!G11*$C766*'Business Case'!G12*$B766)-('Business Case'!F11*$C766*'Business Case'!F12*$B766))-'Business Case'!G15*$F766+'Business Case'!$B$8*('Business Case'!G11*$C766*'Business Case'!G12*$B766)</f>
        <v>823489125.192991</v>
      </c>
      <c r="N766" s="53" t="n">
        <f aca="false">IF(COUNT('Business Case'!B11:G11)=0,"",H766+NPV(G766,I766:M766))</f>
        <v>-546113403.79475</v>
      </c>
      <c r="P766" s="54" t="n">
        <f aca="true">RAND()</f>
        <v>0.241443810639907</v>
      </c>
      <c r="Q766" s="54" t="n">
        <f aca="true">RAND()</f>
        <v>0.50834121018805</v>
      </c>
      <c r="R766" s="54" t="n">
        <f aca="true">RAND()</f>
        <v>0.838676781123447</v>
      </c>
      <c r="S766" s="54" t="n">
        <f aca="true">RAND()</f>
        <v>0.909121405633421</v>
      </c>
      <c r="T766" s="54" t="n">
        <f aca="true">RAND()</f>
        <v>0.365690626223442</v>
      </c>
      <c r="U766" s="54" t="n">
        <f aca="true">RAND()</f>
        <v>0.127884510057242</v>
      </c>
    </row>
    <row r="767" customFormat="false" ht="15" hidden="false" customHeight="false" outlineLevel="0" collapsed="false">
      <c r="A767" s="50" t="n">
        <v>687</v>
      </c>
      <c r="B767" s="51" t="n">
        <f aca="false">1+IF($G$6=$E$6,$F$6,IF(P767&lt;($F$6-$E$6)/($G$6-$E$6),$E$6+SQRT(P767*($G$6-$E$6)*($F$6-$E$6)),$G$6-SQRT((1-P767)*($G$6-$E$6)*($G$6-$F$6))))</f>
        <v>0.990026979027344</v>
      </c>
      <c r="C767" s="51" t="n">
        <f aca="false">1+IF($G$7=$E$7,$F$7,IF(Q767&lt;($F$7-$E$7)/($G$7-$E$7),$E$7+SQRT(Q767*($G$7-$E$7)*($F$7-$E$7)),$G$7-SQRT((1-Q767)*($G$7-$E$7)*($G$7-$F$7))))</f>
        <v>0.986986439528653</v>
      </c>
      <c r="D767" s="51" t="n">
        <f aca="false">1+IF($G$8=$E$8,$F$8,IF(R767&lt;($F$8-$E$8)/($G$8-$E$8),$E$8+SQRT(R767*($G$8-$E$8)*($F$8-$E$8)),$G$8-SQRT((1-R767)*($G$8-$E$8)*($G$8-$F$8))))</f>
        <v>1.00259494042621</v>
      </c>
      <c r="E767" s="51" t="n">
        <f aca="false">1+IF($G$9=$E$9,$F$9,IF(S767&lt;($F$9-$E$9)/($G$9-$E$9),$E$9+SQRT(S767*($G$9-$E$9)*($F$9-$E$9)),$G$9-SQRT((1-S767)*($G$9-$E$9)*($G$9-$F$9))))</f>
        <v>1.03527037559399</v>
      </c>
      <c r="F767" s="51" t="n">
        <f aca="false">1+IF($G$10=$E$10,$F$10,IF(T767&lt;($F$10-$E$10)/($G$10-$E$10),$E$10+SQRT(T767*($G$10-$E$10)*($F$10-$E$10)),$G$10-SQRT((1-T767)*($G$10-$E$10)*($G$10-$F$10))))</f>
        <v>1.11161972189136</v>
      </c>
      <c r="G767" s="52" t="n">
        <f aca="false">IF($G$11=$E$11,$F$11,IF(U767&lt;($F$11-$E$11)/($G$11-$E$11),$E$11+SQRT(U767*($G$11-$E$11)*($F$11-$E$11)),$G$11-SQRT((1-U767)*($G$11-$E$11)*($G$11-$F$11))))</f>
        <v>0.100354413043373</v>
      </c>
      <c r="H767" s="53" t="n">
        <f aca="false">(('Business Case'!B11*$C767*'Business Case'!B12*$B767)-'Business Case'!B11*$C767*'Business Case'!B13*$D767-'Business Case'!B14*$E767)-MAX(0,(('Business Case'!B11*$C767*'Business Case'!B12*$B767)-'Business Case'!B11*$C767*'Business Case'!B13*$D767-'Business Case'!B14*$E767))*'Business Case'!$B$7-'Business Case'!$B$8*('Business Case'!B11*$C767*'Business Case'!B12*$B767)-'Business Case'!B15*$F767</f>
        <v>-2223239443.78271</v>
      </c>
      <c r="I767" s="53" t="n">
        <f aca="false">(('Business Case'!C11*$C767*'Business Case'!C12*$B767)-'Business Case'!C11*$C767*'Business Case'!C13*$D767-'Business Case'!C14*$E767)-MAX(0,(('Business Case'!C11*$C767*'Business Case'!C12*$B767)-'Business Case'!C11*$C767*'Business Case'!C13*$D767-'Business Case'!C14*$E767))*'Business Case'!$B$7-'Business Case'!$B$8*(('Business Case'!C11*$C767*'Business Case'!C12*$B767)-('Business Case'!B11*$C767*'Business Case'!B12*$B767))-'Business Case'!C15*$F767</f>
        <v>-15251098.4107085</v>
      </c>
      <c r="J767" s="53" t="n">
        <f aca="false">(('Business Case'!D11*$C767*'Business Case'!D12*$B767)-'Business Case'!D11*$C767*'Business Case'!D13*$D767-'Business Case'!D14*$E767)-MAX(0,(('Business Case'!D11*$C767*'Business Case'!D12*$B767)-'Business Case'!D11*$C767*'Business Case'!D13*$D767-'Business Case'!D14*$E767))*'Business Case'!$B$7-'Business Case'!$B$8*(('Business Case'!D11*$C767*'Business Case'!D12*$B767)-('Business Case'!C11*$C767*'Business Case'!C12*$B767))-'Business Case'!D15*$F767</f>
        <v>278530326.424204</v>
      </c>
      <c r="K767" s="53" t="n">
        <f aca="false">(('Business Case'!E11*$C767*'Business Case'!E12*$B767)-'Business Case'!E11*$C767*'Business Case'!E13*$D767-'Business Case'!E14*$E767)-MAX(0,(('Business Case'!E11*$C767*'Business Case'!E12*$B767)-'Business Case'!E11*$C767*'Business Case'!E13*$D767-'Business Case'!E14*$E767))*'Business Case'!$B$7-'Business Case'!$B$8*(('Business Case'!E11*$C767*'Business Case'!E12*$B767)-('Business Case'!D11*$C767*'Business Case'!D12*$B767))-'Business Case'!E15*$F767</f>
        <v>627892737.353684</v>
      </c>
      <c r="L767" s="53" t="n">
        <f aca="false">(('Business Case'!F11*$C767*'Business Case'!F12*$B767)-'Business Case'!F11*$C767*'Business Case'!F13*$D767-'Business Case'!F14*$E767)-MAX(0,(('Business Case'!F11*$C767*'Business Case'!F12*$B767)-'Business Case'!F11*$C767*'Business Case'!F13*$D767-'Business Case'!F14*$E767))*'Business Case'!$B$7-'Business Case'!$B$8*(('Business Case'!F11*$C767*'Business Case'!F12*$B767)-('Business Case'!E11*$C767*'Business Case'!E12*$B767))-'Business Case'!F15*$F767</f>
        <v>759589948.063334</v>
      </c>
      <c r="M767" s="53" t="n">
        <f aca="false">(('Business Case'!G11*$C767*'Business Case'!G12*$B767)-'Business Case'!G11*$C767*'Business Case'!G13*$D767-'Business Case'!G14*$E767)-MAX(0,(('Business Case'!G11*$C767*'Business Case'!G12*$B767)-'Business Case'!G11*$C767*'Business Case'!G13*$D767-'Business Case'!G14*$E767))*'Business Case'!$B$7-'Business Case'!$B$8*(('Business Case'!G11*$C767*'Business Case'!G12*$B767)-('Business Case'!F11*$C767*'Business Case'!F12*$B767))-'Business Case'!G15*$F767+'Business Case'!$B$8*('Business Case'!G11*$C767*'Business Case'!G12*$B767)</f>
        <v>945325328.102406</v>
      </c>
      <c r="N767" s="53" t="n">
        <f aca="false">IF(COUNT('Business Case'!B11:G11)=0,"",H767+NPV(G767,I767:M767))</f>
        <v>-431598063.691916</v>
      </c>
      <c r="P767" s="54" t="n">
        <f aca="true">RAND()</f>
        <v>0.510810186635013</v>
      </c>
      <c r="Q767" s="54" t="n">
        <f aca="true">RAND()</f>
        <v>0.499484693822893</v>
      </c>
      <c r="R767" s="54" t="n">
        <f aca="true">RAND()</f>
        <v>0.423890072343988</v>
      </c>
      <c r="S767" s="54" t="n">
        <f aca="true">RAND()</f>
        <v>0.720671714950459</v>
      </c>
      <c r="T767" s="54" t="n">
        <f aca="true">RAND()</f>
        <v>0.843778528828777</v>
      </c>
      <c r="U767" s="54" t="n">
        <f aca="true">RAND()</f>
        <v>0.356751521882649</v>
      </c>
    </row>
    <row r="768" customFormat="false" ht="15" hidden="false" customHeight="false" outlineLevel="0" collapsed="false">
      <c r="A768" s="50" t="n">
        <v>688</v>
      </c>
      <c r="B768" s="51" t="n">
        <f aca="false">1+IF($G$6=$E$6,$F$6,IF(P768&lt;($F$6-$E$6)/($G$6-$E$6),$E$6+SQRT(P768*($G$6-$E$6)*($F$6-$E$6)),$G$6-SQRT((1-P768)*($G$6-$E$6)*($G$6-$F$6))))</f>
        <v>0.92153910011174</v>
      </c>
      <c r="C768" s="51" t="n">
        <f aca="false">1+IF($G$7=$E$7,$F$7,IF(Q768&lt;($F$7-$E$7)/($G$7-$E$7),$E$7+SQRT(Q768*($G$7-$E$7)*($F$7-$E$7)),$G$7-SQRT((1-Q768)*($G$7-$E$7)*($G$7-$F$7))))</f>
        <v>0.918674382688</v>
      </c>
      <c r="D768" s="51" t="n">
        <f aca="false">1+IF($G$8=$E$8,$F$8,IF(R768&lt;($F$8-$E$8)/($G$8-$E$8),$E$8+SQRT(R768*($G$8-$E$8)*($F$8-$E$8)),$G$8-SQRT((1-R768)*($G$8-$E$8)*($G$8-$F$8))))</f>
        <v>0.990700172378769</v>
      </c>
      <c r="E768" s="51" t="n">
        <f aca="false">1+IF($G$9=$E$9,$F$9,IF(S768&lt;($F$9-$E$9)/($G$9-$E$9),$E$9+SQRT(S768*($G$9-$E$9)*($F$9-$E$9)),$G$9-SQRT((1-S768)*($G$9-$E$9)*($G$9-$F$9))))</f>
        <v>0.998033157229816</v>
      </c>
      <c r="F768" s="51" t="n">
        <f aca="false">1+IF($G$10=$E$10,$F$10,IF(T768&lt;($F$10-$E$10)/($G$10-$E$10),$E$10+SQRT(T768*($G$10-$E$10)*($F$10-$E$10)),$G$10-SQRT((1-T768)*($G$10-$E$10)*($G$10-$F$10))))</f>
        <v>1.03892016763054</v>
      </c>
      <c r="G768" s="52" t="n">
        <f aca="false">IF($G$11=$E$11,$F$11,IF(U768&lt;($F$11-$E$11)/($G$11-$E$11),$E$11+SQRT(U768*($G$11-$E$11)*($F$11-$E$11)),$G$11-SQRT((1-U768)*($G$11-$E$11)*($G$11-$F$11))))</f>
        <v>0.104134607373078</v>
      </c>
      <c r="H768" s="53" t="n">
        <f aca="false">(('Business Case'!B11*$C768*'Business Case'!B12*$B768)-'Business Case'!B11*$C768*'Business Case'!B13*$D768-'Business Case'!B14*$E768)-MAX(0,(('Business Case'!B11*$C768*'Business Case'!B12*$B768)-'Business Case'!B11*$C768*'Business Case'!B13*$D768-'Business Case'!B14*$E768))*'Business Case'!$B$7-'Business Case'!$B$8*('Business Case'!B11*$C768*'Business Case'!B12*$B768)-'Business Case'!B15*$F768</f>
        <v>-2077840335.26109</v>
      </c>
      <c r="I768" s="53" t="n">
        <f aca="false">(('Business Case'!C11*$C768*'Business Case'!C12*$B768)-'Business Case'!C11*$C768*'Business Case'!C13*$D768-'Business Case'!C14*$E768)-MAX(0,(('Business Case'!C11*$C768*'Business Case'!C12*$B768)-'Business Case'!C11*$C768*'Business Case'!C13*$D768-'Business Case'!C14*$E768))*'Business Case'!$B$7-'Business Case'!$B$8*(('Business Case'!C11*$C768*'Business Case'!C12*$B768)-('Business Case'!B11*$C768*'Business Case'!B12*$B768))-'Business Case'!C15*$F768</f>
        <v>-62192239.3099985</v>
      </c>
      <c r="J768" s="53" t="n">
        <f aca="false">(('Business Case'!D11*$C768*'Business Case'!D12*$B768)-'Business Case'!D11*$C768*'Business Case'!D13*$D768-'Business Case'!D14*$E768)-MAX(0,(('Business Case'!D11*$C768*'Business Case'!D12*$B768)-'Business Case'!D11*$C768*'Business Case'!D13*$D768-'Business Case'!D14*$E768))*'Business Case'!$B$7-'Business Case'!$B$8*(('Business Case'!D11*$C768*'Business Case'!D12*$B768)-('Business Case'!C11*$C768*'Business Case'!C12*$B768))-'Business Case'!D15*$F768</f>
        <v>165315304.926647</v>
      </c>
      <c r="K768" s="53" t="n">
        <f aca="false">(('Business Case'!E11*$C768*'Business Case'!E12*$B768)-'Business Case'!E11*$C768*'Business Case'!E13*$D768-'Business Case'!E14*$E768)-MAX(0,(('Business Case'!E11*$C768*'Business Case'!E12*$B768)-'Business Case'!E11*$C768*'Business Case'!E13*$D768-'Business Case'!E14*$E768))*'Business Case'!$B$7-'Business Case'!$B$8*(('Business Case'!E11*$C768*'Business Case'!E12*$B768)-('Business Case'!D11*$C768*'Business Case'!D12*$B768))-'Business Case'!E15*$F768</f>
        <v>444768857.544819</v>
      </c>
      <c r="L768" s="53" t="n">
        <f aca="false">(('Business Case'!F11*$C768*'Business Case'!F12*$B768)-'Business Case'!F11*$C768*'Business Case'!F13*$D768-'Business Case'!F14*$E768)-MAX(0,(('Business Case'!F11*$C768*'Business Case'!F12*$B768)-'Business Case'!F11*$C768*'Business Case'!F13*$D768-'Business Case'!F14*$E768))*'Business Case'!$B$7-'Business Case'!$B$8*(('Business Case'!F11*$C768*'Business Case'!F12*$B768)-('Business Case'!E11*$C768*'Business Case'!E12*$B768))-'Business Case'!F15*$F768</f>
        <v>549863006.840708</v>
      </c>
      <c r="M768" s="53" t="n">
        <f aca="false">(('Business Case'!G11*$C768*'Business Case'!G12*$B768)-'Business Case'!G11*$C768*'Business Case'!G13*$D768-'Business Case'!G14*$E768)-MAX(0,(('Business Case'!G11*$C768*'Business Case'!G12*$B768)-'Business Case'!G11*$C768*'Business Case'!G13*$D768-'Business Case'!G14*$E768))*'Business Case'!$B$7-'Business Case'!$B$8*(('Business Case'!G11*$C768*'Business Case'!G12*$B768)-('Business Case'!F11*$C768*'Business Case'!F12*$B768))-'Business Case'!G15*$F768+'Business Case'!$B$8*('Business Case'!G11*$C768*'Business Case'!G12*$B768)</f>
        <v>710783663.534242</v>
      </c>
      <c r="N768" s="53" t="n">
        <f aca="false">IF(COUNT('Business Case'!B11:G11)=0,"",H768+NPV(G768,I768:M768))</f>
        <v>-865033647.321702</v>
      </c>
      <c r="P768" s="54" t="n">
        <f aca="true">RAND()</f>
        <v>0.000246753036870529</v>
      </c>
      <c r="Q768" s="54" t="n">
        <f aca="true">RAND()</f>
        <v>0.201194415805399</v>
      </c>
      <c r="R768" s="54" t="n">
        <f aca="true">RAND()</f>
        <v>0.254846774101774</v>
      </c>
      <c r="S768" s="54" t="n">
        <f aca="true">RAND()</f>
        <v>0.307624559128561</v>
      </c>
      <c r="T768" s="54" t="n">
        <f aca="true">RAND()</f>
        <v>0.481065752076561</v>
      </c>
      <c r="U768" s="54" t="n">
        <f aca="true">RAND()</f>
        <v>0.580482194656012</v>
      </c>
    </row>
    <row r="769" customFormat="false" ht="15" hidden="false" customHeight="false" outlineLevel="0" collapsed="false">
      <c r="A769" s="50" t="n">
        <v>689</v>
      </c>
      <c r="B769" s="51" t="n">
        <f aca="false">1+IF($G$6=$E$6,$F$6,IF(P769&lt;($F$6-$E$6)/($G$6-$E$6),$E$6+SQRT(P769*($G$6-$E$6)*($F$6-$E$6)),$G$6-SQRT((1-P769)*($G$6-$E$6)*($G$6-$F$6))))</f>
        <v>0.984503398343742</v>
      </c>
      <c r="C769" s="51" t="n">
        <f aca="false">1+IF($G$7=$E$7,$F$7,IF(Q769&lt;($F$7-$E$7)/($G$7-$E$7),$E$7+SQRT(Q769*($G$7-$E$7)*($F$7-$E$7)),$G$7-SQRT((1-Q769)*($G$7-$E$7)*($G$7-$F$7))))</f>
        <v>0.9325413411668</v>
      </c>
      <c r="D769" s="51" t="n">
        <f aca="false">1+IF($G$8=$E$8,$F$8,IF(R769&lt;($F$8-$E$8)/($G$8-$E$8),$E$8+SQRT(R769*($G$8-$E$8)*($F$8-$E$8)),$G$8-SQRT((1-R769)*($G$8-$E$8)*($G$8-$F$8))))</f>
        <v>1.056983719763</v>
      </c>
      <c r="E769" s="51" t="n">
        <f aca="false">1+IF($G$9=$E$9,$F$9,IF(S769&lt;($F$9-$E$9)/($G$9-$E$9),$E$9+SQRT(S769*($G$9-$E$9)*($F$9-$E$9)),$G$9-SQRT((1-S769)*($G$9-$E$9)*($G$9-$F$9))))</f>
        <v>1.05602278313112</v>
      </c>
      <c r="F769" s="51" t="n">
        <f aca="false">1+IF($G$10=$E$10,$F$10,IF(T769&lt;($F$10-$E$10)/($G$10-$E$10),$E$10+SQRT(T769*($G$10-$E$10)*($F$10-$E$10)),$G$10-SQRT((1-T769)*($G$10-$E$10)*($G$10-$F$10))))</f>
        <v>1.16077738412098</v>
      </c>
      <c r="G769" s="52" t="n">
        <f aca="false">IF($G$11=$E$11,$F$11,IF(U769&lt;($F$11-$E$11)/($G$11-$E$11),$E$11+SQRT(U769*($G$11-$E$11)*($F$11-$E$11)),$G$11-SQRT((1-U769)*($G$11-$E$11)*($G$11-$F$11))))</f>
        <v>0.112785955796767</v>
      </c>
      <c r="H769" s="53" t="n">
        <f aca="false">(('Business Case'!B11*$C769*'Business Case'!B12*$B769)-'Business Case'!B11*$C769*'Business Case'!B13*$D769-'Business Case'!B14*$E769)-MAX(0,(('Business Case'!B11*$C769*'Business Case'!B12*$B769)-'Business Case'!B11*$C769*'Business Case'!B13*$D769-'Business Case'!B14*$E769))*'Business Case'!$B$7-'Business Case'!$B$8*('Business Case'!B11*$C769*'Business Case'!B12*$B769)-'Business Case'!B15*$F769</f>
        <v>-2321554768.24196</v>
      </c>
      <c r="I769" s="53" t="n">
        <f aca="false">(('Business Case'!C11*$C769*'Business Case'!C12*$B769)-'Business Case'!C11*$C769*'Business Case'!C13*$D769-'Business Case'!C14*$E769)-MAX(0,(('Business Case'!C11*$C769*'Business Case'!C12*$B769)-'Business Case'!C11*$C769*'Business Case'!C13*$D769-'Business Case'!C14*$E769))*'Business Case'!$B$7-'Business Case'!$B$8*(('Business Case'!C11*$C769*'Business Case'!C12*$B769)-('Business Case'!B11*$C769*'Business Case'!B12*$B769))-'Business Case'!C15*$F769</f>
        <v>-66445885.1443048</v>
      </c>
      <c r="J769" s="53" t="n">
        <f aca="false">(('Business Case'!D11*$C769*'Business Case'!D12*$B769)-'Business Case'!D11*$C769*'Business Case'!D13*$D769-'Business Case'!D14*$E769)-MAX(0,(('Business Case'!D11*$C769*'Business Case'!D12*$B769)-'Business Case'!D11*$C769*'Business Case'!D13*$D769-'Business Case'!D14*$E769))*'Business Case'!$B$7-'Business Case'!$B$8*(('Business Case'!D11*$C769*'Business Case'!D12*$B769)-('Business Case'!C11*$C769*'Business Case'!C12*$B769))-'Business Case'!D15*$F769</f>
        <v>180946199.678304</v>
      </c>
      <c r="K769" s="53" t="n">
        <f aca="false">(('Business Case'!E11*$C769*'Business Case'!E12*$B769)-'Business Case'!E11*$C769*'Business Case'!E13*$D769-'Business Case'!E14*$E769)-MAX(0,(('Business Case'!E11*$C769*'Business Case'!E12*$B769)-'Business Case'!E11*$C769*'Business Case'!E13*$D769-'Business Case'!E14*$E769))*'Business Case'!$B$7-'Business Case'!$B$8*(('Business Case'!E11*$C769*'Business Case'!E12*$B769)-('Business Case'!D11*$C769*'Business Case'!D12*$B769))-'Business Case'!E15*$F769</f>
        <v>486377153.706961</v>
      </c>
      <c r="L769" s="53" t="n">
        <f aca="false">(('Business Case'!F11*$C769*'Business Case'!F12*$B769)-'Business Case'!F11*$C769*'Business Case'!F13*$D769-'Business Case'!F14*$E769)-MAX(0,(('Business Case'!F11*$C769*'Business Case'!F12*$B769)-'Business Case'!F11*$C769*'Business Case'!F13*$D769-'Business Case'!F14*$E769))*'Business Case'!$B$7-'Business Case'!$B$8*(('Business Case'!F11*$C769*'Business Case'!F12*$B769)-('Business Case'!E11*$C769*'Business Case'!E12*$B769))-'Business Case'!F15*$F769</f>
        <v>600570376.510211</v>
      </c>
      <c r="M769" s="53" t="n">
        <f aca="false">(('Business Case'!G11*$C769*'Business Case'!G12*$B769)-'Business Case'!G11*$C769*'Business Case'!G13*$D769-'Business Case'!G14*$E769)-MAX(0,(('Business Case'!G11*$C769*'Business Case'!G12*$B769)-'Business Case'!G11*$C769*'Business Case'!G13*$D769-'Business Case'!G14*$E769))*'Business Case'!$B$7-'Business Case'!$B$8*(('Business Case'!G11*$C769*'Business Case'!G12*$B769)-('Business Case'!F11*$C769*'Business Case'!F12*$B769))-'Business Case'!G15*$F769+'Business Case'!$B$8*('Business Case'!G11*$C769*'Business Case'!G12*$B769)</f>
        <v>775080946.419971</v>
      </c>
      <c r="N769" s="53" t="n">
        <f aca="false">IF(COUNT('Business Case'!B11:G11)=0,"",H769+NPV(G769,I769:M769))</f>
        <v>-1036259107.77036</v>
      </c>
      <c r="P769" s="54" t="n">
        <f aca="true">RAND()</f>
        <v>0.433405041447031</v>
      </c>
      <c r="Q769" s="54" t="n">
        <f aca="true">RAND()</f>
        <v>0.250960101689917</v>
      </c>
      <c r="R769" s="54" t="n">
        <f aca="true">RAND()</f>
        <v>0.949062581158821</v>
      </c>
      <c r="S769" s="54" t="n">
        <f aca="true">RAND()</f>
        <v>0.871066959764479</v>
      </c>
      <c r="T769" s="54" t="n">
        <f aca="true">RAND()</f>
        <v>0.969231728072133</v>
      </c>
      <c r="U769" s="54" t="n">
        <f aca="true">RAND()</f>
        <v>0.91326261038967</v>
      </c>
    </row>
    <row r="770" customFormat="false" ht="15" hidden="false" customHeight="false" outlineLevel="0" collapsed="false">
      <c r="A770" s="50" t="n">
        <v>690</v>
      </c>
      <c r="B770" s="51" t="n">
        <f aca="false">1+IF($G$6=$E$6,$F$6,IF(P770&lt;($F$6-$E$6)/($G$6-$E$6),$E$6+SQRT(P770*($G$6-$E$6)*($F$6-$E$6)),$G$6-SQRT((1-P770)*($G$6-$E$6)*($G$6-$F$6))))</f>
        <v>0.967590149703359</v>
      </c>
      <c r="C770" s="51" t="n">
        <f aca="false">1+IF($G$7=$E$7,$F$7,IF(Q770&lt;($F$7-$E$7)/($G$7-$E$7),$E$7+SQRT(Q770*($G$7-$E$7)*($F$7-$E$7)),$G$7-SQRT((1-Q770)*($G$7-$E$7)*($G$7-$F$7))))</f>
        <v>0.827977381319713</v>
      </c>
      <c r="D770" s="51" t="n">
        <f aca="false">1+IF($G$8=$E$8,$F$8,IF(R770&lt;($F$8-$E$8)/($G$8-$E$8),$E$8+SQRT(R770*($G$8-$E$8)*($F$8-$E$8)),$G$8-SQRT((1-R770)*($G$8-$E$8)*($G$8-$F$8))))</f>
        <v>0.98224497292338</v>
      </c>
      <c r="E770" s="51" t="n">
        <f aca="false">1+IF($G$9=$E$9,$F$9,IF(S770&lt;($F$9-$E$9)/($G$9-$E$9),$E$9+SQRT(S770*($G$9-$E$9)*($F$9-$E$9)),$G$9-SQRT((1-S770)*($G$9-$E$9)*($G$9-$F$9))))</f>
        <v>1.04000628396496</v>
      </c>
      <c r="F770" s="51" t="n">
        <f aca="false">1+IF($G$10=$E$10,$F$10,IF(T770&lt;($F$10-$E$10)/($G$10-$E$10),$E$10+SQRT(T770*($G$10-$E$10)*($F$10-$E$10)),$G$10-SQRT((1-T770)*($G$10-$E$10)*($G$10-$F$10))))</f>
        <v>0.984027821329427</v>
      </c>
      <c r="G770" s="52" t="n">
        <f aca="false">IF($G$11=$E$11,$F$11,IF(U770&lt;($F$11-$E$11)/($G$11-$E$11),$E$11+SQRT(U770*($G$11-$E$11)*($F$11-$E$11)),$G$11-SQRT((1-U770)*($G$11-$E$11)*($G$11-$F$11))))</f>
        <v>0.116935271114641</v>
      </c>
      <c r="H770" s="53" t="n">
        <f aca="false">(('Business Case'!B11*$C770*'Business Case'!B12*$B770)-'Business Case'!B11*$C770*'Business Case'!B13*$D770-'Business Case'!B14*$E770)-MAX(0,(('Business Case'!B11*$C770*'Business Case'!B12*$B770)-'Business Case'!B11*$C770*'Business Case'!B13*$D770-'Business Case'!B14*$E770))*'Business Case'!$B$7-'Business Case'!$B$8*('Business Case'!B11*$C770*'Business Case'!B12*$B770)-'Business Case'!B15*$F770</f>
        <v>-1968055642.65885</v>
      </c>
      <c r="I770" s="53" t="n">
        <f aca="false">(('Business Case'!C11*$C770*'Business Case'!C12*$B770)-'Business Case'!C11*$C770*'Business Case'!C13*$D770-'Business Case'!C14*$E770)-MAX(0,(('Business Case'!C11*$C770*'Business Case'!C12*$B770)-'Business Case'!C11*$C770*'Business Case'!C13*$D770-'Business Case'!C14*$E770))*'Business Case'!$B$7-'Business Case'!$B$8*(('Business Case'!C11*$C770*'Business Case'!C12*$B770)-('Business Case'!B11*$C770*'Business Case'!B12*$B770))-'Business Case'!C15*$F770</f>
        <v>-47961882.5084897</v>
      </c>
      <c r="J770" s="53" t="n">
        <f aca="false">(('Business Case'!D11*$C770*'Business Case'!D12*$B770)-'Business Case'!D11*$C770*'Business Case'!D13*$D770-'Business Case'!D14*$E770)-MAX(0,(('Business Case'!D11*$C770*'Business Case'!D12*$B770)-'Business Case'!D11*$C770*'Business Case'!D13*$D770-'Business Case'!D14*$E770))*'Business Case'!$B$7-'Business Case'!$B$8*(('Business Case'!D11*$C770*'Business Case'!D12*$B770)-('Business Case'!C11*$C770*'Business Case'!C12*$B770))-'Business Case'!D15*$F770</f>
        <v>191899151.288237</v>
      </c>
      <c r="K770" s="53" t="n">
        <f aca="false">(('Business Case'!E11*$C770*'Business Case'!E12*$B770)-'Business Case'!E11*$C770*'Business Case'!E13*$D770-'Business Case'!E14*$E770)-MAX(0,(('Business Case'!E11*$C770*'Business Case'!E12*$B770)-'Business Case'!E11*$C770*'Business Case'!E13*$D770-'Business Case'!E14*$E770))*'Business Case'!$B$7-'Business Case'!$B$8*(('Business Case'!E11*$C770*'Business Case'!E12*$B770)-('Business Case'!D11*$C770*'Business Case'!D12*$B770))-'Business Case'!E15*$F770</f>
        <v>480961576.151435</v>
      </c>
      <c r="L770" s="53" t="n">
        <f aca="false">(('Business Case'!F11*$C770*'Business Case'!F12*$B770)-'Business Case'!F11*$C770*'Business Case'!F13*$D770-'Business Case'!F14*$E770)-MAX(0,(('Business Case'!F11*$C770*'Business Case'!F12*$B770)-'Business Case'!F11*$C770*'Business Case'!F13*$D770-'Business Case'!F14*$E770))*'Business Case'!$B$7-'Business Case'!$B$8*(('Business Case'!F11*$C770*'Business Case'!F12*$B770)-('Business Case'!E11*$C770*'Business Case'!E12*$B770))-'Business Case'!F15*$F770</f>
        <v>588602747.811982</v>
      </c>
      <c r="M770" s="53" t="n">
        <f aca="false">(('Business Case'!G11*$C770*'Business Case'!G12*$B770)-'Business Case'!G11*$C770*'Business Case'!G13*$D770-'Business Case'!G14*$E770)-MAX(0,(('Business Case'!G11*$C770*'Business Case'!G12*$B770)-'Business Case'!G11*$C770*'Business Case'!G13*$D770-'Business Case'!G14*$E770))*'Business Case'!$B$7-'Business Case'!$B$8*(('Business Case'!G11*$C770*'Business Case'!G12*$B770)-('Business Case'!F11*$C770*'Business Case'!F12*$B770))-'Business Case'!G15*$F770+'Business Case'!$B$8*('Business Case'!G11*$C770*'Business Case'!G12*$B770)</f>
        <v>740883963.317655</v>
      </c>
      <c r="N770" s="53" t="n">
        <f aca="false">IF(COUNT('Business Case'!B11:G11)=0,"",H770+NPV(G770,I770:M770))</f>
        <v>-707623083.680626</v>
      </c>
      <c r="P770" s="54" t="n">
        <f aca="true">RAND()</f>
        <v>0.235918994665427</v>
      </c>
      <c r="Q770" s="54" t="n">
        <f aca="true">RAND()</f>
        <v>0.0111819123644091</v>
      </c>
      <c r="R770" s="54" t="n">
        <f aca="true">RAND()</f>
        <v>0.159959735204542</v>
      </c>
      <c r="S770" s="54" t="n">
        <f aca="true">RAND()</f>
        <v>0.760050269087134</v>
      </c>
      <c r="T770" s="54" t="n">
        <f aca="true">RAND()</f>
        <v>0.0926314099541947</v>
      </c>
      <c r="U770" s="54" t="n">
        <f aca="true">RAND()</f>
        <v>0.984345728098748</v>
      </c>
    </row>
    <row r="771" customFormat="false" ht="15" hidden="false" customHeight="false" outlineLevel="0" collapsed="false">
      <c r="A771" s="50" t="n">
        <v>691</v>
      </c>
      <c r="B771" s="51" t="n">
        <f aca="false">1+IF($G$6=$E$6,$F$6,IF(P771&lt;($F$6-$E$6)/($G$6-$E$6),$E$6+SQRT(P771*($G$6-$E$6)*($F$6-$E$6)),$G$6-SQRT((1-P771)*($G$6-$E$6)*($G$6-$F$6))))</f>
        <v>0.989729180688355</v>
      </c>
      <c r="C771" s="51" t="n">
        <f aca="false">1+IF($G$7=$E$7,$F$7,IF(Q771&lt;($F$7-$E$7)/($G$7-$E$7),$E$7+SQRT(Q771*($G$7-$E$7)*($F$7-$E$7)),$G$7-SQRT((1-Q771)*($G$7-$E$7)*($G$7-$F$7))))</f>
        <v>0.910097302366473</v>
      </c>
      <c r="D771" s="51" t="n">
        <f aca="false">1+IF($G$8=$E$8,$F$8,IF(R771&lt;($F$8-$E$8)/($G$8-$E$8),$E$8+SQRT(R771*($G$8-$E$8)*($F$8-$E$8)),$G$8-SQRT((1-R771)*($G$8-$E$8)*($G$8-$F$8))))</f>
        <v>0.996414180469973</v>
      </c>
      <c r="E771" s="51" t="n">
        <f aca="false">1+IF($G$9=$E$9,$F$9,IF(S771&lt;($F$9-$E$9)/($G$9-$E$9),$E$9+SQRT(S771*($G$9-$E$9)*($F$9-$E$9)),$G$9-SQRT((1-S771)*($G$9-$E$9)*($G$9-$F$9))))</f>
        <v>0.974253843658224</v>
      </c>
      <c r="F771" s="51" t="n">
        <f aca="false">1+IF($G$10=$E$10,$F$10,IF(T771&lt;($F$10-$E$10)/($G$10-$E$10),$E$10+SQRT(T771*($G$10-$E$10)*($F$10-$E$10)),$G$10-SQRT((1-T771)*($G$10-$E$10)*($G$10-$F$10))))</f>
        <v>1.0639623708407</v>
      </c>
      <c r="G771" s="52" t="n">
        <f aca="false">IF($G$11=$E$11,$F$11,IF(U771&lt;($F$11-$E$11)/($G$11-$E$11),$E$11+SQRT(U771*($G$11-$E$11)*($F$11-$E$11)),$G$11-SQRT((1-U771)*($G$11-$E$11)*($G$11-$F$11))))</f>
        <v>0.100312478443629</v>
      </c>
      <c r="H771" s="53" t="n">
        <f aca="false">(('Business Case'!B11*$C771*'Business Case'!B12*$B771)-'Business Case'!B11*$C771*'Business Case'!B13*$D771-'Business Case'!B14*$E771)-MAX(0,(('Business Case'!B11*$C771*'Business Case'!B12*$B771)-'Business Case'!B11*$C771*'Business Case'!B13*$D771-'Business Case'!B14*$E771))*'Business Case'!$B$7-'Business Case'!$B$8*('Business Case'!B11*$C771*'Business Case'!B12*$B771)-'Business Case'!B15*$F771</f>
        <v>-2127924741.68141</v>
      </c>
      <c r="I771" s="53" t="n">
        <f aca="false">(('Business Case'!C11*$C771*'Business Case'!C12*$B771)-'Business Case'!C11*$C771*'Business Case'!C13*$D771-'Business Case'!C14*$E771)-MAX(0,(('Business Case'!C11*$C771*'Business Case'!C12*$B771)-'Business Case'!C11*$C771*'Business Case'!C13*$D771-'Business Case'!C14*$E771))*'Business Case'!$B$7-'Business Case'!$B$8*(('Business Case'!C11*$C771*'Business Case'!C12*$B771)-('Business Case'!B11*$C771*'Business Case'!B12*$B771))-'Business Case'!C15*$F771</f>
        <v>-18077407.4721783</v>
      </c>
      <c r="J771" s="53" t="n">
        <f aca="false">(('Business Case'!D11*$C771*'Business Case'!D12*$B771)-'Business Case'!D11*$C771*'Business Case'!D13*$D771-'Business Case'!D14*$E771)-MAX(0,(('Business Case'!D11*$C771*'Business Case'!D12*$B771)-'Business Case'!D11*$C771*'Business Case'!D13*$D771-'Business Case'!D14*$E771))*'Business Case'!$B$7-'Business Case'!$B$8*(('Business Case'!D11*$C771*'Business Case'!D12*$B771)-('Business Case'!C11*$C771*'Business Case'!C12*$B771))-'Business Case'!D15*$F771</f>
        <v>255475191.316455</v>
      </c>
      <c r="K771" s="53" t="n">
        <f aca="false">(('Business Case'!E11*$C771*'Business Case'!E12*$B771)-'Business Case'!E11*$C771*'Business Case'!E13*$D771-'Business Case'!E14*$E771)-MAX(0,(('Business Case'!E11*$C771*'Business Case'!E12*$B771)-'Business Case'!E11*$C771*'Business Case'!E13*$D771-'Business Case'!E14*$E771))*'Business Case'!$B$7-'Business Case'!$B$8*(('Business Case'!E11*$C771*'Business Case'!E12*$B771)-('Business Case'!D11*$C771*'Business Case'!D12*$B771))-'Business Case'!E15*$F771</f>
        <v>582225908.647123</v>
      </c>
      <c r="L771" s="53" t="n">
        <f aca="false">(('Business Case'!F11*$C771*'Business Case'!F12*$B771)-'Business Case'!F11*$C771*'Business Case'!F13*$D771-'Business Case'!F14*$E771)-MAX(0,(('Business Case'!F11*$C771*'Business Case'!F12*$B771)-'Business Case'!F11*$C771*'Business Case'!F13*$D771-'Business Case'!F14*$E771))*'Business Case'!$B$7-'Business Case'!$B$8*(('Business Case'!F11*$C771*'Business Case'!F12*$B771)-('Business Case'!E11*$C771*'Business Case'!E12*$B771))-'Business Case'!F15*$F771</f>
        <v>704540023.315695</v>
      </c>
      <c r="M771" s="53" t="n">
        <f aca="false">(('Business Case'!G11*$C771*'Business Case'!G12*$B771)-'Business Case'!G11*$C771*'Business Case'!G13*$D771-'Business Case'!G14*$E771)-MAX(0,(('Business Case'!G11*$C771*'Business Case'!G12*$B771)-'Business Case'!G11*$C771*'Business Case'!G13*$D771-'Business Case'!G14*$E771))*'Business Case'!$B$7-'Business Case'!$B$8*(('Business Case'!G11*$C771*'Business Case'!G12*$B771)-('Business Case'!F11*$C771*'Business Case'!F12*$B771))-'Business Case'!G15*$F771+'Business Case'!$B$8*('Business Case'!G11*$C771*'Business Case'!G12*$B771)</f>
        <v>875754556.21368</v>
      </c>
      <c r="N771" s="53" t="n">
        <f aca="false">IF(COUNT('Business Case'!B11:G11)=0,"",H771+NPV(G771,I771:M771))</f>
        <v>-472608204.761468</v>
      </c>
      <c r="P771" s="54" t="n">
        <f aca="true">RAND()</f>
        <v>0.506474858278048</v>
      </c>
      <c r="Q771" s="54" t="n">
        <f aca="true">RAND()</f>
        <v>0.173163085548209</v>
      </c>
      <c r="R771" s="54" t="n">
        <f aca="true">RAND()</f>
        <v>0.33142709979988</v>
      </c>
      <c r="S771" s="54" t="n">
        <f aca="true">RAND()</f>
        <v>0.0784331909596754</v>
      </c>
      <c r="T771" s="54" t="n">
        <f aca="true">RAND()</f>
        <v>0.629875269054363</v>
      </c>
      <c r="U771" s="54" t="n">
        <f aca="true">RAND()</f>
        <v>0.354002491612358</v>
      </c>
    </row>
    <row r="772" customFormat="false" ht="15" hidden="false" customHeight="false" outlineLevel="0" collapsed="false">
      <c r="A772" s="50" t="n">
        <v>692</v>
      </c>
      <c r="B772" s="51" t="n">
        <f aca="false">1+IF($G$6=$E$6,$F$6,IF(P772&lt;($F$6-$E$6)/($G$6-$E$6),$E$6+SQRT(P772*($G$6-$E$6)*($F$6-$E$6)),$G$6-SQRT((1-P772)*($G$6-$E$6)*($G$6-$F$6))))</f>
        <v>0.970231111186446</v>
      </c>
      <c r="C772" s="51" t="n">
        <f aca="false">1+IF($G$7=$E$7,$F$7,IF(Q772&lt;($F$7-$E$7)/($G$7-$E$7),$E$7+SQRT(Q772*($G$7-$E$7)*($F$7-$E$7)),$G$7-SQRT((1-Q772)*($G$7-$E$7)*($G$7-$F$7))))</f>
        <v>1.03519554936589</v>
      </c>
      <c r="D772" s="51" t="n">
        <f aca="false">1+IF($G$8=$E$8,$F$8,IF(R772&lt;($F$8-$E$8)/($G$8-$E$8),$E$8+SQRT(R772*($G$8-$E$8)*($F$8-$E$8)),$G$8-SQRT((1-R772)*($G$8-$E$8)*($G$8-$F$8))))</f>
        <v>0.973495302021366</v>
      </c>
      <c r="E772" s="51" t="n">
        <f aca="false">1+IF($G$9=$E$9,$F$9,IF(S772&lt;($F$9-$E$9)/($G$9-$E$9),$E$9+SQRT(S772*($G$9-$E$9)*($F$9-$E$9)),$G$9-SQRT((1-S772)*($G$9-$E$9)*($G$9-$F$9))))</f>
        <v>1.02357813860986</v>
      </c>
      <c r="F772" s="51" t="n">
        <f aca="false">1+IF($G$10=$E$10,$F$10,IF(T772&lt;($F$10-$E$10)/($G$10-$E$10),$E$10+SQRT(T772*($G$10-$E$10)*($F$10-$E$10)),$G$10-SQRT((1-T772)*($G$10-$E$10)*($G$10-$F$10))))</f>
        <v>1.10191897619615</v>
      </c>
      <c r="G772" s="52" t="n">
        <f aca="false">IF($G$11=$E$11,$F$11,IF(U772&lt;($F$11-$E$11)/($G$11-$E$11),$E$11+SQRT(U772*($G$11-$E$11)*($F$11-$E$11)),$G$11-SQRT((1-U772)*($G$11-$E$11)*($G$11-$F$11))))</f>
        <v>0.109549785913215</v>
      </c>
      <c r="H772" s="53" t="n">
        <f aca="false">(('Business Case'!B11*$C772*'Business Case'!B12*$B772)-'Business Case'!B11*$C772*'Business Case'!B13*$D772-'Business Case'!B14*$E772)-MAX(0,(('Business Case'!B11*$C772*'Business Case'!B12*$B772)-'Business Case'!B11*$C772*'Business Case'!B13*$D772-'Business Case'!B14*$E772))*'Business Case'!$B$7-'Business Case'!$B$8*('Business Case'!B11*$C772*'Business Case'!B12*$B772)-'Business Case'!B15*$F772</f>
        <v>-2203837952.3923</v>
      </c>
      <c r="I772" s="53" t="n">
        <f aca="false">(('Business Case'!C11*$C772*'Business Case'!C12*$B772)-'Business Case'!C11*$C772*'Business Case'!C13*$D772-'Business Case'!C14*$E772)-MAX(0,(('Business Case'!C11*$C772*'Business Case'!C12*$B772)-'Business Case'!C11*$C772*'Business Case'!C13*$D772-'Business Case'!C14*$E772))*'Business Case'!$B$7-'Business Case'!$B$8*(('Business Case'!C11*$C772*'Business Case'!C12*$B772)-('Business Case'!B11*$C772*'Business Case'!B12*$B772))-'Business Case'!C15*$F772</f>
        <v>-1044532.52055909</v>
      </c>
      <c r="J772" s="53" t="n">
        <f aca="false">(('Business Case'!D11*$C772*'Business Case'!D12*$B772)-'Business Case'!D11*$C772*'Business Case'!D13*$D772-'Business Case'!D14*$E772)-MAX(0,(('Business Case'!D11*$C772*'Business Case'!D12*$B772)-'Business Case'!D11*$C772*'Business Case'!D13*$D772-'Business Case'!D14*$E772))*'Business Case'!$B$7-'Business Case'!$B$8*(('Business Case'!D11*$C772*'Business Case'!D12*$B772)-('Business Case'!C11*$C772*'Business Case'!C12*$B772))-'Business Case'!D15*$F772</f>
        <v>305722647.524453</v>
      </c>
      <c r="K772" s="53" t="n">
        <f aca="false">(('Business Case'!E11*$C772*'Business Case'!E12*$B772)-'Business Case'!E11*$C772*'Business Case'!E13*$D772-'Business Case'!E14*$E772)-MAX(0,(('Business Case'!E11*$C772*'Business Case'!E12*$B772)-'Business Case'!E11*$C772*'Business Case'!E13*$D772-'Business Case'!E14*$E772))*'Business Case'!$B$7-'Business Case'!$B$8*(('Business Case'!E11*$C772*'Business Case'!E12*$B772)-('Business Case'!D11*$C772*'Business Case'!D12*$B772))-'Business Case'!E15*$F772</f>
        <v>667585776.379272</v>
      </c>
      <c r="L772" s="53" t="n">
        <f aca="false">(('Business Case'!F11*$C772*'Business Case'!F12*$B772)-'Business Case'!F11*$C772*'Business Case'!F13*$D772-'Business Case'!F14*$E772)-MAX(0,(('Business Case'!F11*$C772*'Business Case'!F12*$B772)-'Business Case'!F11*$C772*'Business Case'!F13*$D772-'Business Case'!F14*$E772))*'Business Case'!$B$7-'Business Case'!$B$8*(('Business Case'!F11*$C772*'Business Case'!F12*$B772)-('Business Case'!E11*$C772*'Business Case'!E12*$B772))-'Business Case'!F15*$F772</f>
        <v>804552838.818033</v>
      </c>
      <c r="M772" s="53" t="n">
        <f aca="false">(('Business Case'!G11*$C772*'Business Case'!G12*$B772)-'Business Case'!G11*$C772*'Business Case'!G13*$D772-'Business Case'!G14*$E772)-MAX(0,(('Business Case'!G11*$C772*'Business Case'!G12*$B772)-'Business Case'!G11*$C772*'Business Case'!G13*$D772-'Business Case'!G14*$E772))*'Business Case'!$B$7-'Business Case'!$B$8*(('Business Case'!G11*$C772*'Business Case'!G12*$B772)-('Business Case'!F11*$C772*'Business Case'!F12*$B772))-'Business Case'!G15*$F772+'Business Case'!$B$8*('Business Case'!G11*$C772*'Business Case'!G12*$B772)</f>
        <v>995465185.482027</v>
      </c>
      <c r="N772" s="53" t="n">
        <f aca="false">IF(COUNT('Business Case'!B11:G11)=0,"",H772+NPV(G772,I772:M772))</f>
        <v>-344914941.791656</v>
      </c>
      <c r="P772" s="54" t="n">
        <f aca="true">RAND()</f>
        <v>0.262829638648446</v>
      </c>
      <c r="Q772" s="54" t="n">
        <f aca="true">RAND()</f>
        <v>0.748951202182881</v>
      </c>
      <c r="R772" s="54" t="n">
        <f aca="true">RAND()</f>
        <v>0.0849275718577198</v>
      </c>
      <c r="S772" s="54" t="n">
        <f aca="true">RAND()</f>
        <v>0.610646606777719</v>
      </c>
      <c r="T772" s="54" t="n">
        <f aca="true">RAND()</f>
        <v>0.807602255391762</v>
      </c>
      <c r="U772" s="54" t="n">
        <f aca="true">RAND()</f>
        <v>0.817988375900588</v>
      </c>
    </row>
    <row r="773" customFormat="false" ht="15" hidden="false" customHeight="false" outlineLevel="0" collapsed="false">
      <c r="A773" s="50" t="n">
        <v>693</v>
      </c>
      <c r="B773" s="51" t="n">
        <f aca="false">1+IF($G$6=$E$6,$F$6,IF(P773&lt;($F$6-$E$6)/($G$6-$E$6),$E$6+SQRT(P773*($G$6-$E$6)*($F$6-$E$6)),$G$6-SQRT((1-P773)*($G$6-$E$6)*($G$6-$F$6))))</f>
        <v>1.02977121394769</v>
      </c>
      <c r="C773" s="51" t="n">
        <f aca="false">1+IF($G$7=$E$7,$F$7,IF(Q773&lt;($F$7-$E$7)/($G$7-$E$7),$E$7+SQRT(Q773*($G$7-$E$7)*($F$7-$E$7)),$G$7-SQRT((1-Q773)*($G$7-$E$7)*($G$7-$F$7))))</f>
        <v>0.975881498889373</v>
      </c>
      <c r="D773" s="51" t="n">
        <f aca="false">1+IF($G$8=$E$8,$F$8,IF(R773&lt;($F$8-$E$8)/($G$8-$E$8),$E$8+SQRT(R773*($G$8-$E$8)*($F$8-$E$8)),$G$8-SQRT((1-R773)*($G$8-$E$8)*($G$8-$F$8))))</f>
        <v>1.0353638496986</v>
      </c>
      <c r="E773" s="51" t="n">
        <f aca="false">1+IF($G$9=$E$9,$F$9,IF(S773&lt;($F$9-$E$9)/($G$9-$E$9),$E$9+SQRT(S773*($G$9-$E$9)*($F$9-$E$9)),$G$9-SQRT((1-S773)*($G$9-$E$9)*($G$9-$F$9))))</f>
        <v>1.06032897381334</v>
      </c>
      <c r="F773" s="51" t="n">
        <f aca="false">1+IF($G$10=$E$10,$F$10,IF(T773&lt;($F$10-$E$10)/($G$10-$E$10),$E$10+SQRT(T773*($G$10-$E$10)*($F$10-$E$10)),$G$10-SQRT((1-T773)*($G$10-$E$10)*($G$10-$F$10))))</f>
        <v>1.02293432852574</v>
      </c>
      <c r="G773" s="52" t="n">
        <f aca="false">IF($G$11=$E$11,$F$11,IF(U773&lt;($F$11-$E$11)/($G$11-$E$11),$E$11+SQRT(U773*($G$11-$E$11)*($F$11-$E$11)),$G$11-SQRT((1-U773)*($G$11-$E$11)*($G$11-$F$11))))</f>
        <v>0.0989134639657718</v>
      </c>
      <c r="H773" s="53" t="n">
        <f aca="false">(('Business Case'!B11*$C773*'Business Case'!B12*$B773)-'Business Case'!B11*$C773*'Business Case'!B13*$D773-'Business Case'!B14*$E773)-MAX(0,(('Business Case'!B11*$C773*'Business Case'!B12*$B773)-'Business Case'!B11*$C773*'Business Case'!B13*$D773-'Business Case'!B14*$E773))*'Business Case'!$B$7-'Business Case'!$B$8*('Business Case'!B11*$C773*'Business Case'!B12*$B773)-'Business Case'!B15*$F773</f>
        <v>-2045868657.05149</v>
      </c>
      <c r="I773" s="53" t="n">
        <f aca="false">(('Business Case'!C11*$C773*'Business Case'!C12*$B773)-'Business Case'!C11*$C773*'Business Case'!C13*$D773-'Business Case'!C14*$E773)-MAX(0,(('Business Case'!C11*$C773*'Business Case'!C12*$B773)-'Business Case'!C11*$C773*'Business Case'!C13*$D773-'Business Case'!C14*$E773))*'Business Case'!$B$7-'Business Case'!$B$8*(('Business Case'!C11*$C773*'Business Case'!C12*$B773)-('Business Case'!B11*$C773*'Business Case'!B12*$B773))-'Business Case'!C15*$F773</f>
        <v>705737.757212326</v>
      </c>
      <c r="J773" s="53" t="n">
        <f aca="false">(('Business Case'!D11*$C773*'Business Case'!D12*$B773)-'Business Case'!D11*$C773*'Business Case'!D13*$D773-'Business Case'!D14*$E773)-MAX(0,(('Business Case'!D11*$C773*'Business Case'!D12*$B773)-'Business Case'!D11*$C773*'Business Case'!D13*$D773-'Business Case'!D14*$E773))*'Business Case'!$B$7-'Business Case'!$B$8*(('Business Case'!D11*$C773*'Business Case'!D12*$B773)-('Business Case'!C11*$C773*'Business Case'!C12*$B773))-'Business Case'!D15*$F773</f>
        <v>306579502.035712</v>
      </c>
      <c r="K773" s="53" t="n">
        <f aca="false">(('Business Case'!E11*$C773*'Business Case'!E12*$B773)-'Business Case'!E11*$C773*'Business Case'!E13*$D773-'Business Case'!E14*$E773)-MAX(0,(('Business Case'!E11*$C773*'Business Case'!E12*$B773)-'Business Case'!E11*$C773*'Business Case'!E13*$D773-'Business Case'!E14*$E773))*'Business Case'!$B$7-'Business Case'!$B$8*(('Business Case'!E11*$C773*'Business Case'!E12*$B773)-('Business Case'!D11*$C773*'Business Case'!D12*$B773))-'Business Case'!E15*$F773</f>
        <v>663599982.740498</v>
      </c>
      <c r="L773" s="53" t="n">
        <f aca="false">(('Business Case'!F11*$C773*'Business Case'!F12*$B773)-'Business Case'!F11*$C773*'Business Case'!F13*$D773-'Business Case'!F14*$E773)-MAX(0,(('Business Case'!F11*$C773*'Business Case'!F12*$B773)-'Business Case'!F11*$C773*'Business Case'!F13*$D773-'Business Case'!F14*$E773))*'Business Case'!$B$7-'Business Case'!$B$8*(('Business Case'!F11*$C773*'Business Case'!F12*$B773)-('Business Case'!E11*$C773*'Business Case'!E12*$B773))-'Business Case'!F15*$F773</f>
        <v>800288446.561636</v>
      </c>
      <c r="M773" s="53" t="n">
        <f aca="false">(('Business Case'!G11*$C773*'Business Case'!G12*$B773)-'Business Case'!G11*$C773*'Business Case'!G13*$D773-'Business Case'!G14*$E773)-MAX(0,(('Business Case'!G11*$C773*'Business Case'!G12*$B773)-'Business Case'!G11*$C773*'Business Case'!G13*$D773-'Business Case'!G14*$E773))*'Business Case'!$B$7-'Business Case'!$B$8*(('Business Case'!G11*$C773*'Business Case'!G12*$B773)-('Business Case'!F11*$C773*'Business Case'!F12*$B773))-'Business Case'!G15*$F773+'Business Case'!$B$8*('Business Case'!G11*$C773*'Business Case'!G12*$B773)</f>
        <v>991306429.733974</v>
      </c>
      <c r="N773" s="53" t="n">
        <f aca="false">IF(COUNT('Business Case'!B11:G11)=0,"",H773+NPV(G773,I773:M773))</f>
        <v>-123955782.6976</v>
      </c>
      <c r="P773" s="54" t="n">
        <f aca="true">RAND()</f>
        <v>0.978202486645001</v>
      </c>
      <c r="Q773" s="54" t="n">
        <f aca="true">RAND()</f>
        <v>0.441918595022463</v>
      </c>
      <c r="R773" s="54" t="n">
        <f aca="true">RAND()</f>
        <v>0.808424431372163</v>
      </c>
      <c r="S773" s="54" t="n">
        <f aca="true">RAND()</f>
        <v>0.895080645419823</v>
      </c>
      <c r="T773" s="54" t="n">
        <f aca="true">RAND()</f>
        <v>0.372954959707422</v>
      </c>
      <c r="U773" s="54" t="n">
        <f aca="true">RAND()</f>
        <v>0.264832799563709</v>
      </c>
    </row>
    <row r="774" customFormat="false" ht="15" hidden="false" customHeight="false" outlineLevel="0" collapsed="false">
      <c r="A774" s="50" t="n">
        <v>694</v>
      </c>
      <c r="B774" s="51" t="n">
        <f aca="false">1+IF($G$6=$E$6,$F$6,IF(P774&lt;($F$6-$E$6)/($G$6-$E$6),$E$6+SQRT(P774*($G$6-$E$6)*($F$6-$E$6)),$G$6-SQRT((1-P774)*($G$6-$E$6)*($G$6-$F$6))))</f>
        <v>0.987996534909379</v>
      </c>
      <c r="C774" s="51" t="n">
        <f aca="false">1+IF($G$7=$E$7,$F$7,IF(Q774&lt;($F$7-$E$7)/($G$7-$E$7),$E$7+SQRT(Q774*($G$7-$E$7)*($F$7-$E$7)),$G$7-SQRT((1-Q774)*($G$7-$E$7)*($G$7-$F$7))))</f>
        <v>0.942371460449452</v>
      </c>
      <c r="D774" s="51" t="n">
        <f aca="false">1+IF($G$8=$E$8,$F$8,IF(R774&lt;($F$8-$E$8)/($G$8-$E$8),$E$8+SQRT(R774*($G$8-$E$8)*($F$8-$E$8)),$G$8-SQRT((1-R774)*($G$8-$E$8)*($G$8-$F$8))))</f>
        <v>1.04027359469968</v>
      </c>
      <c r="E774" s="51" t="n">
        <f aca="false">1+IF($G$9=$E$9,$F$9,IF(S774&lt;($F$9-$E$9)/($G$9-$E$9),$E$9+SQRT(S774*($G$9-$E$9)*($F$9-$E$9)),$G$9-SQRT((1-S774)*($G$9-$E$9)*($G$9-$F$9))))</f>
        <v>1.05413374312687</v>
      </c>
      <c r="F774" s="51" t="n">
        <f aca="false">1+IF($G$10=$E$10,$F$10,IF(T774&lt;($F$10-$E$10)/($G$10-$E$10),$E$10+SQRT(T774*($G$10-$E$10)*($F$10-$E$10)),$G$10-SQRT((1-T774)*($G$10-$E$10)*($G$10-$F$10))))</f>
        <v>1.05613010761597</v>
      </c>
      <c r="G774" s="52" t="n">
        <f aca="false">IF($G$11=$E$11,$F$11,IF(U774&lt;($F$11-$E$11)/($G$11-$E$11),$E$11+SQRT(U774*($G$11-$E$11)*($F$11-$E$11)),$G$11-SQRT((1-U774)*($G$11-$E$11)*($G$11-$F$11))))</f>
        <v>0.095627710872859</v>
      </c>
      <c r="H774" s="53" t="n">
        <f aca="false">(('Business Case'!B11*$C774*'Business Case'!B12*$B774)-'Business Case'!B11*$C774*'Business Case'!B13*$D774-'Business Case'!B14*$E774)-MAX(0,(('Business Case'!B11*$C774*'Business Case'!B12*$B774)-'Business Case'!B11*$C774*'Business Case'!B13*$D774-'Business Case'!B14*$E774))*'Business Case'!$B$7-'Business Case'!$B$8*('Business Case'!B11*$C774*'Business Case'!B12*$B774)-'Business Case'!B15*$F774</f>
        <v>-2112260215.23194</v>
      </c>
      <c r="I774" s="53" t="n">
        <f aca="false">(('Business Case'!C11*$C774*'Business Case'!C12*$B774)-'Business Case'!C11*$C774*'Business Case'!C13*$D774-'Business Case'!C14*$E774)-MAX(0,(('Business Case'!C11*$C774*'Business Case'!C12*$B774)-'Business Case'!C11*$C774*'Business Case'!C13*$D774-'Business Case'!C14*$E774))*'Business Case'!$B$7-'Business Case'!$B$8*(('Business Case'!C11*$C774*'Business Case'!C12*$B774)-('Business Case'!B11*$C774*'Business Case'!B12*$B774))-'Business Case'!C15*$F774</f>
        <v>-43019541.6768868</v>
      </c>
      <c r="J774" s="53" t="n">
        <f aca="false">(('Business Case'!D11*$C774*'Business Case'!D12*$B774)-'Business Case'!D11*$C774*'Business Case'!D13*$D774-'Business Case'!D14*$E774)-MAX(0,(('Business Case'!D11*$C774*'Business Case'!D12*$B774)-'Business Case'!D11*$C774*'Business Case'!D13*$D774-'Business Case'!D14*$E774))*'Business Case'!$B$7-'Business Case'!$B$8*(('Business Case'!D11*$C774*'Business Case'!D12*$B774)-('Business Case'!C11*$C774*'Business Case'!C12*$B774))-'Business Case'!D15*$F774</f>
        <v>217737882.473581</v>
      </c>
      <c r="K774" s="53" t="n">
        <f aca="false">(('Business Case'!E11*$C774*'Business Case'!E12*$B774)-'Business Case'!E11*$C774*'Business Case'!E13*$D774-'Business Case'!E14*$E774)-MAX(0,(('Business Case'!E11*$C774*'Business Case'!E12*$B774)-'Business Case'!E11*$C774*'Business Case'!E13*$D774-'Business Case'!E14*$E774))*'Business Case'!$B$7-'Business Case'!$B$8*(('Business Case'!E11*$C774*'Business Case'!E12*$B774)-('Business Case'!D11*$C774*'Business Case'!D12*$B774))-'Business Case'!E15*$F774</f>
        <v>531301812.004847</v>
      </c>
      <c r="L774" s="53" t="n">
        <f aca="false">(('Business Case'!F11*$C774*'Business Case'!F12*$B774)-'Business Case'!F11*$C774*'Business Case'!F13*$D774-'Business Case'!F14*$E774)-MAX(0,(('Business Case'!F11*$C774*'Business Case'!F12*$B774)-'Business Case'!F11*$C774*'Business Case'!F13*$D774-'Business Case'!F14*$E774))*'Business Case'!$B$7-'Business Case'!$B$8*(('Business Case'!F11*$C774*'Business Case'!F12*$B774)-('Business Case'!E11*$C774*'Business Case'!E12*$B774))-'Business Case'!F15*$F774</f>
        <v>650398377.917082</v>
      </c>
      <c r="M774" s="53" t="n">
        <f aca="false">(('Business Case'!G11*$C774*'Business Case'!G12*$B774)-'Business Case'!G11*$C774*'Business Case'!G13*$D774-'Business Case'!G14*$E774)-MAX(0,(('Business Case'!G11*$C774*'Business Case'!G12*$B774)-'Business Case'!G11*$C774*'Business Case'!G13*$D774-'Business Case'!G14*$E774))*'Business Case'!$B$7-'Business Case'!$B$8*(('Business Case'!G11*$C774*'Business Case'!G12*$B774)-('Business Case'!F11*$C774*'Business Case'!F12*$B774))-'Business Case'!G15*$F774+'Business Case'!$B$8*('Business Case'!G11*$C774*'Business Case'!G12*$B774)</f>
        <v>827374212.825178</v>
      </c>
      <c r="N774" s="53" t="n">
        <f aca="false">IF(COUNT('Business Case'!B11:G11)=0,"",H774+NPV(G774,I774:M774))</f>
        <v>-590732587.155742</v>
      </c>
      <c r="P774" s="54" t="n">
        <f aca="true">RAND()</f>
        <v>0.481617579133589</v>
      </c>
      <c r="Q774" s="54" t="n">
        <f aca="true">RAND()</f>
        <v>0.289566182150142</v>
      </c>
      <c r="R774" s="54" t="n">
        <f aca="true">RAND()</f>
        <v>0.848251223261038</v>
      </c>
      <c r="S774" s="54" t="n">
        <f aca="true">RAND()</f>
        <v>0.859752432029842</v>
      </c>
      <c r="T774" s="54" t="n">
        <f aca="true">RAND()</f>
        <v>0.586029081308153</v>
      </c>
      <c r="U774" s="54" t="n">
        <f aca="true">RAND()</f>
        <v>0.105570432228317</v>
      </c>
    </row>
    <row r="775" customFormat="false" ht="15" hidden="false" customHeight="false" outlineLevel="0" collapsed="false">
      <c r="A775" s="50" t="n">
        <v>695</v>
      </c>
      <c r="B775" s="51" t="n">
        <f aca="false">1+IF($G$6=$E$6,$F$6,IF(P775&lt;($F$6-$E$6)/($G$6-$E$6),$E$6+SQRT(P775*($G$6-$E$6)*($F$6-$E$6)),$G$6-SQRT((1-P775)*($G$6-$E$6)*($G$6-$F$6))))</f>
        <v>1.00131895241476</v>
      </c>
      <c r="C775" s="51" t="n">
        <f aca="false">1+IF($G$7=$E$7,$F$7,IF(Q775&lt;($F$7-$E$7)/($G$7-$E$7),$E$7+SQRT(Q775*($G$7-$E$7)*($F$7-$E$7)),$G$7-SQRT((1-Q775)*($G$7-$E$7)*($G$7-$F$7))))</f>
        <v>1.01659819216</v>
      </c>
      <c r="D775" s="51" t="n">
        <f aca="false">1+IF($G$8=$E$8,$F$8,IF(R775&lt;($F$8-$E$8)/($G$8-$E$8),$E$8+SQRT(R775*($G$8-$E$8)*($F$8-$E$8)),$G$8-SQRT((1-R775)*($G$8-$E$8)*($G$8-$F$8))))</f>
        <v>0.975864289052494</v>
      </c>
      <c r="E775" s="51" t="n">
        <f aca="false">1+IF($G$9=$E$9,$F$9,IF(S775&lt;($F$9-$E$9)/($G$9-$E$9),$E$9+SQRT(S775*($G$9-$E$9)*($F$9-$E$9)),$G$9-SQRT((1-S775)*($G$9-$E$9)*($G$9-$F$9))))</f>
        <v>1.04481047143692</v>
      </c>
      <c r="F775" s="51" t="n">
        <f aca="false">1+IF($G$10=$E$10,$F$10,IF(T775&lt;($F$10-$E$10)/($G$10-$E$10),$E$10+SQRT(T775*($G$10-$E$10)*($F$10-$E$10)),$G$10-SQRT((1-T775)*($G$10-$E$10)*($G$10-$F$10))))</f>
        <v>0.979065162471188</v>
      </c>
      <c r="G775" s="52" t="n">
        <f aca="false">IF($G$11=$E$11,$F$11,IF(U775&lt;($F$11-$E$11)/($G$11-$E$11),$E$11+SQRT(U775*($G$11-$E$11)*($F$11-$E$11)),$G$11-SQRT((1-U775)*($G$11-$E$11)*($G$11-$F$11))))</f>
        <v>0.110281658264443</v>
      </c>
      <c r="H775" s="53" t="n">
        <f aca="false">(('Business Case'!B11*$C775*'Business Case'!B12*$B775)-'Business Case'!B11*$C775*'Business Case'!B13*$D775-'Business Case'!B14*$E775)-MAX(0,(('Business Case'!B11*$C775*'Business Case'!B12*$B775)-'Business Case'!B11*$C775*'Business Case'!B13*$D775-'Business Case'!B14*$E775))*'Business Case'!$B$7-'Business Case'!$B$8*('Business Case'!B11*$C775*'Business Case'!B12*$B775)-'Business Case'!B15*$F775</f>
        <v>-1958130324.94238</v>
      </c>
      <c r="I775" s="53" t="n">
        <f aca="false">(('Business Case'!C11*$C775*'Business Case'!C12*$B775)-'Business Case'!C11*$C775*'Business Case'!C13*$D775-'Business Case'!C14*$E775)-MAX(0,(('Business Case'!C11*$C775*'Business Case'!C12*$B775)-'Business Case'!C11*$C775*'Business Case'!C13*$D775-'Business Case'!C14*$E775))*'Business Case'!$B$7-'Business Case'!$B$8*(('Business Case'!C11*$C775*'Business Case'!C12*$B775)-('Business Case'!B11*$C775*'Business Case'!B12*$B775))-'Business Case'!C15*$F775</f>
        <v>26660524.2600873</v>
      </c>
      <c r="J775" s="53" t="n">
        <f aca="false">(('Business Case'!D11*$C775*'Business Case'!D12*$B775)-'Business Case'!D11*$C775*'Business Case'!D13*$D775-'Business Case'!D14*$E775)-MAX(0,(('Business Case'!D11*$C775*'Business Case'!D12*$B775)-'Business Case'!D11*$C775*'Business Case'!D13*$D775-'Business Case'!D14*$E775))*'Business Case'!$B$7-'Business Case'!$B$8*(('Business Case'!D11*$C775*'Business Case'!D12*$B775)-('Business Case'!C11*$C775*'Business Case'!C12*$B775))-'Business Case'!D15*$F775</f>
        <v>352569573.473355</v>
      </c>
      <c r="K775" s="53" t="n">
        <f aca="false">(('Business Case'!E11*$C775*'Business Case'!E12*$B775)-'Business Case'!E11*$C775*'Business Case'!E13*$D775-'Business Case'!E14*$E775)-MAX(0,(('Business Case'!E11*$C775*'Business Case'!E12*$B775)-'Business Case'!E11*$C775*'Business Case'!E13*$D775-'Business Case'!E14*$E775))*'Business Case'!$B$7-'Business Case'!$B$8*(('Business Case'!E11*$C775*'Business Case'!E12*$B775)-('Business Case'!D11*$C775*'Business Case'!D12*$B775))-'Business Case'!E15*$F775</f>
        <v>727431880.810183</v>
      </c>
      <c r="L775" s="53" t="n">
        <f aca="false">(('Business Case'!F11*$C775*'Business Case'!F12*$B775)-'Business Case'!F11*$C775*'Business Case'!F13*$D775-'Business Case'!F14*$E775)-MAX(0,(('Business Case'!F11*$C775*'Business Case'!F12*$B775)-'Business Case'!F11*$C775*'Business Case'!F13*$D775-'Business Case'!F14*$E775))*'Business Case'!$B$7-'Business Case'!$B$8*(('Business Case'!F11*$C775*'Business Case'!F12*$B775)-('Business Case'!E11*$C775*'Business Case'!E12*$B775))-'Business Case'!F15*$F775</f>
        <v>871248203.659761</v>
      </c>
      <c r="M775" s="53" t="n">
        <f aca="false">(('Business Case'!G11*$C775*'Business Case'!G12*$B775)-'Business Case'!G11*$C775*'Business Case'!G13*$D775-'Business Case'!G14*$E775)-MAX(0,(('Business Case'!G11*$C775*'Business Case'!G12*$B775)-'Business Case'!G11*$C775*'Business Case'!G13*$D775-'Business Case'!G14*$E775))*'Business Case'!$B$7-'Business Case'!$B$8*(('Business Case'!G11*$C775*'Business Case'!G12*$B775)-('Business Case'!F11*$C775*'Business Case'!F12*$B775))-'Business Case'!G15*$F775+'Business Case'!$B$8*('Business Case'!G11*$C775*'Business Case'!G12*$B775)</f>
        <v>1064738055.77478</v>
      </c>
      <c r="N775" s="53" t="n">
        <f aca="false">IF(COUNT('Business Case'!B11:G11)=0,"",H775+NPV(G775,I775:M775))</f>
        <v>87782691.459651</v>
      </c>
      <c r="P775" s="54" t="n">
        <f aca="true">RAND()</f>
        <v>0.688286782855929</v>
      </c>
      <c r="Q775" s="54" t="n">
        <f aca="true">RAND()</f>
        <v>0.661027765048004</v>
      </c>
      <c r="R775" s="54" t="n">
        <f aca="true">RAND()</f>
        <v>0.102917145875531</v>
      </c>
      <c r="S775" s="54" t="n">
        <f aca="true">RAND()</f>
        <v>0.796941062465647</v>
      </c>
      <c r="T775" s="54" t="n">
        <f aca="true">RAND()</f>
        <v>0.0675826935581259</v>
      </c>
      <c r="U775" s="54" t="n">
        <f aca="true">RAND()</f>
        <v>0.842589723184892</v>
      </c>
    </row>
    <row r="776" customFormat="false" ht="15" hidden="false" customHeight="false" outlineLevel="0" collapsed="false">
      <c r="A776" s="50" t="n">
        <v>696</v>
      </c>
      <c r="B776" s="51" t="n">
        <f aca="false">1+IF($G$6=$E$6,$F$6,IF(P776&lt;($F$6-$E$6)/($G$6-$E$6),$E$6+SQRT(P776*($G$6-$E$6)*($F$6-$E$6)),$G$6-SQRT((1-P776)*($G$6-$E$6)*($G$6-$F$6))))</f>
        <v>0.994970914898971</v>
      </c>
      <c r="C776" s="51" t="n">
        <f aca="false">1+IF($G$7=$E$7,$F$7,IF(Q776&lt;($F$7-$E$7)/($G$7-$E$7),$E$7+SQRT(Q776*($G$7-$E$7)*($F$7-$E$7)),$G$7-SQRT((1-Q776)*($G$7-$E$7)*($G$7-$F$7))))</f>
        <v>1.11979674016672</v>
      </c>
      <c r="D776" s="51" t="n">
        <f aca="false">1+IF($G$8=$E$8,$F$8,IF(R776&lt;($F$8-$E$8)/($G$8-$E$8),$E$8+SQRT(R776*($G$8-$E$8)*($F$8-$E$8)),$G$8-SQRT((1-R776)*($G$8-$E$8)*($G$8-$F$8))))</f>
        <v>1.00759548529191</v>
      </c>
      <c r="E776" s="51" t="n">
        <f aca="false">1+IF($G$9=$E$9,$F$9,IF(S776&lt;($F$9-$E$9)/($G$9-$E$9),$E$9+SQRT(S776*($G$9-$E$9)*($F$9-$E$9)),$G$9-SQRT((1-S776)*($G$9-$E$9)*($G$9-$F$9))))</f>
        <v>0.985427680775181</v>
      </c>
      <c r="F776" s="51" t="n">
        <f aca="false">1+IF($G$10=$E$10,$F$10,IF(T776&lt;($F$10-$E$10)/($G$10-$E$10),$E$10+SQRT(T776*($G$10-$E$10)*($F$10-$E$10)),$G$10-SQRT((1-T776)*($G$10-$E$10)*($G$10-$F$10))))</f>
        <v>0.991274776170735</v>
      </c>
      <c r="G776" s="52" t="n">
        <f aca="false">IF($G$11=$E$11,$F$11,IF(U776&lt;($F$11-$E$11)/($G$11-$E$11),$E$11+SQRT(U776*($G$11-$E$11)*($F$11-$E$11)),$G$11-SQRT((1-U776)*($G$11-$E$11)*($G$11-$F$11))))</f>
        <v>0.10174550597254</v>
      </c>
      <c r="H776" s="53" t="n">
        <f aca="false">(('Business Case'!B11*$C776*'Business Case'!B12*$B776)-'Business Case'!B11*$C776*'Business Case'!B13*$D776-'Business Case'!B14*$E776)-MAX(0,(('Business Case'!B11*$C776*'Business Case'!B12*$B776)-'Business Case'!B11*$C776*'Business Case'!B13*$D776-'Business Case'!B14*$E776))*'Business Case'!$B$7-'Business Case'!$B$8*('Business Case'!B11*$C776*'Business Case'!B12*$B776)-'Business Case'!B15*$F776</f>
        <v>-1982549552.34147</v>
      </c>
      <c r="I776" s="53" t="n">
        <f aca="false">(('Business Case'!C11*$C776*'Business Case'!C12*$B776)-'Business Case'!C11*$C776*'Business Case'!C13*$D776-'Business Case'!C14*$E776)-MAX(0,(('Business Case'!C11*$C776*'Business Case'!C12*$B776)-'Business Case'!C11*$C776*'Business Case'!C13*$D776-'Business Case'!C14*$E776))*'Business Case'!$B$7-'Business Case'!$B$8*(('Business Case'!C11*$C776*'Business Case'!C12*$B776)-('Business Case'!B11*$C776*'Business Case'!B12*$B776))-'Business Case'!C15*$F776</f>
        <v>37967459.5534759</v>
      </c>
      <c r="J776" s="53" t="n">
        <f aca="false">(('Business Case'!D11*$C776*'Business Case'!D12*$B776)-'Business Case'!D11*$C776*'Business Case'!D13*$D776-'Business Case'!D14*$E776)-MAX(0,(('Business Case'!D11*$C776*'Business Case'!D12*$B776)-'Business Case'!D11*$C776*'Business Case'!D13*$D776-'Business Case'!D14*$E776))*'Business Case'!$B$7-'Business Case'!$B$8*(('Business Case'!D11*$C776*'Business Case'!D12*$B776)-('Business Case'!C11*$C776*'Business Case'!C12*$B776))-'Business Case'!D15*$F776</f>
        <v>372948536.227683</v>
      </c>
      <c r="K776" s="53" t="n">
        <f aca="false">(('Business Case'!E11*$C776*'Business Case'!E12*$B776)-'Business Case'!E11*$C776*'Business Case'!E13*$D776-'Business Case'!E14*$E776)-MAX(0,(('Business Case'!E11*$C776*'Business Case'!E12*$B776)-'Business Case'!E11*$C776*'Business Case'!E13*$D776-'Business Case'!E14*$E776))*'Business Case'!$B$7-'Business Case'!$B$8*(('Business Case'!E11*$C776*'Business Case'!E12*$B776)-('Business Case'!D11*$C776*'Business Case'!D12*$B776))-'Business Case'!E15*$F776</f>
        <v>757493351.710428</v>
      </c>
      <c r="L776" s="53" t="n">
        <f aca="false">(('Business Case'!F11*$C776*'Business Case'!F12*$B776)-'Business Case'!F11*$C776*'Business Case'!F13*$D776-'Business Case'!F14*$E776)-MAX(0,(('Business Case'!F11*$C776*'Business Case'!F12*$B776)-'Business Case'!F11*$C776*'Business Case'!F13*$D776-'Business Case'!F14*$E776))*'Business Case'!$B$7-'Business Case'!$B$8*(('Business Case'!F11*$C776*'Business Case'!F12*$B776)-('Business Case'!E11*$C776*'Business Case'!E12*$B776))-'Business Case'!F15*$F776</f>
        <v>907659259.466782</v>
      </c>
      <c r="M776" s="53" t="n">
        <f aca="false">(('Business Case'!G11*$C776*'Business Case'!G12*$B776)-'Business Case'!G11*$C776*'Business Case'!G13*$D776-'Business Case'!G14*$E776)-MAX(0,(('Business Case'!G11*$C776*'Business Case'!G12*$B776)-'Business Case'!G11*$C776*'Business Case'!G13*$D776-'Business Case'!G14*$E776))*'Business Case'!$B$7-'Business Case'!$B$8*(('Business Case'!G11*$C776*'Business Case'!G12*$B776)-('Business Case'!F11*$C776*'Business Case'!F12*$B776))-'Business Case'!G15*$F776+'Business Case'!$B$8*('Business Case'!G11*$C776*'Business Case'!G12*$B776)</f>
        <v>1119439778.22402</v>
      </c>
      <c r="N776" s="53" t="n">
        <f aca="false">IF(COUNT('Business Case'!B11:G11)=0,"",H776+NPV(G776,I776:M776))</f>
        <v>231192375.000344</v>
      </c>
      <c r="P776" s="54" t="n">
        <f aca="true">RAND()</f>
        <v>0.585483133415496</v>
      </c>
      <c r="Q776" s="54" t="n">
        <f aca="true">RAND()</f>
        <v>0.982624058960828</v>
      </c>
      <c r="R776" s="54" t="n">
        <f aca="true">RAND()</f>
        <v>0.495921754796662</v>
      </c>
      <c r="S776" s="54" t="n">
        <f aca="true">RAND()</f>
        <v>0.167349408681088</v>
      </c>
      <c r="T776" s="54" t="n">
        <f aca="true">RAND()</f>
        <v>0.136288571835543</v>
      </c>
      <c r="U776" s="54" t="n">
        <f aca="true">RAND()</f>
        <v>0.444622413002374</v>
      </c>
    </row>
    <row r="777" customFormat="false" ht="15" hidden="false" customHeight="false" outlineLevel="0" collapsed="false">
      <c r="A777" s="50" t="n">
        <v>697</v>
      </c>
      <c r="B777" s="51" t="n">
        <f aca="false">1+IF($G$6=$E$6,$F$6,IF(P777&lt;($F$6-$E$6)/($G$6-$E$6),$E$6+SQRT(P777*($G$6-$E$6)*($F$6-$E$6)),$G$6-SQRT((1-P777)*($G$6-$E$6)*($G$6-$F$6))))</f>
        <v>1.00284650075936</v>
      </c>
      <c r="C777" s="51" t="n">
        <f aca="false">1+IF($G$7=$E$7,$F$7,IF(Q777&lt;($F$7-$E$7)/($G$7-$E$7),$E$7+SQRT(Q777*($G$7-$E$7)*($F$7-$E$7)),$G$7-SQRT((1-Q777)*($G$7-$E$7)*($G$7-$F$7))))</f>
        <v>0.900190313133656</v>
      </c>
      <c r="D777" s="51" t="n">
        <f aca="false">1+IF($G$8=$E$8,$F$8,IF(R777&lt;($F$8-$E$8)/($G$8-$E$8),$E$8+SQRT(R777*($G$8-$E$8)*($F$8-$E$8)),$G$8-SQRT((1-R777)*($G$8-$E$8)*($G$8-$F$8))))</f>
        <v>0.975912024926233</v>
      </c>
      <c r="E777" s="51" t="n">
        <f aca="false">1+IF($G$9=$E$9,$F$9,IF(S777&lt;($F$9-$E$9)/($G$9-$E$9),$E$9+SQRT(S777*($G$9-$E$9)*($F$9-$E$9)),$G$9-SQRT((1-S777)*($G$9-$E$9)*($G$9-$F$9))))</f>
        <v>1.03229946795521</v>
      </c>
      <c r="F777" s="51" t="n">
        <f aca="false">1+IF($G$10=$E$10,$F$10,IF(T777&lt;($F$10-$E$10)/($G$10-$E$10),$E$10+SQRT(T777*($G$10-$E$10)*($F$10-$E$10)),$G$10-SQRT((1-T777)*($G$10-$E$10)*($G$10-$F$10))))</f>
        <v>0.994256010735545</v>
      </c>
      <c r="G777" s="52" t="n">
        <f aca="false">IF($G$11=$E$11,$F$11,IF(U777&lt;($F$11-$E$11)/($G$11-$E$11),$E$11+SQRT(U777*($G$11-$E$11)*($F$11-$E$11)),$G$11-SQRT((1-U777)*($G$11-$E$11)*($G$11-$F$11))))</f>
        <v>0.11243836386153</v>
      </c>
      <c r="H777" s="53" t="n">
        <f aca="false">(('Business Case'!B11*$C777*'Business Case'!B12*$B777)-'Business Case'!B11*$C777*'Business Case'!B13*$D777-'Business Case'!B14*$E777)-MAX(0,(('Business Case'!B11*$C777*'Business Case'!B12*$B777)-'Business Case'!B11*$C777*'Business Case'!B13*$D777-'Business Case'!B14*$E777))*'Business Case'!$B$7-'Business Case'!$B$8*('Business Case'!B11*$C777*'Business Case'!B12*$B777)-'Business Case'!B15*$F777</f>
        <v>-1988512021.47109</v>
      </c>
      <c r="I777" s="53" t="n">
        <f aca="false">(('Business Case'!C11*$C777*'Business Case'!C12*$B777)-'Business Case'!C11*$C777*'Business Case'!C13*$D777-'Business Case'!C14*$E777)-MAX(0,(('Business Case'!C11*$C777*'Business Case'!C12*$B777)-'Business Case'!C11*$C777*'Business Case'!C13*$D777-'Business Case'!C14*$E777))*'Business Case'!$B$7-'Business Case'!$B$8*(('Business Case'!C11*$C777*'Business Case'!C12*$B777)-('Business Case'!B11*$C777*'Business Case'!B12*$B777))-'Business Case'!C15*$F777</f>
        <v>-3322895.38341883</v>
      </c>
      <c r="J777" s="53" t="n">
        <f aca="false">(('Business Case'!D11*$C777*'Business Case'!D12*$B777)-'Business Case'!D11*$C777*'Business Case'!D13*$D777-'Business Case'!D14*$E777)-MAX(0,(('Business Case'!D11*$C777*'Business Case'!D12*$B777)-'Business Case'!D11*$C777*'Business Case'!D13*$D777-'Business Case'!D14*$E777))*'Business Case'!$B$7-'Business Case'!$B$8*(('Business Case'!D11*$C777*'Business Case'!D12*$B777)-('Business Case'!C11*$C777*'Business Case'!C12*$B777))-'Business Case'!D15*$F777</f>
        <v>286371494.905326</v>
      </c>
      <c r="K777" s="53" t="n">
        <f aca="false">(('Business Case'!E11*$C777*'Business Case'!E12*$B777)-'Business Case'!E11*$C777*'Business Case'!E13*$D777-'Business Case'!E14*$E777)-MAX(0,(('Business Case'!E11*$C777*'Business Case'!E12*$B777)-'Business Case'!E11*$C777*'Business Case'!E13*$D777-'Business Case'!E14*$E777))*'Business Case'!$B$7-'Business Case'!$B$8*(('Business Case'!E11*$C777*'Business Case'!E12*$B777)-('Business Case'!D11*$C777*'Business Case'!D12*$B777))-'Business Case'!E15*$F777</f>
        <v>625778685.730847</v>
      </c>
      <c r="L777" s="53" t="n">
        <f aca="false">(('Business Case'!F11*$C777*'Business Case'!F12*$B777)-'Business Case'!F11*$C777*'Business Case'!F13*$D777-'Business Case'!F14*$E777)-MAX(0,(('Business Case'!F11*$C777*'Business Case'!F12*$B777)-'Business Case'!F11*$C777*'Business Case'!F13*$D777-'Business Case'!F14*$E777))*'Business Case'!$B$7-'Business Case'!$B$8*(('Business Case'!F11*$C777*'Business Case'!F12*$B777)-('Business Case'!E11*$C777*'Business Case'!E12*$B777))-'Business Case'!F15*$F777</f>
        <v>753542615.997347</v>
      </c>
      <c r="M777" s="53" t="n">
        <f aca="false">(('Business Case'!G11*$C777*'Business Case'!G12*$B777)-'Business Case'!G11*$C777*'Business Case'!G13*$D777-'Business Case'!G14*$E777)-MAX(0,(('Business Case'!G11*$C777*'Business Case'!G12*$B777)-'Business Case'!G11*$C777*'Business Case'!G13*$D777-'Business Case'!G14*$E777))*'Business Case'!$B$7-'Business Case'!$B$8*(('Business Case'!G11*$C777*'Business Case'!G12*$B777)-('Business Case'!F11*$C777*'Business Case'!F12*$B777))-'Business Case'!G15*$F777+'Business Case'!$B$8*('Business Case'!G11*$C777*'Business Case'!G12*$B777)</f>
        <v>925137850.267067</v>
      </c>
      <c r="N777" s="53" t="n">
        <f aca="false">IF(COUNT('Business Case'!B11:G11)=0,"",H777+NPV(G777,I777:M777))</f>
        <v>-270451965.758345</v>
      </c>
      <c r="P777" s="54" t="n">
        <f aca="true">RAND()</f>
        <v>0.712420311286597</v>
      </c>
      <c r="Q777" s="54" t="n">
        <f aca="true">RAND()</f>
        <v>0.143401412083144</v>
      </c>
      <c r="R777" s="54" t="n">
        <f aca="true">RAND()</f>
        <v>0.10329739011965</v>
      </c>
      <c r="S777" s="54" t="n">
        <f aca="true">RAND()</f>
        <v>0.694442530723471</v>
      </c>
      <c r="T777" s="54" t="n">
        <f aca="true">RAND()</f>
        <v>0.156687558897972</v>
      </c>
      <c r="U777" s="54" t="n">
        <f aca="true">RAND()</f>
        <v>0.904702764848976</v>
      </c>
    </row>
    <row r="778" customFormat="false" ht="15" hidden="false" customHeight="false" outlineLevel="0" collapsed="false">
      <c r="A778" s="50" t="n">
        <v>698</v>
      </c>
      <c r="B778" s="51" t="n">
        <f aca="false">1+IF($G$6=$E$6,$F$6,IF(P778&lt;($F$6-$E$6)/($G$6-$E$6),$E$6+SQRT(P778*($G$6-$E$6)*($F$6-$E$6)),$G$6-SQRT((1-P778)*($G$6-$E$6)*($G$6-$F$6))))</f>
        <v>0.960132374497734</v>
      </c>
      <c r="C778" s="51" t="n">
        <f aca="false">1+IF($G$7=$E$7,$F$7,IF(Q778&lt;($F$7-$E$7)/($G$7-$E$7),$E$7+SQRT(Q778*($G$7-$E$7)*($F$7-$E$7)),$G$7-SQRT((1-Q778)*($G$7-$E$7)*($G$7-$F$7))))</f>
        <v>1.02687033056816</v>
      </c>
      <c r="D778" s="51" t="n">
        <f aca="false">1+IF($G$8=$E$8,$F$8,IF(R778&lt;($F$8-$E$8)/($G$8-$E$8),$E$8+SQRT(R778*($G$8-$E$8)*($F$8-$E$8)),$G$8-SQRT((1-R778)*($G$8-$E$8)*($G$8-$F$8))))</f>
        <v>1.00888104657946</v>
      </c>
      <c r="E778" s="51" t="n">
        <f aca="false">1+IF($G$9=$E$9,$F$9,IF(S778&lt;($F$9-$E$9)/($G$9-$E$9),$E$9+SQRT(S778*($G$9-$E$9)*($F$9-$E$9)),$G$9-SQRT((1-S778)*($G$9-$E$9)*($G$9-$F$9))))</f>
        <v>1.02805608681345</v>
      </c>
      <c r="F778" s="51" t="n">
        <f aca="false">1+IF($G$10=$E$10,$F$10,IF(T778&lt;($F$10-$E$10)/($G$10-$E$10),$E$10+SQRT(T778*($G$10-$E$10)*($F$10-$E$10)),$G$10-SQRT((1-T778)*($G$10-$E$10)*($G$10-$F$10))))</f>
        <v>1.13298090443719</v>
      </c>
      <c r="G778" s="52" t="n">
        <f aca="false">IF($G$11=$E$11,$F$11,IF(U778&lt;($F$11-$E$11)/($G$11-$E$11),$E$11+SQRT(U778*($G$11-$E$11)*($F$11-$E$11)),$G$11-SQRT((1-U778)*($G$11-$E$11)*($G$11-$F$11))))</f>
        <v>0.0971869988089115</v>
      </c>
      <c r="H778" s="53" t="n">
        <f aca="false">(('Business Case'!B11*$C778*'Business Case'!B12*$B778)-'Business Case'!B11*$C778*'Business Case'!B13*$D778-'Business Case'!B14*$E778)-MAX(0,(('Business Case'!B11*$C778*'Business Case'!B12*$B778)-'Business Case'!B11*$C778*'Business Case'!B13*$D778-'Business Case'!B14*$E778))*'Business Case'!$B$7-'Business Case'!$B$8*('Business Case'!B11*$C778*'Business Case'!B12*$B778)-'Business Case'!B15*$F778</f>
        <v>-2265961808.87438</v>
      </c>
      <c r="I778" s="53" t="n">
        <f aca="false">(('Business Case'!C11*$C778*'Business Case'!C12*$B778)-'Business Case'!C11*$C778*'Business Case'!C13*$D778-'Business Case'!C14*$E778)-MAX(0,(('Business Case'!C11*$C778*'Business Case'!C12*$B778)-'Business Case'!C11*$C778*'Business Case'!C13*$D778-'Business Case'!C14*$E778))*'Business Case'!$B$7-'Business Case'!$B$8*(('Business Case'!C11*$C778*'Business Case'!C12*$B778)-('Business Case'!B11*$C778*'Business Case'!B12*$B778))-'Business Case'!C15*$F778</f>
        <v>-33393516.5378424</v>
      </c>
      <c r="J778" s="53" t="n">
        <f aca="false">(('Business Case'!D11*$C778*'Business Case'!D12*$B778)-'Business Case'!D11*$C778*'Business Case'!D13*$D778-'Business Case'!D14*$E778)-MAX(0,(('Business Case'!D11*$C778*'Business Case'!D12*$B778)-'Business Case'!D11*$C778*'Business Case'!D13*$D778-'Business Case'!D14*$E778))*'Business Case'!$B$7-'Business Case'!$B$8*(('Business Case'!D11*$C778*'Business Case'!D12*$B778)-('Business Case'!C11*$C778*'Business Case'!C12*$B778))-'Business Case'!D15*$F778</f>
        <v>243811319.218164</v>
      </c>
      <c r="K778" s="53" t="n">
        <f aca="false">(('Business Case'!E11*$C778*'Business Case'!E12*$B778)-'Business Case'!E11*$C778*'Business Case'!E13*$D778-'Business Case'!E14*$E778)-MAX(0,(('Business Case'!E11*$C778*'Business Case'!E12*$B778)-'Business Case'!E11*$C778*'Business Case'!E13*$D778-'Business Case'!E14*$E778))*'Business Case'!$B$7-'Business Case'!$B$8*(('Business Case'!E11*$C778*'Business Case'!E12*$B778)-('Business Case'!D11*$C778*'Business Case'!D12*$B778))-'Business Case'!E15*$F778</f>
        <v>577665200.19603</v>
      </c>
      <c r="L778" s="53" t="n">
        <f aca="false">(('Business Case'!F11*$C778*'Business Case'!F12*$B778)-'Business Case'!F11*$C778*'Business Case'!F13*$D778-'Business Case'!F14*$E778)-MAX(0,(('Business Case'!F11*$C778*'Business Case'!F12*$B778)-'Business Case'!F11*$C778*'Business Case'!F13*$D778-'Business Case'!F14*$E778))*'Business Case'!$B$7-'Business Case'!$B$8*(('Business Case'!F11*$C778*'Business Case'!F12*$B778)-('Business Case'!E11*$C778*'Business Case'!E12*$B778))-'Business Case'!F15*$F778</f>
        <v>704140602.98487</v>
      </c>
      <c r="M778" s="53" t="n">
        <f aca="false">(('Business Case'!G11*$C778*'Business Case'!G12*$B778)-'Business Case'!G11*$C778*'Business Case'!G13*$D778-'Business Case'!G14*$E778)-MAX(0,(('Business Case'!G11*$C778*'Business Case'!G12*$B778)-'Business Case'!G11*$C778*'Business Case'!G13*$D778-'Business Case'!G14*$E778))*'Business Case'!$B$7-'Business Case'!$B$8*(('Business Case'!G11*$C778*'Business Case'!G12*$B778)-('Business Case'!F11*$C778*'Business Case'!F12*$B778))-'Business Case'!G15*$F778+'Business Case'!$B$8*('Business Case'!G11*$C778*'Business Case'!G12*$B778)</f>
        <v>891546452.770813</v>
      </c>
      <c r="N778" s="53" t="n">
        <f aca="false">IF(COUNT('Business Case'!B11:G11)=0,"",H778+NPV(G778,I778:M778))</f>
        <v>-609908952.539946</v>
      </c>
      <c r="P778" s="54" t="n">
        <f aca="true">RAND()</f>
        <v>0.16777161279441</v>
      </c>
      <c r="Q778" s="54" t="n">
        <f aca="true">RAND()</f>
        <v>0.711220657249647</v>
      </c>
      <c r="R778" s="54" t="n">
        <f aca="true">RAND()</f>
        <v>0.513662929266039</v>
      </c>
      <c r="S778" s="54" t="n">
        <f aca="true">RAND()</f>
        <v>0.65493822369375</v>
      </c>
      <c r="T778" s="54" t="n">
        <f aca="true">RAND()</f>
        <v>0.910168816598853</v>
      </c>
      <c r="U778" s="54" t="n">
        <f aca="true">RAND()</f>
        <v>0.172176506264315</v>
      </c>
    </row>
    <row r="779" customFormat="false" ht="15" hidden="false" customHeight="false" outlineLevel="0" collapsed="false">
      <c r="A779" s="50" t="n">
        <v>699</v>
      </c>
      <c r="B779" s="51" t="n">
        <f aca="false">1+IF($G$6=$E$6,$F$6,IF(P779&lt;($F$6-$E$6)/($G$6-$E$6),$E$6+SQRT(P779*($G$6-$E$6)*($F$6-$E$6)),$G$6-SQRT((1-P779)*($G$6-$E$6)*($G$6-$F$6))))</f>
        <v>0.951644119874266</v>
      </c>
      <c r="C779" s="51" t="n">
        <f aca="false">1+IF($G$7=$E$7,$F$7,IF(Q779&lt;($F$7-$E$7)/($G$7-$E$7),$E$7+SQRT(Q779*($G$7-$E$7)*($F$7-$E$7)),$G$7-SQRT((1-Q779)*($G$7-$E$7)*($G$7-$F$7))))</f>
        <v>0.972367803030381</v>
      </c>
      <c r="D779" s="51" t="n">
        <f aca="false">1+IF($G$8=$E$8,$F$8,IF(R779&lt;($F$8-$E$8)/($G$8-$E$8),$E$8+SQRT(R779*($G$8-$E$8)*($F$8-$E$8)),$G$8-SQRT((1-R779)*($G$8-$E$8)*($G$8-$F$8))))</f>
        <v>1.02631526168407</v>
      </c>
      <c r="E779" s="51" t="n">
        <f aca="false">1+IF($G$9=$E$9,$F$9,IF(S779&lt;($F$9-$E$9)/($G$9-$E$9),$E$9+SQRT(S779*($G$9-$E$9)*($F$9-$E$9)),$G$9-SQRT((1-S779)*($G$9-$E$9)*($G$9-$F$9))))</f>
        <v>0.982911012249707</v>
      </c>
      <c r="F779" s="51" t="n">
        <f aca="false">1+IF($G$10=$E$10,$F$10,IF(T779&lt;($F$10-$E$10)/($G$10-$E$10),$E$10+SQRT(T779*($G$10-$E$10)*($F$10-$E$10)),$G$10-SQRT((1-T779)*($G$10-$E$10)*($G$10-$F$10))))</f>
        <v>1.00977023153305</v>
      </c>
      <c r="G779" s="52" t="n">
        <f aca="false">IF($G$11=$E$11,$F$11,IF(U779&lt;($F$11-$E$11)/($G$11-$E$11),$E$11+SQRT(U779*($G$11-$E$11)*($F$11-$E$11)),$G$11-SQRT((1-U779)*($G$11-$E$11)*($G$11-$F$11))))</f>
        <v>0.0956954560700026</v>
      </c>
      <c r="H779" s="53" t="n">
        <f aca="false">(('Business Case'!B11*$C779*'Business Case'!B12*$B779)-'Business Case'!B11*$C779*'Business Case'!B13*$D779-'Business Case'!B14*$E779)-MAX(0,(('Business Case'!B11*$C779*'Business Case'!B12*$B779)-'Business Case'!B11*$C779*'Business Case'!B13*$D779-'Business Case'!B14*$E779))*'Business Case'!$B$7-'Business Case'!$B$8*('Business Case'!B11*$C779*'Business Case'!B12*$B779)-'Business Case'!B15*$F779</f>
        <v>-2019540463.0661</v>
      </c>
      <c r="I779" s="53" t="n">
        <f aca="false">(('Business Case'!C11*$C779*'Business Case'!C12*$B779)-'Business Case'!C11*$C779*'Business Case'!C13*$D779-'Business Case'!C14*$E779)-MAX(0,(('Business Case'!C11*$C779*'Business Case'!C12*$B779)-'Business Case'!C11*$C779*'Business Case'!C13*$D779-'Business Case'!C14*$E779))*'Business Case'!$B$7-'Business Case'!$B$8*(('Business Case'!C11*$C779*'Business Case'!C12*$B779)-('Business Case'!B11*$C779*'Business Case'!B12*$B779))-'Business Case'!C15*$F779</f>
        <v>-41663886.6494737</v>
      </c>
      <c r="J779" s="53" t="n">
        <f aca="false">(('Business Case'!D11*$C779*'Business Case'!D12*$B779)-'Business Case'!D11*$C779*'Business Case'!D13*$D779-'Business Case'!D14*$E779)-MAX(0,(('Business Case'!D11*$C779*'Business Case'!D12*$B779)-'Business Case'!D11*$C779*'Business Case'!D13*$D779-'Business Case'!D14*$E779))*'Business Case'!$B$7-'Business Case'!$B$8*(('Business Case'!D11*$C779*'Business Case'!D12*$B779)-('Business Case'!C11*$C779*'Business Case'!C12*$B779))-'Business Case'!D15*$F779</f>
        <v>205389241.409592</v>
      </c>
      <c r="K779" s="53" t="n">
        <f aca="false">(('Business Case'!E11*$C779*'Business Case'!E12*$B779)-'Business Case'!E11*$C779*'Business Case'!E13*$D779-'Business Case'!E14*$E779)-MAX(0,(('Business Case'!E11*$C779*'Business Case'!E12*$B779)-'Business Case'!E11*$C779*'Business Case'!E13*$D779-'Business Case'!E14*$E779))*'Business Case'!$B$7-'Business Case'!$B$8*(('Business Case'!E11*$C779*'Business Case'!E12*$B779)-('Business Case'!D11*$C779*'Business Case'!D12*$B779))-'Business Case'!E15*$F779</f>
        <v>502930881.045311</v>
      </c>
      <c r="L779" s="53" t="n">
        <f aca="false">(('Business Case'!F11*$C779*'Business Case'!F12*$B779)-'Business Case'!F11*$C779*'Business Case'!F13*$D779-'Business Case'!F14*$E779)-MAX(0,(('Business Case'!F11*$C779*'Business Case'!F12*$B779)-'Business Case'!F11*$C779*'Business Case'!F13*$D779-'Business Case'!F14*$E779))*'Business Case'!$B$7-'Business Case'!$B$8*(('Business Case'!F11*$C779*'Business Case'!F12*$B779)-('Business Case'!E11*$C779*'Business Case'!E12*$B779))-'Business Case'!F15*$F779</f>
        <v>617261954.14055</v>
      </c>
      <c r="M779" s="53" t="n">
        <f aca="false">(('Business Case'!G11*$C779*'Business Case'!G12*$B779)-'Business Case'!G11*$C779*'Business Case'!G13*$D779-'Business Case'!G14*$E779)-MAX(0,(('Business Case'!G11*$C779*'Business Case'!G12*$B779)-'Business Case'!G11*$C779*'Business Case'!G13*$D779-'Business Case'!G14*$E779))*'Business Case'!$B$7-'Business Case'!$B$8*(('Business Case'!G11*$C779*'Business Case'!G12*$B779)-('Business Case'!F11*$C779*'Business Case'!F12*$B779))-'Business Case'!G15*$F779+'Business Case'!$B$8*('Business Case'!G11*$C779*'Business Case'!G12*$B779)</f>
        <v>793152121.389413</v>
      </c>
      <c r="N779" s="53" t="n">
        <f aca="false">IF(COUNT('Business Case'!B11:G11)=0,"",H779+NPV(G779,I779:M779))</f>
        <v>-573657957.505537</v>
      </c>
      <c r="P779" s="54" t="n">
        <f aca="true">RAND()</f>
        <v>0.104307325272595</v>
      </c>
      <c r="Q779" s="54" t="n">
        <f aca="true">RAND()</f>
        <v>0.424437993164574</v>
      </c>
      <c r="R779" s="54" t="n">
        <f aca="true">RAND()</f>
        <v>0.722879699225997</v>
      </c>
      <c r="S779" s="54" t="n">
        <f aca="true">RAND()</f>
        <v>0.144417963640046</v>
      </c>
      <c r="T779" s="54" t="n">
        <f aca="true">RAND()</f>
        <v>0.276252703780195</v>
      </c>
      <c r="U779" s="54" t="n">
        <f aca="true">RAND()</f>
        <v>0.108127399484433</v>
      </c>
    </row>
    <row r="780" customFormat="false" ht="15" hidden="false" customHeight="false" outlineLevel="0" collapsed="false">
      <c r="A780" s="50" t="n">
        <v>700</v>
      </c>
      <c r="B780" s="51" t="n">
        <f aca="false">1+IF($G$6=$E$6,$F$6,IF(P780&lt;($F$6-$E$6)/($G$6-$E$6),$E$6+SQRT(P780*($G$6-$E$6)*($F$6-$E$6)),$G$6-SQRT((1-P780)*($G$6-$E$6)*($G$6-$F$6))))</f>
        <v>0.995266243604897</v>
      </c>
      <c r="C780" s="51" t="n">
        <f aca="false">1+IF($G$7=$E$7,$F$7,IF(Q780&lt;($F$7-$E$7)/($G$7-$E$7),$E$7+SQRT(Q780*($G$7-$E$7)*($F$7-$E$7)),$G$7-SQRT((1-Q780)*($G$7-$E$7)*($G$7-$F$7))))</f>
        <v>0.936724696029944</v>
      </c>
      <c r="D780" s="51" t="n">
        <f aca="false">1+IF($G$8=$E$8,$F$8,IF(R780&lt;($F$8-$E$8)/($G$8-$E$8),$E$8+SQRT(R780*($G$8-$E$8)*($F$8-$E$8)),$G$8-SQRT((1-R780)*($G$8-$E$8)*($G$8-$F$8))))</f>
        <v>0.974730822597995</v>
      </c>
      <c r="E780" s="51" t="n">
        <f aca="false">1+IF($G$9=$E$9,$F$9,IF(S780&lt;($F$9-$E$9)/($G$9-$E$9),$E$9+SQRT(S780*($G$9-$E$9)*($F$9-$E$9)),$G$9-SQRT((1-S780)*($G$9-$E$9)*($G$9-$F$9))))</f>
        <v>1.01942666761906</v>
      </c>
      <c r="F780" s="51" t="n">
        <f aca="false">1+IF($G$10=$E$10,$F$10,IF(T780&lt;($F$10-$E$10)/($G$10-$E$10),$E$10+SQRT(T780*($G$10-$E$10)*($F$10-$E$10)),$G$10-SQRT((1-T780)*($G$10-$E$10)*($G$10-$F$10))))</f>
        <v>0.979960991310699</v>
      </c>
      <c r="G780" s="52" t="n">
        <f aca="false">IF($G$11=$E$11,$F$11,IF(U780&lt;($F$11-$E$11)/($G$11-$E$11),$E$11+SQRT(U780*($G$11-$E$11)*($F$11-$E$11)),$G$11-SQRT((1-U780)*($G$11-$E$11)*($G$11-$F$11))))</f>
        <v>0.107948314539816</v>
      </c>
      <c r="H780" s="53" t="n">
        <f aca="false">(('Business Case'!B11*$C780*'Business Case'!B12*$B780)-'Business Case'!B11*$C780*'Business Case'!B13*$D780-'Business Case'!B14*$E780)-MAX(0,(('Business Case'!B11*$C780*'Business Case'!B12*$B780)-'Business Case'!B11*$C780*'Business Case'!B13*$D780-'Business Case'!B14*$E780))*'Business Case'!$B$7-'Business Case'!$B$8*('Business Case'!B11*$C780*'Business Case'!B12*$B780)-'Business Case'!B15*$F780</f>
        <v>-1959921982.6214</v>
      </c>
      <c r="I780" s="53" t="n">
        <f aca="false">(('Business Case'!C11*$C780*'Business Case'!C12*$B780)-'Business Case'!C11*$C780*'Business Case'!C13*$D780-'Business Case'!C14*$E780)-MAX(0,(('Business Case'!C11*$C780*'Business Case'!C12*$B780)-'Business Case'!C11*$C780*'Business Case'!C13*$D780-'Business Case'!C14*$E780))*'Business Case'!$B$7-'Business Case'!$B$8*(('Business Case'!C11*$C780*'Business Case'!C12*$B780)-('Business Case'!B11*$C780*'Business Case'!B12*$B780))-'Business Case'!C15*$F780</f>
        <v>4913684.63434656</v>
      </c>
      <c r="J780" s="53" t="n">
        <f aca="false">(('Business Case'!D11*$C780*'Business Case'!D12*$B780)-'Business Case'!D11*$C780*'Business Case'!D13*$D780-'Business Case'!D14*$E780)-MAX(0,(('Business Case'!D11*$C780*'Business Case'!D12*$B780)-'Business Case'!D11*$C780*'Business Case'!D13*$D780-'Business Case'!D14*$E780))*'Business Case'!$B$7-'Business Case'!$B$8*(('Business Case'!D11*$C780*'Business Case'!D12*$B780)-('Business Case'!C11*$C780*'Business Case'!C12*$B780))-'Business Case'!D15*$F780</f>
        <v>301115878.474574</v>
      </c>
      <c r="K780" s="53" t="n">
        <f aca="false">(('Business Case'!E11*$C780*'Business Case'!E12*$B780)-'Business Case'!E11*$C780*'Business Case'!E13*$D780-'Business Case'!E14*$E780)-MAX(0,(('Business Case'!E11*$C780*'Business Case'!E12*$B780)-'Business Case'!E11*$C780*'Business Case'!E13*$D780-'Business Case'!E14*$E780))*'Business Case'!$B$7-'Business Case'!$B$8*(('Business Case'!E11*$C780*'Business Case'!E12*$B780)-('Business Case'!D11*$C780*'Business Case'!D12*$B780))-'Business Case'!E15*$F780</f>
        <v>646316121.880335</v>
      </c>
      <c r="L780" s="53" t="n">
        <f aca="false">(('Business Case'!F11*$C780*'Business Case'!F12*$B780)-'Business Case'!F11*$C780*'Business Case'!F13*$D780-'Business Case'!F14*$E780)-MAX(0,(('Business Case'!F11*$C780*'Business Case'!F12*$B780)-'Business Case'!F11*$C780*'Business Case'!F13*$D780-'Business Case'!F14*$E780))*'Business Case'!$B$7-'Business Case'!$B$8*(('Business Case'!F11*$C780*'Business Case'!F12*$B780)-('Business Case'!E11*$C780*'Business Case'!E12*$B780))-'Business Case'!F15*$F780</f>
        <v>777270145.119998</v>
      </c>
      <c r="M780" s="53" t="n">
        <f aca="false">(('Business Case'!G11*$C780*'Business Case'!G12*$B780)-'Business Case'!G11*$C780*'Business Case'!G13*$D780-'Business Case'!G14*$E780)-MAX(0,(('Business Case'!G11*$C780*'Business Case'!G12*$B780)-'Business Case'!G11*$C780*'Business Case'!G13*$D780-'Business Case'!G14*$E780))*'Business Case'!$B$7-'Business Case'!$B$8*(('Business Case'!G11*$C780*'Business Case'!G12*$B780)-('Business Case'!F11*$C780*'Business Case'!F12*$B780))-'Business Case'!G15*$F780+'Business Case'!$B$8*('Business Case'!G11*$C780*'Business Case'!G12*$B780)</f>
        <v>954479917.564395</v>
      </c>
      <c r="N780" s="53" t="n">
        <f aca="false">IF(COUNT('Business Case'!B11:G11)=0,"",H780+NPV(G780,I780:M780))</f>
        <v>-147461213.626011</v>
      </c>
      <c r="P780" s="54" t="n">
        <f aca="true">RAND()</f>
        <v>0.590104940249141</v>
      </c>
      <c r="Q780" s="54" t="n">
        <f aca="true">RAND()</f>
        <v>0.267052035778296</v>
      </c>
      <c r="R780" s="54" t="n">
        <f aca="true">RAND()</f>
        <v>0.0940943979036139</v>
      </c>
      <c r="S780" s="54" t="n">
        <f aca="true">RAND()</f>
        <v>0.56719587393532</v>
      </c>
      <c r="T780" s="54" t="n">
        <f aca="true">RAND()</f>
        <v>0.07181288002558</v>
      </c>
      <c r="U780" s="54" t="n">
        <f aca="true">RAND()</f>
        <v>0.757928129281304</v>
      </c>
    </row>
    <row r="781" customFormat="false" ht="15" hidden="false" customHeight="false" outlineLevel="0" collapsed="false">
      <c r="A781" s="50" t="n">
        <v>701</v>
      </c>
      <c r="B781" s="51" t="n">
        <f aca="false">1+IF($G$6=$E$6,$F$6,IF(P781&lt;($F$6-$E$6)/($G$6-$E$6),$E$6+SQRT(P781*($G$6-$E$6)*($F$6-$E$6)),$G$6-SQRT((1-P781)*($G$6-$E$6)*($G$6-$F$6))))</f>
        <v>0.981938467466746</v>
      </c>
      <c r="C781" s="51" t="n">
        <f aca="false">1+IF($G$7=$E$7,$F$7,IF(Q781&lt;($F$7-$E$7)/($G$7-$E$7),$E$7+SQRT(Q781*($G$7-$E$7)*($F$7-$E$7)),$G$7-SQRT((1-Q781)*($G$7-$E$7)*($G$7-$F$7))))</f>
        <v>1.02866533006193</v>
      </c>
      <c r="D781" s="51" t="n">
        <f aca="false">1+IF($G$8=$E$8,$F$8,IF(R781&lt;($F$8-$E$8)/($G$8-$E$8),$E$8+SQRT(R781*($G$8-$E$8)*($F$8-$E$8)),$G$8-SQRT((1-R781)*($G$8-$E$8)*($G$8-$F$8))))</f>
        <v>1.05857374890411</v>
      </c>
      <c r="E781" s="51" t="n">
        <f aca="false">1+IF($G$9=$E$9,$F$9,IF(S781&lt;($F$9-$E$9)/($G$9-$E$9),$E$9+SQRT(S781*($G$9-$E$9)*($F$9-$E$9)),$G$9-SQRT((1-S781)*($G$9-$E$9)*($G$9-$F$9))))</f>
        <v>0.990432798933109</v>
      </c>
      <c r="F781" s="51" t="n">
        <f aca="false">1+IF($G$10=$E$10,$F$10,IF(T781&lt;($F$10-$E$10)/($G$10-$E$10),$E$10+SQRT(T781*($G$10-$E$10)*($F$10-$E$10)),$G$10-SQRT((1-T781)*($G$10-$E$10)*($G$10-$F$10))))</f>
        <v>0.962883523577925</v>
      </c>
      <c r="G781" s="52" t="n">
        <f aca="false">IF($G$11=$E$11,$F$11,IF(U781&lt;($F$11-$E$11)/($G$11-$E$11),$E$11+SQRT(U781*($G$11-$E$11)*($F$11-$E$11)),$G$11-SQRT((1-U781)*($G$11-$E$11)*($G$11-$F$11))))</f>
        <v>0.101508673117057</v>
      </c>
      <c r="H781" s="53" t="n">
        <f aca="false">(('Business Case'!B11*$C781*'Business Case'!B12*$B781)-'Business Case'!B11*$C781*'Business Case'!B13*$D781-'Business Case'!B14*$E781)-MAX(0,(('Business Case'!B11*$C781*'Business Case'!B12*$B781)-'Business Case'!B11*$C781*'Business Case'!B13*$D781-'Business Case'!B14*$E781))*'Business Case'!$B$7-'Business Case'!$B$8*('Business Case'!B11*$C781*'Business Case'!B12*$B781)-'Business Case'!B15*$F781</f>
        <v>-1925767047.15585</v>
      </c>
      <c r="I781" s="53" t="n">
        <f aca="false">(('Business Case'!C11*$C781*'Business Case'!C12*$B781)-'Business Case'!C11*$C781*'Business Case'!C13*$D781-'Business Case'!C14*$E781)-MAX(0,(('Business Case'!C11*$C781*'Business Case'!C12*$B781)-'Business Case'!C11*$C781*'Business Case'!C13*$D781-'Business Case'!C14*$E781))*'Business Case'!$B$7-'Business Case'!$B$8*(('Business Case'!C11*$C781*'Business Case'!C12*$B781)-('Business Case'!B11*$C781*'Business Case'!B12*$B781))-'Business Case'!C15*$F781</f>
        <v>-19596511.4504862</v>
      </c>
      <c r="J781" s="53" t="n">
        <f aca="false">(('Business Case'!D11*$C781*'Business Case'!D12*$B781)-'Business Case'!D11*$C781*'Business Case'!D13*$D781-'Business Case'!D14*$E781)-MAX(0,(('Business Case'!D11*$C781*'Business Case'!D12*$B781)-'Business Case'!D11*$C781*'Business Case'!D13*$D781-'Business Case'!D14*$E781))*'Business Case'!$B$7-'Business Case'!$B$8*(('Business Case'!D11*$C781*'Business Case'!D12*$B781)-('Business Case'!C11*$C781*'Business Case'!C12*$B781))-'Business Case'!D15*$F781</f>
        <v>250297734.698204</v>
      </c>
      <c r="K781" s="53" t="n">
        <f aca="false">(('Business Case'!E11*$C781*'Business Case'!E12*$B781)-'Business Case'!E11*$C781*'Business Case'!E13*$D781-'Business Case'!E14*$E781)-MAX(0,(('Business Case'!E11*$C781*'Business Case'!E12*$B781)-'Business Case'!E11*$C781*'Business Case'!E13*$D781-'Business Case'!E14*$E781))*'Business Case'!$B$7-'Business Case'!$B$8*(('Business Case'!E11*$C781*'Business Case'!E12*$B781)-('Business Case'!D11*$C781*'Business Case'!D12*$B781))-'Business Case'!E15*$F781</f>
        <v>568336157.02579</v>
      </c>
      <c r="L781" s="53" t="n">
        <f aca="false">(('Business Case'!F11*$C781*'Business Case'!F12*$B781)-'Business Case'!F11*$C781*'Business Case'!F13*$D781-'Business Case'!F14*$E781)-MAX(0,(('Business Case'!F11*$C781*'Business Case'!F12*$B781)-'Business Case'!F11*$C781*'Business Case'!F13*$D781-'Business Case'!F14*$E781))*'Business Case'!$B$7-'Business Case'!$B$8*(('Business Case'!F11*$C781*'Business Case'!F12*$B781)-('Business Case'!E11*$C781*'Business Case'!E12*$B781))-'Business Case'!F15*$F781</f>
        <v>693209479.897418</v>
      </c>
      <c r="M781" s="53" t="n">
        <f aca="false">(('Business Case'!G11*$C781*'Business Case'!G12*$B781)-'Business Case'!G11*$C781*'Business Case'!G13*$D781-'Business Case'!G14*$E781)-MAX(0,(('Business Case'!G11*$C781*'Business Case'!G12*$B781)-'Business Case'!G11*$C781*'Business Case'!G13*$D781-'Business Case'!G14*$E781))*'Business Case'!$B$7-'Business Case'!$B$8*(('Business Case'!G11*$C781*'Business Case'!G12*$B781)-('Business Case'!F11*$C781*'Business Case'!F12*$B781))-'Business Case'!G15*$F781+'Business Case'!$B$8*('Business Case'!G11*$C781*'Business Case'!G12*$B781)</f>
        <v>885206637.752103</v>
      </c>
      <c r="N781" s="53" t="n">
        <f aca="false">IF(COUNT('Business Case'!B11:G11)=0,"",H781+NPV(G781,I781:M781))</f>
        <v>-295246343.308217</v>
      </c>
      <c r="P781" s="54" t="n">
        <f aca="true">RAND()</f>
        <v>0.399622265846784</v>
      </c>
      <c r="Q781" s="54" t="n">
        <f aca="true">RAND()</f>
        <v>0.719579007067053</v>
      </c>
      <c r="R781" s="54" t="n">
        <f aca="true">RAND()</f>
        <v>0.955857284997689</v>
      </c>
      <c r="S781" s="54" t="n">
        <f aca="true">RAND()</f>
        <v>0.217974830608699</v>
      </c>
      <c r="T781" s="54" t="n">
        <f aca="true">RAND()</f>
        <v>0.0132788143826359</v>
      </c>
      <c r="U781" s="54" t="n">
        <f aca="true">RAND()</f>
        <v>0.430118050180279</v>
      </c>
    </row>
    <row r="782" customFormat="false" ht="15" hidden="false" customHeight="false" outlineLevel="0" collapsed="false">
      <c r="A782" s="50" t="n">
        <v>702</v>
      </c>
      <c r="B782" s="51" t="n">
        <f aca="false">1+IF($G$6=$E$6,$F$6,IF(P782&lt;($F$6-$E$6)/($G$6-$E$6),$E$6+SQRT(P782*($G$6-$E$6)*($F$6-$E$6)),$G$6-SQRT((1-P782)*($G$6-$E$6)*($G$6-$F$6))))</f>
        <v>1.00380840097032</v>
      </c>
      <c r="C782" s="51" t="n">
        <f aca="false">1+IF($G$7=$E$7,$F$7,IF(Q782&lt;($F$7-$E$7)/($G$7-$E$7),$E$7+SQRT(Q782*($G$7-$E$7)*($F$7-$E$7)),$G$7-SQRT((1-Q782)*($G$7-$E$7)*($G$7-$F$7))))</f>
        <v>1.04673753383694</v>
      </c>
      <c r="D782" s="51" t="n">
        <f aca="false">1+IF($G$8=$E$8,$F$8,IF(R782&lt;($F$8-$E$8)/($G$8-$E$8),$E$8+SQRT(R782*($G$8-$E$8)*($F$8-$E$8)),$G$8-SQRT((1-R782)*($G$8-$E$8)*($G$8-$F$8))))</f>
        <v>1.03321686938912</v>
      </c>
      <c r="E782" s="51" t="n">
        <f aca="false">1+IF($G$9=$E$9,$F$9,IF(S782&lt;($F$9-$E$9)/($G$9-$E$9),$E$9+SQRT(S782*($G$9-$E$9)*($F$9-$E$9)),$G$9-SQRT((1-S782)*($G$9-$E$9)*($G$9-$F$9))))</f>
        <v>1.04187993307488</v>
      </c>
      <c r="F782" s="51" t="n">
        <f aca="false">1+IF($G$10=$E$10,$F$10,IF(T782&lt;($F$10-$E$10)/($G$10-$E$10),$E$10+SQRT(T782*($G$10-$E$10)*($F$10-$E$10)),$G$10-SQRT((1-T782)*($G$10-$E$10)*($G$10-$F$10))))</f>
        <v>1.08241950405144</v>
      </c>
      <c r="G782" s="52" t="n">
        <f aca="false">IF($G$11=$E$11,$F$11,IF(U782&lt;($F$11-$E$11)/($G$11-$E$11),$E$11+SQRT(U782*($G$11-$E$11)*($F$11-$E$11)),$G$11-SQRT((1-U782)*($G$11-$E$11)*($G$11-$F$11))))</f>
        <v>0.112771677939628</v>
      </c>
      <c r="H782" s="53" t="n">
        <f aca="false">(('Business Case'!B11*$C782*'Business Case'!B12*$B782)-'Business Case'!B11*$C782*'Business Case'!B13*$D782-'Business Case'!B14*$E782)-MAX(0,(('Business Case'!B11*$C782*'Business Case'!B12*$B782)-'Business Case'!B11*$C782*'Business Case'!B13*$D782-'Business Case'!B14*$E782))*'Business Case'!$B$7-'Business Case'!$B$8*('Business Case'!B11*$C782*'Business Case'!B12*$B782)-'Business Case'!B15*$F782</f>
        <v>-2164839008.10288</v>
      </c>
      <c r="I782" s="53" t="n">
        <f aca="false">(('Business Case'!C11*$C782*'Business Case'!C12*$B782)-'Business Case'!C11*$C782*'Business Case'!C13*$D782-'Business Case'!C14*$E782)-MAX(0,(('Business Case'!C11*$C782*'Business Case'!C12*$B782)-'Business Case'!C11*$C782*'Business Case'!C13*$D782-'Business Case'!C14*$E782))*'Business Case'!$B$7-'Business Case'!$B$8*(('Business Case'!C11*$C782*'Business Case'!C12*$B782)-('Business Case'!B11*$C782*'Business Case'!B12*$B782))-'Business Case'!C15*$F782</f>
        <v>-3893255.44267485</v>
      </c>
      <c r="J782" s="53" t="n">
        <f aca="false">(('Business Case'!D11*$C782*'Business Case'!D12*$B782)-'Business Case'!D11*$C782*'Business Case'!D13*$D782-'Business Case'!D14*$E782)-MAX(0,(('Business Case'!D11*$C782*'Business Case'!D12*$B782)-'Business Case'!D11*$C782*'Business Case'!D13*$D782-'Business Case'!D14*$E782))*'Business Case'!$B$7-'Business Case'!$B$8*(('Business Case'!D11*$C782*'Business Case'!D12*$B782)-('Business Case'!C11*$C782*'Business Case'!C12*$B782))-'Business Case'!D15*$F782</f>
        <v>303080294.538207</v>
      </c>
      <c r="K782" s="53" t="n">
        <f aca="false">(('Business Case'!E11*$C782*'Business Case'!E12*$B782)-'Business Case'!E11*$C782*'Business Case'!E13*$D782-'Business Case'!E14*$E782)-MAX(0,(('Business Case'!E11*$C782*'Business Case'!E12*$B782)-'Business Case'!E11*$C782*'Business Case'!E13*$D782-'Business Case'!E14*$E782))*'Business Case'!$B$7-'Business Case'!$B$8*(('Business Case'!E11*$C782*'Business Case'!E12*$B782)-('Business Case'!D11*$C782*'Business Case'!D12*$B782))-'Business Case'!E15*$F782</f>
        <v>664174819.72166</v>
      </c>
      <c r="L782" s="53" t="n">
        <f aca="false">(('Business Case'!F11*$C782*'Business Case'!F12*$B782)-'Business Case'!F11*$C782*'Business Case'!F13*$D782-'Business Case'!F14*$E782)-MAX(0,(('Business Case'!F11*$C782*'Business Case'!F12*$B782)-'Business Case'!F11*$C782*'Business Case'!F13*$D782-'Business Case'!F14*$E782))*'Business Case'!$B$7-'Business Case'!$B$8*(('Business Case'!F11*$C782*'Business Case'!F12*$B782)-('Business Case'!E11*$C782*'Business Case'!E12*$B782))-'Business Case'!F15*$F782</f>
        <v>802812355.405397</v>
      </c>
      <c r="M782" s="53" t="n">
        <f aca="false">(('Business Case'!G11*$C782*'Business Case'!G12*$B782)-'Business Case'!G11*$C782*'Business Case'!G13*$D782-'Business Case'!G14*$E782)-MAX(0,(('Business Case'!G11*$C782*'Business Case'!G12*$B782)-'Business Case'!G11*$C782*'Business Case'!G13*$D782-'Business Case'!G14*$E782))*'Business Case'!$B$7-'Business Case'!$B$8*(('Business Case'!G11*$C782*'Business Case'!G12*$B782)-('Business Case'!F11*$C782*'Business Case'!F12*$B782))-'Business Case'!G15*$F782+'Business Case'!$B$8*('Business Case'!G11*$C782*'Business Case'!G12*$B782)</f>
        <v>1002533960.03433</v>
      </c>
      <c r="N782" s="53" t="n">
        <f aca="false">IF(COUNT('Business Case'!B11:G11)=0,"",H782+NPV(G782,I782:M782))</f>
        <v>-330385226.895186</v>
      </c>
      <c r="P782" s="54" t="n">
        <f aca="true">RAND()</f>
        <v>0.727118366598954</v>
      </c>
      <c r="Q782" s="54" t="n">
        <f aca="true">RAND()</f>
        <v>0.796892630131881</v>
      </c>
      <c r="R782" s="54" t="n">
        <f aca="true">RAND()</f>
        <v>0.789551797138966</v>
      </c>
      <c r="S782" s="54" t="n">
        <f aca="true">RAND()</f>
        <v>0.774803854707974</v>
      </c>
      <c r="T782" s="54" t="n">
        <f aca="true">RAND()</f>
        <v>0.723496539449803</v>
      </c>
      <c r="U782" s="54" t="n">
        <f aca="true">RAND()</f>
        <v>0.912918933652572</v>
      </c>
    </row>
    <row r="783" customFormat="false" ht="15" hidden="false" customHeight="false" outlineLevel="0" collapsed="false">
      <c r="A783" s="50" t="n">
        <v>703</v>
      </c>
      <c r="B783" s="51" t="n">
        <f aca="false">1+IF($G$6=$E$6,$F$6,IF(P783&lt;($F$6-$E$6)/($G$6-$E$6),$E$6+SQRT(P783*($G$6-$E$6)*($F$6-$E$6)),$G$6-SQRT((1-P783)*($G$6-$E$6)*($G$6-$F$6))))</f>
        <v>0.998136688969214</v>
      </c>
      <c r="C783" s="51" t="n">
        <f aca="false">1+IF($G$7=$E$7,$F$7,IF(Q783&lt;($F$7-$E$7)/($G$7-$E$7),$E$7+SQRT(Q783*($G$7-$E$7)*($F$7-$E$7)),$G$7-SQRT((1-Q783)*($G$7-$E$7)*($G$7-$F$7))))</f>
        <v>1.06133389033522</v>
      </c>
      <c r="D783" s="51" t="n">
        <f aca="false">1+IF($G$8=$E$8,$F$8,IF(R783&lt;($F$8-$E$8)/($G$8-$E$8),$E$8+SQRT(R783*($G$8-$E$8)*($F$8-$E$8)),$G$8-SQRT((1-R783)*($G$8-$E$8)*($G$8-$F$8))))</f>
        <v>0.982776040486648</v>
      </c>
      <c r="E783" s="51" t="n">
        <f aca="false">1+IF($G$9=$E$9,$F$9,IF(S783&lt;($F$9-$E$9)/($G$9-$E$9),$E$9+SQRT(S783*($G$9-$E$9)*($F$9-$E$9)),$G$9-SQRT((1-S783)*($G$9-$E$9)*($G$9-$F$9))))</f>
        <v>1.05763979003212</v>
      </c>
      <c r="F783" s="51" t="n">
        <f aca="false">1+IF($G$10=$E$10,$F$10,IF(T783&lt;($F$10-$E$10)/($G$10-$E$10),$E$10+SQRT(T783*($G$10-$E$10)*($F$10-$E$10)),$G$10-SQRT((1-T783)*($G$10-$E$10)*($G$10-$F$10))))</f>
        <v>0.98918267124837</v>
      </c>
      <c r="G783" s="52" t="n">
        <f aca="false">IF($G$11=$E$11,$F$11,IF(U783&lt;($F$11-$E$11)/($G$11-$E$11),$E$11+SQRT(U783*($G$11-$E$11)*($F$11-$E$11)),$G$11-SQRT((1-U783)*($G$11-$E$11)*($G$11-$F$11))))</f>
        <v>0.111482907488864</v>
      </c>
      <c r="H783" s="53" t="n">
        <f aca="false">(('Business Case'!B11*$C783*'Business Case'!B12*$B783)-'Business Case'!B11*$C783*'Business Case'!B13*$D783-'Business Case'!B14*$E783)-MAX(0,(('Business Case'!B11*$C783*'Business Case'!B12*$B783)-'Business Case'!B11*$C783*'Business Case'!B13*$D783-'Business Case'!B14*$E783))*'Business Case'!$B$7-'Business Case'!$B$8*('Business Case'!B11*$C783*'Business Case'!B12*$B783)-'Business Case'!B15*$F783</f>
        <v>-1978365342.49674</v>
      </c>
      <c r="I783" s="53" t="n">
        <f aca="false">(('Business Case'!C11*$C783*'Business Case'!C12*$B783)-'Business Case'!C11*$C783*'Business Case'!C13*$D783-'Business Case'!C14*$E783)-MAX(0,(('Business Case'!C11*$C783*'Business Case'!C12*$B783)-'Business Case'!C11*$C783*'Business Case'!C13*$D783-'Business Case'!C14*$E783))*'Business Case'!$B$7-'Business Case'!$B$8*(('Business Case'!C11*$C783*'Business Case'!C12*$B783)-('Business Case'!B11*$C783*'Business Case'!B12*$B783))-'Business Case'!C15*$F783</f>
        <v>29497446.6757845</v>
      </c>
      <c r="J783" s="53" t="n">
        <f aca="false">(('Business Case'!D11*$C783*'Business Case'!D12*$B783)-'Business Case'!D11*$C783*'Business Case'!D13*$D783-'Business Case'!D14*$E783)-MAX(0,(('Business Case'!D11*$C783*'Business Case'!D12*$B783)-'Business Case'!D11*$C783*'Business Case'!D13*$D783-'Business Case'!D14*$E783))*'Business Case'!$B$7-'Business Case'!$B$8*(('Business Case'!D11*$C783*'Business Case'!D12*$B783)-('Business Case'!C11*$C783*'Business Case'!C12*$B783))-'Business Case'!D15*$F783</f>
        <v>363226568.961623</v>
      </c>
      <c r="K783" s="53" t="n">
        <f aca="false">(('Business Case'!E11*$C783*'Business Case'!E12*$B783)-'Business Case'!E11*$C783*'Business Case'!E13*$D783-'Business Case'!E14*$E783)-MAX(0,(('Business Case'!E11*$C783*'Business Case'!E12*$B783)-'Business Case'!E11*$C783*'Business Case'!E13*$D783-'Business Case'!E14*$E783))*'Business Case'!$B$7-'Business Case'!$B$8*(('Business Case'!E11*$C783*'Business Case'!E12*$B783)-('Business Case'!D11*$C783*'Business Case'!D12*$B783))-'Business Case'!E15*$F783</f>
        <v>746414824.80988</v>
      </c>
      <c r="L783" s="53" t="n">
        <f aca="false">(('Business Case'!F11*$C783*'Business Case'!F12*$B783)-'Business Case'!F11*$C783*'Business Case'!F13*$D783-'Business Case'!F14*$E783)-MAX(0,(('Business Case'!F11*$C783*'Business Case'!F12*$B783)-'Business Case'!F11*$C783*'Business Case'!F13*$D783-'Business Case'!F14*$E783))*'Business Case'!$B$7-'Business Case'!$B$8*(('Business Case'!F11*$C783*'Business Case'!F12*$B783)-('Business Case'!E11*$C783*'Business Case'!E12*$B783))-'Business Case'!F15*$F783</f>
        <v>894269219.133593</v>
      </c>
      <c r="M783" s="53" t="n">
        <f aca="false">(('Business Case'!G11*$C783*'Business Case'!G12*$B783)-'Business Case'!G11*$C783*'Business Case'!G13*$D783-'Business Case'!G14*$E783)-MAX(0,(('Business Case'!G11*$C783*'Business Case'!G12*$B783)-'Business Case'!G11*$C783*'Business Case'!G13*$D783-'Business Case'!G14*$E783))*'Business Case'!$B$7-'Business Case'!$B$8*(('Business Case'!G11*$C783*'Business Case'!G12*$B783)-('Business Case'!F11*$C783*'Business Case'!F12*$B783))-'Business Case'!G15*$F783+'Business Case'!$B$8*('Business Case'!G11*$C783*'Business Case'!G12*$B783)</f>
        <v>1095631663.72331</v>
      </c>
      <c r="N783" s="53" t="n">
        <f aca="false">IF(COUNT('Business Case'!B11:G11)=0,"",H783+NPV(G783,I783:M783))</f>
        <v>117604324.275423</v>
      </c>
      <c r="P783" s="54" t="n">
        <f aca="true">RAND()</f>
        <v>0.635973141986641</v>
      </c>
      <c r="Q783" s="54" t="n">
        <f aca="true">RAND()</f>
        <v>0.850253733274525</v>
      </c>
      <c r="R783" s="54" t="n">
        <f aca="true">RAND()</f>
        <v>0.165272127689595</v>
      </c>
      <c r="S783" s="54" t="n">
        <f aca="true">RAND()</f>
        <v>0.880374174098454</v>
      </c>
      <c r="T783" s="54" t="n">
        <f aca="true">RAND()</f>
        <v>0.122822538092627</v>
      </c>
      <c r="U783" s="54" t="n">
        <f aca="true">RAND()</f>
        <v>0.879098558594599</v>
      </c>
    </row>
    <row r="784" customFormat="false" ht="15" hidden="false" customHeight="false" outlineLevel="0" collapsed="false">
      <c r="A784" s="50" t="n">
        <v>704</v>
      </c>
      <c r="B784" s="51" t="n">
        <f aca="false">1+IF($G$6=$E$6,$F$6,IF(P784&lt;($F$6-$E$6)/($G$6-$E$6),$E$6+SQRT(P784*($G$6-$E$6)*($F$6-$E$6)),$G$6-SQRT((1-P784)*($G$6-$E$6)*($G$6-$F$6))))</f>
        <v>1.02608244387658</v>
      </c>
      <c r="C784" s="51" t="n">
        <f aca="false">1+IF($G$7=$E$7,$F$7,IF(Q784&lt;($F$7-$E$7)/($G$7-$E$7),$E$7+SQRT(Q784*($G$7-$E$7)*($F$7-$E$7)),$G$7-SQRT((1-Q784)*($G$7-$E$7)*($G$7-$F$7))))</f>
        <v>0.960285970933838</v>
      </c>
      <c r="D784" s="51" t="n">
        <f aca="false">1+IF($G$8=$E$8,$F$8,IF(R784&lt;($F$8-$E$8)/($G$8-$E$8),$E$8+SQRT(R784*($G$8-$E$8)*($F$8-$E$8)),$G$8-SQRT((1-R784)*($G$8-$E$8)*($G$8-$F$8))))</f>
        <v>0.999276397665678</v>
      </c>
      <c r="E784" s="51" t="n">
        <f aca="false">1+IF($G$9=$E$9,$F$9,IF(S784&lt;($F$9-$E$9)/($G$9-$E$9),$E$9+SQRT(S784*($G$9-$E$9)*($F$9-$E$9)),$G$9-SQRT((1-S784)*($G$9-$E$9)*($G$9-$F$9))))</f>
        <v>1.00440155433661</v>
      </c>
      <c r="F784" s="51" t="n">
        <f aca="false">1+IF($G$10=$E$10,$F$10,IF(T784&lt;($F$10-$E$10)/($G$10-$E$10),$E$10+SQRT(T784*($G$10-$E$10)*($F$10-$E$10)),$G$10-SQRT((1-T784)*($G$10-$E$10)*($G$10-$F$10))))</f>
        <v>1.09329393734289</v>
      </c>
      <c r="G784" s="52" t="n">
        <f aca="false">IF($G$11=$E$11,$F$11,IF(U784&lt;($F$11-$E$11)/($G$11-$E$11),$E$11+SQRT(U784*($G$11-$E$11)*($F$11-$E$11)),$G$11-SQRT((1-U784)*($G$11-$E$11)*($G$11-$F$11))))</f>
        <v>0.09870088247859</v>
      </c>
      <c r="H784" s="53" t="n">
        <f aca="false">(('Business Case'!B11*$C784*'Business Case'!B12*$B784)-'Business Case'!B11*$C784*'Business Case'!B13*$D784-'Business Case'!B14*$E784)-MAX(0,(('Business Case'!B11*$C784*'Business Case'!B12*$B784)-'Business Case'!B11*$C784*'Business Case'!B13*$D784-'Business Case'!B14*$E784))*'Business Case'!$B$7-'Business Case'!$B$8*('Business Case'!B11*$C784*'Business Case'!B12*$B784)-'Business Case'!B15*$F784</f>
        <v>-2186587874.68577</v>
      </c>
      <c r="I784" s="53" t="n">
        <f aca="false">(('Business Case'!C11*$C784*'Business Case'!C12*$B784)-'Business Case'!C11*$C784*'Business Case'!C13*$D784-'Business Case'!C14*$E784)-MAX(0,(('Business Case'!C11*$C784*'Business Case'!C12*$B784)-'Business Case'!C11*$C784*'Business Case'!C13*$D784-'Business Case'!C14*$E784))*'Business Case'!$B$7-'Business Case'!$B$8*(('Business Case'!C11*$C784*'Business Case'!C12*$B784)-('Business Case'!B11*$C784*'Business Case'!B12*$B784))-'Business Case'!C15*$F784</f>
        <v>12589509.2311556</v>
      </c>
      <c r="J784" s="53" t="n">
        <f aca="false">(('Business Case'!D11*$C784*'Business Case'!D12*$B784)-'Business Case'!D11*$C784*'Business Case'!D13*$D784-'Business Case'!D14*$E784)-MAX(0,(('Business Case'!D11*$C784*'Business Case'!D12*$B784)-'Business Case'!D11*$C784*'Business Case'!D13*$D784-'Business Case'!D14*$E784))*'Business Case'!$B$7-'Business Case'!$B$8*(('Business Case'!D11*$C784*'Business Case'!D12*$B784)-('Business Case'!C11*$C784*'Business Case'!C12*$B784))-'Business Case'!D15*$F784</f>
        <v>328413953.956687</v>
      </c>
      <c r="K784" s="53" t="n">
        <f aca="false">(('Business Case'!E11*$C784*'Business Case'!E12*$B784)-'Business Case'!E11*$C784*'Business Case'!E13*$D784-'Business Case'!E14*$E784)-MAX(0,(('Business Case'!E11*$C784*'Business Case'!E12*$B784)-'Business Case'!E11*$C784*'Business Case'!E13*$D784-'Business Case'!E14*$E784))*'Business Case'!$B$7-'Business Case'!$B$8*(('Business Case'!E11*$C784*'Business Case'!E12*$B784)-('Business Case'!D11*$C784*'Business Case'!D12*$B784))-'Business Case'!E15*$F784</f>
        <v>698903095.549363</v>
      </c>
      <c r="L784" s="53" t="n">
        <f aca="false">(('Business Case'!F11*$C784*'Business Case'!F12*$B784)-'Business Case'!F11*$C784*'Business Case'!F13*$D784-'Business Case'!F14*$E784)-MAX(0,(('Business Case'!F11*$C784*'Business Case'!F12*$B784)-'Business Case'!F11*$C784*'Business Case'!F13*$D784-'Business Case'!F14*$E784))*'Business Case'!$B$7-'Business Case'!$B$8*(('Business Case'!F11*$C784*'Business Case'!F12*$B784)-('Business Case'!E11*$C784*'Business Case'!E12*$B784))-'Business Case'!F15*$F784</f>
        <v>838231004.280155</v>
      </c>
      <c r="M784" s="53" t="n">
        <f aca="false">(('Business Case'!G11*$C784*'Business Case'!G12*$B784)-'Business Case'!G11*$C784*'Business Case'!G13*$D784-'Business Case'!G14*$E784)-MAX(0,(('Business Case'!G11*$C784*'Business Case'!G12*$B784)-'Business Case'!G11*$C784*'Business Case'!G13*$D784-'Business Case'!G14*$E784))*'Business Case'!$B$7-'Business Case'!$B$8*(('Business Case'!G11*$C784*'Business Case'!G12*$B784)-('Business Case'!F11*$C784*'Business Case'!F12*$B784))-'Business Case'!G15*$F784+'Business Case'!$B$8*('Business Case'!G11*$C784*'Business Case'!G12*$B784)</f>
        <v>1025523020.3027</v>
      </c>
      <c r="N784" s="53" t="n">
        <f aca="false">IF(COUNT('Business Case'!B11:G11)=0,"",H784+NPV(G784,I784:M784))</f>
        <v>-160331189.922551</v>
      </c>
      <c r="P784" s="54" t="n">
        <f aca="true">RAND()</f>
        <v>0.959646173239895</v>
      </c>
      <c r="Q784" s="54" t="n">
        <f aca="true">RAND()</f>
        <v>0.367022749688615</v>
      </c>
      <c r="R784" s="54" t="n">
        <f aca="true">RAND()</f>
        <v>0.373563594908623</v>
      </c>
      <c r="S784" s="54" t="n">
        <f aca="true">RAND()</f>
        <v>0.390729145782905</v>
      </c>
      <c r="T784" s="54" t="n">
        <f aca="true">RAND()</f>
        <v>0.772276323844323</v>
      </c>
      <c r="U784" s="54" t="n">
        <f aca="true">RAND()</f>
        <v>0.252351186354112</v>
      </c>
    </row>
    <row r="785" customFormat="false" ht="15" hidden="false" customHeight="false" outlineLevel="0" collapsed="false">
      <c r="A785" s="50" t="n">
        <v>705</v>
      </c>
      <c r="B785" s="51" t="n">
        <f aca="false">1+IF($G$6=$E$6,$F$6,IF(P785&lt;($F$6-$E$6)/($G$6-$E$6),$E$6+SQRT(P785*($G$6-$E$6)*($F$6-$E$6)),$G$6-SQRT((1-P785)*($G$6-$E$6)*($G$6-$F$6))))</f>
        <v>0.971712625300304</v>
      </c>
      <c r="C785" s="51" t="n">
        <f aca="false">1+IF($G$7=$E$7,$F$7,IF(Q785&lt;($F$7-$E$7)/($G$7-$E$7),$E$7+SQRT(Q785*($G$7-$E$7)*($F$7-$E$7)),$G$7-SQRT((1-Q785)*($G$7-$E$7)*($G$7-$F$7))))</f>
        <v>0.942048243035173</v>
      </c>
      <c r="D785" s="51" t="n">
        <f aca="false">1+IF($G$8=$E$8,$F$8,IF(R785&lt;($F$8-$E$8)/($G$8-$E$8),$E$8+SQRT(R785*($G$8-$E$8)*($F$8-$E$8)),$G$8-SQRT((1-R785)*($G$8-$E$8)*($G$8-$F$8))))</f>
        <v>1.01138252096872</v>
      </c>
      <c r="E785" s="51" t="n">
        <f aca="false">1+IF($G$9=$E$9,$F$9,IF(S785&lt;($F$9-$E$9)/($G$9-$E$9),$E$9+SQRT(S785*($G$9-$E$9)*($F$9-$E$9)),$G$9-SQRT((1-S785)*($G$9-$E$9)*($G$9-$F$9))))</f>
        <v>0.997512144098907</v>
      </c>
      <c r="F785" s="51" t="n">
        <f aca="false">1+IF($G$10=$E$10,$F$10,IF(T785&lt;($F$10-$E$10)/($G$10-$E$10),$E$10+SQRT(T785*($G$10-$E$10)*($F$10-$E$10)),$G$10-SQRT((1-T785)*($G$10-$E$10)*($G$10-$F$10))))</f>
        <v>0.972410915350279</v>
      </c>
      <c r="G785" s="52" t="n">
        <f aca="false">IF($G$11=$E$11,$F$11,IF(U785&lt;($F$11-$E$11)/($G$11-$E$11),$E$11+SQRT(U785*($G$11-$E$11)*($F$11-$E$11)),$G$11-SQRT((1-U785)*($G$11-$E$11)*($G$11-$F$11))))</f>
        <v>0.0948288119308048</v>
      </c>
      <c r="H785" s="53" t="n">
        <f aca="false">(('Business Case'!B11*$C785*'Business Case'!B12*$B785)-'Business Case'!B11*$C785*'Business Case'!B13*$D785-'Business Case'!B14*$E785)-MAX(0,(('Business Case'!B11*$C785*'Business Case'!B12*$B785)-'Business Case'!B11*$C785*'Business Case'!B13*$D785-'Business Case'!B14*$E785))*'Business Case'!$B$7-'Business Case'!$B$8*('Business Case'!B11*$C785*'Business Case'!B12*$B785)-'Business Case'!B15*$F785</f>
        <v>-1944821830.70056</v>
      </c>
      <c r="I785" s="53" t="n">
        <f aca="false">(('Business Case'!C11*$C785*'Business Case'!C12*$B785)-'Business Case'!C11*$C785*'Business Case'!C13*$D785-'Business Case'!C14*$E785)-MAX(0,(('Business Case'!C11*$C785*'Business Case'!C12*$B785)-'Business Case'!C11*$C785*'Business Case'!C13*$D785-'Business Case'!C14*$E785))*'Business Case'!$B$7-'Business Case'!$B$8*(('Business Case'!C11*$C785*'Business Case'!C12*$B785)-('Business Case'!B11*$C785*'Business Case'!B12*$B785))-'Business Case'!C15*$F785</f>
        <v>-24505609.4132667</v>
      </c>
      <c r="J785" s="53" t="n">
        <f aca="false">(('Business Case'!D11*$C785*'Business Case'!D12*$B785)-'Business Case'!D11*$C785*'Business Case'!D13*$D785-'Business Case'!D14*$E785)-MAX(0,(('Business Case'!D11*$C785*'Business Case'!D12*$B785)-'Business Case'!D11*$C785*'Business Case'!D13*$D785-'Business Case'!D14*$E785))*'Business Case'!$B$7-'Business Case'!$B$8*(('Business Case'!D11*$C785*'Business Case'!D12*$B785)-('Business Case'!C11*$C785*'Business Case'!C12*$B785))-'Business Case'!D15*$F785</f>
        <v>237530444.484696</v>
      </c>
      <c r="K785" s="53" t="n">
        <f aca="false">(('Business Case'!E11*$C785*'Business Case'!E12*$B785)-'Business Case'!E11*$C785*'Business Case'!E13*$D785-'Business Case'!E14*$E785)-MAX(0,(('Business Case'!E11*$C785*'Business Case'!E12*$B785)-'Business Case'!E11*$C785*'Business Case'!E13*$D785-'Business Case'!E14*$E785))*'Business Case'!$B$7-'Business Case'!$B$8*(('Business Case'!E11*$C785*'Business Case'!E12*$B785)-('Business Case'!D11*$C785*'Business Case'!D12*$B785))-'Business Case'!E15*$F785</f>
        <v>548187044.150173</v>
      </c>
      <c r="L785" s="53" t="n">
        <f aca="false">(('Business Case'!F11*$C785*'Business Case'!F12*$B785)-'Business Case'!F11*$C785*'Business Case'!F13*$D785-'Business Case'!F14*$E785)-MAX(0,(('Business Case'!F11*$C785*'Business Case'!F12*$B785)-'Business Case'!F11*$C785*'Business Case'!F13*$D785-'Business Case'!F14*$E785))*'Business Case'!$B$7-'Business Case'!$B$8*(('Business Case'!F11*$C785*'Business Case'!F12*$B785)-('Business Case'!E11*$C785*'Business Case'!E12*$B785))-'Business Case'!F15*$F785</f>
        <v>667168625.373052</v>
      </c>
      <c r="M785" s="53" t="n">
        <f aca="false">(('Business Case'!G11*$C785*'Business Case'!G12*$B785)-'Business Case'!G11*$C785*'Business Case'!G13*$D785-'Business Case'!G14*$E785)-MAX(0,(('Business Case'!G11*$C785*'Business Case'!G12*$B785)-'Business Case'!G11*$C785*'Business Case'!G13*$D785-'Business Case'!G14*$E785))*'Business Case'!$B$7-'Business Case'!$B$8*(('Business Case'!G11*$C785*'Business Case'!G12*$B785)-('Business Case'!F11*$C785*'Business Case'!F12*$B785))-'Business Case'!G15*$F785+'Business Case'!$B$8*('Business Case'!G11*$C785*'Business Case'!G12*$B785)</f>
        <v>841167889.952621</v>
      </c>
      <c r="N785" s="53" t="n">
        <f aca="false">IF(COUNT('Business Case'!B11:G11)=0,"",H785+NPV(G785,I785:M785))</f>
        <v>-352208623.061305</v>
      </c>
      <c r="P785" s="54" t="n">
        <f aca="true">RAND()</f>
        <v>0.278562043276006</v>
      </c>
      <c r="Q785" s="54" t="n">
        <f aca="true">RAND()</f>
        <v>0.288252904991137</v>
      </c>
      <c r="R785" s="54" t="n">
        <f aca="true">RAND()</f>
        <v>0.547273228018456</v>
      </c>
      <c r="S785" s="54" t="n">
        <f aca="true">RAND()</f>
        <v>0.300987178250043</v>
      </c>
      <c r="T785" s="54" t="n">
        <f aca="true">RAND()</f>
        <v>0.0401799301469894</v>
      </c>
      <c r="U785" s="54" t="n">
        <f aca="true">RAND()</f>
        <v>0.0777247488769436</v>
      </c>
    </row>
    <row r="786" customFormat="false" ht="15" hidden="false" customHeight="false" outlineLevel="0" collapsed="false">
      <c r="A786" s="50" t="n">
        <v>706</v>
      </c>
      <c r="B786" s="51" t="n">
        <f aca="false">1+IF($G$6=$E$6,$F$6,IF(P786&lt;($F$6-$E$6)/($G$6-$E$6),$E$6+SQRT(P786*($G$6-$E$6)*($F$6-$E$6)),$G$6-SQRT((1-P786)*($G$6-$E$6)*($G$6-$F$6))))</f>
        <v>0.979850582456596</v>
      </c>
      <c r="C786" s="51" t="n">
        <f aca="false">1+IF($G$7=$E$7,$F$7,IF(Q786&lt;($F$7-$E$7)/($G$7-$E$7),$E$7+SQRT(Q786*($G$7-$E$7)*($F$7-$E$7)),$G$7-SQRT((1-Q786)*($G$7-$E$7)*($G$7-$F$7))))</f>
        <v>0.970564321893151</v>
      </c>
      <c r="D786" s="51" t="n">
        <f aca="false">1+IF($G$8=$E$8,$F$8,IF(R786&lt;($F$8-$E$8)/($G$8-$E$8),$E$8+SQRT(R786*($G$8-$E$8)*($F$8-$E$8)),$G$8-SQRT((1-R786)*($G$8-$E$8)*($G$8-$F$8))))</f>
        <v>1.0312944473248</v>
      </c>
      <c r="E786" s="51" t="n">
        <f aca="false">1+IF($G$9=$E$9,$F$9,IF(S786&lt;($F$9-$E$9)/($G$9-$E$9),$E$9+SQRT(S786*($G$9-$E$9)*($F$9-$E$9)),$G$9-SQRT((1-S786)*($G$9-$E$9)*($G$9-$F$9))))</f>
        <v>1.00847194409777</v>
      </c>
      <c r="F786" s="51" t="n">
        <f aca="false">1+IF($G$10=$E$10,$F$10,IF(T786&lt;($F$10-$E$10)/($G$10-$E$10),$E$10+SQRT(T786*($G$10-$E$10)*($F$10-$E$10)),$G$10-SQRT((1-T786)*($G$10-$E$10)*($G$10-$F$10))))</f>
        <v>1.00309990796655</v>
      </c>
      <c r="G786" s="52" t="n">
        <f aca="false">IF($G$11=$E$11,$F$11,IF(U786&lt;($F$11-$E$11)/($G$11-$E$11),$E$11+SQRT(U786*($G$11-$E$11)*($F$11-$E$11)),$G$11-SQRT((1-U786)*($G$11-$E$11)*($G$11-$F$11))))</f>
        <v>0.0974635898310734</v>
      </c>
      <c r="H786" s="53" t="n">
        <f aca="false">(('Business Case'!B11*$C786*'Business Case'!B12*$B786)-'Business Case'!B11*$C786*'Business Case'!B13*$D786-'Business Case'!B14*$E786)-MAX(0,(('Business Case'!B11*$C786*'Business Case'!B12*$B786)-'Business Case'!B11*$C786*'Business Case'!B13*$D786-'Business Case'!B14*$E786))*'Business Case'!$B$7-'Business Case'!$B$8*('Business Case'!B11*$C786*'Business Case'!B12*$B786)-'Business Case'!B15*$F786</f>
        <v>-2006199815.9331</v>
      </c>
      <c r="I786" s="53" t="n">
        <f aca="false">(('Business Case'!C11*$C786*'Business Case'!C12*$B786)-'Business Case'!C11*$C786*'Business Case'!C13*$D786-'Business Case'!C14*$E786)-MAX(0,(('Business Case'!C11*$C786*'Business Case'!C12*$B786)-'Business Case'!C11*$C786*'Business Case'!C13*$D786-'Business Case'!C14*$E786))*'Business Case'!$B$7-'Business Case'!$B$8*(('Business Case'!C11*$C786*'Business Case'!C12*$B786)-('Business Case'!B11*$C786*'Business Case'!B12*$B786))-'Business Case'!C15*$F786</f>
        <v>-26470893.1382417</v>
      </c>
      <c r="J786" s="53" t="n">
        <f aca="false">(('Business Case'!D11*$C786*'Business Case'!D12*$B786)-'Business Case'!D11*$C786*'Business Case'!D13*$D786-'Business Case'!D14*$E786)-MAX(0,(('Business Case'!D11*$C786*'Business Case'!D12*$B786)-'Business Case'!D11*$C786*'Business Case'!D13*$D786-'Business Case'!D14*$E786))*'Business Case'!$B$7-'Business Case'!$B$8*(('Business Case'!D11*$C786*'Business Case'!D12*$B786)-('Business Case'!C11*$C786*'Business Case'!C12*$B786))-'Business Case'!D15*$F786</f>
        <v>240073170.526462</v>
      </c>
      <c r="K786" s="53" t="n">
        <f aca="false">(('Business Case'!E11*$C786*'Business Case'!E12*$B786)-'Business Case'!E11*$C786*'Business Case'!E13*$D786-'Business Case'!E14*$E786)-MAX(0,(('Business Case'!E11*$C786*'Business Case'!E12*$B786)-'Business Case'!E11*$C786*'Business Case'!E13*$D786-'Business Case'!E14*$E786))*'Business Case'!$B$7-'Business Case'!$B$8*(('Business Case'!E11*$C786*'Business Case'!E12*$B786)-('Business Case'!D11*$C786*'Business Case'!D12*$B786))-'Business Case'!E15*$F786</f>
        <v>556772229.589494</v>
      </c>
      <c r="L786" s="53" t="n">
        <f aca="false">(('Business Case'!F11*$C786*'Business Case'!F12*$B786)-'Business Case'!F11*$C786*'Business Case'!F13*$D786-'Business Case'!F14*$E786)-MAX(0,(('Business Case'!F11*$C786*'Business Case'!F12*$B786)-'Business Case'!F11*$C786*'Business Case'!F13*$D786-'Business Case'!F14*$E786))*'Business Case'!$B$7-'Business Case'!$B$8*(('Business Case'!F11*$C786*'Business Case'!F12*$B786)-('Business Case'!E11*$C786*'Business Case'!E12*$B786))-'Business Case'!F15*$F786</f>
        <v>678487087.848121</v>
      </c>
      <c r="M786" s="53" t="n">
        <f aca="false">(('Business Case'!G11*$C786*'Business Case'!G12*$B786)-'Business Case'!G11*$C786*'Business Case'!G13*$D786-'Business Case'!G14*$E786)-MAX(0,(('Business Case'!G11*$C786*'Business Case'!G12*$B786)-'Business Case'!G11*$C786*'Business Case'!G13*$D786-'Business Case'!G14*$E786))*'Business Case'!$B$7-'Business Case'!$B$8*(('Business Case'!G11*$C786*'Business Case'!G12*$B786)-('Business Case'!F11*$C786*'Business Case'!F12*$B786))-'Business Case'!G15*$F786+'Business Case'!$B$8*('Business Case'!G11*$C786*'Business Case'!G12*$B786)</f>
        <v>859254691.551943</v>
      </c>
      <c r="N786" s="53" t="n">
        <f aca="false">IF(COUNT('Business Case'!B11:G11)=0,"",H786+NPV(G786,I786:M786))</f>
        <v>-402337600.245124</v>
      </c>
      <c r="P786" s="54" t="n">
        <f aca="true">RAND()</f>
        <v>0.373134606291025</v>
      </c>
      <c r="Q786" s="54" t="n">
        <f aca="true">RAND()</f>
        <v>0.41560268432672</v>
      </c>
      <c r="R786" s="54" t="n">
        <f aca="true">RAND()</f>
        <v>0.77190087871183</v>
      </c>
      <c r="S786" s="54" t="n">
        <f aca="true">RAND()</f>
        <v>0.441507665517203</v>
      </c>
      <c r="T786" s="54" t="n">
        <f aca="true">RAND()</f>
        <v>0.224607075144375</v>
      </c>
      <c r="U786" s="54" t="n">
        <f aca="true">RAND()</f>
        <v>0.185683910555009</v>
      </c>
    </row>
    <row r="787" customFormat="false" ht="15" hidden="false" customHeight="false" outlineLevel="0" collapsed="false">
      <c r="A787" s="50" t="n">
        <v>707</v>
      </c>
      <c r="B787" s="51" t="n">
        <f aca="false">1+IF($G$6=$E$6,$F$6,IF(P787&lt;($F$6-$E$6)/($G$6-$E$6),$E$6+SQRT(P787*($G$6-$E$6)*($F$6-$E$6)),$G$6-SQRT((1-P787)*($G$6-$E$6)*($G$6-$F$6))))</f>
        <v>0.999553311974167</v>
      </c>
      <c r="C787" s="51" t="n">
        <f aca="false">1+IF($G$7=$E$7,$F$7,IF(Q787&lt;($F$7-$E$7)/($G$7-$E$7),$E$7+SQRT(Q787*($G$7-$E$7)*($F$7-$E$7)),$G$7-SQRT((1-Q787)*($G$7-$E$7)*($G$7-$F$7))))</f>
        <v>0.915847174421578</v>
      </c>
      <c r="D787" s="51" t="n">
        <f aca="false">1+IF($G$8=$E$8,$F$8,IF(R787&lt;($F$8-$E$8)/($G$8-$E$8),$E$8+SQRT(R787*($G$8-$E$8)*($F$8-$E$8)),$G$8-SQRT((1-R787)*($G$8-$E$8)*($G$8-$F$8))))</f>
        <v>0.982083110727117</v>
      </c>
      <c r="E787" s="51" t="n">
        <f aca="false">1+IF($G$9=$E$9,$F$9,IF(S787&lt;($F$9-$E$9)/($G$9-$E$9),$E$9+SQRT(S787*($G$9-$E$9)*($F$9-$E$9)),$G$9-SQRT((1-S787)*($G$9-$E$9)*($G$9-$F$9))))</f>
        <v>1.08516557628196</v>
      </c>
      <c r="F787" s="51" t="n">
        <f aca="false">1+IF($G$10=$E$10,$F$10,IF(T787&lt;($F$10-$E$10)/($G$10-$E$10),$E$10+SQRT(T787*($G$10-$E$10)*($F$10-$E$10)),$G$10-SQRT((1-T787)*($G$10-$E$10)*($G$10-$F$10))))</f>
        <v>0.976451034921268</v>
      </c>
      <c r="G787" s="52" t="n">
        <f aca="false">IF($G$11=$E$11,$F$11,IF(U787&lt;($F$11-$E$11)/($G$11-$E$11),$E$11+SQRT(U787*($G$11-$E$11)*($F$11-$E$11)),$G$11-SQRT((1-U787)*($G$11-$E$11)*($G$11-$F$11))))</f>
        <v>0.0959295207861025</v>
      </c>
      <c r="H787" s="53" t="n">
        <f aca="false">(('Business Case'!B11*$C787*'Business Case'!B12*$B787)-'Business Case'!B11*$C787*'Business Case'!B13*$D787-'Business Case'!B14*$E787)-MAX(0,(('Business Case'!B11*$C787*'Business Case'!B12*$B787)-'Business Case'!B11*$C787*'Business Case'!B13*$D787-'Business Case'!B14*$E787))*'Business Case'!$B$7-'Business Case'!$B$8*('Business Case'!B11*$C787*'Business Case'!B12*$B787)-'Business Case'!B15*$F787</f>
        <v>-1952902069.84254</v>
      </c>
      <c r="I787" s="53" t="n">
        <f aca="false">(('Business Case'!C11*$C787*'Business Case'!C12*$B787)-'Business Case'!C11*$C787*'Business Case'!C13*$D787-'Business Case'!C14*$E787)-MAX(0,(('Business Case'!C11*$C787*'Business Case'!C12*$B787)-'Business Case'!C11*$C787*'Business Case'!C13*$D787-'Business Case'!C14*$E787))*'Business Case'!$B$7-'Business Case'!$B$8*(('Business Case'!C11*$C787*'Business Case'!C12*$B787)-('Business Case'!B11*$C787*'Business Case'!B12*$B787))-'Business Case'!C15*$F787</f>
        <v>-10042584.628502</v>
      </c>
      <c r="J787" s="53" t="n">
        <f aca="false">(('Business Case'!D11*$C787*'Business Case'!D12*$B787)-'Business Case'!D11*$C787*'Business Case'!D13*$D787-'Business Case'!D14*$E787)-MAX(0,(('Business Case'!D11*$C787*'Business Case'!D12*$B787)-'Business Case'!D11*$C787*'Business Case'!D13*$D787-'Business Case'!D14*$E787))*'Business Case'!$B$7-'Business Case'!$B$8*(('Business Case'!D11*$C787*'Business Case'!D12*$B787)-('Business Case'!C11*$C787*'Business Case'!C12*$B787))-'Business Case'!D15*$F787</f>
        <v>279326789.065859</v>
      </c>
      <c r="K787" s="53" t="n">
        <f aca="false">(('Business Case'!E11*$C787*'Business Case'!E12*$B787)-'Business Case'!E11*$C787*'Business Case'!E13*$D787-'Business Case'!E14*$E787)-MAX(0,(('Business Case'!E11*$C787*'Business Case'!E12*$B787)-'Business Case'!E11*$C787*'Business Case'!E13*$D787-'Business Case'!E14*$E787))*'Business Case'!$B$7-'Business Case'!$B$8*(('Business Case'!E11*$C787*'Business Case'!E12*$B787)-('Business Case'!D11*$C787*'Business Case'!D12*$B787))-'Business Case'!E15*$F787</f>
        <v>617518714.506284</v>
      </c>
      <c r="L787" s="53" t="n">
        <f aca="false">(('Business Case'!F11*$C787*'Business Case'!F12*$B787)-'Business Case'!F11*$C787*'Business Case'!F13*$D787-'Business Case'!F14*$E787)-MAX(0,(('Business Case'!F11*$C787*'Business Case'!F12*$B787)-'Business Case'!F11*$C787*'Business Case'!F13*$D787-'Business Case'!F14*$E787))*'Business Case'!$B$7-'Business Case'!$B$8*(('Business Case'!F11*$C787*'Business Case'!F12*$B787)-('Business Case'!E11*$C787*'Business Case'!E12*$B787))-'Business Case'!F15*$F787</f>
        <v>745612712.326698</v>
      </c>
      <c r="M787" s="53" t="n">
        <f aca="false">(('Business Case'!G11*$C787*'Business Case'!G12*$B787)-'Business Case'!G11*$C787*'Business Case'!G13*$D787-'Business Case'!G14*$E787)-MAX(0,(('Business Case'!G11*$C787*'Business Case'!G12*$B787)-'Business Case'!G11*$C787*'Business Case'!G13*$D787-'Business Case'!G14*$E787))*'Business Case'!$B$7-'Business Case'!$B$8*(('Business Case'!G11*$C787*'Business Case'!G12*$B787)-('Business Case'!F11*$C787*'Business Case'!F12*$B787))-'Business Case'!G15*$F787+'Business Case'!$B$8*('Business Case'!G11*$C787*'Business Case'!G12*$B787)</f>
        <v>919619181.899316</v>
      </c>
      <c r="N787" s="53" t="n">
        <f aca="false">IF(COUNT('Business Case'!B11:G11)=0,"",H787+NPV(G787,I787:M787))</f>
        <v>-161793067.282526</v>
      </c>
      <c r="P787" s="54" t="n">
        <f aca="true">RAND()</f>
        <v>0.659242650631161</v>
      </c>
      <c r="Q787" s="54" t="n">
        <f aca="true">RAND()</f>
        <v>0.191722397449478</v>
      </c>
      <c r="R787" s="54" t="n">
        <f aca="true">RAND()</f>
        <v>0.15835784521976</v>
      </c>
      <c r="S787" s="54" t="n">
        <f aca="true">RAND()</f>
        <v>0.985329324863584</v>
      </c>
      <c r="T787" s="54" t="n">
        <f aca="true">RAND()</f>
        <v>0.0559725798724894</v>
      </c>
      <c r="U787" s="54" t="n">
        <f aca="true">RAND()</f>
        <v>0.117197389176073</v>
      </c>
    </row>
    <row r="788" customFormat="false" ht="15" hidden="false" customHeight="false" outlineLevel="0" collapsed="false">
      <c r="A788" s="50" t="n">
        <v>708</v>
      </c>
      <c r="B788" s="51" t="n">
        <f aca="false">1+IF($G$6=$E$6,$F$6,IF(P788&lt;($F$6-$E$6)/($G$6-$E$6),$E$6+SQRT(P788*($G$6-$E$6)*($F$6-$E$6)),$G$6-SQRT((1-P788)*($G$6-$E$6)*($G$6-$F$6))))</f>
        <v>0.953614235646191</v>
      </c>
      <c r="C788" s="51" t="n">
        <f aca="false">1+IF($G$7=$E$7,$F$7,IF(Q788&lt;($F$7-$E$7)/($G$7-$E$7),$E$7+SQRT(Q788*($G$7-$E$7)*($F$7-$E$7)),$G$7-SQRT((1-Q788)*($G$7-$E$7)*($G$7-$F$7))))</f>
        <v>0.989371598993251</v>
      </c>
      <c r="D788" s="51" t="n">
        <f aca="false">1+IF($G$8=$E$8,$F$8,IF(R788&lt;($F$8-$E$8)/($G$8-$E$8),$E$8+SQRT(R788*($G$8-$E$8)*($F$8-$E$8)),$G$8-SQRT((1-R788)*($G$8-$E$8)*($G$8-$F$8))))</f>
        <v>1.04882966989507</v>
      </c>
      <c r="E788" s="51" t="n">
        <f aca="false">1+IF($G$9=$E$9,$F$9,IF(S788&lt;($F$9-$E$9)/($G$9-$E$9),$E$9+SQRT(S788*($G$9-$E$9)*($F$9-$E$9)),$G$9-SQRT((1-S788)*($G$9-$E$9)*($G$9-$F$9))))</f>
        <v>0.999005683838543</v>
      </c>
      <c r="F788" s="51" t="n">
        <f aca="false">1+IF($G$10=$E$10,$F$10,IF(T788&lt;($F$10-$E$10)/($G$10-$E$10),$E$10+SQRT(T788*($G$10-$E$10)*($F$10-$E$10)),$G$10-SQRT((1-T788)*($G$10-$E$10)*($G$10-$F$10))))</f>
        <v>1.08923938641317</v>
      </c>
      <c r="G788" s="52" t="n">
        <f aca="false">IF($G$11=$E$11,$F$11,IF(U788&lt;($F$11-$E$11)/($G$11-$E$11),$E$11+SQRT(U788*($G$11-$E$11)*($F$11-$E$11)),$G$11-SQRT((1-U788)*($G$11-$E$11)*($G$11-$F$11))))</f>
        <v>0.112316498784056</v>
      </c>
      <c r="H788" s="53" t="n">
        <f aca="false">(('Business Case'!B11*$C788*'Business Case'!B12*$B788)-'Business Case'!B11*$C788*'Business Case'!B13*$D788-'Business Case'!B14*$E788)-MAX(0,(('Business Case'!B11*$C788*'Business Case'!B12*$B788)-'Business Case'!B11*$C788*'Business Case'!B13*$D788-'Business Case'!B14*$E788))*'Business Case'!$B$7-'Business Case'!$B$8*('Business Case'!B11*$C788*'Business Case'!B12*$B788)-'Business Case'!B15*$F788</f>
        <v>-2178478772.82635</v>
      </c>
      <c r="I788" s="53" t="n">
        <f aca="false">(('Business Case'!C11*$C788*'Business Case'!C12*$B788)-'Business Case'!C11*$C788*'Business Case'!C13*$D788-'Business Case'!C14*$E788)-MAX(0,(('Business Case'!C11*$C788*'Business Case'!C12*$B788)-'Business Case'!C11*$C788*'Business Case'!C13*$D788-'Business Case'!C14*$E788))*'Business Case'!$B$7-'Business Case'!$B$8*(('Business Case'!C11*$C788*'Business Case'!C12*$B788)-('Business Case'!B11*$C788*'Business Case'!B12*$B788))-'Business Case'!C15*$F788</f>
        <v>-58325705.2902901</v>
      </c>
      <c r="J788" s="53" t="n">
        <f aca="false">(('Business Case'!D11*$C788*'Business Case'!D12*$B788)-'Business Case'!D11*$C788*'Business Case'!D13*$D788-'Business Case'!D14*$E788)-MAX(0,(('Business Case'!D11*$C788*'Business Case'!D12*$B788)-'Business Case'!D11*$C788*'Business Case'!D13*$D788-'Business Case'!D14*$E788))*'Business Case'!$B$7-'Business Case'!$B$8*(('Business Case'!D11*$C788*'Business Case'!D12*$B788)-('Business Case'!C11*$C788*'Business Case'!C12*$B788))-'Business Case'!D15*$F788</f>
        <v>183241079.427483</v>
      </c>
      <c r="K788" s="53" t="n">
        <f aca="false">(('Business Case'!E11*$C788*'Business Case'!E12*$B788)-'Business Case'!E11*$C788*'Business Case'!E13*$D788-'Business Case'!E14*$E788)-MAX(0,(('Business Case'!E11*$C788*'Business Case'!E12*$B788)-'Business Case'!E11*$C788*'Business Case'!E13*$D788-'Business Case'!E14*$E788))*'Business Case'!$B$7-'Business Case'!$B$8*(('Business Case'!E11*$C788*'Business Case'!E12*$B788)-('Business Case'!D11*$C788*'Business Case'!D12*$B788))-'Business Case'!E15*$F788</f>
        <v>479269833.465915</v>
      </c>
      <c r="L788" s="53" t="n">
        <f aca="false">(('Business Case'!F11*$C788*'Business Case'!F12*$B788)-'Business Case'!F11*$C788*'Business Case'!F13*$D788-'Business Case'!F14*$E788)-MAX(0,(('Business Case'!F11*$C788*'Business Case'!F12*$B788)-'Business Case'!F11*$C788*'Business Case'!F13*$D788-'Business Case'!F14*$E788))*'Business Case'!$B$7-'Business Case'!$B$8*(('Business Case'!F11*$C788*'Business Case'!F12*$B788)-('Business Case'!E11*$C788*'Business Case'!E12*$B788))-'Business Case'!F15*$F788</f>
        <v>592398723.788443</v>
      </c>
      <c r="M788" s="53" t="n">
        <f aca="false">(('Business Case'!G11*$C788*'Business Case'!G12*$B788)-'Business Case'!G11*$C788*'Business Case'!G13*$D788-'Business Case'!G14*$E788)-MAX(0,(('Business Case'!G11*$C788*'Business Case'!G12*$B788)-'Business Case'!G11*$C788*'Business Case'!G13*$D788-'Business Case'!G14*$E788))*'Business Case'!$B$7-'Business Case'!$B$8*(('Business Case'!G11*$C788*'Business Case'!G12*$B788)-('Business Case'!F11*$C788*'Business Case'!F12*$B788))-'Business Case'!G15*$F788+'Business Case'!$B$8*('Business Case'!G11*$C788*'Business Case'!G12*$B788)</f>
        <v>771735181.913094</v>
      </c>
      <c r="N788" s="53" t="n">
        <f aca="false">IF(COUNT('Business Case'!B11:G11)=0,"",H788+NPV(G788,I788:M788))</f>
        <v>-894329334.490205</v>
      </c>
      <c r="P788" s="54" t="n">
        <f aca="true">RAND()</f>
        <v>0.117699670633091</v>
      </c>
      <c r="Q788" s="54" t="n">
        <f aca="true">RAND()</f>
        <v>0.512308607218007</v>
      </c>
      <c r="R788" s="54" t="n">
        <f aca="true">RAND()</f>
        <v>0.90657793472591</v>
      </c>
      <c r="S788" s="54" t="n">
        <f aca="true">RAND()</f>
        <v>0.320207606464427</v>
      </c>
      <c r="T788" s="54" t="n">
        <f aca="true">RAND()</f>
        <v>0.754641729557401</v>
      </c>
      <c r="U788" s="54" t="n">
        <f aca="true">RAND()</f>
        <v>0.901606348440991</v>
      </c>
    </row>
    <row r="789" customFormat="false" ht="15" hidden="false" customHeight="false" outlineLevel="0" collapsed="false">
      <c r="A789" s="50" t="n">
        <v>709</v>
      </c>
      <c r="B789" s="51" t="n">
        <f aca="false">1+IF($G$6=$E$6,$F$6,IF(P789&lt;($F$6-$E$6)/($G$6-$E$6),$E$6+SQRT(P789*($G$6-$E$6)*($F$6-$E$6)),$G$6-SQRT((1-P789)*($G$6-$E$6)*($G$6-$F$6))))</f>
        <v>1.00353430790975</v>
      </c>
      <c r="C789" s="51" t="n">
        <f aca="false">1+IF($G$7=$E$7,$F$7,IF(Q789&lt;($F$7-$E$7)/($G$7-$E$7),$E$7+SQRT(Q789*($G$7-$E$7)*($F$7-$E$7)),$G$7-SQRT((1-Q789)*($G$7-$E$7)*($G$7-$F$7))))</f>
        <v>0.892068021136425</v>
      </c>
      <c r="D789" s="51" t="n">
        <f aca="false">1+IF($G$8=$E$8,$F$8,IF(R789&lt;($F$8-$E$8)/($G$8-$E$8),$E$8+SQRT(R789*($G$8-$E$8)*($F$8-$E$8)),$G$8-SQRT((1-R789)*($G$8-$E$8)*($G$8-$F$8))))</f>
        <v>1.03155022703893</v>
      </c>
      <c r="E789" s="51" t="n">
        <f aca="false">1+IF($G$9=$E$9,$F$9,IF(S789&lt;($F$9-$E$9)/($G$9-$E$9),$E$9+SQRT(S789*($G$9-$E$9)*($F$9-$E$9)),$G$9-SQRT((1-S789)*($G$9-$E$9)*($G$9-$F$9))))</f>
        <v>1.05605694675464</v>
      </c>
      <c r="F789" s="51" t="n">
        <f aca="false">1+IF($G$10=$E$10,$F$10,IF(T789&lt;($F$10-$E$10)/($G$10-$E$10),$E$10+SQRT(T789*($G$10-$E$10)*($F$10-$E$10)),$G$10-SQRT((1-T789)*($G$10-$E$10)*($G$10-$F$10))))</f>
        <v>0.994877450231076</v>
      </c>
      <c r="G789" s="52" t="n">
        <f aca="false">IF($G$11=$E$11,$F$11,IF(U789&lt;($F$11-$E$11)/($G$11-$E$11),$E$11+SQRT(U789*($G$11-$E$11)*($F$11-$E$11)),$G$11-SQRT((1-U789)*($G$11-$E$11)*($G$11-$F$11))))</f>
        <v>0.107589127539173</v>
      </c>
      <c r="H789" s="53" t="n">
        <f aca="false">(('Business Case'!B11*$C789*'Business Case'!B12*$B789)-'Business Case'!B11*$C789*'Business Case'!B13*$D789-'Business Case'!B14*$E789)-MAX(0,(('Business Case'!B11*$C789*'Business Case'!B12*$B789)-'Business Case'!B11*$C789*'Business Case'!B13*$D789-'Business Case'!B14*$E789))*'Business Case'!$B$7-'Business Case'!$B$8*('Business Case'!B11*$C789*'Business Case'!B12*$B789)-'Business Case'!B15*$F789</f>
        <v>-1989754900.46215</v>
      </c>
      <c r="I789" s="53" t="n">
        <f aca="false">(('Business Case'!C11*$C789*'Business Case'!C12*$B789)-'Business Case'!C11*$C789*'Business Case'!C13*$D789-'Business Case'!C14*$E789)-MAX(0,(('Business Case'!C11*$C789*'Business Case'!C12*$B789)-'Business Case'!C11*$C789*'Business Case'!C13*$D789-'Business Case'!C14*$E789))*'Business Case'!$B$7-'Business Case'!$B$8*(('Business Case'!C11*$C789*'Business Case'!C12*$B789)-('Business Case'!B11*$C789*'Business Case'!B12*$B789))-'Business Case'!C15*$F789</f>
        <v>-33892372.2380541</v>
      </c>
      <c r="J789" s="53" t="n">
        <f aca="false">(('Business Case'!D11*$C789*'Business Case'!D12*$B789)-'Business Case'!D11*$C789*'Business Case'!D13*$D789-'Business Case'!D14*$E789)-MAX(0,(('Business Case'!D11*$C789*'Business Case'!D12*$B789)-'Business Case'!D11*$C789*'Business Case'!D13*$D789-'Business Case'!D14*$E789))*'Business Case'!$B$7-'Business Case'!$B$8*(('Business Case'!D11*$C789*'Business Case'!D12*$B789)-('Business Case'!C11*$C789*'Business Case'!C12*$B789))-'Business Case'!D15*$F789</f>
        <v>228282547.975614</v>
      </c>
      <c r="K789" s="53" t="n">
        <f aca="false">(('Business Case'!E11*$C789*'Business Case'!E12*$B789)-'Business Case'!E11*$C789*'Business Case'!E13*$D789-'Business Case'!E14*$E789)-MAX(0,(('Business Case'!E11*$C789*'Business Case'!E12*$B789)-'Business Case'!E11*$C789*'Business Case'!E13*$D789-'Business Case'!E14*$E789))*'Business Case'!$B$7-'Business Case'!$B$8*(('Business Case'!E11*$C789*'Business Case'!E12*$B789)-('Business Case'!D11*$C789*'Business Case'!D12*$B789))-'Business Case'!E15*$F789</f>
        <v>540201340.700837</v>
      </c>
      <c r="L789" s="53" t="n">
        <f aca="false">(('Business Case'!F11*$C789*'Business Case'!F12*$B789)-'Business Case'!F11*$C789*'Business Case'!F13*$D789-'Business Case'!F14*$E789)-MAX(0,(('Business Case'!F11*$C789*'Business Case'!F12*$B789)-'Business Case'!F11*$C789*'Business Case'!F13*$D789-'Business Case'!F14*$E789))*'Business Case'!$B$7-'Business Case'!$B$8*(('Business Case'!F11*$C789*'Business Case'!F12*$B789)-('Business Case'!E11*$C789*'Business Case'!E12*$B789))-'Business Case'!F15*$F789</f>
        <v>658531813.838797</v>
      </c>
      <c r="M789" s="53" t="n">
        <f aca="false">(('Business Case'!G11*$C789*'Business Case'!G12*$B789)-'Business Case'!G11*$C789*'Business Case'!G13*$D789-'Business Case'!G14*$E789)-MAX(0,(('Business Case'!G11*$C789*'Business Case'!G12*$B789)-'Business Case'!G11*$C789*'Business Case'!G13*$D789-'Business Case'!G14*$E789))*'Business Case'!$B$7-'Business Case'!$B$8*(('Business Case'!G11*$C789*'Business Case'!G12*$B789)-('Business Case'!F11*$C789*'Business Case'!F12*$B789))-'Business Case'!G15*$F789+'Business Case'!$B$8*('Business Case'!G11*$C789*'Business Case'!G12*$B789)</f>
        <v>828695395.70585</v>
      </c>
      <c r="N789" s="53" t="n">
        <f aca="false">IF(COUNT('Business Case'!B11:G11)=0,"",H789+NPV(G789,I789:M789))</f>
        <v>-501942140.902586</v>
      </c>
      <c r="P789" s="54" t="n">
        <f aca="true">RAND()</f>
        <v>0.72296943757897</v>
      </c>
      <c r="Q789" s="54" t="n">
        <f aca="true">RAND()</f>
        <v>0.121093150228246</v>
      </c>
      <c r="R789" s="54" t="n">
        <f aca="true">RAND()</f>
        <v>0.774290336540474</v>
      </c>
      <c r="S789" s="54" t="n">
        <f aca="true">RAND()</f>
        <v>0.871267204765027</v>
      </c>
      <c r="T789" s="54" t="n">
        <f aca="true">RAND()</f>
        <v>0.161118843139418</v>
      </c>
      <c r="U789" s="54" t="n">
        <f aca="true">RAND()</f>
        <v>0.743283741268459</v>
      </c>
    </row>
    <row r="790" customFormat="false" ht="15" hidden="false" customHeight="false" outlineLevel="0" collapsed="false">
      <c r="A790" s="50" t="n">
        <v>710</v>
      </c>
      <c r="B790" s="51" t="n">
        <f aca="false">1+IF($G$6=$E$6,$F$6,IF(P790&lt;($F$6-$E$6)/($G$6-$E$6),$E$6+SQRT(P790*($G$6-$E$6)*($F$6-$E$6)),$G$6-SQRT((1-P790)*($G$6-$E$6)*($G$6-$F$6))))</f>
        <v>0.954180764564352</v>
      </c>
      <c r="C790" s="51" t="n">
        <f aca="false">1+IF($G$7=$E$7,$F$7,IF(Q790&lt;($F$7-$E$7)/($G$7-$E$7),$E$7+SQRT(Q790*($G$7-$E$7)*($F$7-$E$7)),$G$7-SQRT((1-Q790)*($G$7-$E$7)*($G$7-$F$7))))</f>
        <v>1.00790961819317</v>
      </c>
      <c r="D790" s="51" t="n">
        <f aca="false">1+IF($G$8=$E$8,$F$8,IF(R790&lt;($F$8-$E$8)/($G$8-$E$8),$E$8+SQRT(R790*($G$8-$E$8)*($F$8-$E$8)),$G$8-SQRT((1-R790)*($G$8-$E$8)*($G$8-$F$8))))</f>
        <v>1.00668288221081</v>
      </c>
      <c r="E790" s="51" t="n">
        <f aca="false">1+IF($G$9=$E$9,$F$9,IF(S790&lt;($F$9-$E$9)/($G$9-$E$9),$E$9+SQRT(S790*($G$9-$E$9)*($F$9-$E$9)),$G$9-SQRT((1-S790)*($G$9-$E$9)*($G$9-$F$9))))</f>
        <v>1.03169711195907</v>
      </c>
      <c r="F790" s="51" t="n">
        <f aca="false">1+IF($G$10=$E$10,$F$10,IF(T790&lt;($F$10-$E$10)/($G$10-$E$10),$E$10+SQRT(T790*($G$10-$E$10)*($F$10-$E$10)),$G$10-SQRT((1-T790)*($G$10-$E$10)*($G$10-$F$10))))</f>
        <v>1.04317345447614</v>
      </c>
      <c r="G790" s="52" t="n">
        <f aca="false">IF($G$11=$E$11,$F$11,IF(U790&lt;($F$11-$E$11)/($G$11-$E$11),$E$11+SQRT(U790*($G$11-$E$11)*($F$11-$E$11)),$G$11-SQRT((1-U790)*($G$11-$E$11)*($G$11-$F$11))))</f>
        <v>0.103004614874276</v>
      </c>
      <c r="H790" s="53" t="n">
        <f aca="false">(('Business Case'!B11*$C790*'Business Case'!B12*$B790)-'Business Case'!B11*$C790*'Business Case'!B13*$D790-'Business Case'!B14*$E790)-MAX(0,(('Business Case'!B11*$C790*'Business Case'!B12*$B790)-'Business Case'!B11*$C790*'Business Case'!B13*$D790-'Business Case'!B14*$E790))*'Business Case'!$B$7-'Business Case'!$B$8*('Business Case'!B11*$C790*'Business Case'!B12*$B790)-'Business Case'!B15*$F790</f>
        <v>-2086346908.95229</v>
      </c>
      <c r="I790" s="53" t="n">
        <f aca="false">(('Business Case'!C11*$C790*'Business Case'!C12*$B790)-'Business Case'!C11*$C790*'Business Case'!C13*$D790-'Business Case'!C14*$E790)-MAX(0,(('Business Case'!C11*$C790*'Business Case'!C12*$B790)-'Business Case'!C11*$C790*'Business Case'!C13*$D790-'Business Case'!C14*$E790))*'Business Case'!$B$7-'Business Case'!$B$8*(('Business Case'!C11*$C790*'Business Case'!C12*$B790)-('Business Case'!B11*$C790*'Business Case'!B12*$B790))-'Business Case'!C15*$F790</f>
        <v>-32573453.2229515</v>
      </c>
      <c r="J790" s="53" t="n">
        <f aca="false">(('Business Case'!D11*$C790*'Business Case'!D12*$B790)-'Business Case'!D11*$C790*'Business Case'!D13*$D790-'Business Case'!D14*$E790)-MAX(0,(('Business Case'!D11*$C790*'Business Case'!D12*$B790)-'Business Case'!D11*$C790*'Business Case'!D13*$D790-'Business Case'!D14*$E790))*'Business Case'!$B$7-'Business Case'!$B$8*(('Business Case'!D11*$C790*'Business Case'!D12*$B790)-('Business Case'!C11*$C790*'Business Case'!C12*$B790))-'Business Case'!D15*$F790</f>
        <v>235733746.29224</v>
      </c>
      <c r="K790" s="53" t="n">
        <f aca="false">(('Business Case'!E11*$C790*'Business Case'!E12*$B790)-'Business Case'!E11*$C790*'Business Case'!E13*$D790-'Business Case'!E14*$E790)-MAX(0,(('Business Case'!E11*$C790*'Business Case'!E12*$B790)-'Business Case'!E11*$C790*'Business Case'!E13*$D790-'Business Case'!E14*$E790))*'Business Case'!$B$7-'Business Case'!$B$8*(('Business Case'!E11*$C790*'Business Case'!E12*$B790)-('Business Case'!D11*$C790*'Business Case'!D12*$B790))-'Business Case'!E15*$F790</f>
        <v>556199618.531239</v>
      </c>
      <c r="L790" s="53" t="n">
        <f aca="false">(('Business Case'!F11*$C790*'Business Case'!F12*$B790)-'Business Case'!F11*$C790*'Business Case'!F13*$D790-'Business Case'!F14*$E790)-MAX(0,(('Business Case'!F11*$C790*'Business Case'!F12*$B790)-'Business Case'!F11*$C790*'Business Case'!F13*$D790-'Business Case'!F14*$E790))*'Business Case'!$B$7-'Business Case'!$B$8*(('Business Case'!F11*$C790*'Business Case'!F12*$B790)-('Business Case'!E11*$C790*'Business Case'!E12*$B790))-'Business Case'!F15*$F790</f>
        <v>678872670.349603</v>
      </c>
      <c r="M790" s="53" t="n">
        <f aca="false">(('Business Case'!G11*$C790*'Business Case'!G12*$B790)-'Business Case'!G11*$C790*'Business Case'!G13*$D790-'Business Case'!G14*$E790)-MAX(0,(('Business Case'!G11*$C790*'Business Case'!G12*$B790)-'Business Case'!G11*$C790*'Business Case'!G13*$D790-'Business Case'!G14*$E790))*'Business Case'!$B$7-'Business Case'!$B$8*(('Business Case'!G11*$C790*'Business Case'!G12*$B790)-('Business Case'!F11*$C790*'Business Case'!F12*$B790))-'Business Case'!G15*$F790+'Business Case'!$B$8*('Business Case'!G11*$C790*'Business Case'!G12*$B790)</f>
        <v>861677922.906082</v>
      </c>
      <c r="N790" s="53" t="n">
        <f aca="false">IF(COUNT('Business Case'!B11:G11)=0,"",H790+NPV(G790,I790:M790))</f>
        <v>-521207780.887909</v>
      </c>
      <c r="P790" s="54" t="n">
        <f aca="true">RAND()</f>
        <v>0.121700486062878</v>
      </c>
      <c r="Q790" s="54" t="n">
        <f aca="true">RAND()</f>
        <v>0.615434731390264</v>
      </c>
      <c r="R790" s="54" t="n">
        <f aca="true">RAND()</f>
        <v>0.483134638373633</v>
      </c>
      <c r="S790" s="54" t="n">
        <f aca="true">RAND()</f>
        <v>0.688981032351238</v>
      </c>
      <c r="T790" s="54" t="n">
        <f aca="true">RAND()</f>
        <v>0.508108692381076</v>
      </c>
      <c r="U790" s="54" t="n">
        <f aca="true">RAND()</f>
        <v>0.518594807380541</v>
      </c>
    </row>
    <row r="791" customFormat="false" ht="15" hidden="false" customHeight="false" outlineLevel="0" collapsed="false">
      <c r="A791" s="50" t="n">
        <v>711</v>
      </c>
      <c r="B791" s="51" t="n">
        <f aca="false">1+IF($G$6=$E$6,$F$6,IF(P791&lt;($F$6-$E$6)/($G$6-$E$6),$E$6+SQRT(P791*($G$6-$E$6)*($F$6-$E$6)),$G$6-SQRT((1-P791)*($G$6-$E$6)*($G$6-$F$6))))</f>
        <v>0.994333246030195</v>
      </c>
      <c r="C791" s="51" t="n">
        <f aca="false">1+IF($G$7=$E$7,$F$7,IF(Q791&lt;($F$7-$E$7)/($G$7-$E$7),$E$7+SQRT(Q791*($G$7-$E$7)*($F$7-$E$7)),$G$7-SQRT((1-Q791)*($G$7-$E$7)*($G$7-$F$7))))</f>
        <v>1.02298719635409</v>
      </c>
      <c r="D791" s="51" t="n">
        <f aca="false">1+IF($G$8=$E$8,$F$8,IF(R791&lt;($F$8-$E$8)/($G$8-$E$8),$E$8+SQRT(R791*($G$8-$E$8)*($F$8-$E$8)),$G$8-SQRT((1-R791)*($G$8-$E$8)*($G$8-$F$8))))</f>
        <v>1.04600348554989</v>
      </c>
      <c r="E791" s="51" t="n">
        <f aca="false">1+IF($G$9=$E$9,$F$9,IF(S791&lt;($F$9-$E$9)/($G$9-$E$9),$E$9+SQRT(S791*($G$9-$E$9)*($F$9-$E$9)),$G$9-SQRT((1-S791)*($G$9-$E$9)*($G$9-$F$9))))</f>
        <v>1.02479335060347</v>
      </c>
      <c r="F791" s="51" t="n">
        <f aca="false">1+IF($G$10=$E$10,$F$10,IF(T791&lt;($F$10-$E$10)/($G$10-$E$10),$E$10+SQRT(T791*($G$10-$E$10)*($F$10-$E$10)),$G$10-SQRT((1-T791)*($G$10-$E$10)*($G$10-$F$10))))</f>
        <v>1.03594298322451</v>
      </c>
      <c r="G791" s="52" t="n">
        <f aca="false">IF($G$11=$E$11,$F$11,IF(U791&lt;($F$11-$E$11)/($G$11-$E$11),$E$11+SQRT(U791*($G$11-$E$11)*($F$11-$E$11)),$G$11-SQRT((1-U791)*($G$11-$E$11)*($G$11-$F$11))))</f>
        <v>0.109473642781997</v>
      </c>
      <c r="H791" s="53" t="n">
        <f aca="false">(('Business Case'!B11*$C791*'Business Case'!B12*$B791)-'Business Case'!B11*$C791*'Business Case'!B13*$D791-'Business Case'!B14*$E791)-MAX(0,(('Business Case'!B11*$C791*'Business Case'!B12*$B791)-'Business Case'!B11*$C791*'Business Case'!B13*$D791-'Business Case'!B14*$E791))*'Business Case'!$B$7-'Business Case'!$B$8*('Business Case'!B11*$C791*'Business Case'!B12*$B791)-'Business Case'!B15*$F791</f>
        <v>-2071885966.44902</v>
      </c>
      <c r="I791" s="53" t="n">
        <f aca="false">(('Business Case'!C11*$C791*'Business Case'!C12*$B791)-'Business Case'!C11*$C791*'Business Case'!C13*$D791-'Business Case'!C14*$E791)-MAX(0,(('Business Case'!C11*$C791*'Business Case'!C12*$B791)-'Business Case'!C11*$C791*'Business Case'!C13*$D791-'Business Case'!C14*$E791))*'Business Case'!$B$7-'Business Case'!$B$8*(('Business Case'!C11*$C791*'Business Case'!C12*$B791)-('Business Case'!B11*$C791*'Business Case'!B12*$B791))-'Business Case'!C15*$F791</f>
        <v>-16678117.6573741</v>
      </c>
      <c r="J791" s="53" t="n">
        <f aca="false">(('Business Case'!D11*$C791*'Business Case'!D12*$B791)-'Business Case'!D11*$C791*'Business Case'!D13*$D791-'Business Case'!D14*$E791)-MAX(0,(('Business Case'!D11*$C791*'Business Case'!D12*$B791)-'Business Case'!D11*$C791*'Business Case'!D13*$D791-'Business Case'!D14*$E791))*'Business Case'!$B$7-'Business Case'!$B$8*(('Business Case'!D11*$C791*'Business Case'!D12*$B791)-('Business Case'!C11*$C791*'Business Case'!C12*$B791))-'Business Case'!D15*$F791</f>
        <v>268694816.373881</v>
      </c>
      <c r="K791" s="53" t="n">
        <f aca="false">(('Business Case'!E11*$C791*'Business Case'!E12*$B791)-'Business Case'!E11*$C791*'Business Case'!E13*$D791-'Business Case'!E14*$E791)-MAX(0,(('Business Case'!E11*$C791*'Business Case'!E12*$B791)-'Business Case'!E11*$C791*'Business Case'!E13*$D791-'Business Case'!E14*$E791))*'Business Case'!$B$7-'Business Case'!$B$8*(('Business Case'!E11*$C791*'Business Case'!E12*$B791)-('Business Case'!D11*$C791*'Business Case'!D12*$B791))-'Business Case'!E15*$F791</f>
        <v>605864899.566361</v>
      </c>
      <c r="L791" s="53" t="n">
        <f aca="false">(('Business Case'!F11*$C791*'Business Case'!F12*$B791)-'Business Case'!F11*$C791*'Business Case'!F13*$D791-'Business Case'!F14*$E791)-MAX(0,(('Business Case'!F11*$C791*'Business Case'!F12*$B791)-'Business Case'!F11*$C791*'Business Case'!F13*$D791-'Business Case'!F14*$E791))*'Business Case'!$B$7-'Business Case'!$B$8*(('Business Case'!F11*$C791*'Business Case'!F12*$B791)-('Business Case'!E11*$C791*'Business Case'!E12*$B791))-'Business Case'!F15*$F791</f>
        <v>736143303.517022</v>
      </c>
      <c r="M791" s="53" t="n">
        <f aca="false">(('Business Case'!G11*$C791*'Business Case'!G12*$B791)-'Business Case'!G11*$C791*'Business Case'!G13*$D791-'Business Case'!G14*$E791)-MAX(0,(('Business Case'!G11*$C791*'Business Case'!G12*$B791)-'Business Case'!G11*$C791*'Business Case'!G13*$D791-'Business Case'!G14*$E791))*'Business Case'!$B$7-'Business Case'!$B$8*(('Business Case'!G11*$C791*'Business Case'!G12*$B791)-('Business Case'!F11*$C791*'Business Case'!F12*$B791))-'Business Case'!G15*$F791+'Business Case'!$B$8*('Business Case'!G11*$C791*'Business Case'!G12*$B791)</f>
        <v>929490812.855027</v>
      </c>
      <c r="N791" s="53" t="n">
        <f aca="false">IF(COUNT('Business Case'!B11:G11)=0,"",H791+NPV(G791,I791:M791))</f>
        <v>-386240167.504089</v>
      </c>
      <c r="P791" s="54" t="n">
        <f aca="true">RAND()</f>
        <v>0.575565777644322</v>
      </c>
      <c r="Q791" s="54" t="n">
        <f aca="true">RAND()</f>
        <v>0.692719004000111</v>
      </c>
      <c r="R791" s="54" t="n">
        <f aca="true">RAND()</f>
        <v>0.888868942811901</v>
      </c>
      <c r="S791" s="54" t="n">
        <f aca="true">RAND()</f>
        <v>0.622930659103132</v>
      </c>
      <c r="T791" s="54" t="n">
        <f aca="true">RAND()</f>
        <v>0.461705904934515</v>
      </c>
      <c r="U791" s="54" t="n">
        <f aca="true">RAND()</f>
        <v>0.81532633953165</v>
      </c>
    </row>
    <row r="792" customFormat="false" ht="15" hidden="false" customHeight="false" outlineLevel="0" collapsed="false">
      <c r="A792" s="50" t="n">
        <v>712</v>
      </c>
      <c r="B792" s="51" t="n">
        <f aca="false">1+IF($G$6=$E$6,$F$6,IF(P792&lt;($F$6-$E$6)/($G$6-$E$6),$E$6+SQRT(P792*($G$6-$E$6)*($F$6-$E$6)),$G$6-SQRT((1-P792)*($G$6-$E$6)*($G$6-$F$6))))</f>
        <v>1.01812810709084</v>
      </c>
      <c r="C792" s="51" t="n">
        <f aca="false">1+IF($G$7=$E$7,$F$7,IF(Q792&lt;($F$7-$E$7)/($G$7-$E$7),$E$7+SQRT(Q792*($G$7-$E$7)*($F$7-$E$7)),$G$7-SQRT((1-Q792)*($G$7-$E$7)*($G$7-$F$7))))</f>
        <v>0.980813050852968</v>
      </c>
      <c r="D792" s="51" t="n">
        <f aca="false">1+IF($G$8=$E$8,$F$8,IF(R792&lt;($F$8-$E$8)/($G$8-$E$8),$E$8+SQRT(R792*($G$8-$E$8)*($F$8-$E$8)),$G$8-SQRT((1-R792)*($G$8-$E$8)*($G$8-$F$8))))</f>
        <v>1.02056543199388</v>
      </c>
      <c r="E792" s="51" t="n">
        <f aca="false">1+IF($G$9=$E$9,$F$9,IF(S792&lt;($F$9-$E$9)/($G$9-$E$9),$E$9+SQRT(S792*($G$9-$E$9)*($F$9-$E$9)),$G$9-SQRT((1-S792)*($G$9-$E$9)*($G$9-$F$9))))</f>
        <v>0.98630744761715</v>
      </c>
      <c r="F792" s="51" t="n">
        <f aca="false">1+IF($G$10=$E$10,$F$10,IF(T792&lt;($F$10-$E$10)/($G$10-$E$10),$E$10+SQRT(T792*($G$10-$E$10)*($F$10-$E$10)),$G$10-SQRT((1-T792)*($G$10-$E$10)*($G$10-$F$10))))</f>
        <v>1.01420190619231</v>
      </c>
      <c r="G792" s="52" t="n">
        <f aca="false">IF($G$11=$E$11,$F$11,IF(U792&lt;($F$11-$E$11)/($G$11-$E$11),$E$11+SQRT(U792*($G$11-$E$11)*($F$11-$E$11)),$G$11-SQRT((1-U792)*($G$11-$E$11)*($G$11-$F$11))))</f>
        <v>0.0945535707403077</v>
      </c>
      <c r="H792" s="53" t="n">
        <f aca="false">(('Business Case'!B11*$C792*'Business Case'!B12*$B792)-'Business Case'!B11*$C792*'Business Case'!B13*$D792-'Business Case'!B14*$E792)-MAX(0,(('Business Case'!B11*$C792*'Business Case'!B12*$B792)-'Business Case'!B11*$C792*'Business Case'!B13*$D792-'Business Case'!B14*$E792))*'Business Case'!$B$7-'Business Case'!$B$8*('Business Case'!B11*$C792*'Business Case'!B12*$B792)-'Business Case'!B15*$F792</f>
        <v>-2028403812.38463</v>
      </c>
      <c r="I792" s="53" t="n">
        <f aca="false">(('Business Case'!C11*$C792*'Business Case'!C12*$B792)-'Business Case'!C11*$C792*'Business Case'!C13*$D792-'Business Case'!C14*$E792)-MAX(0,(('Business Case'!C11*$C792*'Business Case'!C12*$B792)-'Business Case'!C11*$C792*'Business Case'!C13*$D792-'Business Case'!C14*$E792))*'Business Case'!$B$7-'Business Case'!$B$8*(('Business Case'!C11*$C792*'Business Case'!C12*$B792)-('Business Case'!B11*$C792*'Business Case'!B12*$B792))-'Business Case'!C15*$F792</f>
        <v>12055976.3300779</v>
      </c>
      <c r="J792" s="53" t="n">
        <f aca="false">(('Business Case'!D11*$C792*'Business Case'!D12*$B792)-'Business Case'!D11*$C792*'Business Case'!D13*$D792-'Business Case'!D14*$E792)-MAX(0,(('Business Case'!D11*$C792*'Business Case'!D12*$B792)-'Business Case'!D11*$C792*'Business Case'!D13*$D792-'Business Case'!D14*$E792))*'Business Case'!$B$7-'Business Case'!$B$8*(('Business Case'!D11*$C792*'Business Case'!D12*$B792)-('Business Case'!C11*$C792*'Business Case'!C12*$B792))-'Business Case'!D15*$F792</f>
        <v>317552140.810462</v>
      </c>
      <c r="K792" s="53" t="n">
        <f aca="false">(('Business Case'!E11*$C792*'Business Case'!E12*$B792)-'Business Case'!E11*$C792*'Business Case'!E13*$D792-'Business Case'!E14*$E792)-MAX(0,(('Business Case'!E11*$C792*'Business Case'!E12*$B792)-'Business Case'!E11*$C792*'Business Case'!E13*$D792-'Business Case'!E14*$E792))*'Business Case'!$B$7-'Business Case'!$B$8*(('Business Case'!E11*$C792*'Business Case'!E12*$B792)-('Business Case'!D11*$C792*'Business Case'!D12*$B792))-'Business Case'!E15*$F792</f>
        <v>673758400.600462</v>
      </c>
      <c r="L792" s="53" t="n">
        <f aca="false">(('Business Case'!F11*$C792*'Business Case'!F12*$B792)-'Business Case'!F11*$C792*'Business Case'!F13*$D792-'Business Case'!F14*$E792)-MAX(0,(('Business Case'!F11*$C792*'Business Case'!F12*$B792)-'Business Case'!F11*$C792*'Business Case'!F13*$D792-'Business Case'!F14*$E792))*'Business Case'!$B$7-'Business Case'!$B$8*(('Business Case'!F11*$C792*'Business Case'!F12*$B792)-('Business Case'!E11*$C792*'Business Case'!E12*$B792))-'Business Case'!F15*$F792</f>
        <v>810101841.080534</v>
      </c>
      <c r="M792" s="53" t="n">
        <f aca="false">(('Business Case'!G11*$C792*'Business Case'!G12*$B792)-'Business Case'!G11*$C792*'Business Case'!G13*$D792-'Business Case'!G14*$E792)-MAX(0,(('Business Case'!G11*$C792*'Business Case'!G12*$B792)-'Business Case'!G11*$C792*'Business Case'!G13*$D792-'Business Case'!G14*$E792))*'Business Case'!$B$7-'Business Case'!$B$8*(('Business Case'!G11*$C792*'Business Case'!G12*$B792)-('Business Case'!F11*$C792*'Business Case'!F12*$B792))-'Business Case'!G15*$F792+'Business Case'!$B$8*('Business Case'!G11*$C792*'Business Case'!G12*$B792)</f>
        <v>999914462.17356</v>
      </c>
      <c r="N792" s="53" t="n">
        <f aca="false">IF(COUNT('Business Case'!B11:G11)=0,"",H792+NPV(G792,I792:M792))</f>
        <v>-37656807.3857455</v>
      </c>
      <c r="P792" s="54" t="n">
        <f aca="true">RAND()</f>
        <v>0.900337562618795</v>
      </c>
      <c r="Q792" s="54" t="n">
        <f aca="true">RAND()</f>
        <v>0.4670479908394</v>
      </c>
      <c r="R792" s="54" t="n">
        <f aca="true">RAND()</f>
        <v>0.660339627492871</v>
      </c>
      <c r="S792" s="54" t="n">
        <f aca="true">RAND()</f>
        <v>0.175764100329613</v>
      </c>
      <c r="T792" s="54" t="n">
        <f aca="true">RAND()</f>
        <v>0.309581366748612</v>
      </c>
      <c r="U792" s="54" t="n">
        <f aca="true">RAND()</f>
        <v>0.0691166882899538</v>
      </c>
    </row>
    <row r="793" customFormat="false" ht="15" hidden="false" customHeight="false" outlineLevel="0" collapsed="false">
      <c r="A793" s="50" t="n">
        <v>713</v>
      </c>
      <c r="B793" s="51" t="n">
        <f aca="false">1+IF($G$6=$E$6,$F$6,IF(P793&lt;($F$6-$E$6)/($G$6-$E$6),$E$6+SQRT(P793*($G$6-$E$6)*($F$6-$E$6)),$G$6-SQRT((1-P793)*($G$6-$E$6)*($G$6-$F$6))))</f>
        <v>0.946991817061145</v>
      </c>
      <c r="C793" s="51" t="n">
        <f aca="false">1+IF($G$7=$E$7,$F$7,IF(Q793&lt;($F$7-$E$7)/($G$7-$E$7),$E$7+SQRT(Q793*($G$7-$E$7)*($F$7-$E$7)),$G$7-SQRT((1-Q793)*($G$7-$E$7)*($G$7-$F$7))))</f>
        <v>1.02079488324913</v>
      </c>
      <c r="D793" s="51" t="n">
        <f aca="false">1+IF($G$8=$E$8,$F$8,IF(R793&lt;($F$8-$E$8)/($G$8-$E$8),$E$8+SQRT(R793*($G$8-$E$8)*($F$8-$E$8)),$G$8-SQRT((1-R793)*($G$8-$E$8)*($G$8-$F$8))))</f>
        <v>1.03159510329525</v>
      </c>
      <c r="E793" s="51" t="n">
        <f aca="false">1+IF($G$9=$E$9,$F$9,IF(S793&lt;($F$9-$E$9)/($G$9-$E$9),$E$9+SQRT(S793*($G$9-$E$9)*($F$9-$E$9)),$G$9-SQRT((1-S793)*($G$9-$E$9)*($G$9-$F$9))))</f>
        <v>0.978368773319303</v>
      </c>
      <c r="F793" s="51" t="n">
        <f aca="false">1+IF($G$10=$E$10,$F$10,IF(T793&lt;($F$10-$E$10)/($G$10-$E$10),$E$10+SQRT(T793*($G$10-$E$10)*($F$10-$E$10)),$G$10-SQRT((1-T793)*($G$10-$E$10)*($G$10-$F$10))))</f>
        <v>1.0730206426815</v>
      </c>
      <c r="G793" s="52" t="n">
        <f aca="false">IF($G$11=$E$11,$F$11,IF(U793&lt;($F$11-$E$11)/($G$11-$E$11),$E$11+SQRT(U793*($G$11-$E$11)*($F$11-$E$11)),$G$11-SQRT((1-U793)*($G$11-$E$11)*($G$11-$F$11))))</f>
        <v>0.11728125753158</v>
      </c>
      <c r="H793" s="53" t="n">
        <f aca="false">(('Business Case'!B11*$C793*'Business Case'!B12*$B793)-'Business Case'!B11*$C793*'Business Case'!B13*$D793-'Business Case'!B14*$E793)-MAX(0,(('Business Case'!B11*$C793*'Business Case'!B12*$B793)-'Business Case'!B11*$C793*'Business Case'!B13*$D793-'Business Case'!B14*$E793))*'Business Case'!$B$7-'Business Case'!$B$8*('Business Case'!B11*$C793*'Business Case'!B12*$B793)-'Business Case'!B15*$F793</f>
        <v>-2146041285.363</v>
      </c>
      <c r="I793" s="53" t="n">
        <f aca="false">(('Business Case'!C11*$C793*'Business Case'!C12*$B793)-'Business Case'!C11*$C793*'Business Case'!C13*$D793-'Business Case'!C14*$E793)-MAX(0,(('Business Case'!C11*$C793*'Business Case'!C12*$B793)-'Business Case'!C11*$C793*'Business Case'!C13*$D793-'Business Case'!C14*$E793))*'Business Case'!$B$7-'Business Case'!$B$8*(('Business Case'!C11*$C793*'Business Case'!C12*$B793)-('Business Case'!B11*$C793*'Business Case'!B12*$B793))-'Business Case'!C15*$F793</f>
        <v>-43830719.019669</v>
      </c>
      <c r="J793" s="53" t="n">
        <f aca="false">(('Business Case'!D11*$C793*'Business Case'!D12*$B793)-'Business Case'!D11*$C793*'Business Case'!D13*$D793-'Business Case'!D14*$E793)-MAX(0,(('Business Case'!D11*$C793*'Business Case'!D12*$B793)-'Business Case'!D11*$C793*'Business Case'!D13*$D793-'Business Case'!D14*$E793))*'Business Case'!$B$7-'Business Case'!$B$8*(('Business Case'!D11*$C793*'Business Case'!D12*$B793)-('Business Case'!C11*$C793*'Business Case'!C12*$B793))-'Business Case'!D15*$F793</f>
        <v>208877585.160013</v>
      </c>
      <c r="K793" s="53" t="n">
        <f aca="false">(('Business Case'!E11*$C793*'Business Case'!E12*$B793)-'Business Case'!E11*$C793*'Business Case'!E13*$D793-'Business Case'!E14*$E793)-MAX(0,(('Business Case'!E11*$C793*'Business Case'!E12*$B793)-'Business Case'!E11*$C793*'Business Case'!E13*$D793-'Business Case'!E14*$E793))*'Business Case'!$B$7-'Business Case'!$B$8*(('Business Case'!E11*$C793*'Business Case'!E12*$B793)-('Business Case'!D11*$C793*'Business Case'!D12*$B793))-'Business Case'!E15*$F793</f>
        <v>515236921.47377</v>
      </c>
      <c r="L793" s="53" t="n">
        <f aca="false">(('Business Case'!F11*$C793*'Business Case'!F12*$B793)-'Business Case'!F11*$C793*'Business Case'!F13*$D793-'Business Case'!F14*$E793)-MAX(0,(('Business Case'!F11*$C793*'Business Case'!F12*$B793)-'Business Case'!F11*$C793*'Business Case'!F13*$D793-'Business Case'!F14*$E793))*'Business Case'!$B$7-'Business Case'!$B$8*(('Business Case'!F11*$C793*'Business Case'!F12*$B793)-('Business Case'!E11*$C793*'Business Case'!E12*$B793))-'Business Case'!F15*$F793</f>
        <v>632881635.777128</v>
      </c>
      <c r="M793" s="53" t="n">
        <f aca="false">(('Business Case'!G11*$C793*'Business Case'!G12*$B793)-'Business Case'!G11*$C793*'Business Case'!G13*$D793-'Business Case'!G14*$E793)-MAX(0,(('Business Case'!G11*$C793*'Business Case'!G12*$B793)-'Business Case'!G11*$C793*'Business Case'!G13*$D793-'Business Case'!G14*$E793))*'Business Case'!$B$7-'Business Case'!$B$8*(('Business Case'!G11*$C793*'Business Case'!G12*$B793)-('Business Case'!F11*$C793*'Business Case'!F12*$B793))-'Business Case'!G15*$F793+'Business Case'!$B$8*('Business Case'!G11*$C793*'Business Case'!G12*$B793)</f>
        <v>816629006.782849</v>
      </c>
      <c r="N793" s="53" t="n">
        <f aca="false">IF(COUNT('Business Case'!B11:G11)=0,"",H793+NPV(G793,I793:M793))</f>
        <v>-773345171.897727</v>
      </c>
      <c r="P793" s="54" t="n">
        <f aca="true">RAND()</f>
        <v>0.0758914779439902</v>
      </c>
      <c r="Q793" s="54" t="n">
        <f aca="true">RAND()</f>
        <v>0.682019767721775</v>
      </c>
      <c r="R793" s="54" t="n">
        <f aca="true">RAND()</f>
        <v>0.774708266827144</v>
      </c>
      <c r="S793" s="54" t="n">
        <f aca="true">RAND()</f>
        <v>0.107304973285597</v>
      </c>
      <c r="T793" s="54" t="n">
        <f aca="true">RAND()</f>
        <v>0.677524856299601</v>
      </c>
      <c r="U793" s="54" t="n">
        <f aca="true">RAND()</f>
        <v>0.98768073231735</v>
      </c>
    </row>
    <row r="794" customFormat="false" ht="15" hidden="false" customHeight="false" outlineLevel="0" collapsed="false">
      <c r="A794" s="50" t="n">
        <v>714</v>
      </c>
      <c r="B794" s="51" t="n">
        <f aca="false">1+IF($G$6=$E$6,$F$6,IF(P794&lt;($F$6-$E$6)/($G$6-$E$6),$E$6+SQRT(P794*($G$6-$E$6)*($F$6-$E$6)),$G$6-SQRT((1-P794)*($G$6-$E$6)*($G$6-$F$6))))</f>
        <v>0.989838747496881</v>
      </c>
      <c r="C794" s="51" t="n">
        <f aca="false">1+IF($G$7=$E$7,$F$7,IF(Q794&lt;($F$7-$E$7)/($G$7-$E$7),$E$7+SQRT(Q794*($G$7-$E$7)*($F$7-$E$7)),$G$7-SQRT((1-Q794)*($G$7-$E$7)*($G$7-$F$7))))</f>
        <v>0.990430361869793</v>
      </c>
      <c r="D794" s="51" t="n">
        <f aca="false">1+IF($G$8=$E$8,$F$8,IF(R794&lt;($F$8-$E$8)/($G$8-$E$8),$E$8+SQRT(R794*($G$8-$E$8)*($F$8-$E$8)),$G$8-SQRT((1-R794)*($G$8-$E$8)*($G$8-$F$8))))</f>
        <v>0.988209721838663</v>
      </c>
      <c r="E794" s="51" t="n">
        <f aca="false">1+IF($G$9=$E$9,$F$9,IF(S794&lt;($F$9-$E$9)/($G$9-$E$9),$E$9+SQRT(S794*($G$9-$E$9)*($F$9-$E$9)),$G$9-SQRT((1-S794)*($G$9-$E$9)*($G$9-$F$9))))</f>
        <v>0.9985573234253</v>
      </c>
      <c r="F794" s="51" t="n">
        <f aca="false">1+IF($G$10=$E$10,$F$10,IF(T794&lt;($F$10-$E$10)/($G$10-$E$10),$E$10+SQRT(T794*($G$10-$E$10)*($F$10-$E$10)),$G$10-SQRT((1-T794)*($G$10-$E$10)*($G$10-$F$10))))</f>
        <v>0.977577495919351</v>
      </c>
      <c r="G794" s="52" t="n">
        <f aca="false">IF($G$11=$E$11,$F$11,IF(U794&lt;($F$11-$E$11)/($G$11-$E$11),$E$11+SQRT(U794*($G$11-$E$11)*($F$11-$E$11)),$G$11-SQRT((1-U794)*($G$11-$E$11)*($G$11-$F$11))))</f>
        <v>0.112663126438502</v>
      </c>
      <c r="H794" s="53" t="n">
        <f aca="false">(('Business Case'!B11*$C794*'Business Case'!B12*$B794)-'Business Case'!B11*$C794*'Business Case'!B13*$D794-'Business Case'!B14*$E794)-MAX(0,(('Business Case'!B11*$C794*'Business Case'!B12*$B794)-'Business Case'!B11*$C794*'Business Case'!B13*$D794-'Business Case'!B14*$E794))*'Business Case'!$B$7-'Business Case'!$B$8*('Business Case'!B11*$C794*'Business Case'!B12*$B794)-'Business Case'!B15*$F794</f>
        <v>-1955154991.8387</v>
      </c>
      <c r="I794" s="53" t="n">
        <f aca="false">(('Business Case'!C11*$C794*'Business Case'!C12*$B794)-'Business Case'!C11*$C794*'Business Case'!C13*$D794-'Business Case'!C14*$E794)-MAX(0,(('Business Case'!C11*$C794*'Business Case'!C12*$B794)-'Business Case'!C11*$C794*'Business Case'!C13*$D794-'Business Case'!C14*$E794))*'Business Case'!$B$7-'Business Case'!$B$8*(('Business Case'!C11*$C794*'Business Case'!C12*$B794)-('Business Case'!B11*$C794*'Business Case'!B12*$B794))-'Business Case'!C15*$F794</f>
        <v>11372642.6800662</v>
      </c>
      <c r="J794" s="53" t="n">
        <f aca="false">(('Business Case'!D11*$C794*'Business Case'!D12*$B794)-'Business Case'!D11*$C794*'Business Case'!D13*$D794-'Business Case'!D14*$E794)-MAX(0,(('Business Case'!D11*$C794*'Business Case'!D12*$B794)-'Business Case'!D11*$C794*'Business Case'!D13*$D794-'Business Case'!D14*$E794))*'Business Case'!$B$7-'Business Case'!$B$8*(('Business Case'!D11*$C794*'Business Case'!D12*$B794)-('Business Case'!C11*$C794*'Business Case'!C12*$B794))-'Business Case'!D15*$F794</f>
        <v>313320077.868881</v>
      </c>
      <c r="K794" s="53" t="n">
        <f aca="false">(('Business Case'!E11*$C794*'Business Case'!E12*$B794)-'Business Case'!E11*$C794*'Business Case'!E13*$D794-'Business Case'!E14*$E794)-MAX(0,(('Business Case'!E11*$C794*'Business Case'!E12*$B794)-'Business Case'!E11*$C794*'Business Case'!E13*$D794-'Business Case'!E14*$E794))*'Business Case'!$B$7-'Business Case'!$B$8*(('Business Case'!E11*$C794*'Business Case'!E12*$B794)-('Business Case'!D11*$C794*'Business Case'!D12*$B794))-'Business Case'!E15*$F794</f>
        <v>664146387.853663</v>
      </c>
      <c r="L794" s="53" t="n">
        <f aca="false">(('Business Case'!F11*$C794*'Business Case'!F12*$B794)-'Business Case'!F11*$C794*'Business Case'!F13*$D794-'Business Case'!F14*$E794)-MAX(0,(('Business Case'!F11*$C794*'Business Case'!F12*$B794)-'Business Case'!F11*$C794*'Business Case'!F13*$D794-'Business Case'!F14*$E794))*'Business Case'!$B$7-'Business Case'!$B$8*(('Business Case'!F11*$C794*'Business Case'!F12*$B794)-('Business Case'!E11*$C794*'Business Case'!E12*$B794))-'Business Case'!F15*$F794</f>
        <v>798676993.933759</v>
      </c>
      <c r="M794" s="53" t="n">
        <f aca="false">(('Business Case'!G11*$C794*'Business Case'!G12*$B794)-'Business Case'!G11*$C794*'Business Case'!G13*$D794-'Business Case'!G14*$E794)-MAX(0,(('Business Case'!G11*$C794*'Business Case'!G12*$B794)-'Business Case'!G11*$C794*'Business Case'!G13*$D794-'Business Case'!G14*$E794))*'Business Case'!$B$7-'Business Case'!$B$8*(('Business Case'!G11*$C794*'Business Case'!G12*$B794)-('Business Case'!F11*$C794*'Business Case'!F12*$B794))-'Business Case'!G15*$F794+'Business Case'!$B$8*('Business Case'!G11*$C794*'Business Case'!G12*$B794)</f>
        <v>985025029.528124</v>
      </c>
      <c r="N794" s="53" t="n">
        <f aca="false">IF(COUNT('Business Case'!B11:G11)=0,"",H794+NPV(G794,I794:M794))</f>
        <v>-111016107.500451</v>
      </c>
      <c r="P794" s="54" t="n">
        <f aca="true">RAND()</f>
        <v>0.508067776243025</v>
      </c>
      <c r="Q794" s="54" t="n">
        <f aca="true">RAND()</f>
        <v>0.51805318174086</v>
      </c>
      <c r="R794" s="54" t="n">
        <f aca="true">RAND()</f>
        <v>0.224612745075082</v>
      </c>
      <c r="S794" s="54" t="n">
        <f aca="true">RAND()</f>
        <v>0.314375154430551</v>
      </c>
      <c r="T794" s="54" t="n">
        <f aca="true">RAND()</f>
        <v>0.0608414624945455</v>
      </c>
      <c r="U794" s="54" t="n">
        <f aca="true">RAND()</f>
        <v>0.910283810570998</v>
      </c>
    </row>
    <row r="795" customFormat="false" ht="15" hidden="false" customHeight="false" outlineLevel="0" collapsed="false">
      <c r="A795" s="50" t="n">
        <v>715</v>
      </c>
      <c r="B795" s="51" t="n">
        <f aca="false">1+IF($G$6=$E$6,$F$6,IF(P795&lt;($F$6-$E$6)/($G$6-$E$6),$E$6+SQRT(P795*($G$6-$E$6)*($F$6-$E$6)),$G$6-SQRT((1-P795)*($G$6-$E$6)*($G$6-$F$6))))</f>
        <v>1.003818675558</v>
      </c>
      <c r="C795" s="51" t="n">
        <f aca="false">1+IF($G$7=$E$7,$F$7,IF(Q795&lt;($F$7-$E$7)/($G$7-$E$7),$E$7+SQRT(Q795*($G$7-$E$7)*($F$7-$E$7)),$G$7-SQRT((1-Q795)*($G$7-$E$7)*($G$7-$F$7))))</f>
        <v>0.861735596362229</v>
      </c>
      <c r="D795" s="51" t="n">
        <f aca="false">1+IF($G$8=$E$8,$F$8,IF(R795&lt;($F$8-$E$8)/($G$8-$E$8),$E$8+SQRT(R795*($G$8-$E$8)*($F$8-$E$8)),$G$8-SQRT((1-R795)*($G$8-$E$8)*($G$8-$F$8))))</f>
        <v>0.954449140569388</v>
      </c>
      <c r="E795" s="51" t="n">
        <f aca="false">1+IF($G$9=$E$9,$F$9,IF(S795&lt;($F$9-$E$9)/($G$9-$E$9),$E$9+SQRT(S795*($G$9-$E$9)*($F$9-$E$9)),$G$9-SQRT((1-S795)*($G$9-$E$9)*($G$9-$F$9))))</f>
        <v>0.992094169682798</v>
      </c>
      <c r="F795" s="51" t="n">
        <f aca="false">1+IF($G$10=$E$10,$F$10,IF(T795&lt;($F$10-$E$10)/($G$10-$E$10),$E$10+SQRT(T795*($G$10-$E$10)*($F$10-$E$10)),$G$10-SQRT((1-T795)*($G$10-$E$10)*($G$10-$F$10))))</f>
        <v>1.03363909042491</v>
      </c>
      <c r="G795" s="52" t="n">
        <f aca="false">IF($G$11=$E$11,$F$11,IF(U795&lt;($F$11-$E$11)/($G$11-$E$11),$E$11+SQRT(U795*($G$11-$E$11)*($F$11-$E$11)),$G$11-SQRT((1-U795)*($G$11-$E$11)*($G$11-$F$11))))</f>
        <v>0.0961869321429991</v>
      </c>
      <c r="H795" s="53" t="n">
        <f aca="false">(('Business Case'!B11*$C795*'Business Case'!B12*$B795)-'Business Case'!B11*$C795*'Business Case'!B13*$D795-'Business Case'!B14*$E795)-MAX(0,(('Business Case'!B11*$C795*'Business Case'!B12*$B795)-'Business Case'!B11*$C795*'Business Case'!B13*$D795-'Business Case'!B14*$E795))*'Business Case'!$B$7-'Business Case'!$B$8*('Business Case'!B11*$C795*'Business Case'!B12*$B795)-'Business Case'!B15*$F795</f>
        <v>-2067278180.84982</v>
      </c>
      <c r="I795" s="53" t="n">
        <f aca="false">(('Business Case'!C11*$C795*'Business Case'!C12*$B795)-'Business Case'!C11*$C795*'Business Case'!C13*$D795-'Business Case'!C14*$E795)-MAX(0,(('Business Case'!C11*$C795*'Business Case'!C12*$B795)-'Business Case'!C11*$C795*'Business Case'!C13*$D795-'Business Case'!C14*$E795))*'Business Case'!$B$7-'Business Case'!$B$8*(('Business Case'!C11*$C795*'Business Case'!C12*$B795)-('Business Case'!B11*$C795*'Business Case'!B12*$B795))-'Business Case'!C15*$F795</f>
        <v>-1809247.90295225</v>
      </c>
      <c r="J795" s="53" t="n">
        <f aca="false">(('Business Case'!D11*$C795*'Business Case'!D12*$B795)-'Business Case'!D11*$C795*'Business Case'!D13*$D795-'Business Case'!D14*$E795)-MAX(0,(('Business Case'!D11*$C795*'Business Case'!D12*$B795)-'Business Case'!D11*$C795*'Business Case'!D13*$D795-'Business Case'!D14*$E795))*'Business Case'!$B$7-'Business Case'!$B$8*(('Business Case'!D11*$C795*'Business Case'!D12*$B795)-('Business Case'!C11*$C795*'Business Case'!C12*$B795))-'Business Case'!D15*$F795</f>
        <v>285664166.780996</v>
      </c>
      <c r="K795" s="53" t="n">
        <f aca="false">(('Business Case'!E11*$C795*'Business Case'!E12*$B795)-'Business Case'!E11*$C795*'Business Case'!E13*$D795-'Business Case'!E14*$E795)-MAX(0,(('Business Case'!E11*$C795*'Business Case'!E12*$B795)-'Business Case'!E11*$C795*'Business Case'!E13*$D795-'Business Case'!E14*$E795))*'Business Case'!$B$7-'Business Case'!$B$8*(('Business Case'!E11*$C795*'Business Case'!E12*$B795)-('Business Case'!D11*$C795*'Business Case'!D12*$B795))-'Business Case'!E15*$F795</f>
        <v>624819535.986189</v>
      </c>
      <c r="L795" s="53" t="n">
        <f aca="false">(('Business Case'!F11*$C795*'Business Case'!F12*$B795)-'Business Case'!F11*$C795*'Business Case'!F13*$D795-'Business Case'!F14*$E795)-MAX(0,(('Business Case'!F11*$C795*'Business Case'!F12*$B795)-'Business Case'!F11*$C795*'Business Case'!F13*$D795-'Business Case'!F14*$E795))*'Business Case'!$B$7-'Business Case'!$B$8*(('Business Case'!F11*$C795*'Business Case'!F12*$B795)-('Business Case'!E11*$C795*'Business Case'!E12*$B795))-'Business Case'!F15*$F795</f>
        <v>750539315.957848</v>
      </c>
      <c r="M795" s="53" t="n">
        <f aca="false">(('Business Case'!G11*$C795*'Business Case'!G12*$B795)-'Business Case'!G11*$C795*'Business Case'!G13*$D795-'Business Case'!G14*$E795)-MAX(0,(('Business Case'!G11*$C795*'Business Case'!G12*$B795)-'Business Case'!G11*$C795*'Business Case'!G13*$D795-'Business Case'!G14*$E795))*'Business Case'!$B$7-'Business Case'!$B$8*(('Business Case'!G11*$C795*'Business Case'!G12*$B795)-('Business Case'!F11*$C795*'Business Case'!F12*$B795))-'Business Case'!G15*$F795+'Business Case'!$B$8*('Business Case'!G11*$C795*'Business Case'!G12*$B795)</f>
        <v>914963512.214737</v>
      </c>
      <c r="N795" s="53" t="n">
        <f aca="false">IF(COUNT('Business Case'!B11:G11)=0,"",H795+NPV(G795,I795:M795))</f>
        <v>-258976528.708889</v>
      </c>
      <c r="P795" s="54" t="n">
        <f aca="true">RAND()</f>
        <v>0.727273283671362</v>
      </c>
      <c r="Q795" s="54" t="n">
        <f aca="true">RAND()</f>
        <v>0.0544469122600001</v>
      </c>
      <c r="R795" s="54" t="n">
        <f aca="true">RAND()</f>
        <v>0.00304536181633414</v>
      </c>
      <c r="S795" s="54" t="n">
        <f aca="true">RAND()</f>
        <v>0.236255882837888</v>
      </c>
      <c r="T795" s="54" t="n">
        <f aca="true">RAND()</f>
        <v>0.446480955306971</v>
      </c>
      <c r="U795" s="54" t="n">
        <f aca="true">RAND()</f>
        <v>0.127593764473584</v>
      </c>
    </row>
    <row r="796" customFormat="false" ht="15" hidden="false" customHeight="false" outlineLevel="0" collapsed="false">
      <c r="A796" s="50" t="n">
        <v>716</v>
      </c>
      <c r="B796" s="51" t="n">
        <f aca="false">1+IF($G$6=$E$6,$F$6,IF(P796&lt;($F$6-$E$6)/($G$6-$E$6),$E$6+SQRT(P796*($G$6-$E$6)*($F$6-$E$6)),$G$6-SQRT((1-P796)*($G$6-$E$6)*($G$6-$F$6))))</f>
        <v>0.978730383138439</v>
      </c>
      <c r="C796" s="51" t="n">
        <f aca="false">1+IF($G$7=$E$7,$F$7,IF(Q796&lt;($F$7-$E$7)/($G$7-$E$7),$E$7+SQRT(Q796*($G$7-$E$7)*($F$7-$E$7)),$G$7-SQRT((1-Q796)*($G$7-$E$7)*($G$7-$F$7))))</f>
        <v>1.03458802712741</v>
      </c>
      <c r="D796" s="51" t="n">
        <f aca="false">1+IF($G$8=$E$8,$F$8,IF(R796&lt;($F$8-$E$8)/($G$8-$E$8),$E$8+SQRT(R796*($G$8-$E$8)*($F$8-$E$8)),$G$8-SQRT((1-R796)*($G$8-$E$8)*($G$8-$F$8))))</f>
        <v>1.03913070073524</v>
      </c>
      <c r="E796" s="51" t="n">
        <f aca="false">1+IF($G$9=$E$9,$F$9,IF(S796&lt;($F$9-$E$9)/($G$9-$E$9),$E$9+SQRT(S796*($G$9-$E$9)*($F$9-$E$9)),$G$9-SQRT((1-S796)*($G$9-$E$9)*($G$9-$F$9))))</f>
        <v>0.961396257250487</v>
      </c>
      <c r="F796" s="51" t="n">
        <f aca="false">1+IF($G$10=$E$10,$F$10,IF(T796&lt;($F$10-$E$10)/($G$10-$E$10),$E$10+SQRT(T796*($G$10-$E$10)*($F$10-$E$10)),$G$10-SQRT((1-T796)*($G$10-$E$10)*($G$10-$F$10))))</f>
        <v>0.992023317698803</v>
      </c>
      <c r="G796" s="52" t="n">
        <f aca="false">IF($G$11=$E$11,$F$11,IF(U796&lt;($F$11-$E$11)/($G$11-$E$11),$E$11+SQRT(U796*($G$11-$E$11)*($F$11-$E$11)),$G$11-SQRT((1-U796)*($G$11-$E$11)*($G$11-$F$11))))</f>
        <v>0.0977313012776305</v>
      </c>
      <c r="H796" s="53" t="n">
        <f aca="false">(('Business Case'!B11*$C796*'Business Case'!B12*$B796)-'Business Case'!B11*$C796*'Business Case'!B13*$D796-'Business Case'!B14*$E796)-MAX(0,(('Business Case'!B11*$C796*'Business Case'!B12*$B796)-'Business Case'!B11*$C796*'Business Case'!B13*$D796-'Business Case'!B14*$E796))*'Business Case'!$B$7-'Business Case'!$B$8*('Business Case'!B11*$C796*'Business Case'!B12*$B796)-'Business Case'!B15*$F796</f>
        <v>-1984046635.39761</v>
      </c>
      <c r="I796" s="53" t="n">
        <f aca="false">(('Business Case'!C11*$C796*'Business Case'!C12*$B796)-'Business Case'!C11*$C796*'Business Case'!C13*$D796-'Business Case'!C14*$E796)-MAX(0,(('Business Case'!C11*$C796*'Business Case'!C12*$B796)-'Business Case'!C11*$C796*'Business Case'!C13*$D796-'Business Case'!C14*$E796))*'Business Case'!$B$7-'Business Case'!$B$8*(('Business Case'!C11*$C796*'Business Case'!C12*$B796)-('Business Case'!B11*$C796*'Business Case'!B12*$B796))-'Business Case'!C15*$F796</f>
        <v>-9377952.91067396</v>
      </c>
      <c r="J796" s="53" t="n">
        <f aca="false">(('Business Case'!D11*$C796*'Business Case'!D12*$B796)-'Business Case'!D11*$C796*'Business Case'!D13*$D796-'Business Case'!D14*$E796)-MAX(0,(('Business Case'!D11*$C796*'Business Case'!D12*$B796)-'Business Case'!D11*$C796*'Business Case'!D13*$D796-'Business Case'!D14*$E796))*'Business Case'!$B$7-'Business Case'!$B$8*(('Business Case'!D11*$C796*'Business Case'!D12*$B796)-('Business Case'!C11*$C796*'Business Case'!C12*$B796))-'Business Case'!D15*$F796</f>
        <v>269649262.773167</v>
      </c>
      <c r="K796" s="53" t="n">
        <f aca="false">(('Business Case'!E11*$C796*'Business Case'!E12*$B796)-'Business Case'!E11*$C796*'Business Case'!E13*$D796-'Business Case'!E14*$E796)-MAX(0,(('Business Case'!E11*$C796*'Business Case'!E12*$B796)-'Business Case'!E11*$C796*'Business Case'!E13*$D796-'Business Case'!E14*$E796))*'Business Case'!$B$7-'Business Case'!$B$8*(('Business Case'!E11*$C796*'Business Case'!E12*$B796)-('Business Case'!D11*$C796*'Business Case'!D12*$B796))-'Business Case'!E15*$F796</f>
        <v>598277644.341949</v>
      </c>
      <c r="L796" s="53" t="n">
        <f aca="false">(('Business Case'!F11*$C796*'Business Case'!F12*$B796)-'Business Case'!F11*$C796*'Business Case'!F13*$D796-'Business Case'!F14*$E796)-MAX(0,(('Business Case'!F11*$C796*'Business Case'!F12*$B796)-'Business Case'!F11*$C796*'Business Case'!F13*$D796-'Business Case'!F14*$E796))*'Business Case'!$B$7-'Business Case'!$B$8*(('Business Case'!F11*$C796*'Business Case'!F12*$B796)-('Business Case'!E11*$C796*'Business Case'!E12*$B796))-'Business Case'!F15*$F796</f>
        <v>726281575.598972</v>
      </c>
      <c r="M796" s="53" t="n">
        <f aca="false">(('Business Case'!G11*$C796*'Business Case'!G12*$B796)-'Business Case'!G11*$C796*'Business Case'!G13*$D796-'Business Case'!G14*$E796)-MAX(0,(('Business Case'!G11*$C796*'Business Case'!G12*$B796)-'Business Case'!G11*$C796*'Business Case'!G13*$D796-'Business Case'!G14*$E796))*'Business Case'!$B$7-'Business Case'!$B$8*(('Business Case'!G11*$C796*'Business Case'!G12*$B796)-('Business Case'!F11*$C796*'Business Case'!F12*$B796))-'Business Case'!G15*$F796+'Business Case'!$B$8*('Business Case'!G11*$C796*'Business Case'!G12*$B796)</f>
        <v>918753302.092228</v>
      </c>
      <c r="N796" s="53" t="n">
        <f aca="false">IF(COUNT('Business Case'!B11:G11)=0,"",H796+NPV(G796,I796:M796))</f>
        <v>-239962752.640905</v>
      </c>
      <c r="P796" s="54" t="n">
        <f aca="true">RAND()</f>
        <v>0.359297698290397</v>
      </c>
      <c r="Q796" s="54" t="n">
        <f aca="true">RAND()</f>
        <v>0.746287171764884</v>
      </c>
      <c r="R796" s="54" t="n">
        <f aca="true">RAND()</f>
        <v>0.839394267077606</v>
      </c>
      <c r="S796" s="54" t="n">
        <f aca="true">RAND()</f>
        <v>0.0173166239092365</v>
      </c>
      <c r="T796" s="54" t="n">
        <f aca="true">RAND()</f>
        <v>0.141276738433162</v>
      </c>
      <c r="U796" s="54" t="n">
        <f aca="true">RAND()</f>
        <v>0.199243398151638</v>
      </c>
    </row>
    <row r="797" customFormat="false" ht="15" hidden="false" customHeight="false" outlineLevel="0" collapsed="false">
      <c r="A797" s="50" t="n">
        <v>717</v>
      </c>
      <c r="B797" s="51" t="n">
        <f aca="false">1+IF($G$6=$E$6,$F$6,IF(P797&lt;($F$6-$E$6)/($G$6-$E$6),$E$6+SQRT(P797*($G$6-$E$6)*($F$6-$E$6)),$G$6-SQRT((1-P797)*($G$6-$E$6)*($G$6-$F$6))))</f>
        <v>0.977223656418587</v>
      </c>
      <c r="C797" s="51" t="n">
        <f aca="false">1+IF($G$7=$E$7,$F$7,IF(Q797&lt;($F$7-$E$7)/($G$7-$E$7),$E$7+SQRT(Q797*($G$7-$E$7)*($F$7-$E$7)),$G$7-SQRT((1-Q797)*($G$7-$E$7)*($G$7-$F$7))))</f>
        <v>0.875232766864222</v>
      </c>
      <c r="D797" s="51" t="n">
        <f aca="false">1+IF($G$8=$E$8,$F$8,IF(R797&lt;($F$8-$E$8)/($G$8-$E$8),$E$8+SQRT(R797*($G$8-$E$8)*($F$8-$E$8)),$G$8-SQRT((1-R797)*($G$8-$E$8)*($G$8-$F$8))))</f>
        <v>1.04132697181425</v>
      </c>
      <c r="E797" s="51" t="n">
        <f aca="false">1+IF($G$9=$E$9,$F$9,IF(S797&lt;($F$9-$E$9)/($G$9-$E$9),$E$9+SQRT(S797*($G$9-$E$9)*($F$9-$E$9)),$G$9-SQRT((1-S797)*($G$9-$E$9)*($G$9-$F$9))))</f>
        <v>1.02840309365142</v>
      </c>
      <c r="F797" s="51" t="n">
        <f aca="false">1+IF($G$10=$E$10,$F$10,IF(T797&lt;($F$10-$E$10)/($G$10-$E$10),$E$10+SQRT(T797*($G$10-$E$10)*($F$10-$E$10)),$G$10-SQRT((1-T797)*($G$10-$E$10)*($G$10-$F$10))))</f>
        <v>0.984639081094362</v>
      </c>
      <c r="G797" s="52" t="n">
        <f aca="false">IF($G$11=$E$11,$F$11,IF(U797&lt;($F$11-$E$11)/($G$11-$E$11),$E$11+SQRT(U797*($G$11-$E$11)*($F$11-$E$11)),$G$11-SQRT((1-U797)*($G$11-$E$11)*($G$11-$F$11))))</f>
        <v>0.0944074109243697</v>
      </c>
      <c r="H797" s="53" t="n">
        <f aca="false">(('Business Case'!B11*$C797*'Business Case'!B12*$B797)-'Business Case'!B11*$C797*'Business Case'!B13*$D797-'Business Case'!B14*$E797)-MAX(0,(('Business Case'!B11*$C797*'Business Case'!B12*$B797)-'Business Case'!B11*$C797*'Business Case'!B13*$D797-'Business Case'!B14*$E797))*'Business Case'!$B$7-'Business Case'!$B$8*('Business Case'!B11*$C797*'Business Case'!B12*$B797)-'Business Case'!B15*$F797</f>
        <v>-1969278162.18872</v>
      </c>
      <c r="I797" s="53" t="n">
        <f aca="false">(('Business Case'!C11*$C797*'Business Case'!C12*$B797)-'Business Case'!C11*$C797*'Business Case'!C13*$D797-'Business Case'!C14*$E797)-MAX(0,(('Business Case'!C11*$C797*'Business Case'!C12*$B797)-'Business Case'!C11*$C797*'Business Case'!C13*$D797-'Business Case'!C14*$E797))*'Business Case'!$B$7-'Business Case'!$B$8*(('Business Case'!C11*$C797*'Business Case'!C12*$B797)-('Business Case'!B11*$C797*'Business Case'!B12*$B797))-'Business Case'!C15*$F797</f>
        <v>-55056379.501807</v>
      </c>
      <c r="J797" s="53" t="n">
        <f aca="false">(('Business Case'!D11*$C797*'Business Case'!D12*$B797)-'Business Case'!D11*$C797*'Business Case'!D13*$D797-'Business Case'!D14*$E797)-MAX(0,(('Business Case'!D11*$C797*'Business Case'!D12*$B797)-'Business Case'!D11*$C797*'Business Case'!D13*$D797-'Business Case'!D14*$E797))*'Business Case'!$B$7-'Business Case'!$B$8*(('Business Case'!D11*$C797*'Business Case'!D12*$B797)-('Business Case'!C11*$C797*'Business Case'!C12*$B797))-'Business Case'!D15*$F797</f>
        <v>178928725.878635</v>
      </c>
      <c r="K797" s="53" t="n">
        <f aca="false">(('Business Case'!E11*$C797*'Business Case'!E12*$B797)-'Business Case'!E11*$C797*'Business Case'!E13*$D797-'Business Case'!E14*$E797)-MAX(0,(('Business Case'!E11*$C797*'Business Case'!E12*$B797)-'Business Case'!E11*$C797*'Business Case'!E13*$D797-'Business Case'!E14*$E797))*'Business Case'!$B$7-'Business Case'!$B$8*(('Business Case'!E11*$C797*'Business Case'!E12*$B797)-('Business Case'!D11*$C797*'Business Case'!D12*$B797))-'Business Case'!E15*$F797</f>
        <v>462145785.313796</v>
      </c>
      <c r="L797" s="53" t="n">
        <f aca="false">(('Business Case'!F11*$C797*'Business Case'!F12*$B797)-'Business Case'!F11*$C797*'Business Case'!F13*$D797-'Business Case'!F14*$E797)-MAX(0,(('Business Case'!F11*$C797*'Business Case'!F12*$B797)-'Business Case'!F11*$C797*'Business Case'!F13*$D797-'Business Case'!F14*$E797))*'Business Case'!$B$7-'Business Case'!$B$8*(('Business Case'!F11*$C797*'Business Case'!F12*$B797)-('Business Case'!E11*$C797*'Business Case'!E12*$B797))-'Business Case'!F15*$F797</f>
        <v>569699925.010997</v>
      </c>
      <c r="M797" s="53" t="n">
        <f aca="false">(('Business Case'!G11*$C797*'Business Case'!G12*$B797)-'Business Case'!G11*$C797*'Business Case'!G13*$D797-'Business Case'!G14*$E797)-MAX(0,(('Business Case'!G11*$C797*'Business Case'!G12*$B797)-'Business Case'!G11*$C797*'Business Case'!G13*$D797-'Business Case'!G14*$E797))*'Business Case'!$B$7-'Business Case'!$B$8*(('Business Case'!G11*$C797*'Business Case'!G12*$B797)-('Business Case'!F11*$C797*'Business Case'!F12*$B797))-'Business Case'!G15*$F797+'Business Case'!$B$8*('Business Case'!G11*$C797*'Business Case'!G12*$B797)</f>
        <v>732275000.148127</v>
      </c>
      <c r="N797" s="53" t="n">
        <f aca="false">IF(COUNT('Business Case'!B11:G11)=0,"",H797+NPV(G797,I797:M797))</f>
        <v>-654078155.820008</v>
      </c>
      <c r="P797" s="54" t="n">
        <f aca="true">RAND()</f>
        <v>0.341098630615885</v>
      </c>
      <c r="Q797" s="54" t="n">
        <f aca="true">RAND()</f>
        <v>0.0808567030006621</v>
      </c>
      <c r="R797" s="54" t="n">
        <f aca="true">RAND()</f>
        <v>0.856192008744605</v>
      </c>
      <c r="S797" s="54" t="n">
        <f aca="true">RAND()</f>
        <v>0.658258866754176</v>
      </c>
      <c r="T797" s="54" t="n">
        <f aca="true">RAND()</f>
        <v>0.0959892751249418</v>
      </c>
      <c r="U797" s="54" t="n">
        <f aca="true">RAND()</f>
        <v>0.0647509035208429</v>
      </c>
    </row>
    <row r="798" customFormat="false" ht="15" hidden="false" customHeight="false" outlineLevel="0" collapsed="false">
      <c r="A798" s="50" t="n">
        <v>718</v>
      </c>
      <c r="B798" s="51" t="n">
        <f aca="false">1+IF($G$6=$E$6,$F$6,IF(P798&lt;($F$6-$E$6)/($G$6-$E$6),$E$6+SQRT(P798*($G$6-$E$6)*($F$6-$E$6)),$G$6-SQRT((1-P798)*($G$6-$E$6)*($G$6-$F$6))))</f>
        <v>1.01595532532172</v>
      </c>
      <c r="C798" s="51" t="n">
        <f aca="false">1+IF($G$7=$E$7,$F$7,IF(Q798&lt;($F$7-$E$7)/($G$7-$E$7),$E$7+SQRT(Q798*($G$7-$E$7)*($F$7-$E$7)),$G$7-SQRT((1-Q798)*($G$7-$E$7)*($G$7-$F$7))))</f>
        <v>0.927020277262459</v>
      </c>
      <c r="D798" s="51" t="n">
        <f aca="false">1+IF($G$8=$E$8,$F$8,IF(R798&lt;($F$8-$E$8)/($G$8-$E$8),$E$8+SQRT(R798*($G$8-$E$8)*($F$8-$E$8)),$G$8-SQRT((1-R798)*($G$8-$E$8)*($G$8-$F$8))))</f>
        <v>0.95823831881826</v>
      </c>
      <c r="E798" s="51" t="n">
        <f aca="false">1+IF($G$9=$E$9,$F$9,IF(S798&lt;($F$9-$E$9)/($G$9-$E$9),$E$9+SQRT(S798*($G$9-$E$9)*($F$9-$E$9)),$G$9-SQRT((1-S798)*($G$9-$E$9)*($G$9-$F$9))))</f>
        <v>1.01961459283868</v>
      </c>
      <c r="F798" s="51" t="n">
        <f aca="false">1+IF($G$10=$E$10,$F$10,IF(T798&lt;($F$10-$E$10)/($G$10-$E$10),$E$10+SQRT(T798*($G$10-$E$10)*($F$10-$E$10)),$G$10-SQRT((1-T798)*($G$10-$E$10)*($G$10-$F$10))))</f>
        <v>1.0945592917431</v>
      </c>
      <c r="G798" s="52" t="n">
        <f aca="false">IF($G$11=$E$11,$F$11,IF(U798&lt;($F$11-$E$11)/($G$11-$E$11),$E$11+SQRT(U798*($G$11-$E$11)*($F$11-$E$11)),$G$11-SQRT((1-U798)*($G$11-$E$11)*($G$11-$F$11))))</f>
        <v>0.0986293523115836</v>
      </c>
      <c r="H798" s="53" t="n">
        <f aca="false">(('Business Case'!B11*$C798*'Business Case'!B12*$B798)-'Business Case'!B11*$C798*'Business Case'!B13*$D798-'Business Case'!B14*$E798)-MAX(0,(('Business Case'!B11*$C798*'Business Case'!B12*$B798)-'Business Case'!B11*$C798*'Business Case'!B13*$D798-'Business Case'!B14*$E798))*'Business Case'!$B$7-'Business Case'!$B$8*('Business Case'!B11*$C798*'Business Case'!B12*$B798)-'Business Case'!B15*$F798</f>
        <v>-2189118583.48619</v>
      </c>
      <c r="I798" s="53" t="n">
        <f aca="false">(('Business Case'!C11*$C798*'Business Case'!C12*$B798)-'Business Case'!C11*$C798*'Business Case'!C13*$D798-'Business Case'!C14*$E798)-MAX(0,(('Business Case'!C11*$C798*'Business Case'!C12*$B798)-'Business Case'!C11*$C798*'Business Case'!C13*$D798-'Business Case'!C14*$E798))*'Business Case'!$B$7-'Business Case'!$B$8*(('Business Case'!C11*$C798*'Business Case'!C12*$B798)-('Business Case'!B11*$C798*'Business Case'!B12*$B798))-'Business Case'!C15*$F798</f>
        <v>13400768.9162497</v>
      </c>
      <c r="J798" s="53" t="n">
        <f aca="false">(('Business Case'!D11*$C798*'Business Case'!D12*$B798)-'Business Case'!D11*$C798*'Business Case'!D13*$D798-'Business Case'!D14*$E798)-MAX(0,(('Business Case'!D11*$C798*'Business Case'!D12*$B798)-'Business Case'!D11*$C798*'Business Case'!D13*$D798-'Business Case'!D14*$E798))*'Business Case'!$B$7-'Business Case'!$B$8*(('Business Case'!D11*$C798*'Business Case'!D12*$B798)-('Business Case'!C11*$C798*'Business Case'!C12*$B798))-'Business Case'!D15*$F798</f>
        <v>330070154.061524</v>
      </c>
      <c r="K798" s="53" t="n">
        <f aca="false">(('Business Case'!E11*$C798*'Business Case'!E12*$B798)-'Business Case'!E11*$C798*'Business Case'!E13*$D798-'Business Case'!E14*$E798)-MAX(0,(('Business Case'!E11*$C798*'Business Case'!E12*$B798)-'Business Case'!E11*$C798*'Business Case'!E13*$D798-'Business Case'!E14*$E798))*'Business Case'!$B$7-'Business Case'!$B$8*(('Business Case'!E11*$C798*'Business Case'!E12*$B798)-('Business Case'!D11*$C798*'Business Case'!D12*$B798))-'Business Case'!E15*$F798</f>
        <v>701467503.793953</v>
      </c>
      <c r="L798" s="53" t="n">
        <f aca="false">(('Business Case'!F11*$C798*'Business Case'!F12*$B798)-'Business Case'!F11*$C798*'Business Case'!F13*$D798-'Business Case'!F14*$E798)-MAX(0,(('Business Case'!F11*$C798*'Business Case'!F12*$B798)-'Business Case'!F11*$C798*'Business Case'!F13*$D798-'Business Case'!F14*$E798))*'Business Case'!$B$7-'Business Case'!$B$8*(('Business Case'!F11*$C798*'Business Case'!F12*$B798)-('Business Case'!E11*$C798*'Business Case'!E12*$B798))-'Business Case'!F15*$F798</f>
        <v>839572960.144414</v>
      </c>
      <c r="M798" s="53" t="n">
        <f aca="false">(('Business Case'!G11*$C798*'Business Case'!G12*$B798)-'Business Case'!G11*$C798*'Business Case'!G13*$D798-'Business Case'!G14*$E798)-MAX(0,(('Business Case'!G11*$C798*'Business Case'!G12*$B798)-'Business Case'!G11*$C798*'Business Case'!G13*$D798-'Business Case'!G14*$E798))*'Business Case'!$B$7-'Business Case'!$B$8*(('Business Case'!G11*$C798*'Business Case'!G12*$B798)-('Business Case'!F11*$C798*'Business Case'!F12*$B798))-'Business Case'!G15*$F798+'Business Case'!$B$8*('Business Case'!G11*$C798*'Business Case'!G12*$B798)</f>
        <v>1018592430.63895</v>
      </c>
      <c r="N798" s="53" t="n">
        <f aca="false">IF(COUNT('Business Case'!B11:G11)=0,"",H798+NPV(G798,I798:M798))</f>
        <v>-161729013.10211</v>
      </c>
      <c r="P798" s="54" t="n">
        <f aca="true">RAND()</f>
        <v>0.879552837419947</v>
      </c>
      <c r="Q798" s="54" t="n">
        <f aca="true">RAND()</f>
        <v>0.230487869083314</v>
      </c>
      <c r="R798" s="54" t="n">
        <f aca="true">RAND()</f>
        <v>0.0104415226078922</v>
      </c>
      <c r="S798" s="54" t="n">
        <f aca="true">RAND()</f>
        <v>0.569212421033954</v>
      </c>
      <c r="T798" s="54" t="n">
        <f aca="true">RAND()</f>
        <v>0.777645140845652</v>
      </c>
      <c r="U798" s="54" t="n">
        <f aca="true">RAND()</f>
        <v>0.248219071058109</v>
      </c>
    </row>
    <row r="799" customFormat="false" ht="15" hidden="false" customHeight="false" outlineLevel="0" collapsed="false">
      <c r="A799" s="50" t="n">
        <v>719</v>
      </c>
      <c r="B799" s="51" t="n">
        <f aca="false">1+IF($G$6=$E$6,$F$6,IF(P799&lt;($F$6-$E$6)/($G$6-$E$6),$E$6+SQRT(P799*($G$6-$E$6)*($F$6-$E$6)),$G$6-SQRT((1-P799)*($G$6-$E$6)*($G$6-$F$6))))</f>
        <v>0.970404051409525</v>
      </c>
      <c r="C799" s="51" t="n">
        <f aca="false">1+IF($G$7=$E$7,$F$7,IF(Q799&lt;($F$7-$E$7)/($G$7-$E$7),$E$7+SQRT(Q799*($G$7-$E$7)*($F$7-$E$7)),$G$7-SQRT((1-Q799)*($G$7-$E$7)*($G$7-$F$7))))</f>
        <v>0.885491685789661</v>
      </c>
      <c r="D799" s="51" t="n">
        <f aca="false">1+IF($G$8=$E$8,$F$8,IF(R799&lt;($F$8-$E$8)/($G$8-$E$8),$E$8+SQRT(R799*($G$8-$E$8)*($F$8-$E$8)),$G$8-SQRT((1-R799)*($G$8-$E$8)*($G$8-$F$8))))</f>
        <v>1.00888277768549</v>
      </c>
      <c r="E799" s="51" t="n">
        <f aca="false">1+IF($G$9=$E$9,$F$9,IF(S799&lt;($F$9-$E$9)/($G$9-$E$9),$E$9+SQRT(S799*($G$9-$E$9)*($F$9-$E$9)),$G$9-SQRT((1-S799)*($G$9-$E$9)*($G$9-$F$9))))</f>
        <v>1.05071988239871</v>
      </c>
      <c r="F799" s="51" t="n">
        <f aca="false">1+IF($G$10=$E$10,$F$10,IF(T799&lt;($F$10-$E$10)/($G$10-$E$10),$E$10+SQRT(T799*($G$10-$E$10)*($F$10-$E$10)),$G$10-SQRT((1-T799)*($G$10-$E$10)*($G$10-$F$10))))</f>
        <v>1.03952513895137</v>
      </c>
      <c r="G799" s="52" t="n">
        <f aca="false">IF($G$11=$E$11,$F$11,IF(U799&lt;($F$11-$E$11)/($G$11-$E$11),$E$11+SQRT(U799*($G$11-$E$11)*($F$11-$E$11)),$G$11-SQRT((1-U799)*($G$11-$E$11)*($G$11-$F$11))))</f>
        <v>0.110106070910156</v>
      </c>
      <c r="H799" s="53" t="n">
        <f aca="false">(('Business Case'!B11*$C799*'Business Case'!B12*$B799)-'Business Case'!B11*$C799*'Business Case'!B13*$D799-'Business Case'!B14*$E799)-MAX(0,(('Business Case'!B11*$C799*'Business Case'!B12*$B799)-'Business Case'!B11*$C799*'Business Case'!B13*$D799-'Business Case'!B14*$E799))*'Business Case'!$B$7-'Business Case'!$B$8*('Business Case'!B11*$C799*'Business Case'!B12*$B799)-'Business Case'!B15*$F799</f>
        <v>-2079050277.90273</v>
      </c>
      <c r="I799" s="53" t="n">
        <f aca="false">(('Business Case'!C11*$C799*'Business Case'!C12*$B799)-'Business Case'!C11*$C799*'Business Case'!C13*$D799-'Business Case'!C14*$E799)-MAX(0,(('Business Case'!C11*$C799*'Business Case'!C12*$B799)-'Business Case'!C11*$C799*'Business Case'!C13*$D799-'Business Case'!C14*$E799))*'Business Case'!$B$7-'Business Case'!$B$8*(('Business Case'!C11*$C799*'Business Case'!C12*$B799)-('Business Case'!B11*$C799*'Business Case'!B12*$B799))-'Business Case'!C15*$F799</f>
        <v>-51421622.2955141</v>
      </c>
      <c r="J799" s="53" t="n">
        <f aca="false">(('Business Case'!D11*$C799*'Business Case'!D12*$B799)-'Business Case'!D11*$C799*'Business Case'!D13*$D799-'Business Case'!D14*$E799)-MAX(0,(('Business Case'!D11*$C799*'Business Case'!D12*$B799)-'Business Case'!D11*$C799*'Business Case'!D13*$D799-'Business Case'!D14*$E799))*'Business Case'!$B$7-'Business Case'!$B$8*(('Business Case'!D11*$C799*'Business Case'!D12*$B799)-('Business Case'!C11*$C799*'Business Case'!C12*$B799))-'Business Case'!D15*$F799</f>
        <v>195066956.43385</v>
      </c>
      <c r="K799" s="53" t="n">
        <f aca="false">(('Business Case'!E11*$C799*'Business Case'!E12*$B799)-'Business Case'!E11*$C799*'Business Case'!E13*$D799-'Business Case'!E14*$E799)-MAX(0,(('Business Case'!E11*$C799*'Business Case'!E12*$B799)-'Business Case'!E11*$C799*'Business Case'!E13*$D799-'Business Case'!E14*$E799))*'Business Case'!$B$7-'Business Case'!$B$8*(('Business Case'!E11*$C799*'Business Case'!E12*$B799)-('Business Case'!D11*$C799*'Business Case'!D12*$B799))-'Business Case'!E15*$F799</f>
        <v>493531792.110782</v>
      </c>
      <c r="L799" s="53" t="n">
        <f aca="false">(('Business Case'!F11*$C799*'Business Case'!F12*$B799)-'Business Case'!F11*$C799*'Business Case'!F13*$D799-'Business Case'!F14*$E799)-MAX(0,(('Business Case'!F11*$C799*'Business Case'!F12*$B799)-'Business Case'!F11*$C799*'Business Case'!F13*$D799-'Business Case'!F14*$E799))*'Business Case'!$B$7-'Business Case'!$B$8*(('Business Case'!F11*$C799*'Business Case'!F12*$B799)-('Business Case'!E11*$C799*'Business Case'!E12*$B799))-'Business Case'!F15*$F799</f>
        <v>605391531.589001</v>
      </c>
      <c r="M799" s="53" t="n">
        <f aca="false">(('Business Case'!G11*$C799*'Business Case'!G12*$B799)-'Business Case'!G11*$C799*'Business Case'!G13*$D799-'Business Case'!G14*$E799)-MAX(0,(('Business Case'!G11*$C799*'Business Case'!G12*$B799)-'Business Case'!G11*$C799*'Business Case'!G13*$D799-'Business Case'!G14*$E799))*'Business Case'!$B$7-'Business Case'!$B$8*(('Business Case'!G11*$C799*'Business Case'!G12*$B799)-('Business Case'!F11*$C799*'Business Case'!F12*$B799))-'Business Case'!G15*$F799+'Business Case'!$B$8*('Business Case'!G11*$C799*'Business Case'!G12*$B799)</f>
        <v>768724371.048701</v>
      </c>
      <c r="N799" s="53" t="n">
        <f aca="false">IF(COUNT('Business Case'!B11:G11)=0,"",H799+NPV(G799,I799:M799))</f>
        <v>-751698065.701893</v>
      </c>
      <c r="P799" s="54" t="n">
        <f aca="true">RAND()</f>
        <v>0.264642541509792</v>
      </c>
      <c r="Q799" s="54" t="n">
        <f aca="true">RAND()</f>
        <v>0.104411833416545</v>
      </c>
      <c r="R799" s="54" t="n">
        <f aca="true">RAND()</f>
        <v>0.513686604833495</v>
      </c>
      <c r="S799" s="54" t="n">
        <f aca="true">RAND()</f>
        <v>0.838098000613504</v>
      </c>
      <c r="T799" s="54" t="n">
        <f aca="true">RAND()</f>
        <v>0.484956379428429</v>
      </c>
      <c r="U799" s="54" t="n">
        <f aca="true">RAND()</f>
        <v>0.83685027860857</v>
      </c>
    </row>
    <row r="800" customFormat="false" ht="15" hidden="false" customHeight="false" outlineLevel="0" collapsed="false">
      <c r="A800" s="50" t="n">
        <v>720</v>
      </c>
      <c r="B800" s="51" t="n">
        <f aca="false">1+IF($G$6=$E$6,$F$6,IF(P800&lt;($F$6-$E$6)/($G$6-$E$6),$E$6+SQRT(P800*($G$6-$E$6)*($F$6-$E$6)),$G$6-SQRT((1-P800)*($G$6-$E$6)*($G$6-$F$6))))</f>
        <v>1.01714424930959</v>
      </c>
      <c r="C800" s="51" t="n">
        <f aca="false">1+IF($G$7=$E$7,$F$7,IF(Q800&lt;($F$7-$E$7)/($G$7-$E$7),$E$7+SQRT(Q800*($G$7-$E$7)*($F$7-$E$7)),$G$7-SQRT((1-Q800)*($G$7-$E$7)*($G$7-$F$7))))</f>
        <v>0.88180948802526</v>
      </c>
      <c r="D800" s="51" t="n">
        <f aca="false">1+IF($G$8=$E$8,$F$8,IF(R800&lt;($F$8-$E$8)/($G$8-$E$8),$E$8+SQRT(R800*($G$8-$E$8)*($F$8-$E$8)),$G$8-SQRT((1-R800)*($G$8-$E$8)*($G$8-$F$8))))</f>
        <v>0.984561046303722</v>
      </c>
      <c r="E800" s="51" t="n">
        <f aca="false">1+IF($G$9=$E$9,$F$9,IF(S800&lt;($F$9-$E$9)/($G$9-$E$9),$E$9+SQRT(S800*($G$9-$E$9)*($F$9-$E$9)),$G$9-SQRT((1-S800)*($G$9-$E$9)*($G$9-$F$9))))</f>
        <v>1.0665076118375</v>
      </c>
      <c r="F800" s="51" t="n">
        <f aca="false">1+IF($G$10=$E$10,$F$10,IF(T800&lt;($F$10-$E$10)/($G$10-$E$10),$E$10+SQRT(T800*($G$10-$E$10)*($F$10-$E$10)),$G$10-SQRT((1-T800)*($G$10-$E$10)*($G$10-$F$10))))</f>
        <v>1.09752633327409</v>
      </c>
      <c r="G800" s="52" t="n">
        <f aca="false">IF($G$11=$E$11,$F$11,IF(U800&lt;($F$11-$E$11)/($G$11-$E$11),$E$11+SQRT(U800*($G$11-$E$11)*($F$11-$E$11)),$G$11-SQRT((1-U800)*($G$11-$E$11)*($G$11-$F$11))))</f>
        <v>0.115763422428614</v>
      </c>
      <c r="H800" s="53" t="n">
        <f aca="false">(('Business Case'!B11*$C800*'Business Case'!B12*$B800)-'Business Case'!B11*$C800*'Business Case'!B13*$D800-'Business Case'!B14*$E800)-MAX(0,(('Business Case'!B11*$C800*'Business Case'!B12*$B800)-'Business Case'!B11*$C800*'Business Case'!B13*$D800-'Business Case'!B14*$E800))*'Business Case'!$B$7-'Business Case'!$B$8*('Business Case'!B11*$C800*'Business Case'!B12*$B800)-'Business Case'!B15*$F800</f>
        <v>-2195052666.54819</v>
      </c>
      <c r="I800" s="53" t="n">
        <f aca="false">(('Business Case'!C11*$C800*'Business Case'!C12*$B800)-'Business Case'!C11*$C800*'Business Case'!C13*$D800-'Business Case'!C14*$E800)-MAX(0,(('Business Case'!C11*$C800*'Business Case'!C12*$B800)-'Business Case'!C11*$C800*'Business Case'!C13*$D800-'Business Case'!C14*$E800))*'Business Case'!$B$7-'Business Case'!$B$8*(('Business Case'!C11*$C800*'Business Case'!C12*$B800)-('Business Case'!B11*$C800*'Business Case'!B12*$B800))-'Business Case'!C15*$F800</f>
        <v>-17705098.3479105</v>
      </c>
      <c r="J800" s="53" t="n">
        <f aca="false">(('Business Case'!D11*$C800*'Business Case'!D12*$B800)-'Business Case'!D11*$C800*'Business Case'!D13*$D800-'Business Case'!D14*$E800)-MAX(0,(('Business Case'!D11*$C800*'Business Case'!D12*$B800)-'Business Case'!D11*$C800*'Business Case'!D13*$D800-'Business Case'!D14*$E800))*'Business Case'!$B$7-'Business Case'!$B$8*(('Business Case'!D11*$C800*'Business Case'!D12*$B800)-('Business Case'!C11*$C800*'Business Case'!C12*$B800))-'Business Case'!D15*$F800</f>
        <v>272496538.028964</v>
      </c>
      <c r="K800" s="53" t="n">
        <f aca="false">(('Business Case'!E11*$C800*'Business Case'!E12*$B800)-'Business Case'!E11*$C800*'Business Case'!E13*$D800-'Business Case'!E14*$E800)-MAX(0,(('Business Case'!E11*$C800*'Business Case'!E12*$B800)-'Business Case'!E11*$C800*'Business Case'!E13*$D800-'Business Case'!E14*$E800))*'Business Case'!$B$7-'Business Case'!$B$8*(('Business Case'!E11*$C800*'Business Case'!E12*$B800)-('Business Case'!D11*$C800*'Business Case'!D12*$B800))-'Business Case'!E15*$F800</f>
        <v>617574491.069542</v>
      </c>
      <c r="L800" s="53" t="n">
        <f aca="false">(('Business Case'!F11*$C800*'Business Case'!F12*$B800)-'Business Case'!F11*$C800*'Business Case'!F13*$D800-'Business Case'!F14*$E800)-MAX(0,(('Business Case'!F11*$C800*'Business Case'!F12*$B800)-'Business Case'!F11*$C800*'Business Case'!F13*$D800-'Business Case'!F14*$E800))*'Business Case'!$B$7-'Business Case'!$B$8*(('Business Case'!F11*$C800*'Business Case'!F12*$B800)-('Business Case'!E11*$C800*'Business Case'!E12*$B800))-'Business Case'!F15*$F800</f>
        <v>745306182.524555</v>
      </c>
      <c r="M800" s="53" t="n">
        <f aca="false">(('Business Case'!G11*$C800*'Business Case'!G12*$B800)-'Business Case'!G11*$C800*'Business Case'!G13*$D800-'Business Case'!G14*$E800)-MAX(0,(('Business Case'!G11*$C800*'Business Case'!G12*$B800)-'Business Case'!G11*$C800*'Business Case'!G13*$D800-'Business Case'!G14*$E800))*'Business Case'!$B$7-'Business Case'!$B$8*(('Business Case'!G11*$C800*'Business Case'!G12*$B800)-('Business Case'!F11*$C800*'Business Case'!F12*$B800))-'Business Case'!G15*$F800+'Business Case'!$B$8*('Business Case'!G11*$C800*'Business Case'!G12*$B800)</f>
        <v>915794152.169523</v>
      </c>
      <c r="N800" s="53" t="n">
        <f aca="false">IF(COUNT('Business Case'!B11:G11)=0,"",H800+NPV(G800,I800:M800))</f>
        <v>-536954332.031528</v>
      </c>
      <c r="P800" s="54" t="n">
        <f aca="true">RAND()</f>
        <v>0.891169720912011</v>
      </c>
      <c r="Q800" s="54" t="n">
        <f aca="true">RAND()</f>
        <v>0.095611319013644</v>
      </c>
      <c r="R800" s="54" t="n">
        <f aca="true">RAND()</f>
        <v>0.183763987939696</v>
      </c>
      <c r="S800" s="54" t="n">
        <f aca="true">RAND()</f>
        <v>0.925217329011513</v>
      </c>
      <c r="T800" s="54" t="n">
        <f aca="true">RAND()</f>
        <v>0.789982952554952</v>
      </c>
      <c r="U800" s="54" t="n">
        <f aca="true">RAND()</f>
        <v>0.970085684136045</v>
      </c>
    </row>
    <row r="801" customFormat="false" ht="15" hidden="false" customHeight="false" outlineLevel="0" collapsed="false">
      <c r="A801" s="50" t="n">
        <v>721</v>
      </c>
      <c r="B801" s="51" t="n">
        <f aca="false">1+IF($G$6=$E$6,$F$6,IF(P801&lt;($F$6-$E$6)/($G$6-$E$6),$E$6+SQRT(P801*($G$6-$E$6)*($F$6-$E$6)),$G$6-SQRT((1-P801)*($G$6-$E$6)*($G$6-$F$6))))</f>
        <v>0.999251688929428</v>
      </c>
      <c r="C801" s="51" t="n">
        <f aca="false">1+IF($G$7=$E$7,$F$7,IF(Q801&lt;($F$7-$E$7)/($G$7-$E$7),$E$7+SQRT(Q801*($G$7-$E$7)*($F$7-$E$7)),$G$7-SQRT((1-Q801)*($G$7-$E$7)*($G$7-$F$7))))</f>
        <v>0.991850131561432</v>
      </c>
      <c r="D801" s="51" t="n">
        <f aca="false">1+IF($G$8=$E$8,$F$8,IF(R801&lt;($F$8-$E$8)/($G$8-$E$8),$E$8+SQRT(R801*($G$8-$E$8)*($F$8-$E$8)),$G$8-SQRT((1-R801)*($G$8-$E$8)*($G$8-$F$8))))</f>
        <v>0.990885981421683</v>
      </c>
      <c r="E801" s="51" t="n">
        <f aca="false">1+IF($G$9=$E$9,$F$9,IF(S801&lt;($F$9-$E$9)/($G$9-$E$9),$E$9+SQRT(S801*($G$9-$E$9)*($F$9-$E$9)),$G$9-SQRT((1-S801)*($G$9-$E$9)*($G$9-$F$9))))</f>
        <v>0.995047577161723</v>
      </c>
      <c r="F801" s="51" t="n">
        <f aca="false">1+IF($G$10=$E$10,$F$10,IF(T801&lt;($F$10-$E$10)/($G$10-$E$10),$E$10+SQRT(T801*($G$10-$E$10)*($F$10-$E$10)),$G$10-SQRT((1-T801)*($G$10-$E$10)*($G$10-$F$10))))</f>
        <v>0.995152802464402</v>
      </c>
      <c r="G801" s="52" t="n">
        <f aca="false">IF($G$11=$E$11,$F$11,IF(U801&lt;($F$11-$E$11)/($G$11-$E$11),$E$11+SQRT(U801*($G$11-$E$11)*($F$11-$E$11)),$G$11-SQRT((1-U801)*($G$11-$E$11)*($G$11-$F$11))))</f>
        <v>0.112517731624506</v>
      </c>
      <c r="H801" s="53" t="n">
        <f aca="false">(('Business Case'!B11*$C801*'Business Case'!B12*$B801)-'Business Case'!B11*$C801*'Business Case'!B13*$D801-'Business Case'!B14*$E801)-MAX(0,(('Business Case'!B11*$C801*'Business Case'!B12*$B801)-'Business Case'!B11*$C801*'Business Case'!B13*$D801-'Business Case'!B14*$E801))*'Business Case'!$B$7-'Business Case'!$B$8*('Business Case'!B11*$C801*'Business Case'!B12*$B801)-'Business Case'!B15*$F801</f>
        <v>-1990305604.9288</v>
      </c>
      <c r="I801" s="53" t="n">
        <f aca="false">(('Business Case'!C11*$C801*'Business Case'!C12*$B801)-'Business Case'!C11*$C801*'Business Case'!C13*$D801-'Business Case'!C14*$E801)-MAX(0,(('Business Case'!C11*$C801*'Business Case'!C12*$B801)-'Business Case'!C11*$C801*'Business Case'!C13*$D801-'Business Case'!C14*$E801))*'Business Case'!$B$7-'Business Case'!$B$8*(('Business Case'!C11*$C801*'Business Case'!C12*$B801)-('Business Case'!B11*$C801*'Business Case'!B12*$B801))-'Business Case'!C15*$F801</f>
        <v>16278369.910417</v>
      </c>
      <c r="J801" s="53" t="n">
        <f aca="false">(('Business Case'!D11*$C801*'Business Case'!D12*$B801)-'Business Case'!D11*$C801*'Business Case'!D13*$D801-'Business Case'!D14*$E801)-MAX(0,(('Business Case'!D11*$C801*'Business Case'!D12*$B801)-'Business Case'!D11*$C801*'Business Case'!D13*$D801-'Business Case'!D14*$E801))*'Business Case'!$B$7-'Business Case'!$B$8*(('Business Case'!D11*$C801*'Business Case'!D12*$B801)-('Business Case'!C11*$C801*'Business Case'!C12*$B801))-'Business Case'!D15*$F801</f>
        <v>324946820.067248</v>
      </c>
      <c r="K801" s="53" t="n">
        <f aca="false">(('Business Case'!E11*$C801*'Business Case'!E12*$B801)-'Business Case'!E11*$C801*'Business Case'!E13*$D801-'Business Case'!E14*$E801)-MAX(0,(('Business Case'!E11*$C801*'Business Case'!E12*$B801)-'Business Case'!E11*$C801*'Business Case'!E13*$D801-'Business Case'!E14*$E801))*'Business Case'!$B$7-'Business Case'!$B$8*(('Business Case'!E11*$C801*'Business Case'!E12*$B801)-('Business Case'!D11*$C801*'Business Case'!D12*$B801))-'Business Case'!E15*$F801</f>
        <v>683372910.347299</v>
      </c>
      <c r="L801" s="53" t="n">
        <f aca="false">(('Business Case'!F11*$C801*'Business Case'!F12*$B801)-'Business Case'!F11*$C801*'Business Case'!F13*$D801-'Business Case'!F14*$E801)-MAX(0,(('Business Case'!F11*$C801*'Business Case'!F12*$B801)-'Business Case'!F11*$C801*'Business Case'!F13*$D801-'Business Case'!F14*$E801))*'Business Case'!$B$7-'Business Case'!$B$8*(('Business Case'!F11*$C801*'Business Case'!F12*$B801)-('Business Case'!E11*$C801*'Business Case'!E12*$B801))-'Business Case'!F15*$F801</f>
        <v>820515083.41796</v>
      </c>
      <c r="M801" s="53" t="n">
        <f aca="false">(('Business Case'!G11*$C801*'Business Case'!G12*$B801)-'Business Case'!G11*$C801*'Business Case'!G13*$D801-'Business Case'!G14*$E801)-MAX(0,(('Business Case'!G11*$C801*'Business Case'!G12*$B801)-'Business Case'!G11*$C801*'Business Case'!G13*$D801-'Business Case'!G14*$E801))*'Business Case'!$B$7-'Business Case'!$B$8*(('Business Case'!G11*$C801*'Business Case'!G12*$B801)-('Business Case'!F11*$C801*'Business Case'!F12*$B801))-'Business Case'!G15*$F801+'Business Case'!$B$8*('Business Case'!G11*$C801*'Business Case'!G12*$B801)</f>
        <v>1008904876.68574</v>
      </c>
      <c r="N801" s="53" t="n">
        <f aca="false">IF(COUNT('Business Case'!B11:G11)=0,"",H801+NPV(G801,I801:M801))</f>
        <v>-89226169.6344576</v>
      </c>
      <c r="P801" s="54" t="n">
        <f aca="true">RAND()</f>
        <v>0.654253145642376</v>
      </c>
      <c r="Q801" s="54" t="n">
        <f aca="true">RAND()</f>
        <v>0.525806756859125</v>
      </c>
      <c r="R801" s="54" t="n">
        <f aca="true">RAND()</f>
        <v>0.257178996432956</v>
      </c>
      <c r="S801" s="54" t="n">
        <f aca="true">RAND()</f>
        <v>0.270571227752184</v>
      </c>
      <c r="T801" s="54" t="n">
        <f aca="true">RAND()</f>
        <v>0.163102045631144</v>
      </c>
      <c r="U801" s="54" t="n">
        <f aca="true">RAND()</f>
        <v>0.906692766595135</v>
      </c>
    </row>
    <row r="802" customFormat="false" ht="15" hidden="false" customHeight="false" outlineLevel="0" collapsed="false">
      <c r="A802" s="50" t="n">
        <v>722</v>
      </c>
      <c r="B802" s="51" t="n">
        <f aca="false">1+IF($G$6=$E$6,$F$6,IF(P802&lt;($F$6-$E$6)/($G$6-$E$6),$E$6+SQRT(P802*($G$6-$E$6)*($F$6-$E$6)),$G$6-SQRT((1-P802)*($G$6-$E$6)*($G$6-$F$6))))</f>
        <v>0.988466644901417</v>
      </c>
      <c r="C802" s="51" t="n">
        <f aca="false">1+IF($G$7=$E$7,$F$7,IF(Q802&lt;($F$7-$E$7)/($G$7-$E$7),$E$7+SQRT(Q802*($G$7-$E$7)*($F$7-$E$7)),$G$7-SQRT((1-Q802)*($G$7-$E$7)*($G$7-$F$7))))</f>
        <v>0.928756872352957</v>
      </c>
      <c r="D802" s="51" t="n">
        <f aca="false">1+IF($G$8=$E$8,$F$8,IF(R802&lt;($F$8-$E$8)/($G$8-$E$8),$E$8+SQRT(R802*($G$8-$E$8)*($F$8-$E$8)),$G$8-SQRT((1-R802)*($G$8-$E$8)*($G$8-$F$8))))</f>
        <v>0.979253377750799</v>
      </c>
      <c r="E802" s="51" t="n">
        <f aca="false">1+IF($G$9=$E$9,$F$9,IF(S802&lt;($F$9-$E$9)/($G$9-$E$9),$E$9+SQRT(S802*($G$9-$E$9)*($F$9-$E$9)),$G$9-SQRT((1-S802)*($G$9-$E$9)*($G$9-$F$9))))</f>
        <v>1.08735352348792</v>
      </c>
      <c r="F802" s="51" t="n">
        <f aca="false">1+IF($G$10=$E$10,$F$10,IF(T802&lt;($F$10-$E$10)/($G$10-$E$10),$E$10+SQRT(T802*($G$10-$E$10)*($F$10-$E$10)),$G$10-SQRT((1-T802)*($G$10-$E$10)*($G$10-$F$10))))</f>
        <v>1.11259899756734</v>
      </c>
      <c r="G802" s="52" t="n">
        <f aca="false">IF($G$11=$E$11,$F$11,IF(U802&lt;($F$11-$E$11)/($G$11-$E$11),$E$11+SQRT(U802*($G$11-$E$11)*($F$11-$E$11)),$G$11-SQRT((1-U802)*($G$11-$E$11)*($G$11-$F$11))))</f>
        <v>0.103465008966988</v>
      </c>
      <c r="H802" s="53" t="n">
        <f aca="false">(('Business Case'!B11*$C802*'Business Case'!B12*$B802)-'Business Case'!B11*$C802*'Business Case'!B13*$D802-'Business Case'!B14*$E802)-MAX(0,(('Business Case'!B11*$C802*'Business Case'!B12*$B802)-'Business Case'!B11*$C802*'Business Case'!B13*$D802-'Business Case'!B14*$E802))*'Business Case'!$B$7-'Business Case'!$B$8*('Business Case'!B11*$C802*'Business Case'!B12*$B802)-'Business Case'!B15*$F802</f>
        <v>-2225197995.13469</v>
      </c>
      <c r="I802" s="53" t="n">
        <f aca="false">(('Business Case'!C11*$C802*'Business Case'!C12*$B802)-'Business Case'!C11*$C802*'Business Case'!C13*$D802-'Business Case'!C14*$E802)-MAX(0,(('Business Case'!C11*$C802*'Business Case'!C12*$B802)-'Business Case'!C11*$C802*'Business Case'!C13*$D802-'Business Case'!C14*$E802))*'Business Case'!$B$7-'Business Case'!$B$8*(('Business Case'!C11*$C802*'Business Case'!C12*$B802)-('Business Case'!B11*$C802*'Business Case'!B12*$B802))-'Business Case'!C15*$F802</f>
        <v>-27113176.7010334</v>
      </c>
      <c r="J802" s="53" t="n">
        <f aca="false">(('Business Case'!D11*$C802*'Business Case'!D12*$B802)-'Business Case'!D11*$C802*'Business Case'!D13*$D802-'Business Case'!D14*$E802)-MAX(0,(('Business Case'!D11*$C802*'Business Case'!D12*$B802)-'Business Case'!D11*$C802*'Business Case'!D13*$D802-'Business Case'!D14*$E802))*'Business Case'!$B$7-'Business Case'!$B$8*(('Business Case'!D11*$C802*'Business Case'!D12*$B802)-('Business Case'!C11*$C802*'Business Case'!C12*$B802))-'Business Case'!D15*$F802</f>
        <v>259246680.020604</v>
      </c>
      <c r="K802" s="53" t="n">
        <f aca="false">(('Business Case'!E11*$C802*'Business Case'!E12*$B802)-'Business Case'!E11*$C802*'Business Case'!E13*$D802-'Business Case'!E14*$E802)-MAX(0,(('Business Case'!E11*$C802*'Business Case'!E12*$B802)-'Business Case'!E11*$C802*'Business Case'!E13*$D802-'Business Case'!E14*$E802))*'Business Case'!$B$7-'Business Case'!$B$8*(('Business Case'!E11*$C802*'Business Case'!E12*$B802)-('Business Case'!D11*$C802*'Business Case'!D12*$B802))-'Business Case'!E15*$F802</f>
        <v>601236486.620608</v>
      </c>
      <c r="L802" s="53" t="n">
        <f aca="false">(('Business Case'!F11*$C802*'Business Case'!F12*$B802)-'Business Case'!F11*$C802*'Business Case'!F13*$D802-'Business Case'!F14*$E802)-MAX(0,(('Business Case'!F11*$C802*'Business Case'!F12*$B802)-'Business Case'!F11*$C802*'Business Case'!F13*$D802-'Business Case'!F14*$E802))*'Business Case'!$B$7-'Business Case'!$B$8*(('Business Case'!F11*$C802*'Business Case'!F12*$B802)-('Business Case'!E11*$C802*'Business Case'!E12*$B802))-'Business Case'!F15*$F802</f>
        <v>728417413.945124</v>
      </c>
      <c r="M802" s="53" t="n">
        <f aca="false">(('Business Case'!G11*$C802*'Business Case'!G12*$B802)-'Business Case'!G11*$C802*'Business Case'!G13*$D802-'Business Case'!G14*$E802)-MAX(0,(('Business Case'!G11*$C802*'Business Case'!G12*$B802)-'Business Case'!G11*$C802*'Business Case'!G13*$D802-'Business Case'!G14*$E802))*'Business Case'!$B$7-'Business Case'!$B$8*(('Business Case'!G11*$C802*'Business Case'!G12*$B802)-('Business Case'!F11*$C802*'Business Case'!F12*$B802))-'Business Case'!G15*$F802+'Business Case'!$B$8*('Business Case'!G11*$C802*'Business Case'!G12*$B802)</f>
        <v>902919443.573621</v>
      </c>
      <c r="N802" s="53" t="n">
        <f aca="false">IF(COUNT('Business Case'!B11:G11)=0,"",H802+NPV(G802,I802:M802))</f>
        <v>-546189219.030779</v>
      </c>
      <c r="P802" s="54" t="n">
        <f aca="true">RAND()</f>
        <v>0.488300152505915</v>
      </c>
      <c r="Q802" s="54" t="n">
        <f aca="true">RAND()</f>
        <v>0.236833316830223</v>
      </c>
      <c r="R802" s="54" t="n">
        <f aca="true">RAND()</f>
        <v>0.131655401512449</v>
      </c>
      <c r="S802" s="54" t="n">
        <f aca="true">RAND()</f>
        <v>0.9893377754553</v>
      </c>
      <c r="T802" s="54" t="n">
        <f aca="true">RAND()</f>
        <v>0.847221295475333</v>
      </c>
      <c r="U802" s="54" t="n">
        <f aca="true">RAND()</f>
        <v>0.544323452563705</v>
      </c>
    </row>
    <row r="803" customFormat="false" ht="15" hidden="false" customHeight="false" outlineLevel="0" collapsed="false">
      <c r="A803" s="50" t="n">
        <v>723</v>
      </c>
      <c r="B803" s="51" t="n">
        <f aca="false">1+IF($G$6=$E$6,$F$6,IF(P803&lt;($F$6-$E$6)/($G$6-$E$6),$E$6+SQRT(P803*($G$6-$E$6)*($F$6-$E$6)),$G$6-SQRT((1-P803)*($G$6-$E$6)*($G$6-$F$6))))</f>
        <v>1.02079198310047</v>
      </c>
      <c r="C803" s="51" t="n">
        <f aca="false">1+IF($G$7=$E$7,$F$7,IF(Q803&lt;($F$7-$E$7)/($G$7-$E$7),$E$7+SQRT(Q803*($G$7-$E$7)*($F$7-$E$7)),$G$7-SQRT((1-Q803)*($G$7-$E$7)*($G$7-$F$7))))</f>
        <v>0.858885929961006</v>
      </c>
      <c r="D803" s="51" t="n">
        <f aca="false">1+IF($G$8=$E$8,$F$8,IF(R803&lt;($F$8-$E$8)/($G$8-$E$8),$E$8+SQRT(R803*($G$8-$E$8)*($F$8-$E$8)),$G$8-SQRT((1-R803)*($G$8-$E$8)*($G$8-$F$8))))</f>
        <v>0.998264368153951</v>
      </c>
      <c r="E803" s="51" t="n">
        <f aca="false">1+IF($G$9=$E$9,$F$9,IF(S803&lt;($F$9-$E$9)/($G$9-$E$9),$E$9+SQRT(S803*($G$9-$E$9)*($F$9-$E$9)),$G$9-SQRT((1-S803)*($G$9-$E$9)*($G$9-$F$9))))</f>
        <v>0.990083005043722</v>
      </c>
      <c r="F803" s="51" t="n">
        <f aca="false">1+IF($G$10=$E$10,$F$10,IF(T803&lt;($F$10-$E$10)/($G$10-$E$10),$E$10+SQRT(T803*($G$10-$E$10)*($F$10-$E$10)),$G$10-SQRT((1-T803)*($G$10-$E$10)*($G$10-$F$10))))</f>
        <v>1.07279423723686</v>
      </c>
      <c r="G803" s="52" t="n">
        <f aca="false">IF($G$11=$E$11,$F$11,IF(U803&lt;($F$11-$E$11)/($G$11-$E$11),$E$11+SQRT(U803*($G$11-$E$11)*($F$11-$E$11)),$G$11-SQRT((1-U803)*($G$11-$E$11)*($G$11-$F$11))))</f>
        <v>0.0992388184729755</v>
      </c>
      <c r="H803" s="53" t="n">
        <f aca="false">(('Business Case'!B11*$C803*'Business Case'!B12*$B803)-'Business Case'!B11*$C803*'Business Case'!B13*$D803-'Business Case'!B14*$E803)-MAX(0,(('Business Case'!B11*$C803*'Business Case'!B12*$B803)-'Business Case'!B11*$C803*'Business Case'!B13*$D803-'Business Case'!B14*$E803))*'Business Case'!$B$7-'Business Case'!$B$8*('Business Case'!B11*$C803*'Business Case'!B12*$B803)-'Business Case'!B15*$F803</f>
        <v>-2145588474.47372</v>
      </c>
      <c r="I803" s="53" t="n">
        <f aca="false">(('Business Case'!C11*$C803*'Business Case'!C12*$B803)-'Business Case'!C11*$C803*'Business Case'!C13*$D803-'Business Case'!C14*$E803)-MAX(0,(('Business Case'!C11*$C803*'Business Case'!C12*$B803)-'Business Case'!C11*$C803*'Business Case'!C13*$D803-'Business Case'!C14*$E803))*'Business Case'!$B$7-'Business Case'!$B$8*(('Business Case'!C11*$C803*'Business Case'!C12*$B803)-('Business Case'!B11*$C803*'Business Case'!B12*$B803))-'Business Case'!C15*$F803</f>
        <v>-14321033.9863174</v>
      </c>
      <c r="J803" s="53" t="n">
        <f aca="false">(('Business Case'!D11*$C803*'Business Case'!D12*$B803)-'Business Case'!D11*$C803*'Business Case'!D13*$D803-'Business Case'!D14*$E803)-MAX(0,(('Business Case'!D11*$C803*'Business Case'!D12*$B803)-'Business Case'!D11*$C803*'Business Case'!D13*$D803-'Business Case'!D14*$E803))*'Business Case'!$B$7-'Business Case'!$B$8*(('Business Case'!D11*$C803*'Business Case'!D12*$B803)-('Business Case'!C11*$C803*'Business Case'!C12*$B803))-'Business Case'!D15*$F803</f>
        <v>264877561.3773</v>
      </c>
      <c r="K803" s="53" t="n">
        <f aca="false">(('Business Case'!E11*$C803*'Business Case'!E12*$B803)-'Business Case'!E11*$C803*'Business Case'!E13*$D803-'Business Case'!E14*$E803)-MAX(0,(('Business Case'!E11*$C803*'Business Case'!E12*$B803)-'Business Case'!E11*$C803*'Business Case'!E13*$D803-'Business Case'!E14*$E803))*'Business Case'!$B$7-'Business Case'!$B$8*(('Business Case'!E11*$C803*'Business Case'!E12*$B803)-('Business Case'!D11*$C803*'Business Case'!D12*$B803))-'Business Case'!E15*$F803</f>
        <v>597715868.60276</v>
      </c>
      <c r="L803" s="53" t="n">
        <f aca="false">(('Business Case'!F11*$C803*'Business Case'!F12*$B803)-'Business Case'!F11*$C803*'Business Case'!F13*$D803-'Business Case'!F14*$E803)-MAX(0,(('Business Case'!F11*$C803*'Business Case'!F12*$B803)-'Business Case'!F11*$C803*'Business Case'!F13*$D803-'Business Case'!F14*$E803))*'Business Case'!$B$7-'Business Case'!$B$8*(('Business Case'!F11*$C803*'Business Case'!F12*$B803)-('Business Case'!E11*$C803*'Business Case'!E12*$B803))-'Business Case'!F15*$F803</f>
        <v>721082335.26332</v>
      </c>
      <c r="M803" s="53" t="n">
        <f aca="false">(('Business Case'!G11*$C803*'Business Case'!G12*$B803)-'Business Case'!G11*$C803*'Business Case'!G13*$D803-'Business Case'!G14*$E803)-MAX(0,(('Business Case'!G11*$C803*'Business Case'!G12*$B803)-'Business Case'!G11*$C803*'Business Case'!G13*$D803-'Business Case'!G14*$E803))*'Business Case'!$B$7-'Business Case'!$B$8*(('Business Case'!G11*$C803*'Business Case'!G12*$B803)-('Business Case'!F11*$C803*'Business Case'!F12*$B803))-'Business Case'!G15*$F803+'Business Case'!$B$8*('Business Case'!G11*$C803*'Business Case'!G12*$B803)</f>
        <v>887733810.396433</v>
      </c>
      <c r="N803" s="53" t="n">
        <f aca="false">IF(COUNT('Business Case'!B11:G11)=0,"",H803+NPV(G803,I803:M803))</f>
        <v>-442401439.767285</v>
      </c>
      <c r="P803" s="54" t="n">
        <f aca="true">RAND()</f>
        <v>0.923135851414031</v>
      </c>
      <c r="Q803" s="54" t="n">
        <f aca="true">RAND()</f>
        <v>0.0495364678196066</v>
      </c>
      <c r="R803" s="54" t="n">
        <f aca="true">RAND()</f>
        <v>0.358376805123098</v>
      </c>
      <c r="S803" s="54" t="n">
        <f aca="true">RAND()</f>
        <v>0.21421963911134</v>
      </c>
      <c r="T803" s="54" t="n">
        <f aca="true">RAND()</f>
        <v>0.676373878396961</v>
      </c>
      <c r="U803" s="54" t="n">
        <f aca="true">RAND()</f>
        <v>0.284519222588646</v>
      </c>
    </row>
    <row r="804" customFormat="false" ht="15" hidden="false" customHeight="false" outlineLevel="0" collapsed="false">
      <c r="A804" s="50" t="n">
        <v>724</v>
      </c>
      <c r="B804" s="51" t="n">
        <f aca="false">1+IF($G$6=$E$6,$F$6,IF(P804&lt;($F$6-$E$6)/($G$6-$E$6),$E$6+SQRT(P804*($G$6-$E$6)*($F$6-$E$6)),$G$6-SQRT((1-P804)*($G$6-$E$6)*($G$6-$F$6))))</f>
        <v>0.951617087281072</v>
      </c>
      <c r="C804" s="51" t="n">
        <f aca="false">1+IF($G$7=$E$7,$F$7,IF(Q804&lt;($F$7-$E$7)/($G$7-$E$7),$E$7+SQRT(Q804*($G$7-$E$7)*($F$7-$E$7)),$G$7-SQRT((1-Q804)*($G$7-$E$7)*($G$7-$F$7))))</f>
        <v>0.906480392523042</v>
      </c>
      <c r="D804" s="51" t="n">
        <f aca="false">1+IF($G$8=$E$8,$F$8,IF(R804&lt;($F$8-$E$8)/($G$8-$E$8),$E$8+SQRT(R804*($G$8-$E$8)*($F$8-$E$8)),$G$8-SQRT((1-R804)*($G$8-$E$8)*($G$8-$F$8))))</f>
        <v>0.998099299555311</v>
      </c>
      <c r="E804" s="51" t="n">
        <f aca="false">1+IF($G$9=$E$9,$F$9,IF(S804&lt;($F$9-$E$9)/($G$9-$E$9),$E$9+SQRT(S804*($G$9-$E$9)*($F$9-$E$9)),$G$9-SQRT((1-S804)*($G$9-$E$9)*($G$9-$F$9))))</f>
        <v>1.04074660625467</v>
      </c>
      <c r="F804" s="51" t="n">
        <f aca="false">1+IF($G$10=$E$10,$F$10,IF(T804&lt;($F$10-$E$10)/($G$10-$E$10),$E$10+SQRT(T804*($G$10-$E$10)*($F$10-$E$10)),$G$10-SQRT((1-T804)*($G$10-$E$10)*($G$10-$F$10))))</f>
        <v>1.18671080748035</v>
      </c>
      <c r="G804" s="52" t="n">
        <f aca="false">IF($G$11=$E$11,$F$11,IF(U804&lt;($F$11-$E$11)/($G$11-$E$11),$E$11+SQRT(U804*($G$11-$E$11)*($F$11-$E$11)),$G$11-SQRT((1-U804)*($G$11-$E$11)*($G$11-$F$11))))</f>
        <v>0.107284196087158</v>
      </c>
      <c r="H804" s="53" t="n">
        <f aca="false">(('Business Case'!B11*$C804*'Business Case'!B12*$B804)-'Business Case'!B11*$C804*'Business Case'!B13*$D804-'Business Case'!B14*$E804)-MAX(0,(('Business Case'!B11*$C804*'Business Case'!B12*$B804)-'Business Case'!B11*$C804*'Business Case'!B13*$D804-'Business Case'!B14*$E804))*'Business Case'!$B$7-'Business Case'!$B$8*('Business Case'!B11*$C804*'Business Case'!B12*$B804)-'Business Case'!B15*$F804</f>
        <v>-2373421614.9607</v>
      </c>
      <c r="I804" s="53" t="n">
        <f aca="false">(('Business Case'!C11*$C804*'Business Case'!C12*$B804)-'Business Case'!C11*$C804*'Business Case'!C13*$D804-'Business Case'!C14*$E804)-MAX(0,(('Business Case'!C11*$C804*'Business Case'!C12*$B804)-'Business Case'!C11*$C804*'Business Case'!C13*$D804-'Business Case'!C14*$E804))*'Business Case'!$B$7-'Business Case'!$B$8*(('Business Case'!C11*$C804*'Business Case'!C12*$B804)-('Business Case'!B11*$C804*'Business Case'!B12*$B804))-'Business Case'!C15*$F804</f>
        <v>-67997299.929896</v>
      </c>
      <c r="J804" s="53" t="n">
        <f aca="false">(('Business Case'!D11*$C804*'Business Case'!D12*$B804)-'Business Case'!D11*$C804*'Business Case'!D13*$D804-'Business Case'!D14*$E804)-MAX(0,(('Business Case'!D11*$C804*'Business Case'!D12*$B804)-'Business Case'!D11*$C804*'Business Case'!D13*$D804-'Business Case'!D14*$E804))*'Business Case'!$B$7-'Business Case'!$B$8*(('Business Case'!D11*$C804*'Business Case'!D12*$B804)-('Business Case'!C11*$C804*'Business Case'!C12*$B804))-'Business Case'!D15*$F804</f>
        <v>175388984.742857</v>
      </c>
      <c r="K804" s="53" t="n">
        <f aca="false">(('Business Case'!E11*$C804*'Business Case'!E12*$B804)-'Business Case'!E11*$C804*'Business Case'!E13*$D804-'Business Case'!E14*$E804)-MAX(0,(('Business Case'!E11*$C804*'Business Case'!E12*$B804)-'Business Case'!E11*$C804*'Business Case'!E13*$D804-'Business Case'!E14*$E804))*'Business Case'!$B$7-'Business Case'!$B$8*(('Business Case'!E11*$C804*'Business Case'!E12*$B804)-('Business Case'!D11*$C804*'Business Case'!D12*$B804))-'Business Case'!E15*$F804</f>
        <v>478110809.789626</v>
      </c>
      <c r="L804" s="53" t="n">
        <f aca="false">(('Business Case'!F11*$C804*'Business Case'!F12*$B804)-'Business Case'!F11*$C804*'Business Case'!F13*$D804-'Business Case'!F14*$E804)-MAX(0,(('Business Case'!F11*$C804*'Business Case'!F12*$B804)-'Business Case'!F11*$C804*'Business Case'!F13*$D804-'Business Case'!F14*$E804))*'Business Case'!$B$7-'Business Case'!$B$8*(('Business Case'!F11*$C804*'Business Case'!F12*$B804)-('Business Case'!E11*$C804*'Business Case'!E12*$B804))-'Business Case'!F15*$F804</f>
        <v>589051795.644011</v>
      </c>
      <c r="M804" s="53" t="n">
        <f aca="false">(('Business Case'!G11*$C804*'Business Case'!G12*$B804)-'Business Case'!G11*$C804*'Business Case'!G13*$D804-'Business Case'!G14*$E804)-MAX(0,(('Business Case'!G11*$C804*'Business Case'!G12*$B804)-'Business Case'!G11*$C804*'Business Case'!G13*$D804-'Business Case'!G14*$E804))*'Business Case'!$B$7-'Business Case'!$B$8*(('Business Case'!G11*$C804*'Business Case'!G12*$B804)-('Business Case'!F11*$C804*'Business Case'!F12*$B804))-'Business Case'!G15*$F804+'Business Case'!$B$8*('Business Case'!G11*$C804*'Business Case'!G12*$B804)</f>
        <v>753019029.27641</v>
      </c>
      <c r="N804" s="53" t="n">
        <f aca="false">IF(COUNT('Business Case'!B11:G11)=0,"",H804+NPV(G804,I804:M804))</f>
        <v>-1095377977.91918</v>
      </c>
      <c r="P804" s="54" t="n">
        <f aca="true">RAND()</f>
        <v>0.104129188347803</v>
      </c>
      <c r="Q804" s="54" t="n">
        <f aca="true">RAND()</f>
        <v>0.161972485598016</v>
      </c>
      <c r="R804" s="54" t="n">
        <f aca="true">RAND()</f>
        <v>0.355929633494081</v>
      </c>
      <c r="S804" s="54" t="n">
        <f aca="true">RAND()</f>
        <v>0.765935688644054</v>
      </c>
      <c r="T804" s="54" t="n">
        <f aca="true">RAND()</f>
        <v>0.996467947243513</v>
      </c>
      <c r="U804" s="54" t="n">
        <f aca="true">RAND()</f>
        <v>0.730513884750253</v>
      </c>
    </row>
    <row r="805" customFormat="false" ht="15" hidden="false" customHeight="false" outlineLevel="0" collapsed="false">
      <c r="A805" s="50" t="n">
        <v>725</v>
      </c>
      <c r="B805" s="51" t="n">
        <f aca="false">1+IF($G$6=$E$6,$F$6,IF(P805&lt;($F$6-$E$6)/($G$6-$E$6),$E$6+SQRT(P805*($G$6-$E$6)*($F$6-$E$6)),$G$6-SQRT((1-P805)*($G$6-$E$6)*($G$6-$F$6))))</f>
        <v>0.941372917996251</v>
      </c>
      <c r="C805" s="51" t="n">
        <f aca="false">1+IF($G$7=$E$7,$F$7,IF(Q805&lt;($F$7-$E$7)/($G$7-$E$7),$E$7+SQRT(Q805*($G$7-$E$7)*($F$7-$E$7)),$G$7-SQRT((1-Q805)*($G$7-$E$7)*($G$7-$F$7))))</f>
        <v>0.857559410164831</v>
      </c>
      <c r="D805" s="51" t="n">
        <f aca="false">1+IF($G$8=$E$8,$F$8,IF(R805&lt;($F$8-$E$8)/($G$8-$E$8),$E$8+SQRT(R805*($G$8-$E$8)*($F$8-$E$8)),$G$8-SQRT((1-R805)*($G$8-$E$8)*($G$8-$F$8))))</f>
        <v>0.976738230223654</v>
      </c>
      <c r="E805" s="51" t="n">
        <f aca="false">1+IF($G$9=$E$9,$F$9,IF(S805&lt;($F$9-$E$9)/($G$9-$E$9),$E$9+SQRT(S805*($G$9-$E$9)*($F$9-$E$9)),$G$9-SQRT((1-S805)*($G$9-$E$9)*($G$9-$F$9))))</f>
        <v>1.01391031149052</v>
      </c>
      <c r="F805" s="51" t="n">
        <f aca="false">1+IF($G$10=$E$10,$F$10,IF(T805&lt;($F$10-$E$10)/($G$10-$E$10),$E$10+SQRT(T805*($G$10-$E$10)*($F$10-$E$10)),$G$10-SQRT((1-T805)*($G$10-$E$10)*($G$10-$F$10))))</f>
        <v>0.99952410615854</v>
      </c>
      <c r="G805" s="52" t="n">
        <f aca="false">IF($G$11=$E$11,$F$11,IF(U805&lt;($F$11-$E$11)/($G$11-$E$11),$E$11+SQRT(U805*($G$11-$E$11)*($F$11-$E$11)),$G$11-SQRT((1-U805)*($G$11-$E$11)*($G$11-$F$11))))</f>
        <v>0.108913369184787</v>
      </c>
      <c r="H805" s="53" t="n">
        <f aca="false">(('Business Case'!B11*$C805*'Business Case'!B12*$B805)-'Business Case'!B11*$C805*'Business Case'!B13*$D805-'Business Case'!B14*$E805)-MAX(0,(('Business Case'!B11*$C805*'Business Case'!B12*$B805)-'Business Case'!B11*$C805*'Business Case'!B13*$D805-'Business Case'!B14*$E805))*'Business Case'!$B$7-'Business Case'!$B$8*('Business Case'!B11*$C805*'Business Case'!B12*$B805)-'Business Case'!B15*$F805</f>
        <v>-1999048212.31708</v>
      </c>
      <c r="I805" s="53" t="n">
        <f aca="false">(('Business Case'!C11*$C805*'Business Case'!C12*$B805)-'Business Case'!C11*$C805*'Business Case'!C13*$D805-'Business Case'!C14*$E805)-MAX(0,(('Business Case'!C11*$C805*'Business Case'!C12*$B805)-'Business Case'!C11*$C805*'Business Case'!C13*$D805-'Business Case'!C14*$E805))*'Business Case'!$B$7-'Business Case'!$B$8*(('Business Case'!C11*$C805*'Business Case'!C12*$B805)-('Business Case'!B11*$C805*'Business Case'!B12*$B805))-'Business Case'!C15*$F805</f>
        <v>-53546803.6470893</v>
      </c>
      <c r="J805" s="53" t="n">
        <f aca="false">(('Business Case'!D11*$C805*'Business Case'!D12*$B805)-'Business Case'!D11*$C805*'Business Case'!D13*$D805-'Business Case'!D14*$E805)-MAX(0,(('Business Case'!D11*$C805*'Business Case'!D12*$B805)-'Business Case'!D11*$C805*'Business Case'!D13*$D805-'Business Case'!D14*$E805))*'Business Case'!$B$7-'Business Case'!$B$8*(('Business Case'!D11*$C805*'Business Case'!D12*$B805)-('Business Case'!C11*$C805*'Business Case'!C12*$B805))-'Business Case'!D15*$F805</f>
        <v>178886410.926644</v>
      </c>
      <c r="K805" s="53" t="n">
        <f aca="false">(('Business Case'!E11*$C805*'Business Case'!E12*$B805)-'Business Case'!E11*$C805*'Business Case'!E13*$D805-'Business Case'!E14*$E805)-MAX(0,(('Business Case'!E11*$C805*'Business Case'!E12*$B805)-'Business Case'!E11*$C805*'Business Case'!E13*$D805-'Business Case'!E14*$E805))*'Business Case'!$B$7-'Business Case'!$B$8*(('Business Case'!E11*$C805*'Business Case'!E12*$B805)-('Business Case'!D11*$C805*'Business Case'!D12*$B805))-'Business Case'!E15*$F805</f>
        <v>461295830.808303</v>
      </c>
      <c r="L805" s="53" t="n">
        <f aca="false">(('Business Case'!F11*$C805*'Business Case'!F12*$B805)-'Business Case'!F11*$C805*'Business Case'!F13*$D805-'Business Case'!F14*$E805)-MAX(0,(('Business Case'!F11*$C805*'Business Case'!F12*$B805)-'Business Case'!F11*$C805*'Business Case'!F13*$D805-'Business Case'!F14*$E805))*'Business Case'!$B$7-'Business Case'!$B$8*(('Business Case'!F11*$C805*'Business Case'!F12*$B805)-('Business Case'!E11*$C805*'Business Case'!E12*$B805))-'Business Case'!F15*$F805</f>
        <v>566673276.540225</v>
      </c>
      <c r="M805" s="53" t="n">
        <f aca="false">(('Business Case'!G11*$C805*'Business Case'!G12*$B805)-'Business Case'!G11*$C805*'Business Case'!G13*$D805-'Business Case'!G14*$E805)-MAX(0,(('Business Case'!G11*$C805*'Business Case'!G12*$B805)-'Business Case'!G11*$C805*'Business Case'!G13*$D805-'Business Case'!G14*$E805))*'Business Case'!$B$7-'Business Case'!$B$8*(('Business Case'!G11*$C805*'Business Case'!G12*$B805)-('Business Case'!F11*$C805*'Business Case'!F12*$B805))-'Business Case'!G15*$F805+'Business Case'!$B$8*('Business Case'!G11*$C805*'Business Case'!G12*$B805)</f>
        <v>720121668.013951</v>
      </c>
      <c r="N805" s="53" t="n">
        <f aca="false">IF(COUNT('Business Case'!B11:G11)=0,"",H805+NPV(G805,I805:M805))</f>
        <v>-759369234.311929</v>
      </c>
      <c r="P805" s="54" t="n">
        <f aca="true">RAND()</f>
        <v>0.047583502466089</v>
      </c>
      <c r="Q805" s="54" t="n">
        <f aca="true">RAND()</f>
        <v>0.0473297956931896</v>
      </c>
      <c r="R805" s="54" t="n">
        <f aca="true">RAND()</f>
        <v>0.10998968546048</v>
      </c>
      <c r="S805" s="54" t="n">
        <f aca="true">RAND()</f>
        <v>0.505904368822709</v>
      </c>
      <c r="T805" s="54" t="n">
        <f aca="true">RAND()</f>
        <v>0.196210967264189</v>
      </c>
      <c r="U805" s="54" t="n">
        <f aca="true">RAND()</f>
        <v>0.795144361945287</v>
      </c>
    </row>
    <row r="806" customFormat="false" ht="15" hidden="false" customHeight="false" outlineLevel="0" collapsed="false">
      <c r="A806" s="50" t="n">
        <v>726</v>
      </c>
      <c r="B806" s="51" t="n">
        <f aca="false">1+IF($G$6=$E$6,$F$6,IF(P806&lt;($F$6-$E$6)/($G$6-$E$6),$E$6+SQRT(P806*($G$6-$E$6)*($F$6-$E$6)),$G$6-SQRT((1-P806)*($G$6-$E$6)*($G$6-$F$6))))</f>
        <v>1.00695070470054</v>
      </c>
      <c r="C806" s="51" t="n">
        <f aca="false">1+IF($G$7=$E$7,$F$7,IF(Q806&lt;($F$7-$E$7)/($G$7-$E$7),$E$7+SQRT(Q806*($G$7-$E$7)*($F$7-$E$7)),$G$7-SQRT((1-Q806)*($G$7-$E$7)*($G$7-$F$7))))</f>
        <v>1.03343111396117</v>
      </c>
      <c r="D806" s="51" t="n">
        <f aca="false">1+IF($G$8=$E$8,$F$8,IF(R806&lt;($F$8-$E$8)/($G$8-$E$8),$E$8+SQRT(R806*($G$8-$E$8)*($F$8-$E$8)),$G$8-SQRT((1-R806)*($G$8-$E$8)*($G$8-$F$8))))</f>
        <v>1.0418393705252</v>
      </c>
      <c r="E806" s="51" t="n">
        <f aca="false">1+IF($G$9=$E$9,$F$9,IF(S806&lt;($F$9-$E$9)/($G$9-$E$9),$E$9+SQRT(S806*($G$9-$E$9)*($F$9-$E$9)),$G$9-SQRT((1-S806)*($G$9-$E$9)*($G$9-$F$9))))</f>
        <v>1.04232857007549</v>
      </c>
      <c r="F806" s="51" t="n">
        <f aca="false">1+IF($G$10=$E$10,$F$10,IF(T806&lt;($F$10-$E$10)/($G$10-$E$10),$E$10+SQRT(T806*($G$10-$E$10)*($F$10-$E$10)),$G$10-SQRT((1-T806)*($G$10-$E$10)*($G$10-$F$10))))</f>
        <v>1.10077972694794</v>
      </c>
      <c r="G806" s="52" t="n">
        <f aca="false">IF($G$11=$E$11,$F$11,IF(U806&lt;($F$11-$E$11)/($G$11-$E$11),$E$11+SQRT(U806*($G$11-$E$11)*($F$11-$E$11)),$G$11-SQRT((1-U806)*($G$11-$E$11)*($G$11-$F$11))))</f>
        <v>0.107089774086302</v>
      </c>
      <c r="H806" s="53" t="n">
        <f aca="false">(('Business Case'!B11*$C806*'Business Case'!B12*$B806)-'Business Case'!B11*$C806*'Business Case'!B13*$D806-'Business Case'!B14*$E806)-MAX(0,(('Business Case'!B11*$C806*'Business Case'!B12*$B806)-'Business Case'!B11*$C806*'Business Case'!B13*$D806-'Business Case'!B14*$E806))*'Business Case'!$B$7-'Business Case'!$B$8*('Business Case'!B11*$C806*'Business Case'!B12*$B806)-'Business Case'!B15*$F806</f>
        <v>-2201559453.89589</v>
      </c>
      <c r="I806" s="53" t="n">
        <f aca="false">(('Business Case'!C11*$C806*'Business Case'!C12*$B806)-'Business Case'!C11*$C806*'Business Case'!C13*$D806-'Business Case'!C14*$E806)-MAX(0,(('Business Case'!C11*$C806*'Business Case'!C12*$B806)-'Business Case'!C11*$C806*'Business Case'!C13*$D806-'Business Case'!C14*$E806))*'Business Case'!$B$7-'Business Case'!$B$8*(('Business Case'!C11*$C806*'Business Case'!C12*$B806)-('Business Case'!B11*$C806*'Business Case'!B12*$B806))-'Business Case'!C15*$F806</f>
        <v>-11073098.059475</v>
      </c>
      <c r="J806" s="53" t="n">
        <f aca="false">(('Business Case'!D11*$C806*'Business Case'!D12*$B806)-'Business Case'!D11*$C806*'Business Case'!D13*$D806-'Business Case'!D14*$E806)-MAX(0,(('Business Case'!D11*$C806*'Business Case'!D12*$B806)-'Business Case'!D11*$C806*'Business Case'!D13*$D806-'Business Case'!D14*$E806))*'Business Case'!$B$7-'Business Case'!$B$8*(('Business Case'!D11*$C806*'Business Case'!D12*$B806)-('Business Case'!C11*$C806*'Business Case'!C12*$B806))-'Business Case'!D15*$F806</f>
        <v>290096338.770484</v>
      </c>
      <c r="K806" s="53" t="n">
        <f aca="false">(('Business Case'!E11*$C806*'Business Case'!E12*$B806)-'Business Case'!E11*$C806*'Business Case'!E13*$D806-'Business Case'!E14*$E806)-MAX(0,(('Business Case'!E11*$C806*'Business Case'!E12*$B806)-'Business Case'!E11*$C806*'Business Case'!E13*$D806-'Business Case'!E14*$E806))*'Business Case'!$B$7-'Business Case'!$B$8*(('Business Case'!E11*$C806*'Business Case'!E12*$B806)-('Business Case'!D11*$C806*'Business Case'!D12*$B806))-'Business Case'!E15*$F806</f>
        <v>646304761.947841</v>
      </c>
      <c r="L806" s="53" t="n">
        <f aca="false">(('Business Case'!F11*$C806*'Business Case'!F12*$B806)-'Business Case'!F11*$C806*'Business Case'!F13*$D806-'Business Case'!F14*$E806)-MAX(0,(('Business Case'!F11*$C806*'Business Case'!F12*$B806)-'Business Case'!F11*$C806*'Business Case'!F13*$D806-'Business Case'!F14*$E806))*'Business Case'!$B$7-'Business Case'!$B$8*(('Business Case'!F11*$C806*'Business Case'!F12*$B806)-('Business Case'!E11*$C806*'Business Case'!E12*$B806))-'Business Case'!F15*$F806</f>
        <v>782658200.577763</v>
      </c>
      <c r="M806" s="53" t="n">
        <f aca="false">(('Business Case'!G11*$C806*'Business Case'!G12*$B806)-'Business Case'!G11*$C806*'Business Case'!G13*$D806-'Business Case'!G14*$E806)-MAX(0,(('Business Case'!G11*$C806*'Business Case'!G12*$B806)-'Business Case'!G11*$C806*'Business Case'!G13*$D806-'Business Case'!G14*$E806))*'Business Case'!$B$7-'Business Case'!$B$8*(('Business Case'!G11*$C806*'Business Case'!G12*$B806)-('Business Case'!F11*$C806*'Business Case'!F12*$B806))-'Business Case'!G15*$F806+'Business Case'!$B$8*('Business Case'!G11*$C806*'Business Case'!G12*$B806)</f>
        <v>980458145.520746</v>
      </c>
      <c r="N806" s="53" t="n">
        <f aca="false">IF(COUNT('Business Case'!B11:G11)=0,"",H806+NPV(G806,I806:M806))</f>
        <v>-388018384.692634</v>
      </c>
      <c r="P806" s="54" t="n">
        <f aca="true">RAND()</f>
        <v>0.77244668337695</v>
      </c>
      <c r="Q806" s="54" t="n">
        <f aca="true">RAND()</f>
        <v>0.741175139193624</v>
      </c>
      <c r="R806" s="54" t="n">
        <f aca="true">RAND()</f>
        <v>0.859977534431421</v>
      </c>
      <c r="S806" s="54" t="n">
        <f aca="true">RAND()</f>
        <v>0.778267078030847</v>
      </c>
      <c r="T806" s="54" t="n">
        <f aca="true">RAND()</f>
        <v>0.80310674830951</v>
      </c>
      <c r="U806" s="54" t="n">
        <f aca="true">RAND()</f>
        <v>0.722210111428783</v>
      </c>
    </row>
    <row r="807" customFormat="false" ht="15" hidden="false" customHeight="false" outlineLevel="0" collapsed="false">
      <c r="A807" s="50" t="n">
        <v>727</v>
      </c>
      <c r="B807" s="51" t="n">
        <f aca="false">1+IF($G$6=$E$6,$F$6,IF(P807&lt;($F$6-$E$6)/($G$6-$E$6),$E$6+SQRT(P807*($G$6-$E$6)*($F$6-$E$6)),$G$6-SQRT((1-P807)*($G$6-$E$6)*($G$6-$F$6))))</f>
        <v>0.953132473629041</v>
      </c>
      <c r="C807" s="51" t="n">
        <f aca="false">1+IF($G$7=$E$7,$F$7,IF(Q807&lt;($F$7-$E$7)/($G$7-$E$7),$E$7+SQRT(Q807*($G$7-$E$7)*($F$7-$E$7)),$G$7-SQRT((1-Q807)*($G$7-$E$7)*($G$7-$F$7))))</f>
        <v>1.04520978014524</v>
      </c>
      <c r="D807" s="51" t="n">
        <f aca="false">1+IF($G$8=$E$8,$F$8,IF(R807&lt;($F$8-$E$8)/($G$8-$E$8),$E$8+SQRT(R807*($G$8-$E$8)*($F$8-$E$8)),$G$8-SQRT((1-R807)*($G$8-$E$8)*($G$8-$F$8))))</f>
        <v>1.02098403416255</v>
      </c>
      <c r="E807" s="51" t="n">
        <f aca="false">1+IF($G$9=$E$9,$F$9,IF(S807&lt;($F$9-$E$9)/($G$9-$E$9),$E$9+SQRT(S807*($G$9-$E$9)*($F$9-$E$9)),$G$9-SQRT((1-S807)*($G$9-$E$9)*($G$9-$F$9))))</f>
        <v>1.04695407572004</v>
      </c>
      <c r="F807" s="51" t="n">
        <f aca="false">1+IF($G$10=$E$10,$F$10,IF(T807&lt;($F$10-$E$10)/($G$10-$E$10),$E$10+SQRT(T807*($G$10-$E$10)*($F$10-$E$10)),$G$10-SQRT((1-T807)*($G$10-$E$10)*($G$10-$F$10))))</f>
        <v>1.02226385344931</v>
      </c>
      <c r="G807" s="52" t="n">
        <f aca="false">IF($G$11=$E$11,$F$11,IF(U807&lt;($F$11-$E$11)/($G$11-$E$11),$E$11+SQRT(U807*($G$11-$E$11)*($F$11-$E$11)),$G$11-SQRT((1-U807)*($G$11-$E$11)*($G$11-$F$11))))</f>
        <v>0.0949464439945301</v>
      </c>
      <c r="H807" s="53" t="n">
        <f aca="false">(('Business Case'!B11*$C807*'Business Case'!B12*$B807)-'Business Case'!B11*$C807*'Business Case'!B13*$D807-'Business Case'!B14*$E807)-MAX(0,(('Business Case'!B11*$C807*'Business Case'!B12*$B807)-'Business Case'!B11*$C807*'Business Case'!B13*$D807-'Business Case'!B14*$E807))*'Business Case'!$B$7-'Business Case'!$B$8*('Business Case'!B11*$C807*'Business Case'!B12*$B807)-'Business Case'!B15*$F807</f>
        <v>-2044527706.89861</v>
      </c>
      <c r="I807" s="53" t="n">
        <f aca="false">(('Business Case'!C11*$C807*'Business Case'!C12*$B807)-'Business Case'!C11*$C807*'Business Case'!C13*$D807-'Business Case'!C14*$E807)-MAX(0,(('Business Case'!C11*$C807*'Business Case'!C12*$B807)-'Business Case'!C11*$C807*'Business Case'!C13*$D807-'Business Case'!C14*$E807))*'Business Case'!$B$7-'Business Case'!$B$8*(('Business Case'!C11*$C807*'Business Case'!C12*$B807)-('Business Case'!B11*$C807*'Business Case'!B12*$B807))-'Business Case'!C15*$F807</f>
        <v>-33060383.678635</v>
      </c>
      <c r="J807" s="53" t="n">
        <f aca="false">(('Business Case'!D11*$C807*'Business Case'!D12*$B807)-'Business Case'!D11*$C807*'Business Case'!D13*$D807-'Business Case'!D14*$E807)-MAX(0,(('Business Case'!D11*$C807*'Business Case'!D12*$B807)-'Business Case'!D11*$C807*'Business Case'!D13*$D807-'Business Case'!D14*$E807))*'Business Case'!$B$7-'Business Case'!$B$8*(('Business Case'!D11*$C807*'Business Case'!D12*$B807)-('Business Case'!C11*$C807*'Business Case'!C12*$B807))-'Business Case'!D15*$F807</f>
        <v>236626707.740714</v>
      </c>
      <c r="K807" s="53" t="n">
        <f aca="false">(('Business Case'!E11*$C807*'Business Case'!E12*$B807)-'Business Case'!E11*$C807*'Business Case'!E13*$D807-'Business Case'!E14*$E807)-MAX(0,(('Business Case'!E11*$C807*'Business Case'!E12*$B807)-'Business Case'!E11*$C807*'Business Case'!E13*$D807-'Business Case'!E14*$E807))*'Business Case'!$B$7-'Business Case'!$B$8*(('Business Case'!E11*$C807*'Business Case'!E12*$B807)-('Business Case'!D11*$C807*'Business Case'!D12*$B807))-'Business Case'!E15*$F807</f>
        <v>557426991.832528</v>
      </c>
      <c r="L807" s="53" t="n">
        <f aca="false">(('Business Case'!F11*$C807*'Business Case'!F12*$B807)-'Business Case'!F11*$C807*'Business Case'!F13*$D807-'Business Case'!F14*$E807)-MAX(0,(('Business Case'!F11*$C807*'Business Case'!F12*$B807)-'Business Case'!F11*$C807*'Business Case'!F13*$D807-'Business Case'!F14*$E807))*'Business Case'!$B$7-'Business Case'!$B$8*(('Business Case'!F11*$C807*'Business Case'!F12*$B807)-('Business Case'!E11*$C807*'Business Case'!E12*$B807))-'Business Case'!F15*$F807</f>
        <v>681752169.096087</v>
      </c>
      <c r="M807" s="53" t="n">
        <f aca="false">(('Business Case'!G11*$C807*'Business Case'!G12*$B807)-'Business Case'!G11*$C807*'Business Case'!G13*$D807-'Business Case'!G14*$E807)-MAX(0,(('Business Case'!G11*$C807*'Business Case'!G12*$B807)-'Business Case'!G11*$C807*'Business Case'!G13*$D807-'Business Case'!G14*$E807))*'Business Case'!$B$7-'Business Case'!$B$8*(('Business Case'!G11*$C807*'Business Case'!G12*$B807)-('Business Case'!F11*$C807*'Business Case'!F12*$B807))-'Business Case'!G15*$F807+'Business Case'!$B$8*('Business Case'!G11*$C807*'Business Case'!G12*$B807)</f>
        <v>871114309.776852</v>
      </c>
      <c r="N807" s="53" t="n">
        <f aca="false">IF(COUNT('Business Case'!B11:G11)=0,"",H807+NPV(G807,I807:M807))</f>
        <v>-424930702.773228</v>
      </c>
      <c r="P807" s="54" t="n">
        <f aca="true">RAND()</f>
        <v>0.114350084247823</v>
      </c>
      <c r="Q807" s="54" t="n">
        <f aca="true">RAND()</f>
        <v>0.790838282338883</v>
      </c>
      <c r="R807" s="54" t="n">
        <f aca="true">RAND()</f>
        <v>0.665107286180032</v>
      </c>
      <c r="S807" s="54" t="n">
        <f aca="true">RAND()</f>
        <v>0.812408661152321</v>
      </c>
      <c r="T807" s="54" t="n">
        <f aca="true">RAND()</f>
        <v>0.368197244186205</v>
      </c>
      <c r="U807" s="54" t="n">
        <f aca="true">RAND()</f>
        <v>0.0815576939700753</v>
      </c>
    </row>
    <row r="808" customFormat="false" ht="15" hidden="false" customHeight="false" outlineLevel="0" collapsed="false">
      <c r="A808" s="50" t="n">
        <v>728</v>
      </c>
      <c r="B808" s="51" t="n">
        <f aca="false">1+IF($G$6=$E$6,$F$6,IF(P808&lt;($F$6-$E$6)/($G$6-$E$6),$E$6+SQRT(P808*($G$6-$E$6)*($F$6-$E$6)),$G$6-SQRT((1-P808)*($G$6-$E$6)*($G$6-$F$6))))</f>
        <v>1.03561229974919</v>
      </c>
      <c r="C808" s="51" t="n">
        <f aca="false">1+IF($G$7=$E$7,$F$7,IF(Q808&lt;($F$7-$E$7)/($G$7-$E$7),$E$7+SQRT(Q808*($G$7-$E$7)*($F$7-$E$7)),$G$7-SQRT((1-Q808)*($G$7-$E$7)*($G$7-$F$7))))</f>
        <v>1.00529882348993</v>
      </c>
      <c r="D808" s="51" t="n">
        <f aca="false">1+IF($G$8=$E$8,$F$8,IF(R808&lt;($F$8-$E$8)/($G$8-$E$8),$E$8+SQRT(R808*($G$8-$E$8)*($F$8-$E$8)),$G$8-SQRT((1-R808)*($G$8-$E$8)*($G$8-$F$8))))</f>
        <v>1.02424334897765</v>
      </c>
      <c r="E808" s="51" t="n">
        <f aca="false">1+IF($G$9=$E$9,$F$9,IF(S808&lt;($F$9-$E$9)/($G$9-$E$9),$E$9+SQRT(S808*($G$9-$E$9)*($F$9-$E$9)),$G$9-SQRT((1-S808)*($G$9-$E$9)*($G$9-$F$9))))</f>
        <v>1.0438436422639</v>
      </c>
      <c r="F808" s="51" t="n">
        <f aca="false">1+IF($G$10=$E$10,$F$10,IF(T808&lt;($F$10-$E$10)/($G$10-$E$10),$E$10+SQRT(T808*($G$10-$E$10)*($F$10-$E$10)),$G$10-SQRT((1-T808)*($G$10-$E$10)*($G$10-$F$10))))</f>
        <v>1.04284173207082</v>
      </c>
      <c r="G808" s="52" t="n">
        <f aca="false">IF($G$11=$E$11,$F$11,IF(U808&lt;($F$11-$E$11)/($G$11-$E$11),$E$11+SQRT(U808*($G$11-$E$11)*($F$11-$E$11)),$G$11-SQRT((1-U808)*($G$11-$E$11)*($G$11-$F$11))))</f>
        <v>0.102344868291481</v>
      </c>
      <c r="H808" s="53" t="n">
        <f aca="false">(('Business Case'!B11*$C808*'Business Case'!B12*$B808)-'Business Case'!B11*$C808*'Business Case'!B13*$D808-'Business Case'!B14*$E808)-MAX(0,(('Business Case'!B11*$C808*'Business Case'!B12*$B808)-'Business Case'!B11*$C808*'Business Case'!B13*$D808-'Business Case'!B14*$E808))*'Business Case'!$B$7-'Business Case'!$B$8*('Business Case'!B11*$C808*'Business Case'!B12*$B808)-'Business Case'!B15*$F808</f>
        <v>-2085683464.14164</v>
      </c>
      <c r="I808" s="53" t="n">
        <f aca="false">(('Business Case'!C11*$C808*'Business Case'!C12*$B808)-'Business Case'!C11*$C808*'Business Case'!C13*$D808-'Business Case'!C14*$E808)-MAX(0,(('Business Case'!C11*$C808*'Business Case'!C12*$B808)-'Business Case'!C11*$C808*'Business Case'!C13*$D808-'Business Case'!C14*$E808))*'Business Case'!$B$7-'Business Case'!$B$8*(('Business Case'!C11*$C808*'Business Case'!C12*$B808)-('Business Case'!B11*$C808*'Business Case'!B12*$B808))-'Business Case'!C15*$F808</f>
        <v>18937372.1699713</v>
      </c>
      <c r="J808" s="53" t="n">
        <f aca="false">(('Business Case'!D11*$C808*'Business Case'!D12*$B808)-'Business Case'!D11*$C808*'Business Case'!D13*$D808-'Business Case'!D14*$E808)-MAX(0,(('Business Case'!D11*$C808*'Business Case'!D12*$B808)-'Business Case'!D11*$C808*'Business Case'!D13*$D808-'Business Case'!D14*$E808))*'Business Case'!$B$7-'Business Case'!$B$8*(('Business Case'!D11*$C808*'Business Case'!D12*$B808)-('Business Case'!C11*$C808*'Business Case'!C12*$B808))-'Business Case'!D15*$F808</f>
        <v>344564098.484244</v>
      </c>
      <c r="K808" s="53" t="n">
        <f aca="false">(('Business Case'!E11*$C808*'Business Case'!E12*$B808)-'Business Case'!E11*$C808*'Business Case'!E13*$D808-'Business Case'!E14*$E808)-MAX(0,(('Business Case'!E11*$C808*'Business Case'!E12*$B808)-'Business Case'!E11*$C808*'Business Case'!E13*$D808-'Business Case'!E14*$E808))*'Business Case'!$B$7-'Business Case'!$B$8*(('Business Case'!E11*$C808*'Business Case'!E12*$B808)-('Business Case'!D11*$C808*'Business Case'!D12*$B808))-'Business Case'!E15*$F808</f>
        <v>722332911.402059</v>
      </c>
      <c r="L808" s="53" t="n">
        <f aca="false">(('Business Case'!F11*$C808*'Business Case'!F12*$B808)-'Business Case'!F11*$C808*'Business Case'!F13*$D808-'Business Case'!F14*$E808)-MAX(0,(('Business Case'!F11*$C808*'Business Case'!F12*$B808)-'Business Case'!F11*$C808*'Business Case'!F13*$D808-'Business Case'!F14*$E808))*'Business Case'!$B$7-'Business Case'!$B$8*(('Business Case'!F11*$C808*'Business Case'!F12*$B808)-('Business Case'!E11*$C808*'Business Case'!E12*$B808))-'Business Case'!F15*$F808</f>
        <v>866855563.511678</v>
      </c>
      <c r="M808" s="53" t="n">
        <f aca="false">(('Business Case'!G11*$C808*'Business Case'!G12*$B808)-'Business Case'!G11*$C808*'Business Case'!G13*$D808-'Business Case'!G14*$E808)-MAX(0,(('Business Case'!G11*$C808*'Business Case'!G12*$B808)-'Business Case'!G11*$C808*'Business Case'!G13*$D808-'Business Case'!G14*$E808))*'Business Case'!$B$7-'Business Case'!$B$8*(('Business Case'!G11*$C808*'Business Case'!G12*$B808)-('Business Case'!F11*$C808*'Business Case'!F12*$B808))-'Business Case'!G15*$F808+'Business Case'!$B$8*('Business Case'!G11*$C808*'Business Case'!G12*$B808)</f>
        <v>1064747818.53842</v>
      </c>
      <c r="N808" s="53" t="n">
        <f aca="false">IF(COUNT('Business Case'!B11:G11)=0,"",H808+NPV(G808,I808:M808))</f>
        <v>-4532042.71979451</v>
      </c>
      <c r="P808" s="54" t="n">
        <f aca="true">RAND()</f>
        <v>0.995989184689378</v>
      </c>
      <c r="Q808" s="54" t="n">
        <f aca="true">RAND()</f>
        <v>0.601172752697188</v>
      </c>
      <c r="R808" s="54" t="n">
        <f aca="true">RAND()</f>
        <v>0.701076525651092</v>
      </c>
      <c r="S808" s="54" t="n">
        <f aca="true">RAND()</f>
        <v>0.7897642323877</v>
      </c>
      <c r="T808" s="54" t="n">
        <f aca="true">RAND()</f>
        <v>0.506025576430014</v>
      </c>
      <c r="U808" s="54" t="n">
        <f aca="true">RAND()</f>
        <v>0.48049387392475</v>
      </c>
    </row>
    <row r="809" customFormat="false" ht="15" hidden="false" customHeight="false" outlineLevel="0" collapsed="false">
      <c r="A809" s="50" t="n">
        <v>729</v>
      </c>
      <c r="B809" s="51" t="n">
        <f aca="false">1+IF($G$6=$E$6,$F$6,IF(P809&lt;($F$6-$E$6)/($G$6-$E$6),$E$6+SQRT(P809*($G$6-$E$6)*($F$6-$E$6)),$G$6-SQRT((1-P809)*($G$6-$E$6)*($G$6-$F$6))))</f>
        <v>1.02088461864294</v>
      </c>
      <c r="C809" s="51" t="n">
        <f aca="false">1+IF($G$7=$E$7,$F$7,IF(Q809&lt;($F$7-$E$7)/($G$7-$E$7),$E$7+SQRT(Q809*($G$7-$E$7)*($F$7-$E$7)),$G$7-SQRT((1-Q809)*($G$7-$E$7)*($G$7-$F$7))))</f>
        <v>0.974582246846262</v>
      </c>
      <c r="D809" s="51" t="n">
        <f aca="false">1+IF($G$8=$E$8,$F$8,IF(R809&lt;($F$8-$E$8)/($G$8-$E$8),$E$8+SQRT(R809*($G$8-$E$8)*($F$8-$E$8)),$G$8-SQRT((1-R809)*($G$8-$E$8)*($G$8-$F$8))))</f>
        <v>0.967066946151595</v>
      </c>
      <c r="E809" s="51" t="n">
        <f aca="false">1+IF($G$9=$E$9,$F$9,IF(S809&lt;($F$9-$E$9)/($G$9-$E$9),$E$9+SQRT(S809*($G$9-$E$9)*($F$9-$E$9)),$G$9-SQRT((1-S809)*($G$9-$E$9)*($G$9-$F$9))))</f>
        <v>1.02070661490236</v>
      </c>
      <c r="F809" s="51" t="n">
        <f aca="false">1+IF($G$10=$E$10,$F$10,IF(T809&lt;($F$10-$E$10)/($G$10-$E$10),$E$10+SQRT(T809*($G$10-$E$10)*($F$10-$E$10)),$G$10-SQRT((1-T809)*($G$10-$E$10)*($G$10-$F$10))))</f>
        <v>0.997438853051572</v>
      </c>
      <c r="G809" s="52" t="n">
        <f aca="false">IF($G$11=$E$11,$F$11,IF(U809&lt;($F$11-$E$11)/($G$11-$E$11),$E$11+SQRT(U809*($G$11-$E$11)*($F$11-$E$11)),$G$11-SQRT((1-U809)*($G$11-$E$11)*($G$11-$F$11))))</f>
        <v>0.0921972833596669</v>
      </c>
      <c r="H809" s="53" t="n">
        <f aca="false">(('Business Case'!B11*$C809*'Business Case'!B12*$B809)-'Business Case'!B11*$C809*'Business Case'!B13*$D809-'Business Case'!B14*$E809)-MAX(0,(('Business Case'!B11*$C809*'Business Case'!B12*$B809)-'Business Case'!B11*$C809*'Business Case'!B13*$D809-'Business Case'!B14*$E809))*'Business Case'!$B$7-'Business Case'!$B$8*('Business Case'!B11*$C809*'Business Case'!B12*$B809)-'Business Case'!B15*$F809</f>
        <v>-1994877706.10314</v>
      </c>
      <c r="I809" s="53" t="n">
        <f aca="false">(('Business Case'!C11*$C809*'Business Case'!C12*$B809)-'Business Case'!C11*$C809*'Business Case'!C13*$D809-'Business Case'!C14*$E809)-MAX(0,(('Business Case'!C11*$C809*'Business Case'!C12*$B809)-'Business Case'!C11*$C809*'Business Case'!C13*$D809-'Business Case'!C14*$E809))*'Business Case'!$B$7-'Business Case'!$B$8*(('Business Case'!C11*$C809*'Business Case'!C12*$B809)-('Business Case'!B11*$C809*'Business Case'!B12*$B809))-'Business Case'!C15*$F809</f>
        <v>35980815.6612404</v>
      </c>
      <c r="J809" s="53" t="n">
        <f aca="false">(('Business Case'!D11*$C809*'Business Case'!D12*$B809)-'Business Case'!D11*$C809*'Business Case'!D13*$D809-'Business Case'!D14*$E809)-MAX(0,(('Business Case'!D11*$C809*'Business Case'!D12*$B809)-'Business Case'!D11*$C809*'Business Case'!D13*$D809-'Business Case'!D14*$E809))*'Business Case'!$B$7-'Business Case'!$B$8*(('Business Case'!D11*$C809*'Business Case'!D12*$B809)-('Business Case'!C11*$C809*'Business Case'!C12*$B809))-'Business Case'!D15*$F809</f>
        <v>368427480.823895</v>
      </c>
      <c r="K809" s="53" t="n">
        <f aca="false">(('Business Case'!E11*$C809*'Business Case'!E12*$B809)-'Business Case'!E11*$C809*'Business Case'!E13*$D809-'Business Case'!E14*$E809)-MAX(0,(('Business Case'!E11*$C809*'Business Case'!E12*$B809)-'Business Case'!E11*$C809*'Business Case'!E13*$D809-'Business Case'!E14*$E809))*'Business Case'!$B$7-'Business Case'!$B$8*(('Business Case'!E11*$C809*'Business Case'!E12*$B809)-('Business Case'!D11*$C809*'Business Case'!D12*$B809))-'Business Case'!E15*$F809</f>
        <v>750746088.639129</v>
      </c>
      <c r="L809" s="53" t="n">
        <f aca="false">(('Business Case'!F11*$C809*'Business Case'!F12*$B809)-'Business Case'!F11*$C809*'Business Case'!F13*$D809-'Business Case'!F14*$E809)-MAX(0,(('Business Case'!F11*$C809*'Business Case'!F12*$B809)-'Business Case'!F11*$C809*'Business Case'!F13*$D809-'Business Case'!F14*$E809))*'Business Case'!$B$7-'Business Case'!$B$8*(('Business Case'!F11*$C809*'Business Case'!F12*$B809)-('Business Case'!E11*$C809*'Business Case'!E12*$B809))-'Business Case'!F15*$F809</f>
        <v>895946632.731442</v>
      </c>
      <c r="M809" s="53" t="n">
        <f aca="false">(('Business Case'!G11*$C809*'Business Case'!G12*$B809)-'Business Case'!G11*$C809*'Business Case'!G13*$D809-'Business Case'!G14*$E809)-MAX(0,(('Business Case'!G11*$C809*'Business Case'!G12*$B809)-'Business Case'!G11*$C809*'Business Case'!G13*$D809-'Business Case'!G14*$E809))*'Business Case'!$B$7-'Business Case'!$B$8*(('Business Case'!G11*$C809*'Business Case'!G12*$B809)-('Business Case'!F11*$C809*'Business Case'!F12*$B809))-'Business Case'!G15*$F809+'Business Case'!$B$8*('Business Case'!G11*$C809*'Business Case'!G12*$B809)</f>
        <v>1085064072.44096</v>
      </c>
      <c r="N809" s="53" t="n">
        <f aca="false">IF(COUNT('Business Case'!B11:G11)=0,"",H809+NPV(G809,I809:M809))</f>
        <v>250910171.458249</v>
      </c>
      <c r="P809" s="54" t="n">
        <f aca="true">RAND()</f>
        <v>0.923875457411275</v>
      </c>
      <c r="Q809" s="54" t="n">
        <f aca="true">RAND()</f>
        <v>0.435413727341273</v>
      </c>
      <c r="R809" s="54" t="n">
        <f aca="true">RAND()</f>
        <v>0.0448124078371443</v>
      </c>
      <c r="S809" s="54" t="n">
        <f aca="true">RAND()</f>
        <v>0.580837271983848</v>
      </c>
      <c r="T809" s="54" t="n">
        <f aca="true">RAND()</f>
        <v>0.180035582307892</v>
      </c>
      <c r="U809" s="54" t="n">
        <f aca="true">RAND()</f>
        <v>0.0160935138755629</v>
      </c>
    </row>
    <row r="810" customFormat="false" ht="15" hidden="false" customHeight="false" outlineLevel="0" collapsed="false">
      <c r="A810" s="50" t="n">
        <v>730</v>
      </c>
      <c r="B810" s="51" t="n">
        <f aca="false">1+IF($G$6=$E$6,$F$6,IF(P810&lt;($F$6-$E$6)/($G$6-$E$6),$E$6+SQRT(P810*($G$6-$E$6)*($F$6-$E$6)),$G$6-SQRT((1-P810)*($G$6-$E$6)*($G$6-$F$6))))</f>
        <v>0.979716448520707</v>
      </c>
      <c r="C810" s="51" t="n">
        <f aca="false">1+IF($G$7=$E$7,$F$7,IF(Q810&lt;($F$7-$E$7)/($G$7-$E$7),$E$7+SQRT(Q810*($G$7-$E$7)*($F$7-$E$7)),$G$7-SQRT((1-Q810)*($G$7-$E$7)*($G$7-$F$7))))</f>
        <v>0.99805553642611</v>
      </c>
      <c r="D810" s="51" t="n">
        <f aca="false">1+IF($G$8=$E$8,$F$8,IF(R810&lt;($F$8-$E$8)/($G$8-$E$8),$E$8+SQRT(R810*($G$8-$E$8)*($F$8-$E$8)),$G$8-SQRT((1-R810)*($G$8-$E$8)*($G$8-$F$8))))</f>
        <v>1.0251494816232</v>
      </c>
      <c r="E810" s="51" t="n">
        <f aca="false">1+IF($G$9=$E$9,$F$9,IF(S810&lt;($F$9-$E$9)/($G$9-$E$9),$E$9+SQRT(S810*($G$9-$E$9)*($F$9-$E$9)),$G$9-SQRT((1-S810)*($G$9-$E$9)*($G$9-$F$9))))</f>
        <v>1.01455294906944</v>
      </c>
      <c r="F810" s="51" t="n">
        <f aca="false">1+IF($G$10=$E$10,$F$10,IF(T810&lt;($F$10-$E$10)/($G$10-$E$10),$E$10+SQRT(T810*($G$10-$E$10)*($F$10-$E$10)),$G$10-SQRT((1-T810)*($G$10-$E$10)*($G$10-$F$10))))</f>
        <v>1.10150614993745</v>
      </c>
      <c r="G810" s="52" t="n">
        <f aca="false">IF($G$11=$E$11,$F$11,IF(U810&lt;($F$11-$E$11)/($G$11-$E$11),$E$11+SQRT(U810*($G$11-$E$11)*($F$11-$E$11)),$G$11-SQRT((1-U810)*($G$11-$E$11)*($G$11-$F$11))))</f>
        <v>0.107987623183375</v>
      </c>
      <c r="H810" s="53" t="n">
        <f aca="false">(('Business Case'!B11*$C810*'Business Case'!B12*$B810)-'Business Case'!B11*$C810*'Business Case'!B13*$D810-'Business Case'!B14*$E810)-MAX(0,(('Business Case'!B11*$C810*'Business Case'!B12*$B810)-'Business Case'!B11*$C810*'Business Case'!B13*$D810-'Business Case'!B14*$E810))*'Business Case'!$B$7-'Business Case'!$B$8*('Business Case'!B11*$C810*'Business Case'!B12*$B810)-'Business Case'!B15*$F810</f>
        <v>-2203012299.87491</v>
      </c>
      <c r="I810" s="53" t="n">
        <f aca="false">(('Business Case'!C11*$C810*'Business Case'!C12*$B810)-'Business Case'!C11*$C810*'Business Case'!C13*$D810-'Business Case'!C14*$E810)-MAX(0,(('Business Case'!C11*$C810*'Business Case'!C12*$B810)-'Business Case'!C11*$C810*'Business Case'!C13*$D810-'Business Case'!C14*$E810))*'Business Case'!$B$7-'Business Case'!$B$8*(('Business Case'!C11*$C810*'Business Case'!C12*$B810)-('Business Case'!B11*$C810*'Business Case'!B12*$B810))-'Business Case'!C15*$F810</f>
        <v>-27985907.4850807</v>
      </c>
      <c r="J810" s="53" t="n">
        <f aca="false">(('Business Case'!D11*$C810*'Business Case'!D12*$B810)-'Business Case'!D11*$C810*'Business Case'!D13*$D810-'Business Case'!D14*$E810)-MAX(0,(('Business Case'!D11*$C810*'Business Case'!D12*$B810)-'Business Case'!D11*$C810*'Business Case'!D13*$D810-'Business Case'!D14*$E810))*'Business Case'!$B$7-'Business Case'!$B$8*(('Business Case'!D11*$C810*'Business Case'!D12*$B810)-('Business Case'!C11*$C810*'Business Case'!C12*$B810))-'Business Case'!D15*$F810</f>
        <v>249137973.683005</v>
      </c>
      <c r="K810" s="53" t="n">
        <f aca="false">(('Business Case'!E11*$C810*'Business Case'!E12*$B810)-'Business Case'!E11*$C810*'Business Case'!E13*$D810-'Business Case'!E14*$E810)-MAX(0,(('Business Case'!E11*$C810*'Business Case'!E12*$B810)-'Business Case'!E11*$C810*'Business Case'!E13*$D810-'Business Case'!E14*$E810))*'Business Case'!$B$7-'Business Case'!$B$8*(('Business Case'!E11*$C810*'Business Case'!E12*$B810)-('Business Case'!D11*$C810*'Business Case'!D12*$B810))-'Business Case'!E15*$F810</f>
        <v>581337162.347963</v>
      </c>
      <c r="L810" s="53" t="n">
        <f aca="false">(('Business Case'!F11*$C810*'Business Case'!F12*$B810)-'Business Case'!F11*$C810*'Business Case'!F13*$D810-'Business Case'!F14*$E810)-MAX(0,(('Business Case'!F11*$C810*'Business Case'!F12*$B810)-'Business Case'!F11*$C810*'Business Case'!F13*$D810-'Business Case'!F14*$E810))*'Business Case'!$B$7-'Business Case'!$B$8*(('Business Case'!F11*$C810*'Business Case'!F12*$B810)-('Business Case'!E11*$C810*'Business Case'!E12*$B810))-'Business Case'!F15*$F810</f>
        <v>707504952.271823</v>
      </c>
      <c r="M810" s="53" t="n">
        <f aca="false">(('Business Case'!G11*$C810*'Business Case'!G12*$B810)-'Business Case'!G11*$C810*'Business Case'!G13*$D810-'Business Case'!G14*$E810)-MAX(0,(('Business Case'!G11*$C810*'Business Case'!G12*$B810)-'Business Case'!G11*$C810*'Business Case'!G13*$D810-'Business Case'!G14*$E810))*'Business Case'!$B$7-'Business Case'!$B$8*(('Business Case'!G11*$C810*'Business Case'!G12*$B810)-('Business Case'!F11*$C810*'Business Case'!F12*$B810))-'Business Case'!G15*$F810+'Business Case'!$B$8*('Business Case'!G11*$C810*'Business Case'!G12*$B810)</f>
        <v>893367348.044894</v>
      </c>
      <c r="N810" s="53" t="n">
        <f aca="false">IF(COUNT('Business Case'!B11:G11)=0,"",H810+NPV(G810,I810:M810))</f>
        <v>-593487758.247814</v>
      </c>
      <c r="P810" s="54" t="n">
        <f aca="true">RAND()</f>
        <v>0.371463981658981</v>
      </c>
      <c r="Q810" s="54" t="n">
        <f aca="true">RAND()</f>
        <v>0.560371364414772</v>
      </c>
      <c r="R810" s="54" t="n">
        <f aca="true">RAND()</f>
        <v>0.710713522480408</v>
      </c>
      <c r="S810" s="54" t="n">
        <f aca="true">RAND()</f>
        <v>0.513253432484666</v>
      </c>
      <c r="T810" s="54" t="n">
        <f aca="true">RAND()</f>
        <v>0.805979229997132</v>
      </c>
      <c r="U810" s="54" t="n">
        <f aca="true">RAND()</f>
        <v>0.759504672025683</v>
      </c>
    </row>
    <row r="811" customFormat="false" ht="15" hidden="false" customHeight="false" outlineLevel="0" collapsed="false">
      <c r="A811" s="50" t="n">
        <v>731</v>
      </c>
      <c r="B811" s="51" t="n">
        <f aca="false">1+IF($G$6=$E$6,$F$6,IF(P811&lt;($F$6-$E$6)/($G$6-$E$6),$E$6+SQRT(P811*($G$6-$E$6)*($F$6-$E$6)),$G$6-SQRT((1-P811)*($G$6-$E$6)*($G$6-$F$6))))</f>
        <v>0.94774086680081</v>
      </c>
      <c r="C811" s="51" t="n">
        <f aca="false">1+IF($G$7=$E$7,$F$7,IF(Q811&lt;($F$7-$E$7)/($G$7-$E$7),$E$7+SQRT(Q811*($G$7-$E$7)*($F$7-$E$7)),$G$7-SQRT((1-Q811)*($G$7-$E$7)*($G$7-$F$7))))</f>
        <v>0.832557858660715</v>
      </c>
      <c r="D811" s="51" t="n">
        <f aca="false">1+IF($G$8=$E$8,$F$8,IF(R811&lt;($F$8-$E$8)/($G$8-$E$8),$E$8+SQRT(R811*($G$8-$E$8)*($F$8-$E$8)),$G$8-SQRT((1-R811)*($G$8-$E$8)*($G$8-$F$8))))</f>
        <v>0.990600340467407</v>
      </c>
      <c r="E811" s="51" t="n">
        <f aca="false">1+IF($G$9=$E$9,$F$9,IF(S811&lt;($F$9-$E$9)/($G$9-$E$9),$E$9+SQRT(S811*($G$9-$E$9)*($F$9-$E$9)),$G$9-SQRT((1-S811)*($G$9-$E$9)*($G$9-$F$9))))</f>
        <v>1.02924388858057</v>
      </c>
      <c r="F811" s="51" t="n">
        <f aca="false">1+IF($G$10=$E$10,$F$10,IF(T811&lt;($F$10-$E$10)/($G$10-$E$10),$E$10+SQRT(T811*($G$10-$E$10)*($F$10-$E$10)),$G$10-SQRT((1-T811)*($G$10-$E$10)*($G$10-$F$10))))</f>
        <v>1.09215231324301</v>
      </c>
      <c r="G811" s="52" t="n">
        <f aca="false">IF($G$11=$E$11,$F$11,IF(U811&lt;($F$11-$E$11)/($G$11-$E$11),$E$11+SQRT(U811*($G$11-$E$11)*($F$11-$E$11)),$G$11-SQRT((1-U811)*($G$11-$E$11)*($G$11-$F$11))))</f>
        <v>0.0958506052193556</v>
      </c>
      <c r="H811" s="53" t="n">
        <f aca="false">(('Business Case'!B11*$C811*'Business Case'!B12*$B811)-'Business Case'!B11*$C811*'Business Case'!B13*$D811-'Business Case'!B14*$E811)-MAX(0,(('Business Case'!B11*$C811*'Business Case'!B12*$B811)-'Business Case'!B11*$C811*'Business Case'!B13*$D811-'Business Case'!B14*$E811))*'Business Case'!$B$7-'Business Case'!$B$8*('Business Case'!B11*$C811*'Business Case'!B12*$B811)-'Business Case'!B15*$F811</f>
        <v>-2184304626.48602</v>
      </c>
      <c r="I811" s="53" t="n">
        <f aca="false">(('Business Case'!C11*$C811*'Business Case'!C12*$B811)-'Business Case'!C11*$C811*'Business Case'!C13*$D811-'Business Case'!C14*$E811)-MAX(0,(('Business Case'!C11*$C811*'Business Case'!C12*$B811)-'Business Case'!C11*$C811*'Business Case'!C13*$D811-'Business Case'!C14*$E811))*'Business Case'!$B$7-'Business Case'!$B$8*(('Business Case'!C11*$C811*'Business Case'!C12*$B811)-('Business Case'!B11*$C811*'Business Case'!B12*$B811))-'Business Case'!C15*$F811</f>
        <v>-72386843.8385055</v>
      </c>
      <c r="J811" s="53" t="n">
        <f aca="false">(('Business Case'!D11*$C811*'Business Case'!D12*$B811)-'Business Case'!D11*$C811*'Business Case'!D13*$D811-'Business Case'!D14*$E811)-MAX(0,(('Business Case'!D11*$C811*'Business Case'!D12*$B811)-'Business Case'!D11*$C811*'Business Case'!D13*$D811-'Business Case'!D14*$E811))*'Business Case'!$B$7-'Business Case'!$B$8*(('Business Case'!D11*$C811*'Business Case'!D12*$B811)-('Business Case'!C11*$C811*'Business Case'!C12*$B811))-'Business Case'!D15*$F811</f>
        <v>151704330.29109</v>
      </c>
      <c r="K811" s="53" t="n">
        <f aca="false">(('Business Case'!E11*$C811*'Business Case'!E12*$B811)-'Business Case'!E11*$C811*'Business Case'!E13*$D811-'Business Case'!E14*$E811)-MAX(0,(('Business Case'!E11*$C811*'Business Case'!E12*$B811)-'Business Case'!E11*$C811*'Business Case'!E13*$D811-'Business Case'!E14*$E811))*'Business Case'!$B$7-'Business Case'!$B$8*(('Business Case'!E11*$C811*'Business Case'!E12*$B811)-('Business Case'!D11*$C811*'Business Case'!D12*$B811))-'Business Case'!E15*$F811</f>
        <v>430403120.082837</v>
      </c>
      <c r="L811" s="53" t="n">
        <f aca="false">(('Business Case'!F11*$C811*'Business Case'!F12*$B811)-'Business Case'!F11*$C811*'Business Case'!F13*$D811-'Business Case'!F14*$E811)-MAX(0,(('Business Case'!F11*$C811*'Business Case'!F12*$B811)-'Business Case'!F11*$C811*'Business Case'!F13*$D811-'Business Case'!F14*$E811))*'Business Case'!$B$7-'Business Case'!$B$8*(('Business Case'!F11*$C811*'Business Case'!F12*$B811)-('Business Case'!E11*$C811*'Business Case'!E12*$B811))-'Business Case'!F15*$F811</f>
        <v>532369715.251131</v>
      </c>
      <c r="M811" s="53" t="n">
        <f aca="false">(('Business Case'!G11*$C811*'Business Case'!G12*$B811)-'Business Case'!G11*$C811*'Business Case'!G13*$D811-'Business Case'!G14*$E811)-MAX(0,(('Business Case'!G11*$C811*'Business Case'!G12*$B811)-'Business Case'!G11*$C811*'Business Case'!G13*$D811-'Business Case'!G14*$E811))*'Business Case'!$B$7-'Business Case'!$B$8*(('Business Case'!G11*$C811*'Business Case'!G12*$B811)-('Business Case'!F11*$C811*'Business Case'!F12*$B811))-'Business Case'!G15*$F811+'Business Case'!$B$8*('Business Case'!G11*$C811*'Business Case'!G12*$B811)</f>
        <v>682352169.439158</v>
      </c>
      <c r="N811" s="53" t="n">
        <f aca="false">IF(COUNT('Business Case'!B11:G11)=0,"",H811+NPV(G811,I811:M811))</f>
        <v>-996054201.219444</v>
      </c>
      <c r="P811" s="54" t="n">
        <f aca="true">RAND()</f>
        <v>0.0801620511312795</v>
      </c>
      <c r="Q811" s="54" t="n">
        <f aca="true">RAND()</f>
        <v>0.0151430594367303</v>
      </c>
      <c r="R811" s="54" t="n">
        <f aca="true">RAND()</f>
        <v>0.253598099395283</v>
      </c>
      <c r="S811" s="54" t="n">
        <f aca="true">RAND()</f>
        <v>0.666238179786718</v>
      </c>
      <c r="T811" s="54" t="n">
        <f aca="true">RAND()</f>
        <v>0.767377529223315</v>
      </c>
      <c r="U811" s="54" t="n">
        <f aca="true">RAND()</f>
        <v>0.114098604775837</v>
      </c>
    </row>
    <row r="812" customFormat="false" ht="15" hidden="false" customHeight="false" outlineLevel="0" collapsed="false">
      <c r="A812" s="50" t="n">
        <v>732</v>
      </c>
      <c r="B812" s="51" t="n">
        <f aca="false">1+IF($G$6=$E$6,$F$6,IF(P812&lt;($F$6-$E$6)/($G$6-$E$6),$E$6+SQRT(P812*($G$6-$E$6)*($F$6-$E$6)),$G$6-SQRT((1-P812)*($G$6-$E$6)*($G$6-$F$6))))</f>
        <v>0.980614225485673</v>
      </c>
      <c r="C812" s="51" t="n">
        <f aca="false">1+IF($G$7=$E$7,$F$7,IF(Q812&lt;($F$7-$E$7)/($G$7-$E$7),$E$7+SQRT(Q812*($G$7-$E$7)*($F$7-$E$7)),$G$7-SQRT((1-Q812)*($G$7-$E$7)*($G$7-$F$7))))</f>
        <v>1.07537469066561</v>
      </c>
      <c r="D812" s="51" t="n">
        <f aca="false">1+IF($G$8=$E$8,$F$8,IF(R812&lt;($F$8-$E$8)/($G$8-$E$8),$E$8+SQRT(R812*($G$8-$E$8)*($F$8-$E$8)),$G$8-SQRT((1-R812)*($G$8-$E$8)*($G$8-$F$8))))</f>
        <v>1.03884084779704</v>
      </c>
      <c r="E812" s="51" t="n">
        <f aca="false">1+IF($G$9=$E$9,$F$9,IF(S812&lt;($F$9-$E$9)/($G$9-$E$9),$E$9+SQRT(S812*($G$9-$E$9)*($F$9-$E$9)),$G$9-SQRT((1-S812)*($G$9-$E$9)*($G$9-$F$9))))</f>
        <v>1.03052330739185</v>
      </c>
      <c r="F812" s="51" t="n">
        <f aca="false">1+IF($G$10=$E$10,$F$10,IF(T812&lt;($F$10-$E$10)/($G$10-$E$10),$E$10+SQRT(T812*($G$10-$E$10)*($F$10-$E$10)),$G$10-SQRT((1-T812)*($G$10-$E$10)*($G$10-$F$10))))</f>
        <v>0.994719967211751</v>
      </c>
      <c r="G812" s="52" t="n">
        <f aca="false">IF($G$11=$E$11,$F$11,IF(U812&lt;($F$11-$E$11)/($G$11-$E$11),$E$11+SQRT(U812*($G$11-$E$11)*($F$11-$E$11)),$G$11-SQRT((1-U812)*($G$11-$E$11)*($G$11-$F$11))))</f>
        <v>0.0976939294625902</v>
      </c>
      <c r="H812" s="53" t="n">
        <f aca="false">(('Business Case'!B11*$C812*'Business Case'!B12*$B812)-'Business Case'!B11*$C812*'Business Case'!B13*$D812-'Business Case'!B14*$E812)-MAX(0,(('Business Case'!B11*$C812*'Business Case'!B12*$B812)-'Business Case'!B11*$C812*'Business Case'!B13*$D812-'Business Case'!B14*$E812))*'Business Case'!$B$7-'Business Case'!$B$8*('Business Case'!B11*$C812*'Business Case'!B12*$B812)-'Business Case'!B15*$F812</f>
        <v>-1989439934.4235</v>
      </c>
      <c r="I812" s="53" t="n">
        <f aca="false">(('Business Case'!C11*$C812*'Business Case'!C12*$B812)-'Business Case'!C11*$C812*'Business Case'!C13*$D812-'Business Case'!C14*$E812)-MAX(0,(('Business Case'!C11*$C812*'Business Case'!C12*$B812)-'Business Case'!C11*$C812*'Business Case'!C13*$D812-'Business Case'!C14*$E812))*'Business Case'!$B$7-'Business Case'!$B$8*(('Business Case'!C11*$C812*'Business Case'!C12*$B812)-('Business Case'!B11*$C812*'Business Case'!B12*$B812))-'Business Case'!C15*$F812</f>
        <v>-8832923.91328405</v>
      </c>
      <c r="J812" s="53" t="n">
        <f aca="false">(('Business Case'!D11*$C812*'Business Case'!D12*$B812)-'Business Case'!D11*$C812*'Business Case'!D13*$D812-'Business Case'!D14*$E812)-MAX(0,(('Business Case'!D11*$C812*'Business Case'!D12*$B812)-'Business Case'!D11*$C812*'Business Case'!D13*$D812-'Business Case'!D14*$E812))*'Business Case'!$B$7-'Business Case'!$B$8*(('Business Case'!D11*$C812*'Business Case'!D12*$B812)-('Business Case'!C11*$C812*'Business Case'!C12*$B812))-'Business Case'!D15*$F812</f>
        <v>283013280.17911</v>
      </c>
      <c r="K812" s="53" t="n">
        <f aca="false">(('Business Case'!E11*$C812*'Business Case'!E12*$B812)-'Business Case'!E11*$C812*'Business Case'!E13*$D812-'Business Case'!E14*$E812)-MAX(0,(('Business Case'!E11*$C812*'Business Case'!E12*$B812)-'Business Case'!E11*$C812*'Business Case'!E13*$D812-'Business Case'!E14*$E812))*'Business Case'!$B$7-'Business Case'!$B$8*(('Business Case'!E11*$C812*'Business Case'!E12*$B812)-('Business Case'!D11*$C812*'Business Case'!D12*$B812))-'Business Case'!E15*$F812</f>
        <v>624595482.632091</v>
      </c>
      <c r="L812" s="53" t="n">
        <f aca="false">(('Business Case'!F11*$C812*'Business Case'!F12*$B812)-'Business Case'!F11*$C812*'Business Case'!F13*$D812-'Business Case'!F14*$E812)-MAX(0,(('Business Case'!F11*$C812*'Business Case'!F12*$B812)-'Business Case'!F11*$C812*'Business Case'!F13*$D812-'Business Case'!F14*$E812))*'Business Case'!$B$7-'Business Case'!$B$8*(('Business Case'!F11*$C812*'Business Case'!F12*$B812)-('Business Case'!E11*$C812*'Business Case'!E12*$B812))-'Business Case'!F15*$F812</f>
        <v>758322028.645144</v>
      </c>
      <c r="M812" s="53" t="n">
        <f aca="false">(('Business Case'!G11*$C812*'Business Case'!G12*$B812)-'Business Case'!G11*$C812*'Business Case'!G13*$D812-'Business Case'!G14*$E812)-MAX(0,(('Business Case'!G11*$C812*'Business Case'!G12*$B812)-'Business Case'!G11*$C812*'Business Case'!G13*$D812-'Business Case'!G14*$E812))*'Business Case'!$B$7-'Business Case'!$B$8*(('Business Case'!G11*$C812*'Business Case'!G12*$B812)-('Business Case'!F11*$C812*'Business Case'!F12*$B812))-'Business Case'!G15*$F812+'Business Case'!$B$8*('Business Case'!G11*$C812*'Business Case'!G12*$B812)</f>
        <v>958766657.547546</v>
      </c>
      <c r="N812" s="53" t="n">
        <f aca="false">IF(COUNT('Business Case'!B11:G11)=0,"",H812+NPV(G812,I812:M812))</f>
        <v>-166467421.140844</v>
      </c>
      <c r="P812" s="54" t="n">
        <f aca="true">RAND()</f>
        <v>0.382717117836254</v>
      </c>
      <c r="Q812" s="54" t="n">
        <f aca="true">RAND()</f>
        <v>0.89392501346183</v>
      </c>
      <c r="R812" s="54" t="n">
        <f aca="true">RAND()</f>
        <v>0.837108095185909</v>
      </c>
      <c r="S812" s="54" t="n">
        <f aca="true">RAND()</f>
        <v>0.678199278948808</v>
      </c>
      <c r="T812" s="54" t="n">
        <f aca="true">RAND()</f>
        <v>0.159990037393607</v>
      </c>
      <c r="U812" s="54" t="n">
        <f aca="true">RAND()</f>
        <v>0.197321835251046</v>
      </c>
    </row>
    <row r="813" customFormat="false" ht="15" hidden="false" customHeight="false" outlineLevel="0" collapsed="false">
      <c r="A813" s="50" t="n">
        <v>733</v>
      </c>
      <c r="B813" s="51" t="n">
        <f aca="false">1+IF($G$6=$E$6,$F$6,IF(P813&lt;($F$6-$E$6)/($G$6-$E$6),$E$6+SQRT(P813*($G$6-$E$6)*($F$6-$E$6)),$G$6-SQRT((1-P813)*($G$6-$E$6)*($G$6-$F$6))))</f>
        <v>1.00597156679299</v>
      </c>
      <c r="C813" s="51" t="n">
        <f aca="false">1+IF($G$7=$E$7,$F$7,IF(Q813&lt;($F$7-$E$7)/($G$7-$E$7),$E$7+SQRT(Q813*($G$7-$E$7)*($F$7-$E$7)),$G$7-SQRT((1-Q813)*($G$7-$E$7)*($G$7-$F$7))))</f>
        <v>1.00702251235298</v>
      </c>
      <c r="D813" s="51" t="n">
        <f aca="false">1+IF($G$8=$E$8,$F$8,IF(R813&lt;($F$8-$E$8)/($G$8-$E$8),$E$8+SQRT(R813*($G$8-$E$8)*($F$8-$E$8)),$G$8-SQRT((1-R813)*($G$8-$E$8)*($G$8-$F$8))))</f>
        <v>0.955749959434108</v>
      </c>
      <c r="E813" s="51" t="n">
        <f aca="false">1+IF($G$9=$E$9,$F$9,IF(S813&lt;($F$9-$E$9)/($G$9-$E$9),$E$9+SQRT(S813*($G$9-$E$9)*($F$9-$E$9)),$G$9-SQRT((1-S813)*($G$9-$E$9)*($G$9-$F$9))))</f>
        <v>1.02214267305396</v>
      </c>
      <c r="F813" s="51" t="n">
        <f aca="false">1+IF($G$10=$E$10,$F$10,IF(T813&lt;($F$10-$E$10)/($G$10-$E$10),$E$10+SQRT(T813*($G$10-$E$10)*($F$10-$E$10)),$G$10-SQRT((1-T813)*($G$10-$E$10)*($G$10-$F$10))))</f>
        <v>0.984975350014064</v>
      </c>
      <c r="G813" s="52" t="n">
        <f aca="false">IF($G$11=$E$11,$F$11,IF(U813&lt;($F$11-$E$11)/($G$11-$E$11),$E$11+SQRT(U813*($G$11-$E$11)*($F$11-$E$11)),$G$11-SQRT((1-U813)*($G$11-$E$11)*($G$11-$F$11))))</f>
        <v>0.103309884214077</v>
      </c>
      <c r="H813" s="53" t="n">
        <f aca="false">(('Business Case'!B11*$C813*'Business Case'!B12*$B813)-'Business Case'!B11*$C813*'Business Case'!B13*$D813-'Business Case'!B14*$E813)-MAX(0,(('Business Case'!B11*$C813*'Business Case'!B12*$B813)-'Business Case'!B11*$C813*'Business Case'!B13*$D813-'Business Case'!B14*$E813))*'Business Case'!$B$7-'Business Case'!$B$8*('Business Case'!B11*$C813*'Business Case'!B12*$B813)-'Business Case'!B15*$F813</f>
        <v>-1969950700.02813</v>
      </c>
      <c r="I813" s="53" t="n">
        <f aca="false">(('Business Case'!C11*$C813*'Business Case'!C12*$B813)-'Business Case'!C11*$C813*'Business Case'!C13*$D813-'Business Case'!C14*$E813)-MAX(0,(('Business Case'!C11*$C813*'Business Case'!C12*$B813)-'Business Case'!C11*$C813*'Business Case'!C13*$D813-'Business Case'!C14*$E813))*'Business Case'!$B$7-'Business Case'!$B$8*(('Business Case'!C11*$C813*'Business Case'!C12*$B813)-('Business Case'!B11*$C813*'Business Case'!B12*$B813))-'Business Case'!C15*$F813</f>
        <v>40684017.9724232</v>
      </c>
      <c r="J813" s="53" t="n">
        <f aca="false">(('Business Case'!D11*$C813*'Business Case'!D12*$B813)-'Business Case'!D11*$C813*'Business Case'!D13*$D813-'Business Case'!D14*$E813)-MAX(0,(('Business Case'!D11*$C813*'Business Case'!D12*$B813)-'Business Case'!D11*$C813*'Business Case'!D13*$D813-'Business Case'!D14*$E813))*'Business Case'!$B$7-'Business Case'!$B$8*(('Business Case'!D11*$C813*'Business Case'!D12*$B813)-('Business Case'!C11*$C813*'Business Case'!C12*$B813))-'Business Case'!D15*$F813</f>
        <v>377730046.04867</v>
      </c>
      <c r="K813" s="53" t="n">
        <f aca="false">(('Business Case'!E11*$C813*'Business Case'!E12*$B813)-'Business Case'!E11*$C813*'Business Case'!E13*$D813-'Business Case'!E14*$E813)-MAX(0,(('Business Case'!E11*$C813*'Business Case'!E12*$B813)-'Business Case'!E11*$C813*'Business Case'!E13*$D813-'Business Case'!E14*$E813))*'Business Case'!$B$7-'Business Case'!$B$8*(('Business Case'!E11*$C813*'Business Case'!E12*$B813)-('Business Case'!D11*$C813*'Business Case'!D12*$B813))-'Business Case'!E15*$F813</f>
        <v>764024841.62562</v>
      </c>
      <c r="L813" s="53" t="n">
        <f aca="false">(('Business Case'!F11*$C813*'Business Case'!F12*$B813)-'Business Case'!F11*$C813*'Business Case'!F13*$D813-'Business Case'!F14*$E813)-MAX(0,(('Business Case'!F11*$C813*'Business Case'!F12*$B813)-'Business Case'!F11*$C813*'Business Case'!F13*$D813-'Business Case'!F14*$E813))*'Business Case'!$B$7-'Business Case'!$B$8*(('Business Case'!F11*$C813*'Business Case'!F12*$B813)-('Business Case'!E11*$C813*'Business Case'!E12*$B813))-'Business Case'!F15*$F813</f>
        <v>911384042.313799</v>
      </c>
      <c r="M813" s="53" t="n">
        <f aca="false">(('Business Case'!G11*$C813*'Business Case'!G12*$B813)-'Business Case'!G11*$C813*'Business Case'!G13*$D813-'Business Case'!G14*$E813)-MAX(0,(('Business Case'!G11*$C813*'Business Case'!G12*$B813)-'Business Case'!G11*$C813*'Business Case'!G13*$D813-'Business Case'!G14*$E813))*'Business Case'!$B$7-'Business Case'!$B$8*(('Business Case'!G11*$C813*'Business Case'!G12*$B813)-('Business Case'!F11*$C813*'Business Case'!F12*$B813))-'Business Case'!G15*$F813+'Business Case'!$B$8*('Business Case'!G11*$C813*'Business Case'!G12*$B813)</f>
        <v>1103941927.959</v>
      </c>
      <c r="N813" s="53" t="n">
        <f aca="false">IF(COUNT('Business Case'!B11:G11)=0,"",H813+NPV(G813,I813:M813))</f>
        <v>236391892.566897</v>
      </c>
      <c r="P813" s="54" t="n">
        <f aca="true">RAND()</f>
        <v>0.758763694474212</v>
      </c>
      <c r="Q813" s="54" t="n">
        <f aca="true">RAND()</f>
        <v>0.610617867164687</v>
      </c>
      <c r="R813" s="54" t="n">
        <f aca="true">RAND()</f>
        <v>0.00508646669136743</v>
      </c>
      <c r="S813" s="54" t="n">
        <f aca="true">RAND()</f>
        <v>0.595882442721133</v>
      </c>
      <c r="T813" s="54" t="n">
        <f aca="true">RAND()</f>
        <v>0.0978620086885044</v>
      </c>
      <c r="U813" s="54" t="n">
        <f aca="true">RAND()</f>
        <v>0.535733391754159</v>
      </c>
    </row>
    <row r="814" customFormat="false" ht="15" hidden="false" customHeight="false" outlineLevel="0" collapsed="false">
      <c r="A814" s="50" t="n">
        <v>734</v>
      </c>
      <c r="B814" s="51" t="n">
        <f aca="false">1+IF($G$6=$E$6,$F$6,IF(P814&lt;($F$6-$E$6)/($G$6-$E$6),$E$6+SQRT(P814*($G$6-$E$6)*($F$6-$E$6)),$G$6-SQRT((1-P814)*($G$6-$E$6)*($G$6-$F$6))))</f>
        <v>1.01873949042711</v>
      </c>
      <c r="C814" s="51" t="n">
        <f aca="false">1+IF($G$7=$E$7,$F$7,IF(Q814&lt;($F$7-$E$7)/($G$7-$E$7),$E$7+SQRT(Q814*($G$7-$E$7)*($F$7-$E$7)),$G$7-SQRT((1-Q814)*($G$7-$E$7)*($G$7-$F$7))))</f>
        <v>0.856198165251147</v>
      </c>
      <c r="D814" s="51" t="n">
        <f aca="false">1+IF($G$8=$E$8,$F$8,IF(R814&lt;($F$8-$E$8)/($G$8-$E$8),$E$8+SQRT(R814*($G$8-$E$8)*($F$8-$E$8)),$G$8-SQRT((1-R814)*($G$8-$E$8)*($G$8-$F$8))))</f>
        <v>1.01374760662379</v>
      </c>
      <c r="E814" s="51" t="n">
        <f aca="false">1+IF($G$9=$E$9,$F$9,IF(S814&lt;($F$9-$E$9)/($G$9-$E$9),$E$9+SQRT(S814*($G$9-$E$9)*($F$9-$E$9)),$G$9-SQRT((1-S814)*($G$9-$E$9)*($G$9-$F$9))))</f>
        <v>1.02199881283706</v>
      </c>
      <c r="F814" s="51" t="n">
        <f aca="false">1+IF($G$10=$E$10,$F$10,IF(T814&lt;($F$10-$E$10)/($G$10-$E$10),$E$10+SQRT(T814*($G$10-$E$10)*($F$10-$E$10)),$G$10-SQRT((1-T814)*($G$10-$E$10)*($G$10-$F$10))))</f>
        <v>0.991910479873701</v>
      </c>
      <c r="G814" s="52" t="n">
        <f aca="false">IF($G$11=$E$11,$F$11,IF(U814&lt;($F$11-$E$11)/($G$11-$E$11),$E$11+SQRT(U814*($G$11-$E$11)*($F$11-$E$11)),$G$11-SQRT((1-U814)*($G$11-$E$11)*($G$11-$F$11))))</f>
        <v>0.0979279807584854</v>
      </c>
      <c r="H814" s="53" t="n">
        <f aca="false">(('Business Case'!B11*$C814*'Business Case'!B12*$B814)-'Business Case'!B11*$C814*'Business Case'!B13*$D814-'Business Case'!B14*$E814)-MAX(0,(('Business Case'!B11*$C814*'Business Case'!B12*$B814)-'Business Case'!B11*$C814*'Business Case'!B13*$D814-'Business Case'!B14*$E814))*'Business Case'!$B$7-'Business Case'!$B$8*('Business Case'!B11*$C814*'Business Case'!B12*$B814)-'Business Case'!B15*$F814</f>
        <v>-1983820959.7474</v>
      </c>
      <c r="I814" s="53" t="n">
        <f aca="false">(('Business Case'!C11*$C814*'Business Case'!C12*$B814)-'Business Case'!C11*$C814*'Business Case'!C13*$D814-'Business Case'!C14*$E814)-MAX(0,(('Business Case'!C11*$C814*'Business Case'!C12*$B814)-'Business Case'!C11*$C814*'Business Case'!C13*$D814-'Business Case'!C14*$E814))*'Business Case'!$B$7-'Business Case'!$B$8*(('Business Case'!C11*$C814*'Business Case'!C12*$B814)-('Business Case'!B11*$C814*'Business Case'!B12*$B814))-'Business Case'!C15*$F814</f>
        <v>-19637236.8829546</v>
      </c>
      <c r="J814" s="53" t="n">
        <f aca="false">(('Business Case'!D11*$C814*'Business Case'!D12*$B814)-'Business Case'!D11*$C814*'Business Case'!D13*$D814-'Business Case'!D14*$E814)-MAX(0,(('Business Case'!D11*$C814*'Business Case'!D12*$B814)-'Business Case'!D11*$C814*'Business Case'!D13*$D814-'Business Case'!D14*$E814))*'Business Case'!$B$7-'Business Case'!$B$8*(('Business Case'!D11*$C814*'Business Case'!D12*$B814)-('Business Case'!C11*$C814*'Business Case'!C12*$B814))-'Business Case'!D15*$F814</f>
        <v>250461876.439454</v>
      </c>
      <c r="K814" s="53" t="n">
        <f aca="false">(('Business Case'!E11*$C814*'Business Case'!E12*$B814)-'Business Case'!E11*$C814*'Business Case'!E13*$D814-'Business Case'!E14*$E814)-MAX(0,(('Business Case'!E11*$C814*'Business Case'!E12*$B814)-'Business Case'!E11*$C814*'Business Case'!E13*$D814-'Business Case'!E14*$E814))*'Business Case'!$B$7-'Business Case'!$B$8*(('Business Case'!E11*$C814*'Business Case'!E12*$B814)-('Business Case'!D11*$C814*'Business Case'!D12*$B814))-'Business Case'!E15*$F814</f>
        <v>570156513.755547</v>
      </c>
      <c r="L814" s="53" t="n">
        <f aca="false">(('Business Case'!F11*$C814*'Business Case'!F12*$B814)-'Business Case'!F11*$C814*'Business Case'!F13*$D814-'Business Case'!F14*$E814)-MAX(0,(('Business Case'!F11*$C814*'Business Case'!F12*$B814)-'Business Case'!F11*$C814*'Business Case'!F13*$D814-'Business Case'!F14*$E814))*'Business Case'!$B$7-'Business Case'!$B$8*(('Business Case'!F11*$C814*'Business Case'!F12*$B814)-('Business Case'!E11*$C814*'Business Case'!E12*$B814))-'Business Case'!F15*$F814</f>
        <v>690334265.551391</v>
      </c>
      <c r="M814" s="53" t="n">
        <f aca="false">(('Business Case'!G11*$C814*'Business Case'!G12*$B814)-'Business Case'!G11*$C814*'Business Case'!G13*$D814-'Business Case'!G14*$E814)-MAX(0,(('Business Case'!G11*$C814*'Business Case'!G12*$B814)-'Business Case'!G11*$C814*'Business Case'!G13*$D814-'Business Case'!G14*$E814))*'Business Case'!$B$7-'Business Case'!$B$8*(('Business Case'!G11*$C814*'Business Case'!G12*$B814)-('Business Case'!F11*$C814*'Business Case'!F12*$B814))-'Business Case'!G15*$F814+'Business Case'!$B$8*('Business Case'!G11*$C814*'Business Case'!G12*$B814)</f>
        <v>856130192.670787</v>
      </c>
      <c r="N814" s="53" t="n">
        <f aca="false">IF(COUNT('Business Case'!B11:G11)=0,"",H814+NPV(G814,I814:M814))</f>
        <v>-351432944.155471</v>
      </c>
      <c r="P814" s="54" t="n">
        <f aca="true">RAND()</f>
        <v>0.90583140264605</v>
      </c>
      <c r="Q814" s="54" t="n">
        <f aca="true">RAND()</f>
        <v>0.0451176253942182</v>
      </c>
      <c r="R814" s="54" t="n">
        <f aca="true">RAND()</f>
        <v>0.5779442665312</v>
      </c>
      <c r="S814" s="54" t="n">
        <f aca="true">RAND()</f>
        <v>0.594387653411488</v>
      </c>
      <c r="T814" s="54" t="n">
        <f aca="true">RAND()</f>
        <v>0.14051906585951</v>
      </c>
      <c r="U814" s="54" t="n">
        <f aca="true">RAND()</f>
        <v>0.209509596356382</v>
      </c>
    </row>
    <row r="815" customFormat="false" ht="15" hidden="false" customHeight="false" outlineLevel="0" collapsed="false">
      <c r="A815" s="50" t="n">
        <v>735</v>
      </c>
      <c r="B815" s="51" t="n">
        <f aca="false">1+IF($G$6=$E$6,$F$6,IF(P815&lt;($F$6-$E$6)/($G$6-$E$6),$E$6+SQRT(P815*($G$6-$E$6)*($F$6-$E$6)),$G$6-SQRT((1-P815)*($G$6-$E$6)*($G$6-$F$6))))</f>
        <v>1.01993054600338</v>
      </c>
      <c r="C815" s="51" t="n">
        <f aca="false">1+IF($G$7=$E$7,$F$7,IF(Q815&lt;($F$7-$E$7)/($G$7-$E$7),$E$7+SQRT(Q815*($G$7-$E$7)*($F$7-$E$7)),$G$7-SQRT((1-Q815)*($G$7-$E$7)*($G$7-$F$7))))</f>
        <v>1.02826250169421</v>
      </c>
      <c r="D815" s="51" t="n">
        <f aca="false">1+IF($G$8=$E$8,$F$8,IF(R815&lt;($F$8-$E$8)/($G$8-$E$8),$E$8+SQRT(R815*($G$8-$E$8)*($F$8-$E$8)),$G$8-SQRT((1-R815)*($G$8-$E$8)*($G$8-$F$8))))</f>
        <v>1.00904050934643</v>
      </c>
      <c r="E815" s="51" t="n">
        <f aca="false">1+IF($G$9=$E$9,$F$9,IF(S815&lt;($F$9-$E$9)/($G$9-$E$9),$E$9+SQRT(S815*($G$9-$E$9)*($F$9-$E$9)),$G$9-SQRT((1-S815)*($G$9-$E$9)*($G$9-$F$9))))</f>
        <v>1.05679223335651</v>
      </c>
      <c r="F815" s="51" t="n">
        <f aca="false">1+IF($G$10=$E$10,$F$10,IF(T815&lt;($F$10-$E$10)/($G$10-$E$10),$E$10+SQRT(T815*($G$10-$E$10)*($F$10-$E$10)),$G$10-SQRT((1-T815)*($G$10-$E$10)*($G$10-$F$10))))</f>
        <v>1.02563282047648</v>
      </c>
      <c r="G815" s="52" t="n">
        <f aca="false">IF($G$11=$E$11,$F$11,IF(U815&lt;($F$11-$E$11)/($G$11-$E$11),$E$11+SQRT(U815*($G$11-$E$11)*($F$11-$E$11)),$G$11-SQRT((1-U815)*($G$11-$E$11)*($G$11-$F$11))))</f>
        <v>0.107493955604122</v>
      </c>
      <c r="H815" s="53" t="n">
        <f aca="false">(('Business Case'!B11*$C815*'Business Case'!B12*$B815)-'Business Case'!B11*$C815*'Business Case'!B13*$D815-'Business Case'!B14*$E815)-MAX(0,(('Business Case'!B11*$C815*'Business Case'!B12*$B815)-'Business Case'!B11*$C815*'Business Case'!B13*$D815-'Business Case'!B14*$E815))*'Business Case'!$B$7-'Business Case'!$B$8*('Business Case'!B11*$C815*'Business Case'!B12*$B815)-'Business Case'!B15*$F815</f>
        <v>-2051265640.95296</v>
      </c>
      <c r="I815" s="53" t="n">
        <f aca="false">(('Business Case'!C11*$C815*'Business Case'!C12*$B815)-'Business Case'!C11*$C815*'Business Case'!C13*$D815-'Business Case'!C14*$E815)-MAX(0,(('Business Case'!C11*$C815*'Business Case'!C12*$B815)-'Business Case'!C11*$C815*'Business Case'!C13*$D815-'Business Case'!C14*$E815))*'Business Case'!$B$7-'Business Case'!$B$8*(('Business Case'!C11*$C815*'Business Case'!C12*$B815)-('Business Case'!B11*$C815*'Business Case'!B12*$B815))-'Business Case'!C15*$F815</f>
        <v>20653325.8553325</v>
      </c>
      <c r="J815" s="53" t="n">
        <f aca="false">(('Business Case'!D11*$C815*'Business Case'!D12*$B815)-'Business Case'!D11*$C815*'Business Case'!D13*$D815-'Business Case'!D14*$E815)-MAX(0,(('Business Case'!D11*$C815*'Business Case'!D12*$B815)-'Business Case'!D11*$C815*'Business Case'!D13*$D815-'Business Case'!D14*$E815))*'Business Case'!$B$7-'Business Case'!$B$8*(('Business Case'!D11*$C815*'Business Case'!D12*$B815)-('Business Case'!C11*$C815*'Business Case'!C12*$B815))-'Business Case'!D15*$F815</f>
        <v>348513317.737008</v>
      </c>
      <c r="K815" s="53" t="n">
        <f aca="false">(('Business Case'!E11*$C815*'Business Case'!E12*$B815)-'Business Case'!E11*$C815*'Business Case'!E13*$D815-'Business Case'!E14*$E815)-MAX(0,(('Business Case'!E11*$C815*'Business Case'!E12*$B815)-'Business Case'!E11*$C815*'Business Case'!E13*$D815-'Business Case'!E14*$E815))*'Business Case'!$B$7-'Business Case'!$B$8*(('Business Case'!E11*$C815*'Business Case'!E12*$B815)-('Business Case'!D11*$C815*'Business Case'!D12*$B815))-'Business Case'!E15*$F815</f>
        <v>727654950.642507</v>
      </c>
      <c r="L815" s="53" t="n">
        <f aca="false">(('Business Case'!F11*$C815*'Business Case'!F12*$B815)-'Business Case'!F11*$C815*'Business Case'!F13*$D815-'Business Case'!F14*$E815)-MAX(0,(('Business Case'!F11*$C815*'Business Case'!F12*$B815)-'Business Case'!F11*$C815*'Business Case'!F13*$D815-'Business Case'!F14*$E815))*'Business Case'!$B$7-'Business Case'!$B$8*(('Business Case'!F11*$C815*'Business Case'!F12*$B815)-('Business Case'!E11*$C815*'Business Case'!E12*$B815))-'Business Case'!F15*$F815</f>
        <v>873186633.533331</v>
      </c>
      <c r="M815" s="53" t="n">
        <f aca="false">(('Business Case'!G11*$C815*'Business Case'!G12*$B815)-'Business Case'!G11*$C815*'Business Case'!G13*$D815-'Business Case'!G14*$E815)-MAX(0,(('Business Case'!G11*$C815*'Business Case'!G12*$B815)-'Business Case'!G11*$C815*'Business Case'!G13*$D815-'Business Case'!G14*$E815))*'Business Case'!$B$7-'Business Case'!$B$8*(('Business Case'!G11*$C815*'Business Case'!G12*$B815)-('Business Case'!F11*$C815*'Business Case'!F12*$B815))-'Business Case'!G15*$F815+'Business Case'!$B$8*('Business Case'!G11*$C815*'Business Case'!G12*$B815)</f>
        <v>1072534237.64979</v>
      </c>
      <c r="N815" s="53" t="n">
        <f aca="false">IF(COUNT('Business Case'!B11:G11)=0,"",H815+NPV(G815,I815:M815))</f>
        <v>11350755.4925759</v>
      </c>
      <c r="P815" s="54" t="n">
        <f aca="true">RAND()</f>
        <v>0.916086878391173</v>
      </c>
      <c r="Q815" s="54" t="n">
        <f aca="true">RAND()</f>
        <v>0.717713933452333</v>
      </c>
      <c r="R815" s="54" t="n">
        <f aca="true">RAND()</f>
        <v>0.515841412133261</v>
      </c>
      <c r="S815" s="54" t="n">
        <f aca="true">RAND()</f>
        <v>0.875539260112136</v>
      </c>
      <c r="T815" s="54" t="n">
        <f aca="true">RAND()</f>
        <v>0.391921734100249</v>
      </c>
      <c r="U815" s="54" t="n">
        <f aca="true">RAND()</f>
        <v>0.739331422613868</v>
      </c>
    </row>
    <row r="816" customFormat="false" ht="15" hidden="false" customHeight="false" outlineLevel="0" collapsed="false">
      <c r="A816" s="50" t="n">
        <v>736</v>
      </c>
      <c r="B816" s="51" t="n">
        <f aca="false">1+IF($G$6=$E$6,$F$6,IF(P816&lt;($F$6-$E$6)/($G$6-$E$6),$E$6+SQRT(P816*($G$6-$E$6)*($F$6-$E$6)),$G$6-SQRT((1-P816)*($G$6-$E$6)*($G$6-$F$6))))</f>
        <v>0.956038994456355</v>
      </c>
      <c r="C816" s="51" t="n">
        <f aca="false">1+IF($G$7=$E$7,$F$7,IF(Q816&lt;($F$7-$E$7)/($G$7-$E$7),$E$7+SQRT(Q816*($G$7-$E$7)*($F$7-$E$7)),$G$7-SQRT((1-Q816)*($G$7-$E$7)*($G$7-$F$7))))</f>
        <v>1.02339698458486</v>
      </c>
      <c r="D816" s="51" t="n">
        <f aca="false">1+IF($G$8=$E$8,$F$8,IF(R816&lt;($F$8-$E$8)/($G$8-$E$8),$E$8+SQRT(R816*($G$8-$E$8)*($F$8-$E$8)),$G$8-SQRT((1-R816)*($G$8-$E$8)*($G$8-$F$8))))</f>
        <v>0.987163752349932</v>
      </c>
      <c r="E816" s="51" t="n">
        <f aca="false">1+IF($G$9=$E$9,$F$9,IF(S816&lt;($F$9-$E$9)/($G$9-$E$9),$E$9+SQRT(S816*($G$9-$E$9)*($F$9-$E$9)),$G$9-SQRT((1-S816)*($G$9-$E$9)*($G$9-$F$9))))</f>
        <v>1.01946978366216</v>
      </c>
      <c r="F816" s="51" t="n">
        <f aca="false">1+IF($G$10=$E$10,$F$10,IF(T816&lt;($F$10-$E$10)/($G$10-$E$10),$E$10+SQRT(T816*($G$10-$E$10)*($F$10-$E$10)),$G$10-SQRT((1-T816)*($G$10-$E$10)*($G$10-$F$10))))</f>
        <v>0.978876065433429</v>
      </c>
      <c r="G816" s="52" t="n">
        <f aca="false">IF($G$11=$E$11,$F$11,IF(U816&lt;($F$11-$E$11)/($G$11-$E$11),$E$11+SQRT(U816*($G$11-$E$11)*($F$11-$E$11)),$G$11-SQRT((1-U816)*($G$11-$E$11)*($G$11-$F$11))))</f>
        <v>0.108475321590999</v>
      </c>
      <c r="H816" s="53" t="n">
        <f aca="false">(('Business Case'!B11*$C816*'Business Case'!B12*$B816)-'Business Case'!B11*$C816*'Business Case'!B13*$D816-'Business Case'!B14*$E816)-MAX(0,(('Business Case'!B11*$C816*'Business Case'!B12*$B816)-'Business Case'!B11*$C816*'Business Case'!B13*$D816-'Business Case'!B14*$E816))*'Business Case'!$B$7-'Business Case'!$B$8*('Business Case'!B11*$C816*'Business Case'!B12*$B816)-'Business Case'!B15*$F816</f>
        <v>-1957752130.86686</v>
      </c>
      <c r="I816" s="53" t="n">
        <f aca="false">(('Business Case'!C11*$C816*'Business Case'!C12*$B816)-'Business Case'!C11*$C816*'Business Case'!C13*$D816-'Business Case'!C14*$E816)-MAX(0,(('Business Case'!C11*$C816*'Business Case'!C12*$B816)-'Business Case'!C11*$C816*'Business Case'!C13*$D816-'Business Case'!C14*$E816))*'Business Case'!$B$7-'Business Case'!$B$8*(('Business Case'!C11*$C816*'Business Case'!C12*$B816)-('Business Case'!B11*$C816*'Business Case'!B12*$B816))-'Business Case'!C15*$F816</f>
        <v>-9363232.77431689</v>
      </c>
      <c r="J816" s="53" t="n">
        <f aca="false">(('Business Case'!D11*$C816*'Business Case'!D12*$B816)-'Business Case'!D11*$C816*'Business Case'!D13*$D816-'Business Case'!D14*$E816)-MAX(0,(('Business Case'!D11*$C816*'Business Case'!D12*$B816)-'Business Case'!D11*$C816*'Business Case'!D13*$D816-'Business Case'!D14*$E816))*'Business Case'!$B$7-'Business Case'!$B$8*(('Business Case'!D11*$C816*'Business Case'!D12*$B816)-('Business Case'!C11*$C816*'Business Case'!C12*$B816))-'Business Case'!D15*$F816</f>
        <v>274850385.095369</v>
      </c>
      <c r="K816" s="53" t="n">
        <f aca="false">(('Business Case'!E11*$C816*'Business Case'!E12*$B816)-'Business Case'!E11*$C816*'Business Case'!E13*$D816-'Business Case'!E14*$E816)-MAX(0,(('Business Case'!E11*$C816*'Business Case'!E12*$B816)-'Business Case'!E11*$C816*'Business Case'!E13*$D816-'Business Case'!E14*$E816))*'Business Case'!$B$7-'Business Case'!$B$8*(('Business Case'!E11*$C816*'Business Case'!E12*$B816)-('Business Case'!D11*$C816*'Business Case'!D12*$B816))-'Business Case'!E15*$F816</f>
        <v>608007806.236727</v>
      </c>
      <c r="L816" s="53" t="n">
        <f aca="false">(('Business Case'!F11*$C816*'Business Case'!F12*$B816)-'Business Case'!F11*$C816*'Business Case'!F13*$D816-'Business Case'!F14*$E816)-MAX(0,(('Business Case'!F11*$C816*'Business Case'!F12*$B816)-'Business Case'!F11*$C816*'Business Case'!F13*$D816-'Business Case'!F14*$E816))*'Business Case'!$B$7-'Business Case'!$B$8*(('Business Case'!F11*$C816*'Business Case'!F12*$B816)-('Business Case'!E11*$C816*'Business Case'!E12*$B816))-'Business Case'!F15*$F816</f>
        <v>736559439.43589</v>
      </c>
      <c r="M816" s="53" t="n">
        <f aca="false">(('Business Case'!G11*$C816*'Business Case'!G12*$B816)-'Business Case'!G11*$C816*'Business Case'!G13*$D816-'Business Case'!G14*$E816)-MAX(0,(('Business Case'!G11*$C816*'Business Case'!G12*$B816)-'Business Case'!G11*$C816*'Business Case'!G13*$D816-'Business Case'!G14*$E816))*'Business Case'!$B$7-'Business Case'!$B$8*(('Business Case'!G11*$C816*'Business Case'!G12*$B816)-('Business Case'!F11*$C816*'Business Case'!F12*$B816))-'Business Case'!G15*$F816+'Business Case'!$B$8*('Business Case'!G11*$C816*'Business Case'!G12*$B816)</f>
        <v>922535122.60353</v>
      </c>
      <c r="N816" s="53" t="n">
        <f aca="false">IF(COUNT('Business Case'!B11:G11)=0,"",H816+NPV(G816,I816:M816))</f>
        <v>-256978372.565505</v>
      </c>
      <c r="P816" s="54" t="n">
        <f aca="true">RAND()</f>
        <v>0.13529261681512</v>
      </c>
      <c r="Q816" s="54" t="n">
        <f aca="true">RAND()</f>
        <v>0.694698599767517</v>
      </c>
      <c r="R816" s="54" t="n">
        <f aca="true">RAND()</f>
        <v>0.212483767496475</v>
      </c>
      <c r="S816" s="54" t="n">
        <f aca="true">RAND()</f>
        <v>0.56765895043867</v>
      </c>
      <c r="T816" s="54" t="n">
        <f aca="true">RAND()</f>
        <v>0.0667061723932543</v>
      </c>
      <c r="U816" s="54" t="n">
        <f aca="true">RAND()</f>
        <v>0.778636312615159</v>
      </c>
    </row>
    <row r="817" customFormat="false" ht="15" hidden="false" customHeight="false" outlineLevel="0" collapsed="false">
      <c r="A817" s="50" t="n">
        <v>737</v>
      </c>
      <c r="B817" s="51" t="n">
        <f aca="false">1+IF($G$6=$E$6,$F$6,IF(P817&lt;($F$6-$E$6)/($G$6-$E$6),$E$6+SQRT(P817*($G$6-$E$6)*($F$6-$E$6)),$G$6-SQRT((1-P817)*($G$6-$E$6)*($G$6-$F$6))))</f>
        <v>0.999184093351813</v>
      </c>
      <c r="C817" s="51" t="n">
        <f aca="false">1+IF($G$7=$E$7,$F$7,IF(Q817&lt;($F$7-$E$7)/($G$7-$E$7),$E$7+SQRT(Q817*($G$7-$E$7)*($F$7-$E$7)),$G$7-SQRT((1-Q817)*($G$7-$E$7)*($G$7-$F$7))))</f>
        <v>1.00503169548032</v>
      </c>
      <c r="D817" s="51" t="n">
        <f aca="false">1+IF($G$8=$E$8,$F$8,IF(R817&lt;($F$8-$E$8)/($G$8-$E$8),$E$8+SQRT(R817*($G$8-$E$8)*($F$8-$E$8)),$G$8-SQRT((1-R817)*($G$8-$E$8)*($G$8-$F$8))))</f>
        <v>1.01495896865168</v>
      </c>
      <c r="E817" s="51" t="n">
        <f aca="false">1+IF($G$9=$E$9,$F$9,IF(S817&lt;($F$9-$E$9)/($G$9-$E$9),$E$9+SQRT(S817*($G$9-$E$9)*($F$9-$E$9)),$G$9-SQRT((1-S817)*($G$9-$E$9)*($G$9-$F$9))))</f>
        <v>0.979813625789721</v>
      </c>
      <c r="F817" s="51" t="n">
        <f aca="false">1+IF($G$10=$E$10,$F$10,IF(T817&lt;($F$10-$E$10)/($G$10-$E$10),$E$10+SQRT(T817*($G$10-$E$10)*($F$10-$E$10)),$G$10-SQRT((1-T817)*($G$10-$E$10)*($G$10-$F$10))))</f>
        <v>1.15452065657862</v>
      </c>
      <c r="G817" s="52" t="n">
        <f aca="false">IF($G$11=$E$11,$F$11,IF(U817&lt;($F$11-$E$11)/($G$11-$E$11),$E$11+SQRT(U817*($G$11-$E$11)*($F$11-$E$11)),$G$11-SQRT((1-U817)*($G$11-$E$11)*($G$11-$F$11))))</f>
        <v>0.106949516982987</v>
      </c>
      <c r="H817" s="53" t="n">
        <f aca="false">(('Business Case'!B11*$C817*'Business Case'!B12*$B817)-'Business Case'!B11*$C817*'Business Case'!B13*$D817-'Business Case'!B14*$E817)-MAX(0,(('Business Case'!B11*$C817*'Business Case'!B12*$B817)-'Business Case'!B11*$C817*'Business Case'!B13*$D817-'Business Case'!B14*$E817))*'Business Case'!$B$7-'Business Case'!$B$8*('Business Case'!B11*$C817*'Business Case'!B12*$B817)-'Business Case'!B15*$F817</f>
        <v>-2309041313.15723</v>
      </c>
      <c r="I817" s="53" t="n">
        <f aca="false">(('Business Case'!C11*$C817*'Business Case'!C12*$B817)-'Business Case'!C11*$C817*'Business Case'!C13*$D817-'Business Case'!C14*$E817)-MAX(0,(('Business Case'!C11*$C817*'Business Case'!C12*$B817)-'Business Case'!C11*$C817*'Business Case'!C13*$D817-'Business Case'!C14*$E817))*'Business Case'!$B$7-'Business Case'!$B$8*(('Business Case'!C11*$C817*'Business Case'!C12*$B817)-('Business Case'!B11*$C817*'Business Case'!B12*$B817))-'Business Case'!C15*$F817</f>
        <v>-6510377.41350776</v>
      </c>
      <c r="J817" s="53" t="n">
        <f aca="false">(('Business Case'!D11*$C817*'Business Case'!D12*$B817)-'Business Case'!D11*$C817*'Business Case'!D13*$D817-'Business Case'!D14*$E817)-MAX(0,(('Business Case'!D11*$C817*'Business Case'!D12*$B817)-'Business Case'!D11*$C817*'Business Case'!D13*$D817-'Business Case'!D14*$E817))*'Business Case'!$B$7-'Business Case'!$B$8*(('Business Case'!D11*$C817*'Business Case'!D12*$B817)-('Business Case'!C11*$C817*'Business Case'!C12*$B817))-'Business Case'!D15*$F817</f>
        <v>293819142.087588</v>
      </c>
      <c r="K817" s="53" t="n">
        <f aca="false">(('Business Case'!E11*$C817*'Business Case'!E12*$B817)-'Business Case'!E11*$C817*'Business Case'!E13*$D817-'Business Case'!E14*$E817)-MAX(0,(('Business Case'!E11*$C817*'Business Case'!E12*$B817)-'Business Case'!E11*$C817*'Business Case'!E13*$D817-'Business Case'!E14*$E817))*'Business Case'!$B$7-'Business Case'!$B$8*(('Business Case'!E11*$C817*'Business Case'!E12*$B817)-('Business Case'!D11*$C817*'Business Case'!D12*$B817))-'Business Case'!E15*$F817</f>
        <v>651874694.417614</v>
      </c>
      <c r="L817" s="53" t="n">
        <f aca="false">(('Business Case'!F11*$C817*'Business Case'!F12*$B817)-'Business Case'!F11*$C817*'Business Case'!F13*$D817-'Business Case'!F14*$E817)-MAX(0,(('Business Case'!F11*$C817*'Business Case'!F12*$B817)-'Business Case'!F11*$C817*'Business Case'!F13*$D817-'Business Case'!F14*$E817))*'Business Case'!$B$7-'Business Case'!$B$8*(('Business Case'!F11*$C817*'Business Case'!F12*$B817)-('Business Case'!E11*$C817*'Business Case'!E12*$B817))-'Business Case'!F15*$F817</f>
        <v>786690090.030942</v>
      </c>
      <c r="M817" s="53" t="n">
        <f aca="false">(('Business Case'!G11*$C817*'Business Case'!G12*$B817)-'Business Case'!G11*$C817*'Business Case'!G13*$D817-'Business Case'!G14*$E817)-MAX(0,(('Business Case'!G11*$C817*'Business Case'!G12*$B817)-'Business Case'!G11*$C817*'Business Case'!G13*$D817-'Business Case'!G14*$E817))*'Business Case'!$B$7-'Business Case'!$B$8*(('Business Case'!G11*$C817*'Business Case'!G12*$B817)-('Business Case'!F11*$C817*'Business Case'!F12*$B817))-'Business Case'!G15*$F817+'Business Case'!$B$8*('Business Case'!G11*$C817*'Business Case'!G12*$B817)</f>
        <v>977570646.818902</v>
      </c>
      <c r="N817" s="53" t="n">
        <f aca="false">IF(COUNT('Business Case'!B11:G11)=0,"",H817+NPV(G817,I817:M817))</f>
        <v>-482408237.33336</v>
      </c>
      <c r="P817" s="54" t="n">
        <f aca="true">RAND()</f>
        <v>0.653137566661318</v>
      </c>
      <c r="Q817" s="54" t="n">
        <f aca="true">RAND()</f>
        <v>0.59969887018457</v>
      </c>
      <c r="R817" s="54" t="n">
        <f aca="true">RAND()</f>
        <v>0.593236946264117</v>
      </c>
      <c r="S817" s="54" t="n">
        <f aca="true">RAND()</f>
        <v>0.118513637697268</v>
      </c>
      <c r="T817" s="54" t="n">
        <f aca="true">RAND()</f>
        <v>0.958632586439195</v>
      </c>
      <c r="U817" s="54" t="n">
        <f aca="true">RAND()</f>
        <v>0.716141488371083</v>
      </c>
    </row>
    <row r="818" customFormat="false" ht="15" hidden="false" customHeight="false" outlineLevel="0" collapsed="false">
      <c r="A818" s="50" t="n">
        <v>738</v>
      </c>
      <c r="B818" s="51" t="n">
        <f aca="false">1+IF($G$6=$E$6,$F$6,IF(P818&lt;($F$6-$E$6)/($G$6-$E$6),$E$6+SQRT(P818*($G$6-$E$6)*($F$6-$E$6)),$G$6-SQRT((1-P818)*($G$6-$E$6)*($G$6-$F$6))))</f>
        <v>0.938114003559734</v>
      </c>
      <c r="C818" s="51" t="n">
        <f aca="false">1+IF($G$7=$E$7,$F$7,IF(Q818&lt;($F$7-$E$7)/($G$7-$E$7),$E$7+SQRT(Q818*($G$7-$E$7)*($F$7-$E$7)),$G$7-SQRT((1-Q818)*($G$7-$E$7)*($G$7-$F$7))))</f>
        <v>0.939722728208974</v>
      </c>
      <c r="D818" s="51" t="n">
        <f aca="false">1+IF($G$8=$E$8,$F$8,IF(R818&lt;($F$8-$E$8)/($G$8-$E$8),$E$8+SQRT(R818*($G$8-$E$8)*($F$8-$E$8)),$G$8-SQRT((1-R818)*($G$8-$E$8)*($G$8-$F$8))))</f>
        <v>1.00414486100209</v>
      </c>
      <c r="E818" s="51" t="n">
        <f aca="false">1+IF($G$9=$E$9,$F$9,IF(S818&lt;($F$9-$E$9)/($G$9-$E$9),$E$9+SQRT(S818*($G$9-$E$9)*($F$9-$E$9)),$G$9-SQRT((1-S818)*($G$9-$E$9)*($G$9-$F$9))))</f>
        <v>1.02478210998366</v>
      </c>
      <c r="F818" s="51" t="n">
        <f aca="false">1+IF($G$10=$E$10,$F$10,IF(T818&lt;($F$10-$E$10)/($G$10-$E$10),$E$10+SQRT(T818*($G$10-$E$10)*($F$10-$E$10)),$G$10-SQRT((1-T818)*($G$10-$E$10)*($G$10-$F$10))))</f>
        <v>1.01848764875338</v>
      </c>
      <c r="G818" s="52" t="n">
        <f aca="false">IF($G$11=$E$11,$F$11,IF(U818&lt;($F$11-$E$11)/($G$11-$E$11),$E$11+SQRT(U818*($G$11-$E$11)*($F$11-$E$11)),$G$11-SQRT((1-U818)*($G$11-$E$11)*($G$11-$F$11))))</f>
        <v>0.106113173761052</v>
      </c>
      <c r="H818" s="53" t="n">
        <f aca="false">(('Business Case'!B11*$C818*'Business Case'!B12*$B818)-'Business Case'!B11*$C818*'Business Case'!B13*$D818-'Business Case'!B14*$E818)-MAX(0,(('Business Case'!B11*$C818*'Business Case'!B12*$B818)-'Business Case'!B11*$C818*'Business Case'!B13*$D818-'Business Case'!B14*$E818))*'Business Case'!$B$7-'Business Case'!$B$8*('Business Case'!B11*$C818*'Business Case'!B12*$B818)-'Business Case'!B15*$F818</f>
        <v>-2036975297.50677</v>
      </c>
      <c r="I818" s="53" t="n">
        <f aca="false">(('Business Case'!C11*$C818*'Business Case'!C12*$B818)-'Business Case'!C11*$C818*'Business Case'!C13*$D818-'Business Case'!C14*$E818)-MAX(0,(('Business Case'!C11*$C818*'Business Case'!C12*$B818)-'Business Case'!C11*$C818*'Business Case'!C13*$D818-'Business Case'!C14*$E818))*'Business Case'!$B$7-'Business Case'!$B$8*(('Business Case'!C11*$C818*'Business Case'!C12*$B818)-('Business Case'!B11*$C818*'Business Case'!B12*$B818))-'Business Case'!C15*$F818</f>
        <v>-54263127.1072108</v>
      </c>
      <c r="J818" s="53" t="n">
        <f aca="false">(('Business Case'!D11*$C818*'Business Case'!D12*$B818)-'Business Case'!D11*$C818*'Business Case'!D13*$D818-'Business Case'!D14*$E818)-MAX(0,(('Business Case'!D11*$C818*'Business Case'!D12*$B818)-'Business Case'!D11*$C818*'Business Case'!D13*$D818-'Business Case'!D14*$E818))*'Business Case'!$B$7-'Business Case'!$B$8*(('Business Case'!D11*$C818*'Business Case'!D12*$B818)-('Business Case'!C11*$C818*'Business Case'!C12*$B818))-'Business Case'!D15*$F818</f>
        <v>184746962.613868</v>
      </c>
      <c r="K818" s="53" t="n">
        <f aca="false">(('Business Case'!E11*$C818*'Business Case'!E12*$B818)-'Business Case'!E11*$C818*'Business Case'!E13*$D818-'Business Case'!E14*$E818)-MAX(0,(('Business Case'!E11*$C818*'Business Case'!E12*$B818)-'Business Case'!E11*$C818*'Business Case'!E13*$D818-'Business Case'!E14*$E818))*'Business Case'!$B$7-'Business Case'!$B$8*(('Business Case'!E11*$C818*'Business Case'!E12*$B818)-('Business Case'!D11*$C818*'Business Case'!D12*$B818))-'Business Case'!E15*$F818</f>
        <v>474681434.772616</v>
      </c>
      <c r="L818" s="53" t="n">
        <f aca="false">(('Business Case'!F11*$C818*'Business Case'!F12*$B818)-'Business Case'!F11*$C818*'Business Case'!F13*$D818-'Business Case'!F14*$E818)-MAX(0,(('Business Case'!F11*$C818*'Business Case'!F12*$B818)-'Business Case'!F11*$C818*'Business Case'!F13*$D818-'Business Case'!F14*$E818))*'Business Case'!$B$7-'Business Case'!$B$8*(('Business Case'!F11*$C818*'Business Case'!F12*$B818)-('Business Case'!E11*$C818*'Business Case'!E12*$B818))-'Business Case'!F15*$F818</f>
        <v>584818421.955159</v>
      </c>
      <c r="M818" s="53" t="n">
        <f aca="false">(('Business Case'!G11*$C818*'Business Case'!G12*$B818)-'Business Case'!G11*$C818*'Business Case'!G13*$D818-'Business Case'!G14*$E818)-MAX(0,(('Business Case'!G11*$C818*'Business Case'!G12*$B818)-'Business Case'!G11*$C818*'Business Case'!G13*$D818-'Business Case'!G14*$E818))*'Business Case'!$B$7-'Business Case'!$B$8*(('Business Case'!G11*$C818*'Business Case'!G12*$B818)-('Business Case'!F11*$C818*'Business Case'!F12*$B818))-'Business Case'!G15*$F818+'Business Case'!$B$8*('Business Case'!G11*$C818*'Business Case'!G12*$B818)</f>
        <v>752386686.9705</v>
      </c>
      <c r="N818" s="53" t="n">
        <f aca="false">IF(COUNT('Business Case'!B11:G11)=0,"",H818+NPV(G818,I818:M818))</f>
        <v>-739190978.831386</v>
      </c>
      <c r="P818" s="54" t="n">
        <f aca="true">RAND()</f>
        <v>0.0341788671835485</v>
      </c>
      <c r="Q818" s="54" t="n">
        <f aca="true">RAND()</f>
        <v>0.278892011116556</v>
      </c>
      <c r="R818" s="54" t="n">
        <f aca="true">RAND()</f>
        <v>0.446730566116133</v>
      </c>
      <c r="S818" s="54" t="n">
        <f aca="true">RAND()</f>
        <v>0.622817934765977</v>
      </c>
      <c r="T818" s="54" t="n">
        <f aca="true">RAND()</f>
        <v>0.341065326898503</v>
      </c>
      <c r="U818" s="54" t="n">
        <f aca="true">RAND()</f>
        <v>0.67859342834877</v>
      </c>
    </row>
    <row r="819" customFormat="false" ht="15" hidden="false" customHeight="false" outlineLevel="0" collapsed="false">
      <c r="A819" s="50" t="n">
        <v>739</v>
      </c>
      <c r="B819" s="51" t="n">
        <f aca="false">1+IF($G$6=$E$6,$F$6,IF(P819&lt;($F$6-$E$6)/($G$6-$E$6),$E$6+SQRT(P819*($G$6-$E$6)*($F$6-$E$6)),$G$6-SQRT((1-P819)*($G$6-$E$6)*($G$6-$F$6))))</f>
        <v>0.993140405694304</v>
      </c>
      <c r="C819" s="51" t="n">
        <f aca="false">1+IF($G$7=$E$7,$F$7,IF(Q819&lt;($F$7-$E$7)/($G$7-$E$7),$E$7+SQRT(Q819*($G$7-$E$7)*($F$7-$E$7)),$G$7-SQRT((1-Q819)*($G$7-$E$7)*($G$7-$F$7))))</f>
        <v>0.953522121517274</v>
      </c>
      <c r="D819" s="51" t="n">
        <f aca="false">1+IF($G$8=$E$8,$F$8,IF(R819&lt;($F$8-$E$8)/($G$8-$E$8),$E$8+SQRT(R819*($G$8-$E$8)*($F$8-$E$8)),$G$8-SQRT((1-R819)*($G$8-$E$8)*($G$8-$F$8))))</f>
        <v>1.01635458026151</v>
      </c>
      <c r="E819" s="51" t="n">
        <f aca="false">1+IF($G$9=$E$9,$F$9,IF(S819&lt;($F$9-$E$9)/($G$9-$E$9),$E$9+SQRT(S819*($G$9-$E$9)*($F$9-$E$9)),$G$9-SQRT((1-S819)*($G$9-$E$9)*($G$9-$F$9))))</f>
        <v>1.07816602090151</v>
      </c>
      <c r="F819" s="51" t="n">
        <f aca="false">1+IF($G$10=$E$10,$F$10,IF(T819&lt;($F$10-$E$10)/($G$10-$E$10),$E$10+SQRT(T819*($G$10-$E$10)*($F$10-$E$10)),$G$10-SQRT((1-T819)*($G$10-$E$10)*($G$10-$F$10))))</f>
        <v>1.09513107056006</v>
      </c>
      <c r="G819" s="52" t="n">
        <f aca="false">IF($G$11=$E$11,$F$11,IF(U819&lt;($F$11-$E$11)/($G$11-$E$11),$E$11+SQRT(U819*($G$11-$E$11)*($F$11-$E$11)),$G$11-SQRT((1-U819)*($G$11-$E$11)*($G$11-$F$11))))</f>
        <v>0.100656899870666</v>
      </c>
      <c r="H819" s="53" t="n">
        <f aca="false">(('Business Case'!B11*$C819*'Business Case'!B12*$B819)-'Business Case'!B11*$C819*'Business Case'!B13*$D819-'Business Case'!B14*$E819)-MAX(0,(('Business Case'!B11*$C819*'Business Case'!B12*$B819)-'Business Case'!B11*$C819*'Business Case'!B13*$D819-'Business Case'!B14*$E819))*'Business Case'!$B$7-'Business Case'!$B$8*('Business Case'!B11*$C819*'Business Case'!B12*$B819)-'Business Case'!B15*$F819</f>
        <v>-2190262141.12013</v>
      </c>
      <c r="I819" s="53" t="n">
        <f aca="false">(('Business Case'!C11*$C819*'Business Case'!C12*$B819)-'Business Case'!C11*$C819*'Business Case'!C13*$D819-'Business Case'!C14*$E819)-MAX(0,(('Business Case'!C11*$C819*'Business Case'!C12*$B819)-'Business Case'!C11*$C819*'Business Case'!C13*$D819-'Business Case'!C14*$E819))*'Business Case'!$B$7-'Business Case'!$B$8*(('Business Case'!C11*$C819*'Business Case'!C12*$B819)-('Business Case'!B11*$C819*'Business Case'!B12*$B819))-'Business Case'!C15*$F819</f>
        <v>-32384080.0852812</v>
      </c>
      <c r="J819" s="53" t="n">
        <f aca="false">(('Business Case'!D11*$C819*'Business Case'!D12*$B819)-'Business Case'!D11*$C819*'Business Case'!D13*$D819-'Business Case'!D14*$E819)-MAX(0,(('Business Case'!D11*$C819*'Business Case'!D12*$B819)-'Business Case'!D11*$C819*'Business Case'!D13*$D819-'Business Case'!D14*$E819))*'Business Case'!$B$7-'Business Case'!$B$8*(('Business Case'!D11*$C819*'Business Case'!D12*$B819)-('Business Case'!C11*$C819*'Business Case'!C12*$B819))-'Business Case'!D15*$F819</f>
        <v>247151668.065495</v>
      </c>
      <c r="K819" s="53" t="n">
        <f aca="false">(('Business Case'!E11*$C819*'Business Case'!E12*$B819)-'Business Case'!E11*$C819*'Business Case'!E13*$D819-'Business Case'!E14*$E819)-MAX(0,(('Business Case'!E11*$C819*'Business Case'!E12*$B819)-'Business Case'!E11*$C819*'Business Case'!E13*$D819-'Business Case'!E14*$E819))*'Business Case'!$B$7-'Business Case'!$B$8*(('Business Case'!E11*$C819*'Business Case'!E12*$B819)-('Business Case'!D11*$C819*'Business Case'!D12*$B819))-'Business Case'!E15*$F819</f>
        <v>581443969.744275</v>
      </c>
      <c r="L819" s="53" t="n">
        <f aca="false">(('Business Case'!F11*$C819*'Business Case'!F12*$B819)-'Business Case'!F11*$C819*'Business Case'!F13*$D819-'Business Case'!F14*$E819)-MAX(0,(('Business Case'!F11*$C819*'Business Case'!F12*$B819)-'Business Case'!F11*$C819*'Business Case'!F13*$D819-'Business Case'!F14*$E819))*'Business Case'!$B$7-'Business Case'!$B$8*(('Business Case'!F11*$C819*'Business Case'!F12*$B819)-('Business Case'!E11*$C819*'Business Case'!E12*$B819))-'Business Case'!F15*$F819</f>
        <v>707350227.799771</v>
      </c>
      <c r="M819" s="53" t="n">
        <f aca="false">(('Business Case'!G11*$C819*'Business Case'!G12*$B819)-'Business Case'!G11*$C819*'Business Case'!G13*$D819-'Business Case'!G14*$E819)-MAX(0,(('Business Case'!G11*$C819*'Business Case'!G12*$B819)-'Business Case'!G11*$C819*'Business Case'!G13*$D819-'Business Case'!G14*$E819))*'Business Case'!$B$7-'Business Case'!$B$8*(('Business Case'!G11*$C819*'Business Case'!G12*$B819)-('Business Case'!F11*$C819*'Business Case'!F12*$B819))-'Business Case'!G15*$F819+'Business Case'!$B$8*('Business Case'!G11*$C819*'Business Case'!G12*$B819)</f>
        <v>887352442.161909</v>
      </c>
      <c r="N819" s="53" t="n">
        <f aca="false">IF(COUNT('Business Case'!B11:G11)=0,"",H819+NPV(G819,I819:M819))</f>
        <v>-548293832.750516</v>
      </c>
      <c r="P819" s="54" t="n">
        <f aca="true">RAND()</f>
        <v>0.557241556784106</v>
      </c>
      <c r="Q819" s="54" t="n">
        <f aca="true">RAND()</f>
        <v>0.336700597073779</v>
      </c>
      <c r="R819" s="54" t="n">
        <f aca="true">RAND()</f>
        <v>0.610505821760721</v>
      </c>
      <c r="S819" s="54" t="n">
        <f aca="true">RAND()</f>
        <v>0.96821849044846</v>
      </c>
      <c r="T819" s="54" t="n">
        <f aca="true">RAND()</f>
        <v>0.780050152762428</v>
      </c>
      <c r="U819" s="54" t="n">
        <f aca="true">RAND()</f>
        <v>0.376407462310962</v>
      </c>
    </row>
    <row r="820" customFormat="false" ht="15" hidden="false" customHeight="false" outlineLevel="0" collapsed="false">
      <c r="A820" s="50" t="n">
        <v>740</v>
      </c>
      <c r="B820" s="51" t="n">
        <f aca="false">1+IF($G$6=$E$6,$F$6,IF(P820&lt;($F$6-$E$6)/($G$6-$E$6),$E$6+SQRT(P820*($G$6-$E$6)*($F$6-$E$6)),$G$6-SQRT((1-P820)*($G$6-$E$6)*($G$6-$F$6))))</f>
        <v>0.940167862004623</v>
      </c>
      <c r="C820" s="51" t="n">
        <f aca="false">1+IF($G$7=$E$7,$F$7,IF(Q820&lt;($F$7-$E$7)/($G$7-$E$7),$E$7+SQRT(Q820*($G$7-$E$7)*($F$7-$E$7)),$G$7-SQRT((1-Q820)*($G$7-$E$7)*($G$7-$F$7))))</f>
        <v>1.06741111334393</v>
      </c>
      <c r="D820" s="51" t="n">
        <f aca="false">1+IF($G$8=$E$8,$F$8,IF(R820&lt;($F$8-$E$8)/($G$8-$E$8),$E$8+SQRT(R820*($G$8-$E$8)*($F$8-$E$8)),$G$8-SQRT((1-R820)*($G$8-$E$8)*($G$8-$F$8))))</f>
        <v>0.996117335731245</v>
      </c>
      <c r="E820" s="51" t="n">
        <f aca="false">1+IF($G$9=$E$9,$F$9,IF(S820&lt;($F$9-$E$9)/($G$9-$E$9),$E$9+SQRT(S820*($G$9-$E$9)*($F$9-$E$9)),$G$9-SQRT((1-S820)*($G$9-$E$9)*($G$9-$F$9))))</f>
        <v>1.03603829995593</v>
      </c>
      <c r="F820" s="51" t="n">
        <f aca="false">1+IF($G$10=$E$10,$F$10,IF(T820&lt;($F$10-$E$10)/($G$10-$E$10),$E$10+SQRT(T820*($G$10-$E$10)*($F$10-$E$10)),$G$10-SQRT((1-T820)*($G$10-$E$10)*($G$10-$F$10))))</f>
        <v>1.12537978798498</v>
      </c>
      <c r="G820" s="52" t="n">
        <f aca="false">IF($G$11=$E$11,$F$11,IF(U820&lt;($F$11-$E$11)/($G$11-$E$11),$E$11+SQRT(U820*($G$11-$E$11)*($F$11-$E$11)),$G$11-SQRT((1-U820)*($G$11-$E$11)*($G$11-$F$11))))</f>
        <v>0.101651818245764</v>
      </c>
      <c r="H820" s="53" t="n">
        <f aca="false">(('Business Case'!B11*$C820*'Business Case'!B12*$B820)-'Business Case'!B11*$C820*'Business Case'!B13*$D820-'Business Case'!B14*$E820)-MAX(0,(('Business Case'!B11*$C820*'Business Case'!B12*$B820)-'Business Case'!B11*$C820*'Business Case'!B13*$D820-'Business Case'!B14*$E820))*'Business Case'!$B$7-'Business Case'!$B$8*('Business Case'!B11*$C820*'Business Case'!B12*$B820)-'Business Case'!B15*$F820</f>
        <v>-2250759575.96997</v>
      </c>
      <c r="I820" s="53" t="n">
        <f aca="false">(('Business Case'!C11*$C820*'Business Case'!C12*$B820)-'Business Case'!C11*$C820*'Business Case'!C13*$D820-'Business Case'!C14*$E820)-MAX(0,(('Business Case'!C11*$C820*'Business Case'!C12*$B820)-'Business Case'!C11*$C820*'Business Case'!C13*$D820-'Business Case'!C14*$E820))*'Business Case'!$B$7-'Business Case'!$B$8*(('Business Case'!C11*$C820*'Business Case'!C12*$B820)-('Business Case'!B11*$C820*'Business Case'!B12*$B820))-'Business Case'!C15*$F820</f>
        <v>-34217805.0318152</v>
      </c>
      <c r="J820" s="53" t="n">
        <f aca="false">(('Business Case'!D11*$C820*'Business Case'!D12*$B820)-'Business Case'!D11*$C820*'Business Case'!D13*$D820-'Business Case'!D14*$E820)-MAX(0,(('Business Case'!D11*$C820*'Business Case'!D12*$B820)-'Business Case'!D11*$C820*'Business Case'!D13*$D820-'Business Case'!D14*$E820))*'Business Case'!$B$7-'Business Case'!$B$8*(('Business Case'!D11*$C820*'Business Case'!D12*$B820)-('Business Case'!C11*$C820*'Business Case'!C12*$B820))-'Business Case'!D15*$F820</f>
        <v>243450820.152963</v>
      </c>
      <c r="K820" s="53" t="n">
        <f aca="false">(('Business Case'!E11*$C820*'Business Case'!E12*$B820)-'Business Case'!E11*$C820*'Business Case'!E13*$D820-'Business Case'!E14*$E820)-MAX(0,(('Business Case'!E11*$C820*'Business Case'!E12*$B820)-'Business Case'!E11*$C820*'Business Case'!E13*$D820-'Business Case'!E14*$E820))*'Business Case'!$B$7-'Business Case'!$B$8*(('Business Case'!E11*$C820*'Business Case'!E12*$B820)-('Business Case'!D11*$C820*'Business Case'!D12*$B820))-'Business Case'!E15*$F820</f>
        <v>577388434.736991</v>
      </c>
      <c r="L820" s="53" t="n">
        <f aca="false">(('Business Case'!F11*$C820*'Business Case'!F12*$B820)-'Business Case'!F11*$C820*'Business Case'!F13*$D820-'Business Case'!F14*$E820)-MAX(0,(('Business Case'!F11*$C820*'Business Case'!F12*$B820)-'Business Case'!F11*$C820*'Business Case'!F13*$D820-'Business Case'!F14*$E820))*'Business Case'!$B$7-'Business Case'!$B$8*(('Business Case'!F11*$C820*'Business Case'!F12*$B820)-('Business Case'!E11*$C820*'Business Case'!E12*$B820))-'Business Case'!F15*$F820</f>
        <v>704627179.908159</v>
      </c>
      <c r="M820" s="53" t="n">
        <f aca="false">(('Business Case'!G11*$C820*'Business Case'!G12*$B820)-'Business Case'!G11*$C820*'Business Case'!G13*$D820-'Business Case'!G14*$E820)-MAX(0,(('Business Case'!G11*$C820*'Business Case'!G12*$B820)-'Business Case'!G11*$C820*'Business Case'!G13*$D820-'Business Case'!G14*$E820))*'Business Case'!$B$7-'Business Case'!$B$8*(('Business Case'!G11*$C820*'Business Case'!G12*$B820)-('Business Case'!F11*$C820*'Business Case'!F12*$B820))-'Business Case'!G15*$F820+'Business Case'!$B$8*('Business Case'!G11*$C820*'Business Case'!G12*$B820)</f>
        <v>895381132.177486</v>
      </c>
      <c r="N820" s="53" t="n">
        <f aca="false">IF(COUNT('Business Case'!B11:G11)=0,"",H820+NPV(G820,I820:M820))</f>
        <v>-619176294.057126</v>
      </c>
      <c r="P820" s="54" t="n">
        <f aca="true">RAND()</f>
        <v>0.0423690268580735</v>
      </c>
      <c r="Q820" s="54" t="n">
        <f aca="true">RAND()</f>
        <v>0.87007763430306</v>
      </c>
      <c r="R820" s="54" t="n">
        <f aca="true">RAND()</f>
        <v>0.327201331530512</v>
      </c>
      <c r="S820" s="54" t="n">
        <f aca="true">RAND()</f>
        <v>0.727260061831522</v>
      </c>
      <c r="T820" s="54" t="n">
        <f aca="true">RAND()</f>
        <v>0.888636479176679</v>
      </c>
      <c r="U820" s="54" t="n">
        <f aca="true">RAND()</f>
        <v>0.438907043855886</v>
      </c>
    </row>
    <row r="821" customFormat="false" ht="15" hidden="false" customHeight="false" outlineLevel="0" collapsed="false">
      <c r="A821" s="50" t="n">
        <v>741</v>
      </c>
      <c r="B821" s="51" t="n">
        <f aca="false">1+IF($G$6=$E$6,$F$6,IF(P821&lt;($F$6-$E$6)/($G$6-$E$6),$E$6+SQRT(P821*($G$6-$E$6)*($F$6-$E$6)),$G$6-SQRT((1-P821)*($G$6-$E$6)*($G$6-$F$6))))</f>
        <v>0.986871059038386</v>
      </c>
      <c r="C821" s="51" t="n">
        <f aca="false">1+IF($G$7=$E$7,$F$7,IF(Q821&lt;($F$7-$E$7)/($G$7-$E$7),$E$7+SQRT(Q821*($G$7-$E$7)*($F$7-$E$7)),$G$7-SQRT((1-Q821)*($G$7-$E$7)*($G$7-$F$7))))</f>
        <v>1.01668112494299</v>
      </c>
      <c r="D821" s="51" t="n">
        <f aca="false">1+IF($G$8=$E$8,$F$8,IF(R821&lt;($F$8-$E$8)/($G$8-$E$8),$E$8+SQRT(R821*($G$8-$E$8)*($F$8-$E$8)),$G$8-SQRT((1-R821)*($G$8-$E$8)*($G$8-$F$8))))</f>
        <v>1.01052435808367</v>
      </c>
      <c r="E821" s="51" t="n">
        <f aca="false">1+IF($G$9=$E$9,$F$9,IF(S821&lt;($F$9-$E$9)/($G$9-$E$9),$E$9+SQRT(S821*($G$9-$E$9)*($F$9-$E$9)),$G$9-SQRT((1-S821)*($G$9-$E$9)*($G$9-$F$9))))</f>
        <v>0.971664512247704</v>
      </c>
      <c r="F821" s="51" t="n">
        <f aca="false">1+IF($G$10=$E$10,$F$10,IF(T821&lt;($F$10-$E$10)/($G$10-$E$10),$E$10+SQRT(T821*($G$10-$E$10)*($F$10-$E$10)),$G$10-SQRT((1-T821)*($G$10-$E$10)*($G$10-$F$10))))</f>
        <v>1.09027831515843</v>
      </c>
      <c r="G821" s="52" t="n">
        <f aca="false">IF($G$11=$E$11,$F$11,IF(U821&lt;($F$11-$E$11)/($G$11-$E$11),$E$11+SQRT(U821*($G$11-$E$11)*($F$11-$E$11)),$G$11-SQRT((1-U821)*($G$11-$E$11)*($G$11-$F$11))))</f>
        <v>0.0938329640555887</v>
      </c>
      <c r="H821" s="53" t="n">
        <f aca="false">(('Business Case'!B11*$C821*'Business Case'!B12*$B821)-'Business Case'!B11*$C821*'Business Case'!B13*$D821-'Business Case'!B14*$E821)-MAX(0,(('Business Case'!B11*$C821*'Business Case'!B12*$B821)-'Business Case'!B11*$C821*'Business Case'!B13*$D821-'Business Case'!B14*$E821))*'Business Case'!$B$7-'Business Case'!$B$8*('Business Case'!B11*$C821*'Business Case'!B12*$B821)-'Business Case'!B15*$F821</f>
        <v>-2180556630.31685</v>
      </c>
      <c r="I821" s="53" t="n">
        <f aca="false">(('Business Case'!C11*$C821*'Business Case'!C12*$B821)-'Business Case'!C11*$C821*'Business Case'!C13*$D821-'Business Case'!C14*$E821)-MAX(0,(('Business Case'!C11*$C821*'Business Case'!C12*$B821)-'Business Case'!C11*$C821*'Business Case'!C13*$D821-'Business Case'!C14*$E821))*'Business Case'!$B$7-'Business Case'!$B$8*(('Business Case'!C11*$C821*'Business Case'!C12*$B821)-('Business Case'!B11*$C821*'Business Case'!B12*$B821))-'Business Case'!C15*$F821</f>
        <v>-3346106.55834846</v>
      </c>
      <c r="J821" s="53" t="n">
        <f aca="false">(('Business Case'!D11*$C821*'Business Case'!D12*$B821)-'Business Case'!D11*$C821*'Business Case'!D13*$D821-'Business Case'!D14*$E821)-MAX(0,(('Business Case'!D11*$C821*'Business Case'!D12*$B821)-'Business Case'!D11*$C821*'Business Case'!D13*$D821-'Business Case'!D14*$E821))*'Business Case'!$B$7-'Business Case'!$B$8*(('Business Case'!D11*$C821*'Business Case'!D12*$B821)-('Business Case'!C11*$C821*'Business Case'!C12*$B821))-'Business Case'!D15*$F821</f>
        <v>292519104.013008</v>
      </c>
      <c r="K821" s="53" t="n">
        <f aca="false">(('Business Case'!E11*$C821*'Business Case'!E12*$B821)-'Business Case'!E11*$C821*'Business Case'!E13*$D821-'Business Case'!E14*$E821)-MAX(0,(('Business Case'!E11*$C821*'Business Case'!E12*$B821)-'Business Case'!E11*$C821*'Business Case'!E13*$D821-'Business Case'!E14*$E821))*'Business Case'!$B$7-'Business Case'!$B$8*(('Business Case'!E11*$C821*'Business Case'!E12*$B821)-('Business Case'!D11*$C821*'Business Case'!D12*$B821))-'Business Case'!E15*$F821</f>
        <v>642898230.342286</v>
      </c>
      <c r="L821" s="53" t="n">
        <f aca="false">(('Business Case'!F11*$C821*'Business Case'!F12*$B821)-'Business Case'!F11*$C821*'Business Case'!F13*$D821-'Business Case'!F14*$E821)-MAX(0,(('Business Case'!F11*$C821*'Business Case'!F12*$B821)-'Business Case'!F11*$C821*'Business Case'!F13*$D821-'Business Case'!F14*$E821))*'Business Case'!$B$7-'Business Case'!$B$8*(('Business Case'!F11*$C821*'Business Case'!F12*$B821)-('Business Case'!E11*$C821*'Business Case'!E12*$B821))-'Business Case'!F15*$F821</f>
        <v>776195161.847564</v>
      </c>
      <c r="M821" s="53" t="n">
        <f aca="false">(('Business Case'!G11*$C821*'Business Case'!G12*$B821)-'Business Case'!G11*$C821*'Business Case'!G13*$D821-'Business Case'!G14*$E821)-MAX(0,(('Business Case'!G11*$C821*'Business Case'!G12*$B821)-'Business Case'!G11*$C821*'Business Case'!G13*$D821-'Business Case'!G14*$E821))*'Business Case'!$B$7-'Business Case'!$B$8*(('Business Case'!G11*$C821*'Business Case'!G12*$B821)-('Business Case'!F11*$C821*'Business Case'!F12*$B821))-'Business Case'!G15*$F821+'Business Case'!$B$8*('Business Case'!G11*$C821*'Business Case'!G12*$B821)</f>
        <v>966908732.412439</v>
      </c>
      <c r="N821" s="53" t="n">
        <f aca="false">IF(COUNT('Business Case'!B11:G11)=0,"",H821+NPV(G821,I821:M821))</f>
        <v>-288195840.247434</v>
      </c>
      <c r="P821" s="54" t="n">
        <f aca="true">RAND()</f>
        <v>0.46580609759534</v>
      </c>
      <c r="Q821" s="54" t="n">
        <f aca="true">RAND()</f>
        <v>0.661449096257776</v>
      </c>
      <c r="R821" s="54" t="n">
        <f aca="true">RAND()</f>
        <v>0.535878382722542</v>
      </c>
      <c r="S821" s="54" t="n">
        <f aca="true">RAND()</f>
        <v>0.0625801454574528</v>
      </c>
      <c r="T821" s="54" t="n">
        <f aca="true">RAND()</f>
        <v>0.759223037510531</v>
      </c>
      <c r="U821" s="54" t="n">
        <f aca="true">RAND()</f>
        <v>0.0489720448381152</v>
      </c>
    </row>
    <row r="822" customFormat="false" ht="15" hidden="false" customHeight="false" outlineLevel="0" collapsed="false">
      <c r="A822" s="50" t="n">
        <v>742</v>
      </c>
      <c r="B822" s="51" t="n">
        <f aca="false">1+IF($G$6=$E$6,$F$6,IF(P822&lt;($F$6-$E$6)/($G$6-$E$6),$E$6+SQRT(P822*($G$6-$E$6)*($F$6-$E$6)),$G$6-SQRT((1-P822)*($G$6-$E$6)*($G$6-$F$6))))</f>
        <v>0.973511197460264</v>
      </c>
      <c r="C822" s="51" t="n">
        <f aca="false">1+IF($G$7=$E$7,$F$7,IF(Q822&lt;($F$7-$E$7)/($G$7-$E$7),$E$7+SQRT(Q822*($G$7-$E$7)*($F$7-$E$7)),$G$7-SQRT((1-Q822)*($G$7-$E$7)*($G$7-$F$7))))</f>
        <v>0.977140198061166</v>
      </c>
      <c r="D822" s="51" t="n">
        <f aca="false">1+IF($G$8=$E$8,$F$8,IF(R822&lt;($F$8-$E$8)/($G$8-$E$8),$E$8+SQRT(R822*($G$8-$E$8)*($F$8-$E$8)),$G$8-SQRT((1-R822)*($G$8-$E$8)*($G$8-$F$8))))</f>
        <v>0.987935541014784</v>
      </c>
      <c r="E822" s="51" t="n">
        <f aca="false">1+IF($G$9=$E$9,$F$9,IF(S822&lt;($F$9-$E$9)/($G$9-$E$9),$E$9+SQRT(S822*($G$9-$E$9)*($F$9-$E$9)),$G$9-SQRT((1-S822)*($G$9-$E$9)*($G$9-$F$9))))</f>
        <v>0.996669943340809</v>
      </c>
      <c r="F822" s="51" t="n">
        <f aca="false">1+IF($G$10=$E$10,$F$10,IF(T822&lt;($F$10-$E$10)/($G$10-$E$10),$E$10+SQRT(T822*($G$10-$E$10)*($F$10-$E$10)),$G$10-SQRT((1-T822)*($G$10-$E$10)*($G$10-$F$10))))</f>
        <v>1.01989097262252</v>
      </c>
      <c r="G822" s="52" t="n">
        <f aca="false">IF($G$11=$E$11,$F$11,IF(U822&lt;($F$11-$E$11)/($G$11-$E$11),$E$11+SQRT(U822*($G$11-$E$11)*($F$11-$E$11)),$G$11-SQRT((1-U822)*($G$11-$E$11)*($G$11-$F$11))))</f>
        <v>0.113304660450272</v>
      </c>
      <c r="H822" s="53" t="n">
        <f aca="false">(('Business Case'!B11*$C822*'Business Case'!B12*$B822)-'Business Case'!B11*$C822*'Business Case'!B13*$D822-'Business Case'!B14*$E822)-MAX(0,(('Business Case'!B11*$C822*'Business Case'!B12*$B822)-'Business Case'!B11*$C822*'Business Case'!B13*$D822-'Business Case'!B14*$E822))*'Business Case'!$B$7-'Business Case'!$B$8*('Business Case'!B11*$C822*'Business Case'!B12*$B822)-'Business Case'!B15*$F822</f>
        <v>-2039781945.24504</v>
      </c>
      <c r="I822" s="53" t="n">
        <f aca="false">(('Business Case'!C11*$C822*'Business Case'!C12*$B822)-'Business Case'!C11*$C822*'Business Case'!C13*$D822-'Business Case'!C14*$E822)-MAX(0,(('Business Case'!C11*$C822*'Business Case'!C12*$B822)-'Business Case'!C11*$C822*'Business Case'!C13*$D822-'Business Case'!C14*$E822))*'Business Case'!$B$7-'Business Case'!$B$8*(('Business Case'!C11*$C822*'Business Case'!C12*$B822)-('Business Case'!B11*$C822*'Business Case'!B12*$B822))-'Business Case'!C15*$F822</f>
        <v>-8063566.00957935</v>
      </c>
      <c r="J822" s="53" t="n">
        <f aca="false">(('Business Case'!D11*$C822*'Business Case'!D12*$B822)-'Business Case'!D11*$C822*'Business Case'!D13*$D822-'Business Case'!D14*$E822)-MAX(0,(('Business Case'!D11*$C822*'Business Case'!D12*$B822)-'Business Case'!D11*$C822*'Business Case'!D13*$D822-'Business Case'!D14*$E822))*'Business Case'!$B$7-'Business Case'!$B$8*(('Business Case'!D11*$C822*'Business Case'!D12*$B822)-('Business Case'!C11*$C822*'Business Case'!C12*$B822))-'Business Case'!D15*$F822</f>
        <v>276901590.141924</v>
      </c>
      <c r="K822" s="53" t="n">
        <f aca="false">(('Business Case'!E11*$C822*'Business Case'!E12*$B822)-'Business Case'!E11*$C822*'Business Case'!E13*$D822-'Business Case'!E14*$E822)-MAX(0,(('Business Case'!E11*$C822*'Business Case'!E12*$B822)-'Business Case'!E11*$C822*'Business Case'!E13*$D822-'Business Case'!E14*$E822))*'Business Case'!$B$7-'Business Case'!$B$8*(('Business Case'!E11*$C822*'Business Case'!E12*$B822)-('Business Case'!D11*$C822*'Business Case'!D12*$B822))-'Business Case'!E15*$F822</f>
        <v>612861294.924554</v>
      </c>
      <c r="L822" s="53" t="n">
        <f aca="false">(('Business Case'!F11*$C822*'Business Case'!F12*$B822)-'Business Case'!F11*$C822*'Business Case'!F13*$D822-'Business Case'!F14*$E822)-MAX(0,(('Business Case'!F11*$C822*'Business Case'!F12*$B822)-'Business Case'!F11*$C822*'Business Case'!F13*$D822-'Business Case'!F14*$E822))*'Business Case'!$B$7-'Business Case'!$B$8*(('Business Case'!F11*$C822*'Business Case'!F12*$B822)-('Business Case'!E11*$C822*'Business Case'!E12*$B822))-'Business Case'!F15*$F822</f>
        <v>740725119.612234</v>
      </c>
      <c r="M822" s="53" t="n">
        <f aca="false">(('Business Case'!G11*$C822*'Business Case'!G12*$B822)-'Business Case'!G11*$C822*'Business Case'!G13*$D822-'Business Case'!G14*$E822)-MAX(0,(('Business Case'!G11*$C822*'Business Case'!G12*$B822)-'Business Case'!G11*$C822*'Business Case'!G13*$D822-'Business Case'!G14*$E822))*'Business Case'!$B$7-'Business Case'!$B$8*(('Business Case'!G11*$C822*'Business Case'!G12*$B822)-('Business Case'!F11*$C822*'Business Case'!F12*$B822))-'Business Case'!G15*$F822+'Business Case'!$B$8*('Business Case'!G11*$C822*'Business Case'!G12*$B822)</f>
        <v>921540035.783384</v>
      </c>
      <c r="N822" s="53" t="n">
        <f aca="false">IF(COUNT('Business Case'!B11:G11)=0,"",H822+NPV(G822,I822:M822))</f>
        <v>-358485990.293278</v>
      </c>
      <c r="P822" s="54" t="n">
        <f aca="true">RAND()</f>
        <v>0.298275859753262</v>
      </c>
      <c r="Q822" s="54" t="n">
        <f aca="true">RAND()</f>
        <v>0.448266425273557</v>
      </c>
      <c r="R822" s="54" t="n">
        <f aca="true">RAND()</f>
        <v>0.221400811089897</v>
      </c>
      <c r="S822" s="54" t="n">
        <f aca="true">RAND()</f>
        <v>0.290411148191244</v>
      </c>
      <c r="T822" s="54" t="n">
        <f aca="true">RAND()</f>
        <v>0.351214765142752</v>
      </c>
      <c r="U822" s="54" t="n">
        <f aca="true">RAND()</f>
        <v>0.925287380523079</v>
      </c>
    </row>
    <row r="823" customFormat="false" ht="15" hidden="false" customHeight="false" outlineLevel="0" collapsed="false">
      <c r="A823" s="50" t="n">
        <v>743</v>
      </c>
      <c r="B823" s="51" t="n">
        <f aca="false">1+IF($G$6=$E$6,$F$6,IF(P823&lt;($F$6-$E$6)/($G$6-$E$6),$E$6+SQRT(P823*($G$6-$E$6)*($F$6-$E$6)),$G$6-SQRT((1-P823)*($G$6-$E$6)*($G$6-$F$6))))</f>
        <v>0.950490258564869</v>
      </c>
      <c r="C823" s="51" t="n">
        <f aca="false">1+IF($G$7=$E$7,$F$7,IF(Q823&lt;($F$7-$E$7)/($G$7-$E$7),$E$7+SQRT(Q823*($G$7-$E$7)*($F$7-$E$7)),$G$7-SQRT((1-Q823)*($G$7-$E$7)*($G$7-$F$7))))</f>
        <v>1.062997637175</v>
      </c>
      <c r="D823" s="51" t="n">
        <f aca="false">1+IF($G$8=$E$8,$F$8,IF(R823&lt;($F$8-$E$8)/($G$8-$E$8),$E$8+SQRT(R823*($G$8-$E$8)*($F$8-$E$8)),$G$8-SQRT((1-R823)*($G$8-$E$8)*($G$8-$F$8))))</f>
        <v>1.00510390863637</v>
      </c>
      <c r="E823" s="51" t="n">
        <f aca="false">1+IF($G$9=$E$9,$F$9,IF(S823&lt;($F$9-$E$9)/($G$9-$E$9),$E$9+SQRT(S823*($G$9-$E$9)*($F$9-$E$9)),$G$9-SQRT((1-S823)*($G$9-$E$9)*($G$9-$F$9))))</f>
        <v>0.993400809724263</v>
      </c>
      <c r="F823" s="51" t="n">
        <f aca="false">1+IF($G$10=$E$10,$F$10,IF(T823&lt;($F$10-$E$10)/($G$10-$E$10),$E$10+SQRT(T823*($G$10-$E$10)*($F$10-$E$10)),$G$10-SQRT((1-T823)*($G$10-$E$10)*($G$10-$F$10))))</f>
        <v>1.07367334742287</v>
      </c>
      <c r="G823" s="52" t="n">
        <f aca="false">IF($G$11=$E$11,$F$11,IF(U823&lt;($F$11-$E$11)/($G$11-$E$11),$E$11+SQRT(U823*($G$11-$E$11)*($F$11-$E$11)),$G$11-SQRT((1-U823)*($G$11-$E$11)*($G$11-$F$11))))</f>
        <v>0.101295969443763</v>
      </c>
      <c r="H823" s="53" t="n">
        <f aca="false">(('Business Case'!B11*$C823*'Business Case'!B12*$B823)-'Business Case'!B11*$C823*'Business Case'!B13*$D823-'Business Case'!B14*$E823)-MAX(0,(('Business Case'!B11*$C823*'Business Case'!B12*$B823)-'Business Case'!B11*$C823*'Business Case'!B13*$D823-'Business Case'!B14*$E823))*'Business Case'!$B$7-'Business Case'!$B$8*('Business Case'!B11*$C823*'Business Case'!B12*$B823)-'Business Case'!B15*$F823</f>
        <v>-2147346694.84573</v>
      </c>
      <c r="I823" s="53" t="n">
        <f aca="false">(('Business Case'!C11*$C823*'Business Case'!C12*$B823)-'Business Case'!C11*$C823*'Business Case'!C13*$D823-'Business Case'!C14*$E823)-MAX(0,(('Business Case'!C11*$C823*'Business Case'!C12*$B823)-'Business Case'!C11*$C823*'Business Case'!C13*$D823-'Business Case'!C14*$E823))*'Business Case'!$B$7-'Business Case'!$B$8*(('Business Case'!C11*$C823*'Business Case'!C12*$B823)-('Business Case'!B11*$C823*'Business Case'!B12*$B823))-'Business Case'!C15*$F823</f>
        <v>-20388721.8695201</v>
      </c>
      <c r="J823" s="53" t="n">
        <f aca="false">(('Business Case'!D11*$C823*'Business Case'!D12*$B823)-'Business Case'!D11*$C823*'Business Case'!D13*$D823-'Business Case'!D14*$E823)-MAX(0,(('Business Case'!D11*$C823*'Business Case'!D12*$B823)-'Business Case'!D11*$C823*'Business Case'!D13*$D823-'Business Case'!D14*$E823))*'Business Case'!$B$7-'Business Case'!$B$8*(('Business Case'!D11*$C823*'Business Case'!D12*$B823)-('Business Case'!C11*$C823*'Business Case'!C12*$B823))-'Business Case'!D15*$F823</f>
        <v>260229009.870835</v>
      </c>
      <c r="K823" s="53" t="n">
        <f aca="false">(('Business Case'!E11*$C823*'Business Case'!E12*$B823)-'Business Case'!E11*$C823*'Business Case'!E13*$D823-'Business Case'!E14*$E823)-MAX(0,(('Business Case'!E11*$C823*'Business Case'!E12*$B823)-'Business Case'!E11*$C823*'Business Case'!E13*$D823-'Business Case'!E14*$E823))*'Business Case'!$B$7-'Business Case'!$B$8*(('Business Case'!E11*$C823*'Business Case'!E12*$B823)-('Business Case'!D11*$C823*'Business Case'!D12*$B823))-'Business Case'!E15*$F823</f>
        <v>594530408.982334</v>
      </c>
      <c r="L823" s="53" t="n">
        <f aca="false">(('Business Case'!F11*$C823*'Business Case'!F12*$B823)-'Business Case'!F11*$C823*'Business Case'!F13*$D823-'Business Case'!F14*$E823)-MAX(0,(('Business Case'!F11*$C823*'Business Case'!F12*$B823)-'Business Case'!F11*$C823*'Business Case'!F13*$D823-'Business Case'!F14*$E823))*'Business Case'!$B$7-'Business Case'!$B$8*(('Business Case'!F11*$C823*'Business Case'!F12*$B823)-('Business Case'!E11*$C823*'Business Case'!E12*$B823))-'Business Case'!F15*$F823</f>
        <v>722988002.045651</v>
      </c>
      <c r="M823" s="53" t="n">
        <f aca="false">(('Business Case'!G11*$C823*'Business Case'!G12*$B823)-'Business Case'!G11*$C823*'Business Case'!G13*$D823-'Business Case'!G14*$E823)-MAX(0,(('Business Case'!G11*$C823*'Business Case'!G12*$B823)-'Business Case'!G11*$C823*'Business Case'!G13*$D823-'Business Case'!G14*$E823))*'Business Case'!$B$7-'Business Case'!$B$8*(('Business Case'!G11*$C823*'Business Case'!G12*$B823)-('Business Case'!F11*$C823*'Business Case'!F12*$B823))-'Business Case'!G15*$F823+'Business Case'!$B$8*('Business Case'!G11*$C823*'Business Case'!G12*$B823)</f>
        <v>915038922.369911</v>
      </c>
      <c r="N823" s="53" t="n">
        <f aca="false">IF(COUNT('Business Case'!B11:G11)=0,"",H823+NPV(G823,I823:M823))</f>
        <v>-449873951.155712</v>
      </c>
      <c r="P823" s="54" t="n">
        <f aca="true">RAND()</f>
        <v>0.0968391528492253</v>
      </c>
      <c r="Q823" s="54" t="n">
        <f aca="true">RAND()</f>
        <v>0.855820740245099</v>
      </c>
      <c r="R823" s="54" t="n">
        <f aca="true">RAND()</f>
        <v>0.460632259466357</v>
      </c>
      <c r="S823" s="54" t="n">
        <f aca="true">RAND()</f>
        <v>0.251150704629561</v>
      </c>
      <c r="T823" s="54" t="n">
        <f aca="true">RAND()</f>
        <v>0.680831536973119</v>
      </c>
      <c r="U823" s="54" t="n">
        <f aca="true">RAND()</f>
        <v>0.416932068252246</v>
      </c>
    </row>
    <row r="824" customFormat="false" ht="15" hidden="false" customHeight="false" outlineLevel="0" collapsed="false">
      <c r="A824" s="50" t="n">
        <v>744</v>
      </c>
      <c r="B824" s="51" t="n">
        <f aca="false">1+IF($G$6=$E$6,$F$6,IF(P824&lt;($F$6-$E$6)/($G$6-$E$6),$E$6+SQRT(P824*($G$6-$E$6)*($F$6-$E$6)),$G$6-SQRT((1-P824)*($G$6-$E$6)*($G$6-$F$6))))</f>
        <v>0.993099338534858</v>
      </c>
      <c r="C824" s="51" t="n">
        <f aca="false">1+IF($G$7=$E$7,$F$7,IF(Q824&lt;($F$7-$E$7)/($G$7-$E$7),$E$7+SQRT(Q824*($G$7-$E$7)*($F$7-$E$7)),$G$7-SQRT((1-Q824)*($G$7-$E$7)*($G$7-$F$7))))</f>
        <v>1.05205430416841</v>
      </c>
      <c r="D824" s="51" t="n">
        <f aca="false">1+IF($G$8=$E$8,$F$8,IF(R824&lt;($F$8-$E$8)/($G$8-$E$8),$E$8+SQRT(R824*($G$8-$E$8)*($F$8-$E$8)),$G$8-SQRT((1-R824)*($G$8-$E$8)*($G$8-$F$8))))</f>
        <v>0.992739719242752</v>
      </c>
      <c r="E824" s="51" t="n">
        <f aca="false">1+IF($G$9=$E$9,$F$9,IF(S824&lt;($F$9-$E$9)/($G$9-$E$9),$E$9+SQRT(S824*($G$9-$E$9)*($F$9-$E$9)),$G$9-SQRT((1-S824)*($G$9-$E$9)*($G$9-$F$9))))</f>
        <v>0.988169212196665</v>
      </c>
      <c r="F824" s="51" t="n">
        <f aca="false">1+IF($G$10=$E$10,$F$10,IF(T824&lt;($F$10-$E$10)/($G$10-$E$10),$E$10+SQRT(T824*($G$10-$E$10)*($F$10-$E$10)),$G$10-SQRT((1-T824)*($G$10-$E$10)*($G$10-$F$10))))</f>
        <v>0.980588576914756</v>
      </c>
      <c r="G824" s="52" t="n">
        <f aca="false">IF($G$11=$E$11,$F$11,IF(U824&lt;($F$11-$E$11)/($G$11-$E$11),$E$11+SQRT(U824*($G$11-$E$11)*($F$11-$E$11)),$G$11-SQRT((1-U824)*($G$11-$E$11)*($G$11-$F$11))))</f>
        <v>0.100009119243881</v>
      </c>
      <c r="H824" s="53" t="n">
        <f aca="false">(('Business Case'!B11*$C824*'Business Case'!B12*$B824)-'Business Case'!B11*$C824*'Business Case'!B13*$D824-'Business Case'!B14*$E824)-MAX(0,(('Business Case'!B11*$C824*'Business Case'!B12*$B824)-'Business Case'!B11*$C824*'Business Case'!B13*$D824-'Business Case'!B14*$E824))*'Business Case'!$B$7-'Business Case'!$B$8*('Business Case'!B11*$C824*'Business Case'!B12*$B824)-'Business Case'!B15*$F824</f>
        <v>-1961177153.82951</v>
      </c>
      <c r="I824" s="53" t="n">
        <f aca="false">(('Business Case'!C11*$C824*'Business Case'!C12*$B824)-'Business Case'!C11*$C824*'Business Case'!C13*$D824-'Business Case'!C14*$E824)-MAX(0,(('Business Case'!C11*$C824*'Business Case'!C12*$B824)-'Business Case'!C11*$C824*'Business Case'!C13*$D824-'Business Case'!C14*$E824))*'Business Case'!$B$7-'Business Case'!$B$8*(('Business Case'!C11*$C824*'Business Case'!C12*$B824)-('Business Case'!B11*$C824*'Business Case'!B12*$B824))-'Business Case'!C15*$F824</f>
        <v>28365716.0716221</v>
      </c>
      <c r="J824" s="53" t="n">
        <f aca="false">(('Business Case'!D11*$C824*'Business Case'!D12*$B824)-'Business Case'!D11*$C824*'Business Case'!D13*$D824-'Business Case'!D14*$E824)-MAX(0,(('Business Case'!D11*$C824*'Business Case'!D12*$B824)-'Business Case'!D11*$C824*'Business Case'!D13*$D824-'Business Case'!D14*$E824))*'Business Case'!$B$7-'Business Case'!$B$8*(('Business Case'!D11*$C824*'Business Case'!D12*$B824)-('Business Case'!C11*$C824*'Business Case'!C12*$B824))-'Business Case'!D15*$F824</f>
        <v>349470095.245478</v>
      </c>
      <c r="K824" s="53" t="n">
        <f aca="false">(('Business Case'!E11*$C824*'Business Case'!E12*$B824)-'Business Case'!E11*$C824*'Business Case'!E13*$D824-'Business Case'!E14*$E824)-MAX(0,(('Business Case'!E11*$C824*'Business Case'!E12*$B824)-'Business Case'!E11*$C824*'Business Case'!E13*$D824-'Business Case'!E14*$E824))*'Business Case'!$B$7-'Business Case'!$B$8*(('Business Case'!E11*$C824*'Business Case'!E12*$B824)-('Business Case'!D11*$C824*'Business Case'!D12*$B824))-'Business Case'!E15*$F824</f>
        <v>719603903.265073</v>
      </c>
      <c r="L824" s="53" t="n">
        <f aca="false">(('Business Case'!F11*$C824*'Business Case'!F12*$B824)-'Business Case'!F11*$C824*'Business Case'!F13*$D824-'Business Case'!F14*$E824)-MAX(0,(('Business Case'!F11*$C824*'Business Case'!F12*$B824)-'Business Case'!F11*$C824*'Business Case'!F13*$D824-'Business Case'!F14*$E824))*'Business Case'!$B$7-'Business Case'!$B$8*(('Business Case'!F11*$C824*'Business Case'!F12*$B824)-('Business Case'!E11*$C824*'Business Case'!E12*$B824))-'Business Case'!F15*$F824</f>
        <v>862746791.947288</v>
      </c>
      <c r="M824" s="53" t="n">
        <f aca="false">(('Business Case'!G11*$C824*'Business Case'!G12*$B824)-'Business Case'!G11*$C824*'Business Case'!G13*$D824-'Business Case'!G14*$E824)-MAX(0,(('Business Case'!G11*$C824*'Business Case'!G12*$B824)-'Business Case'!G11*$C824*'Business Case'!G13*$D824-'Business Case'!G14*$E824))*'Business Case'!$B$7-'Business Case'!$B$8*(('Business Case'!G11*$C824*'Business Case'!G12*$B824)-('Business Case'!F11*$C824*'Business Case'!F12*$B824))-'Business Case'!G15*$F824+'Business Case'!$B$8*('Business Case'!G11*$C824*'Business Case'!G12*$B824)</f>
        <v>1061341317.88073</v>
      </c>
      <c r="N824" s="53" t="n">
        <f aca="false">IF(COUNT('Business Case'!B11:G11)=0,"",H824+NPV(G824,I824:M824))</f>
        <v>142289002.654011</v>
      </c>
      <c r="P824" s="54" t="n">
        <f aca="true">RAND()</f>
        <v>0.556615968149349</v>
      </c>
      <c r="Q824" s="54" t="n">
        <f aca="true">RAND()</f>
        <v>0.817269346058377</v>
      </c>
      <c r="R824" s="54" t="n">
        <f aca="true">RAND()</f>
        <v>0.281028246299883</v>
      </c>
      <c r="S824" s="54" t="n">
        <f aca="true">RAND()</f>
        <v>0.194251834628539</v>
      </c>
      <c r="T824" s="54" t="n">
        <f aca="true">RAND()</f>
        <v>0.0748528830135967</v>
      </c>
      <c r="U824" s="54" t="n">
        <f aca="true">RAND()</f>
        <v>0.333941144324361</v>
      </c>
    </row>
    <row r="825" customFormat="false" ht="15" hidden="false" customHeight="false" outlineLevel="0" collapsed="false">
      <c r="A825" s="50" t="n">
        <v>745</v>
      </c>
      <c r="B825" s="51" t="n">
        <f aca="false">1+IF($G$6=$E$6,$F$6,IF(P825&lt;($F$6-$E$6)/($G$6-$E$6),$E$6+SQRT(P825*($G$6-$E$6)*($F$6-$E$6)),$G$6-SQRT((1-P825)*($G$6-$E$6)*($G$6-$F$6))))</f>
        <v>0.993886841176902</v>
      </c>
      <c r="C825" s="51" t="n">
        <f aca="false">1+IF($G$7=$E$7,$F$7,IF(Q825&lt;($F$7-$E$7)/($G$7-$E$7),$E$7+SQRT(Q825*($G$7-$E$7)*($F$7-$E$7)),$G$7-SQRT((1-Q825)*($G$7-$E$7)*($G$7-$F$7))))</f>
        <v>1.09401571591928</v>
      </c>
      <c r="D825" s="51" t="n">
        <f aca="false">1+IF($G$8=$E$8,$F$8,IF(R825&lt;($F$8-$E$8)/($G$8-$E$8),$E$8+SQRT(R825*($G$8-$E$8)*($F$8-$E$8)),$G$8-SQRT((1-R825)*($G$8-$E$8)*($G$8-$F$8))))</f>
        <v>1.01871861847572</v>
      </c>
      <c r="E825" s="51" t="n">
        <f aca="false">1+IF($G$9=$E$9,$F$9,IF(S825&lt;($F$9-$E$9)/($G$9-$E$9),$E$9+SQRT(S825*($G$9-$E$9)*($F$9-$E$9)),$G$9-SQRT((1-S825)*($G$9-$E$9)*($G$9-$F$9))))</f>
        <v>0.964865585030292</v>
      </c>
      <c r="F825" s="51" t="n">
        <f aca="false">1+IF($G$10=$E$10,$F$10,IF(T825&lt;($F$10-$E$10)/($G$10-$E$10),$E$10+SQRT(T825*($G$10-$E$10)*($F$10-$E$10)),$G$10-SQRT((1-T825)*($G$10-$E$10)*($G$10-$F$10))))</f>
        <v>1.18499131251167</v>
      </c>
      <c r="G825" s="52" t="n">
        <f aca="false">IF($G$11=$E$11,$F$11,IF(U825&lt;($F$11-$E$11)/($G$11-$E$11),$E$11+SQRT(U825*($G$11-$E$11)*($F$11-$E$11)),$G$11-SQRT((1-U825)*($G$11-$E$11)*($G$11-$F$11))))</f>
        <v>0.110476810921074</v>
      </c>
      <c r="H825" s="53" t="n">
        <f aca="false">(('Business Case'!B11*$C825*'Business Case'!B12*$B825)-'Business Case'!B11*$C825*'Business Case'!B13*$D825-'Business Case'!B14*$E825)-MAX(0,(('Business Case'!B11*$C825*'Business Case'!B12*$B825)-'Business Case'!B11*$C825*'Business Case'!B13*$D825-'Business Case'!B14*$E825))*'Business Case'!$B$7-'Business Case'!$B$8*('Business Case'!B11*$C825*'Business Case'!B12*$B825)-'Business Case'!B15*$F825</f>
        <v>-2369982625.02334</v>
      </c>
      <c r="I825" s="53" t="n">
        <f aca="false">(('Business Case'!C11*$C825*'Business Case'!C12*$B825)-'Business Case'!C11*$C825*'Business Case'!C13*$D825-'Business Case'!C14*$E825)-MAX(0,(('Business Case'!C11*$C825*'Business Case'!C12*$B825)-'Business Case'!C11*$C825*'Business Case'!C13*$D825-'Business Case'!C14*$E825))*'Business Case'!$B$7-'Business Case'!$B$8*(('Business Case'!C11*$C825*'Business Case'!C12*$B825)-('Business Case'!B11*$C825*'Business Case'!B12*$B825))-'Business Case'!C15*$F825</f>
        <v>7997823.72571223</v>
      </c>
      <c r="J825" s="53" t="n">
        <f aca="false">(('Business Case'!D11*$C825*'Business Case'!D12*$B825)-'Business Case'!D11*$C825*'Business Case'!D13*$D825-'Business Case'!D14*$E825)-MAX(0,(('Business Case'!D11*$C825*'Business Case'!D12*$B825)-'Business Case'!D11*$C825*'Business Case'!D13*$D825-'Business Case'!D14*$E825))*'Business Case'!$B$7-'Business Case'!$B$8*(('Business Case'!D11*$C825*'Business Case'!D12*$B825)-('Business Case'!C11*$C825*'Business Case'!C12*$B825))-'Business Case'!D15*$F825</f>
        <v>328065739.294875</v>
      </c>
      <c r="K825" s="53" t="n">
        <f aca="false">(('Business Case'!E11*$C825*'Business Case'!E12*$B825)-'Business Case'!E11*$C825*'Business Case'!E13*$D825-'Business Case'!E14*$E825)-MAX(0,(('Business Case'!E11*$C825*'Business Case'!E12*$B825)-'Business Case'!E11*$C825*'Business Case'!E13*$D825-'Business Case'!E14*$E825))*'Business Case'!$B$7-'Business Case'!$B$8*(('Business Case'!E11*$C825*'Business Case'!E12*$B825)-('Business Case'!D11*$C825*'Business Case'!D12*$B825))-'Business Case'!E15*$F825</f>
        <v>707383220.489621</v>
      </c>
      <c r="L825" s="53" t="n">
        <f aca="false">(('Business Case'!F11*$C825*'Business Case'!F12*$B825)-'Business Case'!F11*$C825*'Business Case'!F13*$D825-'Business Case'!F14*$E825)-MAX(0,(('Business Case'!F11*$C825*'Business Case'!F12*$B825)-'Business Case'!F11*$C825*'Business Case'!F13*$D825-'Business Case'!F14*$E825))*'Business Case'!$B$7-'Business Case'!$B$8*(('Business Case'!F11*$C825*'Business Case'!F12*$B825)-('Business Case'!E11*$C825*'Business Case'!E12*$B825))-'Business Case'!F15*$F825</f>
        <v>851650575.279992</v>
      </c>
      <c r="M825" s="53" t="n">
        <f aca="false">(('Business Case'!G11*$C825*'Business Case'!G12*$B825)-'Business Case'!G11*$C825*'Business Case'!G13*$D825-'Business Case'!G14*$E825)-MAX(0,(('Business Case'!G11*$C825*'Business Case'!G12*$B825)-'Business Case'!G11*$C825*'Business Case'!G13*$D825-'Business Case'!G14*$E825))*'Business Case'!$B$7-'Business Case'!$B$8*(('Business Case'!G11*$C825*'Business Case'!G12*$B825)-('Business Case'!F11*$C825*'Business Case'!F12*$B825))-'Business Case'!G15*$F825+'Business Case'!$B$8*('Business Case'!G11*$C825*'Business Case'!G12*$B825)</f>
        <v>1058329848.08357</v>
      </c>
      <c r="N825" s="53" t="n">
        <f aca="false">IF(COUNT('Business Case'!B11:G11)=0,"",H825+NPV(G825,I825:M825))</f>
        <v>-393411294.004966</v>
      </c>
      <c r="P825" s="54" t="n">
        <f aca="true">RAND()</f>
        <v>0.568673468656323</v>
      </c>
      <c r="Q825" s="54" t="n">
        <f aca="true">RAND()</f>
        <v>0.940300189256556</v>
      </c>
      <c r="R825" s="54" t="n">
        <f aca="true">RAND()</f>
        <v>0.638903103699633</v>
      </c>
      <c r="S825" s="54" t="n">
        <f aca="true">RAND()</f>
        <v>0.0294647491057116</v>
      </c>
      <c r="T825" s="54" t="n">
        <f aca="true">RAND()</f>
        <v>0.995494785997552</v>
      </c>
      <c r="U825" s="54" t="n">
        <f aca="true">RAND()</f>
        <v>0.848848116278376</v>
      </c>
    </row>
    <row r="826" customFormat="false" ht="15" hidden="false" customHeight="false" outlineLevel="0" collapsed="false">
      <c r="A826" s="50" t="n">
        <v>746</v>
      </c>
      <c r="B826" s="51" t="n">
        <f aca="false">1+IF($G$6=$E$6,$F$6,IF(P826&lt;($F$6-$E$6)/($G$6-$E$6),$E$6+SQRT(P826*($G$6-$E$6)*($F$6-$E$6)),$G$6-SQRT((1-P826)*($G$6-$E$6)*($G$6-$F$6))))</f>
        <v>0.962610830211372</v>
      </c>
      <c r="C826" s="51" t="n">
        <f aca="false">1+IF($G$7=$E$7,$F$7,IF(Q826&lt;($F$7-$E$7)/($G$7-$E$7),$E$7+SQRT(Q826*($G$7-$E$7)*($F$7-$E$7)),$G$7-SQRT((1-Q826)*($G$7-$E$7)*($G$7-$F$7))))</f>
        <v>0.944730434714525</v>
      </c>
      <c r="D826" s="51" t="n">
        <f aca="false">1+IF($G$8=$E$8,$F$8,IF(R826&lt;($F$8-$E$8)/($G$8-$E$8),$E$8+SQRT(R826*($G$8-$E$8)*($F$8-$E$8)),$G$8-SQRT((1-R826)*($G$8-$E$8)*($G$8-$F$8))))</f>
        <v>0.999268186429037</v>
      </c>
      <c r="E826" s="51" t="n">
        <f aca="false">1+IF($G$9=$E$9,$F$9,IF(S826&lt;($F$9-$E$9)/($G$9-$E$9),$E$9+SQRT(S826*($G$9-$E$9)*($F$9-$E$9)),$G$9-SQRT((1-S826)*($G$9-$E$9)*($G$9-$F$9))))</f>
        <v>0.985554397928861</v>
      </c>
      <c r="F826" s="51" t="n">
        <f aca="false">1+IF($G$10=$E$10,$F$10,IF(T826&lt;($F$10-$E$10)/($G$10-$E$10),$E$10+SQRT(T826*($G$10-$E$10)*($F$10-$E$10)),$G$10-SQRT((1-T826)*($G$10-$E$10)*($G$10-$F$10))))</f>
        <v>0.98647612702491</v>
      </c>
      <c r="G826" s="52" t="n">
        <f aca="false">IF($G$11=$E$11,$F$11,IF(U826&lt;($F$11-$E$11)/($G$11-$E$11),$E$11+SQRT(U826*($G$11-$E$11)*($F$11-$E$11)),$G$11-SQRT((1-U826)*($G$11-$E$11)*($G$11-$F$11))))</f>
        <v>0.101944785131637</v>
      </c>
      <c r="H826" s="53" t="n">
        <f aca="false">(('Business Case'!B11*$C826*'Business Case'!B12*$B826)-'Business Case'!B11*$C826*'Business Case'!B13*$D826-'Business Case'!B14*$E826)-MAX(0,(('Business Case'!B11*$C826*'Business Case'!B12*$B826)-'Business Case'!B11*$C826*'Business Case'!B13*$D826-'Business Case'!B14*$E826))*'Business Case'!$B$7-'Business Case'!$B$8*('Business Case'!B11*$C826*'Business Case'!B12*$B826)-'Business Case'!B15*$F826</f>
        <v>-1972952254.04982</v>
      </c>
      <c r="I826" s="53" t="n">
        <f aca="false">(('Business Case'!C11*$C826*'Business Case'!C12*$B826)-'Business Case'!C11*$C826*'Business Case'!C13*$D826-'Business Case'!C14*$E826)-MAX(0,(('Business Case'!C11*$C826*'Business Case'!C12*$B826)-'Business Case'!C11*$C826*'Business Case'!C13*$D826-'Business Case'!C14*$E826))*'Business Case'!$B$7-'Business Case'!$B$8*(('Business Case'!C11*$C826*'Business Case'!C12*$B826)-('Business Case'!B11*$C826*'Business Case'!B12*$B826))-'Business Case'!C15*$F826</f>
        <v>-24339202.4813086</v>
      </c>
      <c r="J826" s="53" t="n">
        <f aca="false">(('Business Case'!D11*$C826*'Business Case'!D12*$B826)-'Business Case'!D11*$C826*'Business Case'!D13*$D826-'Business Case'!D14*$E826)-MAX(0,(('Business Case'!D11*$C826*'Business Case'!D12*$B826)-'Business Case'!D11*$C826*'Business Case'!D13*$D826-'Business Case'!D14*$E826))*'Business Case'!$B$7-'Business Case'!$B$8*(('Business Case'!D11*$C826*'Business Case'!D12*$B826)-('Business Case'!C11*$C826*'Business Case'!C12*$B826))-'Business Case'!D15*$F826</f>
        <v>237258740.786162</v>
      </c>
      <c r="K826" s="53" t="n">
        <f aca="false">(('Business Case'!E11*$C826*'Business Case'!E12*$B826)-'Business Case'!E11*$C826*'Business Case'!E13*$D826-'Business Case'!E14*$E826)-MAX(0,(('Business Case'!E11*$C826*'Business Case'!E12*$B826)-'Business Case'!E11*$C826*'Business Case'!E13*$D826-'Business Case'!E14*$E826))*'Business Case'!$B$7-'Business Case'!$B$8*(('Business Case'!E11*$C826*'Business Case'!E12*$B826)-('Business Case'!D11*$C826*'Business Case'!D12*$B826))-'Business Case'!E15*$F826</f>
        <v>548180490.404878</v>
      </c>
      <c r="L826" s="53" t="n">
        <f aca="false">(('Business Case'!F11*$C826*'Business Case'!F12*$B826)-'Business Case'!F11*$C826*'Business Case'!F13*$D826-'Business Case'!F14*$E826)-MAX(0,(('Business Case'!F11*$C826*'Business Case'!F12*$B826)-'Business Case'!F11*$C826*'Business Case'!F13*$D826-'Business Case'!F14*$E826))*'Business Case'!$B$7-'Business Case'!$B$8*(('Business Case'!F11*$C826*'Business Case'!F12*$B826)-('Business Case'!E11*$C826*'Business Case'!E12*$B826))-'Business Case'!F15*$F826</f>
        <v>666808936.601238</v>
      </c>
      <c r="M826" s="53" t="n">
        <f aca="false">(('Business Case'!G11*$C826*'Business Case'!G12*$B826)-'Business Case'!G11*$C826*'Business Case'!G13*$D826-'Business Case'!G14*$E826)-MAX(0,(('Business Case'!G11*$C826*'Business Case'!G12*$B826)-'Business Case'!G11*$C826*'Business Case'!G13*$D826-'Business Case'!G14*$E826))*'Business Case'!$B$7-'Business Case'!$B$8*(('Business Case'!G11*$C826*'Business Case'!G12*$B826)-('Business Case'!F11*$C826*'Business Case'!F12*$B826))-'Business Case'!G15*$F826+'Business Case'!$B$8*('Business Case'!G11*$C826*'Business Case'!G12*$B826)</f>
        <v>839669161.35752</v>
      </c>
      <c r="N826" s="53" t="n">
        <f aca="false">IF(COUNT('Business Case'!B11:G11)=0,"",H826+NPV(G826,I826:M826))</f>
        <v>-420953515.384644</v>
      </c>
      <c r="P826" s="54" t="n">
        <f aca="true">RAND()</f>
        <v>0.189133630343998</v>
      </c>
      <c r="Q826" s="54" t="n">
        <f aca="true">RAND()</f>
        <v>0.299241410466504</v>
      </c>
      <c r="R826" s="54" t="n">
        <f aca="true">RAND()</f>
        <v>0.373439106770201</v>
      </c>
      <c r="S826" s="54" t="n">
        <f aca="true">RAND()</f>
        <v>0.16854869494451</v>
      </c>
      <c r="T826" s="54" t="n">
        <f aca="true">RAND()</f>
        <v>0.106440627418991</v>
      </c>
      <c r="U826" s="54" t="n">
        <f aca="true">RAND()</f>
        <v>0.456682026762058</v>
      </c>
    </row>
    <row r="827" customFormat="false" ht="15" hidden="false" customHeight="false" outlineLevel="0" collapsed="false">
      <c r="A827" s="50" t="n">
        <v>747</v>
      </c>
      <c r="B827" s="51" t="n">
        <f aca="false">1+IF($G$6=$E$6,$F$6,IF(P827&lt;($F$6-$E$6)/($G$6-$E$6),$E$6+SQRT(P827*($G$6-$E$6)*($F$6-$E$6)),$G$6-SQRT((1-P827)*($G$6-$E$6)*($G$6-$F$6))))</f>
        <v>1.00901198231131</v>
      </c>
      <c r="C827" s="51" t="n">
        <f aca="false">1+IF($G$7=$E$7,$F$7,IF(Q827&lt;($F$7-$E$7)/($G$7-$E$7),$E$7+SQRT(Q827*($G$7-$E$7)*($F$7-$E$7)),$G$7-SQRT((1-Q827)*($G$7-$E$7)*($G$7-$F$7))))</f>
        <v>0.961239347075706</v>
      </c>
      <c r="D827" s="51" t="n">
        <f aca="false">1+IF($G$8=$E$8,$F$8,IF(R827&lt;($F$8-$E$8)/($G$8-$E$8),$E$8+SQRT(R827*($G$8-$E$8)*($F$8-$E$8)),$G$8-SQRT((1-R827)*($G$8-$E$8)*($G$8-$F$8))))</f>
        <v>0.988208555088785</v>
      </c>
      <c r="E827" s="51" t="n">
        <f aca="false">1+IF($G$9=$E$9,$F$9,IF(S827&lt;($F$9-$E$9)/($G$9-$E$9),$E$9+SQRT(S827*($G$9-$E$9)*($F$9-$E$9)),$G$9-SQRT((1-S827)*($G$9-$E$9)*($G$9-$F$9))))</f>
        <v>1.01096366400008</v>
      </c>
      <c r="F827" s="51" t="n">
        <f aca="false">1+IF($G$10=$E$10,$F$10,IF(T827&lt;($F$10-$E$10)/($G$10-$E$10),$E$10+SQRT(T827*($G$10-$E$10)*($F$10-$E$10)),$G$10-SQRT((1-T827)*($G$10-$E$10)*($G$10-$F$10))))</f>
        <v>1.12774243862631</v>
      </c>
      <c r="G827" s="52" t="n">
        <f aca="false">IF($G$11=$E$11,$F$11,IF(U827&lt;($F$11-$E$11)/($G$11-$E$11),$E$11+SQRT(U827*($G$11-$E$11)*($F$11-$E$11)),$G$11-SQRT((1-U827)*($G$11-$E$11)*($G$11-$F$11))))</f>
        <v>0.100716333327511</v>
      </c>
      <c r="H827" s="53" t="n">
        <f aca="false">(('Business Case'!B11*$C827*'Business Case'!B12*$B827)-'Business Case'!B11*$C827*'Business Case'!B13*$D827-'Business Case'!B14*$E827)-MAX(0,(('Business Case'!B11*$C827*'Business Case'!B12*$B827)-'Business Case'!B11*$C827*'Business Case'!B13*$D827-'Business Case'!B14*$E827))*'Business Case'!$B$7-'Business Case'!$B$8*('Business Case'!B11*$C827*'Business Case'!B12*$B827)-'Business Case'!B15*$F827</f>
        <v>-2255484877.25262</v>
      </c>
      <c r="I827" s="53" t="n">
        <f aca="false">(('Business Case'!C11*$C827*'Business Case'!C12*$B827)-'Business Case'!C11*$C827*'Business Case'!C13*$D827-'Business Case'!C14*$E827)-MAX(0,(('Business Case'!C11*$C827*'Business Case'!C12*$B827)-'Business Case'!C11*$C827*'Business Case'!C13*$D827-'Business Case'!C14*$E827))*'Business Case'!$B$7-'Business Case'!$B$8*(('Business Case'!C11*$C827*'Business Case'!C12*$B827)-('Business Case'!B11*$C827*'Business Case'!B12*$B827))-'Business Case'!C15*$F827</f>
        <v>1331248.91690673</v>
      </c>
      <c r="J827" s="53" t="n">
        <f aca="false">(('Business Case'!D11*$C827*'Business Case'!D12*$B827)-'Business Case'!D11*$C827*'Business Case'!D13*$D827-'Business Case'!D14*$E827)-MAX(0,(('Business Case'!D11*$C827*'Business Case'!D12*$B827)-'Business Case'!D11*$C827*'Business Case'!D13*$D827-'Business Case'!D14*$E827))*'Business Case'!$B$7-'Business Case'!$B$8*(('Business Case'!D11*$C827*'Business Case'!D12*$B827)-('Business Case'!C11*$C827*'Business Case'!C12*$B827))-'Business Case'!D15*$F827</f>
        <v>309475495.385766</v>
      </c>
      <c r="K827" s="53" t="n">
        <f aca="false">(('Business Case'!E11*$C827*'Business Case'!E12*$B827)-'Business Case'!E11*$C827*'Business Case'!E13*$D827-'Business Case'!E14*$E827)-MAX(0,(('Business Case'!E11*$C827*'Business Case'!E12*$B827)-'Business Case'!E11*$C827*'Business Case'!E13*$D827-'Business Case'!E14*$E827))*'Business Case'!$B$7-'Business Case'!$B$8*(('Business Case'!E11*$C827*'Business Case'!E12*$B827)-('Business Case'!D11*$C827*'Business Case'!D12*$B827))-'Business Case'!E15*$F827</f>
        <v>674006863.785941</v>
      </c>
      <c r="L827" s="53" t="n">
        <f aca="false">(('Business Case'!F11*$C827*'Business Case'!F12*$B827)-'Business Case'!F11*$C827*'Business Case'!F13*$D827-'Business Case'!F14*$E827)-MAX(0,(('Business Case'!F11*$C827*'Business Case'!F12*$B827)-'Business Case'!F11*$C827*'Business Case'!F13*$D827-'Business Case'!F14*$E827))*'Business Case'!$B$7-'Business Case'!$B$8*(('Business Case'!F11*$C827*'Business Case'!F12*$B827)-('Business Case'!E11*$C827*'Business Case'!E12*$B827))-'Business Case'!F15*$F827</f>
        <v>810241426.387902</v>
      </c>
      <c r="M827" s="53" t="n">
        <f aca="false">(('Business Case'!G11*$C827*'Business Case'!G12*$B827)-'Business Case'!G11*$C827*'Business Case'!G13*$D827-'Business Case'!G14*$E827)-MAX(0,(('Business Case'!G11*$C827*'Business Case'!G12*$B827)-'Business Case'!G11*$C827*'Business Case'!G13*$D827-'Business Case'!G14*$E827))*'Business Case'!$B$7-'Business Case'!$B$8*(('Business Case'!G11*$C827*'Business Case'!G12*$B827)-('Business Case'!F11*$C827*'Business Case'!F12*$B827))-'Business Case'!G15*$F827+'Business Case'!$B$8*('Business Case'!G11*$C827*'Business Case'!G12*$B827)</f>
        <v>994600402.172439</v>
      </c>
      <c r="N827" s="53" t="n">
        <f aca="false">IF(COUNT('Business Case'!B11:G11)=0,"",H827+NPV(G827,I827:M827))</f>
        <v>-325911759.098553</v>
      </c>
      <c r="P827" s="54" t="n">
        <f aca="true">RAND()</f>
        <v>0.799946408276089</v>
      </c>
      <c r="Q827" s="54" t="n">
        <f aca="true">RAND()</f>
        <v>0.371401814934285</v>
      </c>
      <c r="R827" s="54" t="n">
        <f aca="true">RAND()</f>
        <v>0.224599027995801</v>
      </c>
      <c r="S827" s="54" t="n">
        <f aca="true">RAND()</f>
        <v>0.471502058113979</v>
      </c>
      <c r="T827" s="54" t="n">
        <f aca="true">RAND()</f>
        <v>0.895576896486548</v>
      </c>
      <c r="U827" s="54" t="n">
        <f aca="true">RAND()</f>
        <v>0.380233666107232</v>
      </c>
    </row>
    <row r="828" customFormat="false" ht="15" hidden="false" customHeight="false" outlineLevel="0" collapsed="false">
      <c r="A828" s="50" t="n">
        <v>748</v>
      </c>
      <c r="B828" s="51" t="n">
        <f aca="false">1+IF($G$6=$E$6,$F$6,IF(P828&lt;($F$6-$E$6)/($G$6-$E$6),$E$6+SQRT(P828*($G$6-$E$6)*($F$6-$E$6)),$G$6-SQRT((1-P828)*($G$6-$E$6)*($G$6-$F$6))))</f>
        <v>0.991640316951909</v>
      </c>
      <c r="C828" s="51" t="n">
        <f aca="false">1+IF($G$7=$E$7,$F$7,IF(Q828&lt;($F$7-$E$7)/($G$7-$E$7),$E$7+SQRT(Q828*($G$7-$E$7)*($F$7-$E$7)),$G$7-SQRT((1-Q828)*($G$7-$E$7)*($G$7-$F$7))))</f>
        <v>1.13629757011346</v>
      </c>
      <c r="D828" s="51" t="n">
        <f aca="false">1+IF($G$8=$E$8,$F$8,IF(R828&lt;($F$8-$E$8)/($G$8-$E$8),$E$8+SQRT(R828*($G$8-$E$8)*($F$8-$E$8)),$G$8-SQRT((1-R828)*($G$8-$E$8)*($G$8-$F$8))))</f>
        <v>1.01748357676825</v>
      </c>
      <c r="E828" s="51" t="n">
        <f aca="false">1+IF($G$9=$E$9,$F$9,IF(S828&lt;($F$9-$E$9)/($G$9-$E$9),$E$9+SQRT(S828*($G$9-$E$9)*($F$9-$E$9)),$G$9-SQRT((1-S828)*($G$9-$E$9)*($G$9-$F$9))))</f>
        <v>1.07177224945092</v>
      </c>
      <c r="F828" s="51" t="n">
        <f aca="false">1+IF($G$10=$E$10,$F$10,IF(T828&lt;($F$10-$E$10)/($G$10-$E$10),$E$10+SQRT(T828*($G$10-$E$10)*($F$10-$E$10)),$G$10-SQRT((1-T828)*($G$10-$E$10)*($G$10-$F$10))))</f>
        <v>1.07010487039946</v>
      </c>
      <c r="G828" s="52" t="n">
        <f aca="false">IF($G$11=$E$11,$F$11,IF(U828&lt;($F$11-$E$11)/($G$11-$E$11),$E$11+SQRT(U828*($G$11-$E$11)*($F$11-$E$11)),$G$11-SQRT((1-U828)*($G$11-$E$11)*($G$11-$F$11))))</f>
        <v>0.0975002325871425</v>
      </c>
      <c r="H828" s="53" t="n">
        <f aca="false">(('Business Case'!B11*$C828*'Business Case'!B12*$B828)-'Business Case'!B11*$C828*'Business Case'!B13*$D828-'Business Case'!B14*$E828)-MAX(0,(('Business Case'!B11*$C828*'Business Case'!B12*$B828)-'Business Case'!B11*$C828*'Business Case'!B13*$D828-'Business Case'!B14*$E828))*'Business Case'!$B$7-'Business Case'!$B$8*('Business Case'!B11*$C828*'Business Case'!B12*$B828)-'Business Case'!B15*$F828</f>
        <v>-2140209740.79891</v>
      </c>
      <c r="I828" s="53" t="n">
        <f aca="false">(('Business Case'!C11*$C828*'Business Case'!C12*$B828)-'Business Case'!C11*$C828*'Business Case'!C13*$D828-'Business Case'!C14*$E828)-MAX(0,(('Business Case'!C11*$C828*'Business Case'!C12*$B828)-'Business Case'!C11*$C828*'Business Case'!C13*$D828-'Business Case'!C14*$E828))*'Business Case'!$B$7-'Business Case'!$B$8*(('Business Case'!C11*$C828*'Business Case'!C12*$B828)-('Business Case'!B11*$C828*'Business Case'!B12*$B828))-'Business Case'!C15*$F828</f>
        <v>13235818.2564496</v>
      </c>
      <c r="J828" s="53" t="n">
        <f aca="false">(('Business Case'!D11*$C828*'Business Case'!D12*$B828)-'Business Case'!D11*$C828*'Business Case'!D13*$D828-'Business Case'!D14*$E828)-MAX(0,(('Business Case'!D11*$C828*'Business Case'!D12*$B828)-'Business Case'!D11*$C828*'Business Case'!D13*$D828-'Business Case'!D14*$E828))*'Business Case'!$B$7-'Business Case'!$B$8*(('Business Case'!D11*$C828*'Business Case'!D12*$B828)-('Business Case'!C11*$C828*'Business Case'!C12*$B828))-'Business Case'!D15*$F828</f>
        <v>344301370.761661</v>
      </c>
      <c r="K828" s="53" t="n">
        <f aca="false">(('Business Case'!E11*$C828*'Business Case'!E12*$B828)-'Business Case'!E11*$C828*'Business Case'!E13*$D828-'Business Case'!E14*$E828)-MAX(0,(('Business Case'!E11*$C828*'Business Case'!E12*$B828)-'Business Case'!E11*$C828*'Business Case'!E13*$D828-'Business Case'!E14*$E828))*'Business Case'!$B$7-'Business Case'!$B$8*(('Business Case'!E11*$C828*'Business Case'!E12*$B828)-('Business Case'!D11*$C828*'Business Case'!D12*$B828))-'Business Case'!E15*$F828</f>
        <v>728872166.786846</v>
      </c>
      <c r="L828" s="53" t="n">
        <f aca="false">(('Business Case'!F11*$C828*'Business Case'!F12*$B828)-'Business Case'!F11*$C828*'Business Case'!F13*$D828-'Business Case'!F14*$E828)-MAX(0,(('Business Case'!F11*$C828*'Business Case'!F12*$B828)-'Business Case'!F11*$C828*'Business Case'!F13*$D828-'Business Case'!F14*$E828))*'Business Case'!$B$7-'Business Case'!$B$8*(('Business Case'!F11*$C828*'Business Case'!F12*$B828)-('Business Case'!E11*$C828*'Business Case'!E12*$B828))-'Business Case'!F15*$F828</f>
        <v>878169506.513179</v>
      </c>
      <c r="M828" s="53" t="n">
        <f aca="false">(('Business Case'!G11*$C828*'Business Case'!G12*$B828)-'Business Case'!G11*$C828*'Business Case'!G13*$D828-'Business Case'!G14*$E828)-MAX(0,(('Business Case'!G11*$C828*'Business Case'!G12*$B828)-'Business Case'!G11*$C828*'Business Case'!G13*$D828-'Business Case'!G14*$E828))*'Business Case'!$B$7-'Business Case'!$B$8*(('Business Case'!G11*$C828*'Business Case'!G12*$B828)-('Business Case'!F11*$C828*'Business Case'!F12*$B828))-'Business Case'!G15*$F828+'Business Case'!$B$8*('Business Case'!G11*$C828*'Business Case'!G12*$B828)</f>
        <v>1092351362.08179</v>
      </c>
      <c r="N828" s="53" t="n">
        <f aca="false">IF(COUNT('Business Case'!B11:G11)=0,"",H828+NPV(G828,I828:M828))</f>
        <v>366210.118280411</v>
      </c>
      <c r="P828" s="54" t="n">
        <f aca="true">RAND()</f>
        <v>0.534618230517705</v>
      </c>
      <c r="Q828" s="54" t="n">
        <f aca="true">RAND()</f>
        <v>0.99642368409913</v>
      </c>
      <c r="R828" s="54" t="n">
        <f aca="true">RAND()</f>
        <v>0.624201617914307</v>
      </c>
      <c r="S828" s="54" t="n">
        <f aca="true">RAND()</f>
        <v>0.946879606595946</v>
      </c>
      <c r="T828" s="54" t="n">
        <f aca="true">RAND()</f>
        <v>0.662545106121153</v>
      </c>
      <c r="U828" s="54" t="n">
        <f aca="true">RAND()</f>
        <v>0.187511629537446</v>
      </c>
    </row>
    <row r="829" customFormat="false" ht="15" hidden="false" customHeight="false" outlineLevel="0" collapsed="false">
      <c r="A829" s="50" t="n">
        <v>749</v>
      </c>
      <c r="B829" s="51" t="n">
        <f aca="false">1+IF($G$6=$E$6,$F$6,IF(P829&lt;($F$6-$E$6)/($G$6-$E$6),$E$6+SQRT(P829*($G$6-$E$6)*($F$6-$E$6)),$G$6-SQRT((1-P829)*($G$6-$E$6)*($G$6-$F$6))))</f>
        <v>1.00842989940514</v>
      </c>
      <c r="C829" s="51" t="n">
        <f aca="false">1+IF($G$7=$E$7,$F$7,IF(Q829&lt;($F$7-$E$7)/($G$7-$E$7),$E$7+SQRT(Q829*($G$7-$E$7)*($F$7-$E$7)),$G$7-SQRT((1-Q829)*($G$7-$E$7)*($G$7-$F$7))))</f>
        <v>0.918870484504797</v>
      </c>
      <c r="D829" s="51" t="n">
        <f aca="false">1+IF($G$8=$E$8,$F$8,IF(R829&lt;($F$8-$E$8)/($G$8-$E$8),$E$8+SQRT(R829*($G$8-$E$8)*($F$8-$E$8)),$G$8-SQRT((1-R829)*($G$8-$E$8)*($G$8-$F$8))))</f>
        <v>1.00900589767858</v>
      </c>
      <c r="E829" s="51" t="n">
        <f aca="false">1+IF($G$9=$E$9,$F$9,IF(S829&lt;($F$9-$E$9)/($G$9-$E$9),$E$9+SQRT(S829*($G$9-$E$9)*($F$9-$E$9)),$G$9-SQRT((1-S829)*($G$9-$E$9)*($G$9-$F$9))))</f>
        <v>0.969357313519378</v>
      </c>
      <c r="F829" s="51" t="n">
        <f aca="false">1+IF($G$10=$E$10,$F$10,IF(T829&lt;($F$10-$E$10)/($G$10-$E$10),$E$10+SQRT(T829*($G$10-$E$10)*($F$10-$E$10)),$G$10-SQRT((1-T829)*($G$10-$E$10)*($G$10-$F$10))))</f>
        <v>1.06308439787802</v>
      </c>
      <c r="G829" s="52" t="n">
        <f aca="false">IF($G$11=$E$11,$F$11,IF(U829&lt;($F$11-$E$11)/($G$11-$E$11),$E$11+SQRT(U829*($G$11-$E$11)*($F$11-$E$11)),$G$11-SQRT((1-U829)*($G$11-$E$11)*($G$11-$F$11))))</f>
        <v>0.105502343622688</v>
      </c>
      <c r="H829" s="53" t="n">
        <f aca="false">(('Business Case'!B11*$C829*'Business Case'!B12*$B829)-'Business Case'!B11*$C829*'Business Case'!B13*$D829-'Business Case'!B14*$E829)-MAX(0,(('Business Case'!B11*$C829*'Business Case'!B12*$B829)-'Business Case'!B11*$C829*'Business Case'!B13*$D829-'Business Case'!B14*$E829))*'Business Case'!$B$7-'Business Case'!$B$8*('Business Case'!B11*$C829*'Business Case'!B12*$B829)-'Business Case'!B15*$F829</f>
        <v>-2126168795.75605</v>
      </c>
      <c r="I829" s="53" t="n">
        <f aca="false">(('Business Case'!C11*$C829*'Business Case'!C12*$B829)-'Business Case'!C11*$C829*'Business Case'!C13*$D829-'Business Case'!C14*$E829)-MAX(0,(('Business Case'!C11*$C829*'Business Case'!C12*$B829)-'Business Case'!C11*$C829*'Business Case'!C13*$D829-'Business Case'!C14*$E829))*'Business Case'!$B$7-'Business Case'!$B$8*(('Business Case'!C11*$C829*'Business Case'!C12*$B829)-('Business Case'!B11*$C829*'Business Case'!B12*$B829))-'Business Case'!C15*$F829</f>
        <v>-7845688.29500108</v>
      </c>
      <c r="J829" s="53" t="n">
        <f aca="false">(('Business Case'!D11*$C829*'Business Case'!D12*$B829)-'Business Case'!D11*$C829*'Business Case'!D13*$D829-'Business Case'!D14*$E829)-MAX(0,(('Business Case'!D11*$C829*'Business Case'!D12*$B829)-'Business Case'!D11*$C829*'Business Case'!D13*$D829-'Business Case'!D14*$E829))*'Business Case'!$B$7-'Business Case'!$B$8*(('Business Case'!D11*$C829*'Business Case'!D12*$B829)-('Business Case'!C11*$C829*'Business Case'!C12*$B829))-'Business Case'!D15*$F829</f>
        <v>276495470.998302</v>
      </c>
      <c r="K829" s="53" t="n">
        <f aca="false">(('Business Case'!E11*$C829*'Business Case'!E12*$B829)-'Business Case'!E11*$C829*'Business Case'!E13*$D829-'Business Case'!E14*$E829)-MAX(0,(('Business Case'!E11*$C829*'Business Case'!E12*$B829)-'Business Case'!E11*$C829*'Business Case'!E13*$D829-'Business Case'!E14*$E829))*'Business Case'!$B$7-'Business Case'!$B$8*(('Business Case'!E11*$C829*'Business Case'!E12*$B829)-('Business Case'!D11*$C829*'Business Case'!D12*$B829))-'Business Case'!E15*$F829</f>
        <v>613990850.185506</v>
      </c>
      <c r="L829" s="53" t="n">
        <f aca="false">(('Business Case'!F11*$C829*'Business Case'!F12*$B829)-'Business Case'!F11*$C829*'Business Case'!F13*$D829-'Business Case'!F14*$E829)-MAX(0,(('Business Case'!F11*$C829*'Business Case'!F12*$B829)-'Business Case'!F11*$C829*'Business Case'!F13*$D829-'Business Case'!F14*$E829))*'Business Case'!$B$7-'Business Case'!$B$8*(('Business Case'!F11*$C829*'Business Case'!F12*$B829)-('Business Case'!E11*$C829*'Business Case'!E12*$B829))-'Business Case'!F15*$F829</f>
        <v>740795101.828639</v>
      </c>
      <c r="M829" s="53" t="n">
        <f aca="false">(('Business Case'!G11*$C829*'Business Case'!G12*$B829)-'Business Case'!G11*$C829*'Business Case'!G13*$D829-'Business Case'!G14*$E829)-MAX(0,(('Business Case'!G11*$C829*'Business Case'!G12*$B829)-'Business Case'!G11*$C829*'Business Case'!G13*$D829-'Business Case'!G14*$E829))*'Business Case'!$B$7-'Business Case'!$B$8*(('Business Case'!G11*$C829*'Business Case'!G12*$B829)-('Business Case'!F11*$C829*'Business Case'!F12*$B829))-'Business Case'!G15*$F829+'Business Case'!$B$8*('Business Case'!G11*$C829*'Business Case'!G12*$B829)</f>
        <v>916926360.494808</v>
      </c>
      <c r="N829" s="53" t="n">
        <f aca="false">IF(COUNT('Business Case'!B11:G11)=0,"",H829+NPV(G829,I829:M829))</f>
        <v>-401294071.899933</v>
      </c>
      <c r="P829" s="54" t="n">
        <f aca="true">RAND()</f>
        <v>0.792360155922977</v>
      </c>
      <c r="Q829" s="54" t="n">
        <f aca="true">RAND()</f>
        <v>0.201859886948646</v>
      </c>
      <c r="R829" s="54" t="n">
        <f aca="true">RAND()</f>
        <v>0.515368984189959</v>
      </c>
      <c r="S829" s="54" t="n">
        <f aca="true">RAND()</f>
        <v>0.0499607448916634</v>
      </c>
      <c r="T829" s="54" t="n">
        <f aca="true">RAND()</f>
        <v>0.625082357911531</v>
      </c>
      <c r="U829" s="54" t="n">
        <f aca="true">RAND()</f>
        <v>0.649696599275644</v>
      </c>
    </row>
    <row r="830" customFormat="false" ht="15" hidden="false" customHeight="false" outlineLevel="0" collapsed="false">
      <c r="A830" s="50" t="n">
        <v>750</v>
      </c>
      <c r="B830" s="51" t="n">
        <f aca="false">1+IF($G$6=$E$6,$F$6,IF(P830&lt;($F$6-$E$6)/($G$6-$E$6),$E$6+SQRT(P830*($G$6-$E$6)*($F$6-$E$6)),$G$6-SQRT((1-P830)*($G$6-$E$6)*($G$6-$F$6))))</f>
        <v>1.02504630905826</v>
      </c>
      <c r="C830" s="51" t="n">
        <f aca="false">1+IF($G$7=$E$7,$F$7,IF(Q830&lt;($F$7-$E$7)/($G$7-$E$7),$E$7+SQRT(Q830*($G$7-$E$7)*($F$7-$E$7)),$G$7-SQRT((1-Q830)*($G$7-$E$7)*($G$7-$F$7))))</f>
        <v>0.889471188043169</v>
      </c>
      <c r="D830" s="51" t="n">
        <f aca="false">1+IF($G$8=$E$8,$F$8,IF(R830&lt;($F$8-$E$8)/($G$8-$E$8),$E$8+SQRT(R830*($G$8-$E$8)*($F$8-$E$8)),$G$8-SQRT((1-R830)*($G$8-$E$8)*($G$8-$F$8))))</f>
        <v>1.04663438553409</v>
      </c>
      <c r="E830" s="51" t="n">
        <f aca="false">1+IF($G$9=$E$9,$F$9,IF(S830&lt;($F$9-$E$9)/($G$9-$E$9),$E$9+SQRT(S830*($G$9-$E$9)*($F$9-$E$9)),$G$9-SQRT((1-S830)*($G$9-$E$9)*($G$9-$F$9))))</f>
        <v>0.953067045404774</v>
      </c>
      <c r="F830" s="51" t="n">
        <f aca="false">1+IF($G$10=$E$10,$F$10,IF(T830&lt;($F$10-$E$10)/($G$10-$E$10),$E$10+SQRT(T830*($G$10-$E$10)*($F$10-$E$10)),$G$10-SQRT((1-T830)*($G$10-$E$10)*($G$10-$F$10))))</f>
        <v>1.02636789768088</v>
      </c>
      <c r="G830" s="52" t="n">
        <f aca="false">IF($G$11=$E$11,$F$11,IF(U830&lt;($F$11-$E$11)/($G$11-$E$11),$E$11+SQRT(U830*($G$11-$E$11)*($F$11-$E$11)),$G$11-SQRT((1-U830)*($G$11-$E$11)*($G$11-$F$11))))</f>
        <v>0.108778941330779</v>
      </c>
      <c r="H830" s="53" t="n">
        <f aca="false">(('Business Case'!B11*$C830*'Business Case'!B12*$B830)-'Business Case'!B11*$C830*'Business Case'!B13*$D830-'Business Case'!B14*$E830)-MAX(0,(('Business Case'!B11*$C830*'Business Case'!B12*$B830)-'Business Case'!B11*$C830*'Business Case'!B13*$D830-'Business Case'!B14*$E830))*'Business Case'!$B$7-'Business Case'!$B$8*('Business Case'!B11*$C830*'Business Case'!B12*$B830)-'Business Case'!B15*$F830</f>
        <v>-2052735795.36176</v>
      </c>
      <c r="I830" s="53" t="n">
        <f aca="false">(('Business Case'!C11*$C830*'Business Case'!C12*$B830)-'Business Case'!C11*$C830*'Business Case'!C13*$D830-'Business Case'!C14*$E830)-MAX(0,(('Business Case'!C11*$C830*'Business Case'!C12*$B830)-'Business Case'!C11*$C830*'Business Case'!C13*$D830-'Business Case'!C14*$E830))*'Business Case'!$B$7-'Business Case'!$B$8*(('Business Case'!C11*$C830*'Business Case'!C12*$B830)-('Business Case'!B11*$C830*'Business Case'!B12*$B830))-'Business Case'!C15*$F830</f>
        <v>-15212296.0381992</v>
      </c>
      <c r="J830" s="53" t="n">
        <f aca="false">(('Business Case'!D11*$C830*'Business Case'!D12*$B830)-'Business Case'!D11*$C830*'Business Case'!D13*$D830-'Business Case'!D14*$E830)-MAX(0,(('Business Case'!D11*$C830*'Business Case'!D12*$B830)-'Business Case'!D11*$C830*'Business Case'!D13*$D830-'Business Case'!D14*$E830))*'Business Case'!$B$7-'Business Case'!$B$8*(('Business Case'!D11*$C830*'Business Case'!D12*$B830)-('Business Case'!C11*$C830*'Business Case'!C12*$B830))-'Business Case'!D15*$F830</f>
        <v>255003407.915418</v>
      </c>
      <c r="K830" s="53" t="n">
        <f aca="false">(('Business Case'!E11*$C830*'Business Case'!E12*$B830)-'Business Case'!E11*$C830*'Business Case'!E13*$D830-'Business Case'!E14*$E830)-MAX(0,(('Business Case'!E11*$C830*'Business Case'!E12*$B830)-'Business Case'!E11*$C830*'Business Case'!E13*$D830-'Business Case'!E14*$E830))*'Business Case'!$B$7-'Business Case'!$B$8*(('Business Case'!E11*$C830*'Business Case'!E12*$B830)-('Business Case'!D11*$C830*'Business Case'!D12*$B830))-'Business Case'!E15*$F830</f>
        <v>576537506.753079</v>
      </c>
      <c r="L830" s="53" t="n">
        <f aca="false">(('Business Case'!F11*$C830*'Business Case'!F12*$B830)-'Business Case'!F11*$C830*'Business Case'!F13*$D830-'Business Case'!F14*$E830)-MAX(0,(('Business Case'!F11*$C830*'Business Case'!F12*$B830)-'Business Case'!F11*$C830*'Business Case'!F13*$D830-'Business Case'!F14*$E830))*'Business Case'!$B$7-'Business Case'!$B$8*(('Business Case'!F11*$C830*'Business Case'!F12*$B830)-('Business Case'!E11*$C830*'Business Case'!E12*$B830))-'Business Case'!F15*$F830</f>
        <v>698119458.982398</v>
      </c>
      <c r="M830" s="53" t="n">
        <f aca="false">(('Business Case'!G11*$C830*'Business Case'!G12*$B830)-'Business Case'!G11*$C830*'Business Case'!G13*$D830-'Business Case'!G14*$E830)-MAX(0,(('Business Case'!G11*$C830*'Business Case'!G12*$B830)-'Business Case'!G11*$C830*'Business Case'!G13*$D830-'Business Case'!G14*$E830))*'Business Case'!$B$7-'Business Case'!$B$8*(('Business Case'!G11*$C830*'Business Case'!G12*$B830)-('Business Case'!F11*$C830*'Business Case'!F12*$B830))-'Business Case'!G15*$F830+'Business Case'!$B$8*('Business Case'!G11*$C830*'Business Case'!G12*$B830)</f>
        <v>871424738.995354</v>
      </c>
      <c r="N830" s="53" t="n">
        <f aca="false">IF(COUNT('Business Case'!B11:G11)=0,"",H830+NPV(G830,I830:M830))</f>
        <v>-454175479.220861</v>
      </c>
      <c r="P830" s="54" t="n">
        <f aca="true">RAND()</f>
        <v>0.953413984837285</v>
      </c>
      <c r="Q830" s="54" t="n">
        <f aca="true">RAND()</f>
        <v>0.114358478426516</v>
      </c>
      <c r="R830" s="54" t="n">
        <f aca="true">RAND()</f>
        <v>0.892955362626159</v>
      </c>
      <c r="S830" s="54" t="n">
        <f aca="true">RAND()</f>
        <v>0.00125423566865892</v>
      </c>
      <c r="T830" s="54" t="n">
        <f aca="true">RAND()</f>
        <v>0.397037860884851</v>
      </c>
      <c r="U830" s="54" t="n">
        <f aca="true">RAND()</f>
        <v>0.790146403903185</v>
      </c>
    </row>
    <row r="831" customFormat="false" ht="15" hidden="false" customHeight="false" outlineLevel="0" collapsed="false">
      <c r="A831" s="50" t="n">
        <v>751</v>
      </c>
      <c r="B831" s="51" t="n">
        <f aca="false">1+IF($G$6=$E$6,$F$6,IF(P831&lt;($F$6-$E$6)/($G$6-$E$6),$E$6+SQRT(P831*($G$6-$E$6)*($F$6-$E$6)),$G$6-SQRT((1-P831)*($G$6-$E$6)*($G$6-$F$6))))</f>
        <v>1.01554882422373</v>
      </c>
      <c r="C831" s="51" t="n">
        <f aca="false">1+IF($G$7=$E$7,$F$7,IF(Q831&lt;($F$7-$E$7)/($G$7-$E$7),$E$7+SQRT(Q831*($G$7-$E$7)*($F$7-$E$7)),$G$7-SQRT((1-Q831)*($G$7-$E$7)*($G$7-$F$7))))</f>
        <v>0.96809762689962</v>
      </c>
      <c r="D831" s="51" t="n">
        <f aca="false">1+IF($G$8=$E$8,$F$8,IF(R831&lt;($F$8-$E$8)/($G$8-$E$8),$E$8+SQRT(R831*($G$8-$E$8)*($F$8-$E$8)),$G$8-SQRT((1-R831)*($G$8-$E$8)*($G$8-$F$8))))</f>
        <v>0.99747690887644</v>
      </c>
      <c r="E831" s="51" t="n">
        <f aca="false">1+IF($G$9=$E$9,$F$9,IF(S831&lt;($F$9-$E$9)/($G$9-$E$9),$E$9+SQRT(S831*($G$9-$E$9)*($F$9-$E$9)),$G$9-SQRT((1-S831)*($G$9-$E$9)*($G$9-$F$9))))</f>
        <v>0.967190482967783</v>
      </c>
      <c r="F831" s="51" t="n">
        <f aca="false">1+IF($G$10=$E$10,$F$10,IF(T831&lt;($F$10-$E$10)/($G$10-$E$10),$E$10+SQRT(T831*($G$10-$E$10)*($F$10-$E$10)),$G$10-SQRT((1-T831)*($G$10-$E$10)*($G$10-$F$10))))</f>
        <v>1.07575563730712</v>
      </c>
      <c r="G831" s="52" t="n">
        <f aca="false">IF($G$11=$E$11,$F$11,IF(U831&lt;($F$11-$E$11)/($G$11-$E$11),$E$11+SQRT(U831*($G$11-$E$11)*($F$11-$E$11)),$G$11-SQRT((1-U831)*($G$11-$E$11)*($G$11-$F$11))))</f>
        <v>0.0992105019811616</v>
      </c>
      <c r="H831" s="53" t="n">
        <f aca="false">(('Business Case'!B11*$C831*'Business Case'!B12*$B831)-'Business Case'!B11*$C831*'Business Case'!B13*$D831-'Business Case'!B14*$E831)-MAX(0,(('Business Case'!B11*$C831*'Business Case'!B12*$B831)-'Business Case'!B11*$C831*'Business Case'!B13*$D831-'Business Case'!B14*$E831))*'Business Case'!$B$7-'Business Case'!$B$8*('Business Case'!B11*$C831*'Business Case'!B12*$B831)-'Business Case'!B15*$F831</f>
        <v>-2151511274.61424</v>
      </c>
      <c r="I831" s="53" t="n">
        <f aca="false">(('Business Case'!C11*$C831*'Business Case'!C12*$B831)-'Business Case'!C11*$C831*'Business Case'!C13*$D831-'Business Case'!C14*$E831)-MAX(0,(('Business Case'!C11*$C831*'Business Case'!C12*$B831)-'Business Case'!C11*$C831*'Business Case'!C13*$D831-'Business Case'!C14*$E831))*'Business Case'!$B$7-'Business Case'!$B$8*(('Business Case'!C11*$C831*'Business Case'!C12*$B831)-('Business Case'!B11*$C831*'Business Case'!B12*$B831))-'Business Case'!C15*$F831</f>
        <v>14856280.3254393</v>
      </c>
      <c r="J831" s="53" t="n">
        <f aca="false">(('Business Case'!D11*$C831*'Business Case'!D12*$B831)-'Business Case'!D11*$C831*'Business Case'!D13*$D831-'Business Case'!D14*$E831)-MAX(0,(('Business Case'!D11*$C831*'Business Case'!D12*$B831)-'Business Case'!D11*$C831*'Business Case'!D13*$D831-'Business Case'!D14*$E831))*'Business Case'!$B$7-'Business Case'!$B$8*(('Business Case'!D11*$C831*'Business Case'!D12*$B831)-('Business Case'!C11*$C831*'Business Case'!C12*$B831))-'Business Case'!D15*$F831</f>
        <v>325789128.14458</v>
      </c>
      <c r="K831" s="53" t="n">
        <f aca="false">(('Business Case'!E11*$C831*'Business Case'!E12*$B831)-'Business Case'!E11*$C831*'Business Case'!E13*$D831-'Business Case'!E14*$E831)-MAX(0,(('Business Case'!E11*$C831*'Business Case'!E12*$B831)-'Business Case'!E11*$C831*'Business Case'!E13*$D831-'Business Case'!E14*$E831))*'Business Case'!$B$7-'Business Case'!$B$8*(('Business Case'!E11*$C831*'Business Case'!E12*$B831)-('Business Case'!D11*$C831*'Business Case'!D12*$B831))-'Business Case'!E15*$F831</f>
        <v>690509757.829077</v>
      </c>
      <c r="L831" s="53" t="n">
        <f aca="false">(('Business Case'!F11*$C831*'Business Case'!F12*$B831)-'Business Case'!F11*$C831*'Business Case'!F13*$D831-'Business Case'!F14*$E831)-MAX(0,(('Business Case'!F11*$C831*'Business Case'!F12*$B831)-'Business Case'!F11*$C831*'Business Case'!F13*$D831-'Business Case'!F14*$E831))*'Business Case'!$B$7-'Business Case'!$B$8*(('Business Case'!F11*$C831*'Business Case'!F12*$B831)-('Business Case'!E11*$C831*'Business Case'!E12*$B831))-'Business Case'!F15*$F831</f>
        <v>828131718.492105</v>
      </c>
      <c r="M831" s="53" t="n">
        <f aca="false">(('Business Case'!G11*$C831*'Business Case'!G12*$B831)-'Business Case'!G11*$C831*'Business Case'!G13*$D831-'Business Case'!G14*$E831)-MAX(0,(('Business Case'!G11*$C831*'Business Case'!G12*$B831)-'Business Case'!G11*$C831*'Business Case'!G13*$D831-'Business Case'!G14*$E831))*'Business Case'!$B$7-'Business Case'!$B$8*(('Business Case'!G11*$C831*'Business Case'!G12*$B831)-('Business Case'!F11*$C831*'Business Case'!F12*$B831))-'Business Case'!G15*$F831+'Business Case'!$B$8*('Business Case'!G11*$C831*'Business Case'!G12*$B831)</f>
        <v>1015008947.80366</v>
      </c>
      <c r="N831" s="53" t="n">
        <f aca="false">IF(COUNT('Business Case'!B11:G11)=0,"",H831+NPV(G831,I831:M831))</f>
        <v>-148693736.011536</v>
      </c>
      <c r="P831" s="54" t="n">
        <f aca="true">RAND()</f>
        <v>0.875445833991252</v>
      </c>
      <c r="Q831" s="54" t="n">
        <f aca="true">RAND()</f>
        <v>0.403668745275483</v>
      </c>
      <c r="R831" s="54" t="n">
        <f aca="true">RAND()</f>
        <v>0.346777980994124</v>
      </c>
      <c r="S831" s="54" t="n">
        <f aca="true">RAND()</f>
        <v>0.0394016939554199</v>
      </c>
      <c r="T831" s="54" t="n">
        <f aca="true">RAND()</f>
        <v>0.691266766780795</v>
      </c>
      <c r="U831" s="54" t="n">
        <f aca="true">RAND()</f>
        <v>0.282777822483273</v>
      </c>
    </row>
    <row r="832" customFormat="false" ht="15" hidden="false" customHeight="false" outlineLevel="0" collapsed="false">
      <c r="A832" s="50" t="n">
        <v>752</v>
      </c>
      <c r="B832" s="51" t="n">
        <f aca="false">1+IF($G$6=$E$6,$F$6,IF(P832&lt;($F$6-$E$6)/($G$6-$E$6),$E$6+SQRT(P832*($G$6-$E$6)*($F$6-$E$6)),$G$6-SQRT((1-P832)*($G$6-$E$6)*($G$6-$F$6))))</f>
        <v>1.02750512626578</v>
      </c>
      <c r="C832" s="51" t="n">
        <f aca="false">1+IF($G$7=$E$7,$F$7,IF(Q832&lt;($F$7-$E$7)/($G$7-$E$7),$E$7+SQRT(Q832*($G$7-$E$7)*($F$7-$E$7)),$G$7-SQRT((1-Q832)*($G$7-$E$7)*($G$7-$F$7))))</f>
        <v>0.966036067821078</v>
      </c>
      <c r="D832" s="51" t="n">
        <f aca="false">1+IF($G$8=$E$8,$F$8,IF(R832&lt;($F$8-$E$8)/($G$8-$E$8),$E$8+SQRT(R832*($G$8-$E$8)*($F$8-$E$8)),$G$8-SQRT((1-R832)*($G$8-$E$8)*($G$8-$F$8))))</f>
        <v>1.01179568591599</v>
      </c>
      <c r="E832" s="51" t="n">
        <f aca="false">1+IF($G$9=$E$9,$F$9,IF(S832&lt;($F$9-$E$9)/($G$9-$E$9),$E$9+SQRT(S832*($G$9-$E$9)*($F$9-$E$9)),$G$9-SQRT((1-S832)*($G$9-$E$9)*($G$9-$F$9))))</f>
        <v>1.01615050271772</v>
      </c>
      <c r="F832" s="51" t="n">
        <f aca="false">1+IF($G$10=$E$10,$F$10,IF(T832&lt;($F$10-$E$10)/($G$10-$E$10),$E$10+SQRT(T832*($G$10-$E$10)*($F$10-$E$10)),$G$10-SQRT((1-T832)*($G$10-$E$10)*($G$10-$F$10))))</f>
        <v>1.07064302376658</v>
      </c>
      <c r="G832" s="52" t="n">
        <f aca="false">IF($G$11=$E$11,$F$11,IF(U832&lt;($F$11-$E$11)/($G$11-$E$11),$E$11+SQRT(U832*($G$11-$E$11)*($F$11-$E$11)),$G$11-SQRT((1-U832)*($G$11-$E$11)*($G$11-$F$11))))</f>
        <v>0.102903560888427</v>
      </c>
      <c r="H832" s="53" t="n">
        <f aca="false">(('Business Case'!B11*$C832*'Business Case'!B12*$B832)-'Business Case'!B11*$C832*'Business Case'!B13*$D832-'Business Case'!B14*$E832)-MAX(0,(('Business Case'!B11*$C832*'Business Case'!B12*$B832)-'Business Case'!B11*$C832*'Business Case'!B13*$D832-'Business Case'!B14*$E832))*'Business Case'!$B$7-'Business Case'!$B$8*('Business Case'!B11*$C832*'Business Case'!B12*$B832)-'Business Case'!B15*$F832</f>
        <v>-2141286047.53315</v>
      </c>
      <c r="I832" s="53" t="n">
        <f aca="false">(('Business Case'!C11*$C832*'Business Case'!C12*$B832)-'Business Case'!C11*$C832*'Business Case'!C13*$D832-'Business Case'!C14*$E832)-MAX(0,(('Business Case'!C11*$C832*'Business Case'!C12*$B832)-'Business Case'!C11*$C832*'Business Case'!C13*$D832-'Business Case'!C14*$E832))*'Business Case'!$B$7-'Business Case'!$B$8*(('Business Case'!C11*$C832*'Business Case'!C12*$B832)-('Business Case'!B11*$C832*'Business Case'!B12*$B832))-'Business Case'!C15*$F832</f>
        <v>9632417.09725991</v>
      </c>
      <c r="J832" s="53" t="n">
        <f aca="false">(('Business Case'!D11*$C832*'Business Case'!D12*$B832)-'Business Case'!D11*$C832*'Business Case'!D13*$D832-'Business Case'!D14*$E832)-MAX(0,(('Business Case'!D11*$C832*'Business Case'!D12*$B832)-'Business Case'!D11*$C832*'Business Case'!D13*$D832-'Business Case'!D14*$E832))*'Business Case'!$B$7-'Business Case'!$B$8*(('Business Case'!D11*$C832*'Business Case'!D12*$B832)-('Business Case'!C11*$C832*'Business Case'!C12*$B832))-'Business Case'!D15*$F832</f>
        <v>322282485.551619</v>
      </c>
      <c r="K832" s="53" t="n">
        <f aca="false">(('Business Case'!E11*$C832*'Business Case'!E12*$B832)-'Business Case'!E11*$C832*'Business Case'!E13*$D832-'Business Case'!E14*$E832)-MAX(0,(('Business Case'!E11*$C832*'Business Case'!E12*$B832)-'Business Case'!E11*$C832*'Business Case'!E13*$D832-'Business Case'!E14*$E832))*'Business Case'!$B$7-'Business Case'!$B$8*(('Business Case'!E11*$C832*'Business Case'!E12*$B832)-('Business Case'!D11*$C832*'Business Case'!D12*$B832))-'Business Case'!E15*$F832</f>
        <v>688464705.194307</v>
      </c>
      <c r="L832" s="53" t="n">
        <f aca="false">(('Business Case'!F11*$C832*'Business Case'!F12*$B832)-'Business Case'!F11*$C832*'Business Case'!F13*$D832-'Business Case'!F14*$E832)-MAX(0,(('Business Case'!F11*$C832*'Business Case'!F12*$B832)-'Business Case'!F11*$C832*'Business Case'!F13*$D832-'Business Case'!F14*$E832))*'Business Case'!$B$7-'Business Case'!$B$8*(('Business Case'!F11*$C832*'Business Case'!F12*$B832)-('Business Case'!E11*$C832*'Business Case'!E12*$B832))-'Business Case'!F15*$F832</f>
        <v>826985893.008415</v>
      </c>
      <c r="M832" s="53" t="n">
        <f aca="false">(('Business Case'!G11*$C832*'Business Case'!G12*$B832)-'Business Case'!G11*$C832*'Business Case'!G13*$D832-'Business Case'!G14*$E832)-MAX(0,(('Business Case'!G11*$C832*'Business Case'!G12*$B832)-'Business Case'!G11*$C832*'Business Case'!G13*$D832-'Business Case'!G14*$E832))*'Business Case'!$B$7-'Business Case'!$B$8*(('Business Case'!G11*$C832*'Business Case'!G12*$B832)-('Business Case'!F11*$C832*'Business Case'!F12*$B832))-'Business Case'!G15*$F832+'Business Case'!$B$8*('Business Case'!G11*$C832*'Business Case'!G12*$B832)</f>
        <v>1015660633.81968</v>
      </c>
      <c r="N832" s="53" t="n">
        <f aca="false">IF(COUNT('Business Case'!B11:G11)=0,"",H832+NPV(G832,I832:M832))</f>
        <v>-173119140.526227</v>
      </c>
      <c r="P832" s="54" t="n">
        <f aca="true">RAND()</f>
        <v>0.967474610492914</v>
      </c>
      <c r="Q832" s="54" t="n">
        <f aca="true">RAND()</f>
        <v>0.393828225964081</v>
      </c>
      <c r="R832" s="54" t="n">
        <f aca="true">RAND()</f>
        <v>0.552708801954749</v>
      </c>
      <c r="S832" s="54" t="n">
        <f aca="true">RAND()</f>
        <v>0.531284120367211</v>
      </c>
      <c r="T832" s="54" t="n">
        <f aca="true">RAND()</f>
        <v>0.665335453994911</v>
      </c>
      <c r="U832" s="54" t="n">
        <f aca="true">RAND()</f>
        <v>0.512852949507119</v>
      </c>
    </row>
    <row r="833" customFormat="false" ht="15" hidden="false" customHeight="false" outlineLevel="0" collapsed="false">
      <c r="A833" s="50" t="n">
        <v>753</v>
      </c>
      <c r="B833" s="51" t="n">
        <f aca="false">1+IF($G$6=$E$6,$F$6,IF(P833&lt;($F$6-$E$6)/($G$6-$E$6),$E$6+SQRT(P833*($G$6-$E$6)*($F$6-$E$6)),$G$6-SQRT((1-P833)*($G$6-$E$6)*($G$6-$F$6))))</f>
        <v>0.964340213305388</v>
      </c>
      <c r="C833" s="51" t="n">
        <f aca="false">1+IF($G$7=$E$7,$F$7,IF(Q833&lt;($F$7-$E$7)/($G$7-$E$7),$E$7+SQRT(Q833*($G$7-$E$7)*($F$7-$E$7)),$G$7-SQRT((1-Q833)*($G$7-$E$7)*($G$7-$F$7))))</f>
        <v>0.907015793922898</v>
      </c>
      <c r="D833" s="51" t="n">
        <f aca="false">1+IF($G$8=$E$8,$F$8,IF(R833&lt;($F$8-$E$8)/($G$8-$E$8),$E$8+SQRT(R833*($G$8-$E$8)*($F$8-$E$8)),$G$8-SQRT((1-R833)*($G$8-$E$8)*($G$8-$F$8))))</f>
        <v>0.984876298118735</v>
      </c>
      <c r="E833" s="51" t="n">
        <f aca="false">1+IF($G$9=$E$9,$F$9,IF(S833&lt;($F$9-$E$9)/($G$9-$E$9),$E$9+SQRT(S833*($G$9-$E$9)*($F$9-$E$9)),$G$9-SQRT((1-S833)*($G$9-$E$9)*($G$9-$F$9))))</f>
        <v>1.0225356305579</v>
      </c>
      <c r="F833" s="51" t="n">
        <f aca="false">1+IF($G$10=$E$10,$F$10,IF(T833&lt;($F$10-$E$10)/($G$10-$E$10),$E$10+SQRT(T833*($G$10-$E$10)*($F$10-$E$10)),$G$10-SQRT((1-T833)*($G$10-$E$10)*($G$10-$F$10))))</f>
        <v>0.988249145605672</v>
      </c>
      <c r="G833" s="52" t="n">
        <f aca="false">IF($G$11=$E$11,$F$11,IF(U833&lt;($F$11-$E$11)/($G$11-$E$11),$E$11+SQRT(U833*($G$11-$E$11)*($F$11-$E$11)),$G$11-SQRT((1-U833)*($G$11-$E$11)*($G$11-$F$11))))</f>
        <v>0.10515097315702</v>
      </c>
      <c r="H833" s="53" t="n">
        <f aca="false">(('Business Case'!B11*$C833*'Business Case'!B12*$B833)-'Business Case'!B11*$C833*'Business Case'!B13*$D833-'Business Case'!B14*$E833)-MAX(0,(('Business Case'!B11*$C833*'Business Case'!B12*$B833)-'Business Case'!B11*$C833*'Business Case'!B13*$D833-'Business Case'!B14*$E833))*'Business Case'!$B$7-'Business Case'!$B$8*('Business Case'!B11*$C833*'Business Case'!B12*$B833)-'Business Case'!B15*$F833</f>
        <v>-1976498291.21134</v>
      </c>
      <c r="I833" s="53" t="n">
        <f aca="false">(('Business Case'!C11*$C833*'Business Case'!C12*$B833)-'Business Case'!C11*$C833*'Business Case'!C13*$D833-'Business Case'!C14*$E833)-MAX(0,(('Business Case'!C11*$C833*'Business Case'!C12*$B833)-'Business Case'!C11*$C833*'Business Case'!C13*$D833-'Business Case'!C14*$E833))*'Business Case'!$B$7-'Business Case'!$B$8*(('Business Case'!C11*$C833*'Business Case'!C12*$B833)-('Business Case'!B11*$C833*'Business Case'!B12*$B833))-'Business Case'!C15*$F833</f>
        <v>-30450578.7068533</v>
      </c>
      <c r="J833" s="53" t="n">
        <f aca="false">(('Business Case'!D11*$C833*'Business Case'!D12*$B833)-'Business Case'!D11*$C833*'Business Case'!D13*$D833-'Business Case'!D14*$E833)-MAX(0,(('Business Case'!D11*$C833*'Business Case'!D12*$B833)-'Business Case'!D11*$C833*'Business Case'!D13*$D833-'Business Case'!D14*$E833))*'Business Case'!$B$7-'Business Case'!$B$8*(('Business Case'!D11*$C833*'Business Case'!D12*$B833)-('Business Case'!C11*$C833*'Business Case'!C12*$B833))-'Business Case'!D15*$F833</f>
        <v>228671310.141039</v>
      </c>
      <c r="K833" s="53" t="n">
        <f aca="false">(('Business Case'!E11*$C833*'Business Case'!E12*$B833)-'Business Case'!E11*$C833*'Business Case'!E13*$D833-'Business Case'!E14*$E833)-MAX(0,(('Business Case'!E11*$C833*'Business Case'!E12*$B833)-'Business Case'!E11*$C833*'Business Case'!E13*$D833-'Business Case'!E14*$E833))*'Business Case'!$B$7-'Business Case'!$B$8*(('Business Case'!E11*$C833*'Business Case'!E12*$B833)-('Business Case'!D11*$C833*'Business Case'!D12*$B833))-'Business Case'!E15*$F833</f>
        <v>537205656.269215</v>
      </c>
      <c r="L833" s="53" t="n">
        <f aca="false">(('Business Case'!F11*$C833*'Business Case'!F12*$B833)-'Business Case'!F11*$C833*'Business Case'!F13*$D833-'Business Case'!F14*$E833)-MAX(0,(('Business Case'!F11*$C833*'Business Case'!F12*$B833)-'Business Case'!F11*$C833*'Business Case'!F13*$D833-'Business Case'!F14*$E833))*'Business Case'!$B$7-'Business Case'!$B$8*(('Business Case'!F11*$C833*'Business Case'!F12*$B833)-('Business Case'!E11*$C833*'Business Case'!E12*$B833))-'Business Case'!F15*$F833</f>
        <v>653808276.771075</v>
      </c>
      <c r="M833" s="53" t="n">
        <f aca="false">(('Business Case'!G11*$C833*'Business Case'!G12*$B833)-'Business Case'!G11*$C833*'Business Case'!G13*$D833-'Business Case'!G14*$E833)-MAX(0,(('Business Case'!G11*$C833*'Business Case'!G12*$B833)-'Business Case'!G11*$C833*'Business Case'!G13*$D833-'Business Case'!G14*$E833))*'Business Case'!$B$7-'Business Case'!$B$8*(('Business Case'!G11*$C833*'Business Case'!G12*$B833)-('Business Case'!F11*$C833*'Business Case'!F12*$B833))-'Business Case'!G15*$F833+'Business Case'!$B$8*('Business Case'!G11*$C833*'Business Case'!G12*$B833)</f>
        <v>820065893.310173</v>
      </c>
      <c r="N833" s="53" t="n">
        <f aca="false">IF(COUNT('Business Case'!B11:G11)=0,"",H833+NPV(G833,I833:M833))</f>
        <v>-483098909.620465</v>
      </c>
      <c r="P833" s="54" t="n">
        <f aca="true">RAND()</f>
        <v>0.204797345413265</v>
      </c>
      <c r="Q833" s="54" t="n">
        <f aca="true">RAND()</f>
        <v>0.163605430699259</v>
      </c>
      <c r="R833" s="54" t="n">
        <f aca="true">RAND()</f>
        <v>0.187131718533363</v>
      </c>
      <c r="S833" s="54" t="n">
        <f aca="true">RAND()</f>
        <v>0.599951431129193</v>
      </c>
      <c r="T833" s="54" t="n">
        <f aca="true">RAND()</f>
        <v>0.11703977116511</v>
      </c>
      <c r="U833" s="54" t="n">
        <f aca="true">RAND()</f>
        <v>0.632510669694103</v>
      </c>
    </row>
    <row r="834" customFormat="false" ht="15" hidden="false" customHeight="false" outlineLevel="0" collapsed="false">
      <c r="A834" s="50" t="n">
        <v>754</v>
      </c>
      <c r="B834" s="51" t="n">
        <f aca="false">1+IF($G$6=$E$6,$F$6,IF(P834&lt;($F$6-$E$6)/($G$6-$E$6),$E$6+SQRT(P834*($G$6-$E$6)*($F$6-$E$6)),$G$6-SQRT((1-P834)*($G$6-$E$6)*($G$6-$F$6))))</f>
        <v>0.93852332706777</v>
      </c>
      <c r="C834" s="51" t="n">
        <f aca="false">1+IF($G$7=$E$7,$F$7,IF(Q834&lt;($F$7-$E$7)/($G$7-$E$7),$E$7+SQRT(Q834*($G$7-$E$7)*($F$7-$E$7)),$G$7-SQRT((1-Q834)*($G$7-$E$7)*($G$7-$F$7))))</f>
        <v>0.92910325395178</v>
      </c>
      <c r="D834" s="51" t="n">
        <f aca="false">1+IF($G$8=$E$8,$F$8,IF(R834&lt;($F$8-$E$8)/($G$8-$E$8),$E$8+SQRT(R834*($G$8-$E$8)*($F$8-$E$8)),$G$8-SQRT((1-R834)*($G$8-$E$8)*($G$8-$F$8))))</f>
        <v>1.0096745154492</v>
      </c>
      <c r="E834" s="51" t="n">
        <f aca="false">1+IF($G$9=$E$9,$F$9,IF(S834&lt;($F$9-$E$9)/($G$9-$E$9),$E$9+SQRT(S834*($G$9-$E$9)*($F$9-$E$9)),$G$9-SQRT((1-S834)*($G$9-$E$9)*($G$9-$F$9))))</f>
        <v>1.02966744423088</v>
      </c>
      <c r="F834" s="51" t="n">
        <f aca="false">1+IF($G$10=$E$10,$F$10,IF(T834&lt;($F$10-$E$10)/($G$10-$E$10),$E$10+SQRT(T834*($G$10-$E$10)*($F$10-$E$10)),$G$10-SQRT((1-T834)*($G$10-$E$10)*($G$10-$F$10))))</f>
        <v>1.05054746440454</v>
      </c>
      <c r="G834" s="52" t="n">
        <f aca="false">IF($G$11=$E$11,$F$11,IF(U834&lt;($F$11-$E$11)/($G$11-$E$11),$E$11+SQRT(U834*($G$11-$E$11)*($F$11-$E$11)),$G$11-SQRT((1-U834)*($G$11-$E$11)*($G$11-$F$11))))</f>
        <v>0.104103350854189</v>
      </c>
      <c r="H834" s="53" t="n">
        <f aca="false">(('Business Case'!B11*$C834*'Business Case'!B12*$B834)-'Business Case'!B11*$C834*'Business Case'!B13*$D834-'Business Case'!B14*$E834)-MAX(0,(('Business Case'!B11*$C834*'Business Case'!B12*$B834)-'Business Case'!B11*$C834*'Business Case'!B13*$D834-'Business Case'!B14*$E834))*'Business Case'!$B$7-'Business Case'!$B$8*('Business Case'!B11*$C834*'Business Case'!B12*$B834)-'Business Case'!B15*$F834</f>
        <v>-2101094928.80908</v>
      </c>
      <c r="I834" s="53" t="n">
        <f aca="false">(('Business Case'!C11*$C834*'Business Case'!C12*$B834)-'Business Case'!C11*$C834*'Business Case'!C13*$D834-'Business Case'!C14*$E834)-MAX(0,(('Business Case'!C11*$C834*'Business Case'!C12*$B834)-'Business Case'!C11*$C834*'Business Case'!C13*$D834-'Business Case'!C14*$E834))*'Business Case'!$B$7-'Business Case'!$B$8*(('Business Case'!C11*$C834*'Business Case'!C12*$B834)-('Business Case'!B11*$C834*'Business Case'!B12*$B834))-'Business Case'!C15*$F834</f>
        <v>-62686596.3960948</v>
      </c>
      <c r="J834" s="53" t="n">
        <f aca="false">(('Business Case'!D11*$C834*'Business Case'!D12*$B834)-'Business Case'!D11*$C834*'Business Case'!D13*$D834-'Business Case'!D14*$E834)-MAX(0,(('Business Case'!D11*$C834*'Business Case'!D12*$B834)-'Business Case'!D11*$C834*'Business Case'!D13*$D834-'Business Case'!D14*$E834))*'Business Case'!$B$7-'Business Case'!$B$8*(('Business Case'!D11*$C834*'Business Case'!D12*$B834)-('Business Case'!C11*$C834*'Business Case'!C12*$B834))-'Business Case'!D15*$F834</f>
        <v>171303970.614153</v>
      </c>
      <c r="K834" s="53" t="n">
        <f aca="false">(('Business Case'!E11*$C834*'Business Case'!E12*$B834)-'Business Case'!E11*$C834*'Business Case'!E13*$D834-'Business Case'!E14*$E834)-MAX(0,(('Business Case'!E11*$C834*'Business Case'!E12*$B834)-'Business Case'!E11*$C834*'Business Case'!E13*$D834-'Business Case'!E14*$E834))*'Business Case'!$B$7-'Business Case'!$B$8*(('Business Case'!E11*$C834*'Business Case'!E12*$B834)-('Business Case'!D11*$C834*'Business Case'!D12*$B834))-'Business Case'!E15*$F834</f>
        <v>457821910.844628</v>
      </c>
      <c r="L834" s="53" t="n">
        <f aca="false">(('Business Case'!F11*$C834*'Business Case'!F12*$B834)-'Business Case'!F11*$C834*'Business Case'!F13*$D834-'Business Case'!F14*$E834)-MAX(0,(('Business Case'!F11*$C834*'Business Case'!F12*$B834)-'Business Case'!F11*$C834*'Business Case'!F13*$D834-'Business Case'!F14*$E834))*'Business Case'!$B$7-'Business Case'!$B$8*(('Business Case'!F11*$C834*'Business Case'!F12*$B834)-('Business Case'!E11*$C834*'Business Case'!E12*$B834))-'Business Case'!F15*$F834</f>
        <v>565954570.778882</v>
      </c>
      <c r="M834" s="53" t="n">
        <f aca="false">(('Business Case'!G11*$C834*'Business Case'!G12*$B834)-'Business Case'!G11*$C834*'Business Case'!G13*$D834-'Business Case'!G14*$E834)-MAX(0,(('Business Case'!G11*$C834*'Business Case'!G12*$B834)-'Business Case'!G11*$C834*'Business Case'!G13*$D834-'Business Case'!G14*$E834))*'Business Case'!$B$7-'Business Case'!$B$8*(('Business Case'!G11*$C834*'Business Case'!G12*$B834)-('Business Case'!F11*$C834*'Business Case'!F12*$B834))-'Business Case'!G15*$F834+'Business Case'!$B$8*('Business Case'!G11*$C834*'Business Case'!G12*$B834)</f>
        <v>731701494.231829</v>
      </c>
      <c r="N834" s="53" t="n">
        <f aca="false">IF(COUNT('Business Case'!B11:G11)=0,"",H834+NPV(G834,I834:M834))</f>
        <v>-850410984.564662</v>
      </c>
      <c r="P834" s="54" t="n">
        <f aca="true">RAND()</f>
        <v>0.0357410047562057</v>
      </c>
      <c r="Q834" s="54" t="n">
        <f aca="true">RAND()</f>
        <v>0.238109288299109</v>
      </c>
      <c r="R834" s="54" t="n">
        <f aca="true">RAND()</f>
        <v>0.524454444489928</v>
      </c>
      <c r="S834" s="54" t="n">
        <f aca="true">RAND()</f>
        <v>0.670222106598869</v>
      </c>
      <c r="T834" s="54" t="n">
        <f aca="true">RAND()</f>
        <v>0.553278792081745</v>
      </c>
      <c r="U834" s="54" t="n">
        <f aca="true">RAND()</f>
        <v>0.578827576558293</v>
      </c>
    </row>
    <row r="835" customFormat="false" ht="15" hidden="false" customHeight="false" outlineLevel="0" collapsed="false">
      <c r="A835" s="50" t="n">
        <v>755</v>
      </c>
      <c r="B835" s="51" t="n">
        <f aca="false">1+IF($G$6=$E$6,$F$6,IF(P835&lt;($F$6-$E$6)/($G$6-$E$6),$E$6+SQRT(P835*($G$6-$E$6)*($F$6-$E$6)),$G$6-SQRT((1-P835)*($G$6-$E$6)*($G$6-$F$6))))</f>
        <v>0.989482029936933</v>
      </c>
      <c r="C835" s="51" t="n">
        <f aca="false">1+IF($G$7=$E$7,$F$7,IF(Q835&lt;($F$7-$E$7)/($G$7-$E$7),$E$7+SQRT(Q835*($G$7-$E$7)*($F$7-$E$7)),$G$7-SQRT((1-Q835)*($G$7-$E$7)*($G$7-$F$7))))</f>
        <v>0.939898388463314</v>
      </c>
      <c r="D835" s="51" t="n">
        <f aca="false">1+IF($G$8=$E$8,$F$8,IF(R835&lt;($F$8-$E$8)/($G$8-$E$8),$E$8+SQRT(R835*($G$8-$E$8)*($F$8-$E$8)),$G$8-SQRT((1-R835)*($G$8-$E$8)*($G$8-$F$8))))</f>
        <v>1.0341458914486</v>
      </c>
      <c r="E835" s="51" t="n">
        <f aca="false">1+IF($G$9=$E$9,$F$9,IF(S835&lt;($F$9-$E$9)/($G$9-$E$9),$E$9+SQRT(S835*($G$9-$E$9)*($F$9-$E$9)),$G$9-SQRT((1-S835)*($G$9-$E$9)*($G$9-$F$9))))</f>
        <v>1.04659208339756</v>
      </c>
      <c r="F835" s="51" t="n">
        <f aca="false">1+IF($G$10=$E$10,$F$10,IF(T835&lt;($F$10-$E$10)/($G$10-$E$10),$E$10+SQRT(T835*($G$10-$E$10)*($F$10-$E$10)),$G$10-SQRT((1-T835)*($G$10-$E$10)*($G$10-$F$10))))</f>
        <v>1.06404029674096</v>
      </c>
      <c r="G835" s="52" t="n">
        <f aca="false">IF($G$11=$E$11,$F$11,IF(U835&lt;($F$11-$E$11)/($G$11-$E$11),$E$11+SQRT(U835*($G$11-$E$11)*($F$11-$E$11)),$G$11-SQRT((1-U835)*($G$11-$E$11)*($G$11-$F$11))))</f>
        <v>0.107237923715307</v>
      </c>
      <c r="H835" s="53" t="n">
        <f aca="false">(('Business Case'!B11*$C835*'Business Case'!B12*$B835)-'Business Case'!B11*$C835*'Business Case'!B13*$D835-'Business Case'!B14*$E835)-MAX(0,(('Business Case'!B11*$C835*'Business Case'!B12*$B835)-'Business Case'!B11*$C835*'Business Case'!B13*$D835-'Business Case'!B14*$E835))*'Business Case'!$B$7-'Business Case'!$B$8*('Business Case'!B11*$C835*'Business Case'!B12*$B835)-'Business Case'!B15*$F835</f>
        <v>-2128080593.48192</v>
      </c>
      <c r="I835" s="53" t="n">
        <f aca="false">(('Business Case'!C11*$C835*'Business Case'!C12*$B835)-'Business Case'!C11*$C835*'Business Case'!C13*$D835-'Business Case'!C14*$E835)-MAX(0,(('Business Case'!C11*$C835*'Business Case'!C12*$B835)-'Business Case'!C11*$C835*'Business Case'!C13*$D835-'Business Case'!C14*$E835))*'Business Case'!$B$7-'Business Case'!$B$8*(('Business Case'!C11*$C835*'Business Case'!C12*$B835)-('Business Case'!B11*$C835*'Business Case'!B12*$B835))-'Business Case'!C15*$F835</f>
        <v>-39276197.1151537</v>
      </c>
      <c r="J835" s="53" t="n">
        <f aca="false">(('Business Case'!D11*$C835*'Business Case'!D12*$B835)-'Business Case'!D11*$C835*'Business Case'!D13*$D835-'Business Case'!D14*$E835)-MAX(0,(('Business Case'!D11*$C835*'Business Case'!D12*$B835)-'Business Case'!D11*$C835*'Business Case'!D13*$D835-'Business Case'!D14*$E835))*'Business Case'!$B$7-'Business Case'!$B$8*(('Business Case'!D11*$C835*'Business Case'!D12*$B835)-('Business Case'!C11*$C835*'Business Case'!C12*$B835))-'Business Case'!D15*$F835</f>
        <v>224888881.090724</v>
      </c>
      <c r="K835" s="53" t="n">
        <f aca="false">(('Business Case'!E11*$C835*'Business Case'!E12*$B835)-'Business Case'!E11*$C835*'Business Case'!E13*$D835-'Business Case'!E14*$E835)-MAX(0,(('Business Case'!E11*$C835*'Business Case'!E12*$B835)-'Business Case'!E11*$C835*'Business Case'!E13*$D835-'Business Case'!E14*$E835))*'Business Case'!$B$7-'Business Case'!$B$8*(('Business Case'!E11*$C835*'Business Case'!E12*$B835)-('Business Case'!D11*$C835*'Business Case'!D12*$B835))-'Business Case'!E15*$F835</f>
        <v>542255974.13365</v>
      </c>
      <c r="L835" s="53" t="n">
        <f aca="false">(('Business Case'!F11*$C835*'Business Case'!F12*$B835)-'Business Case'!F11*$C835*'Business Case'!F13*$D835-'Business Case'!F14*$E835)-MAX(0,(('Business Case'!F11*$C835*'Business Case'!F12*$B835)-'Business Case'!F11*$C835*'Business Case'!F13*$D835-'Business Case'!F14*$E835))*'Business Case'!$B$7-'Business Case'!$B$8*(('Business Case'!F11*$C835*'Business Case'!F12*$B835)-('Business Case'!E11*$C835*'Business Case'!E12*$B835))-'Business Case'!F15*$F835</f>
        <v>662452234.460811</v>
      </c>
      <c r="M835" s="53" t="n">
        <f aca="false">(('Business Case'!G11*$C835*'Business Case'!G12*$B835)-'Business Case'!G11*$C835*'Business Case'!G13*$D835-'Business Case'!G14*$E835)-MAX(0,(('Business Case'!G11*$C835*'Business Case'!G12*$B835)-'Business Case'!G11*$C835*'Business Case'!G13*$D835-'Business Case'!G14*$E835))*'Business Case'!$B$7-'Business Case'!$B$8*(('Business Case'!G11*$C835*'Business Case'!G12*$B835)-('Business Case'!F11*$C835*'Business Case'!F12*$B835))-'Business Case'!G15*$F835+'Business Case'!$B$8*('Business Case'!G11*$C835*'Business Case'!G12*$B835)</f>
        <v>839229022.882754</v>
      </c>
      <c r="N835" s="53" t="n">
        <f aca="false">IF(COUNT('Business Case'!B11:G11)=0,"",H835+NPV(G835,I835:M835))</f>
        <v>-635615603.746223</v>
      </c>
      <c r="P835" s="54" t="n">
        <f aca="true">RAND()</f>
        <v>0.50289088376634</v>
      </c>
      <c r="Q835" s="54" t="n">
        <f aca="true">RAND()</f>
        <v>0.279593701351892</v>
      </c>
      <c r="R835" s="54" t="n">
        <f aca="true">RAND()</f>
        <v>0.797826993168875</v>
      </c>
      <c r="S835" s="54" t="n">
        <f aca="true">RAND()</f>
        <v>0.809839629612442</v>
      </c>
      <c r="T835" s="54" t="n">
        <f aca="true">RAND()</f>
        <v>0.63029918179427</v>
      </c>
      <c r="U835" s="54" t="n">
        <f aca="true">RAND()</f>
        <v>0.728549014839448</v>
      </c>
    </row>
    <row r="836" customFormat="false" ht="15" hidden="false" customHeight="false" outlineLevel="0" collapsed="false">
      <c r="A836" s="50" t="n">
        <v>756</v>
      </c>
      <c r="B836" s="51" t="n">
        <f aca="false">1+IF($G$6=$E$6,$F$6,IF(P836&lt;($F$6-$E$6)/($G$6-$E$6),$E$6+SQRT(P836*($G$6-$E$6)*($F$6-$E$6)),$G$6-SQRT((1-P836)*($G$6-$E$6)*($G$6-$F$6))))</f>
        <v>1.00049367498891</v>
      </c>
      <c r="C836" s="51" t="n">
        <f aca="false">1+IF($G$7=$E$7,$F$7,IF(Q836&lt;($F$7-$E$7)/($G$7-$E$7),$E$7+SQRT(Q836*($G$7-$E$7)*($F$7-$E$7)),$G$7-SQRT((1-Q836)*($G$7-$E$7)*($G$7-$F$7))))</f>
        <v>0.976353847905837</v>
      </c>
      <c r="D836" s="51" t="n">
        <f aca="false">1+IF($G$8=$E$8,$F$8,IF(R836&lt;($F$8-$E$8)/($G$8-$E$8),$E$8+SQRT(R836*($G$8-$E$8)*($F$8-$E$8)),$G$8-SQRT((1-R836)*($G$8-$E$8)*($G$8-$F$8))))</f>
        <v>0.998389362333751</v>
      </c>
      <c r="E836" s="51" t="n">
        <f aca="false">1+IF($G$9=$E$9,$F$9,IF(S836&lt;($F$9-$E$9)/($G$9-$E$9),$E$9+SQRT(S836*($G$9-$E$9)*($F$9-$E$9)),$G$9-SQRT((1-S836)*($G$9-$E$9)*($G$9-$F$9))))</f>
        <v>1.015740652536</v>
      </c>
      <c r="F836" s="51" t="n">
        <f aca="false">1+IF($G$10=$E$10,$F$10,IF(T836&lt;($F$10-$E$10)/($G$10-$E$10),$E$10+SQRT(T836*($G$10-$E$10)*($F$10-$E$10)),$G$10-SQRT((1-T836)*($G$10-$E$10)*($G$10-$F$10))))</f>
        <v>0.956692761515269</v>
      </c>
      <c r="G836" s="52" t="n">
        <f aca="false">IF($G$11=$E$11,$F$11,IF(U836&lt;($F$11-$E$11)/($G$11-$E$11),$E$11+SQRT(U836*($G$11-$E$11)*($F$11-$E$11)),$G$11-SQRT((1-U836)*($G$11-$E$11)*($G$11-$F$11))))</f>
        <v>0.106596056841946</v>
      </c>
      <c r="H836" s="53" t="n">
        <f aca="false">(('Business Case'!B11*$C836*'Business Case'!B12*$B836)-'Business Case'!B11*$C836*'Business Case'!B13*$D836-'Business Case'!B14*$E836)-MAX(0,(('Business Case'!B11*$C836*'Business Case'!B12*$B836)-'Business Case'!B11*$C836*'Business Case'!B13*$D836-'Business Case'!B14*$E836))*'Business Case'!$B$7-'Business Case'!$B$8*('Business Case'!B11*$C836*'Business Case'!B12*$B836)-'Business Case'!B15*$F836</f>
        <v>-1913385523.03054</v>
      </c>
      <c r="I836" s="53" t="n">
        <f aca="false">(('Business Case'!C11*$C836*'Business Case'!C12*$B836)-'Business Case'!C11*$C836*'Business Case'!C13*$D836-'Business Case'!C14*$E836)-MAX(0,(('Business Case'!C11*$C836*'Business Case'!C12*$B836)-'Business Case'!C11*$C836*'Business Case'!C13*$D836-'Business Case'!C14*$E836))*'Business Case'!$B$7-'Business Case'!$B$8*(('Business Case'!C11*$C836*'Business Case'!C12*$B836)-('Business Case'!B11*$C836*'Business Case'!B12*$B836))-'Business Case'!C15*$F836</f>
        <v>10342084.5948078</v>
      </c>
      <c r="J836" s="53" t="n">
        <f aca="false">(('Business Case'!D11*$C836*'Business Case'!D12*$B836)-'Business Case'!D11*$C836*'Business Case'!D13*$D836-'Business Case'!D14*$E836)-MAX(0,(('Business Case'!D11*$C836*'Business Case'!D12*$B836)-'Business Case'!D11*$C836*'Business Case'!D13*$D836-'Business Case'!D14*$E836))*'Business Case'!$B$7-'Business Case'!$B$8*(('Business Case'!D11*$C836*'Business Case'!D12*$B836)-('Business Case'!C11*$C836*'Business Case'!C12*$B836))-'Business Case'!D15*$F836</f>
        <v>311430936.563666</v>
      </c>
      <c r="K836" s="53" t="n">
        <f aca="false">(('Business Case'!E11*$C836*'Business Case'!E12*$B836)-'Business Case'!E11*$C836*'Business Case'!E13*$D836-'Business Case'!E14*$E836)-MAX(0,(('Business Case'!E11*$C836*'Business Case'!E12*$B836)-'Business Case'!E11*$C836*'Business Case'!E13*$D836-'Business Case'!E14*$E836))*'Business Case'!$B$7-'Business Case'!$B$8*(('Business Case'!E11*$C836*'Business Case'!E12*$B836)-('Business Case'!D11*$C836*'Business Case'!D12*$B836))-'Business Case'!E15*$F836</f>
        <v>660354426.608287</v>
      </c>
      <c r="L836" s="53" t="n">
        <f aca="false">(('Business Case'!F11*$C836*'Business Case'!F12*$B836)-'Business Case'!F11*$C836*'Business Case'!F13*$D836-'Business Case'!F14*$E836)-MAX(0,(('Business Case'!F11*$C836*'Business Case'!F12*$B836)-'Business Case'!F11*$C836*'Business Case'!F13*$D836-'Business Case'!F14*$E836))*'Business Case'!$B$7-'Business Case'!$B$8*(('Business Case'!F11*$C836*'Business Case'!F12*$B836)-('Business Case'!E11*$C836*'Business Case'!E12*$B836))-'Business Case'!F15*$F836</f>
        <v>794476824.219176</v>
      </c>
      <c r="M836" s="53" t="n">
        <f aca="false">(('Business Case'!G11*$C836*'Business Case'!G12*$B836)-'Business Case'!G11*$C836*'Business Case'!G13*$D836-'Business Case'!G14*$E836)-MAX(0,(('Business Case'!G11*$C836*'Business Case'!G12*$B836)-'Business Case'!G11*$C836*'Business Case'!G13*$D836-'Business Case'!G14*$E836))*'Business Case'!$B$7-'Business Case'!$B$8*(('Business Case'!G11*$C836*'Business Case'!G12*$B836)-('Business Case'!F11*$C836*'Business Case'!F12*$B836))-'Business Case'!G15*$F836+'Business Case'!$B$8*('Business Case'!G11*$C836*'Business Case'!G12*$B836)</f>
        <v>980153782.469492</v>
      </c>
      <c r="N836" s="53" t="n">
        <f aca="false">IF(COUNT('Business Case'!B11:G11)=0,"",H836+NPV(G836,I836:M836))</f>
        <v>-41912284.7070756</v>
      </c>
      <c r="P836" s="54" t="n">
        <f aca="true">RAND()</f>
        <v>0.674843809191217</v>
      </c>
      <c r="Q836" s="54" t="n">
        <f aca="true">RAND()</f>
        <v>0.444295423874214</v>
      </c>
      <c r="R836" s="54" t="n">
        <f aca="true">RAND()</f>
        <v>0.360235444164163</v>
      </c>
      <c r="S836" s="54" t="n">
        <f aca="true">RAND()</f>
        <v>0.526690824329388</v>
      </c>
      <c r="T836" s="54" t="n">
        <f aca="true">RAND()</f>
        <v>0.00358344453602069</v>
      </c>
      <c r="U836" s="54" t="n">
        <f aca="true">RAND()</f>
        <v>0.70055717969277</v>
      </c>
    </row>
    <row r="837" customFormat="false" ht="15" hidden="false" customHeight="false" outlineLevel="0" collapsed="false">
      <c r="A837" s="50" t="n">
        <v>757</v>
      </c>
      <c r="B837" s="51" t="n">
        <f aca="false">1+IF($G$6=$E$6,$F$6,IF(P837&lt;($F$6-$E$6)/($G$6-$E$6),$E$6+SQRT(P837*($G$6-$E$6)*($F$6-$E$6)),$G$6-SQRT((1-P837)*($G$6-$E$6)*($G$6-$F$6))))</f>
        <v>1.0097475445871</v>
      </c>
      <c r="C837" s="51" t="n">
        <f aca="false">1+IF($G$7=$E$7,$F$7,IF(Q837&lt;($F$7-$E$7)/($G$7-$E$7),$E$7+SQRT(Q837*($G$7-$E$7)*($F$7-$E$7)),$G$7-SQRT((1-Q837)*($G$7-$E$7)*($G$7-$F$7))))</f>
        <v>1.04549594682037</v>
      </c>
      <c r="D837" s="51" t="n">
        <f aca="false">1+IF($G$8=$E$8,$F$8,IF(R837&lt;($F$8-$E$8)/($G$8-$E$8),$E$8+SQRT(R837*($G$8-$E$8)*($F$8-$E$8)),$G$8-SQRT((1-R837)*($G$8-$E$8)*($G$8-$F$8))))</f>
        <v>1.0015961190083</v>
      </c>
      <c r="E837" s="51" t="n">
        <f aca="false">1+IF($G$9=$E$9,$F$9,IF(S837&lt;($F$9-$E$9)/($G$9-$E$9),$E$9+SQRT(S837*($G$9-$E$9)*($F$9-$E$9)),$G$9-SQRT((1-S837)*($G$9-$E$9)*($G$9-$F$9))))</f>
        <v>1.03786081600198</v>
      </c>
      <c r="F837" s="51" t="n">
        <f aca="false">1+IF($G$10=$E$10,$F$10,IF(T837&lt;($F$10-$E$10)/($G$10-$E$10),$E$10+SQRT(T837*($G$10-$E$10)*($F$10-$E$10)),$G$10-SQRT((1-T837)*($G$10-$E$10)*($G$10-$F$10))))</f>
        <v>0.980618355794472</v>
      </c>
      <c r="G837" s="52" t="n">
        <f aca="false">IF($G$11=$E$11,$F$11,IF(U837&lt;($F$11-$E$11)/($G$11-$E$11),$E$11+SQRT(U837*($G$11-$E$11)*($F$11-$E$11)),$G$11-SQRT((1-U837)*($G$11-$E$11)*($G$11-$F$11))))</f>
        <v>0.107293953204626</v>
      </c>
      <c r="H837" s="53" t="n">
        <f aca="false">(('Business Case'!B11*$C837*'Business Case'!B12*$B837)-'Business Case'!B11*$C837*'Business Case'!B13*$D837-'Business Case'!B14*$E837)-MAX(0,(('Business Case'!B11*$C837*'Business Case'!B12*$B837)-'Business Case'!B11*$C837*'Business Case'!B13*$D837-'Business Case'!B14*$E837))*'Business Case'!$B$7-'Business Case'!$B$8*('Business Case'!B11*$C837*'Business Case'!B12*$B837)-'Business Case'!B15*$F837</f>
        <v>-1961236711.58894</v>
      </c>
      <c r="I837" s="53" t="n">
        <f aca="false">(('Business Case'!C11*$C837*'Business Case'!C12*$B837)-'Business Case'!C11*$C837*'Business Case'!C13*$D837-'Business Case'!C14*$E837)-MAX(0,(('Business Case'!C11*$C837*'Business Case'!C12*$B837)-'Business Case'!C11*$C837*'Business Case'!C13*$D837-'Business Case'!C14*$E837))*'Business Case'!$B$7-'Business Case'!$B$8*(('Business Case'!C11*$C837*'Business Case'!C12*$B837)-('Business Case'!B11*$C837*'Business Case'!B12*$B837))-'Business Case'!C15*$F837</f>
        <v>28246633.6464771</v>
      </c>
      <c r="J837" s="53" t="n">
        <f aca="false">(('Business Case'!D11*$C837*'Business Case'!D12*$B837)-'Business Case'!D11*$C837*'Business Case'!D13*$D837-'Business Case'!D14*$E837)-MAX(0,(('Business Case'!D11*$C837*'Business Case'!D12*$B837)-'Business Case'!D11*$C837*'Business Case'!D13*$D837-'Business Case'!D14*$E837))*'Business Case'!$B$7-'Business Case'!$B$8*(('Business Case'!D11*$C837*'Business Case'!D12*$B837)-('Business Case'!C11*$C837*'Business Case'!C12*$B837))-'Business Case'!D15*$F837</f>
        <v>356865723.182691</v>
      </c>
      <c r="K837" s="53" t="n">
        <f aca="false">(('Business Case'!E11*$C837*'Business Case'!E12*$B837)-'Business Case'!E11*$C837*'Business Case'!E13*$D837-'Business Case'!E14*$E837)-MAX(0,(('Business Case'!E11*$C837*'Business Case'!E12*$B837)-'Business Case'!E11*$C837*'Business Case'!E13*$D837-'Business Case'!E14*$E837))*'Business Case'!$B$7-'Business Case'!$B$8*(('Business Case'!E11*$C837*'Business Case'!E12*$B837)-('Business Case'!D11*$C837*'Business Case'!D12*$B837))-'Business Case'!E15*$F837</f>
        <v>734515730.508629</v>
      </c>
      <c r="L837" s="53" t="n">
        <f aca="false">(('Business Case'!F11*$C837*'Business Case'!F12*$B837)-'Business Case'!F11*$C837*'Business Case'!F13*$D837-'Business Case'!F14*$E837)-MAX(0,(('Business Case'!F11*$C837*'Business Case'!F12*$B837)-'Business Case'!F11*$C837*'Business Case'!F13*$D837-'Business Case'!F14*$E837))*'Business Case'!$B$7-'Business Case'!$B$8*(('Business Case'!F11*$C837*'Business Case'!F12*$B837)-('Business Case'!E11*$C837*'Business Case'!E12*$B837))-'Business Case'!F15*$F837</f>
        <v>880539968.537239</v>
      </c>
      <c r="M837" s="53" t="n">
        <f aca="false">(('Business Case'!G11*$C837*'Business Case'!G12*$B837)-'Business Case'!G11*$C837*'Business Case'!G13*$D837-'Business Case'!G14*$E837)-MAX(0,(('Business Case'!G11*$C837*'Business Case'!G12*$B837)-'Business Case'!G11*$C837*'Business Case'!G13*$D837-'Business Case'!G14*$E837))*'Business Case'!$B$7-'Business Case'!$B$8*(('Business Case'!G11*$C837*'Business Case'!G12*$B837)-('Business Case'!F11*$C837*'Business Case'!F12*$B837))-'Business Case'!G15*$F837+'Business Case'!$B$8*('Business Case'!G11*$C837*'Business Case'!G12*$B837)</f>
        <v>1081204946.8782</v>
      </c>
      <c r="N837" s="53" t="n">
        <f aca="false">IF(COUNT('Business Case'!B11:G11)=0,"",H837+NPV(G837,I837:M837))</f>
        <v>131600401.11331</v>
      </c>
      <c r="P837" s="54" t="n">
        <f aca="true">RAND()</f>
        <v>0.809331029477211</v>
      </c>
      <c r="Q837" s="54" t="n">
        <f aca="true">RAND()</f>
        <v>0.791979102267213</v>
      </c>
      <c r="R837" s="54" t="n">
        <f aca="true">RAND()</f>
        <v>0.408926100522967</v>
      </c>
      <c r="S837" s="54" t="n">
        <f aca="true">RAND()</f>
        <v>0.742581454137313</v>
      </c>
      <c r="T837" s="54" t="n">
        <f aca="true">RAND()</f>
        <v>0.0749986969245516</v>
      </c>
      <c r="U837" s="54" t="n">
        <f aca="true">RAND()</f>
        <v>0.730927291389605</v>
      </c>
    </row>
    <row r="838" customFormat="false" ht="15" hidden="false" customHeight="false" outlineLevel="0" collapsed="false">
      <c r="A838" s="50" t="n">
        <v>758</v>
      </c>
      <c r="B838" s="51" t="n">
        <f aca="false">1+IF($G$6=$E$6,$F$6,IF(P838&lt;($F$6-$E$6)/($G$6-$E$6),$E$6+SQRT(P838*($G$6-$E$6)*($F$6-$E$6)),$G$6-SQRT((1-P838)*($G$6-$E$6)*($G$6-$F$6))))</f>
        <v>0.991764277326492</v>
      </c>
      <c r="C838" s="51" t="n">
        <f aca="false">1+IF($G$7=$E$7,$F$7,IF(Q838&lt;($F$7-$E$7)/($G$7-$E$7),$E$7+SQRT(Q838*($G$7-$E$7)*($F$7-$E$7)),$G$7-SQRT((1-Q838)*($G$7-$E$7)*($G$7-$F$7))))</f>
        <v>0.962691090802689</v>
      </c>
      <c r="D838" s="51" t="n">
        <f aca="false">1+IF($G$8=$E$8,$F$8,IF(R838&lt;($F$8-$E$8)/($G$8-$E$8),$E$8+SQRT(R838*($G$8-$E$8)*($F$8-$E$8)),$G$8-SQRT((1-R838)*($G$8-$E$8)*($G$8-$F$8))))</f>
        <v>1.00559890967388</v>
      </c>
      <c r="E838" s="51" t="n">
        <f aca="false">1+IF($G$9=$E$9,$F$9,IF(S838&lt;($F$9-$E$9)/($G$9-$E$9),$E$9+SQRT(S838*($G$9-$E$9)*($F$9-$E$9)),$G$9-SQRT((1-S838)*($G$9-$E$9)*($G$9-$F$9))))</f>
        <v>1.07511821693146</v>
      </c>
      <c r="F838" s="51" t="n">
        <f aca="false">1+IF($G$10=$E$10,$F$10,IF(T838&lt;($F$10-$E$10)/($G$10-$E$10),$E$10+SQRT(T838*($G$10-$E$10)*($F$10-$E$10)),$G$10-SQRT((1-T838)*($G$10-$E$10)*($G$10-$F$10))))</f>
        <v>1.02239433323276</v>
      </c>
      <c r="G838" s="52" t="n">
        <f aca="false">IF($G$11=$E$11,$F$11,IF(U838&lt;($F$11-$E$11)/($G$11-$E$11),$E$11+SQRT(U838*($G$11-$E$11)*($F$11-$E$11)),$G$11-SQRT((1-U838)*($G$11-$E$11)*($G$11-$F$11))))</f>
        <v>0.106805698397703</v>
      </c>
      <c r="H838" s="53" t="n">
        <f aca="false">(('Business Case'!B11*$C838*'Business Case'!B12*$B838)-'Business Case'!B11*$C838*'Business Case'!B13*$D838-'Business Case'!B14*$E838)-MAX(0,(('Business Case'!B11*$C838*'Business Case'!B12*$B838)-'Business Case'!B11*$C838*'Business Case'!B13*$D838-'Business Case'!B14*$E838))*'Business Case'!$B$7-'Business Case'!$B$8*('Business Case'!B11*$C838*'Business Case'!B12*$B838)-'Business Case'!B15*$F838</f>
        <v>-2044788666.46551</v>
      </c>
      <c r="I838" s="53" t="n">
        <f aca="false">(('Business Case'!C11*$C838*'Business Case'!C12*$B838)-'Business Case'!C11*$C838*'Business Case'!C13*$D838-'Business Case'!C14*$E838)-MAX(0,(('Business Case'!C11*$C838*'Business Case'!C12*$B838)-'Business Case'!C11*$C838*'Business Case'!C13*$D838-'Business Case'!C14*$E838))*'Business Case'!$B$7-'Business Case'!$B$8*(('Business Case'!C11*$C838*'Business Case'!C12*$B838)-('Business Case'!B11*$C838*'Business Case'!B12*$B838))-'Business Case'!C15*$F838</f>
        <v>-18176881.071856</v>
      </c>
      <c r="J838" s="53" t="n">
        <f aca="false">(('Business Case'!D11*$C838*'Business Case'!D12*$B838)-'Business Case'!D11*$C838*'Business Case'!D13*$D838-'Business Case'!D14*$E838)-MAX(0,(('Business Case'!D11*$C838*'Business Case'!D12*$B838)-'Business Case'!D11*$C838*'Business Case'!D13*$D838-'Business Case'!D14*$E838))*'Business Case'!$B$7-'Business Case'!$B$8*(('Business Case'!D11*$C838*'Business Case'!D12*$B838)-('Business Case'!C11*$C838*'Business Case'!C12*$B838))-'Business Case'!D15*$F838</f>
        <v>268262376.571631</v>
      </c>
      <c r="K838" s="53" t="n">
        <f aca="false">(('Business Case'!E11*$C838*'Business Case'!E12*$B838)-'Business Case'!E11*$C838*'Business Case'!E13*$D838-'Business Case'!E14*$E838)-MAX(0,(('Business Case'!E11*$C838*'Business Case'!E12*$B838)-'Business Case'!E11*$C838*'Business Case'!E13*$D838-'Business Case'!E14*$E838))*'Business Case'!$B$7-'Business Case'!$B$8*(('Business Case'!E11*$C838*'Business Case'!E12*$B838)-('Business Case'!D11*$C838*'Business Case'!D12*$B838))-'Business Case'!E15*$F838</f>
        <v>605821350.876754</v>
      </c>
      <c r="L838" s="53" t="n">
        <f aca="false">(('Business Case'!F11*$C838*'Business Case'!F12*$B838)-'Business Case'!F11*$C838*'Business Case'!F13*$D838-'Business Case'!F14*$E838)-MAX(0,(('Business Case'!F11*$C838*'Business Case'!F12*$B838)-'Business Case'!F11*$C838*'Business Case'!F13*$D838-'Business Case'!F14*$E838))*'Business Case'!$B$7-'Business Case'!$B$8*(('Business Case'!F11*$C838*'Business Case'!F12*$B838)-('Business Case'!E11*$C838*'Business Case'!E12*$B838))-'Business Case'!F15*$F838</f>
        <v>734297700.054192</v>
      </c>
      <c r="M838" s="53" t="n">
        <f aca="false">(('Business Case'!G11*$C838*'Business Case'!G12*$B838)-'Business Case'!G11*$C838*'Business Case'!G13*$D838-'Business Case'!G14*$E838)-MAX(0,(('Business Case'!G11*$C838*'Business Case'!G12*$B838)-'Business Case'!G11*$C838*'Business Case'!G13*$D838-'Business Case'!G14*$E838))*'Business Case'!$B$7-'Business Case'!$B$8*(('Business Case'!G11*$C838*'Business Case'!G12*$B838)-('Business Case'!F11*$C838*'Business Case'!F12*$B838))-'Business Case'!G15*$F838+'Business Case'!$B$8*('Business Case'!G11*$C838*'Business Case'!G12*$B838)</f>
        <v>915778981.517039</v>
      </c>
      <c r="N838" s="53" t="n">
        <f aca="false">IF(COUNT('Business Case'!B11:G11)=0,"",H838+NPV(G838,I838:M838))</f>
        <v>-354736496.553305</v>
      </c>
      <c r="P838" s="54" t="n">
        <f aca="true">RAND()</f>
        <v>0.536469947936841</v>
      </c>
      <c r="Q838" s="54" t="n">
        <f aca="true">RAND()</f>
        <v>0.378119871808127</v>
      </c>
      <c r="R838" s="54" t="n">
        <f aca="true">RAND()</f>
        <v>0.467738245988879</v>
      </c>
      <c r="S838" s="54" t="n">
        <f aca="true">RAND()</f>
        <v>0.958726458088689</v>
      </c>
      <c r="T838" s="54" t="n">
        <f aca="true">RAND()</f>
        <v>0.369124542643247</v>
      </c>
      <c r="U838" s="54" t="n">
        <f aca="true">RAND()</f>
        <v>0.709850675379392</v>
      </c>
    </row>
    <row r="839" customFormat="false" ht="15" hidden="false" customHeight="false" outlineLevel="0" collapsed="false">
      <c r="A839" s="50" t="n">
        <v>759</v>
      </c>
      <c r="B839" s="51" t="n">
        <f aca="false">1+IF($G$6=$E$6,$F$6,IF(P839&lt;($F$6-$E$6)/($G$6-$E$6),$E$6+SQRT(P839*($G$6-$E$6)*($F$6-$E$6)),$G$6-SQRT((1-P839)*($G$6-$E$6)*($G$6-$F$6))))</f>
        <v>0.946073452185001</v>
      </c>
      <c r="C839" s="51" t="n">
        <f aca="false">1+IF($G$7=$E$7,$F$7,IF(Q839&lt;($F$7-$E$7)/($G$7-$E$7),$E$7+SQRT(Q839*($G$7-$E$7)*($F$7-$E$7)),$G$7-SQRT((1-Q839)*($G$7-$E$7)*($G$7-$F$7))))</f>
        <v>0.999847059029688</v>
      </c>
      <c r="D839" s="51" t="n">
        <f aca="false">1+IF($G$8=$E$8,$F$8,IF(R839&lt;($F$8-$E$8)/($G$8-$E$8),$E$8+SQRT(R839*($G$8-$E$8)*($F$8-$E$8)),$G$8-SQRT((1-R839)*($G$8-$E$8)*($G$8-$F$8))))</f>
        <v>0.981423934830365</v>
      </c>
      <c r="E839" s="51" t="n">
        <f aca="false">1+IF($G$9=$E$9,$F$9,IF(S839&lt;($F$9-$E$9)/($G$9-$E$9),$E$9+SQRT(S839*($G$9-$E$9)*($F$9-$E$9)),$G$9-SQRT((1-S839)*($G$9-$E$9)*($G$9-$F$9))))</f>
        <v>1.01947624453938</v>
      </c>
      <c r="F839" s="51" t="n">
        <f aca="false">1+IF($G$10=$E$10,$F$10,IF(T839&lt;($F$10-$E$10)/($G$10-$E$10),$E$10+SQRT(T839*($G$10-$E$10)*($F$10-$E$10)),$G$10-SQRT((1-T839)*($G$10-$E$10)*($G$10-$F$10))))</f>
        <v>1.17710688465949</v>
      </c>
      <c r="G839" s="52" t="n">
        <f aca="false">IF($G$11=$E$11,$F$11,IF(U839&lt;($F$11-$E$11)/($G$11-$E$11),$E$11+SQRT(U839*($G$11-$E$11)*($F$11-$E$11)),$G$11-SQRT((1-U839)*($G$11-$E$11)*($G$11-$F$11))))</f>
        <v>0.091848975041409</v>
      </c>
      <c r="H839" s="53" t="n">
        <f aca="false">(('Business Case'!B11*$C839*'Business Case'!B12*$B839)-'Business Case'!B11*$C839*'Business Case'!B13*$D839-'Business Case'!B14*$E839)-MAX(0,(('Business Case'!B11*$C839*'Business Case'!B12*$B839)-'Business Case'!B11*$C839*'Business Case'!B13*$D839-'Business Case'!B14*$E839))*'Business Case'!$B$7-'Business Case'!$B$8*('Business Case'!B11*$C839*'Business Case'!B12*$B839)-'Business Case'!B15*$F839</f>
        <v>-2354213769.31897</v>
      </c>
      <c r="I839" s="53" t="n">
        <f aca="false">(('Business Case'!C11*$C839*'Business Case'!C12*$B839)-'Business Case'!C11*$C839*'Business Case'!C13*$D839-'Business Case'!C14*$E839)-MAX(0,(('Business Case'!C11*$C839*'Business Case'!C12*$B839)-'Business Case'!C11*$C839*'Business Case'!C13*$D839-'Business Case'!C14*$E839))*'Business Case'!$B$7-'Business Case'!$B$8*(('Business Case'!C11*$C839*'Business Case'!C12*$B839)-('Business Case'!B11*$C839*'Business Case'!B12*$B839))-'Business Case'!C15*$F839</f>
        <v>-39267098.5357641</v>
      </c>
      <c r="J839" s="53" t="n">
        <f aca="false">(('Business Case'!D11*$C839*'Business Case'!D12*$B839)-'Business Case'!D11*$C839*'Business Case'!D13*$D839-'Business Case'!D14*$E839)-MAX(0,(('Business Case'!D11*$C839*'Business Case'!D12*$B839)-'Business Case'!D11*$C839*'Business Case'!D13*$D839-'Business Case'!D14*$E839))*'Business Case'!$B$7-'Business Case'!$B$8*(('Business Case'!D11*$C839*'Business Case'!D12*$B839)-('Business Case'!C11*$C839*'Business Case'!C12*$B839))-'Business Case'!D15*$F839</f>
        <v>233182960.223762</v>
      </c>
      <c r="K839" s="53" t="n">
        <f aca="false">(('Business Case'!E11*$C839*'Business Case'!E12*$B839)-'Business Case'!E11*$C839*'Business Case'!E13*$D839-'Business Case'!E14*$E839)-MAX(0,(('Business Case'!E11*$C839*'Business Case'!E12*$B839)-'Business Case'!E11*$C839*'Business Case'!E13*$D839-'Business Case'!E14*$E839))*'Business Case'!$B$7-'Business Case'!$B$8*(('Business Case'!E11*$C839*'Business Case'!E12*$B839)-('Business Case'!D11*$C839*'Business Case'!D12*$B839))-'Business Case'!E15*$F839</f>
        <v>564488363.216262</v>
      </c>
      <c r="L839" s="53" t="n">
        <f aca="false">(('Business Case'!F11*$C839*'Business Case'!F12*$B839)-'Business Case'!F11*$C839*'Business Case'!F13*$D839-'Business Case'!F14*$E839)-MAX(0,(('Business Case'!F11*$C839*'Business Case'!F12*$B839)-'Business Case'!F11*$C839*'Business Case'!F13*$D839-'Business Case'!F14*$E839))*'Business Case'!$B$7-'Business Case'!$B$8*(('Business Case'!F11*$C839*'Business Case'!F12*$B839)-('Business Case'!E11*$C839*'Business Case'!E12*$B839))-'Business Case'!F15*$F839</f>
        <v>687996347.373332</v>
      </c>
      <c r="M839" s="53" t="n">
        <f aca="false">(('Business Case'!G11*$C839*'Business Case'!G12*$B839)-'Business Case'!G11*$C839*'Business Case'!G13*$D839-'Business Case'!G14*$E839)-MAX(0,(('Business Case'!G11*$C839*'Business Case'!G12*$B839)-'Business Case'!G11*$C839*'Business Case'!G13*$D839-'Business Case'!G14*$E839))*'Business Case'!$B$7-'Business Case'!$B$8*(('Business Case'!G11*$C839*'Business Case'!G12*$B839)-('Business Case'!F11*$C839*'Business Case'!F12*$B839))-'Business Case'!G15*$F839+'Business Case'!$B$8*('Business Case'!G11*$C839*'Business Case'!G12*$B839)</f>
        <v>867798485.84475</v>
      </c>
      <c r="N839" s="53" t="n">
        <f aca="false">IF(COUNT('Business Case'!B11:G11)=0,"",H839+NPV(G839,I839:M839))</f>
        <v>-717547556.521106</v>
      </c>
      <c r="P839" s="54" t="n">
        <f aca="true">RAND()</f>
        <v>0.0708150946712</v>
      </c>
      <c r="Q839" s="54" t="n">
        <f aca="true">RAND()</f>
        <v>0.570554957183078</v>
      </c>
      <c r="R839" s="54" t="n">
        <f aca="true">RAND()</f>
        <v>0.151917489265085</v>
      </c>
      <c r="S839" s="54" t="n">
        <f aca="true">RAND()</f>
        <v>0.567728320434554</v>
      </c>
      <c r="T839" s="54" t="n">
        <f aca="true">RAND()</f>
        <v>0.98951810540012</v>
      </c>
      <c r="U839" s="54" t="n">
        <f aca="true">RAND()</f>
        <v>0.0113956956791784</v>
      </c>
    </row>
    <row r="840" customFormat="false" ht="15" hidden="false" customHeight="false" outlineLevel="0" collapsed="false">
      <c r="A840" s="50" t="n">
        <v>760</v>
      </c>
      <c r="B840" s="51" t="n">
        <f aca="false">1+IF($G$6=$E$6,$F$6,IF(P840&lt;($F$6-$E$6)/($G$6-$E$6),$E$6+SQRT(P840*($G$6-$E$6)*($F$6-$E$6)),$G$6-SQRT((1-P840)*($G$6-$E$6)*($G$6-$F$6))))</f>
        <v>0.954405777463571</v>
      </c>
      <c r="C840" s="51" t="n">
        <f aca="false">1+IF($G$7=$E$7,$F$7,IF(Q840&lt;($F$7-$E$7)/($G$7-$E$7),$E$7+SQRT(Q840*($G$7-$E$7)*($F$7-$E$7)),$G$7-SQRT((1-Q840)*($G$7-$E$7)*($G$7-$F$7))))</f>
        <v>1.01521075746896</v>
      </c>
      <c r="D840" s="51" t="n">
        <f aca="false">1+IF($G$8=$E$8,$F$8,IF(R840&lt;($F$8-$E$8)/($G$8-$E$8),$E$8+SQRT(R840*($G$8-$E$8)*($F$8-$E$8)),$G$8-SQRT((1-R840)*($G$8-$E$8)*($G$8-$F$8))))</f>
        <v>0.990522291162729</v>
      </c>
      <c r="E840" s="51" t="n">
        <f aca="false">1+IF($G$9=$E$9,$F$9,IF(S840&lt;($F$9-$E$9)/($G$9-$E$9),$E$9+SQRT(S840*($G$9-$E$9)*($F$9-$E$9)),$G$9-SQRT((1-S840)*($G$9-$E$9)*($G$9-$F$9))))</f>
        <v>1.06326200331678</v>
      </c>
      <c r="F840" s="51" t="n">
        <f aca="false">1+IF($G$10=$E$10,$F$10,IF(T840&lt;($F$10-$E$10)/($G$10-$E$10),$E$10+SQRT(T840*($G$10-$E$10)*($F$10-$E$10)),$G$10-SQRT((1-T840)*($G$10-$E$10)*($G$10-$F$10))))</f>
        <v>1.00154520701282</v>
      </c>
      <c r="G840" s="52" t="n">
        <f aca="false">IF($G$11=$E$11,$F$11,IF(U840&lt;($F$11-$E$11)/($G$11-$E$11),$E$11+SQRT(U840*($G$11-$E$11)*($F$11-$E$11)),$G$11-SQRT((1-U840)*($G$11-$E$11)*($G$11-$F$11))))</f>
        <v>0.10350864809767</v>
      </c>
      <c r="H840" s="53" t="n">
        <f aca="false">(('Business Case'!B11*$C840*'Business Case'!B12*$B840)-'Business Case'!B11*$C840*'Business Case'!B13*$D840-'Business Case'!B14*$E840)-MAX(0,(('Business Case'!B11*$C840*'Business Case'!B12*$B840)-'Business Case'!B11*$C840*'Business Case'!B13*$D840-'Business Case'!B14*$E840))*'Business Case'!$B$7-'Business Case'!$B$8*('Business Case'!B11*$C840*'Business Case'!B12*$B840)-'Business Case'!B15*$F840</f>
        <v>-2003090414.02565</v>
      </c>
      <c r="I840" s="53" t="n">
        <f aca="false">(('Business Case'!C11*$C840*'Business Case'!C12*$B840)-'Business Case'!C11*$C840*'Business Case'!C13*$D840-'Business Case'!C14*$E840)-MAX(0,(('Business Case'!C11*$C840*'Business Case'!C12*$B840)-'Business Case'!C11*$C840*'Business Case'!C13*$D840-'Business Case'!C14*$E840))*'Business Case'!$B$7-'Business Case'!$B$8*(('Business Case'!C11*$C840*'Business Case'!C12*$B840)-('Business Case'!B11*$C840*'Business Case'!B12*$B840))-'Business Case'!C15*$F840</f>
        <v>-22742699.2875848</v>
      </c>
      <c r="J840" s="53" t="n">
        <f aca="false">(('Business Case'!D11*$C840*'Business Case'!D12*$B840)-'Business Case'!D11*$C840*'Business Case'!D13*$D840-'Business Case'!D14*$E840)-MAX(0,(('Business Case'!D11*$C840*'Business Case'!D12*$B840)-'Business Case'!D11*$C840*'Business Case'!D13*$D840-'Business Case'!D14*$E840))*'Business Case'!$B$7-'Business Case'!$B$8*(('Business Case'!D11*$C840*'Business Case'!D12*$B840)-('Business Case'!C11*$C840*'Business Case'!C12*$B840))-'Business Case'!D15*$F840</f>
        <v>256093947.953916</v>
      </c>
      <c r="K840" s="53" t="n">
        <f aca="false">(('Business Case'!E11*$C840*'Business Case'!E12*$B840)-'Business Case'!E11*$C840*'Business Case'!E13*$D840-'Business Case'!E14*$E840)-MAX(0,(('Business Case'!E11*$C840*'Business Case'!E12*$B840)-'Business Case'!E11*$C840*'Business Case'!E13*$D840-'Business Case'!E14*$E840))*'Business Case'!$B$7-'Business Case'!$B$8*(('Business Case'!E11*$C840*'Business Case'!E12*$B840)-('Business Case'!D11*$C840*'Business Case'!D12*$B840))-'Business Case'!E15*$F840</f>
        <v>585007855.546058</v>
      </c>
      <c r="L840" s="53" t="n">
        <f aca="false">(('Business Case'!F11*$C840*'Business Case'!F12*$B840)-'Business Case'!F11*$C840*'Business Case'!F13*$D840-'Business Case'!F14*$E840)-MAX(0,(('Business Case'!F11*$C840*'Business Case'!F12*$B840)-'Business Case'!F11*$C840*'Business Case'!F13*$D840-'Business Case'!F14*$E840))*'Business Case'!$B$7-'Business Case'!$B$8*(('Business Case'!F11*$C840*'Business Case'!F12*$B840)-('Business Case'!E11*$C840*'Business Case'!E12*$B840))-'Business Case'!F15*$F840</f>
        <v>711439383.930663</v>
      </c>
      <c r="M840" s="53" t="n">
        <f aca="false">(('Business Case'!G11*$C840*'Business Case'!G12*$B840)-'Business Case'!G11*$C840*'Business Case'!G13*$D840-'Business Case'!G14*$E840)-MAX(0,(('Business Case'!G11*$C840*'Business Case'!G12*$B840)-'Business Case'!G11*$C840*'Business Case'!G13*$D840-'Business Case'!G14*$E840))*'Business Case'!$B$7-'Business Case'!$B$8*(('Business Case'!G11*$C840*'Business Case'!G12*$B840)-('Business Case'!F11*$C840*'Business Case'!F12*$B840))-'Business Case'!G15*$F840+'Business Case'!$B$8*('Business Case'!G11*$C840*'Business Case'!G12*$B840)</f>
        <v>895612270.103238</v>
      </c>
      <c r="N840" s="53" t="n">
        <f aca="false">IF(COUNT('Business Case'!B11:G11)=0,"",H840+NPV(G840,I840:M840))</f>
        <v>-350957737.025075</v>
      </c>
      <c r="P840" s="54" t="n">
        <f aca="true">RAND()</f>
        <v>0.123308075299246</v>
      </c>
      <c r="Q840" s="54" t="n">
        <f aca="true">RAND()</f>
        <v>0.653940192341106</v>
      </c>
      <c r="R840" s="54" t="n">
        <f aca="true">RAND()</f>
        <v>0.25262401247338</v>
      </c>
      <c r="S840" s="54" t="n">
        <f aca="true">RAND()</f>
        <v>0.910021306646937</v>
      </c>
      <c r="T840" s="54" t="n">
        <f aca="true">RAND()</f>
        <v>0.212313902808342</v>
      </c>
      <c r="U840" s="54" t="n">
        <f aca="true">RAND()</f>
        <v>0.546725520722551</v>
      </c>
    </row>
    <row r="841" customFormat="false" ht="15" hidden="false" customHeight="false" outlineLevel="0" collapsed="false">
      <c r="A841" s="50" t="n">
        <v>761</v>
      </c>
      <c r="B841" s="51" t="n">
        <f aca="false">1+IF($G$6=$E$6,$F$6,IF(P841&lt;($F$6-$E$6)/($G$6-$E$6),$E$6+SQRT(P841*($G$6-$E$6)*($F$6-$E$6)),$G$6-SQRT((1-P841)*($G$6-$E$6)*($G$6-$F$6))))</f>
        <v>1.01185798598928</v>
      </c>
      <c r="C841" s="51" t="n">
        <f aca="false">1+IF($G$7=$E$7,$F$7,IF(Q841&lt;($F$7-$E$7)/($G$7-$E$7),$E$7+SQRT(Q841*($G$7-$E$7)*($F$7-$E$7)),$G$7-SQRT((1-Q841)*($G$7-$E$7)*($G$7-$F$7))))</f>
        <v>1.00395282687669</v>
      </c>
      <c r="D841" s="51" t="n">
        <f aca="false">1+IF($G$8=$E$8,$F$8,IF(R841&lt;($F$8-$E$8)/($G$8-$E$8),$E$8+SQRT(R841*($G$8-$E$8)*($F$8-$E$8)),$G$8-SQRT((1-R841)*($G$8-$E$8)*($G$8-$F$8))))</f>
        <v>0.984652620148752</v>
      </c>
      <c r="E841" s="51" t="n">
        <f aca="false">1+IF($G$9=$E$9,$F$9,IF(S841&lt;($F$9-$E$9)/($G$9-$E$9),$E$9+SQRT(S841*($G$9-$E$9)*($F$9-$E$9)),$G$9-SQRT((1-S841)*($G$9-$E$9)*($G$9-$F$9))))</f>
        <v>1.02544230373341</v>
      </c>
      <c r="F841" s="51" t="n">
        <f aca="false">1+IF($G$10=$E$10,$F$10,IF(T841&lt;($F$10-$E$10)/($G$10-$E$10),$E$10+SQRT(T841*($G$10-$E$10)*($F$10-$E$10)),$G$10-SQRT((1-T841)*($G$10-$E$10)*($G$10-$F$10))))</f>
        <v>1.05966782351445</v>
      </c>
      <c r="G841" s="52" t="n">
        <f aca="false">IF($G$11=$E$11,$F$11,IF(U841&lt;($F$11-$E$11)/($G$11-$E$11),$E$11+SQRT(U841*($G$11-$E$11)*($F$11-$E$11)),$G$11-SQRT((1-U841)*($G$11-$E$11)*($G$11-$F$11))))</f>
        <v>0.11078631121869</v>
      </c>
      <c r="H841" s="53" t="n">
        <f aca="false">(('Business Case'!B11*$C841*'Business Case'!B12*$B841)-'Business Case'!B11*$C841*'Business Case'!B13*$D841-'Business Case'!B14*$E841)-MAX(0,(('Business Case'!B11*$C841*'Business Case'!B12*$B841)-'Business Case'!B11*$C841*'Business Case'!B13*$D841-'Business Case'!B14*$E841))*'Business Case'!$B$7-'Business Case'!$B$8*('Business Case'!B11*$C841*'Business Case'!B12*$B841)-'Business Case'!B15*$F841</f>
        <v>-2119335647.0289</v>
      </c>
      <c r="I841" s="53" t="n">
        <f aca="false">(('Business Case'!C11*$C841*'Business Case'!C12*$B841)-'Business Case'!C11*$C841*'Business Case'!C13*$D841-'Business Case'!C14*$E841)-MAX(0,(('Business Case'!C11*$C841*'Business Case'!C12*$B841)-'Business Case'!C11*$C841*'Business Case'!C13*$D841-'Business Case'!C14*$E841))*'Business Case'!$B$7-'Business Case'!$B$8*(('Business Case'!C11*$C841*'Business Case'!C12*$B841)-('Business Case'!B11*$C841*'Business Case'!B12*$B841))-'Business Case'!C15*$F841</f>
        <v>21558001.2264942</v>
      </c>
      <c r="J841" s="53" t="n">
        <f aca="false">(('Business Case'!D11*$C841*'Business Case'!D12*$B841)-'Business Case'!D11*$C841*'Business Case'!D13*$D841-'Business Case'!D14*$E841)-MAX(0,(('Business Case'!D11*$C841*'Business Case'!D12*$B841)-'Business Case'!D11*$C841*'Business Case'!D13*$D841-'Business Case'!D14*$E841))*'Business Case'!$B$7-'Business Case'!$B$8*(('Business Case'!D11*$C841*'Business Case'!D12*$B841)-('Business Case'!C11*$C841*'Business Case'!C12*$B841))-'Business Case'!D15*$F841</f>
        <v>347562742.808103</v>
      </c>
      <c r="K841" s="53" t="n">
        <f aca="false">(('Business Case'!E11*$C841*'Business Case'!E12*$B841)-'Business Case'!E11*$C841*'Business Case'!E13*$D841-'Business Case'!E14*$E841)-MAX(0,(('Business Case'!E11*$C841*'Business Case'!E12*$B841)-'Business Case'!E11*$C841*'Business Case'!E13*$D841-'Business Case'!E14*$E841))*'Business Case'!$B$7-'Business Case'!$B$8*(('Business Case'!E11*$C841*'Business Case'!E12*$B841)-('Business Case'!D11*$C841*'Business Case'!D12*$B841))-'Business Case'!E15*$F841</f>
        <v>726550875.565434</v>
      </c>
      <c r="L841" s="53" t="n">
        <f aca="false">(('Business Case'!F11*$C841*'Business Case'!F12*$B841)-'Business Case'!F11*$C841*'Business Case'!F13*$D841-'Business Case'!F14*$E841)-MAX(0,(('Business Case'!F11*$C841*'Business Case'!F12*$B841)-'Business Case'!F11*$C841*'Business Case'!F13*$D841-'Business Case'!F14*$E841))*'Business Case'!$B$7-'Business Case'!$B$8*(('Business Case'!F11*$C841*'Business Case'!F12*$B841)-('Business Case'!E11*$C841*'Business Case'!E12*$B841))-'Business Case'!F15*$F841</f>
        <v>870327164.367824</v>
      </c>
      <c r="M841" s="53" t="n">
        <f aca="false">(('Business Case'!G11*$C841*'Business Case'!G12*$B841)-'Business Case'!G11*$C841*'Business Case'!G13*$D841-'Business Case'!G14*$E841)-MAX(0,(('Business Case'!G11*$C841*'Business Case'!G12*$B841)-'Business Case'!G11*$C841*'Business Case'!G13*$D841-'Business Case'!G14*$E841))*'Business Case'!$B$7-'Business Case'!$B$8*(('Business Case'!G11*$C841*'Business Case'!G12*$B841)-('Business Case'!F11*$C841*'Business Case'!F12*$B841))-'Business Case'!G15*$F841+'Business Case'!$B$8*('Business Case'!G11*$C841*'Business Case'!G12*$B841)</f>
        <v>1063421393.21468</v>
      </c>
      <c r="N841" s="53" t="n">
        <f aca="false">IF(COUNT('Business Case'!B11:G11)=0,"",H841+NPV(G841,I841:M841))</f>
        <v>-87568815.9492555</v>
      </c>
      <c r="P841" s="54" t="n">
        <f aca="true">RAND()</f>
        <v>0.835005634879275</v>
      </c>
      <c r="Q841" s="54" t="n">
        <f aca="true">RAND()</f>
        <v>0.593718537575044</v>
      </c>
      <c r="R841" s="54" t="n">
        <f aca="true">RAND()</f>
        <v>0.18473908971903</v>
      </c>
      <c r="S841" s="54" t="n">
        <f aca="true">RAND()</f>
        <v>0.629409995161246</v>
      </c>
      <c r="T841" s="54" t="n">
        <f aca="true">RAND()</f>
        <v>0.606137604856568</v>
      </c>
      <c r="U841" s="54" t="n">
        <f aca="true">RAND()</f>
        <v>0.858513231735285</v>
      </c>
    </row>
    <row r="842" customFormat="false" ht="15" hidden="false" customHeight="false" outlineLevel="0" collapsed="false">
      <c r="A842" s="50" t="n">
        <v>762</v>
      </c>
      <c r="B842" s="51" t="n">
        <f aca="false">1+IF($G$6=$E$6,$F$6,IF(P842&lt;($F$6-$E$6)/($G$6-$E$6),$E$6+SQRT(P842*($G$6-$E$6)*($F$6-$E$6)),$G$6-SQRT((1-P842)*($G$6-$E$6)*($G$6-$F$6))))</f>
        <v>0.982438966201881</v>
      </c>
      <c r="C842" s="51" t="n">
        <f aca="false">1+IF($G$7=$E$7,$F$7,IF(Q842&lt;($F$7-$E$7)/($G$7-$E$7),$E$7+SQRT(Q842*($G$7-$E$7)*($F$7-$E$7)),$G$7-SQRT((1-Q842)*($G$7-$E$7)*($G$7-$F$7))))</f>
        <v>0.919162172108677</v>
      </c>
      <c r="D842" s="51" t="n">
        <f aca="false">1+IF($G$8=$E$8,$F$8,IF(R842&lt;($F$8-$E$8)/($G$8-$E$8),$E$8+SQRT(R842*($G$8-$E$8)*($F$8-$E$8)),$G$8-SQRT((1-R842)*($G$8-$E$8)*($G$8-$F$8))))</f>
        <v>0.991520130362017</v>
      </c>
      <c r="E842" s="51" t="n">
        <f aca="false">1+IF($G$9=$E$9,$F$9,IF(S842&lt;($F$9-$E$9)/($G$9-$E$9),$E$9+SQRT(S842*($G$9-$E$9)*($F$9-$E$9)),$G$9-SQRT((1-S842)*($G$9-$E$9)*($G$9-$F$9))))</f>
        <v>1.0706738135951</v>
      </c>
      <c r="F842" s="51" t="n">
        <f aca="false">1+IF($G$10=$E$10,$F$10,IF(T842&lt;($F$10-$E$10)/($G$10-$E$10),$E$10+SQRT(T842*($G$10-$E$10)*($F$10-$E$10)),$G$10-SQRT((1-T842)*($G$10-$E$10)*($G$10-$F$10))))</f>
        <v>0.985962228501266</v>
      </c>
      <c r="G842" s="52" t="n">
        <f aca="false">IF($G$11=$E$11,$F$11,IF(U842&lt;($F$11-$E$11)/($G$11-$E$11),$E$11+SQRT(U842*($G$11-$E$11)*($F$11-$E$11)),$G$11-SQRT((1-U842)*($G$11-$E$11)*($G$11-$F$11))))</f>
        <v>0.106987369307095</v>
      </c>
      <c r="H842" s="53" t="n">
        <f aca="false">(('Business Case'!B11*$C842*'Business Case'!B12*$B842)-'Business Case'!B11*$C842*'Business Case'!B13*$D842-'Business Case'!B14*$E842)-MAX(0,(('Business Case'!B11*$C842*'Business Case'!B12*$B842)-'Business Case'!B11*$C842*'Business Case'!B13*$D842-'Business Case'!B14*$E842))*'Business Case'!$B$7-'Business Case'!$B$8*('Business Case'!B11*$C842*'Business Case'!B12*$B842)-'Business Case'!B15*$F842</f>
        <v>-1971924457.00253</v>
      </c>
      <c r="I842" s="53" t="n">
        <f aca="false">(('Business Case'!C11*$C842*'Business Case'!C12*$B842)-'Business Case'!C11*$C842*'Business Case'!C13*$D842-'Business Case'!C14*$E842)-MAX(0,(('Business Case'!C11*$C842*'Business Case'!C12*$B842)-'Business Case'!C11*$C842*'Business Case'!C13*$D842-'Business Case'!C14*$E842))*'Business Case'!$B$7-'Business Case'!$B$8*(('Business Case'!C11*$C842*'Business Case'!C12*$B842)-('Business Case'!B11*$C842*'Business Case'!B12*$B842))-'Business Case'!C15*$F842</f>
        <v>-24567037.7422693</v>
      </c>
      <c r="J842" s="53" t="n">
        <f aca="false">(('Business Case'!D11*$C842*'Business Case'!D12*$B842)-'Business Case'!D11*$C842*'Business Case'!D13*$D842-'Business Case'!D14*$E842)-MAX(0,(('Business Case'!D11*$C842*'Business Case'!D12*$B842)-'Business Case'!D11*$C842*'Business Case'!D13*$D842-'Business Case'!D14*$E842))*'Business Case'!$B$7-'Business Case'!$B$8*(('Business Case'!D11*$C842*'Business Case'!D12*$B842)-('Business Case'!C11*$C842*'Business Case'!C12*$B842))-'Business Case'!D15*$F842</f>
        <v>248524558.516542</v>
      </c>
      <c r="K842" s="53" t="n">
        <f aca="false">(('Business Case'!E11*$C842*'Business Case'!E12*$B842)-'Business Case'!E11*$C842*'Business Case'!E13*$D842-'Business Case'!E14*$E842)-MAX(0,(('Business Case'!E11*$C842*'Business Case'!E12*$B842)-'Business Case'!E11*$C842*'Business Case'!E13*$D842-'Business Case'!E14*$E842))*'Business Case'!$B$7-'Business Case'!$B$8*(('Business Case'!E11*$C842*'Business Case'!E12*$B842)-('Business Case'!D11*$C842*'Business Case'!D12*$B842))-'Business Case'!E15*$F842</f>
        <v>570914266.200417</v>
      </c>
      <c r="L842" s="53" t="n">
        <f aca="false">(('Business Case'!F11*$C842*'Business Case'!F12*$B842)-'Business Case'!F11*$C842*'Business Case'!F13*$D842-'Business Case'!F14*$E842)-MAX(0,(('Business Case'!F11*$C842*'Business Case'!F12*$B842)-'Business Case'!F11*$C842*'Business Case'!F13*$D842-'Business Case'!F14*$E842))*'Business Case'!$B$7-'Business Case'!$B$8*(('Business Case'!F11*$C842*'Business Case'!F12*$B842)-('Business Case'!E11*$C842*'Business Case'!E12*$B842))-'Business Case'!F15*$F842</f>
        <v>693153194.858508</v>
      </c>
      <c r="M842" s="53" t="n">
        <f aca="false">(('Business Case'!G11*$C842*'Business Case'!G12*$B842)-'Business Case'!G11*$C842*'Business Case'!G13*$D842-'Business Case'!G14*$E842)-MAX(0,(('Business Case'!G11*$C842*'Business Case'!G12*$B842)-'Business Case'!G11*$C842*'Business Case'!G13*$D842-'Business Case'!G14*$E842))*'Business Case'!$B$7-'Business Case'!$B$8*(('Business Case'!G11*$C842*'Business Case'!G12*$B842)-('Business Case'!F11*$C842*'Business Case'!F12*$B842))-'Business Case'!G15*$F842+'Business Case'!$B$8*('Business Case'!G11*$C842*'Business Case'!G12*$B842)</f>
        <v>864799376.00352</v>
      </c>
      <c r="N842" s="53" t="n">
        <f aca="false">IF(COUNT('Business Case'!B11:G11)=0,"",H842+NPV(G842,I842:M842))</f>
        <v>-388614311.932632</v>
      </c>
      <c r="P842" s="54" t="n">
        <f aca="true">RAND()</f>
        <v>0.406106718787462</v>
      </c>
      <c r="Q842" s="54" t="n">
        <f aca="true">RAND()</f>
        <v>0.202851760880828</v>
      </c>
      <c r="R842" s="54" t="n">
        <f aca="true">RAND()</f>
        <v>0.265218650042899</v>
      </c>
      <c r="S842" s="54" t="n">
        <f aca="true">RAND()</f>
        <v>0.942664986063001</v>
      </c>
      <c r="T842" s="54" t="n">
        <f aca="true">RAND()</f>
        <v>0.103462550302183</v>
      </c>
      <c r="U842" s="54" t="n">
        <f aca="true">RAND()</f>
        <v>0.717785737416795</v>
      </c>
    </row>
    <row r="843" customFormat="false" ht="15" hidden="false" customHeight="false" outlineLevel="0" collapsed="false">
      <c r="A843" s="50" t="n">
        <v>763</v>
      </c>
      <c r="B843" s="51" t="n">
        <f aca="false">1+IF($G$6=$E$6,$F$6,IF(P843&lt;($F$6-$E$6)/($G$6-$E$6),$E$6+SQRT(P843*($G$6-$E$6)*($F$6-$E$6)),$G$6-SQRT((1-P843)*($G$6-$E$6)*($G$6-$F$6))))</f>
        <v>0.99176824456297</v>
      </c>
      <c r="C843" s="51" t="n">
        <f aca="false">1+IF($G$7=$E$7,$F$7,IF(Q843&lt;($F$7-$E$7)/($G$7-$E$7),$E$7+SQRT(Q843*($G$7-$E$7)*($F$7-$E$7)),$G$7-SQRT((1-Q843)*($G$7-$E$7)*($G$7-$F$7))))</f>
        <v>1.1422792273323</v>
      </c>
      <c r="D843" s="51" t="n">
        <f aca="false">1+IF($G$8=$E$8,$F$8,IF(R843&lt;($F$8-$E$8)/($G$8-$E$8),$E$8+SQRT(R843*($G$8-$E$8)*($F$8-$E$8)),$G$8-SQRT((1-R843)*($G$8-$E$8)*($G$8-$F$8))))</f>
        <v>0.963763504160806</v>
      </c>
      <c r="E843" s="51" t="n">
        <f aca="false">1+IF($G$9=$E$9,$F$9,IF(S843&lt;($F$9-$E$9)/($G$9-$E$9),$E$9+SQRT(S843*($G$9-$E$9)*($F$9-$E$9)),$G$9-SQRT((1-S843)*($G$9-$E$9)*($G$9-$F$9))))</f>
        <v>0.971351988264283</v>
      </c>
      <c r="F843" s="51" t="n">
        <f aca="false">1+IF($G$10=$E$10,$F$10,IF(T843&lt;($F$10-$E$10)/($G$10-$E$10),$E$10+SQRT(T843*($G$10-$E$10)*($F$10-$E$10)),$G$10-SQRT((1-T843)*($G$10-$E$10)*($G$10-$F$10))))</f>
        <v>1.02307504519233</v>
      </c>
      <c r="G843" s="52" t="n">
        <f aca="false">IF($G$11=$E$11,$F$11,IF(U843&lt;($F$11-$E$11)/($G$11-$E$11),$E$11+SQRT(U843*($G$11-$E$11)*($F$11-$E$11)),$G$11-SQRT((1-U843)*($G$11-$E$11)*($G$11-$F$11))))</f>
        <v>0.107291340928983</v>
      </c>
      <c r="H843" s="53" t="n">
        <f aca="false">(('Business Case'!B11*$C843*'Business Case'!B12*$B843)-'Business Case'!B11*$C843*'Business Case'!B13*$D843-'Business Case'!B14*$E843)-MAX(0,(('Business Case'!B11*$C843*'Business Case'!B12*$B843)-'Business Case'!B11*$C843*'Business Case'!B13*$D843-'Business Case'!B14*$E843))*'Business Case'!$B$7-'Business Case'!$B$8*('Business Case'!B11*$C843*'Business Case'!B12*$B843)-'Business Case'!B15*$F843</f>
        <v>-2046150090.38465</v>
      </c>
      <c r="I843" s="53" t="n">
        <f aca="false">(('Business Case'!C11*$C843*'Business Case'!C12*$B843)-'Business Case'!C11*$C843*'Business Case'!C13*$D843-'Business Case'!C14*$E843)-MAX(0,(('Business Case'!C11*$C843*'Business Case'!C12*$B843)-'Business Case'!C11*$C843*'Business Case'!C13*$D843-'Business Case'!C14*$E843))*'Business Case'!$B$7-'Business Case'!$B$8*(('Business Case'!C11*$C843*'Business Case'!C12*$B843)-('Business Case'!B11*$C843*'Business Case'!B12*$B843))-'Business Case'!C15*$F843</f>
        <v>65179075.7616606</v>
      </c>
      <c r="J843" s="53" t="n">
        <f aca="false">(('Business Case'!D11*$C843*'Business Case'!D12*$B843)-'Business Case'!D11*$C843*'Business Case'!D13*$D843-'Business Case'!D14*$E843)-MAX(0,(('Business Case'!D11*$C843*'Business Case'!D12*$B843)-'Business Case'!D11*$C843*'Business Case'!D13*$D843-'Business Case'!D14*$E843))*'Business Case'!$B$7-'Business Case'!$B$8*(('Business Case'!D11*$C843*'Business Case'!D12*$B843)-('Business Case'!C11*$C843*'Business Case'!C12*$B843))-'Business Case'!D15*$F843</f>
        <v>429520214.304269</v>
      </c>
      <c r="K843" s="53" t="n">
        <f aca="false">(('Business Case'!E11*$C843*'Business Case'!E12*$B843)-'Business Case'!E11*$C843*'Business Case'!E13*$D843-'Business Case'!E14*$E843)-MAX(0,(('Business Case'!E11*$C843*'Business Case'!E12*$B843)-'Business Case'!E11*$C843*'Business Case'!E13*$D843-'Business Case'!E14*$E843))*'Business Case'!$B$7-'Business Case'!$B$8*(('Business Case'!E11*$C843*'Business Case'!E12*$B843)-('Business Case'!D11*$C843*'Business Case'!D12*$B843))-'Business Case'!E15*$F843</f>
        <v>845015105.106494</v>
      </c>
      <c r="L843" s="53" t="n">
        <f aca="false">(('Business Case'!F11*$C843*'Business Case'!F12*$B843)-'Business Case'!F11*$C843*'Business Case'!F13*$D843-'Business Case'!F14*$E843)-MAX(0,(('Business Case'!F11*$C843*'Business Case'!F12*$B843)-'Business Case'!F11*$C843*'Business Case'!F13*$D843-'Business Case'!F14*$E843))*'Business Case'!$B$7-'Business Case'!$B$8*(('Business Case'!F11*$C843*'Business Case'!F12*$B843)-('Business Case'!E11*$C843*'Business Case'!E12*$B843))-'Business Case'!F15*$F843</f>
        <v>1005614354.97439</v>
      </c>
      <c r="M843" s="53" t="n">
        <f aca="false">(('Business Case'!G11*$C843*'Business Case'!G12*$B843)-'Business Case'!G11*$C843*'Business Case'!G13*$D843-'Business Case'!G14*$E843)-MAX(0,(('Business Case'!G11*$C843*'Business Case'!G12*$B843)-'Business Case'!G11*$C843*'Business Case'!G13*$D843-'Business Case'!G14*$E843))*'Business Case'!$B$7-'Business Case'!$B$8*(('Business Case'!G11*$C843*'Business Case'!G12*$B843)-('Business Case'!F11*$C843*'Business Case'!F12*$B843))-'Business Case'!G15*$F843+'Business Case'!$B$8*('Business Case'!G11*$C843*'Business Case'!G12*$B843)</f>
        <v>1220951475.25301</v>
      </c>
      <c r="N843" s="53" t="n">
        <f aca="false">IF(COUNT('Business Case'!B11:G11)=0,"",H843+NPV(G843,I843:M843))</f>
        <v>387858371.054734</v>
      </c>
      <c r="P843" s="54" t="n">
        <f aca="true">RAND()</f>
        <v>0.536529263296898</v>
      </c>
      <c r="Q843" s="54" t="n">
        <f aca="true">RAND()</f>
        <v>0.998864565131688</v>
      </c>
      <c r="R843" s="54" t="n">
        <f aca="true">RAND()</f>
        <v>0.0291436995053095</v>
      </c>
      <c r="S843" s="54" t="n">
        <f aca="true">RAND()</f>
        <v>0.0607876537117439</v>
      </c>
      <c r="T843" s="54" t="n">
        <f aca="true">RAND()</f>
        <v>0.37395120732606</v>
      </c>
      <c r="U843" s="54" t="n">
        <f aca="true">RAND()</f>
        <v>0.730816641027742</v>
      </c>
    </row>
    <row r="844" customFormat="false" ht="15" hidden="false" customHeight="false" outlineLevel="0" collapsed="false">
      <c r="A844" s="50" t="n">
        <v>764</v>
      </c>
      <c r="B844" s="51" t="n">
        <f aca="false">1+IF($G$6=$E$6,$F$6,IF(P844&lt;($F$6-$E$6)/($G$6-$E$6),$E$6+SQRT(P844*($G$6-$E$6)*($F$6-$E$6)),$G$6-SQRT((1-P844)*($G$6-$E$6)*($G$6-$F$6))))</f>
        <v>1.00016677725189</v>
      </c>
      <c r="C844" s="51" t="n">
        <f aca="false">1+IF($G$7=$E$7,$F$7,IF(Q844&lt;($F$7-$E$7)/($G$7-$E$7),$E$7+SQRT(Q844*($G$7-$E$7)*($F$7-$E$7)),$G$7-SQRT((1-Q844)*($G$7-$E$7)*($G$7-$F$7))))</f>
        <v>1.002632094998</v>
      </c>
      <c r="D844" s="51" t="n">
        <f aca="false">1+IF($G$8=$E$8,$F$8,IF(R844&lt;($F$8-$E$8)/($G$8-$E$8),$E$8+SQRT(R844*($G$8-$E$8)*($F$8-$E$8)),$G$8-SQRT((1-R844)*($G$8-$E$8)*($G$8-$F$8))))</f>
        <v>1.02531794875565</v>
      </c>
      <c r="E844" s="51" t="n">
        <f aca="false">1+IF($G$9=$E$9,$F$9,IF(S844&lt;($F$9-$E$9)/($G$9-$E$9),$E$9+SQRT(S844*($G$9-$E$9)*($F$9-$E$9)),$G$9-SQRT((1-S844)*($G$9-$E$9)*($G$9-$F$9))))</f>
        <v>1.00393449587719</v>
      </c>
      <c r="F844" s="51" t="n">
        <f aca="false">1+IF($G$10=$E$10,$F$10,IF(T844&lt;($F$10-$E$10)/($G$10-$E$10),$E$10+SQRT(T844*($G$10-$E$10)*($F$10-$E$10)),$G$10-SQRT((1-T844)*($G$10-$E$10)*($G$10-$F$10))))</f>
        <v>1.00738060117293</v>
      </c>
      <c r="G844" s="52" t="n">
        <f aca="false">IF($G$11=$E$11,$F$11,IF(U844&lt;($F$11-$E$11)/($G$11-$E$11),$E$11+SQRT(U844*($G$11-$E$11)*($F$11-$E$11)),$G$11-SQRT((1-U844)*($G$11-$E$11)*($G$11-$F$11))))</f>
        <v>0.0961893536798165</v>
      </c>
      <c r="H844" s="53" t="n">
        <f aca="false">(('Business Case'!B11*$C844*'Business Case'!B12*$B844)-'Business Case'!B11*$C844*'Business Case'!B13*$D844-'Business Case'!B14*$E844)-MAX(0,(('Business Case'!B11*$C844*'Business Case'!B12*$B844)-'Business Case'!B11*$C844*'Business Case'!B13*$D844-'Business Case'!B14*$E844))*'Business Case'!$B$7-'Business Case'!$B$8*('Business Case'!B11*$C844*'Business Case'!B12*$B844)-'Business Case'!B15*$F844</f>
        <v>-2014761202.34585</v>
      </c>
      <c r="I844" s="53" t="n">
        <f aca="false">(('Business Case'!C11*$C844*'Business Case'!C12*$B844)-'Business Case'!C11*$C844*'Business Case'!C13*$D844-'Business Case'!C14*$E844)-MAX(0,(('Business Case'!C11*$C844*'Business Case'!C12*$B844)-'Business Case'!C11*$C844*'Business Case'!C13*$D844-'Business Case'!C14*$E844))*'Business Case'!$B$7-'Business Case'!$B$8*(('Business Case'!C11*$C844*'Business Case'!C12*$B844)-('Business Case'!B11*$C844*'Business Case'!B12*$B844))-'Business Case'!C15*$F844</f>
        <v>-380124.643752307</v>
      </c>
      <c r="J844" s="53" t="n">
        <f aca="false">(('Business Case'!D11*$C844*'Business Case'!D12*$B844)-'Business Case'!D11*$C844*'Business Case'!D13*$D844-'Business Case'!D14*$E844)-MAX(0,(('Business Case'!D11*$C844*'Business Case'!D12*$B844)-'Business Case'!D11*$C844*'Business Case'!D13*$D844-'Business Case'!D14*$E844))*'Business Case'!$B$7-'Business Case'!$B$8*(('Business Case'!D11*$C844*'Business Case'!D12*$B844)-('Business Case'!C11*$C844*'Business Case'!C12*$B844))-'Business Case'!D15*$F844</f>
        <v>294722412.437348</v>
      </c>
      <c r="K844" s="53" t="n">
        <f aca="false">(('Business Case'!E11*$C844*'Business Case'!E12*$B844)-'Business Case'!E11*$C844*'Business Case'!E13*$D844-'Business Case'!E14*$E844)-MAX(0,(('Business Case'!E11*$C844*'Business Case'!E12*$B844)-'Business Case'!E11*$C844*'Business Case'!E13*$D844-'Business Case'!E14*$E844))*'Business Case'!$B$7-'Business Case'!$B$8*(('Business Case'!E11*$C844*'Business Case'!E12*$B844)-('Business Case'!D11*$C844*'Business Case'!D12*$B844))-'Business Case'!E15*$F844</f>
        <v>640193979.577096</v>
      </c>
      <c r="L844" s="53" t="n">
        <f aca="false">(('Business Case'!F11*$C844*'Business Case'!F12*$B844)-'Business Case'!F11*$C844*'Business Case'!F13*$D844-'Business Case'!F14*$E844)-MAX(0,(('Business Case'!F11*$C844*'Business Case'!F12*$B844)-'Business Case'!F11*$C844*'Business Case'!F13*$D844-'Business Case'!F14*$E844))*'Business Case'!$B$7-'Business Case'!$B$8*(('Business Case'!F11*$C844*'Business Case'!F12*$B844)-('Business Case'!E11*$C844*'Business Case'!E12*$B844))-'Business Case'!F15*$F844</f>
        <v>773218236.133345</v>
      </c>
      <c r="M844" s="53" t="n">
        <f aca="false">(('Business Case'!G11*$C844*'Business Case'!G12*$B844)-'Business Case'!G11*$C844*'Business Case'!G13*$D844-'Business Case'!G14*$E844)-MAX(0,(('Business Case'!G11*$C844*'Business Case'!G12*$B844)-'Business Case'!G11*$C844*'Business Case'!G13*$D844-'Business Case'!G14*$E844))*'Business Case'!$B$7-'Business Case'!$B$8*(('Business Case'!G11*$C844*'Business Case'!G12*$B844)-('Business Case'!F11*$C844*'Business Case'!F12*$B844))-'Business Case'!G15*$F844+'Business Case'!$B$8*('Business Case'!G11*$C844*'Business Case'!G12*$B844)</f>
        <v>963830329.210701</v>
      </c>
      <c r="N844" s="53" t="n">
        <f aca="false">IF(COUNT('Business Case'!B11:G11)=0,"",H844+NPV(G844,I844:M844))</f>
        <v>-139380734.332541</v>
      </c>
      <c r="P844" s="54" t="n">
        <f aca="true">RAND()</f>
        <v>0.669440492812432</v>
      </c>
      <c r="Q844" s="54" t="n">
        <f aca="true">RAND()</f>
        <v>0.586337153815639</v>
      </c>
      <c r="R844" s="54" t="n">
        <f aca="true">RAND()</f>
        <v>0.712487814587518</v>
      </c>
      <c r="S844" s="54" t="n">
        <f aca="true">RAND()</f>
        <v>0.384761261175332</v>
      </c>
      <c r="T844" s="54" t="n">
        <f aca="true">RAND()</f>
        <v>0.257955343909923</v>
      </c>
      <c r="U844" s="54" t="n">
        <f aca="true">RAND()</f>
        <v>0.127693663246194</v>
      </c>
    </row>
    <row r="845" customFormat="false" ht="15" hidden="false" customHeight="false" outlineLevel="0" collapsed="false">
      <c r="A845" s="50" t="n">
        <v>765</v>
      </c>
      <c r="B845" s="51" t="n">
        <f aca="false">1+IF($G$6=$E$6,$F$6,IF(P845&lt;($F$6-$E$6)/($G$6-$E$6),$E$6+SQRT(P845*($G$6-$E$6)*($F$6-$E$6)),$G$6-SQRT((1-P845)*($G$6-$E$6)*($G$6-$F$6))))</f>
        <v>0.994143312181354</v>
      </c>
      <c r="C845" s="51" t="n">
        <f aca="false">1+IF($G$7=$E$7,$F$7,IF(Q845&lt;($F$7-$E$7)/($G$7-$E$7),$E$7+SQRT(Q845*($G$7-$E$7)*($F$7-$E$7)),$G$7-SQRT((1-Q845)*($G$7-$E$7)*($G$7-$F$7))))</f>
        <v>1.04350427354507</v>
      </c>
      <c r="D845" s="51" t="n">
        <f aca="false">1+IF($G$8=$E$8,$F$8,IF(R845&lt;($F$8-$E$8)/($G$8-$E$8),$E$8+SQRT(R845*($G$8-$E$8)*($F$8-$E$8)),$G$8-SQRT((1-R845)*($G$8-$E$8)*($G$8-$F$8))))</f>
        <v>0.988537097845342</v>
      </c>
      <c r="E845" s="51" t="n">
        <f aca="false">1+IF($G$9=$E$9,$F$9,IF(S845&lt;($F$9-$E$9)/($G$9-$E$9),$E$9+SQRT(S845*($G$9-$E$9)*($F$9-$E$9)),$G$9-SQRT((1-S845)*($G$9-$E$9)*($G$9-$F$9))))</f>
        <v>1.03179328254178</v>
      </c>
      <c r="F845" s="51" t="n">
        <f aca="false">1+IF($G$10=$E$10,$F$10,IF(T845&lt;($F$10-$E$10)/($G$10-$E$10),$E$10+SQRT(T845*($G$10-$E$10)*($F$10-$E$10)),$G$10-SQRT((1-T845)*($G$10-$E$10)*($G$10-$F$10))))</f>
        <v>1.04567172843807</v>
      </c>
      <c r="G845" s="52" t="n">
        <f aca="false">IF($G$11=$E$11,$F$11,IF(U845&lt;($F$11-$E$11)/($G$11-$E$11),$E$11+SQRT(U845*($G$11-$E$11)*($F$11-$E$11)),$G$11-SQRT((1-U845)*($G$11-$E$11)*($G$11-$F$11))))</f>
        <v>0.118229503719189</v>
      </c>
      <c r="H845" s="53" t="n">
        <f aca="false">(('Business Case'!B11*$C845*'Business Case'!B12*$B845)-'Business Case'!B11*$C845*'Business Case'!B13*$D845-'Business Case'!B14*$E845)-MAX(0,(('Business Case'!B11*$C845*'Business Case'!B12*$B845)-'Business Case'!B11*$C845*'Business Case'!B13*$D845-'Business Case'!B14*$E845))*'Business Case'!$B$7-'Business Case'!$B$8*('Business Case'!B11*$C845*'Business Case'!B12*$B845)-'Business Case'!B15*$F845</f>
        <v>-2091343456.87613</v>
      </c>
      <c r="I845" s="53" t="n">
        <f aca="false">(('Business Case'!C11*$C845*'Business Case'!C12*$B845)-'Business Case'!C11*$C845*'Business Case'!C13*$D845-'Business Case'!C14*$E845)-MAX(0,(('Business Case'!C11*$C845*'Business Case'!C12*$B845)-'Business Case'!C11*$C845*'Business Case'!C13*$D845-'Business Case'!C14*$E845))*'Business Case'!$B$7-'Business Case'!$B$8*(('Business Case'!C11*$C845*'Business Case'!C12*$B845)-('Business Case'!B11*$C845*'Business Case'!B12*$B845))-'Business Case'!C15*$F845</f>
        <v>16565439.2027297</v>
      </c>
      <c r="J845" s="53" t="n">
        <f aca="false">(('Business Case'!D11*$C845*'Business Case'!D12*$B845)-'Business Case'!D11*$C845*'Business Case'!D13*$D845-'Business Case'!D14*$E845)-MAX(0,(('Business Case'!D11*$C845*'Business Case'!D12*$B845)-'Business Case'!D11*$C845*'Business Case'!D13*$D845-'Business Case'!D14*$E845))*'Business Case'!$B$7-'Business Case'!$B$8*(('Business Case'!D11*$C845*'Business Case'!D12*$B845)-('Business Case'!C11*$C845*'Business Case'!C12*$B845))-'Business Case'!D15*$F845</f>
        <v>338197498.507973</v>
      </c>
      <c r="K845" s="53" t="n">
        <f aca="false">(('Business Case'!E11*$C845*'Business Case'!E12*$B845)-'Business Case'!E11*$C845*'Business Case'!E13*$D845-'Business Case'!E14*$E845)-MAX(0,(('Business Case'!E11*$C845*'Business Case'!E12*$B845)-'Business Case'!E11*$C845*'Business Case'!E13*$D845-'Business Case'!E14*$E845))*'Business Case'!$B$7-'Business Case'!$B$8*(('Business Case'!E11*$C845*'Business Case'!E12*$B845)-('Business Case'!D11*$C845*'Business Case'!D12*$B845))-'Business Case'!E15*$F845</f>
        <v>712113144.23512</v>
      </c>
      <c r="L845" s="53" t="n">
        <f aca="false">(('Business Case'!F11*$C845*'Business Case'!F12*$B845)-'Business Case'!F11*$C845*'Business Case'!F13*$D845-'Business Case'!F14*$E845)-MAX(0,(('Business Case'!F11*$C845*'Business Case'!F12*$B845)-'Business Case'!F11*$C845*'Business Case'!F13*$D845-'Business Case'!F14*$E845))*'Business Case'!$B$7-'Business Case'!$B$8*(('Business Case'!F11*$C845*'Business Case'!F12*$B845)-('Business Case'!E11*$C845*'Business Case'!E12*$B845))-'Business Case'!F15*$F845</f>
        <v>855176125.657712</v>
      </c>
      <c r="M845" s="53" t="n">
        <f aca="false">(('Business Case'!G11*$C845*'Business Case'!G12*$B845)-'Business Case'!G11*$C845*'Business Case'!G13*$D845-'Business Case'!G14*$E845)-MAX(0,(('Business Case'!G11*$C845*'Business Case'!G12*$B845)-'Business Case'!G11*$C845*'Business Case'!G13*$D845-'Business Case'!G14*$E845))*'Business Case'!$B$7-'Business Case'!$B$8*(('Business Case'!G11*$C845*'Business Case'!G12*$B845)-('Business Case'!F11*$C845*'Business Case'!F12*$B845))-'Business Case'!G15*$F845+'Business Case'!$B$8*('Business Case'!G11*$C845*'Business Case'!G12*$B845)</f>
        <v>1052363748.08902</v>
      </c>
      <c r="N845" s="53" t="n">
        <f aca="false">IF(COUNT('Business Case'!B11:G11)=0,"",H845+NPV(G845,I845:M845))</f>
        <v>-147974855.538274</v>
      </c>
      <c r="P845" s="54" t="n">
        <f aca="true">RAND()</f>
        <v>0.57262820221059</v>
      </c>
      <c r="Q845" s="54" t="n">
        <f aca="true">RAND()</f>
        <v>0.783974480892147</v>
      </c>
      <c r="R845" s="54" t="n">
        <f aca="true">RAND()</f>
        <v>0.228478140052538</v>
      </c>
      <c r="S845" s="54" t="n">
        <f aca="true">RAND()</f>
        <v>0.689856246238337</v>
      </c>
      <c r="T845" s="54" t="n">
        <f aca="true">RAND()</f>
        <v>0.523655691934125</v>
      </c>
      <c r="U845" s="54" t="n">
        <f aca="true">RAND()</f>
        <v>0.994775571532725</v>
      </c>
    </row>
    <row r="846" customFormat="false" ht="15" hidden="false" customHeight="false" outlineLevel="0" collapsed="false">
      <c r="A846" s="50" t="n">
        <v>766</v>
      </c>
      <c r="B846" s="51" t="n">
        <f aca="false">1+IF($G$6=$E$6,$F$6,IF(P846&lt;($F$6-$E$6)/($G$6-$E$6),$E$6+SQRT(P846*($G$6-$E$6)*($F$6-$E$6)),$G$6-SQRT((1-P846)*($G$6-$E$6)*($G$6-$F$6))))</f>
        <v>0.976991040587639</v>
      </c>
      <c r="C846" s="51" t="n">
        <f aca="false">1+IF($G$7=$E$7,$F$7,IF(Q846&lt;($F$7-$E$7)/($G$7-$E$7),$E$7+SQRT(Q846*($G$7-$E$7)*($F$7-$E$7)),$G$7-SQRT((1-Q846)*($G$7-$E$7)*($G$7-$F$7))))</f>
        <v>0.939663229097079</v>
      </c>
      <c r="D846" s="51" t="n">
        <f aca="false">1+IF($G$8=$E$8,$F$8,IF(R846&lt;($F$8-$E$8)/($G$8-$E$8),$E$8+SQRT(R846*($G$8-$E$8)*($F$8-$E$8)),$G$8-SQRT((1-R846)*($G$8-$E$8)*($G$8-$F$8))))</f>
        <v>1.02199326903828</v>
      </c>
      <c r="E846" s="51" t="n">
        <f aca="false">1+IF($G$9=$E$9,$F$9,IF(S846&lt;($F$9-$E$9)/($G$9-$E$9),$E$9+SQRT(S846*($G$9-$E$9)*($F$9-$E$9)),$G$9-SQRT((1-S846)*($G$9-$E$9)*($G$9-$F$9))))</f>
        <v>1.02633605876196</v>
      </c>
      <c r="F846" s="51" t="n">
        <f aca="false">1+IF($G$10=$E$10,$F$10,IF(T846&lt;($F$10-$E$10)/($G$10-$E$10),$E$10+SQRT(T846*($G$10-$E$10)*($F$10-$E$10)),$G$10-SQRT((1-T846)*($G$10-$E$10)*($G$10-$F$10))))</f>
        <v>1.02990663296594</v>
      </c>
      <c r="G846" s="52" t="n">
        <f aca="false">IF($G$11=$E$11,$F$11,IF(U846&lt;($F$11-$E$11)/($G$11-$E$11),$E$11+SQRT(U846*($G$11-$E$11)*($F$11-$E$11)),$G$11-SQRT((1-U846)*($G$11-$E$11)*($G$11-$F$11))))</f>
        <v>0.105869736642245</v>
      </c>
      <c r="H846" s="53" t="n">
        <f aca="false">(('Business Case'!B11*$C846*'Business Case'!B12*$B846)-'Business Case'!B11*$C846*'Business Case'!B13*$D846-'Business Case'!B14*$E846)-MAX(0,(('Business Case'!B11*$C846*'Business Case'!B12*$B846)-'Business Case'!B11*$C846*'Business Case'!B13*$D846-'Business Case'!B14*$E846))*'Business Case'!$B$7-'Business Case'!$B$8*('Business Case'!B11*$C846*'Business Case'!B12*$B846)-'Business Case'!B15*$F846</f>
        <v>-2059813265.93188</v>
      </c>
      <c r="I846" s="53" t="n">
        <f aca="false">(('Business Case'!C11*$C846*'Business Case'!C12*$B846)-'Business Case'!C11*$C846*'Business Case'!C13*$D846-'Business Case'!C14*$E846)-MAX(0,(('Business Case'!C11*$C846*'Business Case'!C12*$B846)-'Business Case'!C11*$C846*'Business Case'!C13*$D846-'Business Case'!C14*$E846))*'Business Case'!$B$7-'Business Case'!$B$8*(('Business Case'!C11*$C846*'Business Case'!C12*$B846)-('Business Case'!B11*$C846*'Business Case'!B12*$B846))-'Business Case'!C15*$F846</f>
        <v>-36195899.7634465</v>
      </c>
      <c r="J846" s="53" t="n">
        <f aca="false">(('Business Case'!D11*$C846*'Business Case'!D12*$B846)-'Business Case'!D11*$C846*'Business Case'!D13*$D846-'Business Case'!D14*$E846)-MAX(0,(('Business Case'!D11*$C846*'Business Case'!D12*$B846)-'Business Case'!D11*$C846*'Business Case'!D13*$D846-'Business Case'!D14*$E846))*'Business Case'!$B$7-'Business Case'!$B$8*(('Business Case'!D11*$C846*'Business Case'!D12*$B846)-('Business Case'!C11*$C846*'Business Case'!C12*$B846))-'Business Case'!D15*$F846</f>
        <v>224135177.428562</v>
      </c>
      <c r="K846" s="53" t="n">
        <f aca="false">(('Business Case'!E11*$C846*'Business Case'!E12*$B846)-'Business Case'!E11*$C846*'Business Case'!E13*$D846-'Business Case'!E14*$E846)-MAX(0,(('Business Case'!E11*$C846*'Business Case'!E12*$B846)-'Business Case'!E11*$C846*'Business Case'!E13*$D846-'Business Case'!E14*$E846))*'Business Case'!$B$7-'Business Case'!$B$8*(('Business Case'!E11*$C846*'Business Case'!E12*$B846)-('Business Case'!D11*$C846*'Business Case'!D12*$B846))-'Business Case'!E15*$F846</f>
        <v>535961586.268867</v>
      </c>
      <c r="L846" s="53" t="n">
        <f aca="false">(('Business Case'!F11*$C846*'Business Case'!F12*$B846)-'Business Case'!F11*$C846*'Business Case'!F13*$D846-'Business Case'!F14*$E846)-MAX(0,(('Business Case'!F11*$C846*'Business Case'!F12*$B846)-'Business Case'!F11*$C846*'Business Case'!F13*$D846-'Business Case'!F14*$E846))*'Business Case'!$B$7-'Business Case'!$B$8*(('Business Case'!F11*$C846*'Business Case'!F12*$B846)-('Business Case'!E11*$C846*'Business Case'!E12*$B846))-'Business Case'!F15*$F846</f>
        <v>654466162.734811</v>
      </c>
      <c r="M846" s="53" t="n">
        <f aca="false">(('Business Case'!G11*$C846*'Business Case'!G12*$B846)-'Business Case'!G11*$C846*'Business Case'!G13*$D846-'Business Case'!G14*$E846)-MAX(0,(('Business Case'!G11*$C846*'Business Case'!G12*$B846)-'Business Case'!G11*$C846*'Business Case'!G13*$D846-'Business Case'!G14*$E846))*'Business Case'!$B$7-'Business Case'!$B$8*(('Business Case'!G11*$C846*'Business Case'!G12*$B846)-('Business Case'!F11*$C846*'Business Case'!F12*$B846))-'Business Case'!G15*$F846+'Business Case'!$B$8*('Business Case'!G11*$C846*'Business Case'!G12*$B846)</f>
        <v>828967691.778815</v>
      </c>
      <c r="N846" s="53" t="n">
        <f aca="false">IF(COUNT('Business Case'!B11:G11)=0,"",H846+NPV(G846,I846:M846))</f>
        <v>-574169934.82233</v>
      </c>
      <c r="P846" s="54" t="n">
        <f aca="true">RAND()</f>
        <v>0.338331115339785</v>
      </c>
      <c r="Q846" s="54" t="n">
        <f aca="true">RAND()</f>
        <v>0.278654536597475</v>
      </c>
      <c r="R846" s="54" t="n">
        <f aca="true">RAND()</f>
        <v>0.676463381070687</v>
      </c>
      <c r="S846" s="54" t="n">
        <f aca="true">RAND()</f>
        <v>0.63824158408524</v>
      </c>
      <c r="T846" s="54" t="n">
        <f aca="true">RAND()</f>
        <v>0.421364929820323</v>
      </c>
      <c r="U846" s="54" t="n">
        <f aca="true">RAND()</f>
        <v>0.667226095734128</v>
      </c>
    </row>
    <row r="847" customFormat="false" ht="15" hidden="false" customHeight="false" outlineLevel="0" collapsed="false">
      <c r="A847" s="50" t="n">
        <v>767</v>
      </c>
      <c r="B847" s="51" t="n">
        <f aca="false">1+IF($G$6=$E$6,$F$6,IF(P847&lt;($F$6-$E$6)/($G$6-$E$6),$E$6+SQRT(P847*($G$6-$E$6)*($F$6-$E$6)),$G$6-SQRT((1-P847)*($G$6-$E$6)*($G$6-$F$6))))</f>
        <v>0.99513076769217</v>
      </c>
      <c r="C847" s="51" t="n">
        <f aca="false">1+IF($G$7=$E$7,$F$7,IF(Q847&lt;($F$7-$E$7)/($G$7-$E$7),$E$7+SQRT(Q847*($G$7-$E$7)*($F$7-$E$7)),$G$7-SQRT((1-Q847)*($G$7-$E$7)*($G$7-$F$7))))</f>
        <v>1.06121734048151</v>
      </c>
      <c r="D847" s="51" t="n">
        <f aca="false">1+IF($G$8=$E$8,$F$8,IF(R847&lt;($F$8-$E$8)/($G$8-$E$8),$E$8+SQRT(R847*($G$8-$E$8)*($F$8-$E$8)),$G$8-SQRT((1-R847)*($G$8-$E$8)*($G$8-$F$8))))</f>
        <v>1.01823182816468</v>
      </c>
      <c r="E847" s="51" t="n">
        <f aca="false">1+IF($G$9=$E$9,$F$9,IF(S847&lt;($F$9-$E$9)/($G$9-$E$9),$E$9+SQRT(S847*($G$9-$E$9)*($F$9-$E$9)),$G$9-SQRT((1-S847)*($G$9-$E$9)*($G$9-$F$9))))</f>
        <v>1.00412861133557</v>
      </c>
      <c r="F847" s="51" t="n">
        <f aca="false">1+IF($G$10=$E$10,$F$10,IF(T847&lt;($F$10-$E$10)/($G$10-$E$10),$E$10+SQRT(T847*($G$10-$E$10)*($F$10-$E$10)),$G$10-SQRT((1-T847)*($G$10-$E$10)*($G$10-$F$10))))</f>
        <v>1.00924446540569</v>
      </c>
      <c r="G847" s="52" t="n">
        <f aca="false">IF($G$11=$E$11,$F$11,IF(U847&lt;($F$11-$E$11)/($G$11-$E$11),$E$11+SQRT(U847*($G$11-$E$11)*($F$11-$E$11)),$G$11-SQRT((1-U847)*($G$11-$E$11)*($G$11-$F$11))))</f>
        <v>0.111467797595007</v>
      </c>
      <c r="H847" s="53" t="n">
        <f aca="false">(('Business Case'!B11*$C847*'Business Case'!B12*$B847)-'Business Case'!B11*$C847*'Business Case'!B13*$D847-'Business Case'!B14*$E847)-MAX(0,(('Business Case'!B11*$C847*'Business Case'!B12*$B847)-'Business Case'!B11*$C847*'Business Case'!B13*$D847-'Business Case'!B14*$E847))*'Business Case'!$B$7-'Business Case'!$B$8*('Business Case'!B11*$C847*'Business Case'!B12*$B847)-'Business Case'!B15*$F847</f>
        <v>-2018488930.81138</v>
      </c>
      <c r="I847" s="53" t="n">
        <f aca="false">(('Business Case'!C11*$C847*'Business Case'!C12*$B847)-'Business Case'!C11*$C847*'Business Case'!C13*$D847-'Business Case'!C14*$E847)-MAX(0,(('Business Case'!C11*$C847*'Business Case'!C12*$B847)-'Business Case'!C11*$C847*'Business Case'!C13*$D847-'Business Case'!C14*$E847))*'Business Case'!$B$7-'Business Case'!$B$8*(('Business Case'!C11*$C847*'Business Case'!C12*$B847)-('Business Case'!B11*$C847*'Business Case'!B12*$B847))-'Business Case'!C15*$F847</f>
        <v>13360864.6395815</v>
      </c>
      <c r="J847" s="53" t="n">
        <f aca="false">(('Business Case'!D11*$C847*'Business Case'!D12*$B847)-'Business Case'!D11*$C847*'Business Case'!D13*$D847-'Business Case'!D14*$E847)-MAX(0,(('Business Case'!D11*$C847*'Business Case'!D12*$B847)-'Business Case'!D11*$C847*'Business Case'!D13*$D847-'Business Case'!D14*$E847))*'Business Case'!$B$7-'Business Case'!$B$8*(('Business Case'!D11*$C847*'Business Case'!D12*$B847)-('Business Case'!C11*$C847*'Business Case'!C12*$B847))-'Business Case'!D15*$F847</f>
        <v>325178897.736898</v>
      </c>
      <c r="K847" s="53" t="n">
        <f aca="false">(('Business Case'!E11*$C847*'Business Case'!E12*$B847)-'Business Case'!E11*$C847*'Business Case'!E13*$D847-'Business Case'!E14*$E847)-MAX(0,(('Business Case'!E11*$C847*'Business Case'!E12*$B847)-'Business Case'!E11*$C847*'Business Case'!E13*$D847-'Business Case'!E14*$E847))*'Business Case'!$B$7-'Business Case'!$B$8*(('Business Case'!E11*$C847*'Business Case'!E12*$B847)-('Business Case'!D11*$C847*'Business Case'!D12*$B847))-'Business Case'!E15*$F847</f>
        <v>687459154.1045</v>
      </c>
      <c r="L847" s="53" t="n">
        <f aca="false">(('Business Case'!F11*$C847*'Business Case'!F12*$B847)-'Business Case'!F11*$C847*'Business Case'!F13*$D847-'Business Case'!F14*$E847)-MAX(0,(('Business Case'!F11*$C847*'Business Case'!F12*$B847)-'Business Case'!F11*$C847*'Business Case'!F13*$D847-'Business Case'!F14*$E847))*'Business Case'!$B$7-'Business Case'!$B$8*(('Business Case'!F11*$C847*'Business Case'!F12*$B847)-('Business Case'!E11*$C847*'Business Case'!E12*$B847))-'Business Case'!F15*$F847</f>
        <v>827895587.393771</v>
      </c>
      <c r="M847" s="53" t="n">
        <f aca="false">(('Business Case'!G11*$C847*'Business Case'!G12*$B847)-'Business Case'!G11*$C847*'Business Case'!G13*$D847-'Business Case'!G14*$E847)-MAX(0,(('Business Case'!G11*$C847*'Business Case'!G12*$B847)-'Business Case'!G11*$C847*'Business Case'!G13*$D847-'Business Case'!G14*$E847))*'Business Case'!$B$7-'Business Case'!$B$8*(('Business Case'!G11*$C847*'Business Case'!G12*$B847)-('Business Case'!F11*$C847*'Business Case'!F12*$B847))-'Business Case'!G15*$F847+'Business Case'!$B$8*('Business Case'!G11*$C847*'Business Case'!G12*$B847)</f>
        <v>1028629576.47301</v>
      </c>
      <c r="N847" s="53" t="n">
        <f aca="false">IF(COUNT('Business Case'!B11:G11)=0,"",H847+NPV(G847,I847:M847))</f>
        <v>-93659878.2042229</v>
      </c>
      <c r="P847" s="54" t="n">
        <f aca="true">RAND()</f>
        <v>0.587982526459879</v>
      </c>
      <c r="Q847" s="54" t="n">
        <f aca="true">RAND()</f>
        <v>0.849859797501394</v>
      </c>
      <c r="R847" s="54" t="n">
        <f aca="true">RAND()</f>
        <v>0.633143552704097</v>
      </c>
      <c r="S847" s="54" t="n">
        <f aca="true">RAND()</f>
        <v>0.387245122370264</v>
      </c>
      <c r="T847" s="54" t="n">
        <f aca="true">RAND()</f>
        <v>0.272246520432791</v>
      </c>
      <c r="U847" s="54" t="n">
        <f aca="true">RAND()</f>
        <v>0.87866920353371</v>
      </c>
    </row>
    <row r="848" customFormat="false" ht="15" hidden="false" customHeight="false" outlineLevel="0" collapsed="false">
      <c r="A848" s="50" t="n">
        <v>768</v>
      </c>
      <c r="B848" s="51" t="n">
        <f aca="false">1+IF($G$6=$E$6,$F$6,IF(P848&lt;($F$6-$E$6)/($G$6-$E$6),$E$6+SQRT(P848*($G$6-$E$6)*($F$6-$E$6)),$G$6-SQRT((1-P848)*($G$6-$E$6)*($G$6-$F$6))))</f>
        <v>0.991984186291446</v>
      </c>
      <c r="C848" s="51" t="n">
        <f aca="false">1+IF($G$7=$E$7,$F$7,IF(Q848&lt;($F$7-$E$7)/($G$7-$E$7),$E$7+SQRT(Q848*($G$7-$E$7)*($F$7-$E$7)),$G$7-SQRT((1-Q848)*($G$7-$E$7)*($G$7-$F$7))))</f>
        <v>1.10807252538171</v>
      </c>
      <c r="D848" s="51" t="n">
        <f aca="false">1+IF($G$8=$E$8,$F$8,IF(R848&lt;($F$8-$E$8)/($G$8-$E$8),$E$8+SQRT(R848*($G$8-$E$8)*($F$8-$E$8)),$G$8-SQRT((1-R848)*($G$8-$E$8)*($G$8-$F$8))))</f>
        <v>1.07686319383406</v>
      </c>
      <c r="E848" s="51" t="n">
        <f aca="false">1+IF($G$9=$E$9,$F$9,IF(S848&lt;($F$9-$E$9)/($G$9-$E$9),$E$9+SQRT(S848*($G$9-$E$9)*($F$9-$E$9)),$G$9-SQRT((1-S848)*($G$9-$E$9)*($G$9-$F$9))))</f>
        <v>0.97491182359559</v>
      </c>
      <c r="F848" s="51" t="n">
        <f aca="false">1+IF($G$10=$E$10,$F$10,IF(T848&lt;($F$10-$E$10)/($G$10-$E$10),$E$10+SQRT(T848*($G$10-$E$10)*($F$10-$E$10)),$G$10-SQRT((1-T848)*($G$10-$E$10)*($G$10-$F$10))))</f>
        <v>1.0953260330034</v>
      </c>
      <c r="G848" s="52" t="n">
        <f aca="false">IF($G$11=$E$11,$F$11,IF(U848&lt;($F$11-$E$11)/($G$11-$E$11),$E$11+SQRT(U848*($G$11-$E$11)*($F$11-$E$11)),$G$11-SQRT((1-U848)*($G$11-$E$11)*($G$11-$F$11))))</f>
        <v>0.099409633747751</v>
      </c>
      <c r="H848" s="53" t="n">
        <f aca="false">(('Business Case'!B11*$C848*'Business Case'!B12*$B848)-'Business Case'!B11*$C848*'Business Case'!B13*$D848-'Business Case'!B14*$E848)-MAX(0,(('Business Case'!B11*$C848*'Business Case'!B12*$B848)-'Business Case'!B11*$C848*'Business Case'!B13*$D848-'Business Case'!B14*$E848))*'Business Case'!$B$7-'Business Case'!$B$8*('Business Case'!B11*$C848*'Business Case'!B12*$B848)-'Business Case'!B15*$F848</f>
        <v>-2190652066.0068</v>
      </c>
      <c r="I848" s="53" t="n">
        <f aca="false">(('Business Case'!C11*$C848*'Business Case'!C12*$B848)-'Business Case'!C11*$C848*'Business Case'!C13*$D848-'Business Case'!C14*$E848)-MAX(0,(('Business Case'!C11*$C848*'Business Case'!C12*$B848)-'Business Case'!C11*$C848*'Business Case'!C13*$D848-'Business Case'!C14*$E848))*'Business Case'!$B$7-'Business Case'!$B$8*(('Business Case'!C11*$C848*'Business Case'!C12*$B848)-('Business Case'!B11*$C848*'Business Case'!B12*$B848))-'Business Case'!C15*$F848</f>
        <v>-15675708.5879451</v>
      </c>
      <c r="J848" s="53" t="n">
        <f aca="false">(('Business Case'!D11*$C848*'Business Case'!D12*$B848)-'Business Case'!D11*$C848*'Business Case'!D13*$D848-'Business Case'!D14*$E848)-MAX(0,(('Business Case'!D11*$C848*'Business Case'!D12*$B848)-'Business Case'!D11*$C848*'Business Case'!D13*$D848-'Business Case'!D14*$E848))*'Business Case'!$B$7-'Business Case'!$B$8*(('Business Case'!D11*$C848*'Business Case'!D12*$B848)-('Business Case'!C11*$C848*'Business Case'!C12*$B848))-'Business Case'!D15*$F848</f>
        <v>273795678.939171</v>
      </c>
      <c r="K848" s="53" t="n">
        <f aca="false">(('Business Case'!E11*$C848*'Business Case'!E12*$B848)-'Business Case'!E11*$C848*'Business Case'!E13*$D848-'Business Case'!E14*$E848)-MAX(0,(('Business Case'!E11*$C848*'Business Case'!E12*$B848)-'Business Case'!E11*$C848*'Business Case'!E13*$D848-'Business Case'!E14*$E848))*'Business Case'!$B$7-'Business Case'!$B$8*(('Business Case'!E11*$C848*'Business Case'!E12*$B848)-('Business Case'!D11*$C848*'Business Case'!D12*$B848))-'Business Case'!E15*$F848</f>
        <v>618033368.116458</v>
      </c>
      <c r="L848" s="53" t="n">
        <f aca="false">(('Business Case'!F11*$C848*'Business Case'!F12*$B848)-'Business Case'!F11*$C848*'Business Case'!F13*$D848-'Business Case'!F14*$E848)-MAX(0,(('Business Case'!F11*$C848*'Business Case'!F12*$B848)-'Business Case'!F11*$C848*'Business Case'!F13*$D848-'Business Case'!F14*$E848))*'Business Case'!$B$7-'Business Case'!$B$8*(('Business Case'!F11*$C848*'Business Case'!F12*$B848)-('Business Case'!E11*$C848*'Business Case'!E12*$B848))-'Business Case'!F15*$F848</f>
        <v>752511851.625116</v>
      </c>
      <c r="M848" s="53" t="n">
        <f aca="false">(('Business Case'!G11*$C848*'Business Case'!G12*$B848)-'Business Case'!G11*$C848*'Business Case'!G13*$D848-'Business Case'!G14*$E848)-MAX(0,(('Business Case'!G11*$C848*'Business Case'!G12*$B848)-'Business Case'!G11*$C848*'Business Case'!G13*$D848-'Business Case'!G14*$E848))*'Business Case'!$B$7-'Business Case'!$B$8*(('Business Case'!G11*$C848*'Business Case'!G12*$B848)-('Business Case'!F11*$C848*'Business Case'!F12*$B848))-'Business Case'!G15*$F848+'Business Case'!$B$8*('Business Case'!G11*$C848*'Business Case'!G12*$B848)</f>
        <v>961445967.12302</v>
      </c>
      <c r="N848" s="53" t="n">
        <f aca="false">IF(COUNT('Business Case'!B11:G11)=0,"",H848+NPV(G848,I848:M848))</f>
        <v>-399636341.755971</v>
      </c>
      <c r="P848" s="54" t="n">
        <f aca="true">RAND()</f>
        <v>0.539762820420994</v>
      </c>
      <c r="Q848" s="54" t="n">
        <f aca="true">RAND()</f>
        <v>0.966515940421568</v>
      </c>
      <c r="R848" s="54" t="n">
        <f aca="true">RAND()</f>
        <v>0.999053889142052</v>
      </c>
      <c r="S848" s="54" t="n">
        <f aca="true">RAND()</f>
        <v>0.0827465273143729</v>
      </c>
      <c r="T848" s="54" t="n">
        <f aca="true">RAND()</f>
        <v>0.780867212663895</v>
      </c>
      <c r="U848" s="54" t="n">
        <f aca="true">RAND()</f>
        <v>0.295137357556049</v>
      </c>
    </row>
    <row r="849" customFormat="false" ht="15" hidden="false" customHeight="false" outlineLevel="0" collapsed="false">
      <c r="A849" s="50" t="n">
        <v>769</v>
      </c>
      <c r="B849" s="51" t="n">
        <f aca="false">1+IF($G$6=$E$6,$F$6,IF(P849&lt;($F$6-$E$6)/($G$6-$E$6),$E$6+SQRT(P849*($G$6-$E$6)*($F$6-$E$6)),$G$6-SQRT((1-P849)*($G$6-$E$6)*($G$6-$F$6))))</f>
        <v>1.02703432722414</v>
      </c>
      <c r="C849" s="51" t="n">
        <f aca="false">1+IF($G$7=$E$7,$F$7,IF(Q849&lt;($F$7-$E$7)/($G$7-$E$7),$E$7+SQRT(Q849*($G$7-$E$7)*($F$7-$E$7)),$G$7-SQRT((1-Q849)*($G$7-$E$7)*($G$7-$F$7))))</f>
        <v>0.986133887798897</v>
      </c>
      <c r="D849" s="51" t="n">
        <f aca="false">1+IF($G$8=$E$8,$F$8,IF(R849&lt;($F$8-$E$8)/($G$8-$E$8),$E$8+SQRT(R849*($G$8-$E$8)*($F$8-$E$8)),$G$8-SQRT((1-R849)*($G$8-$E$8)*($G$8-$F$8))))</f>
        <v>0.997854747335196</v>
      </c>
      <c r="E849" s="51" t="n">
        <f aca="false">1+IF($G$9=$E$9,$F$9,IF(S849&lt;($F$9-$E$9)/($G$9-$E$9),$E$9+SQRT(S849*($G$9-$E$9)*($F$9-$E$9)),$G$9-SQRT((1-S849)*($G$9-$E$9)*($G$9-$F$9))))</f>
        <v>1.01491831301256</v>
      </c>
      <c r="F849" s="51" t="n">
        <f aca="false">1+IF($G$10=$E$10,$F$10,IF(T849&lt;($F$10-$E$10)/($G$10-$E$10),$E$10+SQRT(T849*($G$10-$E$10)*($F$10-$E$10)),$G$10-SQRT((1-T849)*($G$10-$E$10)*($G$10-$F$10))))</f>
        <v>1.01615153699374</v>
      </c>
      <c r="G849" s="52" t="n">
        <f aca="false">IF($G$11=$E$11,$F$11,IF(U849&lt;($F$11-$E$11)/($G$11-$E$11),$E$11+SQRT(U849*($G$11-$E$11)*($F$11-$E$11)),$G$11-SQRT((1-U849)*($G$11-$E$11)*($G$11-$F$11))))</f>
        <v>0.105074526828693</v>
      </c>
      <c r="H849" s="53" t="n">
        <f aca="false">(('Business Case'!B11*$C849*'Business Case'!B12*$B849)-'Business Case'!B11*$C849*'Business Case'!B13*$D849-'Business Case'!B14*$E849)-MAX(0,(('Business Case'!B11*$C849*'Business Case'!B12*$B849)-'Business Case'!B11*$C849*'Business Case'!B13*$D849-'Business Case'!B14*$E849))*'Business Case'!$B$7-'Business Case'!$B$8*('Business Case'!B11*$C849*'Business Case'!B12*$B849)-'Business Case'!B15*$F849</f>
        <v>-2032303073.98749</v>
      </c>
      <c r="I849" s="53" t="n">
        <f aca="false">(('Business Case'!C11*$C849*'Business Case'!C12*$B849)-'Business Case'!C11*$C849*'Business Case'!C13*$D849-'Business Case'!C14*$E849)-MAX(0,(('Business Case'!C11*$C849*'Business Case'!C12*$B849)-'Business Case'!C11*$C849*'Business Case'!C13*$D849-'Business Case'!C14*$E849))*'Business Case'!$B$7-'Business Case'!$B$8*(('Business Case'!C11*$C849*'Business Case'!C12*$B849)-('Business Case'!B11*$C849*'Business Case'!B12*$B849))-'Business Case'!C15*$F849</f>
        <v>27372242.9418799</v>
      </c>
      <c r="J849" s="53" t="n">
        <f aca="false">(('Business Case'!D11*$C849*'Business Case'!D12*$B849)-'Business Case'!D11*$C849*'Business Case'!D13*$D849-'Business Case'!D14*$E849)-MAX(0,(('Business Case'!D11*$C849*'Business Case'!D12*$B849)-'Business Case'!D11*$C849*'Business Case'!D13*$D849-'Business Case'!D14*$E849))*'Business Case'!$B$7-'Business Case'!$B$8*(('Business Case'!D11*$C849*'Business Case'!D12*$B849)-('Business Case'!C11*$C849*'Business Case'!C12*$B849))-'Business Case'!D15*$F849</f>
        <v>353184231.165319</v>
      </c>
      <c r="K849" s="53" t="n">
        <f aca="false">(('Business Case'!E11*$C849*'Business Case'!E12*$B849)-'Business Case'!E11*$C849*'Business Case'!E13*$D849-'Business Case'!E14*$E849)-MAX(0,(('Business Case'!E11*$C849*'Business Case'!E12*$B849)-'Business Case'!E11*$C849*'Business Case'!E13*$D849-'Business Case'!E14*$E849))*'Business Case'!$B$7-'Business Case'!$B$8*(('Business Case'!E11*$C849*'Business Case'!E12*$B849)-('Business Case'!D11*$C849*'Business Case'!D12*$B849))-'Business Case'!E15*$F849</f>
        <v>729803796.238446</v>
      </c>
      <c r="L849" s="53" t="n">
        <f aca="false">(('Business Case'!F11*$C849*'Business Case'!F12*$B849)-'Business Case'!F11*$C849*'Business Case'!F13*$D849-'Business Case'!F14*$E849)-MAX(0,(('Business Case'!F11*$C849*'Business Case'!F12*$B849)-'Business Case'!F11*$C849*'Business Case'!F13*$D849-'Business Case'!F14*$E849))*'Business Case'!$B$7-'Business Case'!$B$8*(('Business Case'!F11*$C849*'Business Case'!F12*$B849)-('Business Case'!E11*$C849*'Business Case'!E12*$B849))-'Business Case'!F15*$F849</f>
        <v>873409930.627458</v>
      </c>
      <c r="M849" s="53" t="n">
        <f aca="false">(('Business Case'!G11*$C849*'Business Case'!G12*$B849)-'Business Case'!G11*$C849*'Business Case'!G13*$D849-'Business Case'!G14*$E849)-MAX(0,(('Business Case'!G11*$C849*'Business Case'!G12*$B849)-'Business Case'!G11*$C849*'Business Case'!G13*$D849-'Business Case'!G14*$E849))*'Business Case'!$B$7-'Business Case'!$B$8*(('Business Case'!G11*$C849*'Business Case'!G12*$B849)-('Business Case'!F11*$C849*'Business Case'!F12*$B849))-'Business Case'!G15*$F849+'Business Case'!$B$8*('Business Case'!G11*$C849*'Business Case'!G12*$B849)</f>
        <v>1065921691.35739</v>
      </c>
      <c r="N849" s="53" t="n">
        <f aca="false">IF(COUNT('Business Case'!B11:G11)=0,"",H849+NPV(G849,I849:M849))</f>
        <v>54937876.2601397</v>
      </c>
      <c r="P849" s="54" t="n">
        <f aca="true">RAND()</f>
        <v>0.964977360306121</v>
      </c>
      <c r="Q849" s="54" t="n">
        <f aca="true">RAND()</f>
        <v>0.49494034553046</v>
      </c>
      <c r="R849" s="54" t="n">
        <f aca="true">RAND()</f>
        <v>0.352319514233143</v>
      </c>
      <c r="S849" s="54" t="n">
        <f aca="true">RAND()</f>
        <v>0.517407102624759</v>
      </c>
      <c r="T849" s="54" t="n">
        <f aca="true">RAND()</f>
        <v>0.32399485300475</v>
      </c>
      <c r="U849" s="54" t="n">
        <f aca="true">RAND()</f>
        <v>0.628717084354304</v>
      </c>
    </row>
    <row r="850" customFormat="false" ht="15" hidden="false" customHeight="false" outlineLevel="0" collapsed="false">
      <c r="A850" s="50" t="n">
        <v>770</v>
      </c>
      <c r="B850" s="51" t="n">
        <f aca="false">1+IF($G$6=$E$6,$F$6,IF(P850&lt;($F$6-$E$6)/($G$6-$E$6),$E$6+SQRT(P850*($G$6-$E$6)*($F$6-$E$6)),$G$6-SQRT((1-P850)*($G$6-$E$6)*($G$6-$F$6))))</f>
        <v>1.00181079615852</v>
      </c>
      <c r="C850" s="51" t="n">
        <f aca="false">1+IF($G$7=$E$7,$F$7,IF(Q850&lt;($F$7-$E$7)/($G$7-$E$7),$E$7+SQRT(Q850*($G$7-$E$7)*($F$7-$E$7)),$G$7-SQRT((1-Q850)*($G$7-$E$7)*($G$7-$F$7))))</f>
        <v>0.992847237323496</v>
      </c>
      <c r="D850" s="51" t="n">
        <f aca="false">1+IF($G$8=$E$8,$F$8,IF(R850&lt;($F$8-$E$8)/($G$8-$E$8),$E$8+SQRT(R850*($G$8-$E$8)*($F$8-$E$8)),$G$8-SQRT((1-R850)*($G$8-$E$8)*($G$8-$F$8))))</f>
        <v>0.99542102314638</v>
      </c>
      <c r="E850" s="51" t="n">
        <f aca="false">1+IF($G$9=$E$9,$F$9,IF(S850&lt;($F$9-$E$9)/($G$9-$E$9),$E$9+SQRT(S850*($G$9-$E$9)*($F$9-$E$9)),$G$9-SQRT((1-S850)*($G$9-$E$9)*($G$9-$F$9))))</f>
        <v>1.00652067466055</v>
      </c>
      <c r="F850" s="51" t="n">
        <f aca="false">1+IF($G$10=$E$10,$F$10,IF(T850&lt;($F$10-$E$10)/($G$10-$E$10),$E$10+SQRT(T850*($G$10-$E$10)*($F$10-$E$10)),$G$10-SQRT((1-T850)*($G$10-$E$10)*($G$10-$F$10))))</f>
        <v>1.02863240594048</v>
      </c>
      <c r="G850" s="52" t="n">
        <f aca="false">IF($G$11=$E$11,$F$11,IF(U850&lt;($F$11-$E$11)/($G$11-$E$11),$E$11+SQRT(U850*($G$11-$E$11)*($F$11-$E$11)),$G$11-SQRT((1-U850)*($G$11-$E$11)*($G$11-$F$11))))</f>
        <v>0.11287049476859</v>
      </c>
      <c r="H850" s="53" t="n">
        <f aca="false">(('Business Case'!B11*$C850*'Business Case'!B12*$B850)-'Business Case'!B11*$C850*'Business Case'!B13*$D850-'Business Case'!B14*$E850)-MAX(0,(('Business Case'!B11*$C850*'Business Case'!B12*$B850)-'Business Case'!B11*$C850*'Business Case'!B13*$D850-'Business Case'!B14*$E850))*'Business Case'!$B$7-'Business Case'!$B$8*('Business Case'!B11*$C850*'Business Case'!B12*$B850)-'Business Case'!B15*$F850</f>
        <v>-2057264811.88097</v>
      </c>
      <c r="I850" s="53" t="n">
        <f aca="false">(('Business Case'!C11*$C850*'Business Case'!C12*$B850)-'Business Case'!C11*$C850*'Business Case'!C13*$D850-'Business Case'!C14*$E850)-MAX(0,(('Business Case'!C11*$C850*'Business Case'!C12*$B850)-'Business Case'!C11*$C850*'Business Case'!C13*$D850-'Business Case'!C14*$E850))*'Business Case'!$B$7-'Business Case'!$B$8*(('Business Case'!C11*$C850*'Business Case'!C12*$B850)-('Business Case'!B11*$C850*'Business Case'!B12*$B850))-'Business Case'!C15*$F850</f>
        <v>11202000.0001495</v>
      </c>
      <c r="J850" s="53" t="n">
        <f aca="false">(('Business Case'!D11*$C850*'Business Case'!D12*$B850)-'Business Case'!D11*$C850*'Business Case'!D13*$D850-'Business Case'!D14*$E850)-MAX(0,(('Business Case'!D11*$C850*'Business Case'!D12*$B850)-'Business Case'!D11*$C850*'Business Case'!D13*$D850-'Business Case'!D14*$E850))*'Business Case'!$B$7-'Business Case'!$B$8*(('Business Case'!D11*$C850*'Business Case'!D12*$B850)-('Business Case'!C11*$C850*'Business Case'!C12*$B850))-'Business Case'!D15*$F850</f>
        <v>319956881.544987</v>
      </c>
      <c r="K850" s="53" t="n">
        <f aca="false">(('Business Case'!E11*$C850*'Business Case'!E12*$B850)-'Business Case'!E11*$C850*'Business Case'!E13*$D850-'Business Case'!E14*$E850)-MAX(0,(('Business Case'!E11*$C850*'Business Case'!E12*$B850)-'Business Case'!E11*$C850*'Business Case'!E13*$D850-'Business Case'!E14*$E850))*'Business Case'!$B$7-'Business Case'!$B$8*(('Business Case'!E11*$C850*'Business Case'!E12*$B850)-('Business Case'!D11*$C850*'Business Case'!D12*$B850))-'Business Case'!E15*$F850</f>
        <v>680143383.386848</v>
      </c>
      <c r="L850" s="53" t="n">
        <f aca="false">(('Business Case'!F11*$C850*'Business Case'!F12*$B850)-'Business Case'!F11*$C850*'Business Case'!F13*$D850-'Business Case'!F14*$E850)-MAX(0,(('Business Case'!F11*$C850*'Business Case'!F12*$B850)-'Business Case'!F11*$C850*'Business Case'!F13*$D850-'Business Case'!F14*$E850))*'Business Case'!$B$7-'Business Case'!$B$8*(('Business Case'!F11*$C850*'Business Case'!F12*$B850)-('Business Case'!E11*$C850*'Business Case'!E12*$B850))-'Business Case'!F15*$F850</f>
        <v>817436611.2444</v>
      </c>
      <c r="M850" s="53" t="n">
        <f aca="false">(('Business Case'!G11*$C850*'Business Case'!G12*$B850)-'Business Case'!G11*$C850*'Business Case'!G13*$D850-'Business Case'!G14*$E850)-MAX(0,(('Business Case'!G11*$C850*'Business Case'!G12*$B850)-'Business Case'!G11*$C850*'Business Case'!G13*$D850-'Business Case'!G14*$E850))*'Business Case'!$B$7-'Business Case'!$B$8*(('Business Case'!G11*$C850*'Business Case'!G12*$B850)-('Business Case'!F11*$C850*'Business Case'!F12*$B850))-'Business Case'!G15*$F850+'Business Case'!$B$8*('Business Case'!G11*$C850*'Business Case'!G12*$B850)</f>
        <v>1006498748.2954</v>
      </c>
      <c r="N850" s="53" t="n">
        <f aca="false">IF(COUNT('Business Case'!B11:G11)=0,"",H850+NPV(G850,I850:M850))</f>
        <v>-172795124.088121</v>
      </c>
      <c r="P850" s="54" t="n">
        <f aca="true">RAND()</f>
        <v>0.6961634812404</v>
      </c>
      <c r="Q850" s="54" t="n">
        <f aca="true">RAND()</f>
        <v>0.531286527761498</v>
      </c>
      <c r="R850" s="54" t="n">
        <f aca="true">RAND()</f>
        <v>0.317395283640614</v>
      </c>
      <c r="S850" s="54" t="n">
        <f aca="true">RAND()</f>
        <v>0.41744104893869</v>
      </c>
      <c r="T850" s="54" t="n">
        <f aca="true">RAND()</f>
        <v>0.412662954125062</v>
      </c>
      <c r="U850" s="54" t="n">
        <f aca="true">RAND()</f>
        <v>0.915283591925487</v>
      </c>
    </row>
    <row r="851" customFormat="false" ht="15" hidden="false" customHeight="false" outlineLevel="0" collapsed="false">
      <c r="A851" s="50" t="n">
        <v>771</v>
      </c>
      <c r="B851" s="51" t="n">
        <f aca="false">1+IF($G$6=$E$6,$F$6,IF(P851&lt;($F$6-$E$6)/($G$6-$E$6),$E$6+SQRT(P851*($G$6-$E$6)*($F$6-$E$6)),$G$6-SQRT((1-P851)*($G$6-$E$6)*($G$6-$F$6))))</f>
        <v>0.960313933149106</v>
      </c>
      <c r="C851" s="51" t="n">
        <f aca="false">1+IF($G$7=$E$7,$F$7,IF(Q851&lt;($F$7-$E$7)/($G$7-$E$7),$E$7+SQRT(Q851*($G$7-$E$7)*($F$7-$E$7)),$G$7-SQRT((1-Q851)*($G$7-$E$7)*($G$7-$F$7))))</f>
        <v>0.926671395445937</v>
      </c>
      <c r="D851" s="51" t="n">
        <f aca="false">1+IF($G$8=$E$8,$F$8,IF(R851&lt;($F$8-$E$8)/($G$8-$E$8),$E$8+SQRT(R851*($G$8-$E$8)*($F$8-$E$8)),$G$8-SQRT((1-R851)*($G$8-$E$8)*($G$8-$F$8))))</f>
        <v>1.01896754815226</v>
      </c>
      <c r="E851" s="51" t="n">
        <f aca="false">1+IF($G$9=$E$9,$F$9,IF(S851&lt;($F$9-$E$9)/($G$9-$E$9),$E$9+SQRT(S851*($G$9-$E$9)*($F$9-$E$9)),$G$9-SQRT((1-S851)*($G$9-$E$9)*($G$9-$F$9))))</f>
        <v>1.03907051329995</v>
      </c>
      <c r="F851" s="51" t="n">
        <f aca="false">1+IF($G$10=$E$10,$F$10,IF(T851&lt;($F$10-$E$10)/($G$10-$E$10),$E$10+SQRT(T851*($G$10-$E$10)*($F$10-$E$10)),$G$10-SQRT((1-T851)*($G$10-$E$10)*($G$10-$F$10))))</f>
        <v>1.04183410176198</v>
      </c>
      <c r="G851" s="52" t="n">
        <f aca="false">IF($G$11=$E$11,$F$11,IF(U851&lt;($F$11-$E$11)/($G$11-$E$11),$E$11+SQRT(U851*($G$11-$E$11)*($F$11-$E$11)),$G$11-SQRT((1-U851)*($G$11-$E$11)*($G$11-$F$11))))</f>
        <v>0.109935149454358</v>
      </c>
      <c r="H851" s="53" t="n">
        <f aca="false">(('Business Case'!B11*$C851*'Business Case'!B12*$B851)-'Business Case'!B11*$C851*'Business Case'!B13*$D851-'Business Case'!B14*$E851)-MAX(0,(('Business Case'!B11*$C851*'Business Case'!B12*$B851)-'Business Case'!B11*$C851*'Business Case'!B13*$D851-'Business Case'!B14*$E851))*'Business Case'!$B$7-'Business Case'!$B$8*('Business Case'!B11*$C851*'Business Case'!B12*$B851)-'Business Case'!B15*$F851</f>
        <v>-2083668203.52397</v>
      </c>
      <c r="I851" s="53" t="n">
        <f aca="false">(('Business Case'!C11*$C851*'Business Case'!C12*$B851)-'Business Case'!C11*$C851*'Business Case'!C13*$D851-'Business Case'!C14*$E851)-MAX(0,(('Business Case'!C11*$C851*'Business Case'!C12*$B851)-'Business Case'!C11*$C851*'Business Case'!C13*$D851-'Business Case'!C14*$E851))*'Business Case'!$B$7-'Business Case'!$B$8*(('Business Case'!C11*$C851*'Business Case'!C12*$B851)-('Business Case'!B11*$C851*'Business Case'!B12*$B851))-'Business Case'!C15*$F851</f>
        <v>-52562446.3478534</v>
      </c>
      <c r="J851" s="53" t="n">
        <f aca="false">(('Business Case'!D11*$C851*'Business Case'!D12*$B851)-'Business Case'!D11*$C851*'Business Case'!D13*$D851-'Business Case'!D14*$E851)-MAX(0,(('Business Case'!D11*$C851*'Business Case'!D12*$B851)-'Business Case'!D11*$C851*'Business Case'!D13*$D851-'Business Case'!D14*$E851))*'Business Case'!$B$7-'Business Case'!$B$8*(('Business Case'!D11*$C851*'Business Case'!D12*$B851)-('Business Case'!C11*$C851*'Business Case'!C12*$B851))-'Business Case'!D15*$F851</f>
        <v>192946524.729213</v>
      </c>
      <c r="K851" s="53" t="n">
        <f aca="false">(('Business Case'!E11*$C851*'Business Case'!E12*$B851)-'Business Case'!E11*$C851*'Business Case'!E13*$D851-'Business Case'!E14*$E851)-MAX(0,(('Business Case'!E11*$C851*'Business Case'!E12*$B851)-'Business Case'!E11*$C851*'Business Case'!E13*$D851-'Business Case'!E14*$E851))*'Business Case'!$B$7-'Business Case'!$B$8*(('Business Case'!E11*$C851*'Business Case'!E12*$B851)-('Business Case'!D11*$C851*'Business Case'!D12*$B851))-'Business Case'!E15*$F851</f>
        <v>490547200.894379</v>
      </c>
      <c r="L851" s="53" t="n">
        <f aca="false">(('Business Case'!F11*$C851*'Business Case'!F12*$B851)-'Business Case'!F11*$C851*'Business Case'!F13*$D851-'Business Case'!F14*$E851)-MAX(0,(('Business Case'!F11*$C851*'Business Case'!F12*$B851)-'Business Case'!F11*$C851*'Business Case'!F13*$D851-'Business Case'!F14*$E851))*'Business Case'!$B$7-'Business Case'!$B$8*(('Business Case'!F11*$C851*'Business Case'!F12*$B851)-('Business Case'!E11*$C851*'Business Case'!E12*$B851))-'Business Case'!F15*$F851</f>
        <v>603138311.425046</v>
      </c>
      <c r="M851" s="53" t="n">
        <f aca="false">(('Business Case'!G11*$C851*'Business Case'!G12*$B851)-'Business Case'!G11*$C851*'Business Case'!G13*$D851-'Business Case'!G14*$E851)-MAX(0,(('Business Case'!G11*$C851*'Business Case'!G12*$B851)-'Business Case'!G11*$C851*'Business Case'!G13*$D851-'Business Case'!G14*$E851))*'Business Case'!$B$7-'Business Case'!$B$8*(('Business Case'!G11*$C851*'Business Case'!G12*$B851)-('Business Case'!F11*$C851*'Business Case'!F12*$B851))-'Business Case'!G15*$F851+'Business Case'!$B$8*('Business Case'!G11*$C851*'Business Case'!G12*$B851)</f>
        <v>772289639.035763</v>
      </c>
      <c r="N851" s="53" t="n">
        <f aca="false">IF(COUNT('Business Case'!B11:G11)=0,"",H851+NPV(G851,I851:M851))</f>
        <v>-759810769.572041</v>
      </c>
      <c r="P851" s="54" t="n">
        <f aca="true">RAND()</f>
        <v>0.16929304228652</v>
      </c>
      <c r="Q851" s="54" t="n">
        <f aca="true">RAND()</f>
        <v>0.229223463203156</v>
      </c>
      <c r="R851" s="54" t="n">
        <f aca="true">RAND()</f>
        <v>0.641830752062772</v>
      </c>
      <c r="S851" s="54" t="n">
        <f aca="true">RAND()</f>
        <v>0.75250651003124</v>
      </c>
      <c r="T851" s="54" t="n">
        <f aca="true">RAND()</f>
        <v>0.499670972691229</v>
      </c>
      <c r="U851" s="54" t="n">
        <f aca="true">RAND()</f>
        <v>0.831164639156499</v>
      </c>
    </row>
    <row r="852" customFormat="false" ht="15" hidden="false" customHeight="false" outlineLevel="0" collapsed="false">
      <c r="A852" s="50" t="n">
        <v>772</v>
      </c>
      <c r="B852" s="51" t="n">
        <f aca="false">1+IF($G$6=$E$6,$F$6,IF(P852&lt;($F$6-$E$6)/($G$6-$E$6),$E$6+SQRT(P852*($G$6-$E$6)*($F$6-$E$6)),$G$6-SQRT((1-P852)*($G$6-$E$6)*($G$6-$F$6))))</f>
        <v>0.996315387371264</v>
      </c>
      <c r="C852" s="51" t="n">
        <f aca="false">1+IF($G$7=$E$7,$F$7,IF(Q852&lt;($F$7-$E$7)/($G$7-$E$7),$E$7+SQRT(Q852*($G$7-$E$7)*($F$7-$E$7)),$G$7-SQRT((1-Q852)*($G$7-$E$7)*($G$7-$F$7))))</f>
        <v>1.07075352419462</v>
      </c>
      <c r="D852" s="51" t="n">
        <f aca="false">1+IF($G$8=$E$8,$F$8,IF(R852&lt;($F$8-$E$8)/($G$8-$E$8),$E$8+SQRT(R852*($G$8-$E$8)*($F$8-$E$8)),$G$8-SQRT((1-R852)*($G$8-$E$8)*($G$8-$F$8))))</f>
        <v>1.03561175090418</v>
      </c>
      <c r="E852" s="51" t="n">
        <f aca="false">1+IF($G$9=$E$9,$F$9,IF(S852&lt;($F$9-$E$9)/($G$9-$E$9),$E$9+SQRT(S852*($G$9-$E$9)*($F$9-$E$9)),$G$9-SQRT((1-S852)*($G$9-$E$9)*($G$9-$F$9))))</f>
        <v>0.987789051152248</v>
      </c>
      <c r="F852" s="51" t="n">
        <f aca="false">1+IF($G$10=$E$10,$F$10,IF(T852&lt;($F$10-$E$10)/($G$10-$E$10),$E$10+SQRT(T852*($G$10-$E$10)*($F$10-$E$10)),$G$10-SQRT((1-T852)*($G$10-$E$10)*($G$10-$F$10))))</f>
        <v>1.00777672851182</v>
      </c>
      <c r="G852" s="52" t="n">
        <f aca="false">IF($G$11=$E$11,$F$11,IF(U852&lt;($F$11-$E$11)/($G$11-$E$11),$E$11+SQRT(U852*($G$11-$E$11)*($F$11-$E$11)),$G$11-SQRT((1-U852)*($G$11-$E$11)*($G$11-$F$11))))</f>
        <v>0.0969122314181008</v>
      </c>
      <c r="H852" s="53" t="n">
        <f aca="false">(('Business Case'!B11*$C852*'Business Case'!B12*$B852)-'Business Case'!B11*$C852*'Business Case'!B13*$D852-'Business Case'!B14*$E852)-MAX(0,(('Business Case'!B11*$C852*'Business Case'!B12*$B852)-'Business Case'!B11*$C852*'Business Case'!B13*$D852-'Business Case'!B14*$E852))*'Business Case'!$B$7-'Business Case'!$B$8*('Business Case'!B11*$C852*'Business Case'!B12*$B852)-'Business Case'!B15*$F852</f>
        <v>-2015553457.02364</v>
      </c>
      <c r="I852" s="53" t="n">
        <f aca="false">(('Business Case'!C11*$C852*'Business Case'!C12*$B852)-'Business Case'!C11*$C852*'Business Case'!C13*$D852-'Business Case'!C14*$E852)-MAX(0,(('Business Case'!C11*$C852*'Business Case'!C12*$B852)-'Business Case'!C11*$C852*'Business Case'!C13*$D852-'Business Case'!C14*$E852))*'Business Case'!$B$7-'Business Case'!$B$8*(('Business Case'!C11*$C852*'Business Case'!C12*$B852)-('Business Case'!B11*$C852*'Business Case'!B12*$B852))-'Business Case'!C15*$F852</f>
        <v>9587747.98788367</v>
      </c>
      <c r="J852" s="53" t="n">
        <f aca="false">(('Business Case'!D11*$C852*'Business Case'!D12*$B852)-'Business Case'!D11*$C852*'Business Case'!D13*$D852-'Business Case'!D14*$E852)-MAX(0,(('Business Case'!D11*$C852*'Business Case'!D12*$B852)-'Business Case'!D11*$C852*'Business Case'!D13*$D852-'Business Case'!D14*$E852))*'Business Case'!$B$7-'Business Case'!$B$8*(('Business Case'!D11*$C852*'Business Case'!D12*$B852)-('Business Case'!C11*$C852*'Business Case'!C12*$B852))-'Business Case'!D15*$F852</f>
        <v>315720109.623171</v>
      </c>
      <c r="K852" s="53" t="n">
        <f aca="false">(('Business Case'!E11*$C852*'Business Case'!E12*$B852)-'Business Case'!E11*$C852*'Business Case'!E13*$D852-'Business Case'!E14*$E852)-MAX(0,(('Business Case'!E11*$C852*'Business Case'!E12*$B852)-'Business Case'!E11*$C852*'Business Case'!E13*$D852-'Business Case'!E14*$E852))*'Business Case'!$B$7-'Business Case'!$B$8*(('Business Case'!E11*$C852*'Business Case'!E12*$B852)-('Business Case'!D11*$C852*'Business Case'!D12*$B852))-'Business Case'!E15*$F852</f>
        <v>672241307.684049</v>
      </c>
      <c r="L852" s="53" t="n">
        <f aca="false">(('Business Case'!F11*$C852*'Business Case'!F12*$B852)-'Business Case'!F11*$C852*'Business Case'!F13*$D852-'Business Case'!F14*$E852)-MAX(0,(('Business Case'!F11*$C852*'Business Case'!F12*$B852)-'Business Case'!F11*$C852*'Business Case'!F13*$D852-'Business Case'!F14*$E852))*'Business Case'!$B$7-'Business Case'!$B$8*(('Business Case'!F11*$C852*'Business Case'!F12*$B852)-('Business Case'!E11*$C852*'Business Case'!E12*$B852))-'Business Case'!F15*$F852</f>
        <v>811154320.044059</v>
      </c>
      <c r="M852" s="53" t="n">
        <f aca="false">(('Business Case'!G11*$C852*'Business Case'!G12*$B852)-'Business Case'!G11*$C852*'Business Case'!G13*$D852-'Business Case'!G14*$E852)-MAX(0,(('Business Case'!G11*$C852*'Business Case'!G12*$B852)-'Business Case'!G11*$C852*'Business Case'!G13*$D852-'Business Case'!G14*$E852))*'Business Case'!$B$7-'Business Case'!$B$8*(('Business Case'!G11*$C852*'Business Case'!G12*$B852)-('Business Case'!F11*$C852*'Business Case'!F12*$B852))-'Business Case'!G15*$F852+'Business Case'!$B$8*('Business Case'!G11*$C852*'Business Case'!G12*$B852)</f>
        <v>1013933225.02609</v>
      </c>
      <c r="N852" s="53" t="n">
        <f aca="false">IF(COUNT('Business Case'!B11:G11)=0,"",H852+NPV(G852,I852:M852))</f>
        <v>-36296028.4092302</v>
      </c>
      <c r="P852" s="54" t="n">
        <f aca="true">RAND()</f>
        <v>0.606670661419381</v>
      </c>
      <c r="Q852" s="54" t="n">
        <f aca="true">RAND()</f>
        <v>0.880380877570041</v>
      </c>
      <c r="R852" s="54" t="n">
        <f aca="true">RAND()</f>
        <v>0.810546475212288</v>
      </c>
      <c r="S852" s="54" t="n">
        <f aca="true">RAND()</f>
        <v>0.190401651598299</v>
      </c>
      <c r="T852" s="54" t="n">
        <f aca="true">RAND()</f>
        <v>0.261004277967616</v>
      </c>
      <c r="U852" s="54" t="n">
        <f aca="true">RAND()</f>
        <v>0.1592631439246</v>
      </c>
    </row>
    <row r="853" customFormat="false" ht="15" hidden="false" customHeight="false" outlineLevel="0" collapsed="false">
      <c r="A853" s="50" t="n">
        <v>773</v>
      </c>
      <c r="B853" s="51" t="n">
        <f aca="false">1+IF($G$6=$E$6,$F$6,IF(P853&lt;($F$6-$E$6)/($G$6-$E$6),$E$6+SQRT(P853*($G$6-$E$6)*($F$6-$E$6)),$G$6-SQRT((1-P853)*($G$6-$E$6)*($G$6-$F$6))))</f>
        <v>0.990496744387415</v>
      </c>
      <c r="C853" s="51" t="n">
        <f aca="false">1+IF($G$7=$E$7,$F$7,IF(Q853&lt;($F$7-$E$7)/($G$7-$E$7),$E$7+SQRT(Q853*($G$7-$E$7)*($F$7-$E$7)),$G$7-SQRT((1-Q853)*($G$7-$E$7)*($G$7-$F$7))))</f>
        <v>1.10725735049623</v>
      </c>
      <c r="D853" s="51" t="n">
        <f aca="false">1+IF($G$8=$E$8,$F$8,IF(R853&lt;($F$8-$E$8)/($G$8-$E$8),$E$8+SQRT(R853*($G$8-$E$8)*($F$8-$E$8)),$G$8-SQRT((1-R853)*($G$8-$E$8)*($G$8-$F$8))))</f>
        <v>1.02622999850666</v>
      </c>
      <c r="E853" s="51" t="n">
        <f aca="false">1+IF($G$9=$E$9,$F$9,IF(S853&lt;($F$9-$E$9)/($G$9-$E$9),$E$9+SQRT(S853*($G$9-$E$9)*($F$9-$E$9)),$G$9-SQRT((1-S853)*($G$9-$E$9)*($G$9-$F$9))))</f>
        <v>1.02580538367056</v>
      </c>
      <c r="F853" s="51" t="n">
        <f aca="false">1+IF($G$10=$E$10,$F$10,IF(T853&lt;($F$10-$E$10)/($G$10-$E$10),$E$10+SQRT(T853*($G$10-$E$10)*($F$10-$E$10)),$G$10-SQRT((1-T853)*($G$10-$E$10)*($G$10-$F$10))))</f>
        <v>1.15292517175717</v>
      </c>
      <c r="G853" s="52" t="n">
        <f aca="false">IF($G$11=$E$11,$F$11,IF(U853&lt;($F$11-$E$11)/($G$11-$E$11),$E$11+SQRT(U853*($G$11-$E$11)*($F$11-$E$11)),$G$11-SQRT((1-U853)*($G$11-$E$11)*($G$11-$F$11))))</f>
        <v>0.11134974028219</v>
      </c>
      <c r="H853" s="53" t="n">
        <f aca="false">(('Business Case'!B11*$C853*'Business Case'!B12*$B853)-'Business Case'!B11*$C853*'Business Case'!B13*$D853-'Business Case'!B14*$E853)-MAX(0,(('Business Case'!B11*$C853*'Business Case'!B12*$B853)-'Business Case'!B11*$C853*'Business Case'!B13*$D853-'Business Case'!B14*$E853))*'Business Case'!$B$7-'Business Case'!$B$8*('Business Case'!B11*$C853*'Business Case'!B12*$B853)-'Business Case'!B15*$F853</f>
        <v>-2305850343.51433</v>
      </c>
      <c r="I853" s="53" t="n">
        <f aca="false">(('Business Case'!C11*$C853*'Business Case'!C12*$B853)-'Business Case'!C11*$C853*'Business Case'!C13*$D853-'Business Case'!C14*$E853)-MAX(0,(('Business Case'!C11*$C853*'Business Case'!C12*$B853)-'Business Case'!C11*$C853*'Business Case'!C13*$D853-'Business Case'!C14*$E853))*'Business Case'!$B$7-'Business Case'!$B$8*(('Business Case'!C11*$C853*'Business Case'!C12*$B853)-('Business Case'!B11*$C853*'Business Case'!B12*$B853))-'Business Case'!C15*$F853</f>
        <v>-1407067.02213289</v>
      </c>
      <c r="J853" s="53" t="n">
        <f aca="false">(('Business Case'!D11*$C853*'Business Case'!D12*$B853)-'Business Case'!D11*$C853*'Business Case'!D13*$D853-'Business Case'!D14*$E853)-MAX(0,(('Business Case'!D11*$C853*'Business Case'!D12*$B853)-'Business Case'!D11*$C853*'Business Case'!D13*$D853-'Business Case'!D14*$E853))*'Business Case'!$B$7-'Business Case'!$B$8*(('Business Case'!D11*$C853*'Business Case'!D12*$B853)-('Business Case'!C11*$C853*'Business Case'!C12*$B853))-'Business Case'!D15*$F853</f>
        <v>315202640.766274</v>
      </c>
      <c r="K853" s="53" t="n">
        <f aca="false">(('Business Case'!E11*$C853*'Business Case'!E12*$B853)-'Business Case'!E11*$C853*'Business Case'!E13*$D853-'Business Case'!E14*$E853)-MAX(0,(('Business Case'!E11*$C853*'Business Case'!E12*$B853)-'Business Case'!E11*$C853*'Business Case'!E13*$D853-'Business Case'!E14*$E853))*'Business Case'!$B$7-'Business Case'!$B$8*(('Business Case'!E11*$C853*'Business Case'!E12*$B853)-('Business Case'!D11*$C853*'Business Case'!D12*$B853))-'Business Case'!E15*$F853</f>
        <v>689458607.14254</v>
      </c>
      <c r="L853" s="53" t="n">
        <f aca="false">(('Business Case'!F11*$C853*'Business Case'!F12*$B853)-'Business Case'!F11*$C853*'Business Case'!F13*$D853-'Business Case'!F14*$E853)-MAX(0,(('Business Case'!F11*$C853*'Business Case'!F12*$B853)-'Business Case'!F11*$C853*'Business Case'!F13*$D853-'Business Case'!F14*$E853))*'Business Case'!$B$7-'Business Case'!$B$8*(('Business Case'!F11*$C853*'Business Case'!F12*$B853)-('Business Case'!E11*$C853*'Business Case'!E12*$B853))-'Business Case'!F15*$F853</f>
        <v>832898331.123256</v>
      </c>
      <c r="M853" s="53" t="n">
        <f aca="false">(('Business Case'!G11*$C853*'Business Case'!G12*$B853)-'Business Case'!G11*$C853*'Business Case'!G13*$D853-'Business Case'!G14*$E853)-MAX(0,(('Business Case'!G11*$C853*'Business Case'!G12*$B853)-'Business Case'!G11*$C853*'Business Case'!G13*$D853-'Business Case'!G14*$E853))*'Business Case'!$B$7-'Business Case'!$B$8*(('Business Case'!G11*$C853*'Business Case'!G12*$B853)-('Business Case'!F11*$C853*'Business Case'!F12*$B853))-'Business Case'!G15*$F853+'Business Case'!$B$8*('Business Case'!G11*$C853*'Business Case'!G12*$B853)</f>
        <v>1041365682.07178</v>
      </c>
      <c r="N853" s="53" t="n">
        <f aca="false">IF(COUNT('Business Case'!B11:G11)=0,"",H853+NPV(G853,I853:M853))</f>
        <v>-389368764.91917</v>
      </c>
      <c r="P853" s="54" t="n">
        <f aca="true">RAND()</f>
        <v>0.517686559294226</v>
      </c>
      <c r="Q853" s="54" t="n">
        <f aca="true">RAND()</f>
        <v>0.965201255493285</v>
      </c>
      <c r="R853" s="54" t="n">
        <f aca="true">RAND()</f>
        <v>0.721998744173665</v>
      </c>
      <c r="S853" s="54" t="n">
        <f aca="true">RAND()</f>
        <v>0.633010593848484</v>
      </c>
      <c r="T853" s="54" t="n">
        <f aca="true">RAND()</f>
        <v>0.955679210918152</v>
      </c>
      <c r="U853" s="54" t="n">
        <f aca="true">RAND()</f>
        <v>0.875288344690713</v>
      </c>
    </row>
    <row r="854" customFormat="false" ht="15" hidden="false" customHeight="false" outlineLevel="0" collapsed="false">
      <c r="A854" s="50" t="n">
        <v>774</v>
      </c>
      <c r="B854" s="51" t="n">
        <f aca="false">1+IF($G$6=$E$6,$F$6,IF(P854&lt;($F$6-$E$6)/($G$6-$E$6),$E$6+SQRT(P854*($G$6-$E$6)*($F$6-$E$6)),$G$6-SQRT((1-P854)*($G$6-$E$6)*($G$6-$F$6))))</f>
        <v>0.995447346956634</v>
      </c>
      <c r="C854" s="51" t="n">
        <f aca="false">1+IF($G$7=$E$7,$F$7,IF(Q854&lt;($F$7-$E$7)/($G$7-$E$7),$E$7+SQRT(Q854*($G$7-$E$7)*($F$7-$E$7)),$G$7-SQRT((1-Q854)*($G$7-$E$7)*($G$7-$F$7))))</f>
        <v>0.951637616443621</v>
      </c>
      <c r="D854" s="51" t="n">
        <f aca="false">1+IF($G$8=$E$8,$F$8,IF(R854&lt;($F$8-$E$8)/($G$8-$E$8),$E$8+SQRT(R854*($G$8-$E$8)*($F$8-$E$8)),$G$8-SQRT((1-R854)*($G$8-$E$8)*($G$8-$F$8))))</f>
        <v>1.00643822203179</v>
      </c>
      <c r="E854" s="51" t="n">
        <f aca="false">1+IF($G$9=$E$9,$F$9,IF(S854&lt;($F$9-$E$9)/($G$9-$E$9),$E$9+SQRT(S854*($G$9-$E$9)*($F$9-$E$9)),$G$9-SQRT((1-S854)*($G$9-$E$9)*($G$9-$F$9))))</f>
        <v>1.04489314522696</v>
      </c>
      <c r="F854" s="51" t="n">
        <f aca="false">1+IF($G$10=$E$10,$F$10,IF(T854&lt;($F$10-$E$10)/($G$10-$E$10),$E$10+SQRT(T854*($G$10-$E$10)*($F$10-$E$10)),$G$10-SQRT((1-T854)*($G$10-$E$10)*($G$10-$F$10))))</f>
        <v>1.04864170911759</v>
      </c>
      <c r="G854" s="52" t="n">
        <f aca="false">IF($G$11=$E$11,$F$11,IF(U854&lt;($F$11-$E$11)/($G$11-$E$11),$E$11+SQRT(U854*($G$11-$E$11)*($F$11-$E$11)),$G$11-SQRT((1-U854)*($G$11-$E$11)*($G$11-$F$11))))</f>
        <v>0.105938382956872</v>
      </c>
      <c r="H854" s="53" t="n">
        <f aca="false">(('Business Case'!B11*$C854*'Business Case'!B12*$B854)-'Business Case'!B11*$C854*'Business Case'!B13*$D854-'Business Case'!B14*$E854)-MAX(0,(('Business Case'!B11*$C854*'Business Case'!B12*$B854)-'Business Case'!B11*$C854*'Business Case'!B13*$D854-'Business Case'!B14*$E854))*'Business Case'!$B$7-'Business Case'!$B$8*('Business Case'!B11*$C854*'Business Case'!B12*$B854)-'Business Case'!B15*$F854</f>
        <v>-2097283418.23518</v>
      </c>
      <c r="I854" s="53" t="n">
        <f aca="false">(('Business Case'!C11*$C854*'Business Case'!C12*$B854)-'Business Case'!C11*$C854*'Business Case'!C13*$D854-'Business Case'!C14*$E854)-MAX(0,(('Business Case'!C11*$C854*'Business Case'!C12*$B854)-'Business Case'!C11*$C854*'Business Case'!C13*$D854-'Business Case'!C14*$E854))*'Business Case'!$B$7-'Business Case'!$B$8*(('Business Case'!C11*$C854*'Business Case'!C12*$B854)-('Business Case'!B11*$C854*'Business Case'!B12*$B854))-'Business Case'!C15*$F854</f>
        <v>-16943946.4132521</v>
      </c>
      <c r="J854" s="53" t="n">
        <f aca="false">(('Business Case'!D11*$C854*'Business Case'!D12*$B854)-'Business Case'!D11*$C854*'Business Case'!D13*$D854-'Business Case'!D14*$E854)-MAX(0,(('Business Case'!D11*$C854*'Business Case'!D12*$B854)-'Business Case'!D11*$C854*'Business Case'!D13*$D854-'Business Case'!D14*$E854))*'Business Case'!$B$7-'Business Case'!$B$8*(('Business Case'!D11*$C854*'Business Case'!D12*$B854)-('Business Case'!C11*$C854*'Business Case'!C12*$B854))-'Business Case'!D15*$F854</f>
        <v>268668381.822792</v>
      </c>
      <c r="K854" s="53" t="n">
        <f aca="false">(('Business Case'!E11*$C854*'Business Case'!E12*$B854)-'Business Case'!E11*$C854*'Business Case'!E13*$D854-'Business Case'!E14*$E854)-MAX(0,(('Business Case'!E11*$C854*'Business Case'!E12*$B854)-'Business Case'!E11*$C854*'Business Case'!E13*$D854-'Business Case'!E14*$E854))*'Business Case'!$B$7-'Business Case'!$B$8*(('Business Case'!E11*$C854*'Business Case'!E12*$B854)-('Business Case'!D11*$C854*'Business Case'!D12*$B854))-'Business Case'!E15*$F854</f>
        <v>606712795.514716</v>
      </c>
      <c r="L854" s="53" t="n">
        <f aca="false">(('Business Case'!F11*$C854*'Business Case'!F12*$B854)-'Business Case'!F11*$C854*'Business Case'!F13*$D854-'Business Case'!F14*$E854)-MAX(0,(('Business Case'!F11*$C854*'Business Case'!F12*$B854)-'Business Case'!F11*$C854*'Business Case'!F13*$D854-'Business Case'!F14*$E854))*'Business Case'!$B$7-'Business Case'!$B$8*(('Business Case'!F11*$C854*'Business Case'!F12*$B854)-('Business Case'!E11*$C854*'Business Case'!E12*$B854))-'Business Case'!F15*$F854</f>
        <v>734655770.584241</v>
      </c>
      <c r="M854" s="53" t="n">
        <f aca="false">(('Business Case'!G11*$C854*'Business Case'!G12*$B854)-'Business Case'!G11*$C854*'Business Case'!G13*$D854-'Business Case'!G14*$E854)-MAX(0,(('Business Case'!G11*$C854*'Business Case'!G12*$B854)-'Business Case'!G11*$C854*'Business Case'!G13*$D854-'Business Case'!G14*$E854))*'Business Case'!$B$7-'Business Case'!$B$8*(('Business Case'!G11*$C854*'Business Case'!G12*$B854)-('Business Case'!F11*$C854*'Business Case'!F12*$B854))-'Business Case'!G15*$F854+'Business Case'!$B$8*('Business Case'!G11*$C854*'Business Case'!G12*$B854)</f>
        <v>914719531.700544</v>
      </c>
      <c r="N854" s="53" t="n">
        <f aca="false">IF(COUNT('Business Case'!B11:G11)=0,"",H854+NPV(G854,I854:M854))</f>
        <v>-400441551.021615</v>
      </c>
      <c r="P854" s="54" t="n">
        <f aca="true">RAND()</f>
        <v>0.592948141957782</v>
      </c>
      <c r="Q854" s="54" t="n">
        <f aca="true">RAND()</f>
        <v>0.328485238867181</v>
      </c>
      <c r="R854" s="54" t="n">
        <f aca="true">RAND()</f>
        <v>0.479679309822632</v>
      </c>
      <c r="S854" s="54" t="n">
        <f aca="true">RAND()</f>
        <v>0.797548970468183</v>
      </c>
      <c r="T854" s="54" t="n">
        <f aca="true">RAND()</f>
        <v>0.541813355623119</v>
      </c>
      <c r="U854" s="54" t="n">
        <f aca="true">RAND()</f>
        <v>0.670451543554008</v>
      </c>
    </row>
    <row r="855" customFormat="false" ht="15" hidden="false" customHeight="false" outlineLevel="0" collapsed="false">
      <c r="A855" s="50" t="n">
        <v>775</v>
      </c>
      <c r="B855" s="51" t="n">
        <f aca="false">1+IF($G$6=$E$6,$F$6,IF(P855&lt;($F$6-$E$6)/($G$6-$E$6),$E$6+SQRT(P855*($G$6-$E$6)*($F$6-$E$6)),$G$6-SQRT((1-P855)*($G$6-$E$6)*($G$6-$F$6))))</f>
        <v>1.02156957443992</v>
      </c>
      <c r="C855" s="51" t="n">
        <f aca="false">1+IF($G$7=$E$7,$F$7,IF(Q855&lt;($F$7-$E$7)/($G$7-$E$7),$E$7+SQRT(Q855*($G$7-$E$7)*($F$7-$E$7)),$G$7-SQRT((1-Q855)*($G$7-$E$7)*($G$7-$F$7))))</f>
        <v>0.964921221948516</v>
      </c>
      <c r="D855" s="51" t="n">
        <f aca="false">1+IF($G$8=$E$8,$F$8,IF(R855&lt;($F$8-$E$8)/($G$8-$E$8),$E$8+SQRT(R855*($G$8-$E$8)*($F$8-$E$8)),$G$8-SQRT((1-R855)*($G$8-$E$8)*($G$8-$F$8))))</f>
        <v>1.02355770486168</v>
      </c>
      <c r="E855" s="51" t="n">
        <f aca="false">1+IF($G$9=$E$9,$F$9,IF(S855&lt;($F$9-$E$9)/($G$9-$E$9),$E$9+SQRT(S855*($G$9-$E$9)*($F$9-$E$9)),$G$9-SQRT((1-S855)*($G$9-$E$9)*($G$9-$F$9))))</f>
        <v>1.07571415607531</v>
      </c>
      <c r="F855" s="51" t="n">
        <f aca="false">1+IF($G$10=$E$10,$F$10,IF(T855&lt;($F$10-$E$10)/($G$10-$E$10),$E$10+SQRT(T855*($G$10-$E$10)*($F$10-$E$10)),$G$10-SQRT((1-T855)*($G$10-$E$10)*($G$10-$F$10))))</f>
        <v>0.976699086640801</v>
      </c>
      <c r="G855" s="52" t="n">
        <f aca="false">IF($G$11=$E$11,$F$11,IF(U855&lt;($F$11-$E$11)/($G$11-$E$11),$E$11+SQRT(U855*($G$11-$E$11)*($F$11-$E$11)),$G$11-SQRT((1-U855)*($G$11-$E$11)*($G$11-$F$11))))</f>
        <v>0.0956351409864377</v>
      </c>
      <c r="H855" s="53" t="n">
        <f aca="false">(('Business Case'!B11*$C855*'Business Case'!B12*$B855)-'Business Case'!B11*$C855*'Business Case'!B13*$D855-'Business Case'!B14*$E855)-MAX(0,(('Business Case'!B11*$C855*'Business Case'!B12*$B855)-'Business Case'!B11*$C855*'Business Case'!B13*$D855-'Business Case'!B14*$E855))*'Business Case'!$B$7-'Business Case'!$B$8*('Business Case'!B11*$C855*'Business Case'!B12*$B855)-'Business Case'!B15*$F855</f>
        <v>-1953398173.2816</v>
      </c>
      <c r="I855" s="53" t="n">
        <f aca="false">(('Business Case'!C11*$C855*'Business Case'!C12*$B855)-'Business Case'!C11*$C855*'Business Case'!C13*$D855-'Business Case'!C14*$E855)-MAX(0,(('Business Case'!C11*$C855*'Business Case'!C12*$B855)-'Business Case'!C11*$C855*'Business Case'!C13*$D855-'Business Case'!C14*$E855))*'Business Case'!$B$7-'Business Case'!$B$8*(('Business Case'!C11*$C855*'Business Case'!C12*$B855)-('Business Case'!B11*$C855*'Business Case'!B12*$B855))-'Business Case'!C15*$F855</f>
        <v>51236.9117717147</v>
      </c>
      <c r="J855" s="53" t="n">
        <f aca="false">(('Business Case'!D11*$C855*'Business Case'!D12*$B855)-'Business Case'!D11*$C855*'Business Case'!D13*$D855-'Business Case'!D14*$E855)-MAX(0,(('Business Case'!D11*$C855*'Business Case'!D12*$B855)-'Business Case'!D11*$C855*'Business Case'!D13*$D855-'Business Case'!D14*$E855))*'Business Case'!$B$7-'Business Case'!$B$8*(('Business Case'!D11*$C855*'Business Case'!D12*$B855)-('Business Case'!C11*$C855*'Business Case'!C12*$B855))-'Business Case'!D15*$F855</f>
        <v>301839394.443449</v>
      </c>
      <c r="K855" s="53" t="n">
        <f aca="false">(('Business Case'!E11*$C855*'Business Case'!E12*$B855)-'Business Case'!E11*$C855*'Business Case'!E13*$D855-'Business Case'!E14*$E855)-MAX(0,(('Business Case'!E11*$C855*'Business Case'!E12*$B855)-'Business Case'!E11*$C855*'Business Case'!E13*$D855-'Business Case'!E14*$E855))*'Business Case'!$B$7-'Business Case'!$B$8*(('Business Case'!E11*$C855*'Business Case'!E12*$B855)-('Business Case'!D11*$C855*'Business Case'!D12*$B855))-'Business Case'!E15*$F855</f>
        <v>652462506.307165</v>
      </c>
      <c r="L855" s="53" t="n">
        <f aca="false">(('Business Case'!F11*$C855*'Business Case'!F12*$B855)-'Business Case'!F11*$C855*'Business Case'!F13*$D855-'Business Case'!F14*$E855)-MAX(0,(('Business Case'!F11*$C855*'Business Case'!F12*$B855)-'Business Case'!F11*$C855*'Business Case'!F13*$D855-'Business Case'!F14*$E855))*'Business Case'!$B$7-'Business Case'!$B$8*(('Business Case'!F11*$C855*'Business Case'!F12*$B855)-('Business Case'!E11*$C855*'Business Case'!E12*$B855))-'Business Case'!F15*$F855</f>
        <v>787125531.459001</v>
      </c>
      <c r="M855" s="53" t="n">
        <f aca="false">(('Business Case'!G11*$C855*'Business Case'!G12*$B855)-'Business Case'!G11*$C855*'Business Case'!G13*$D855-'Business Case'!G14*$E855)-MAX(0,(('Business Case'!G11*$C855*'Business Case'!G12*$B855)-'Business Case'!G11*$C855*'Business Case'!G13*$D855-'Business Case'!G14*$E855))*'Business Case'!$B$7-'Business Case'!$B$8*(('Business Case'!G11*$C855*'Business Case'!G12*$B855)-('Business Case'!F11*$C855*'Business Case'!F12*$B855))-'Business Case'!G15*$F855+'Business Case'!$B$8*('Business Case'!G11*$C855*'Business Case'!G12*$B855)</f>
        <v>974493880.986025</v>
      </c>
      <c r="N855" s="53" t="n">
        <f aca="false">IF(COUNT('Business Case'!B11:G11)=0,"",H855+NPV(G855,I855:M855))</f>
        <v>-42349854.1738315</v>
      </c>
      <c r="P855" s="54" t="n">
        <f aca="true">RAND()</f>
        <v>0.929233211182117</v>
      </c>
      <c r="Q855" s="54" t="n">
        <f aca="true">RAND()</f>
        <v>0.388557277842737</v>
      </c>
      <c r="R855" s="54" t="n">
        <f aca="true">RAND()</f>
        <v>0.693679549953698</v>
      </c>
      <c r="S855" s="54" t="n">
        <f aca="true">RAND()</f>
        <v>0.960679852324384</v>
      </c>
      <c r="T855" s="54" t="n">
        <f aca="true">RAND()</f>
        <v>0.0570272981962392</v>
      </c>
      <c r="U855" s="54" t="n">
        <f aca="true">RAND()</f>
        <v>0.1058493797901</v>
      </c>
    </row>
    <row r="856" customFormat="false" ht="15" hidden="false" customHeight="false" outlineLevel="0" collapsed="false">
      <c r="A856" s="50" t="n">
        <v>776</v>
      </c>
      <c r="B856" s="51" t="n">
        <f aca="false">1+IF($G$6=$E$6,$F$6,IF(P856&lt;($F$6-$E$6)/($G$6-$E$6),$E$6+SQRT(P856*($G$6-$E$6)*($F$6-$E$6)),$G$6-SQRT((1-P856)*($G$6-$E$6)*($G$6-$F$6))))</f>
        <v>0.993964073491785</v>
      </c>
      <c r="C856" s="51" t="n">
        <f aca="false">1+IF($G$7=$E$7,$F$7,IF(Q856&lt;($F$7-$E$7)/($G$7-$E$7),$E$7+SQRT(Q856*($G$7-$E$7)*($F$7-$E$7)),$G$7-SQRT((1-Q856)*($G$7-$E$7)*($G$7-$F$7))))</f>
        <v>0.962590213329837</v>
      </c>
      <c r="D856" s="51" t="n">
        <f aca="false">1+IF($G$8=$E$8,$F$8,IF(R856&lt;($F$8-$E$8)/($G$8-$E$8),$E$8+SQRT(R856*($G$8-$E$8)*($F$8-$E$8)),$G$8-SQRT((1-R856)*($G$8-$E$8)*($G$8-$F$8))))</f>
        <v>1.0176721670369</v>
      </c>
      <c r="E856" s="51" t="n">
        <f aca="false">1+IF($G$9=$E$9,$F$9,IF(S856&lt;($F$9-$E$9)/($G$9-$E$9),$E$9+SQRT(S856*($G$9-$E$9)*($F$9-$E$9)),$G$9-SQRT((1-S856)*($G$9-$E$9)*($G$9-$F$9))))</f>
        <v>1.05573701104882</v>
      </c>
      <c r="F856" s="51" t="n">
        <f aca="false">1+IF($G$10=$E$10,$F$10,IF(T856&lt;($F$10-$E$10)/($G$10-$E$10),$E$10+SQRT(T856*($G$10-$E$10)*($F$10-$E$10)),$G$10-SQRT((1-T856)*($G$10-$E$10)*($G$10-$F$10))))</f>
        <v>0.990591124117467</v>
      </c>
      <c r="G856" s="52" t="n">
        <f aca="false">IF($G$11=$E$11,$F$11,IF(U856&lt;($F$11-$E$11)/($G$11-$E$11),$E$11+SQRT(U856*($G$11-$E$11)*($F$11-$E$11)),$G$11-SQRT((1-U856)*($G$11-$E$11)*($G$11-$F$11))))</f>
        <v>0.100225221067911</v>
      </c>
      <c r="H856" s="53" t="n">
        <f aca="false">(('Business Case'!B11*$C856*'Business Case'!B12*$B856)-'Business Case'!B11*$C856*'Business Case'!B13*$D856-'Business Case'!B14*$E856)-MAX(0,(('Business Case'!B11*$C856*'Business Case'!B12*$B856)-'Business Case'!B11*$C856*'Business Case'!B13*$D856-'Business Case'!B14*$E856))*'Business Case'!$B$7-'Business Case'!$B$8*('Business Case'!B11*$C856*'Business Case'!B12*$B856)-'Business Case'!B15*$F856</f>
        <v>-1981182248.23493</v>
      </c>
      <c r="I856" s="53" t="n">
        <f aca="false">(('Business Case'!C11*$C856*'Business Case'!C12*$B856)-'Business Case'!C11*$C856*'Business Case'!C13*$D856-'Business Case'!C14*$E856)-MAX(0,(('Business Case'!C11*$C856*'Business Case'!C12*$B856)-'Business Case'!C11*$C856*'Business Case'!C13*$D856-'Business Case'!C14*$E856))*'Business Case'!$B$7-'Business Case'!$B$8*(('Business Case'!C11*$C856*'Business Case'!C12*$B856)-('Business Case'!B11*$C856*'Business Case'!B12*$B856))-'Business Case'!C15*$F856</f>
        <v>-16590095.0242559</v>
      </c>
      <c r="J856" s="53" t="n">
        <f aca="false">(('Business Case'!D11*$C856*'Business Case'!D12*$B856)-'Business Case'!D11*$C856*'Business Case'!D13*$D856-'Business Case'!D14*$E856)-MAX(0,(('Business Case'!D11*$C856*'Business Case'!D12*$B856)-'Business Case'!D11*$C856*'Business Case'!D13*$D856-'Business Case'!D14*$E856))*'Business Case'!$B$7-'Business Case'!$B$8*(('Business Case'!D11*$C856*'Business Case'!D12*$B856)-('Business Case'!C11*$C856*'Business Case'!C12*$B856))-'Business Case'!D15*$F856</f>
        <v>265604205.176371</v>
      </c>
      <c r="K856" s="53" t="n">
        <f aca="false">(('Business Case'!E11*$C856*'Business Case'!E12*$B856)-'Business Case'!E11*$C856*'Business Case'!E13*$D856-'Business Case'!E14*$E856)-MAX(0,(('Business Case'!E11*$C856*'Business Case'!E12*$B856)-'Business Case'!E11*$C856*'Business Case'!E13*$D856-'Business Case'!E14*$E856))*'Business Case'!$B$7-'Business Case'!$B$8*(('Business Case'!E11*$C856*'Business Case'!E12*$B856)-('Business Case'!D11*$C856*'Business Case'!D12*$B856))-'Business Case'!E15*$F856</f>
        <v>597328061.582871</v>
      </c>
      <c r="L856" s="53" t="n">
        <f aca="false">(('Business Case'!F11*$C856*'Business Case'!F12*$B856)-'Business Case'!F11*$C856*'Business Case'!F13*$D856-'Business Case'!F14*$E856)-MAX(0,(('Business Case'!F11*$C856*'Business Case'!F12*$B856)-'Business Case'!F11*$C856*'Business Case'!F13*$D856-'Business Case'!F14*$E856))*'Business Case'!$B$7-'Business Case'!$B$8*(('Business Case'!F11*$C856*'Business Case'!F12*$B856)-('Business Case'!E11*$C856*'Business Case'!E12*$B856))-'Business Case'!F15*$F856</f>
        <v>724459148.211078</v>
      </c>
      <c r="M856" s="53" t="n">
        <f aca="false">(('Business Case'!G11*$C856*'Business Case'!G12*$B856)-'Business Case'!G11*$C856*'Business Case'!G13*$D856-'Business Case'!G14*$E856)-MAX(0,(('Business Case'!G11*$C856*'Business Case'!G12*$B856)-'Business Case'!G11*$C856*'Business Case'!G13*$D856-'Business Case'!G14*$E856))*'Business Case'!$B$7-'Business Case'!$B$8*(('Business Case'!G11*$C856*'Business Case'!G12*$B856)-('Business Case'!F11*$C856*'Business Case'!F12*$B856))-'Business Case'!G15*$F856+'Business Case'!$B$8*('Business Case'!G11*$C856*'Business Case'!G12*$B856)</f>
        <v>906323907.631725</v>
      </c>
      <c r="N856" s="53" t="n">
        <f aca="false">IF(COUNT('Business Case'!B11:G11)=0,"",H856+NPV(G856,I856:M856))</f>
        <v>-271747060.690478</v>
      </c>
      <c r="P856" s="54" t="n">
        <f aca="true">RAND()</f>
        <v>0.569862934114397</v>
      </c>
      <c r="Q856" s="54" t="n">
        <f aca="true">RAND()</f>
        <v>0.377651106723456</v>
      </c>
      <c r="R856" s="54" t="n">
        <f aca="true">RAND()</f>
        <v>0.626465503665781</v>
      </c>
      <c r="S856" s="54" t="n">
        <f aca="true">RAND()</f>
        <v>0.869385853940489</v>
      </c>
      <c r="T856" s="54" t="n">
        <f aca="true">RAND()</f>
        <v>0.131811148569568</v>
      </c>
      <c r="U856" s="54" t="n">
        <f aca="true">RAND()</f>
        <v>0.348263530311674</v>
      </c>
    </row>
    <row r="857" customFormat="false" ht="15" hidden="false" customHeight="false" outlineLevel="0" collapsed="false">
      <c r="A857" s="50" t="n">
        <v>777</v>
      </c>
      <c r="B857" s="51" t="n">
        <f aca="false">1+IF($G$6=$E$6,$F$6,IF(P857&lt;($F$6-$E$6)/($G$6-$E$6),$E$6+SQRT(P857*($G$6-$E$6)*($F$6-$E$6)),$G$6-SQRT((1-P857)*($G$6-$E$6)*($G$6-$F$6))))</f>
        <v>0.950123692658543</v>
      </c>
      <c r="C857" s="51" t="n">
        <f aca="false">1+IF($G$7=$E$7,$F$7,IF(Q857&lt;($F$7-$E$7)/($G$7-$E$7),$E$7+SQRT(Q857*($G$7-$E$7)*($F$7-$E$7)),$G$7-SQRT((1-Q857)*($G$7-$E$7)*($G$7-$F$7))))</f>
        <v>0.888925729694552</v>
      </c>
      <c r="D857" s="51" t="n">
        <f aca="false">1+IF($G$8=$E$8,$F$8,IF(R857&lt;($F$8-$E$8)/($G$8-$E$8),$E$8+SQRT(R857*($G$8-$E$8)*($F$8-$E$8)),$G$8-SQRT((1-R857)*($G$8-$E$8)*($G$8-$F$8))))</f>
        <v>1.02765152589823</v>
      </c>
      <c r="E857" s="51" t="n">
        <f aca="false">1+IF($G$9=$E$9,$F$9,IF(S857&lt;($F$9-$E$9)/($G$9-$E$9),$E$9+SQRT(S857*($G$9-$E$9)*($F$9-$E$9)),$G$9-SQRT((1-S857)*($G$9-$E$9)*($G$9-$F$9))))</f>
        <v>0.991142906133753</v>
      </c>
      <c r="F857" s="51" t="n">
        <f aca="false">1+IF($G$10=$E$10,$F$10,IF(T857&lt;($F$10-$E$10)/($G$10-$E$10),$E$10+SQRT(T857*($G$10-$E$10)*($F$10-$E$10)),$G$10-SQRT((1-T857)*($G$10-$E$10)*($G$10-$F$10))))</f>
        <v>1.05533539298249</v>
      </c>
      <c r="G857" s="52" t="n">
        <f aca="false">IF($G$11=$E$11,$F$11,IF(U857&lt;($F$11-$E$11)/($G$11-$E$11),$E$11+SQRT(U857*($G$11-$E$11)*($F$11-$E$11)),$G$11-SQRT((1-U857)*($G$11-$E$11)*($G$11-$F$11))))</f>
        <v>0.100246284416082</v>
      </c>
      <c r="H857" s="53" t="n">
        <f aca="false">(('Business Case'!B11*$C857*'Business Case'!B12*$B857)-'Business Case'!B11*$C857*'Business Case'!B13*$D857-'Business Case'!B14*$E857)-MAX(0,(('Business Case'!B11*$C857*'Business Case'!B12*$B857)-'Business Case'!B11*$C857*'Business Case'!B13*$D857-'Business Case'!B14*$E857))*'Business Case'!$B$7-'Business Case'!$B$8*('Business Case'!B11*$C857*'Business Case'!B12*$B857)-'Business Case'!B15*$F857</f>
        <v>-2110670785.96499</v>
      </c>
      <c r="I857" s="53" t="n">
        <f aca="false">(('Business Case'!C11*$C857*'Business Case'!C12*$B857)-'Business Case'!C11*$C857*'Business Case'!C13*$D857-'Business Case'!C14*$E857)-MAX(0,(('Business Case'!C11*$C857*'Business Case'!C12*$B857)-'Business Case'!C11*$C857*'Business Case'!C13*$D857-'Business Case'!C14*$E857))*'Business Case'!$B$7-'Business Case'!$B$8*(('Business Case'!C11*$C857*'Business Case'!C12*$B857)-('Business Case'!B11*$C857*'Business Case'!B12*$B857))-'Business Case'!C15*$F857</f>
        <v>-66119979.8526049</v>
      </c>
      <c r="J857" s="53" t="n">
        <f aca="false">(('Business Case'!D11*$C857*'Business Case'!D12*$B857)-'Business Case'!D11*$C857*'Business Case'!D13*$D857-'Business Case'!D14*$E857)-MAX(0,(('Business Case'!D11*$C857*'Business Case'!D12*$B857)-'Business Case'!D11*$C857*'Business Case'!D13*$D857-'Business Case'!D14*$E857))*'Business Case'!$B$7-'Business Case'!$B$8*(('Business Case'!D11*$C857*'Business Case'!D12*$B857)-('Business Case'!C11*$C857*'Business Case'!C12*$B857))-'Business Case'!D15*$F857</f>
        <v>158017615.175194</v>
      </c>
      <c r="K857" s="53" t="n">
        <f aca="false">(('Business Case'!E11*$C857*'Business Case'!E12*$B857)-'Business Case'!E11*$C857*'Business Case'!E13*$D857-'Business Case'!E14*$E857)-MAX(0,(('Business Case'!E11*$C857*'Business Case'!E12*$B857)-'Business Case'!E11*$C857*'Business Case'!E13*$D857-'Business Case'!E14*$E857))*'Business Case'!$B$7-'Business Case'!$B$8*(('Business Case'!E11*$C857*'Business Case'!E12*$B857)-('Business Case'!D11*$C857*'Business Case'!D12*$B857))-'Business Case'!E15*$F857</f>
        <v>434921979.852117</v>
      </c>
      <c r="L857" s="53" t="n">
        <f aca="false">(('Business Case'!F11*$C857*'Business Case'!F12*$B857)-'Business Case'!F11*$C857*'Business Case'!F13*$D857-'Business Case'!F14*$E857)-MAX(0,(('Business Case'!F11*$C857*'Business Case'!F12*$B857)-'Business Case'!F11*$C857*'Business Case'!F13*$D857-'Business Case'!F14*$E857))*'Business Case'!$B$7-'Business Case'!$B$8*(('Business Case'!F11*$C857*'Business Case'!F12*$B857)-('Business Case'!E11*$C857*'Business Case'!E12*$B857))-'Business Case'!F15*$F857</f>
        <v>538823521.08134</v>
      </c>
      <c r="M857" s="53" t="n">
        <f aca="false">(('Business Case'!G11*$C857*'Business Case'!G12*$B857)-'Business Case'!G11*$C857*'Business Case'!G13*$D857-'Business Case'!G14*$E857)-MAX(0,(('Business Case'!G11*$C857*'Business Case'!G12*$B857)-'Business Case'!G11*$C857*'Business Case'!G13*$D857-'Business Case'!G14*$E857))*'Business Case'!$B$7-'Business Case'!$B$8*(('Business Case'!G11*$C857*'Business Case'!G12*$B857)-('Business Case'!F11*$C857*'Business Case'!F12*$B857))-'Business Case'!G15*$F857+'Business Case'!$B$8*('Business Case'!G11*$C857*'Business Case'!G12*$B857)</f>
        <v>699363073.624433</v>
      </c>
      <c r="N857" s="53" t="n">
        <f aca="false">IF(COUNT('Business Case'!B11:G11)=0,"",H857+NPV(G857,I857:M857))</f>
        <v>-912229909.778678</v>
      </c>
      <c r="P857" s="54" t="n">
        <f aca="true">RAND()</f>
        <v>0.0945246728527446</v>
      </c>
      <c r="Q857" s="54" t="n">
        <f aca="true">RAND()</f>
        <v>0.112968362881551</v>
      </c>
      <c r="R857" s="54" t="n">
        <f aca="true">RAND()</f>
        <v>0.736503582616921</v>
      </c>
      <c r="S857" s="54" t="n">
        <f aca="true">RAND()</f>
        <v>0.22569849668411</v>
      </c>
      <c r="T857" s="54" t="n">
        <f aca="true">RAND()</f>
        <v>0.581443029529404</v>
      </c>
      <c r="U857" s="54" t="n">
        <f aca="true">RAND()</f>
        <v>0.349651201049431</v>
      </c>
    </row>
    <row r="858" customFormat="false" ht="15" hidden="false" customHeight="false" outlineLevel="0" collapsed="false">
      <c r="A858" s="50" t="n">
        <v>778</v>
      </c>
      <c r="B858" s="51" t="n">
        <f aca="false">1+IF($G$6=$E$6,$F$6,IF(P858&lt;($F$6-$E$6)/($G$6-$E$6),$E$6+SQRT(P858*($G$6-$E$6)*($F$6-$E$6)),$G$6-SQRT((1-P858)*($G$6-$E$6)*($G$6-$F$6))))</f>
        <v>0.961443690647902</v>
      </c>
      <c r="C858" s="51" t="n">
        <f aca="false">1+IF($G$7=$E$7,$F$7,IF(Q858&lt;($F$7-$E$7)/($G$7-$E$7),$E$7+SQRT(Q858*($G$7-$E$7)*($F$7-$E$7)),$G$7-SQRT((1-Q858)*($G$7-$E$7)*($G$7-$F$7))))</f>
        <v>1.00359961940762</v>
      </c>
      <c r="D858" s="51" t="n">
        <f aca="false">1+IF($G$8=$E$8,$F$8,IF(R858&lt;($F$8-$E$8)/($G$8-$E$8),$E$8+SQRT(R858*($G$8-$E$8)*($F$8-$E$8)),$G$8-SQRT((1-R858)*($G$8-$E$8)*($G$8-$F$8))))</f>
        <v>1.03253943708727</v>
      </c>
      <c r="E858" s="51" t="n">
        <f aca="false">1+IF($G$9=$E$9,$F$9,IF(S858&lt;($F$9-$E$9)/($G$9-$E$9),$E$9+SQRT(S858*($G$9-$E$9)*($F$9-$E$9)),$G$9-SQRT((1-S858)*($G$9-$E$9)*($G$9-$F$9))))</f>
        <v>1.05760849374619</v>
      </c>
      <c r="F858" s="51" t="n">
        <f aca="false">1+IF($G$10=$E$10,$F$10,IF(T858&lt;($F$10-$E$10)/($G$10-$E$10),$E$10+SQRT(T858*($G$10-$E$10)*($F$10-$E$10)),$G$10-SQRT((1-T858)*($G$10-$E$10)*($G$10-$F$10))))</f>
        <v>0.981902136951061</v>
      </c>
      <c r="G858" s="52" t="n">
        <f aca="false">IF($G$11=$E$11,$F$11,IF(U858&lt;($F$11-$E$11)/($G$11-$E$11),$E$11+SQRT(U858*($G$11-$E$11)*($F$11-$E$11)),$G$11-SQRT((1-U858)*($G$11-$E$11)*($G$11-$F$11))))</f>
        <v>0.100912549383105</v>
      </c>
      <c r="H858" s="53" t="n">
        <f aca="false">(('Business Case'!B11*$C858*'Business Case'!B12*$B858)-'Business Case'!B11*$C858*'Business Case'!B13*$D858-'Business Case'!B14*$E858)-MAX(0,(('Business Case'!B11*$C858*'Business Case'!B12*$B858)-'Business Case'!B11*$C858*'Business Case'!B13*$D858-'Business Case'!B14*$E858))*'Business Case'!$B$7-'Business Case'!$B$8*('Business Case'!B11*$C858*'Business Case'!B12*$B858)-'Business Case'!B15*$F858</f>
        <v>-1963804273.90212</v>
      </c>
      <c r="I858" s="53" t="n">
        <f aca="false">(('Business Case'!C11*$C858*'Business Case'!C12*$B858)-'Business Case'!C11*$C858*'Business Case'!C13*$D858-'Business Case'!C14*$E858)-MAX(0,(('Business Case'!C11*$C858*'Business Case'!C12*$B858)-'Business Case'!C11*$C858*'Business Case'!C13*$D858-'Business Case'!C14*$E858))*'Business Case'!$B$7-'Business Case'!$B$8*(('Business Case'!C11*$C858*'Business Case'!C12*$B858)-('Business Case'!B11*$C858*'Business Case'!B12*$B858))-'Business Case'!C15*$F858</f>
        <v>-38756782.0505584</v>
      </c>
      <c r="J858" s="53" t="n">
        <f aca="false">(('Business Case'!D11*$C858*'Business Case'!D12*$B858)-'Business Case'!D11*$C858*'Business Case'!D13*$D858-'Business Case'!D14*$E858)-MAX(0,(('Business Case'!D11*$C858*'Business Case'!D12*$B858)-'Business Case'!D11*$C858*'Business Case'!D13*$D858-'Business Case'!D14*$E858))*'Business Case'!$B$7-'Business Case'!$B$8*(('Business Case'!D11*$C858*'Business Case'!D12*$B858)-('Business Case'!C11*$C858*'Business Case'!C12*$B858))-'Business Case'!D15*$F858</f>
        <v>221089227.826011</v>
      </c>
      <c r="K858" s="53" t="n">
        <f aca="false">(('Business Case'!E11*$C858*'Business Case'!E12*$B858)-'Business Case'!E11*$C858*'Business Case'!E13*$D858-'Business Case'!E14*$E858)-MAX(0,(('Business Case'!E11*$C858*'Business Case'!E12*$B858)-'Business Case'!E11*$C858*'Business Case'!E13*$D858-'Business Case'!E14*$E858))*'Business Case'!$B$7-'Business Case'!$B$8*(('Business Case'!E11*$C858*'Business Case'!E12*$B858)-('Business Case'!D11*$C858*'Business Case'!D12*$B858))-'Business Case'!E15*$F858</f>
        <v>530030344.550133</v>
      </c>
      <c r="L858" s="53" t="n">
        <f aca="false">(('Business Case'!F11*$C858*'Business Case'!F12*$B858)-'Business Case'!F11*$C858*'Business Case'!F13*$D858-'Business Case'!F14*$E858)-MAX(0,(('Business Case'!F11*$C858*'Business Case'!F12*$B858)-'Business Case'!F11*$C858*'Business Case'!F13*$D858-'Business Case'!F14*$E858))*'Business Case'!$B$7-'Business Case'!$B$8*(('Business Case'!F11*$C858*'Business Case'!F12*$B858)-('Business Case'!E11*$C858*'Business Case'!E12*$B858))-'Business Case'!F15*$F858</f>
        <v>649992781.456532</v>
      </c>
      <c r="M858" s="53" t="n">
        <f aca="false">(('Business Case'!G11*$C858*'Business Case'!G12*$B858)-'Business Case'!G11*$C858*'Business Case'!G13*$D858-'Business Case'!G14*$E858)-MAX(0,(('Business Case'!G11*$C858*'Business Case'!G12*$B858)-'Business Case'!G11*$C858*'Business Case'!G13*$D858-'Business Case'!G14*$E858))*'Business Case'!$B$7-'Business Case'!$B$8*(('Business Case'!G11*$C858*'Business Case'!G12*$B858)-('Business Case'!F11*$C858*'Business Case'!F12*$B858))-'Business Case'!G15*$F858+'Business Case'!$B$8*('Business Case'!G11*$C858*'Business Case'!G12*$B858)</f>
        <v>833401833.00135</v>
      </c>
      <c r="N858" s="53" t="n">
        <f aca="false">IF(COUNT('Business Case'!B11:G11)=0,"",H858+NPV(G858,I858:M858))</f>
        <v>-461543217.733569</v>
      </c>
      <c r="P858" s="54" t="n">
        <f aca="true">RAND()</f>
        <v>0.178914530679064</v>
      </c>
      <c r="Q858" s="54" t="n">
        <f aca="true">RAND()</f>
        <v>0.591751020236301</v>
      </c>
      <c r="R858" s="54" t="n">
        <f aca="true">RAND()</f>
        <v>0.783412977692975</v>
      </c>
      <c r="S858" s="54" t="n">
        <f aca="true">RAND()</f>
        <v>0.880197346502185</v>
      </c>
      <c r="T858" s="54" t="n">
        <f aca="true">RAND()</f>
        <v>0.0814197073635384</v>
      </c>
      <c r="U858" s="54" t="n">
        <f aca="true">RAND()</f>
        <v>0.392782048245993</v>
      </c>
    </row>
    <row r="859" customFormat="false" ht="15" hidden="false" customHeight="false" outlineLevel="0" collapsed="false">
      <c r="A859" s="50" t="n">
        <v>779</v>
      </c>
      <c r="B859" s="51" t="n">
        <f aca="false">1+IF($G$6=$E$6,$F$6,IF(P859&lt;($F$6-$E$6)/($G$6-$E$6),$E$6+SQRT(P859*($G$6-$E$6)*($F$6-$E$6)),$G$6-SQRT((1-P859)*($G$6-$E$6)*($G$6-$F$6))))</f>
        <v>0.930943061789024</v>
      </c>
      <c r="C859" s="51" t="n">
        <f aca="false">1+IF($G$7=$E$7,$F$7,IF(Q859&lt;($F$7-$E$7)/($G$7-$E$7),$E$7+SQRT(Q859*($G$7-$E$7)*($F$7-$E$7)),$G$7-SQRT((1-Q859)*($G$7-$E$7)*($G$7-$F$7))))</f>
        <v>1.03130185265079</v>
      </c>
      <c r="D859" s="51" t="n">
        <f aca="false">1+IF($G$8=$E$8,$F$8,IF(R859&lt;($F$8-$E$8)/($G$8-$E$8),$E$8+SQRT(R859*($G$8-$E$8)*($F$8-$E$8)),$G$8-SQRT((1-R859)*($G$8-$E$8)*($G$8-$F$8))))</f>
        <v>0.999058944768119</v>
      </c>
      <c r="E859" s="51" t="n">
        <f aca="false">1+IF($G$9=$E$9,$F$9,IF(S859&lt;($F$9-$E$9)/($G$9-$E$9),$E$9+SQRT(S859*($G$9-$E$9)*($F$9-$E$9)),$G$9-SQRT((1-S859)*($G$9-$E$9)*($G$9-$F$9))))</f>
        <v>0.999261171060252</v>
      </c>
      <c r="F859" s="51" t="n">
        <f aca="false">1+IF($G$10=$E$10,$F$10,IF(T859&lt;($F$10-$E$10)/($G$10-$E$10),$E$10+SQRT(T859*($G$10-$E$10)*($F$10-$E$10)),$G$10-SQRT((1-T859)*($G$10-$E$10)*($G$10-$F$10))))</f>
        <v>1.04017698858149</v>
      </c>
      <c r="G859" s="52" t="n">
        <f aca="false">IF($G$11=$E$11,$F$11,IF(U859&lt;($F$11-$E$11)/($G$11-$E$11),$E$11+SQRT(U859*($G$11-$E$11)*($F$11-$E$11)),$G$11-SQRT((1-U859)*($G$11-$E$11)*($G$11-$F$11))))</f>
        <v>0.105376396617816</v>
      </c>
      <c r="H859" s="53" t="n">
        <f aca="false">(('Business Case'!B11*$C859*'Business Case'!B12*$B859)-'Business Case'!B11*$C859*'Business Case'!B13*$D859-'Business Case'!B14*$E859)-MAX(0,(('Business Case'!B11*$C859*'Business Case'!B12*$B859)-'Business Case'!B11*$C859*'Business Case'!B13*$D859-'Business Case'!B14*$E859))*'Business Case'!$B$7-'Business Case'!$B$8*('Business Case'!B11*$C859*'Business Case'!B12*$B859)-'Business Case'!B15*$F859</f>
        <v>-2080353977.16298</v>
      </c>
      <c r="I859" s="53" t="n">
        <f aca="false">(('Business Case'!C11*$C859*'Business Case'!C12*$B859)-'Business Case'!C11*$C859*'Business Case'!C13*$D859-'Business Case'!C14*$E859)-MAX(0,(('Business Case'!C11*$C859*'Business Case'!C12*$B859)-'Business Case'!C11*$C859*'Business Case'!C13*$D859-'Business Case'!C14*$E859))*'Business Case'!$B$7-'Business Case'!$B$8*(('Business Case'!C11*$C859*'Business Case'!C12*$B859)-('Business Case'!B11*$C859*'Business Case'!B12*$B859))-'Business Case'!C15*$F859</f>
        <v>-36953223.5349046</v>
      </c>
      <c r="J859" s="53" t="n">
        <f aca="false">(('Business Case'!D11*$C859*'Business Case'!D12*$B859)-'Business Case'!D11*$C859*'Business Case'!D13*$D859-'Business Case'!D14*$E859)-MAX(0,(('Business Case'!D11*$C859*'Business Case'!D12*$B859)-'Business Case'!D11*$C859*'Business Case'!D13*$D859-'Business Case'!D14*$E859))*'Business Case'!$B$7-'Business Case'!$B$8*(('Business Case'!D11*$C859*'Business Case'!D12*$B859)-('Business Case'!C11*$C859*'Business Case'!C12*$B859))-'Business Case'!D15*$F859</f>
        <v>221976908.809856</v>
      </c>
      <c r="K859" s="53" t="n">
        <f aca="false">(('Business Case'!E11*$C859*'Business Case'!E12*$B859)-'Business Case'!E11*$C859*'Business Case'!E13*$D859-'Business Case'!E14*$E859)-MAX(0,(('Business Case'!E11*$C859*'Business Case'!E12*$B859)-'Business Case'!E11*$C859*'Business Case'!E13*$D859-'Business Case'!E14*$E859))*'Business Case'!$B$7-'Business Case'!$B$8*(('Business Case'!E11*$C859*'Business Case'!E12*$B859)-('Business Case'!D11*$C859*'Business Case'!D12*$B859))-'Business Case'!E15*$F859</f>
        <v>532915890.583691</v>
      </c>
      <c r="L859" s="53" t="n">
        <f aca="false">(('Business Case'!F11*$C859*'Business Case'!F12*$B859)-'Business Case'!F11*$C859*'Business Case'!F13*$D859-'Business Case'!F14*$E859)-MAX(0,(('Business Case'!F11*$C859*'Business Case'!F12*$B859)-'Business Case'!F11*$C859*'Business Case'!F13*$D859-'Business Case'!F14*$E859))*'Business Case'!$B$7-'Business Case'!$B$8*(('Business Case'!F11*$C859*'Business Case'!F12*$B859)-('Business Case'!E11*$C859*'Business Case'!E12*$B859))-'Business Case'!F15*$F859</f>
        <v>652406413.696443</v>
      </c>
      <c r="M859" s="53" t="n">
        <f aca="false">(('Business Case'!G11*$C859*'Business Case'!G12*$B859)-'Business Case'!G11*$C859*'Business Case'!G13*$D859-'Business Case'!G14*$E859)-MAX(0,(('Business Case'!G11*$C859*'Business Case'!G12*$B859)-'Business Case'!G11*$C859*'Business Case'!G13*$D859-'Business Case'!G14*$E859))*'Business Case'!$B$7-'Business Case'!$B$8*(('Business Case'!G11*$C859*'Business Case'!G12*$B859)-('Business Case'!F11*$C859*'Business Case'!F12*$B859))-'Business Case'!G15*$F859+'Business Case'!$B$8*('Business Case'!G11*$C859*'Business Case'!G12*$B859)</f>
        <v>834899048.18452</v>
      </c>
      <c r="N859" s="53" t="n">
        <f aca="false">IF(COUNT('Business Case'!B11:G11)=0,"",H859+NPV(G859,I859:M859))</f>
        <v>-594621589.629008</v>
      </c>
      <c r="P859" s="54" t="n">
        <f aca="true">RAND()</f>
        <v>0.0124740209706671</v>
      </c>
      <c r="Q859" s="54" t="n">
        <f aca="true">RAND()</f>
        <v>0.731633329826012</v>
      </c>
      <c r="R859" s="54" t="n">
        <f aca="true">RAND()</f>
        <v>0.370273855655585</v>
      </c>
      <c r="S859" s="54" t="n">
        <f aca="true">RAND()</f>
        <v>0.323555063230326</v>
      </c>
      <c r="T859" s="54" t="n">
        <f aca="true">RAND()</f>
        <v>0.489132100422375</v>
      </c>
      <c r="U859" s="54" t="n">
        <f aca="true">RAND()</f>
        <v>0.643583706867622</v>
      </c>
    </row>
    <row r="860" customFormat="false" ht="15" hidden="false" customHeight="false" outlineLevel="0" collapsed="false">
      <c r="A860" s="50" t="n">
        <v>780</v>
      </c>
      <c r="B860" s="51" t="n">
        <f aca="false">1+IF($G$6=$E$6,$F$6,IF(P860&lt;($F$6-$E$6)/($G$6-$E$6),$E$6+SQRT(P860*($G$6-$E$6)*($F$6-$E$6)),$G$6-SQRT((1-P860)*($G$6-$E$6)*($G$6-$F$6))))</f>
        <v>0.98393265085926</v>
      </c>
      <c r="C860" s="51" t="n">
        <f aca="false">1+IF($G$7=$E$7,$F$7,IF(Q860&lt;($F$7-$E$7)/($G$7-$E$7),$E$7+SQRT(Q860*($G$7-$E$7)*($F$7-$E$7)),$G$7-SQRT((1-Q860)*($G$7-$E$7)*($G$7-$F$7))))</f>
        <v>0.98342232492918</v>
      </c>
      <c r="D860" s="51" t="n">
        <f aca="false">1+IF($G$8=$E$8,$F$8,IF(R860&lt;($F$8-$E$8)/($G$8-$E$8),$E$8+SQRT(R860*($G$8-$E$8)*($F$8-$E$8)),$G$8-SQRT((1-R860)*($G$8-$E$8)*($G$8-$F$8))))</f>
        <v>0.988197851964532</v>
      </c>
      <c r="E860" s="51" t="n">
        <f aca="false">1+IF($G$9=$E$9,$F$9,IF(S860&lt;($F$9-$E$9)/($G$9-$E$9),$E$9+SQRT(S860*($G$9-$E$9)*($F$9-$E$9)),$G$9-SQRT((1-S860)*($G$9-$E$9)*($G$9-$F$9))))</f>
        <v>1.07091874864206</v>
      </c>
      <c r="F860" s="51" t="n">
        <f aca="false">1+IF($G$10=$E$10,$F$10,IF(T860&lt;($F$10-$E$10)/($G$10-$E$10),$E$10+SQRT(T860*($G$10-$E$10)*($F$10-$E$10)),$G$10-SQRT((1-T860)*($G$10-$E$10)*($G$10-$F$10))))</f>
        <v>1.00806491032408</v>
      </c>
      <c r="G860" s="52" t="n">
        <f aca="false">IF($G$11=$E$11,$F$11,IF(U860&lt;($F$11-$E$11)/($G$11-$E$11),$E$11+SQRT(U860*($G$11-$E$11)*($F$11-$E$11)),$G$11-SQRT((1-U860)*($G$11-$E$11)*($G$11-$F$11))))</f>
        <v>0.102125170252935</v>
      </c>
      <c r="H860" s="53" t="n">
        <f aca="false">(('Business Case'!B11*$C860*'Business Case'!B12*$B860)-'Business Case'!B11*$C860*'Business Case'!B13*$D860-'Business Case'!B14*$E860)-MAX(0,(('Business Case'!B11*$C860*'Business Case'!B12*$B860)-'Business Case'!B11*$C860*'Business Case'!B13*$D860-'Business Case'!B14*$E860))*'Business Case'!$B$7-'Business Case'!$B$8*('Business Case'!B11*$C860*'Business Case'!B12*$B860)-'Business Case'!B15*$F860</f>
        <v>-2016129820.64815</v>
      </c>
      <c r="I860" s="53" t="n">
        <f aca="false">(('Business Case'!C11*$C860*'Business Case'!C12*$B860)-'Business Case'!C11*$C860*'Business Case'!C13*$D860-'Business Case'!C14*$E860)-MAX(0,(('Business Case'!C11*$C860*'Business Case'!C12*$B860)-'Business Case'!C11*$C860*'Business Case'!C13*$D860-'Business Case'!C14*$E860))*'Business Case'!$B$7-'Business Case'!$B$8*(('Business Case'!C11*$C860*'Business Case'!C12*$B860)-('Business Case'!B11*$C860*'Business Case'!B12*$B860))-'Business Case'!C15*$F860</f>
        <v>-8193044.1488643</v>
      </c>
      <c r="J860" s="53" t="n">
        <f aca="false">(('Business Case'!D11*$C860*'Business Case'!D12*$B860)-'Business Case'!D11*$C860*'Business Case'!D13*$D860-'Business Case'!D14*$E860)-MAX(0,(('Business Case'!D11*$C860*'Business Case'!D12*$B860)-'Business Case'!D11*$C860*'Business Case'!D13*$D860-'Business Case'!D14*$E860))*'Business Case'!$B$7-'Business Case'!$B$8*(('Business Case'!D11*$C860*'Business Case'!D12*$B860)-('Business Case'!C11*$C860*'Business Case'!C12*$B860))-'Business Case'!D15*$F860</f>
        <v>286866538.802218</v>
      </c>
      <c r="K860" s="53" t="n">
        <f aca="false">(('Business Case'!E11*$C860*'Business Case'!E12*$B860)-'Business Case'!E11*$C860*'Business Case'!E13*$D860-'Business Case'!E14*$E860)-MAX(0,(('Business Case'!E11*$C860*'Business Case'!E12*$B860)-'Business Case'!E11*$C860*'Business Case'!E13*$D860-'Business Case'!E14*$E860))*'Business Case'!$B$7-'Business Case'!$B$8*(('Business Case'!E11*$C860*'Business Case'!E12*$B860)-('Business Case'!D11*$C860*'Business Case'!D12*$B860))-'Business Case'!E15*$F860</f>
        <v>632329367.269504</v>
      </c>
      <c r="L860" s="53" t="n">
        <f aca="false">(('Business Case'!F11*$C860*'Business Case'!F12*$B860)-'Business Case'!F11*$C860*'Business Case'!F13*$D860-'Business Case'!F14*$E860)-MAX(0,(('Business Case'!F11*$C860*'Business Case'!F12*$B860)-'Business Case'!F11*$C860*'Business Case'!F13*$D860-'Business Case'!F14*$E860))*'Business Case'!$B$7-'Business Case'!$B$8*(('Business Case'!F11*$C860*'Business Case'!F12*$B860)-('Business Case'!E11*$C860*'Business Case'!E12*$B860))-'Business Case'!F15*$F860</f>
        <v>764123554.926956</v>
      </c>
      <c r="M860" s="53" t="n">
        <f aca="false">(('Business Case'!G11*$C860*'Business Case'!G12*$B860)-'Business Case'!G11*$C860*'Business Case'!G13*$D860-'Business Case'!G14*$E860)-MAX(0,(('Business Case'!G11*$C860*'Business Case'!G12*$B860)-'Business Case'!G11*$C860*'Business Case'!G13*$D860-'Business Case'!G14*$E860))*'Business Case'!$B$7-'Business Case'!$B$8*(('Business Case'!G11*$C860*'Business Case'!G12*$B860)-('Business Case'!F11*$C860*'Business Case'!F12*$B860))-'Business Case'!G15*$F860+'Business Case'!$B$8*('Business Case'!G11*$C860*'Business Case'!G12*$B860)</f>
        <v>948049018.299294</v>
      </c>
      <c r="N860" s="53" t="n">
        <f aca="false">IF(COUNT('Business Case'!B11:G11)=0,"",H860+NPV(G860,I860:M860))</f>
        <v>-214158725.913682</v>
      </c>
      <c r="P860" s="54" t="n">
        <f aca="true">RAND()</f>
        <v>0.425769150613758</v>
      </c>
      <c r="Q860" s="54" t="n">
        <f aca="true">RAND()</f>
        <v>0.480624989748938</v>
      </c>
      <c r="R860" s="54" t="n">
        <f aca="true">RAND()</f>
        <v>0.224473214569889</v>
      </c>
      <c r="S860" s="54" t="n">
        <f aca="true">RAND()</f>
        <v>0.943618721297089</v>
      </c>
      <c r="T860" s="54" t="n">
        <f aca="true">RAND()</f>
        <v>0.263218427021896</v>
      </c>
      <c r="U860" s="54" t="n">
        <f aca="true">RAND()</f>
        <v>0.467484102522408</v>
      </c>
    </row>
    <row r="861" customFormat="false" ht="15" hidden="false" customHeight="false" outlineLevel="0" collapsed="false">
      <c r="A861" s="50" t="n">
        <v>781</v>
      </c>
      <c r="B861" s="51" t="n">
        <f aca="false">1+IF($G$6=$E$6,$F$6,IF(P861&lt;($F$6-$E$6)/($G$6-$E$6),$E$6+SQRT(P861*($G$6-$E$6)*($F$6-$E$6)),$G$6-SQRT((1-P861)*($G$6-$E$6)*($G$6-$F$6))))</f>
        <v>0.969968096357268</v>
      </c>
      <c r="C861" s="51" t="n">
        <f aca="false">1+IF($G$7=$E$7,$F$7,IF(Q861&lt;($F$7-$E$7)/($G$7-$E$7),$E$7+SQRT(Q861*($G$7-$E$7)*($F$7-$E$7)),$G$7-SQRT((1-Q861)*($G$7-$E$7)*($G$7-$F$7))))</f>
        <v>1.06201950655446</v>
      </c>
      <c r="D861" s="51" t="n">
        <f aca="false">1+IF($G$8=$E$8,$F$8,IF(R861&lt;($F$8-$E$8)/($G$8-$E$8),$E$8+SQRT(R861*($G$8-$E$8)*($F$8-$E$8)),$G$8-SQRT((1-R861)*($G$8-$E$8)*($G$8-$F$8))))</f>
        <v>1.04828539748005</v>
      </c>
      <c r="E861" s="51" t="n">
        <f aca="false">1+IF($G$9=$E$9,$F$9,IF(S861&lt;($F$9-$E$9)/($G$9-$E$9),$E$9+SQRT(S861*($G$9-$E$9)*($F$9-$E$9)),$G$9-SQRT((1-S861)*($G$9-$E$9)*($G$9-$F$9))))</f>
        <v>0.968500067362944</v>
      </c>
      <c r="F861" s="51" t="n">
        <f aca="false">1+IF($G$10=$E$10,$F$10,IF(T861&lt;($F$10-$E$10)/($G$10-$E$10),$E$10+SQRT(T861*($G$10-$E$10)*($F$10-$E$10)),$G$10-SQRT((1-T861)*($G$10-$E$10)*($G$10-$F$10))))</f>
        <v>1.00480476949332</v>
      </c>
      <c r="G861" s="52" t="n">
        <f aca="false">IF($G$11=$E$11,$F$11,IF(U861&lt;($F$11-$E$11)/($G$11-$E$11),$E$11+SQRT(U861*($G$11-$E$11)*($F$11-$E$11)),$G$11-SQRT((1-U861)*($G$11-$E$11)*($G$11-$F$11))))</f>
        <v>0.100021186001146</v>
      </c>
      <c r="H861" s="53" t="n">
        <f aca="false">(('Business Case'!B11*$C861*'Business Case'!B12*$B861)-'Business Case'!B11*$C861*'Business Case'!B13*$D861-'Business Case'!B14*$E861)-MAX(0,(('Business Case'!B11*$C861*'Business Case'!B12*$B861)-'Business Case'!B11*$C861*'Business Case'!B13*$D861-'Business Case'!B14*$E861))*'Business Case'!$B$7-'Business Case'!$B$8*('Business Case'!B11*$C861*'Business Case'!B12*$B861)-'Business Case'!B15*$F861</f>
        <v>-2009609538.98664</v>
      </c>
      <c r="I861" s="53" t="n">
        <f aca="false">(('Business Case'!C11*$C861*'Business Case'!C12*$B861)-'Business Case'!C11*$C861*'Business Case'!C13*$D861-'Business Case'!C14*$E861)-MAX(0,(('Business Case'!C11*$C861*'Business Case'!C12*$B861)-'Business Case'!C11*$C861*'Business Case'!C13*$D861-'Business Case'!C14*$E861))*'Business Case'!$B$7-'Business Case'!$B$8*(('Business Case'!C11*$C861*'Business Case'!C12*$B861)-('Business Case'!B11*$C861*'Business Case'!B12*$B861))-'Business Case'!C15*$F861</f>
        <v>-17776593.358437</v>
      </c>
      <c r="J861" s="53" t="n">
        <f aca="false">(('Business Case'!D11*$C861*'Business Case'!D12*$B861)-'Business Case'!D11*$C861*'Business Case'!D13*$D861-'Business Case'!D14*$E861)-MAX(0,(('Business Case'!D11*$C861*'Business Case'!D12*$B861)-'Business Case'!D11*$C861*'Business Case'!D13*$D861-'Business Case'!D14*$E861))*'Business Case'!$B$7-'Business Case'!$B$8*(('Business Case'!D11*$C861*'Business Case'!D12*$B861)-('Business Case'!C11*$C861*'Business Case'!C12*$B861))-'Business Case'!D15*$F861</f>
        <v>256049681.836697</v>
      </c>
      <c r="K861" s="53" t="n">
        <f aca="false">(('Business Case'!E11*$C861*'Business Case'!E12*$B861)-'Business Case'!E11*$C861*'Business Case'!E13*$D861-'Business Case'!E14*$E861)-MAX(0,(('Business Case'!E11*$C861*'Business Case'!E12*$B861)-'Business Case'!E11*$C861*'Business Case'!E13*$D861-'Business Case'!E14*$E861))*'Business Case'!$B$7-'Business Case'!$B$8*(('Business Case'!E11*$C861*'Business Case'!E12*$B861)-('Business Case'!D11*$C861*'Business Case'!D12*$B861))-'Business Case'!E15*$F861</f>
        <v>580116195.506497</v>
      </c>
      <c r="L861" s="53" t="n">
        <f aca="false">(('Business Case'!F11*$C861*'Business Case'!F12*$B861)-'Business Case'!F11*$C861*'Business Case'!F13*$D861-'Business Case'!F14*$E861)-MAX(0,(('Business Case'!F11*$C861*'Business Case'!F12*$B861)-'Business Case'!F11*$C861*'Business Case'!F13*$D861-'Business Case'!F14*$E861))*'Business Case'!$B$7-'Business Case'!$B$8*(('Business Case'!F11*$C861*'Business Case'!F12*$B861)-('Business Case'!E11*$C861*'Business Case'!E12*$B861))-'Business Case'!F15*$F861</f>
        <v>706992741.921694</v>
      </c>
      <c r="M861" s="53" t="n">
        <f aca="false">(('Business Case'!G11*$C861*'Business Case'!G12*$B861)-'Business Case'!G11*$C861*'Business Case'!G13*$D861-'Business Case'!G14*$E861)-MAX(0,(('Business Case'!G11*$C861*'Business Case'!G12*$B861)-'Business Case'!G11*$C861*'Business Case'!G13*$D861-'Business Case'!G14*$E861))*'Business Case'!$B$7-'Business Case'!$B$8*(('Business Case'!G11*$C861*'Business Case'!G12*$B861)-('Business Case'!F11*$C861*'Business Case'!F12*$B861))-'Business Case'!G15*$F861+'Business Case'!$B$8*('Business Case'!G11*$C861*'Business Case'!G12*$B861)</f>
        <v>902798909.347533</v>
      </c>
      <c r="N861" s="53" t="n">
        <f aca="false">IF(COUNT('Business Case'!B11:G11)=0,"",H861+NPV(G861,I861:M861))</f>
        <v>-334980439.780386</v>
      </c>
      <c r="P861" s="54" t="n">
        <f aca="true">RAND()</f>
        <v>0.260084443080129</v>
      </c>
      <c r="Q861" s="54" t="n">
        <f aca="true">RAND()</f>
        <v>0.852560624249114</v>
      </c>
      <c r="R861" s="54" t="n">
        <f aca="true">RAND()</f>
        <v>0.903286921827088</v>
      </c>
      <c r="S861" s="54" t="n">
        <f aca="true">RAND()</f>
        <v>0.0456336656577937</v>
      </c>
      <c r="T861" s="54" t="n">
        <f aca="true">RAND()</f>
        <v>0.237976439748884</v>
      </c>
      <c r="U861" s="54" t="n">
        <f aca="true">RAND()</f>
        <v>0.334744985331986</v>
      </c>
    </row>
    <row r="862" customFormat="false" ht="15" hidden="false" customHeight="false" outlineLevel="0" collapsed="false">
      <c r="A862" s="50" t="n">
        <v>782</v>
      </c>
      <c r="B862" s="51" t="n">
        <f aca="false">1+IF($G$6=$E$6,$F$6,IF(P862&lt;($F$6-$E$6)/($G$6-$E$6),$E$6+SQRT(P862*($G$6-$E$6)*($F$6-$E$6)),$G$6-SQRT((1-P862)*($G$6-$E$6)*($G$6-$F$6))))</f>
        <v>1.0097195146577</v>
      </c>
      <c r="C862" s="51" t="n">
        <f aca="false">1+IF($G$7=$E$7,$F$7,IF(Q862&lt;($F$7-$E$7)/($G$7-$E$7),$E$7+SQRT(Q862*($G$7-$E$7)*($F$7-$E$7)),$G$7-SQRT((1-Q862)*($G$7-$E$7)*($G$7-$F$7))))</f>
        <v>1.02001400926813</v>
      </c>
      <c r="D862" s="51" t="n">
        <f aca="false">1+IF($G$8=$E$8,$F$8,IF(R862&lt;($F$8-$E$8)/($G$8-$E$8),$E$8+SQRT(R862*($G$8-$E$8)*($F$8-$E$8)),$G$8-SQRT((1-R862)*($G$8-$E$8)*($G$8-$F$8))))</f>
        <v>1.03771914069249</v>
      </c>
      <c r="E862" s="51" t="n">
        <f aca="false">1+IF($G$9=$E$9,$F$9,IF(S862&lt;($F$9-$E$9)/($G$9-$E$9),$E$9+SQRT(S862*($G$9-$E$9)*($F$9-$E$9)),$G$9-SQRT((1-S862)*($G$9-$E$9)*($G$9-$F$9))))</f>
        <v>0.969780683896226</v>
      </c>
      <c r="F862" s="51" t="n">
        <f aca="false">1+IF($G$10=$E$10,$F$10,IF(T862&lt;($F$10-$E$10)/($G$10-$E$10),$E$10+SQRT(T862*($G$10-$E$10)*($F$10-$E$10)),$G$10-SQRT((1-T862)*($G$10-$E$10)*($G$10-$F$10))))</f>
        <v>0.994894468297818</v>
      </c>
      <c r="G862" s="52" t="n">
        <f aca="false">IF($G$11=$E$11,$F$11,IF(U862&lt;($F$11-$E$11)/($G$11-$E$11),$E$11+SQRT(U862*($G$11-$E$11)*($F$11-$E$11)),$G$11-SQRT((1-U862)*($G$11-$E$11)*($G$11-$F$11))))</f>
        <v>0.102190469340451</v>
      </c>
      <c r="H862" s="53" t="n">
        <f aca="false">(('Business Case'!B11*$C862*'Business Case'!B12*$B862)-'Business Case'!B11*$C862*'Business Case'!B13*$D862-'Business Case'!B14*$E862)-MAX(0,(('Business Case'!B11*$C862*'Business Case'!B12*$B862)-'Business Case'!B11*$C862*'Business Case'!B13*$D862-'Business Case'!B14*$E862))*'Business Case'!$B$7-'Business Case'!$B$8*('Business Case'!B11*$C862*'Business Case'!B12*$B862)-'Business Case'!B15*$F862</f>
        <v>-1989788936.59564</v>
      </c>
      <c r="I862" s="53" t="n">
        <f aca="false">(('Business Case'!C11*$C862*'Business Case'!C12*$B862)-'Business Case'!C11*$C862*'Business Case'!C13*$D862-'Business Case'!C14*$E862)-MAX(0,(('Business Case'!C11*$C862*'Business Case'!C12*$B862)-'Business Case'!C11*$C862*'Business Case'!C13*$D862-'Business Case'!C14*$E862))*'Business Case'!$B$7-'Business Case'!$B$8*(('Business Case'!C11*$C862*'Business Case'!C12*$B862)-('Business Case'!B11*$C862*'Business Case'!B12*$B862))-'Business Case'!C15*$F862</f>
        <v>10940289.5856415</v>
      </c>
      <c r="J862" s="53" t="n">
        <f aca="false">(('Business Case'!D11*$C862*'Business Case'!D12*$B862)-'Business Case'!D11*$C862*'Business Case'!D13*$D862-'Business Case'!D14*$E862)-MAX(0,(('Business Case'!D11*$C862*'Business Case'!D12*$B862)-'Business Case'!D11*$C862*'Business Case'!D13*$D862-'Business Case'!D14*$E862))*'Business Case'!$B$7-'Business Case'!$B$8*(('Business Case'!D11*$C862*'Business Case'!D12*$B862)-('Business Case'!C11*$C862*'Business Case'!C12*$B862))-'Business Case'!D15*$F862</f>
        <v>312664309.382925</v>
      </c>
      <c r="K862" s="53" t="n">
        <f aca="false">(('Business Case'!E11*$C862*'Business Case'!E12*$B862)-'Business Case'!E11*$C862*'Business Case'!E13*$D862-'Business Case'!E14*$E862)-MAX(0,(('Business Case'!E11*$C862*'Business Case'!E12*$B862)-'Business Case'!E11*$C862*'Business Case'!E13*$D862-'Business Case'!E14*$E862))*'Business Case'!$B$7-'Business Case'!$B$8*(('Business Case'!E11*$C862*'Business Case'!E12*$B862)-('Business Case'!D11*$C862*'Business Case'!D12*$B862))-'Business Case'!E15*$F862</f>
        <v>664133052.595099</v>
      </c>
      <c r="L862" s="53" t="n">
        <f aca="false">(('Business Case'!F11*$C862*'Business Case'!F12*$B862)-'Business Case'!F11*$C862*'Business Case'!F13*$D862-'Business Case'!F14*$E862)-MAX(0,(('Business Case'!F11*$C862*'Business Case'!F12*$B862)-'Business Case'!F11*$C862*'Business Case'!F13*$D862-'Business Case'!F14*$E862))*'Business Case'!$B$7-'Business Case'!$B$8*(('Business Case'!F11*$C862*'Business Case'!F12*$B862)-('Business Case'!E11*$C862*'Business Case'!E12*$B862))-'Business Case'!F15*$F862</f>
        <v>800302039.282071</v>
      </c>
      <c r="M862" s="53" t="n">
        <f aca="false">(('Business Case'!G11*$C862*'Business Case'!G12*$B862)-'Business Case'!G11*$C862*'Business Case'!G13*$D862-'Business Case'!G14*$E862)-MAX(0,(('Business Case'!G11*$C862*'Business Case'!G12*$B862)-'Business Case'!G11*$C862*'Business Case'!G13*$D862-'Business Case'!G14*$E862))*'Business Case'!$B$7-'Business Case'!$B$8*(('Business Case'!G11*$C862*'Business Case'!G12*$B862)-('Business Case'!F11*$C862*'Business Case'!F12*$B862))-'Business Case'!G15*$F862+'Business Case'!$B$8*('Business Case'!G11*$C862*'Business Case'!G12*$B862)</f>
        <v>996070763.098732</v>
      </c>
      <c r="N862" s="53" t="n">
        <f aca="false">IF(COUNT('Business Case'!B11:G11)=0,"",H862+NPV(G862,I862:M862))</f>
        <v>-71840000.180948</v>
      </c>
      <c r="P862" s="54" t="n">
        <f aca="true">RAND()</f>
        <v>0.808977543215536</v>
      </c>
      <c r="Q862" s="54" t="n">
        <f aca="true">RAND()</f>
        <v>0.678164613589593</v>
      </c>
      <c r="R862" s="54" t="n">
        <f aca="true">RAND()</f>
        <v>0.828108551559466</v>
      </c>
      <c r="S862" s="54" t="n">
        <f aca="true">RAND()</f>
        <v>0.05217006072032</v>
      </c>
      <c r="T862" s="54" t="n">
        <f aca="true">RAND()</f>
        <v>0.161241062699502</v>
      </c>
      <c r="U862" s="54" t="n">
        <f aca="true">RAND()</f>
        <v>0.471367696144302</v>
      </c>
    </row>
    <row r="863" customFormat="false" ht="15" hidden="false" customHeight="false" outlineLevel="0" collapsed="false">
      <c r="A863" s="50" t="n">
        <v>783</v>
      </c>
      <c r="B863" s="51" t="n">
        <f aca="false">1+IF($G$6=$E$6,$F$6,IF(P863&lt;($F$6-$E$6)/($G$6-$E$6),$E$6+SQRT(P863*($G$6-$E$6)*($F$6-$E$6)),$G$6-SQRT((1-P863)*($G$6-$E$6)*($G$6-$F$6))))</f>
        <v>1.03323460901691</v>
      </c>
      <c r="C863" s="51" t="n">
        <f aca="false">1+IF($G$7=$E$7,$F$7,IF(Q863&lt;($F$7-$E$7)/($G$7-$E$7),$E$7+SQRT(Q863*($G$7-$E$7)*($F$7-$E$7)),$G$7-SQRT((1-Q863)*($G$7-$E$7)*($G$7-$F$7))))</f>
        <v>1.01303552617655</v>
      </c>
      <c r="D863" s="51" t="n">
        <f aca="false">1+IF($G$8=$E$8,$F$8,IF(R863&lt;($F$8-$E$8)/($G$8-$E$8),$E$8+SQRT(R863*($G$8-$E$8)*($F$8-$E$8)),$G$8-SQRT((1-R863)*($G$8-$E$8)*($G$8-$F$8))))</f>
        <v>1.05209674116699</v>
      </c>
      <c r="E863" s="51" t="n">
        <f aca="false">1+IF($G$9=$E$9,$F$9,IF(S863&lt;($F$9-$E$9)/($G$9-$E$9),$E$9+SQRT(S863*($G$9-$E$9)*($F$9-$E$9)),$G$9-SQRT((1-S863)*($G$9-$E$9)*($G$9-$F$9))))</f>
        <v>0.972772871988541</v>
      </c>
      <c r="F863" s="51" t="n">
        <f aca="false">1+IF($G$10=$E$10,$F$10,IF(T863&lt;($F$10-$E$10)/($G$10-$E$10),$E$10+SQRT(T863*($G$10-$E$10)*($F$10-$E$10)),$G$10-SQRT((1-T863)*($G$10-$E$10)*($G$10-$F$10))))</f>
        <v>1.09406740667853</v>
      </c>
      <c r="G863" s="52" t="n">
        <f aca="false">IF($G$11=$E$11,$F$11,IF(U863&lt;($F$11-$E$11)/($G$11-$E$11),$E$11+SQRT(U863*($G$11-$E$11)*($F$11-$E$11)),$G$11-SQRT((1-U863)*($G$11-$E$11)*($G$11-$F$11))))</f>
        <v>0.105898924189129</v>
      </c>
      <c r="H863" s="53" t="n">
        <f aca="false">(('Business Case'!B11*$C863*'Business Case'!B12*$B863)-'Business Case'!B11*$C863*'Business Case'!B13*$D863-'Business Case'!B14*$E863)-MAX(0,(('Business Case'!B11*$C863*'Business Case'!B12*$B863)-'Business Case'!B11*$C863*'Business Case'!B13*$D863-'Business Case'!B14*$E863))*'Business Case'!$B$7-'Business Case'!$B$8*('Business Case'!B11*$C863*'Business Case'!B12*$B863)-'Business Case'!B15*$F863</f>
        <v>-2188134813.35706</v>
      </c>
      <c r="I863" s="53" t="n">
        <f aca="false">(('Business Case'!C11*$C863*'Business Case'!C12*$B863)-'Business Case'!C11*$C863*'Business Case'!C13*$D863-'Business Case'!C14*$E863)-MAX(0,(('Business Case'!C11*$C863*'Business Case'!C12*$B863)-'Business Case'!C11*$C863*'Business Case'!C13*$D863-'Business Case'!C14*$E863))*'Business Case'!$B$7-'Business Case'!$B$8*(('Business Case'!C11*$C863*'Business Case'!C12*$B863)-('Business Case'!B11*$C863*'Business Case'!B12*$B863))-'Business Case'!C15*$F863</f>
        <v>9719114.20432317</v>
      </c>
      <c r="J863" s="53" t="n">
        <f aca="false">(('Business Case'!D11*$C863*'Business Case'!D12*$B863)-'Business Case'!D11*$C863*'Business Case'!D13*$D863-'Business Case'!D14*$E863)-MAX(0,(('Business Case'!D11*$C863*'Business Case'!D12*$B863)-'Business Case'!D11*$C863*'Business Case'!D13*$D863-'Business Case'!D14*$E863))*'Business Case'!$B$7-'Business Case'!$B$8*(('Business Case'!D11*$C863*'Business Case'!D12*$B863)-('Business Case'!C11*$C863*'Business Case'!C12*$B863))-'Business Case'!D15*$F863</f>
        <v>321434373.956823</v>
      </c>
      <c r="K863" s="53" t="n">
        <f aca="false">(('Business Case'!E11*$C863*'Business Case'!E12*$B863)-'Business Case'!E11*$C863*'Business Case'!E13*$D863-'Business Case'!E14*$E863)-MAX(0,(('Business Case'!E11*$C863*'Business Case'!E12*$B863)-'Business Case'!E11*$C863*'Business Case'!E13*$D863-'Business Case'!E14*$E863))*'Business Case'!$B$7-'Business Case'!$B$8*(('Business Case'!E11*$C863*'Business Case'!E12*$B863)-('Business Case'!D11*$C863*'Business Case'!D12*$B863))-'Business Case'!E15*$F863</f>
        <v>687853004.043248</v>
      </c>
      <c r="L863" s="53" t="n">
        <f aca="false">(('Business Case'!F11*$C863*'Business Case'!F12*$B863)-'Business Case'!F11*$C863*'Business Case'!F13*$D863-'Business Case'!F14*$E863)-MAX(0,(('Business Case'!F11*$C863*'Business Case'!F12*$B863)-'Business Case'!F11*$C863*'Business Case'!F13*$D863-'Business Case'!F14*$E863))*'Business Case'!$B$7-'Business Case'!$B$8*(('Business Case'!F11*$C863*'Business Case'!F12*$B863)-('Business Case'!E11*$C863*'Business Case'!E12*$B863))-'Business Case'!F15*$F863</f>
        <v>827932158.949783</v>
      </c>
      <c r="M863" s="53" t="n">
        <f aca="false">(('Business Case'!G11*$C863*'Business Case'!G12*$B863)-'Business Case'!G11*$C863*'Business Case'!G13*$D863-'Business Case'!G14*$E863)-MAX(0,(('Business Case'!G11*$C863*'Business Case'!G12*$B863)-'Business Case'!G11*$C863*'Business Case'!G13*$D863-'Business Case'!G14*$E863))*'Business Case'!$B$7-'Business Case'!$B$8*(('Business Case'!G11*$C863*'Business Case'!G12*$B863)-('Business Case'!F11*$C863*'Business Case'!F12*$B863))-'Business Case'!G15*$F863+'Business Case'!$B$8*('Business Case'!G11*$C863*'Business Case'!G12*$B863)</f>
        <v>1026889534.72281</v>
      </c>
      <c r="N863" s="53" t="n">
        <f aca="false">IF(COUNT('Business Case'!B11:G11)=0,"",H863+NPV(G863,I863:M863))</f>
        <v>-233643960.002199</v>
      </c>
      <c r="P863" s="54" t="n">
        <f aca="true">RAND()</f>
        <v>0.990464476009563</v>
      </c>
      <c r="Q863" s="54" t="n">
        <f aca="true">RAND()</f>
        <v>0.642680626862217</v>
      </c>
      <c r="R863" s="54" t="n">
        <f aca="true">RAND()</f>
        <v>0.925135398701757</v>
      </c>
      <c r="S863" s="54" t="n">
        <f aca="true">RAND()</f>
        <v>0.0691471598141961</v>
      </c>
      <c r="T863" s="54" t="n">
        <f aca="true">RAND()</f>
        <v>0.775565713443771</v>
      </c>
      <c r="U863" s="54" t="n">
        <f aca="true">RAND()</f>
        <v>0.668599434960092</v>
      </c>
    </row>
    <row r="864" customFormat="false" ht="15" hidden="false" customHeight="false" outlineLevel="0" collapsed="false">
      <c r="A864" s="50" t="n">
        <v>784</v>
      </c>
      <c r="B864" s="51" t="n">
        <f aca="false">1+IF($G$6=$E$6,$F$6,IF(P864&lt;($F$6-$E$6)/($G$6-$E$6),$E$6+SQRT(P864*($G$6-$E$6)*($F$6-$E$6)),$G$6-SQRT((1-P864)*($G$6-$E$6)*($G$6-$F$6))))</f>
        <v>0.959497148787392</v>
      </c>
      <c r="C864" s="51" t="n">
        <f aca="false">1+IF($G$7=$E$7,$F$7,IF(Q864&lt;($F$7-$E$7)/($G$7-$E$7),$E$7+SQRT(Q864*($G$7-$E$7)*($F$7-$E$7)),$G$7-SQRT((1-Q864)*($G$7-$E$7)*($G$7-$F$7))))</f>
        <v>1.11497443929482</v>
      </c>
      <c r="D864" s="51" t="n">
        <f aca="false">1+IF($G$8=$E$8,$F$8,IF(R864&lt;($F$8-$E$8)/($G$8-$E$8),$E$8+SQRT(R864*($G$8-$E$8)*($F$8-$E$8)),$G$8-SQRT((1-R864)*($G$8-$E$8)*($G$8-$F$8))))</f>
        <v>0.976701406329083</v>
      </c>
      <c r="E864" s="51" t="n">
        <f aca="false">1+IF($G$9=$E$9,$F$9,IF(S864&lt;($F$9-$E$9)/($G$9-$E$9),$E$9+SQRT(S864*($G$9-$E$9)*($F$9-$E$9)),$G$9-SQRT((1-S864)*($G$9-$E$9)*($G$9-$F$9))))</f>
        <v>0.982299849641413</v>
      </c>
      <c r="F864" s="51" t="n">
        <f aca="false">1+IF($G$10=$E$10,$F$10,IF(T864&lt;($F$10-$E$10)/($G$10-$E$10),$E$10+SQRT(T864*($G$10-$E$10)*($F$10-$E$10)),$G$10-SQRT((1-T864)*($G$10-$E$10)*($G$10-$F$10))))</f>
        <v>1.04667302635499</v>
      </c>
      <c r="G864" s="52" t="n">
        <f aca="false">IF($G$11=$E$11,$F$11,IF(U864&lt;($F$11-$E$11)/($G$11-$E$11),$E$11+SQRT(U864*($G$11-$E$11)*($F$11-$E$11)),$G$11-SQRT((1-U864)*($G$11-$E$11)*($G$11-$F$11))))</f>
        <v>0.111486340765079</v>
      </c>
      <c r="H864" s="53" t="n">
        <f aca="false">(('Business Case'!B11*$C864*'Business Case'!B12*$B864)-'Business Case'!B11*$C864*'Business Case'!B13*$D864-'Business Case'!B14*$E864)-MAX(0,(('Business Case'!B11*$C864*'Business Case'!B12*$B864)-'Business Case'!B11*$C864*'Business Case'!B13*$D864-'Business Case'!B14*$E864))*'Business Case'!$B$7-'Business Case'!$B$8*('Business Case'!B11*$C864*'Business Case'!B12*$B864)-'Business Case'!B15*$F864</f>
        <v>-2093346052.70997</v>
      </c>
      <c r="I864" s="53" t="n">
        <f aca="false">(('Business Case'!C11*$C864*'Business Case'!C12*$B864)-'Business Case'!C11*$C864*'Business Case'!C13*$D864-'Business Case'!C14*$E864)-MAX(0,(('Business Case'!C11*$C864*'Business Case'!C12*$B864)-'Business Case'!C11*$C864*'Business Case'!C13*$D864-'Business Case'!C14*$E864))*'Business Case'!$B$7-'Business Case'!$B$8*(('Business Case'!C11*$C864*'Business Case'!C12*$B864)-('Business Case'!B11*$C864*'Business Case'!B12*$B864))-'Business Case'!C15*$F864</f>
        <v>18966407.000306</v>
      </c>
      <c r="J864" s="53" t="n">
        <f aca="false">(('Business Case'!D11*$C864*'Business Case'!D12*$B864)-'Business Case'!D11*$C864*'Business Case'!D13*$D864-'Business Case'!D14*$E864)-MAX(0,(('Business Case'!D11*$C864*'Business Case'!D12*$B864)-'Business Case'!D11*$C864*'Business Case'!D13*$D864-'Business Case'!D14*$E864))*'Business Case'!$B$7-'Business Case'!$B$8*(('Business Case'!D11*$C864*'Business Case'!D12*$B864)-('Business Case'!C11*$C864*'Business Case'!C12*$B864))-'Business Case'!D15*$F864</f>
        <v>337742354.252502</v>
      </c>
      <c r="K864" s="53" t="n">
        <f aca="false">(('Business Case'!E11*$C864*'Business Case'!E12*$B864)-'Business Case'!E11*$C864*'Business Case'!E13*$D864-'Business Case'!E14*$E864)-MAX(0,(('Business Case'!E11*$C864*'Business Case'!E12*$B864)-'Business Case'!E11*$C864*'Business Case'!E13*$D864-'Business Case'!E14*$E864))*'Business Case'!$B$7-'Business Case'!$B$8*(('Business Case'!E11*$C864*'Business Case'!E12*$B864)-('Business Case'!D11*$C864*'Business Case'!D12*$B864))-'Business Case'!E15*$F864</f>
        <v>708851952.822447</v>
      </c>
      <c r="L864" s="53" t="n">
        <f aca="false">(('Business Case'!F11*$C864*'Business Case'!F12*$B864)-'Business Case'!F11*$C864*'Business Case'!F13*$D864-'Business Case'!F14*$E864)-MAX(0,(('Business Case'!F11*$C864*'Business Case'!F12*$B864)-'Business Case'!F11*$C864*'Business Case'!F13*$D864-'Business Case'!F14*$E864))*'Business Case'!$B$7-'Business Case'!$B$8*(('Business Case'!F11*$C864*'Business Case'!F12*$B864)-('Business Case'!E11*$C864*'Business Case'!E12*$B864))-'Business Case'!F15*$F864</f>
        <v>852083401.238101</v>
      </c>
      <c r="M864" s="53" t="n">
        <f aca="false">(('Business Case'!G11*$C864*'Business Case'!G12*$B864)-'Business Case'!G11*$C864*'Business Case'!G13*$D864-'Business Case'!G14*$E864)-MAX(0,(('Business Case'!G11*$C864*'Business Case'!G12*$B864)-'Business Case'!G11*$C864*'Business Case'!G13*$D864-'Business Case'!G14*$E864))*'Business Case'!$B$7-'Business Case'!$B$8*(('Business Case'!G11*$C864*'Business Case'!G12*$B864)-('Business Case'!F11*$C864*'Business Case'!F12*$B864))-'Business Case'!G15*$F864+'Business Case'!$B$8*('Business Case'!G11*$C864*'Business Case'!G12*$B864)</f>
        <v>1055433797.56184</v>
      </c>
      <c r="N864" s="53" t="n">
        <f aca="false">IF(COUNT('Business Case'!B11:G11)=0,"",H864+NPV(G864,I864:M864))</f>
        <v>-106196318.37716</v>
      </c>
      <c r="P864" s="54" t="n">
        <f aca="true">RAND()</f>
        <v>0.162502579409728</v>
      </c>
      <c r="Q864" s="54" t="n">
        <f aca="true">RAND()</f>
        <v>0.976632573281668</v>
      </c>
      <c r="R864" s="54" t="n">
        <f aca="true">RAND()</f>
        <v>0.109686938453969</v>
      </c>
      <c r="S864" s="54" t="n">
        <f aca="true">RAND()</f>
        <v>0.139104038247722</v>
      </c>
      <c r="T864" s="54" t="n">
        <f aca="true">RAND()</f>
        <v>0.529816783057225</v>
      </c>
      <c r="U864" s="54" t="n">
        <f aca="true">RAND()</f>
        <v>0.879196010719409</v>
      </c>
    </row>
    <row r="865" customFormat="false" ht="15" hidden="false" customHeight="false" outlineLevel="0" collapsed="false">
      <c r="A865" s="50" t="n">
        <v>785</v>
      </c>
      <c r="B865" s="51" t="n">
        <f aca="false">1+IF($G$6=$E$6,$F$6,IF(P865&lt;($F$6-$E$6)/($G$6-$E$6),$E$6+SQRT(P865*($G$6-$E$6)*($F$6-$E$6)),$G$6-SQRT((1-P865)*($G$6-$E$6)*($G$6-$F$6))))</f>
        <v>0.99086464897094</v>
      </c>
      <c r="C865" s="51" t="n">
        <f aca="false">1+IF($G$7=$E$7,$F$7,IF(Q865&lt;($F$7-$E$7)/($G$7-$E$7),$E$7+SQRT(Q865*($G$7-$E$7)*($F$7-$E$7)),$G$7-SQRT((1-Q865)*($G$7-$E$7)*($G$7-$F$7))))</f>
        <v>1.02156339561842</v>
      </c>
      <c r="D865" s="51" t="n">
        <f aca="false">1+IF($G$8=$E$8,$F$8,IF(R865&lt;($F$8-$E$8)/($G$8-$E$8),$E$8+SQRT(R865*($G$8-$E$8)*($F$8-$E$8)),$G$8-SQRT((1-R865)*($G$8-$E$8)*($G$8-$F$8))))</f>
        <v>1.05163029425899</v>
      </c>
      <c r="E865" s="51" t="n">
        <f aca="false">1+IF($G$9=$E$9,$F$9,IF(S865&lt;($F$9-$E$9)/($G$9-$E$9),$E$9+SQRT(S865*($G$9-$E$9)*($F$9-$E$9)),$G$9-SQRT((1-S865)*($G$9-$E$9)*($G$9-$F$9))))</f>
        <v>1.00520758805853</v>
      </c>
      <c r="F865" s="51" t="n">
        <f aca="false">1+IF($G$10=$E$10,$F$10,IF(T865&lt;($F$10-$E$10)/($G$10-$E$10),$E$10+SQRT(T865*($G$10-$E$10)*($F$10-$E$10)),$G$10-SQRT((1-T865)*($G$10-$E$10)*($G$10-$F$10))))</f>
        <v>1.09503820704764</v>
      </c>
      <c r="G865" s="52" t="n">
        <f aca="false">IF($G$11=$E$11,$F$11,IF(U865&lt;($F$11-$E$11)/($G$11-$E$11),$E$11+SQRT(U865*($G$11-$E$11)*($F$11-$E$11)),$G$11-SQRT((1-U865)*($G$11-$E$11)*($G$11-$F$11))))</f>
        <v>0.105260897783255</v>
      </c>
      <c r="H865" s="53" t="n">
        <f aca="false">(('Business Case'!B11*$C865*'Business Case'!B12*$B865)-'Business Case'!B11*$C865*'Business Case'!B13*$D865-'Business Case'!B14*$E865)-MAX(0,(('Business Case'!B11*$C865*'Business Case'!B12*$B865)-'Business Case'!B11*$C865*'Business Case'!B13*$D865-'Business Case'!B14*$E865))*'Business Case'!$B$7-'Business Case'!$B$8*('Business Case'!B11*$C865*'Business Case'!B12*$B865)-'Business Case'!B15*$F865</f>
        <v>-2190076414.09527</v>
      </c>
      <c r="I865" s="53" t="n">
        <f aca="false">(('Business Case'!C11*$C865*'Business Case'!C12*$B865)-'Business Case'!C11*$C865*'Business Case'!C13*$D865-'Business Case'!C14*$E865)-MAX(0,(('Business Case'!C11*$C865*'Business Case'!C12*$B865)-'Business Case'!C11*$C865*'Business Case'!C13*$D865-'Business Case'!C14*$E865))*'Business Case'!$B$7-'Business Case'!$B$8*(('Business Case'!C11*$C865*'Business Case'!C12*$B865)-('Business Case'!B11*$C865*'Business Case'!B12*$B865))-'Business Case'!C15*$F865</f>
        <v>-25787529.4093822</v>
      </c>
      <c r="J865" s="53" t="n">
        <f aca="false">(('Business Case'!D11*$C865*'Business Case'!D12*$B865)-'Business Case'!D11*$C865*'Business Case'!D13*$D865-'Business Case'!D14*$E865)-MAX(0,(('Business Case'!D11*$C865*'Business Case'!D12*$B865)-'Business Case'!D11*$C865*'Business Case'!D13*$D865-'Business Case'!D14*$E865))*'Business Case'!$B$7-'Business Case'!$B$8*(('Business Case'!D11*$C865*'Business Case'!D12*$B865)-('Business Case'!C11*$C865*'Business Case'!C12*$B865))-'Business Case'!D15*$F865</f>
        <v>253343338.81991</v>
      </c>
      <c r="K865" s="53" t="n">
        <f aca="false">(('Business Case'!E11*$C865*'Business Case'!E12*$B865)-'Business Case'!E11*$C865*'Business Case'!E13*$D865-'Business Case'!E14*$E865)-MAX(0,(('Business Case'!E11*$C865*'Business Case'!E12*$B865)-'Business Case'!E11*$C865*'Business Case'!E13*$D865-'Business Case'!E14*$E865))*'Business Case'!$B$7-'Business Case'!$B$8*(('Business Case'!E11*$C865*'Business Case'!E12*$B865)-('Business Case'!D11*$C865*'Business Case'!D12*$B865))-'Business Case'!E15*$F865</f>
        <v>587226117.401583</v>
      </c>
      <c r="L865" s="53" t="n">
        <f aca="false">(('Business Case'!F11*$C865*'Business Case'!F12*$B865)-'Business Case'!F11*$C865*'Business Case'!F13*$D865-'Business Case'!F14*$E865)-MAX(0,(('Business Case'!F11*$C865*'Business Case'!F12*$B865)-'Business Case'!F11*$C865*'Business Case'!F13*$D865-'Business Case'!F14*$E865))*'Business Case'!$B$7-'Business Case'!$B$8*(('Business Case'!F11*$C865*'Business Case'!F12*$B865)-('Business Case'!E11*$C865*'Business Case'!E12*$B865))-'Business Case'!F15*$F865</f>
        <v>715252445.419339</v>
      </c>
      <c r="M865" s="53" t="n">
        <f aca="false">(('Business Case'!G11*$C865*'Business Case'!G12*$B865)-'Business Case'!G11*$C865*'Business Case'!G13*$D865-'Business Case'!G14*$E865)-MAX(0,(('Business Case'!G11*$C865*'Business Case'!G12*$B865)-'Business Case'!G11*$C865*'Business Case'!G13*$D865-'Business Case'!G14*$E865))*'Business Case'!$B$7-'Business Case'!$B$8*(('Business Case'!G11*$C865*'Business Case'!G12*$B865)-('Business Case'!F11*$C865*'Business Case'!F12*$B865))-'Business Case'!G15*$F865+'Business Case'!$B$8*('Business Case'!G11*$C865*'Business Case'!G12*$B865)</f>
        <v>907657324.429962</v>
      </c>
      <c r="N865" s="53" t="n">
        <f aca="false">IF(COUNT('Business Case'!B11:G11)=0,"",H865+NPV(G865,I865:M865))</f>
        <v>-541510371.350973</v>
      </c>
      <c r="P865" s="54" t="n">
        <f aca="true">RAND()</f>
        <v>0.523104007684854</v>
      </c>
      <c r="Q865" s="54" t="n">
        <f aca="true">RAND()</f>
        <v>0.685791212474841</v>
      </c>
      <c r="R865" s="54" t="n">
        <f aca="true">RAND()</f>
        <v>0.922611518862376</v>
      </c>
      <c r="S865" s="54" t="n">
        <f aca="true">RAND()</f>
        <v>0.4009599092212</v>
      </c>
      <c r="T865" s="54" t="n">
        <f aca="true">RAND()</f>
        <v>0.779660440404497</v>
      </c>
      <c r="U865" s="54" t="n">
        <f aca="true">RAND()</f>
        <v>0.637931443073902</v>
      </c>
    </row>
    <row r="866" customFormat="false" ht="15" hidden="false" customHeight="false" outlineLevel="0" collapsed="false">
      <c r="A866" s="50" t="n">
        <v>786</v>
      </c>
      <c r="B866" s="51" t="n">
        <f aca="false">1+IF($G$6=$E$6,$F$6,IF(P866&lt;($F$6-$E$6)/($G$6-$E$6),$E$6+SQRT(P866*($G$6-$E$6)*($F$6-$E$6)),$G$6-SQRT((1-P866)*($G$6-$E$6)*($G$6-$F$6))))</f>
        <v>0.968382717879656</v>
      </c>
      <c r="C866" s="51" t="n">
        <f aca="false">1+IF($G$7=$E$7,$F$7,IF(Q866&lt;($F$7-$E$7)/($G$7-$E$7),$E$7+SQRT(Q866*($G$7-$E$7)*($F$7-$E$7)),$G$7-SQRT((1-Q866)*($G$7-$E$7)*($G$7-$F$7))))</f>
        <v>1.02131671832627</v>
      </c>
      <c r="D866" s="51" t="n">
        <f aca="false">1+IF($G$8=$E$8,$F$8,IF(R866&lt;($F$8-$E$8)/($G$8-$E$8),$E$8+SQRT(R866*($G$8-$E$8)*($F$8-$E$8)),$G$8-SQRT((1-R866)*($G$8-$E$8)*($G$8-$F$8))))</f>
        <v>0.99001635012616</v>
      </c>
      <c r="E866" s="51" t="n">
        <f aca="false">1+IF($G$9=$E$9,$F$9,IF(S866&lt;($F$9-$E$9)/($G$9-$E$9),$E$9+SQRT(S866*($G$9-$E$9)*($F$9-$E$9)),$G$9-SQRT((1-S866)*($G$9-$E$9)*($G$9-$F$9))))</f>
        <v>0.984166863247021</v>
      </c>
      <c r="F866" s="51" t="n">
        <f aca="false">1+IF($G$10=$E$10,$F$10,IF(T866&lt;($F$10-$E$10)/($G$10-$E$10),$E$10+SQRT(T866*($G$10-$E$10)*($F$10-$E$10)),$G$10-SQRT((1-T866)*($G$10-$E$10)*($G$10-$F$10))))</f>
        <v>1.00874635853267</v>
      </c>
      <c r="G866" s="52" t="n">
        <f aca="false">IF($G$11=$E$11,$F$11,IF(U866&lt;($F$11-$E$11)/($G$11-$E$11),$E$11+SQRT(U866*($G$11-$E$11)*($F$11-$E$11)),$G$11-SQRT((1-U866)*($G$11-$E$11)*($G$11-$F$11))))</f>
        <v>0.101105540486183</v>
      </c>
      <c r="H866" s="53" t="n">
        <f aca="false">(('Business Case'!B11*$C866*'Business Case'!B12*$B866)-'Business Case'!B11*$C866*'Business Case'!B13*$D866-'Business Case'!B14*$E866)-MAX(0,(('Business Case'!B11*$C866*'Business Case'!B12*$B866)-'Business Case'!B11*$C866*'Business Case'!B13*$D866-'Business Case'!B14*$E866))*'Business Case'!$B$7-'Business Case'!$B$8*('Business Case'!B11*$C866*'Business Case'!B12*$B866)-'Business Case'!B15*$F866</f>
        <v>-2017492717.06534</v>
      </c>
      <c r="I866" s="53" t="n">
        <f aca="false">(('Business Case'!C11*$C866*'Business Case'!C12*$B866)-'Business Case'!C11*$C866*'Business Case'!C13*$D866-'Business Case'!C14*$E866)-MAX(0,(('Business Case'!C11*$C866*'Business Case'!C12*$B866)-'Business Case'!C11*$C866*'Business Case'!C13*$D866-'Business Case'!C14*$E866))*'Business Case'!$B$7-'Business Case'!$B$8*(('Business Case'!C11*$C866*'Business Case'!C12*$B866)-('Business Case'!B11*$C866*'Business Case'!B12*$B866))-'Business Case'!C15*$F866</f>
        <v>376139.265084714</v>
      </c>
      <c r="J866" s="53" t="n">
        <f aca="false">(('Business Case'!D11*$C866*'Business Case'!D12*$B866)-'Business Case'!D11*$C866*'Business Case'!D13*$D866-'Business Case'!D14*$E866)-MAX(0,(('Business Case'!D11*$C866*'Business Case'!D12*$B866)-'Business Case'!D11*$C866*'Business Case'!D13*$D866-'Business Case'!D14*$E866))*'Business Case'!$B$7-'Business Case'!$B$8*(('Business Case'!D11*$C866*'Business Case'!D12*$B866)-('Business Case'!C11*$C866*'Business Case'!C12*$B866))-'Business Case'!D15*$F866</f>
        <v>292846522.158095</v>
      </c>
      <c r="K866" s="53" t="n">
        <f aca="false">(('Business Case'!E11*$C866*'Business Case'!E12*$B866)-'Business Case'!E11*$C866*'Business Case'!E13*$D866-'Business Case'!E14*$E866)-MAX(0,(('Business Case'!E11*$C866*'Business Case'!E12*$B866)-'Business Case'!E11*$C866*'Business Case'!E13*$D866-'Business Case'!E14*$E866))*'Business Case'!$B$7-'Business Case'!$B$8*(('Business Case'!E11*$C866*'Business Case'!E12*$B866)-('Business Case'!D11*$C866*'Business Case'!D12*$B866))-'Business Case'!E15*$F866</f>
        <v>635754222.977739</v>
      </c>
      <c r="L866" s="53" t="n">
        <f aca="false">(('Business Case'!F11*$C866*'Business Case'!F12*$B866)-'Business Case'!F11*$C866*'Business Case'!F13*$D866-'Business Case'!F14*$E866)-MAX(0,(('Business Case'!F11*$C866*'Business Case'!F12*$B866)-'Business Case'!F11*$C866*'Business Case'!F13*$D866-'Business Case'!F14*$E866))*'Business Case'!$B$7-'Business Case'!$B$8*(('Business Case'!F11*$C866*'Business Case'!F12*$B866)-('Business Case'!E11*$C866*'Business Case'!E12*$B866))-'Business Case'!F15*$F866</f>
        <v>767425070.489363</v>
      </c>
      <c r="M866" s="53" t="n">
        <f aca="false">(('Business Case'!G11*$C866*'Business Case'!G12*$B866)-'Business Case'!G11*$C866*'Business Case'!G13*$D866-'Business Case'!G14*$E866)-MAX(0,(('Business Case'!G11*$C866*'Business Case'!G12*$B866)-'Business Case'!G11*$C866*'Business Case'!G13*$D866-'Business Case'!G14*$E866))*'Business Case'!$B$7-'Business Case'!$B$8*(('Business Case'!G11*$C866*'Business Case'!G12*$B866)-('Business Case'!F11*$C866*'Business Case'!F12*$B866))-'Business Case'!G15*$F866+'Business Case'!$B$8*('Business Case'!G11*$C866*'Business Case'!G12*$B866)</f>
        <v>955419029.832781</v>
      </c>
      <c r="N866" s="53" t="n">
        <f aca="false">IF(COUNT('Business Case'!B11:G11)=0,"",H866+NPV(G866,I866:M866))</f>
        <v>-187073069.480737</v>
      </c>
      <c r="P866" s="54" t="n">
        <f aca="true">RAND()</f>
        <v>0.243842436398168</v>
      </c>
      <c r="Q866" s="54" t="n">
        <f aca="true">RAND()</f>
        <v>0.684583105098639</v>
      </c>
      <c r="R866" s="54" t="n">
        <f aca="true">RAND()</f>
        <v>0.246355119602987</v>
      </c>
      <c r="S866" s="54" t="n">
        <f aca="true">RAND()</f>
        <v>0.155649939218753</v>
      </c>
      <c r="T866" s="54" t="n">
        <f aca="true">RAND()</f>
        <v>0.268440892509716</v>
      </c>
      <c r="U866" s="54" t="n">
        <f aca="true">RAND()</f>
        <v>0.404998999467868</v>
      </c>
    </row>
    <row r="867" customFormat="false" ht="15" hidden="false" customHeight="false" outlineLevel="0" collapsed="false">
      <c r="A867" s="50" t="n">
        <v>787</v>
      </c>
      <c r="B867" s="51" t="n">
        <f aca="false">1+IF($G$6=$E$6,$F$6,IF(P867&lt;($F$6-$E$6)/($G$6-$E$6),$E$6+SQRT(P867*($G$6-$E$6)*($F$6-$E$6)),$G$6-SQRT((1-P867)*($G$6-$E$6)*($G$6-$F$6))))</f>
        <v>1.00897490157748</v>
      </c>
      <c r="C867" s="51" t="n">
        <f aca="false">1+IF($G$7=$E$7,$F$7,IF(Q867&lt;($F$7-$E$7)/($G$7-$E$7),$E$7+SQRT(Q867*($G$7-$E$7)*($F$7-$E$7)),$G$7-SQRT((1-Q867)*($G$7-$E$7)*($G$7-$F$7))))</f>
        <v>1.03079307002884</v>
      </c>
      <c r="D867" s="51" t="n">
        <f aca="false">1+IF($G$8=$E$8,$F$8,IF(R867&lt;($F$8-$E$8)/($G$8-$E$8),$E$8+SQRT(R867*($G$8-$E$8)*($F$8-$E$8)),$G$8-SQRT((1-R867)*($G$8-$E$8)*($G$8-$F$8))))</f>
        <v>1.02164568781301</v>
      </c>
      <c r="E867" s="51" t="n">
        <f aca="false">1+IF($G$9=$E$9,$F$9,IF(S867&lt;($F$9-$E$9)/($G$9-$E$9),$E$9+SQRT(S867*($G$9-$E$9)*($F$9-$E$9)),$G$9-SQRT((1-S867)*($G$9-$E$9)*($G$9-$F$9))))</f>
        <v>1.03552481505773</v>
      </c>
      <c r="F867" s="51" t="n">
        <f aca="false">1+IF($G$10=$E$10,$F$10,IF(T867&lt;($F$10-$E$10)/($G$10-$E$10),$E$10+SQRT(T867*($G$10-$E$10)*($F$10-$E$10)),$G$10-SQRT((1-T867)*($G$10-$E$10)*($G$10-$F$10))))</f>
        <v>1.0244984617321</v>
      </c>
      <c r="G867" s="52" t="n">
        <f aca="false">IF($G$11=$E$11,$F$11,IF(U867&lt;($F$11-$E$11)/($G$11-$E$11),$E$11+SQRT(U867*($G$11-$E$11)*($F$11-$E$11)),$G$11-SQRT((1-U867)*($G$11-$E$11)*($G$11-$F$11))))</f>
        <v>0.0964289406652695</v>
      </c>
      <c r="H867" s="53" t="n">
        <f aca="false">(('Business Case'!B11*$C867*'Business Case'!B12*$B867)-'Business Case'!B11*$C867*'Business Case'!B13*$D867-'Business Case'!B14*$E867)-MAX(0,(('Business Case'!B11*$C867*'Business Case'!B12*$B867)-'Business Case'!B11*$C867*'Business Case'!B13*$D867-'Business Case'!B14*$E867))*'Business Case'!$B$7-'Business Case'!$B$8*('Business Case'!B11*$C867*'Business Case'!B12*$B867)-'Business Case'!B15*$F867</f>
        <v>-2048996923.46419</v>
      </c>
      <c r="I867" s="53" t="n">
        <f aca="false">(('Business Case'!C11*$C867*'Business Case'!C12*$B867)-'Business Case'!C11*$C867*'Business Case'!C13*$D867-'Business Case'!C14*$E867)-MAX(0,(('Business Case'!C11*$C867*'Business Case'!C12*$B867)-'Business Case'!C11*$C867*'Business Case'!C13*$D867-'Business Case'!C14*$E867))*'Business Case'!$B$7-'Business Case'!$B$8*(('Business Case'!C11*$C867*'Business Case'!C12*$B867)-('Business Case'!B11*$C867*'Business Case'!B12*$B867))-'Business Case'!C15*$F867</f>
        <v>9148158.78646994</v>
      </c>
      <c r="J867" s="53" t="n">
        <f aca="false">(('Business Case'!D11*$C867*'Business Case'!D12*$B867)-'Business Case'!D11*$C867*'Business Case'!D13*$D867-'Business Case'!D14*$E867)-MAX(0,(('Business Case'!D11*$C867*'Business Case'!D12*$B867)-'Business Case'!D11*$C867*'Business Case'!D13*$D867-'Business Case'!D14*$E867))*'Business Case'!$B$7-'Business Case'!$B$8*(('Business Case'!D11*$C867*'Business Case'!D12*$B867)-('Business Case'!C11*$C867*'Business Case'!C12*$B867))-'Business Case'!D15*$F867</f>
        <v>321913690.845251</v>
      </c>
      <c r="K867" s="53" t="n">
        <f aca="false">(('Business Case'!E11*$C867*'Business Case'!E12*$B867)-'Business Case'!E11*$C867*'Business Case'!E13*$D867-'Business Case'!E14*$E867)-MAX(0,(('Business Case'!E11*$C867*'Business Case'!E12*$B867)-'Business Case'!E11*$C867*'Business Case'!E13*$D867-'Business Case'!E14*$E867))*'Business Case'!$B$7-'Business Case'!$B$8*(('Business Case'!E11*$C867*'Business Case'!E12*$B867)-('Business Case'!D11*$C867*'Business Case'!D12*$B867))-'Business Case'!E15*$F867</f>
        <v>685904145.990637</v>
      </c>
      <c r="L867" s="53" t="n">
        <f aca="false">(('Business Case'!F11*$C867*'Business Case'!F12*$B867)-'Business Case'!F11*$C867*'Business Case'!F13*$D867-'Business Case'!F14*$E867)-MAX(0,(('Business Case'!F11*$C867*'Business Case'!F12*$B867)-'Business Case'!F11*$C867*'Business Case'!F13*$D867-'Business Case'!F14*$E867))*'Business Case'!$B$7-'Business Case'!$B$8*(('Business Case'!F11*$C867*'Business Case'!F12*$B867)-('Business Case'!E11*$C867*'Business Case'!E12*$B867))-'Business Case'!F15*$F867</f>
        <v>826103255.608826</v>
      </c>
      <c r="M867" s="53" t="n">
        <f aca="false">(('Business Case'!G11*$C867*'Business Case'!G12*$B867)-'Business Case'!G11*$C867*'Business Case'!G13*$D867-'Business Case'!G14*$E867)-MAX(0,(('Business Case'!G11*$C867*'Business Case'!G12*$B867)-'Business Case'!G11*$C867*'Business Case'!G13*$D867-'Business Case'!G14*$E867))*'Business Case'!$B$7-'Business Case'!$B$8*(('Business Case'!G11*$C867*'Business Case'!G12*$B867)-('Business Case'!F11*$C867*'Business Case'!F12*$B867))-'Business Case'!G15*$F867+'Business Case'!$B$8*('Business Case'!G11*$C867*'Business Case'!G12*$B867)</f>
        <v>1023794883.06776</v>
      </c>
      <c r="N867" s="53" t="n">
        <f aca="false">IF(COUNT('Business Case'!B11:G11)=0,"",H867+NPV(G867,I867:M867))</f>
        <v>-34748961.8190136</v>
      </c>
      <c r="P867" s="54" t="n">
        <f aca="true">RAND()</f>
        <v>0.799467347473503</v>
      </c>
      <c r="Q867" s="54" t="n">
        <f aca="true">RAND()</f>
        <v>0.729327768511444</v>
      </c>
      <c r="R867" s="54" t="n">
        <f aca="true">RAND()</f>
        <v>0.672574447036841</v>
      </c>
      <c r="S867" s="54" t="n">
        <f aca="true">RAND()</f>
        <v>0.722863368444018</v>
      </c>
      <c r="T867" s="54" t="n">
        <f aca="true">RAND()</f>
        <v>0.383984201311997</v>
      </c>
      <c r="U867" s="54" t="n">
        <f aca="true">RAND()</f>
        <v>0.137770926925186</v>
      </c>
    </row>
    <row r="868" customFormat="false" ht="15" hidden="false" customHeight="false" outlineLevel="0" collapsed="false">
      <c r="A868" s="50" t="n">
        <v>788</v>
      </c>
      <c r="B868" s="51" t="n">
        <f aca="false">1+IF($G$6=$E$6,$F$6,IF(P868&lt;($F$6-$E$6)/($G$6-$E$6),$E$6+SQRT(P868*($G$6-$E$6)*($F$6-$E$6)),$G$6-SQRT((1-P868)*($G$6-$E$6)*($G$6-$F$6))))</f>
        <v>1.001253052882</v>
      </c>
      <c r="C868" s="51" t="n">
        <f aca="false">1+IF($G$7=$E$7,$F$7,IF(Q868&lt;($F$7-$E$7)/($G$7-$E$7),$E$7+SQRT(Q868*($G$7-$E$7)*($F$7-$E$7)),$G$7-SQRT((1-Q868)*($G$7-$E$7)*($G$7-$F$7))))</f>
        <v>0.892969245348507</v>
      </c>
      <c r="D868" s="51" t="n">
        <f aca="false">1+IF($G$8=$E$8,$F$8,IF(R868&lt;($F$8-$E$8)/($G$8-$E$8),$E$8+SQRT(R868*($G$8-$E$8)*($F$8-$E$8)),$G$8-SQRT((1-R868)*($G$8-$E$8)*($G$8-$F$8))))</f>
        <v>1.02637818107664</v>
      </c>
      <c r="E868" s="51" t="n">
        <f aca="false">1+IF($G$9=$E$9,$F$9,IF(S868&lt;($F$9-$E$9)/($G$9-$E$9),$E$9+SQRT(S868*($G$9-$E$9)*($F$9-$E$9)),$G$9-SQRT((1-S868)*($G$9-$E$9)*($G$9-$F$9))))</f>
        <v>1.06879088639172</v>
      </c>
      <c r="F868" s="51" t="n">
        <f aca="false">1+IF($G$10=$E$10,$F$10,IF(T868&lt;($F$10-$E$10)/($G$10-$E$10),$E$10+SQRT(T868*($G$10-$E$10)*($F$10-$E$10)),$G$10-SQRT((1-T868)*($G$10-$E$10)*($G$10-$F$10))))</f>
        <v>1.04183998331336</v>
      </c>
      <c r="G868" s="52" t="n">
        <f aca="false">IF($G$11=$E$11,$F$11,IF(U868&lt;($F$11-$E$11)/($G$11-$E$11),$E$11+SQRT(U868*($G$11-$E$11)*($F$11-$E$11)),$G$11-SQRT((1-U868)*($G$11-$E$11)*($G$11-$F$11))))</f>
        <v>0.0951265109987222</v>
      </c>
      <c r="H868" s="53" t="n">
        <f aca="false">(('Business Case'!B11*$C868*'Business Case'!B12*$B868)-'Business Case'!B11*$C868*'Business Case'!B13*$D868-'Business Case'!B14*$E868)-MAX(0,(('Business Case'!B11*$C868*'Business Case'!B12*$B868)-'Business Case'!B11*$C868*'Business Case'!B13*$D868-'Business Case'!B14*$E868))*'Business Case'!$B$7-'Business Case'!$B$8*('Business Case'!B11*$C868*'Business Case'!B12*$B868)-'Business Case'!B15*$F868</f>
        <v>-2083679966.62672</v>
      </c>
      <c r="I868" s="53" t="n">
        <f aca="false">(('Business Case'!C11*$C868*'Business Case'!C12*$B868)-'Business Case'!C11*$C868*'Business Case'!C13*$D868-'Business Case'!C14*$E868)-MAX(0,(('Business Case'!C11*$C868*'Business Case'!C12*$B868)-'Business Case'!C11*$C868*'Business Case'!C13*$D868-'Business Case'!C14*$E868))*'Business Case'!$B$7-'Business Case'!$B$8*(('Business Case'!C11*$C868*'Business Case'!C12*$B868)-('Business Case'!B11*$C868*'Business Case'!B12*$B868))-'Business Case'!C15*$F868</f>
        <v>-39380040.2946725</v>
      </c>
      <c r="J868" s="53" t="n">
        <f aca="false">(('Business Case'!D11*$C868*'Business Case'!D12*$B868)-'Business Case'!D11*$C868*'Business Case'!D13*$D868-'Business Case'!D14*$E868)-MAX(0,(('Business Case'!D11*$C868*'Business Case'!D12*$B868)-'Business Case'!D11*$C868*'Business Case'!D13*$D868-'Business Case'!D14*$E868))*'Business Case'!$B$7-'Business Case'!$B$8*(('Business Case'!D11*$C868*'Business Case'!D12*$B868)-('Business Case'!C11*$C868*'Business Case'!C12*$B868))-'Business Case'!D15*$F868</f>
        <v>223755513.195424</v>
      </c>
      <c r="K868" s="53" t="n">
        <f aca="false">(('Business Case'!E11*$C868*'Business Case'!E12*$B868)-'Business Case'!E11*$C868*'Business Case'!E13*$D868-'Business Case'!E14*$E868)-MAX(0,(('Business Case'!E11*$C868*'Business Case'!E12*$B868)-'Business Case'!E11*$C868*'Business Case'!E13*$D868-'Business Case'!E14*$E868))*'Business Case'!$B$7-'Business Case'!$B$8*(('Business Case'!E11*$C868*'Business Case'!E12*$B868)-('Business Case'!D11*$C868*'Business Case'!D12*$B868))-'Business Case'!E15*$F868</f>
        <v>538983065.851189</v>
      </c>
      <c r="L868" s="53" t="n">
        <f aca="false">(('Business Case'!F11*$C868*'Business Case'!F12*$B868)-'Business Case'!F11*$C868*'Business Case'!F13*$D868-'Business Case'!F14*$E868)-MAX(0,(('Business Case'!F11*$C868*'Business Case'!F12*$B868)-'Business Case'!F11*$C868*'Business Case'!F13*$D868-'Business Case'!F14*$E868))*'Business Case'!$B$7-'Business Case'!$B$8*(('Business Case'!F11*$C868*'Business Case'!F12*$B868)-('Business Case'!E11*$C868*'Business Case'!E12*$B868))-'Business Case'!F15*$F868</f>
        <v>657594604.620242</v>
      </c>
      <c r="M868" s="53" t="n">
        <f aca="false">(('Business Case'!G11*$C868*'Business Case'!G12*$B868)-'Business Case'!G11*$C868*'Business Case'!G13*$D868-'Business Case'!G14*$E868)-MAX(0,(('Business Case'!G11*$C868*'Business Case'!G12*$B868)-'Business Case'!G11*$C868*'Business Case'!G13*$D868-'Business Case'!G14*$E868))*'Business Case'!$B$7-'Business Case'!$B$8*(('Business Case'!G11*$C868*'Business Case'!G12*$B868)-('Business Case'!F11*$C868*'Business Case'!F12*$B868))-'Business Case'!G15*$F868+'Business Case'!$B$8*('Business Case'!G11*$C868*'Business Case'!G12*$B868)</f>
        <v>827542886.451521</v>
      </c>
      <c r="N868" s="53" t="n">
        <f aca="false">IF(COUNT('Business Case'!B11:G11)=0,"",H868+NPV(G868,I868:M868))</f>
        <v>-540122460.904405</v>
      </c>
      <c r="P868" s="54" t="n">
        <f aca="true">RAND()</f>
        <v>0.687223768548908</v>
      </c>
      <c r="Q868" s="54" t="n">
        <f aca="true">RAND()</f>
        <v>0.123475436866728</v>
      </c>
      <c r="R868" s="54" t="n">
        <f aca="true">RAND()</f>
        <v>0.723528897629895</v>
      </c>
      <c r="S868" s="54" t="n">
        <f aca="true">RAND()</f>
        <v>0.935066081852364</v>
      </c>
      <c r="T868" s="54" t="n">
        <f aca="true">RAND()</f>
        <v>0.499708182433637</v>
      </c>
      <c r="U868" s="54" t="n">
        <f aca="true">RAND()</f>
        <v>0.0876037167333983</v>
      </c>
    </row>
    <row r="869" customFormat="false" ht="15" hidden="false" customHeight="false" outlineLevel="0" collapsed="false">
      <c r="A869" s="50" t="n">
        <v>789</v>
      </c>
      <c r="B869" s="51" t="n">
        <f aca="false">1+IF($G$6=$E$6,$F$6,IF(P869&lt;($F$6-$E$6)/($G$6-$E$6),$E$6+SQRT(P869*($G$6-$E$6)*($F$6-$E$6)),$G$6-SQRT((1-P869)*($G$6-$E$6)*($G$6-$F$6))))</f>
        <v>1.00404047897865</v>
      </c>
      <c r="C869" s="51" t="n">
        <f aca="false">1+IF($G$7=$E$7,$F$7,IF(Q869&lt;($F$7-$E$7)/($G$7-$E$7),$E$7+SQRT(Q869*($G$7-$E$7)*($F$7-$E$7)),$G$7-SQRT((1-Q869)*($G$7-$E$7)*($G$7-$F$7))))</f>
        <v>1.04299962838755</v>
      </c>
      <c r="D869" s="51" t="n">
        <f aca="false">1+IF($G$8=$E$8,$F$8,IF(R869&lt;($F$8-$E$8)/($G$8-$E$8),$E$8+SQRT(R869*($G$8-$E$8)*($F$8-$E$8)),$G$8-SQRT((1-R869)*($G$8-$E$8)*($G$8-$F$8))))</f>
        <v>1.01341256213063</v>
      </c>
      <c r="E869" s="51" t="n">
        <f aca="false">1+IF($G$9=$E$9,$F$9,IF(S869&lt;($F$9-$E$9)/($G$9-$E$9),$E$9+SQRT(S869*($G$9-$E$9)*($F$9-$E$9)),$G$9-SQRT((1-S869)*($G$9-$E$9)*($G$9-$F$9))))</f>
        <v>1.09075009180074</v>
      </c>
      <c r="F869" s="51" t="n">
        <f aca="false">1+IF($G$10=$E$10,$F$10,IF(T869&lt;($F$10-$E$10)/($G$10-$E$10),$E$10+SQRT(T869*($G$10-$E$10)*($F$10-$E$10)),$G$10-SQRT((1-T869)*($G$10-$E$10)*($G$10-$F$10))))</f>
        <v>1.06189124360642</v>
      </c>
      <c r="G869" s="52" t="n">
        <f aca="false">IF($G$11=$E$11,$F$11,IF(U869&lt;($F$11-$E$11)/($G$11-$E$11),$E$11+SQRT(U869*($G$11-$E$11)*($F$11-$E$11)),$G$11-SQRT((1-U869)*($G$11-$E$11)*($G$11-$F$11))))</f>
        <v>0.0940266133674417</v>
      </c>
      <c r="H869" s="53" t="n">
        <f aca="false">(('Business Case'!B11*$C869*'Business Case'!B12*$B869)-'Business Case'!B11*$C869*'Business Case'!B13*$D869-'Business Case'!B14*$E869)-MAX(0,(('Business Case'!B11*$C869*'Business Case'!B12*$B869)-'Business Case'!B11*$C869*'Business Case'!B13*$D869-'Business Case'!B14*$E869))*'Business Case'!$B$7-'Business Case'!$B$8*('Business Case'!B11*$C869*'Business Case'!B12*$B869)-'Business Case'!B15*$F869</f>
        <v>-2123782487.21284</v>
      </c>
      <c r="I869" s="53" t="n">
        <f aca="false">(('Business Case'!C11*$C869*'Business Case'!C12*$B869)-'Business Case'!C11*$C869*'Business Case'!C13*$D869-'Business Case'!C14*$E869)-MAX(0,(('Business Case'!C11*$C869*'Business Case'!C12*$B869)-'Business Case'!C11*$C869*'Business Case'!C13*$D869-'Business Case'!C14*$E869))*'Business Case'!$B$7-'Business Case'!$B$8*(('Business Case'!C11*$C869*'Business Case'!C12*$B869)-('Business Case'!B11*$C869*'Business Case'!B12*$B869))-'Business Case'!C15*$F869</f>
        <v>1068415.58593114</v>
      </c>
      <c r="J869" s="53" t="n">
        <f aca="false">(('Business Case'!D11*$C869*'Business Case'!D12*$B869)-'Business Case'!D11*$C869*'Business Case'!D13*$D869-'Business Case'!D14*$E869)-MAX(0,(('Business Case'!D11*$C869*'Business Case'!D12*$B869)-'Business Case'!D11*$C869*'Business Case'!D13*$D869-'Business Case'!D14*$E869))*'Business Case'!$B$7-'Business Case'!$B$8*(('Business Case'!D11*$C869*'Business Case'!D12*$B869)-('Business Case'!C11*$C869*'Business Case'!C12*$B869))-'Business Case'!D15*$F869</f>
        <v>317718184.387097</v>
      </c>
      <c r="K869" s="53" t="n">
        <f aca="false">(('Business Case'!E11*$C869*'Business Case'!E12*$B869)-'Business Case'!E11*$C869*'Business Case'!E13*$D869-'Business Case'!E14*$E869)-MAX(0,(('Business Case'!E11*$C869*'Business Case'!E12*$B869)-'Business Case'!E11*$C869*'Business Case'!E13*$D869-'Business Case'!E14*$E869))*'Business Case'!$B$7-'Business Case'!$B$8*(('Business Case'!E11*$C869*'Business Case'!E12*$B869)-('Business Case'!D11*$C869*'Business Case'!D12*$B869))-'Business Case'!E15*$F869</f>
        <v>687462515.368585</v>
      </c>
      <c r="L869" s="53" t="n">
        <f aca="false">(('Business Case'!F11*$C869*'Business Case'!F12*$B869)-'Business Case'!F11*$C869*'Business Case'!F13*$D869-'Business Case'!F14*$E869)-MAX(0,(('Business Case'!F11*$C869*'Business Case'!F12*$B869)-'Business Case'!F11*$C869*'Business Case'!F13*$D869-'Business Case'!F14*$E869))*'Business Case'!$B$7-'Business Case'!$B$8*(('Business Case'!F11*$C869*'Business Case'!F12*$B869)-('Business Case'!E11*$C869*'Business Case'!E12*$B869))-'Business Case'!F15*$F869</f>
        <v>829204148.835992</v>
      </c>
      <c r="M869" s="53" t="n">
        <f aca="false">(('Business Case'!G11*$C869*'Business Case'!G12*$B869)-'Business Case'!G11*$C869*'Business Case'!G13*$D869-'Business Case'!G14*$E869)-MAX(0,(('Business Case'!G11*$C869*'Business Case'!G12*$B869)-'Business Case'!G11*$C869*'Business Case'!G13*$D869-'Business Case'!G14*$E869))*'Business Case'!$B$7-'Business Case'!$B$8*(('Business Case'!G11*$C869*'Business Case'!G12*$B869)-('Business Case'!F11*$C869*'Business Case'!F12*$B869))-'Business Case'!G15*$F869+'Business Case'!$B$8*('Business Case'!G11*$C869*'Business Case'!G12*$B869)</f>
        <v>1028258556.77126</v>
      </c>
      <c r="N869" s="53" t="n">
        <f aca="false">IF(COUNT('Business Case'!B11:G11)=0,"",H869+NPV(G869,I869:M869))</f>
        <v>-97428660.2191045</v>
      </c>
      <c r="P869" s="54" t="n">
        <f aca="true">RAND()</f>
        <v>0.73060684331571</v>
      </c>
      <c r="Q869" s="54" t="n">
        <f aca="true">RAND()</f>
        <v>0.781922294758041</v>
      </c>
      <c r="R869" s="54" t="n">
        <f aca="true">RAND()</f>
        <v>0.573664722883875</v>
      </c>
      <c r="S869" s="54" t="n">
        <f aca="true">RAND()</f>
        <v>0.994295946553686</v>
      </c>
      <c r="T869" s="54" t="n">
        <f aca="true">RAND()</f>
        <v>0.618519428148378</v>
      </c>
      <c r="U869" s="54" t="n">
        <f aca="true">RAND()</f>
        <v>0.0540453840362016</v>
      </c>
    </row>
    <row r="870" customFormat="false" ht="15" hidden="false" customHeight="false" outlineLevel="0" collapsed="false">
      <c r="A870" s="50" t="n">
        <v>790</v>
      </c>
      <c r="B870" s="51" t="n">
        <f aca="false">1+IF($G$6=$E$6,$F$6,IF(P870&lt;($F$6-$E$6)/($G$6-$E$6),$E$6+SQRT(P870*($G$6-$E$6)*($F$6-$E$6)),$G$6-SQRT((1-P870)*($G$6-$E$6)*($G$6-$F$6))))</f>
        <v>0.972280024115519</v>
      </c>
      <c r="C870" s="51" t="n">
        <f aca="false">1+IF($G$7=$E$7,$F$7,IF(Q870&lt;($F$7-$E$7)/($G$7-$E$7),$E$7+SQRT(Q870*($G$7-$E$7)*($F$7-$E$7)),$G$7-SQRT((1-Q870)*($G$7-$E$7)*($G$7-$F$7))))</f>
        <v>0.978844665275997</v>
      </c>
      <c r="D870" s="51" t="n">
        <f aca="false">1+IF($G$8=$E$8,$F$8,IF(R870&lt;($F$8-$E$8)/($G$8-$E$8),$E$8+SQRT(R870*($G$8-$E$8)*($F$8-$E$8)),$G$8-SQRT((1-R870)*($G$8-$E$8)*($G$8-$F$8))))</f>
        <v>1.02737001157264</v>
      </c>
      <c r="E870" s="51" t="n">
        <f aca="false">1+IF($G$9=$E$9,$F$9,IF(S870&lt;($F$9-$E$9)/($G$9-$E$9),$E$9+SQRT(S870*($G$9-$E$9)*($F$9-$E$9)),$G$9-SQRT((1-S870)*($G$9-$E$9)*($G$9-$F$9))))</f>
        <v>1.00542346050264</v>
      </c>
      <c r="F870" s="51" t="n">
        <f aca="false">1+IF($G$10=$E$10,$F$10,IF(T870&lt;($F$10-$E$10)/($G$10-$E$10),$E$10+SQRT(T870*($G$10-$E$10)*($F$10-$E$10)),$G$10-SQRT((1-T870)*($G$10-$E$10)*($G$10-$F$10))))</f>
        <v>1.09493980015403</v>
      </c>
      <c r="G870" s="52" t="n">
        <f aca="false">IF($G$11=$E$11,$F$11,IF(U870&lt;($F$11-$E$11)/($G$11-$E$11),$E$11+SQRT(U870*($G$11-$E$11)*($F$11-$E$11)),$G$11-SQRT((1-U870)*($G$11-$E$11)*($G$11-$F$11))))</f>
        <v>0.0995927364047492</v>
      </c>
      <c r="H870" s="53" t="n">
        <f aca="false">(('Business Case'!B11*$C870*'Business Case'!B12*$B870)-'Business Case'!B11*$C870*'Business Case'!B13*$D870-'Business Case'!B14*$E870)-MAX(0,(('Business Case'!B11*$C870*'Business Case'!B12*$B870)-'Business Case'!B11*$C870*'Business Case'!B13*$D870-'Business Case'!B14*$E870))*'Business Case'!$B$7-'Business Case'!$B$8*('Business Case'!B11*$C870*'Business Case'!B12*$B870)-'Business Case'!B15*$F870</f>
        <v>-2189879600.30806</v>
      </c>
      <c r="I870" s="53" t="n">
        <f aca="false">(('Business Case'!C11*$C870*'Business Case'!C12*$B870)-'Business Case'!C11*$C870*'Business Case'!C13*$D870-'Business Case'!C14*$E870)-MAX(0,(('Business Case'!C11*$C870*'Business Case'!C12*$B870)-'Business Case'!C11*$C870*'Business Case'!C13*$D870-'Business Case'!C14*$E870))*'Business Case'!$B$7-'Business Case'!$B$8*(('Business Case'!C11*$C870*'Business Case'!C12*$B870)-('Business Case'!B11*$C870*'Business Case'!B12*$B870))-'Business Case'!C15*$F870</f>
        <v>-37086978.6543244</v>
      </c>
      <c r="J870" s="53" t="n">
        <f aca="false">(('Business Case'!D11*$C870*'Business Case'!D12*$B870)-'Business Case'!D11*$C870*'Business Case'!D13*$D870-'Business Case'!D14*$E870)-MAX(0,(('Business Case'!D11*$C870*'Business Case'!D12*$B870)-'Business Case'!D11*$C870*'Business Case'!D13*$D870-'Business Case'!D14*$E870))*'Business Case'!$B$7-'Business Case'!$B$8*(('Business Case'!D11*$C870*'Business Case'!D12*$B870)-('Business Case'!C11*$C870*'Business Case'!C12*$B870))-'Business Case'!D15*$F870</f>
        <v>227627942.979382</v>
      </c>
      <c r="K870" s="53" t="n">
        <f aca="false">(('Business Case'!E11*$C870*'Business Case'!E12*$B870)-'Business Case'!E11*$C870*'Business Case'!E13*$D870-'Business Case'!E14*$E870)-MAX(0,(('Business Case'!E11*$C870*'Business Case'!E12*$B870)-'Business Case'!E11*$C870*'Business Case'!E13*$D870-'Business Case'!E14*$E870))*'Business Case'!$B$7-'Business Case'!$B$8*(('Business Case'!E11*$C870*'Business Case'!E12*$B870)-('Business Case'!D11*$C870*'Business Case'!D12*$B870))-'Business Case'!E15*$F870</f>
        <v>547089854.62079</v>
      </c>
      <c r="L870" s="53" t="n">
        <f aca="false">(('Business Case'!F11*$C870*'Business Case'!F12*$B870)-'Business Case'!F11*$C870*'Business Case'!F13*$D870-'Business Case'!F14*$E870)-MAX(0,(('Business Case'!F11*$C870*'Business Case'!F12*$B870)-'Business Case'!F11*$C870*'Business Case'!F13*$D870-'Business Case'!F14*$E870))*'Business Case'!$B$7-'Business Case'!$B$8*(('Business Case'!F11*$C870*'Business Case'!F12*$B870)-('Business Case'!E11*$C870*'Business Case'!E12*$B870))-'Business Case'!F15*$F870</f>
        <v>668219297.958128</v>
      </c>
      <c r="M870" s="53" t="n">
        <f aca="false">(('Business Case'!G11*$C870*'Business Case'!G12*$B870)-'Business Case'!G11*$C870*'Business Case'!G13*$D870-'Business Case'!G14*$E870)-MAX(0,(('Business Case'!G11*$C870*'Business Case'!G12*$B870)-'Business Case'!G11*$C870*'Business Case'!G13*$D870-'Business Case'!G14*$E870))*'Business Case'!$B$7-'Business Case'!$B$8*(('Business Case'!G11*$C870*'Business Case'!G12*$B870)-('Business Case'!F11*$C870*'Business Case'!F12*$B870))-'Business Case'!G15*$F870+'Business Case'!$B$8*('Business Case'!G11*$C870*'Business Case'!G12*$B870)</f>
        <v>849120546.651688</v>
      </c>
      <c r="N870" s="53" t="n">
        <f aca="false">IF(COUNT('Business Case'!B11:G11)=0,"",H870+NPV(G870,I870:M870))</f>
        <v>-638558818.338506</v>
      </c>
      <c r="P870" s="54" t="n">
        <f aca="true">RAND()</f>
        <v>0.284708429324921</v>
      </c>
      <c r="Q870" s="54" t="n">
        <f aca="true">RAND()</f>
        <v>0.456934489966907</v>
      </c>
      <c r="R870" s="54" t="n">
        <f aca="true">RAND()</f>
        <v>0.733661953666887</v>
      </c>
      <c r="S870" s="54" t="n">
        <f aca="true">RAND()</f>
        <v>0.403685211780269</v>
      </c>
      <c r="T870" s="54" t="n">
        <f aca="true">RAND()</f>
        <v>0.77924708816649</v>
      </c>
      <c r="U870" s="54" t="n">
        <f aca="true">RAND()</f>
        <v>0.306735305770001</v>
      </c>
    </row>
    <row r="871" customFormat="false" ht="15" hidden="false" customHeight="false" outlineLevel="0" collapsed="false">
      <c r="A871" s="50" t="n">
        <v>791</v>
      </c>
      <c r="B871" s="51" t="n">
        <f aca="false">1+IF($G$6=$E$6,$F$6,IF(P871&lt;($F$6-$E$6)/($G$6-$E$6),$E$6+SQRT(P871*($G$6-$E$6)*($F$6-$E$6)),$G$6-SQRT((1-P871)*($G$6-$E$6)*($G$6-$F$6))))</f>
        <v>0.957229893547888</v>
      </c>
      <c r="C871" s="51" t="n">
        <f aca="false">1+IF($G$7=$E$7,$F$7,IF(Q871&lt;($F$7-$E$7)/($G$7-$E$7),$E$7+SQRT(Q871*($G$7-$E$7)*($F$7-$E$7)),$G$7-SQRT((1-Q871)*($G$7-$E$7)*($G$7-$F$7))))</f>
        <v>0.992906283640092</v>
      </c>
      <c r="D871" s="51" t="n">
        <f aca="false">1+IF($G$8=$E$8,$F$8,IF(R871&lt;($F$8-$E$8)/($G$8-$E$8),$E$8+SQRT(R871*($G$8-$E$8)*($F$8-$E$8)),$G$8-SQRT((1-R871)*($G$8-$E$8)*($G$8-$F$8))))</f>
        <v>1.02052482733472</v>
      </c>
      <c r="E871" s="51" t="n">
        <f aca="false">1+IF($G$9=$E$9,$F$9,IF(S871&lt;($F$9-$E$9)/($G$9-$E$9),$E$9+SQRT(S871*($G$9-$E$9)*($F$9-$E$9)),$G$9-SQRT((1-S871)*($G$9-$E$9)*($G$9-$F$9))))</f>
        <v>0.988458228059634</v>
      </c>
      <c r="F871" s="51" t="n">
        <f aca="false">1+IF($G$10=$E$10,$F$10,IF(T871&lt;($F$10-$E$10)/($G$10-$E$10),$E$10+SQRT(T871*($G$10-$E$10)*($F$10-$E$10)),$G$10-SQRT((1-T871)*($G$10-$E$10)*($G$10-$F$10))))</f>
        <v>1.0082249583504</v>
      </c>
      <c r="G871" s="52" t="n">
        <f aca="false">IF($G$11=$E$11,$F$11,IF(U871&lt;($F$11-$E$11)/($G$11-$E$11),$E$11+SQRT(U871*($G$11-$E$11)*($F$11-$E$11)),$G$11-SQRT((1-U871)*($G$11-$E$11)*($G$11-$F$11))))</f>
        <v>0.115511484369365</v>
      </c>
      <c r="H871" s="53" t="n">
        <f aca="false">(('Business Case'!B11*$C871*'Business Case'!B12*$B871)-'Business Case'!B11*$C871*'Business Case'!B13*$D871-'Business Case'!B14*$E871)-MAX(0,(('Business Case'!B11*$C871*'Business Case'!B12*$B871)-'Business Case'!B11*$C871*'Business Case'!B13*$D871-'Business Case'!B14*$E871))*'Business Case'!$B$7-'Business Case'!$B$8*('Business Case'!B11*$C871*'Business Case'!B12*$B871)-'Business Case'!B15*$F871</f>
        <v>-2016449916.7008</v>
      </c>
      <c r="I871" s="53" t="n">
        <f aca="false">(('Business Case'!C11*$C871*'Business Case'!C12*$B871)-'Business Case'!C11*$C871*'Business Case'!C13*$D871-'Business Case'!C14*$E871)-MAX(0,(('Business Case'!C11*$C871*'Business Case'!C12*$B871)-'Business Case'!C11*$C871*'Business Case'!C13*$D871-'Business Case'!C14*$E871))*'Business Case'!$B$7-'Business Case'!$B$8*(('Business Case'!C11*$C871*'Business Case'!C12*$B871)-('Business Case'!B11*$C871*'Business Case'!B12*$B871))-'Business Case'!C15*$F871</f>
        <v>-30894719.1029523</v>
      </c>
      <c r="J871" s="53" t="n">
        <f aca="false">(('Business Case'!D11*$C871*'Business Case'!D12*$B871)-'Business Case'!D11*$C871*'Business Case'!D13*$D871-'Business Case'!D14*$E871)-MAX(0,(('Business Case'!D11*$C871*'Business Case'!D12*$B871)-'Business Case'!D11*$C871*'Business Case'!D13*$D871-'Business Case'!D14*$E871))*'Business Case'!$B$7-'Business Case'!$B$8*(('Business Case'!D11*$C871*'Business Case'!D12*$B871)-('Business Case'!C11*$C871*'Business Case'!C12*$B871))-'Business Case'!D15*$F871</f>
        <v>228862605.289</v>
      </c>
      <c r="K871" s="53" t="n">
        <f aca="false">(('Business Case'!E11*$C871*'Business Case'!E12*$B871)-'Business Case'!E11*$C871*'Business Case'!E13*$D871-'Business Case'!E14*$E871)-MAX(0,(('Business Case'!E11*$C871*'Business Case'!E12*$B871)-'Business Case'!E11*$C871*'Business Case'!E13*$D871-'Business Case'!E14*$E871))*'Business Case'!$B$7-'Business Case'!$B$8*(('Business Case'!E11*$C871*'Business Case'!E12*$B871)-('Business Case'!D11*$C871*'Business Case'!D12*$B871))-'Business Case'!E15*$F871</f>
        <v>539031177.598472</v>
      </c>
      <c r="L871" s="53" t="n">
        <f aca="false">(('Business Case'!F11*$C871*'Business Case'!F12*$B871)-'Business Case'!F11*$C871*'Business Case'!F13*$D871-'Business Case'!F14*$E871)-MAX(0,(('Business Case'!F11*$C871*'Business Case'!F12*$B871)-'Business Case'!F11*$C871*'Business Case'!F13*$D871-'Business Case'!F14*$E871))*'Business Case'!$B$7-'Business Case'!$B$8*(('Business Case'!F11*$C871*'Business Case'!F12*$B871)-('Business Case'!E11*$C871*'Business Case'!E12*$B871))-'Business Case'!F15*$F871</f>
        <v>658464144.14898</v>
      </c>
      <c r="M871" s="53" t="n">
        <f aca="false">(('Business Case'!G11*$C871*'Business Case'!G12*$B871)-'Business Case'!G11*$C871*'Business Case'!G13*$D871-'Business Case'!G14*$E871)-MAX(0,(('Business Case'!G11*$C871*'Business Case'!G12*$B871)-'Business Case'!G11*$C871*'Business Case'!G13*$D871-'Business Case'!G14*$E871))*'Business Case'!$B$7-'Business Case'!$B$8*(('Business Case'!G11*$C871*'Business Case'!G12*$B871)-('Business Case'!F11*$C871*'Business Case'!F12*$B871))-'Business Case'!G15*$F871+'Business Case'!$B$8*('Business Case'!G11*$C871*'Business Case'!G12*$B871)</f>
        <v>839123698.791524</v>
      </c>
      <c r="N871" s="53" t="n">
        <f aca="false">IF(COUNT('Business Case'!B11:G11)=0,"",H871+NPV(G871,I871:M871))</f>
        <v>-560864798.77781</v>
      </c>
      <c r="P871" s="54" t="n">
        <f aca="true">RAND()</f>
        <v>0.144381768081987</v>
      </c>
      <c r="Q871" s="54" t="n">
        <f aca="true">RAND()</f>
        <v>0.531611918111882</v>
      </c>
      <c r="R871" s="54" t="n">
        <f aca="true">RAND()</f>
        <v>0.659875368888028</v>
      </c>
      <c r="S871" s="54" t="n">
        <f aca="true">RAND()</f>
        <v>0.197204707398243</v>
      </c>
      <c r="T871" s="54" t="n">
        <f aca="true">RAND()</f>
        <v>0.264446668005887</v>
      </c>
      <c r="U871" s="54" t="n">
        <f aca="true">RAND()</f>
        <v>0.966422045722575</v>
      </c>
    </row>
    <row r="872" customFormat="false" ht="15" hidden="false" customHeight="false" outlineLevel="0" collapsed="false">
      <c r="A872" s="50" t="n">
        <v>792</v>
      </c>
      <c r="B872" s="51" t="n">
        <f aca="false">1+IF($G$6=$E$6,$F$6,IF(P872&lt;($F$6-$E$6)/($G$6-$E$6),$E$6+SQRT(P872*($G$6-$E$6)*($F$6-$E$6)),$G$6-SQRT((1-P872)*($G$6-$E$6)*($G$6-$F$6))))</f>
        <v>0.934371678724719</v>
      </c>
      <c r="C872" s="51" t="n">
        <f aca="false">1+IF($G$7=$E$7,$F$7,IF(Q872&lt;($F$7-$E$7)/($G$7-$E$7),$E$7+SQRT(Q872*($G$7-$E$7)*($F$7-$E$7)),$G$7-SQRT((1-Q872)*($G$7-$E$7)*($G$7-$F$7))))</f>
        <v>0.982721817450351</v>
      </c>
      <c r="D872" s="51" t="n">
        <f aca="false">1+IF($G$8=$E$8,$F$8,IF(R872&lt;($F$8-$E$8)/($G$8-$E$8),$E$8+SQRT(R872*($G$8-$E$8)*($F$8-$E$8)),$G$8-SQRT((1-R872)*($G$8-$E$8)*($G$8-$F$8))))</f>
        <v>0.99906124789991</v>
      </c>
      <c r="E872" s="51" t="n">
        <f aca="false">1+IF($G$9=$E$9,$F$9,IF(S872&lt;($F$9-$E$9)/($G$9-$E$9),$E$9+SQRT(S872*($G$9-$E$9)*($F$9-$E$9)),$G$9-SQRT((1-S872)*($G$9-$E$9)*($G$9-$F$9))))</f>
        <v>1.01051664865969</v>
      </c>
      <c r="F872" s="51" t="n">
        <f aca="false">1+IF($G$10=$E$10,$F$10,IF(T872&lt;($F$10-$E$10)/($G$10-$E$10),$E$10+SQRT(T872*($G$10-$E$10)*($F$10-$E$10)),$G$10-SQRT((1-T872)*($G$10-$E$10)*($G$10-$F$10))))</f>
        <v>0.987611584086938</v>
      </c>
      <c r="G872" s="52" t="n">
        <f aca="false">IF($G$11=$E$11,$F$11,IF(U872&lt;($F$11-$E$11)/($G$11-$E$11),$E$11+SQRT(U872*($G$11-$E$11)*($F$11-$E$11)),$G$11-SQRT((1-U872)*($G$11-$E$11)*($G$11-$F$11))))</f>
        <v>0.103941656690028</v>
      </c>
      <c r="H872" s="53" t="n">
        <f aca="false">(('Business Case'!B11*$C872*'Business Case'!B12*$B872)-'Business Case'!B11*$C872*'Business Case'!B13*$D872-'Business Case'!B14*$E872)-MAX(0,(('Business Case'!B11*$C872*'Business Case'!B12*$B872)-'Business Case'!B11*$C872*'Business Case'!B13*$D872-'Business Case'!B14*$E872))*'Business Case'!$B$7-'Business Case'!$B$8*('Business Case'!B11*$C872*'Business Case'!B12*$B872)-'Business Case'!B15*$F872</f>
        <v>-1975223168.17388</v>
      </c>
      <c r="I872" s="53" t="n">
        <f aca="false">(('Business Case'!C11*$C872*'Business Case'!C12*$B872)-'Business Case'!C11*$C872*'Business Case'!C13*$D872-'Business Case'!C14*$E872)-MAX(0,(('Business Case'!C11*$C872*'Business Case'!C12*$B872)-'Business Case'!C11*$C872*'Business Case'!C13*$D872-'Business Case'!C14*$E872))*'Business Case'!$B$7-'Business Case'!$B$8*(('Business Case'!C11*$C872*'Business Case'!C12*$B872)-('Business Case'!B11*$C872*'Business Case'!B12*$B872))-'Business Case'!C15*$F872</f>
        <v>-40565845.103289</v>
      </c>
      <c r="J872" s="53" t="n">
        <f aca="false">(('Business Case'!D11*$C872*'Business Case'!D12*$B872)-'Business Case'!D11*$C872*'Business Case'!D13*$D872-'Business Case'!D14*$E872)-MAX(0,(('Business Case'!D11*$C872*'Business Case'!D12*$B872)-'Business Case'!D11*$C872*'Business Case'!D13*$D872-'Business Case'!D14*$E872))*'Business Case'!$B$7-'Business Case'!$B$8*(('Business Case'!D11*$C872*'Business Case'!D12*$B872)-('Business Case'!C11*$C872*'Business Case'!C12*$B872))-'Business Case'!D15*$F872</f>
        <v>208925845.835142</v>
      </c>
      <c r="K872" s="53" t="n">
        <f aca="false">(('Business Case'!E11*$C872*'Business Case'!E12*$B872)-'Business Case'!E11*$C872*'Business Case'!E13*$D872-'Business Case'!E14*$E872)-MAX(0,(('Business Case'!E11*$C872*'Business Case'!E12*$B872)-'Business Case'!E11*$C872*'Business Case'!E13*$D872-'Business Case'!E14*$E872))*'Business Case'!$B$7-'Business Case'!$B$8*(('Business Case'!E11*$C872*'Business Case'!E12*$B872)-('Business Case'!D11*$C872*'Business Case'!D12*$B872))-'Business Case'!E15*$F872</f>
        <v>507798115.97792</v>
      </c>
      <c r="L872" s="53" t="n">
        <f aca="false">(('Business Case'!F11*$C872*'Business Case'!F12*$B872)-'Business Case'!F11*$C872*'Business Case'!F13*$D872-'Business Case'!F14*$E872)-MAX(0,(('Business Case'!F11*$C872*'Business Case'!F12*$B872)-'Business Case'!F11*$C872*'Business Case'!F13*$D872-'Business Case'!F14*$E872))*'Business Case'!$B$7-'Business Case'!$B$8*(('Business Case'!F11*$C872*'Business Case'!F12*$B872)-('Business Case'!E11*$C872*'Business Case'!E12*$B872))-'Business Case'!F15*$F872</f>
        <v>622695953.086477</v>
      </c>
      <c r="M872" s="53" t="n">
        <f aca="false">(('Business Case'!G11*$C872*'Business Case'!G12*$B872)-'Business Case'!G11*$C872*'Business Case'!G13*$D872-'Business Case'!G14*$E872)-MAX(0,(('Business Case'!G11*$C872*'Business Case'!G12*$B872)-'Business Case'!G11*$C872*'Business Case'!G13*$D872-'Business Case'!G14*$E872))*'Business Case'!$B$7-'Business Case'!$B$8*(('Business Case'!G11*$C872*'Business Case'!G12*$B872)-('Business Case'!F11*$C872*'Business Case'!F12*$B872))-'Business Case'!G15*$F872+'Business Case'!$B$8*('Business Case'!G11*$C872*'Business Case'!G12*$B872)</f>
        <v>797232623.796413</v>
      </c>
      <c r="N872" s="53" t="n">
        <f aca="false">IF(COUNT('Business Case'!B11:G11)=0,"",H872+NPV(G872,I872:M872))</f>
        <v>-557578125.677898</v>
      </c>
      <c r="P872" s="54" t="n">
        <f aca="true">RAND()</f>
        <v>0.0215151197256805</v>
      </c>
      <c r="Q872" s="54" t="n">
        <f aca="true">RAND()</f>
        <v>0.47696089389085</v>
      </c>
      <c r="R872" s="54" t="n">
        <f aca="true">RAND()</f>
        <v>0.37030862238406</v>
      </c>
      <c r="S872" s="54" t="n">
        <f aca="true">RAND()</f>
        <v>0.46618198886039</v>
      </c>
      <c r="T872" s="54" t="n">
        <f aca="true">RAND()</f>
        <v>0.113170500602306</v>
      </c>
      <c r="U872" s="54" t="n">
        <f aca="true">RAND()</f>
        <v>0.570216016898446</v>
      </c>
    </row>
    <row r="873" customFormat="false" ht="15" hidden="false" customHeight="false" outlineLevel="0" collapsed="false">
      <c r="A873" s="50" t="n">
        <v>793</v>
      </c>
      <c r="B873" s="51" t="n">
        <f aca="false">1+IF($G$6=$E$6,$F$6,IF(P873&lt;($F$6-$E$6)/($G$6-$E$6),$E$6+SQRT(P873*($G$6-$E$6)*($F$6-$E$6)),$G$6-SQRT((1-P873)*($G$6-$E$6)*($G$6-$F$6))))</f>
        <v>0.976758124951164</v>
      </c>
      <c r="C873" s="51" t="n">
        <f aca="false">1+IF($G$7=$E$7,$F$7,IF(Q873&lt;($F$7-$E$7)/($G$7-$E$7),$E$7+SQRT(Q873*($G$7-$E$7)*($F$7-$E$7)),$G$7-SQRT((1-Q873)*($G$7-$E$7)*($G$7-$F$7))))</f>
        <v>0.976498175277988</v>
      </c>
      <c r="D873" s="51" t="n">
        <f aca="false">1+IF($G$8=$E$8,$F$8,IF(R873&lt;($F$8-$E$8)/($G$8-$E$8),$E$8+SQRT(R873*($G$8-$E$8)*($F$8-$E$8)),$G$8-SQRT((1-R873)*($G$8-$E$8)*($G$8-$F$8))))</f>
        <v>1.06641398268629</v>
      </c>
      <c r="E873" s="51" t="n">
        <f aca="false">1+IF($G$9=$E$9,$F$9,IF(S873&lt;($F$9-$E$9)/($G$9-$E$9),$E$9+SQRT(S873*($G$9-$E$9)*($F$9-$E$9)),$G$9-SQRT((1-S873)*($G$9-$E$9)*($G$9-$F$9))))</f>
        <v>0.997739985679835</v>
      </c>
      <c r="F873" s="51" t="n">
        <f aca="false">1+IF($G$10=$E$10,$F$10,IF(T873&lt;($F$10-$E$10)/($G$10-$E$10),$E$10+SQRT(T873*($G$10-$E$10)*($F$10-$E$10)),$G$10-SQRT((1-T873)*($G$10-$E$10)*($G$10-$F$10))))</f>
        <v>1.04274220738557</v>
      </c>
      <c r="G873" s="52" t="n">
        <f aca="false">IF($G$11=$E$11,$F$11,IF(U873&lt;($F$11-$E$11)/($G$11-$E$11),$E$11+SQRT(U873*($G$11-$E$11)*($F$11-$E$11)),$G$11-SQRT((1-U873)*($G$11-$E$11)*($G$11-$F$11))))</f>
        <v>0.102611710272384</v>
      </c>
      <c r="H873" s="53" t="n">
        <f aca="false">(('Business Case'!B11*$C873*'Business Case'!B12*$B873)-'Business Case'!B11*$C873*'Business Case'!B13*$D873-'Business Case'!B14*$E873)-MAX(0,(('Business Case'!B11*$C873*'Business Case'!B12*$B873)-'Business Case'!B11*$C873*'Business Case'!B13*$D873-'Business Case'!B14*$E873))*'Business Case'!$B$7-'Business Case'!$B$8*('Business Case'!B11*$C873*'Business Case'!B12*$B873)-'Business Case'!B15*$F873</f>
        <v>-2085484414.77113</v>
      </c>
      <c r="I873" s="53" t="n">
        <f aca="false">(('Business Case'!C11*$C873*'Business Case'!C12*$B873)-'Business Case'!C11*$C873*'Business Case'!C13*$D873-'Business Case'!C14*$E873)-MAX(0,(('Business Case'!C11*$C873*'Business Case'!C12*$B873)-'Business Case'!C11*$C873*'Business Case'!C13*$D873-'Business Case'!C14*$E873))*'Business Case'!$B$7-'Business Case'!$B$8*(('Business Case'!C11*$C873*'Business Case'!C12*$B873)-('Business Case'!B11*$C873*'Business Case'!B12*$B873))-'Business Case'!C15*$F873</f>
        <v>-47453588.2206184</v>
      </c>
      <c r="J873" s="53" t="n">
        <f aca="false">(('Business Case'!D11*$C873*'Business Case'!D12*$B873)-'Business Case'!D11*$C873*'Business Case'!D13*$D873-'Business Case'!D14*$E873)-MAX(0,(('Business Case'!D11*$C873*'Business Case'!D12*$B873)-'Business Case'!D11*$C873*'Business Case'!D13*$D873-'Business Case'!D14*$E873))*'Business Case'!$B$7-'Business Case'!$B$8*(('Business Case'!D11*$C873*'Business Case'!D12*$B873)-('Business Case'!C11*$C873*'Business Case'!C12*$B873))-'Business Case'!D15*$F873</f>
        <v>200690793.245264</v>
      </c>
      <c r="K873" s="53" t="n">
        <f aca="false">(('Business Case'!E11*$C873*'Business Case'!E12*$B873)-'Business Case'!E11*$C873*'Business Case'!E13*$D873-'Business Case'!E14*$E873)-MAX(0,(('Business Case'!E11*$C873*'Business Case'!E12*$B873)-'Business Case'!E11*$C873*'Business Case'!E13*$D873-'Business Case'!E14*$E873))*'Business Case'!$B$7-'Business Case'!$B$8*(('Business Case'!E11*$C873*'Business Case'!E12*$B873)-('Business Case'!D11*$C873*'Business Case'!D12*$B873))-'Business Case'!E15*$F873</f>
        <v>500972285.080424</v>
      </c>
      <c r="L873" s="53" t="n">
        <f aca="false">(('Business Case'!F11*$C873*'Business Case'!F12*$B873)-'Business Case'!F11*$C873*'Business Case'!F13*$D873-'Business Case'!F14*$E873)-MAX(0,(('Business Case'!F11*$C873*'Business Case'!F12*$B873)-'Business Case'!F11*$C873*'Business Case'!F13*$D873-'Business Case'!F14*$E873))*'Business Case'!$B$7-'Business Case'!$B$8*(('Business Case'!F11*$C873*'Business Case'!F12*$B873)-('Business Case'!E11*$C873*'Business Case'!E12*$B873))-'Business Case'!F15*$F873</f>
        <v>616650494.225232</v>
      </c>
      <c r="M873" s="53" t="n">
        <f aca="false">(('Business Case'!G11*$C873*'Business Case'!G12*$B873)-'Business Case'!G11*$C873*'Business Case'!G13*$D873-'Business Case'!G14*$E873)-MAX(0,(('Business Case'!G11*$C873*'Business Case'!G12*$B873)-'Business Case'!G11*$C873*'Business Case'!G13*$D873-'Business Case'!G14*$E873))*'Business Case'!$B$7-'Business Case'!$B$8*(('Business Case'!G11*$C873*'Business Case'!G12*$B873)-('Business Case'!F11*$C873*'Business Case'!F12*$B873))-'Business Case'!G15*$F873+'Business Case'!$B$8*('Business Case'!G11*$C873*'Business Case'!G12*$B873)</f>
        <v>797949278.500893</v>
      </c>
      <c r="N873" s="53" t="n">
        <f aca="false">IF(COUNT('Business Case'!B11:G11)=0,"",H873+NPV(G873,I873:M873))</f>
        <v>-682899136.664658</v>
      </c>
      <c r="P873" s="54" t="n">
        <f aca="true">RAND()</f>
        <v>0.335571327913749</v>
      </c>
      <c r="Q873" s="54" t="n">
        <f aca="true">RAND()</f>
        <v>0.445022941092276</v>
      </c>
      <c r="R873" s="54" t="n">
        <f aca="true">RAND()</f>
        <v>0.982251935918423</v>
      </c>
      <c r="S873" s="54" t="n">
        <f aca="true">RAND()</f>
        <v>0.303880831028113</v>
      </c>
      <c r="T873" s="54" t="n">
        <f aca="true">RAND()</f>
        <v>0.505399733240716</v>
      </c>
      <c r="U873" s="54" t="n">
        <f aca="true">RAND()</f>
        <v>0.496078967247492</v>
      </c>
    </row>
    <row r="874" customFormat="false" ht="15" hidden="false" customHeight="false" outlineLevel="0" collapsed="false">
      <c r="A874" s="50" t="n">
        <v>794</v>
      </c>
      <c r="B874" s="51" t="n">
        <f aca="false">1+IF($G$6=$E$6,$F$6,IF(P874&lt;($F$6-$E$6)/($G$6-$E$6),$E$6+SQRT(P874*($G$6-$E$6)*($F$6-$E$6)),$G$6-SQRT((1-P874)*($G$6-$E$6)*($G$6-$F$6))))</f>
        <v>0.94692732723134</v>
      </c>
      <c r="C874" s="51" t="n">
        <f aca="false">1+IF($G$7=$E$7,$F$7,IF(Q874&lt;($F$7-$E$7)/($G$7-$E$7),$E$7+SQRT(Q874*($G$7-$E$7)*($F$7-$E$7)),$G$7-SQRT((1-Q874)*($G$7-$E$7)*($G$7-$F$7))))</f>
        <v>0.971804739145295</v>
      </c>
      <c r="D874" s="51" t="n">
        <f aca="false">1+IF($G$8=$E$8,$F$8,IF(R874&lt;($F$8-$E$8)/($G$8-$E$8),$E$8+SQRT(R874*($G$8-$E$8)*($F$8-$E$8)),$G$8-SQRT((1-R874)*($G$8-$E$8)*($G$8-$F$8))))</f>
        <v>1.00697816978389</v>
      </c>
      <c r="E874" s="51" t="n">
        <f aca="false">1+IF($G$9=$E$9,$F$9,IF(S874&lt;($F$9-$E$9)/($G$9-$E$9),$E$9+SQRT(S874*($G$9-$E$9)*($F$9-$E$9)),$G$9-SQRT((1-S874)*($G$9-$E$9)*($G$9-$F$9))))</f>
        <v>1.0036608608668</v>
      </c>
      <c r="F874" s="51" t="n">
        <f aca="false">1+IF($G$10=$E$10,$F$10,IF(T874&lt;($F$10-$E$10)/($G$10-$E$10),$E$10+SQRT(T874*($G$10-$E$10)*($F$10-$E$10)),$G$10-SQRT((1-T874)*($G$10-$E$10)*($G$10-$F$10))))</f>
        <v>1.06840580705925</v>
      </c>
      <c r="G874" s="52" t="n">
        <f aca="false">IF($G$11=$E$11,$F$11,IF(U874&lt;($F$11-$E$11)/($G$11-$E$11),$E$11+SQRT(U874*($G$11-$E$11)*($F$11-$E$11)),$G$11-SQRT((1-U874)*($G$11-$E$11)*($G$11-$F$11))))</f>
        <v>0.105746930522258</v>
      </c>
      <c r="H874" s="53" t="n">
        <f aca="false">(('Business Case'!B11*$C874*'Business Case'!B12*$B874)-'Business Case'!B11*$C874*'Business Case'!B13*$D874-'Business Case'!B14*$E874)-MAX(0,(('Business Case'!B11*$C874*'Business Case'!B12*$B874)-'Business Case'!B11*$C874*'Business Case'!B13*$D874-'Business Case'!B14*$E874))*'Business Case'!$B$7-'Business Case'!$B$8*('Business Case'!B11*$C874*'Business Case'!B12*$B874)-'Business Case'!B15*$F874</f>
        <v>-2136811614.1185</v>
      </c>
      <c r="I874" s="53" t="n">
        <f aca="false">(('Business Case'!C11*$C874*'Business Case'!C12*$B874)-'Business Case'!C11*$C874*'Business Case'!C13*$D874-'Business Case'!C14*$E874)-MAX(0,(('Business Case'!C11*$C874*'Business Case'!C12*$B874)-'Business Case'!C11*$C874*'Business Case'!C13*$D874-'Business Case'!C14*$E874))*'Business Case'!$B$7-'Business Case'!$B$8*(('Business Case'!C11*$C874*'Business Case'!C12*$B874)-('Business Case'!B11*$C874*'Business Case'!B12*$B874))-'Business Case'!C15*$F874</f>
        <v>-44490255.8580299</v>
      </c>
      <c r="J874" s="53" t="n">
        <f aca="false">(('Business Case'!D11*$C874*'Business Case'!D12*$B874)-'Business Case'!D11*$C874*'Business Case'!D13*$D874-'Business Case'!D14*$E874)-MAX(0,(('Business Case'!D11*$C874*'Business Case'!D12*$B874)-'Business Case'!D11*$C874*'Business Case'!D13*$D874-'Business Case'!D14*$E874))*'Business Case'!$B$7-'Business Case'!$B$8*(('Business Case'!D11*$C874*'Business Case'!D12*$B874)-('Business Case'!C11*$C874*'Business Case'!C12*$B874))-'Business Case'!D15*$F874</f>
        <v>208285286.990787</v>
      </c>
      <c r="K874" s="53" t="n">
        <f aca="false">(('Business Case'!E11*$C874*'Business Case'!E12*$B874)-'Business Case'!E11*$C874*'Business Case'!E13*$D874-'Business Case'!E14*$E874)-MAX(0,(('Business Case'!E11*$C874*'Business Case'!E12*$B874)-'Business Case'!E11*$C874*'Business Case'!E13*$D874-'Business Case'!E14*$E874))*'Business Case'!$B$7-'Business Case'!$B$8*(('Business Case'!E11*$C874*'Business Case'!E12*$B874)-('Business Case'!D11*$C874*'Business Case'!D12*$B874))-'Business Case'!E15*$F874</f>
        <v>514481120.192565</v>
      </c>
      <c r="L874" s="53" t="n">
        <f aca="false">(('Business Case'!F11*$C874*'Business Case'!F12*$B874)-'Business Case'!F11*$C874*'Business Case'!F13*$D874-'Business Case'!F14*$E874)-MAX(0,(('Business Case'!F11*$C874*'Business Case'!F12*$B874)-'Business Case'!F11*$C874*'Business Case'!F13*$D874-'Business Case'!F14*$E874))*'Business Case'!$B$7-'Business Case'!$B$8*(('Business Case'!F11*$C874*'Business Case'!F12*$B874)-('Business Case'!E11*$C874*'Business Case'!E12*$B874))-'Business Case'!F15*$F874</f>
        <v>630542730.199279</v>
      </c>
      <c r="M874" s="53" t="n">
        <f aca="false">(('Business Case'!G11*$C874*'Business Case'!G12*$B874)-'Business Case'!G11*$C874*'Business Case'!G13*$D874-'Business Case'!G14*$E874)-MAX(0,(('Business Case'!G11*$C874*'Business Case'!G12*$B874)-'Business Case'!G11*$C874*'Business Case'!G13*$D874-'Business Case'!G14*$E874))*'Business Case'!$B$7-'Business Case'!$B$8*(('Business Case'!G11*$C874*'Business Case'!G12*$B874)-('Business Case'!F11*$C874*'Business Case'!F12*$B874))-'Business Case'!G15*$F874+'Business Case'!$B$8*('Business Case'!G11*$C874*'Business Case'!G12*$B874)</f>
        <v>805459756.680042</v>
      </c>
      <c r="N874" s="53" t="n">
        <f aca="false">IF(COUNT('Business Case'!B11:G11)=0,"",H874+NPV(G874,I874:M874))</f>
        <v>-717103159.785929</v>
      </c>
      <c r="P874" s="54" t="n">
        <f aca="true">RAND()</f>
        <v>0.075529265814965</v>
      </c>
      <c r="Q874" s="54" t="n">
        <f aca="true">RAND()</f>
        <v>0.421669548468325</v>
      </c>
      <c r="R874" s="54" t="n">
        <f aca="true">RAND()</f>
        <v>0.487289645374013</v>
      </c>
      <c r="S874" s="54" t="n">
        <f aca="true">RAND()</f>
        <v>0.381251351404928</v>
      </c>
      <c r="T874" s="54" t="n">
        <f aca="true">RAND()</f>
        <v>0.653659367685441</v>
      </c>
      <c r="U874" s="54" t="n">
        <f aca="true">RAND()</f>
        <v>0.661416684104414</v>
      </c>
    </row>
    <row r="875" customFormat="false" ht="15" hidden="false" customHeight="false" outlineLevel="0" collapsed="false">
      <c r="A875" s="50" t="n">
        <v>795</v>
      </c>
      <c r="B875" s="51" t="n">
        <f aca="false">1+IF($G$6=$E$6,$F$6,IF(P875&lt;($F$6-$E$6)/($G$6-$E$6),$E$6+SQRT(P875*($G$6-$E$6)*($F$6-$E$6)),$G$6-SQRT((1-P875)*($G$6-$E$6)*($G$6-$F$6))))</f>
        <v>0.954927238173739</v>
      </c>
      <c r="C875" s="51" t="n">
        <f aca="false">1+IF($G$7=$E$7,$F$7,IF(Q875&lt;($F$7-$E$7)/($G$7-$E$7),$E$7+SQRT(Q875*($G$7-$E$7)*($F$7-$E$7)),$G$7-SQRT((1-Q875)*($G$7-$E$7)*($G$7-$F$7))))</f>
        <v>0.987483361698325</v>
      </c>
      <c r="D875" s="51" t="n">
        <f aca="false">1+IF($G$8=$E$8,$F$8,IF(R875&lt;($F$8-$E$8)/($G$8-$E$8),$E$8+SQRT(R875*($G$8-$E$8)*($F$8-$E$8)),$G$8-SQRT((1-R875)*($G$8-$E$8)*($G$8-$F$8))))</f>
        <v>0.993949506314052</v>
      </c>
      <c r="E875" s="51" t="n">
        <f aca="false">1+IF($G$9=$E$9,$F$9,IF(S875&lt;($F$9-$E$9)/($G$9-$E$9),$E$9+SQRT(S875*($G$9-$E$9)*($F$9-$E$9)),$G$9-SQRT((1-S875)*($G$9-$E$9)*($G$9-$F$9))))</f>
        <v>0.999448249603291</v>
      </c>
      <c r="F875" s="51" t="n">
        <f aca="false">1+IF($G$10=$E$10,$F$10,IF(T875&lt;($F$10-$E$10)/($G$10-$E$10),$E$10+SQRT(T875*($G$10-$E$10)*($F$10-$E$10)),$G$10-SQRT((1-T875)*($G$10-$E$10)*($G$10-$F$10))))</f>
        <v>0.984628782800481</v>
      </c>
      <c r="G875" s="52" t="n">
        <f aca="false">IF($G$11=$E$11,$F$11,IF(U875&lt;($F$11-$E$11)/($G$11-$E$11),$E$11+SQRT(U875*($G$11-$E$11)*($F$11-$E$11)),$G$11-SQRT((1-U875)*($G$11-$E$11)*($G$11-$F$11))))</f>
        <v>0.107848873421527</v>
      </c>
      <c r="H875" s="53" t="n">
        <f aca="false">(('Business Case'!B11*$C875*'Business Case'!B12*$B875)-'Business Case'!B11*$C875*'Business Case'!B13*$D875-'Business Case'!B14*$E875)-MAX(0,(('Business Case'!B11*$C875*'Business Case'!B12*$B875)-'Business Case'!B11*$C875*'Business Case'!B13*$D875-'Business Case'!B14*$E875))*'Business Case'!$B$7-'Business Case'!$B$8*('Business Case'!B11*$C875*'Business Case'!B12*$B875)-'Business Case'!B15*$F875</f>
        <v>-1969257565.60096</v>
      </c>
      <c r="I875" s="53" t="n">
        <f aca="false">(('Business Case'!C11*$C875*'Business Case'!C12*$B875)-'Business Case'!C11*$C875*'Business Case'!C13*$D875-'Business Case'!C14*$E875)-MAX(0,(('Business Case'!C11*$C875*'Business Case'!C12*$B875)-'Business Case'!C11*$C875*'Business Case'!C13*$D875-'Business Case'!C14*$E875))*'Business Case'!$B$7-'Business Case'!$B$8*(('Business Case'!C11*$C875*'Business Case'!C12*$B875)-('Business Case'!B11*$C875*'Business Case'!B12*$B875))-'Business Case'!C15*$F875</f>
        <v>-19557891.2609988</v>
      </c>
      <c r="J875" s="53" t="n">
        <f aca="false">(('Business Case'!D11*$C875*'Business Case'!D12*$B875)-'Business Case'!D11*$C875*'Business Case'!D13*$D875-'Business Case'!D14*$E875)-MAX(0,(('Business Case'!D11*$C875*'Business Case'!D12*$B875)-'Business Case'!D11*$C875*'Business Case'!D13*$D875-'Business Case'!D14*$E875))*'Business Case'!$B$7-'Business Case'!$B$8*(('Business Case'!D11*$C875*'Business Case'!D12*$B875)-('Business Case'!C11*$C875*'Business Case'!C12*$B875))-'Business Case'!D15*$F875</f>
        <v>250352448.375259</v>
      </c>
      <c r="K875" s="53" t="n">
        <f aca="false">(('Business Case'!E11*$C875*'Business Case'!E12*$B875)-'Business Case'!E11*$C875*'Business Case'!E13*$D875-'Business Case'!E14*$E875)-MAX(0,(('Business Case'!E11*$C875*'Business Case'!E12*$B875)-'Business Case'!E11*$C875*'Business Case'!E13*$D875-'Business Case'!E14*$E875))*'Business Case'!$B$7-'Business Case'!$B$8*(('Business Case'!E11*$C875*'Business Case'!E12*$B875)-('Business Case'!D11*$C875*'Business Case'!D12*$B875))-'Business Case'!E15*$F875</f>
        <v>569494227.151541</v>
      </c>
      <c r="L875" s="53" t="n">
        <f aca="false">(('Business Case'!F11*$C875*'Business Case'!F12*$B875)-'Business Case'!F11*$C875*'Business Case'!F13*$D875-'Business Case'!F14*$E875)-MAX(0,(('Business Case'!F11*$C875*'Business Case'!F12*$B875)-'Business Case'!F11*$C875*'Business Case'!F13*$D875-'Business Case'!F14*$E875))*'Business Case'!$B$7-'Business Case'!$B$8*(('Business Case'!F11*$C875*'Business Case'!F12*$B875)-('Business Case'!E11*$C875*'Business Case'!E12*$B875))-'Business Case'!F15*$F875</f>
        <v>692053548.046041</v>
      </c>
      <c r="M875" s="53" t="n">
        <f aca="false">(('Business Case'!G11*$C875*'Business Case'!G12*$B875)-'Business Case'!G11*$C875*'Business Case'!G13*$D875-'Business Case'!G14*$E875)-MAX(0,(('Business Case'!G11*$C875*'Business Case'!G12*$B875)-'Business Case'!G11*$C875*'Business Case'!G13*$D875-'Business Case'!G14*$E875))*'Business Case'!$B$7-'Business Case'!$B$8*(('Business Case'!G11*$C875*'Business Case'!G12*$B875)-('Business Case'!F11*$C875*'Business Case'!F12*$B875))-'Business Case'!G15*$F875+'Business Case'!$B$8*('Business Case'!G11*$C875*'Business Case'!G12*$B875)</f>
        <v>871294190.299316</v>
      </c>
      <c r="N875" s="53" t="n">
        <f aca="false">IF(COUNT('Business Case'!B11:G11)=0,"",H875+NPV(G875,I875:M875))</f>
        <v>-382551948.77595</v>
      </c>
      <c r="P875" s="54" t="n">
        <f aca="true">RAND()</f>
        <v>0.127074163171365</v>
      </c>
      <c r="Q875" s="54" t="n">
        <f aca="true">RAND()</f>
        <v>0.502143013052928</v>
      </c>
      <c r="R875" s="54" t="n">
        <f aca="true">RAND()</f>
        <v>0.297162939269054</v>
      </c>
      <c r="S875" s="54" t="n">
        <f aca="true">RAND()</f>
        <v>0.32601725184392</v>
      </c>
      <c r="T875" s="54" t="n">
        <f aca="true">RAND()</f>
        <v>0.095932207859429</v>
      </c>
      <c r="U875" s="54" t="n">
        <f aca="true">RAND()</f>
        <v>0.753916871456526</v>
      </c>
    </row>
    <row r="876" customFormat="false" ht="15" hidden="false" customHeight="false" outlineLevel="0" collapsed="false">
      <c r="A876" s="50" t="n">
        <v>796</v>
      </c>
      <c r="B876" s="51" t="n">
        <f aca="false">1+IF($G$6=$E$6,$F$6,IF(P876&lt;($F$6-$E$6)/($G$6-$E$6),$E$6+SQRT(P876*($G$6-$E$6)*($F$6-$E$6)),$G$6-SQRT((1-P876)*($G$6-$E$6)*($G$6-$F$6))))</f>
        <v>0.978884806919254</v>
      </c>
      <c r="C876" s="51" t="n">
        <f aca="false">1+IF($G$7=$E$7,$F$7,IF(Q876&lt;($F$7-$E$7)/($G$7-$E$7),$E$7+SQRT(Q876*($G$7-$E$7)*($F$7-$E$7)),$G$7-SQRT((1-Q876)*($G$7-$E$7)*($G$7-$F$7))))</f>
        <v>0.947763728590836</v>
      </c>
      <c r="D876" s="51" t="n">
        <f aca="false">1+IF($G$8=$E$8,$F$8,IF(R876&lt;($F$8-$E$8)/($G$8-$E$8),$E$8+SQRT(R876*($G$8-$E$8)*($F$8-$E$8)),$G$8-SQRT((1-R876)*($G$8-$E$8)*($G$8-$F$8))))</f>
        <v>0.977466166293225</v>
      </c>
      <c r="E876" s="51" t="n">
        <f aca="false">1+IF($G$9=$E$9,$F$9,IF(S876&lt;($F$9-$E$9)/($G$9-$E$9),$E$9+SQRT(S876*($G$9-$E$9)*($F$9-$E$9)),$G$9-SQRT((1-S876)*($G$9-$E$9)*($G$9-$F$9))))</f>
        <v>0.98475180287944</v>
      </c>
      <c r="F876" s="51" t="n">
        <f aca="false">1+IF($G$10=$E$10,$F$10,IF(T876&lt;($F$10-$E$10)/($G$10-$E$10),$E$10+SQRT(T876*($G$10-$E$10)*($F$10-$E$10)),$G$10-SQRT((1-T876)*($G$10-$E$10)*($G$10-$F$10))))</f>
        <v>0.994437934243763</v>
      </c>
      <c r="G876" s="52" t="n">
        <f aca="false">IF($G$11=$E$11,$F$11,IF(U876&lt;($F$11-$E$11)/($G$11-$E$11),$E$11+SQRT(U876*($G$11-$E$11)*($F$11-$E$11)),$G$11-SQRT((1-U876)*($G$11-$E$11)*($G$11-$F$11))))</f>
        <v>0.0962489161431909</v>
      </c>
      <c r="H876" s="53" t="n">
        <f aca="false">(('Business Case'!B11*$C876*'Business Case'!B12*$B876)-'Business Case'!B11*$C876*'Business Case'!B13*$D876-'Business Case'!B14*$E876)-MAX(0,(('Business Case'!B11*$C876*'Business Case'!B12*$B876)-'Business Case'!B11*$C876*'Business Case'!B13*$D876-'Business Case'!B14*$E876))*'Business Case'!$B$7-'Business Case'!$B$8*('Business Case'!B11*$C876*'Business Case'!B12*$B876)-'Business Case'!B15*$F876</f>
        <v>-1988875868.48753</v>
      </c>
      <c r="I876" s="53" t="n">
        <f aca="false">(('Business Case'!C11*$C876*'Business Case'!C12*$B876)-'Business Case'!C11*$C876*'Business Case'!C13*$D876-'Business Case'!C14*$E876)-MAX(0,(('Business Case'!C11*$C876*'Business Case'!C12*$B876)-'Business Case'!C11*$C876*'Business Case'!C13*$D876-'Business Case'!C14*$E876))*'Business Case'!$B$7-'Business Case'!$B$8*(('Business Case'!C11*$C876*'Business Case'!C12*$B876)-('Business Case'!B11*$C876*'Business Case'!B12*$B876))-'Business Case'!C15*$F876</f>
        <v>-1921110.1970185</v>
      </c>
      <c r="J876" s="53" t="n">
        <f aca="false">(('Business Case'!D11*$C876*'Business Case'!D12*$B876)-'Business Case'!D11*$C876*'Business Case'!D13*$D876-'Business Case'!D14*$E876)-MAX(0,(('Business Case'!D11*$C876*'Business Case'!D12*$B876)-'Business Case'!D11*$C876*'Business Case'!D13*$D876-'Business Case'!D14*$E876))*'Business Case'!$B$7-'Business Case'!$B$8*(('Business Case'!D11*$C876*'Business Case'!D12*$B876)-('Business Case'!C11*$C876*'Business Case'!C12*$B876))-'Business Case'!D15*$F876</f>
        <v>283727917.90975</v>
      </c>
      <c r="K876" s="53" t="n">
        <f aca="false">(('Business Case'!E11*$C876*'Business Case'!E12*$B876)-'Business Case'!E11*$C876*'Business Case'!E13*$D876-'Business Case'!E14*$E876)-MAX(0,(('Business Case'!E11*$C876*'Business Case'!E12*$B876)-'Business Case'!E11*$C876*'Business Case'!E13*$D876-'Business Case'!E14*$E876))*'Business Case'!$B$7-'Business Case'!$B$8*(('Business Case'!E11*$C876*'Business Case'!E12*$B876)-('Business Case'!D11*$C876*'Business Case'!D12*$B876))-'Business Case'!E15*$F876</f>
        <v>619098842.728707</v>
      </c>
      <c r="L876" s="53" t="n">
        <f aca="false">(('Business Case'!F11*$C876*'Business Case'!F12*$B876)-'Business Case'!F11*$C876*'Business Case'!F13*$D876-'Business Case'!F14*$E876)-MAX(0,(('Business Case'!F11*$C876*'Business Case'!F12*$B876)-'Business Case'!F11*$C876*'Business Case'!F13*$D876-'Business Case'!F14*$E876))*'Business Case'!$B$7-'Business Case'!$B$8*(('Business Case'!F11*$C876*'Business Case'!F12*$B876)-('Business Case'!E11*$C876*'Business Case'!E12*$B876))-'Business Case'!F15*$F876</f>
        <v>746378277.770932</v>
      </c>
      <c r="M876" s="53" t="n">
        <f aca="false">(('Business Case'!G11*$C876*'Business Case'!G12*$B876)-'Business Case'!G11*$C876*'Business Case'!G13*$D876-'Business Case'!G14*$E876)-MAX(0,(('Business Case'!G11*$C876*'Business Case'!G12*$B876)-'Business Case'!G11*$C876*'Business Case'!G13*$D876-'Business Case'!G14*$E876))*'Business Case'!$B$7-'Business Case'!$B$8*(('Business Case'!G11*$C876*'Business Case'!G12*$B876)-('Business Case'!F11*$C876*'Business Case'!F12*$B876))-'Business Case'!G15*$F876+'Business Case'!$B$8*('Business Case'!G11*$C876*'Business Case'!G12*$B876)</f>
        <v>922725285.640765</v>
      </c>
      <c r="N876" s="53" t="n">
        <f aca="false">IF(COUNT('Business Case'!B11:G11)=0,"",H876+NPV(G876,I876:M876))</f>
        <v>-184996624.813621</v>
      </c>
      <c r="P876" s="54" t="n">
        <f aca="true">RAND()</f>
        <v>0.361189633949774</v>
      </c>
      <c r="Q876" s="54" t="n">
        <f aca="true">RAND()</f>
        <v>0.311915992672374</v>
      </c>
      <c r="R876" s="54" t="n">
        <f aca="true">RAND()</f>
        <v>0.116060044745704</v>
      </c>
      <c r="S876" s="54" t="n">
        <f aca="true">RAND()</f>
        <v>0.161025040449526</v>
      </c>
      <c r="T876" s="54" t="n">
        <f aca="true">RAND()</f>
        <v>0.15797839998824</v>
      </c>
      <c r="U876" s="54" t="n">
        <f aca="true">RAND()</f>
        <v>0.130163176548773</v>
      </c>
    </row>
    <row r="877" customFormat="false" ht="15" hidden="false" customHeight="false" outlineLevel="0" collapsed="false">
      <c r="A877" s="50" t="n">
        <v>797</v>
      </c>
      <c r="B877" s="51" t="n">
        <f aca="false">1+IF($G$6=$E$6,$F$6,IF(P877&lt;($F$6-$E$6)/($G$6-$E$6),$E$6+SQRT(P877*($G$6-$E$6)*($F$6-$E$6)),$G$6-SQRT((1-P877)*($G$6-$E$6)*($G$6-$F$6))))</f>
        <v>0.943617218488186</v>
      </c>
      <c r="C877" s="51" t="n">
        <f aca="false">1+IF($G$7=$E$7,$F$7,IF(Q877&lt;($F$7-$E$7)/($G$7-$E$7),$E$7+SQRT(Q877*($G$7-$E$7)*($F$7-$E$7)),$G$7-SQRT((1-Q877)*($G$7-$E$7)*($G$7-$F$7))))</f>
        <v>0.936638268894347</v>
      </c>
      <c r="D877" s="51" t="n">
        <f aca="false">1+IF($G$8=$E$8,$F$8,IF(R877&lt;($F$8-$E$8)/($G$8-$E$8),$E$8+SQRT(R877*($G$8-$E$8)*($F$8-$E$8)),$G$8-SQRT((1-R877)*($G$8-$E$8)*($G$8-$F$8))))</f>
        <v>0.989539619004104</v>
      </c>
      <c r="E877" s="51" t="n">
        <f aca="false">1+IF($G$9=$E$9,$F$9,IF(S877&lt;($F$9-$E$9)/($G$9-$E$9),$E$9+SQRT(S877*($G$9-$E$9)*($F$9-$E$9)),$G$9-SQRT((1-S877)*($G$9-$E$9)*($G$9-$F$9))))</f>
        <v>1.07497262024431</v>
      </c>
      <c r="F877" s="51" t="n">
        <f aca="false">1+IF($G$10=$E$10,$F$10,IF(T877&lt;($F$10-$E$10)/($G$10-$E$10),$E$10+SQRT(T877*($G$10-$E$10)*($F$10-$E$10)),$G$10-SQRT((1-T877)*($G$10-$E$10)*($G$10-$F$10))))</f>
        <v>1.04801443744575</v>
      </c>
      <c r="G877" s="52" t="n">
        <f aca="false">IF($G$11=$E$11,$F$11,IF(U877&lt;($F$11-$E$11)/($G$11-$E$11),$E$11+SQRT(U877*($G$11-$E$11)*($F$11-$E$11)),$G$11-SQRT((1-U877)*($G$11-$E$11)*($G$11-$F$11))))</f>
        <v>0.110927322937488</v>
      </c>
      <c r="H877" s="53" t="n">
        <f aca="false">(('Business Case'!B11*$C877*'Business Case'!B12*$B877)-'Business Case'!B11*$C877*'Business Case'!B13*$D877-'Business Case'!B14*$E877)-MAX(0,(('Business Case'!B11*$C877*'Business Case'!B12*$B877)-'Business Case'!B11*$C877*'Business Case'!B13*$D877-'Business Case'!B14*$E877))*'Business Case'!$B$7-'Business Case'!$B$8*('Business Case'!B11*$C877*'Business Case'!B12*$B877)-'Business Case'!B15*$F877</f>
        <v>-2096028874.89149</v>
      </c>
      <c r="I877" s="53" t="n">
        <f aca="false">(('Business Case'!C11*$C877*'Business Case'!C12*$B877)-'Business Case'!C11*$C877*'Business Case'!C13*$D877-'Business Case'!C14*$E877)-MAX(0,(('Business Case'!C11*$C877*'Business Case'!C12*$B877)-'Business Case'!C11*$C877*'Business Case'!C13*$D877-'Business Case'!C14*$E877))*'Business Case'!$B$7-'Business Case'!$B$8*(('Business Case'!C11*$C877*'Business Case'!C12*$B877)-('Business Case'!B11*$C877*'Business Case'!B12*$B877))-'Business Case'!C15*$F877</f>
        <v>-54029706.4917015</v>
      </c>
      <c r="J877" s="53" t="n">
        <f aca="false">(('Business Case'!D11*$C877*'Business Case'!D12*$B877)-'Business Case'!D11*$C877*'Business Case'!D13*$D877-'Business Case'!D14*$E877)-MAX(0,(('Business Case'!D11*$C877*'Business Case'!D12*$B877)-'Business Case'!D11*$C877*'Business Case'!D13*$D877-'Business Case'!D14*$E877))*'Business Case'!$B$7-'Business Case'!$B$8*(('Business Case'!D11*$C877*'Business Case'!D12*$B877)-('Business Case'!C11*$C877*'Business Case'!C12*$B877))-'Business Case'!D15*$F877</f>
        <v>195420780.77746</v>
      </c>
      <c r="K877" s="53" t="n">
        <f aca="false">(('Business Case'!E11*$C877*'Business Case'!E12*$B877)-'Business Case'!E11*$C877*'Business Case'!E13*$D877-'Business Case'!E14*$E877)-MAX(0,(('Business Case'!E11*$C877*'Business Case'!E12*$B877)-'Business Case'!E11*$C877*'Business Case'!E13*$D877-'Business Case'!E14*$E877))*'Business Case'!$B$7-'Business Case'!$B$8*(('Business Case'!E11*$C877*'Business Case'!E12*$B877)-('Business Case'!D11*$C877*'Business Case'!D12*$B877))-'Business Case'!E15*$F877</f>
        <v>497271989.918908</v>
      </c>
      <c r="L877" s="53" t="n">
        <f aca="false">(('Business Case'!F11*$C877*'Business Case'!F12*$B877)-'Business Case'!F11*$C877*'Business Case'!F13*$D877-'Business Case'!F14*$E877)-MAX(0,(('Business Case'!F11*$C877*'Business Case'!F12*$B877)-'Business Case'!F11*$C877*'Business Case'!F13*$D877-'Business Case'!F14*$E877))*'Business Case'!$B$7-'Business Case'!$B$8*(('Business Case'!F11*$C877*'Business Case'!F12*$B877)-('Business Case'!E11*$C877*'Business Case'!E12*$B877))-'Business Case'!F15*$F877</f>
        <v>610967247.953659</v>
      </c>
      <c r="M877" s="53" t="n">
        <f aca="false">(('Business Case'!G11*$C877*'Business Case'!G12*$B877)-'Business Case'!G11*$C877*'Business Case'!G13*$D877-'Business Case'!G14*$E877)-MAX(0,(('Business Case'!G11*$C877*'Business Case'!G12*$B877)-'Business Case'!G11*$C877*'Business Case'!G13*$D877-'Business Case'!G14*$E877))*'Business Case'!$B$7-'Business Case'!$B$8*(('Business Case'!G11*$C877*'Business Case'!G12*$B877)-('Business Case'!F11*$C877*'Business Case'!F12*$B877))-'Business Case'!G15*$F877+'Business Case'!$B$8*('Business Case'!G11*$C877*'Business Case'!G12*$B877)</f>
        <v>778965273.817999</v>
      </c>
      <c r="N877" s="53" t="n">
        <f aca="false">IF(COUNT('Business Case'!B11:G11)=0,"",H877+NPV(G877,I877:M877))</f>
        <v>-762156462.680559</v>
      </c>
      <c r="P877" s="54" t="n">
        <f aca="true">RAND()</f>
        <v>0.0581013551165313</v>
      </c>
      <c r="Q877" s="54" t="n">
        <f aca="true">RAND()</f>
        <v>0.266714521806341</v>
      </c>
      <c r="R877" s="54" t="n">
        <f aca="true">RAND()</f>
        <v>0.240520226306112</v>
      </c>
      <c r="S877" s="54" t="n">
        <f aca="true">RAND()</f>
        <v>0.958242017504298</v>
      </c>
      <c r="T877" s="54" t="n">
        <f aca="true">RAND()</f>
        <v>0.538007775501336</v>
      </c>
      <c r="U877" s="54" t="n">
        <f aca="true">RAND()</f>
        <v>0.862810884865609</v>
      </c>
    </row>
    <row r="878" customFormat="false" ht="15" hidden="false" customHeight="false" outlineLevel="0" collapsed="false">
      <c r="A878" s="50" t="n">
        <v>798</v>
      </c>
      <c r="B878" s="51" t="n">
        <f aca="false">1+IF($G$6=$E$6,$F$6,IF(P878&lt;($F$6-$E$6)/($G$6-$E$6),$E$6+SQRT(P878*($G$6-$E$6)*($F$6-$E$6)),$G$6-SQRT((1-P878)*($G$6-$E$6)*($G$6-$F$6))))</f>
        <v>0.978889264118959</v>
      </c>
      <c r="C878" s="51" t="n">
        <f aca="false">1+IF($G$7=$E$7,$F$7,IF(Q878&lt;($F$7-$E$7)/($G$7-$E$7),$E$7+SQRT(Q878*($G$7-$E$7)*($F$7-$E$7)),$G$7-SQRT((1-Q878)*($G$7-$E$7)*($G$7-$F$7))))</f>
        <v>1.03940993034997</v>
      </c>
      <c r="D878" s="51" t="n">
        <f aca="false">1+IF($G$8=$E$8,$F$8,IF(R878&lt;($F$8-$E$8)/($G$8-$E$8),$E$8+SQRT(R878*($G$8-$E$8)*($F$8-$E$8)),$G$8-SQRT((1-R878)*($G$8-$E$8)*($G$8-$F$8))))</f>
        <v>1.03191480238024</v>
      </c>
      <c r="E878" s="51" t="n">
        <f aca="false">1+IF($G$9=$E$9,$F$9,IF(S878&lt;($F$9-$E$9)/($G$9-$E$9),$E$9+SQRT(S878*($G$9-$E$9)*($F$9-$E$9)),$G$9-SQRT((1-S878)*($G$9-$E$9)*($G$9-$F$9))))</f>
        <v>1.00807972636029</v>
      </c>
      <c r="F878" s="51" t="n">
        <f aca="false">1+IF($G$10=$E$10,$F$10,IF(T878&lt;($F$10-$E$10)/($G$10-$E$10),$E$10+SQRT(T878*($G$10-$E$10)*($F$10-$E$10)),$G$10-SQRT((1-T878)*($G$10-$E$10)*($G$10-$F$10))))</f>
        <v>1.06257487415497</v>
      </c>
      <c r="G878" s="52" t="n">
        <f aca="false">IF($G$11=$E$11,$F$11,IF(U878&lt;($F$11-$E$11)/($G$11-$E$11),$E$11+SQRT(U878*($G$11-$E$11)*($F$11-$E$11)),$G$11-SQRT((1-U878)*($G$11-$E$11)*($G$11-$F$11))))</f>
        <v>0.111396961503813</v>
      </c>
      <c r="H878" s="53" t="n">
        <f aca="false">(('Business Case'!B11*$C878*'Business Case'!B12*$B878)-'Business Case'!B11*$C878*'Business Case'!B13*$D878-'Business Case'!B14*$E878)-MAX(0,(('Business Case'!B11*$C878*'Business Case'!B12*$B878)-'Business Case'!B11*$C878*'Business Case'!B13*$D878-'Business Case'!B14*$E878))*'Business Case'!$B$7-'Business Case'!$B$8*('Business Case'!B11*$C878*'Business Case'!B12*$B878)-'Business Case'!B15*$F878</f>
        <v>-2125149748.30993</v>
      </c>
      <c r="I878" s="53" t="n">
        <f aca="false">(('Business Case'!C11*$C878*'Business Case'!C12*$B878)-'Business Case'!C11*$C878*'Business Case'!C13*$D878-'Business Case'!C14*$E878)-MAX(0,(('Business Case'!C11*$C878*'Business Case'!C12*$B878)-'Business Case'!C11*$C878*'Business Case'!C13*$D878-'Business Case'!C14*$E878))*'Business Case'!$B$7-'Business Case'!$B$8*(('Business Case'!C11*$C878*'Business Case'!C12*$B878)-('Business Case'!B11*$C878*'Business Case'!B12*$B878))-'Business Case'!C15*$F878</f>
        <v>-18049442.7081209</v>
      </c>
      <c r="J878" s="53" t="n">
        <f aca="false">(('Business Case'!D11*$C878*'Business Case'!D12*$B878)-'Business Case'!D11*$C878*'Business Case'!D13*$D878-'Business Case'!D14*$E878)-MAX(0,(('Business Case'!D11*$C878*'Business Case'!D12*$B878)-'Business Case'!D11*$C878*'Business Case'!D13*$D878-'Business Case'!D14*$E878))*'Business Case'!$B$7-'Business Case'!$B$8*(('Business Case'!D11*$C878*'Business Case'!D12*$B878)-('Business Case'!C11*$C878*'Business Case'!C12*$B878))-'Business Case'!D15*$F878</f>
        <v>266253039.867782</v>
      </c>
      <c r="K878" s="53" t="n">
        <f aca="false">(('Business Case'!E11*$C878*'Business Case'!E12*$B878)-'Business Case'!E11*$C878*'Business Case'!E13*$D878-'Business Case'!E14*$E878)-MAX(0,(('Business Case'!E11*$C878*'Business Case'!E12*$B878)-'Business Case'!E11*$C878*'Business Case'!E13*$D878-'Business Case'!E14*$E878))*'Business Case'!$B$7-'Business Case'!$B$8*(('Business Case'!E11*$C878*'Business Case'!E12*$B878)-('Business Case'!D11*$C878*'Business Case'!D12*$B878))-'Business Case'!E15*$F878</f>
        <v>603684266.151434</v>
      </c>
      <c r="L878" s="53" t="n">
        <f aca="false">(('Business Case'!F11*$C878*'Business Case'!F12*$B878)-'Business Case'!F11*$C878*'Business Case'!F13*$D878-'Business Case'!F14*$E878)-MAX(0,(('Business Case'!F11*$C878*'Business Case'!F12*$B878)-'Business Case'!F11*$C878*'Business Case'!F13*$D878-'Business Case'!F14*$E878))*'Business Case'!$B$7-'Business Case'!$B$8*(('Business Case'!F11*$C878*'Business Case'!F12*$B878)-('Business Case'!E11*$C878*'Business Case'!E12*$B878))-'Business Case'!F15*$F878</f>
        <v>733615427.53013</v>
      </c>
      <c r="M878" s="53" t="n">
        <f aca="false">(('Business Case'!G11*$C878*'Business Case'!G12*$B878)-'Business Case'!G11*$C878*'Business Case'!G13*$D878-'Business Case'!G14*$E878)-MAX(0,(('Business Case'!G11*$C878*'Business Case'!G12*$B878)-'Business Case'!G11*$C878*'Business Case'!G13*$D878-'Business Case'!G14*$E878))*'Business Case'!$B$7-'Business Case'!$B$8*(('Business Case'!G11*$C878*'Business Case'!G12*$B878)-('Business Case'!F11*$C878*'Business Case'!F12*$B878))-'Business Case'!G15*$F878+'Business Case'!$B$8*('Business Case'!G11*$C878*'Business Case'!G12*$B878)</f>
        <v>927015597.057139</v>
      </c>
      <c r="N878" s="53" t="n">
        <f aca="false">IF(COUNT('Business Case'!B11:G11)=0,"",H878+NPV(G878,I878:M878))</f>
        <v>-458569738.092539</v>
      </c>
      <c r="P878" s="54" t="n">
        <f aca="true">RAND()</f>
        <v>0.361244315465892</v>
      </c>
      <c r="Q878" s="54" t="n">
        <f aca="true">RAND()</f>
        <v>0.767044504662887</v>
      </c>
      <c r="R878" s="54" t="n">
        <f aca="true">RAND()</f>
        <v>0.777674400948871</v>
      </c>
      <c r="S878" s="54" t="n">
        <f aca="true">RAND()</f>
        <v>0.436710886266774</v>
      </c>
      <c r="T878" s="54" t="n">
        <f aca="true">RAND()</f>
        <v>0.622286695729539</v>
      </c>
      <c r="U878" s="54" t="n">
        <f aca="true">RAND()</f>
        <v>0.87664621438854</v>
      </c>
    </row>
    <row r="879" customFormat="false" ht="15" hidden="false" customHeight="false" outlineLevel="0" collapsed="false">
      <c r="A879" s="50" t="n">
        <v>799</v>
      </c>
      <c r="B879" s="51" t="n">
        <f aca="false">1+IF($G$6=$E$6,$F$6,IF(P879&lt;($F$6-$E$6)/($G$6-$E$6),$E$6+SQRT(P879*($G$6-$E$6)*($F$6-$E$6)),$G$6-SQRT((1-P879)*($G$6-$E$6)*($G$6-$F$6))))</f>
        <v>0.96267225275411</v>
      </c>
      <c r="C879" s="51" t="n">
        <f aca="false">1+IF($G$7=$E$7,$F$7,IF(Q879&lt;($F$7-$E$7)/($G$7-$E$7),$E$7+SQRT(Q879*($G$7-$E$7)*($F$7-$E$7)),$G$7-SQRT((1-Q879)*($G$7-$E$7)*($G$7-$F$7))))</f>
        <v>0.9785324658647</v>
      </c>
      <c r="D879" s="51" t="n">
        <f aca="false">1+IF($G$8=$E$8,$F$8,IF(R879&lt;($F$8-$E$8)/($G$8-$E$8),$E$8+SQRT(R879*($G$8-$E$8)*($F$8-$E$8)),$G$8-SQRT((1-R879)*($G$8-$E$8)*($G$8-$F$8))))</f>
        <v>0.97902989632059</v>
      </c>
      <c r="E879" s="51" t="n">
        <f aca="false">1+IF($G$9=$E$9,$F$9,IF(S879&lt;($F$9-$E$9)/($G$9-$E$9),$E$9+SQRT(S879*($G$9-$E$9)*($F$9-$E$9)),$G$9-SQRT((1-S879)*($G$9-$E$9)*($G$9-$F$9))))</f>
        <v>1.04036706621387</v>
      </c>
      <c r="F879" s="51" t="n">
        <f aca="false">1+IF($G$10=$E$10,$F$10,IF(T879&lt;($F$10-$E$10)/($G$10-$E$10),$E$10+SQRT(T879*($G$10-$E$10)*($F$10-$E$10)),$G$10-SQRT((1-T879)*($G$10-$E$10)*($G$10-$F$10))))</f>
        <v>0.984972122480993</v>
      </c>
      <c r="G879" s="52" t="n">
        <f aca="false">IF($G$11=$E$11,$F$11,IF(U879&lt;($F$11-$E$11)/($G$11-$E$11),$E$11+SQRT(U879*($G$11-$E$11)*($F$11-$E$11)),$G$11-SQRT((1-U879)*($G$11-$E$11)*($G$11-$F$11))))</f>
        <v>0.103427433062829</v>
      </c>
      <c r="H879" s="53" t="n">
        <f aca="false">(('Business Case'!B11*$C879*'Business Case'!B12*$B879)-'Business Case'!B11*$C879*'Business Case'!B13*$D879-'Business Case'!B14*$E879)-MAX(0,(('Business Case'!B11*$C879*'Business Case'!B12*$B879)-'Business Case'!B11*$C879*'Business Case'!B13*$D879-'Business Case'!B14*$E879))*'Business Case'!$B$7-'Business Case'!$B$8*('Business Case'!B11*$C879*'Business Case'!B12*$B879)-'Business Case'!B15*$F879</f>
        <v>-1969944244.96199</v>
      </c>
      <c r="I879" s="53" t="n">
        <f aca="false">(('Business Case'!C11*$C879*'Business Case'!C12*$B879)-'Business Case'!C11*$C879*'Business Case'!C13*$D879-'Business Case'!C14*$E879)-MAX(0,(('Business Case'!C11*$C879*'Business Case'!C12*$B879)-'Business Case'!C11*$C879*'Business Case'!C13*$D879-'Business Case'!C14*$E879))*'Business Case'!$B$7-'Business Case'!$B$8*(('Business Case'!C11*$C879*'Business Case'!C12*$B879)-('Business Case'!B11*$C879*'Business Case'!B12*$B879))-'Business Case'!C15*$F879</f>
        <v>-14125999.5339303</v>
      </c>
      <c r="J879" s="53" t="n">
        <f aca="false">(('Business Case'!D11*$C879*'Business Case'!D12*$B879)-'Business Case'!D11*$C879*'Business Case'!D13*$D879-'Business Case'!D14*$E879)-MAX(0,(('Business Case'!D11*$C879*'Business Case'!D12*$B879)-'Business Case'!D11*$C879*'Business Case'!D13*$D879-'Business Case'!D14*$E879))*'Business Case'!$B$7-'Business Case'!$B$8*(('Business Case'!D11*$C879*'Business Case'!D12*$B879)-('Business Case'!C11*$C879*'Business Case'!C12*$B879))-'Business Case'!D15*$F879</f>
        <v>267019003.799286</v>
      </c>
      <c r="K879" s="53" t="n">
        <f aca="false">(('Business Case'!E11*$C879*'Business Case'!E12*$B879)-'Business Case'!E11*$C879*'Business Case'!E13*$D879-'Business Case'!E14*$E879)-MAX(0,(('Business Case'!E11*$C879*'Business Case'!E12*$B879)-'Business Case'!E11*$C879*'Business Case'!E13*$D879-'Business Case'!E14*$E879))*'Business Case'!$B$7-'Business Case'!$B$8*(('Business Case'!E11*$C879*'Business Case'!E12*$B879)-('Business Case'!D11*$C879*'Business Case'!D12*$B879))-'Business Case'!E15*$F879</f>
        <v>597412613.256553</v>
      </c>
      <c r="L879" s="53" t="n">
        <f aca="false">(('Business Case'!F11*$C879*'Business Case'!F12*$B879)-'Business Case'!F11*$C879*'Business Case'!F13*$D879-'Business Case'!F14*$E879)-MAX(0,(('Business Case'!F11*$C879*'Business Case'!F12*$B879)-'Business Case'!F11*$C879*'Business Case'!F13*$D879-'Business Case'!F14*$E879))*'Business Case'!$B$7-'Business Case'!$B$8*(('Business Case'!F11*$C879*'Business Case'!F12*$B879)-('Business Case'!E11*$C879*'Business Case'!E12*$B879))-'Business Case'!F15*$F879</f>
        <v>723683343.569915</v>
      </c>
      <c r="M879" s="53" t="n">
        <f aca="false">(('Business Case'!G11*$C879*'Business Case'!G12*$B879)-'Business Case'!G11*$C879*'Business Case'!G13*$D879-'Business Case'!G14*$E879)-MAX(0,(('Business Case'!G11*$C879*'Business Case'!G12*$B879)-'Business Case'!G11*$C879*'Business Case'!G13*$D879-'Business Case'!G14*$E879))*'Business Case'!$B$7-'Business Case'!$B$8*(('Business Case'!G11*$C879*'Business Case'!G12*$B879)-('Business Case'!F11*$C879*'Business Case'!F12*$B879))-'Business Case'!G15*$F879+'Business Case'!$B$8*('Business Case'!G11*$C879*'Business Case'!G12*$B879)</f>
        <v>902739854.182511</v>
      </c>
      <c r="N879" s="53" t="n">
        <f aca="false">IF(COUNT('Business Case'!B11:G11)=0,"",H879+NPV(G879,I879:M879))</f>
        <v>-278711248.327235</v>
      </c>
      <c r="P879" s="54" t="n">
        <f aca="true">RAND()</f>
        <v>0.189679286990689</v>
      </c>
      <c r="Q879" s="54" t="n">
        <f aca="true">RAND()</f>
        <v>0.455340590967576</v>
      </c>
      <c r="R879" s="54" t="n">
        <f aca="true">RAND()</f>
        <v>0.129651520059109</v>
      </c>
      <c r="S879" s="54" t="n">
        <f aca="true">RAND()</f>
        <v>0.762927547203947</v>
      </c>
      <c r="T879" s="54" t="n">
        <f aca="true">RAND()</f>
        <v>0.0978439480660478</v>
      </c>
      <c r="U879" s="54" t="n">
        <f aca="true">RAND()</f>
        <v>0.542250041854964</v>
      </c>
    </row>
    <row r="880" customFormat="false" ht="15" hidden="false" customHeight="false" outlineLevel="0" collapsed="false">
      <c r="A880" s="50" t="n">
        <v>800</v>
      </c>
      <c r="B880" s="51" t="n">
        <f aca="false">1+IF($G$6=$E$6,$F$6,IF(P880&lt;($F$6-$E$6)/($G$6-$E$6),$E$6+SQRT(P880*($G$6-$E$6)*($F$6-$E$6)),$G$6-SQRT((1-P880)*($G$6-$E$6)*($G$6-$F$6))))</f>
        <v>0.98167098630156</v>
      </c>
      <c r="C880" s="51" t="n">
        <f aca="false">1+IF($G$7=$E$7,$F$7,IF(Q880&lt;($F$7-$E$7)/($G$7-$E$7),$E$7+SQRT(Q880*($G$7-$E$7)*($F$7-$E$7)),$G$7-SQRT((1-Q880)*($G$7-$E$7)*($G$7-$F$7))))</f>
        <v>0.975536489023256</v>
      </c>
      <c r="D880" s="51" t="n">
        <f aca="false">1+IF($G$8=$E$8,$F$8,IF(R880&lt;($F$8-$E$8)/($G$8-$E$8),$E$8+SQRT(R880*($G$8-$E$8)*($F$8-$E$8)),$G$8-SQRT((1-R880)*($G$8-$E$8)*($G$8-$F$8))))</f>
        <v>1.00454426348929</v>
      </c>
      <c r="E880" s="51" t="n">
        <f aca="false">1+IF($G$9=$E$9,$F$9,IF(S880&lt;($F$9-$E$9)/($G$9-$E$9),$E$9+SQRT(S880*($G$9-$E$9)*($F$9-$E$9)),$G$9-SQRT((1-S880)*($G$9-$E$9)*($G$9-$F$9))))</f>
        <v>0.977856287842853</v>
      </c>
      <c r="F880" s="51" t="n">
        <f aca="false">1+IF($G$10=$E$10,$F$10,IF(T880&lt;($F$10-$E$10)/($G$10-$E$10),$E$10+SQRT(T880*($G$10-$E$10)*($F$10-$E$10)),$G$10-SQRT((1-T880)*($G$10-$E$10)*($G$10-$F$10))))</f>
        <v>1.01426187317765</v>
      </c>
      <c r="G880" s="52" t="n">
        <f aca="false">IF($G$11=$E$11,$F$11,IF(U880&lt;($F$11-$E$11)/($G$11-$E$11),$E$11+SQRT(U880*($G$11-$E$11)*($F$11-$E$11)),$G$11-SQRT((1-U880)*($G$11-$E$11)*($G$11-$F$11))))</f>
        <v>0.102970736561096</v>
      </c>
      <c r="H880" s="53" t="n">
        <f aca="false">(('Business Case'!B11*$C880*'Business Case'!B12*$B880)-'Business Case'!B11*$C880*'Business Case'!B13*$D880-'Business Case'!B14*$E880)-MAX(0,(('Business Case'!B11*$C880*'Business Case'!B12*$B880)-'Business Case'!B11*$C880*'Business Case'!B13*$D880-'Business Case'!B14*$E880))*'Business Case'!$B$7-'Business Case'!$B$8*('Business Case'!B11*$C880*'Business Case'!B12*$B880)-'Business Case'!B15*$F880</f>
        <v>-2028523746.3553</v>
      </c>
      <c r="I880" s="53" t="n">
        <f aca="false">(('Business Case'!C11*$C880*'Business Case'!C12*$B880)-'Business Case'!C11*$C880*'Business Case'!C13*$D880-'Business Case'!C14*$E880)-MAX(0,(('Business Case'!C11*$C880*'Business Case'!C12*$B880)-'Business Case'!C11*$C880*'Business Case'!C13*$D880-'Business Case'!C14*$E880))*'Business Case'!$B$7-'Business Case'!$B$8*(('Business Case'!C11*$C880*'Business Case'!C12*$B880)-('Business Case'!B11*$C880*'Business Case'!B12*$B880))-'Business Case'!C15*$F880</f>
        <v>-7399154.4044919</v>
      </c>
      <c r="J880" s="53" t="n">
        <f aca="false">(('Business Case'!D11*$C880*'Business Case'!D12*$B880)-'Business Case'!D11*$C880*'Business Case'!D13*$D880-'Business Case'!D14*$E880)-MAX(0,(('Business Case'!D11*$C880*'Business Case'!D12*$B880)-'Business Case'!D11*$C880*'Business Case'!D13*$D880-'Business Case'!D14*$E880))*'Business Case'!$B$7-'Business Case'!$B$8*(('Business Case'!D11*$C880*'Business Case'!D12*$B880)-('Business Case'!C11*$C880*'Business Case'!C12*$B880))-'Business Case'!D15*$F880</f>
        <v>275323922.803595</v>
      </c>
      <c r="K880" s="53" t="n">
        <f aca="false">(('Business Case'!E11*$C880*'Business Case'!E12*$B880)-'Business Case'!E11*$C880*'Business Case'!E13*$D880-'Business Case'!E14*$E880)-MAX(0,(('Business Case'!E11*$C880*'Business Case'!E12*$B880)-'Business Case'!E11*$C880*'Business Case'!E13*$D880-'Business Case'!E14*$E880))*'Business Case'!$B$7-'Business Case'!$B$8*(('Business Case'!E11*$C880*'Business Case'!E12*$B880)-('Business Case'!D11*$C880*'Business Case'!D12*$B880))-'Business Case'!E15*$F880</f>
        <v>608760093.670564</v>
      </c>
      <c r="L880" s="53" t="n">
        <f aca="false">(('Business Case'!F11*$C880*'Business Case'!F12*$B880)-'Business Case'!F11*$C880*'Business Case'!F13*$D880-'Business Case'!F14*$E880)-MAX(0,(('Business Case'!F11*$C880*'Business Case'!F12*$B880)-'Business Case'!F11*$C880*'Business Case'!F13*$D880-'Business Case'!F14*$E880))*'Business Case'!$B$7-'Business Case'!$B$8*(('Business Case'!F11*$C880*'Business Case'!F12*$B880)-('Business Case'!E11*$C880*'Business Case'!E12*$B880))-'Business Case'!F15*$F880</f>
        <v>736097706.182299</v>
      </c>
      <c r="M880" s="53" t="n">
        <f aca="false">(('Business Case'!G11*$C880*'Business Case'!G12*$B880)-'Business Case'!G11*$C880*'Business Case'!G13*$D880-'Business Case'!G14*$E880)-MAX(0,(('Business Case'!G11*$C880*'Business Case'!G12*$B880)-'Business Case'!G11*$C880*'Business Case'!G13*$D880-'Business Case'!G14*$E880))*'Business Case'!$B$7-'Business Case'!$B$8*(('Business Case'!G11*$C880*'Business Case'!G12*$B880)-('Business Case'!F11*$C880*'Business Case'!F12*$B880))-'Business Case'!G15*$F880+'Business Case'!$B$8*('Business Case'!G11*$C880*'Business Case'!G12*$B880)</f>
        <v>918128933.448686</v>
      </c>
      <c r="N880" s="53" t="n">
        <f aca="false">IF(COUNT('Business Case'!B11:G11)=0,"",H880+NPV(G880,I880:M880))</f>
        <v>-295411339.42023</v>
      </c>
      <c r="P880" s="54" t="n">
        <f aca="true">RAND()</f>
        <v>0.396178182438255</v>
      </c>
      <c r="Q880" s="54" t="n">
        <f aca="true">RAND()</f>
        <v>0.440186556837308</v>
      </c>
      <c r="R880" s="54" t="n">
        <f aca="true">RAND()</f>
        <v>0.452541521887093</v>
      </c>
      <c r="S880" s="54" t="n">
        <f aca="true">RAND()</f>
        <v>0.103463036317853</v>
      </c>
      <c r="T880" s="54" t="n">
        <f aca="true">RAND()</f>
        <v>0.310026964890492</v>
      </c>
      <c r="U880" s="54" t="n">
        <f aca="true">RAND()</f>
        <v>0.516673644547362</v>
      </c>
    </row>
    <row r="881" customFormat="false" ht="15" hidden="false" customHeight="false" outlineLevel="0" collapsed="false">
      <c r="A881" s="50" t="n">
        <v>801</v>
      </c>
      <c r="B881" s="51" t="n">
        <f aca="false">1+IF($G$6=$E$6,$F$6,IF(P881&lt;($F$6-$E$6)/($G$6-$E$6),$E$6+SQRT(P881*($G$6-$E$6)*($F$6-$E$6)),$G$6-SQRT((1-P881)*($G$6-$E$6)*($G$6-$F$6))))</f>
        <v>0.954213441357178</v>
      </c>
      <c r="C881" s="51" t="n">
        <f aca="false">1+IF($G$7=$E$7,$F$7,IF(Q881&lt;($F$7-$E$7)/($G$7-$E$7),$E$7+SQRT(Q881*($G$7-$E$7)*($F$7-$E$7)),$G$7-SQRT((1-Q881)*($G$7-$E$7)*($G$7-$F$7))))</f>
        <v>0.837888419533265</v>
      </c>
      <c r="D881" s="51" t="n">
        <f aca="false">1+IF($G$8=$E$8,$F$8,IF(R881&lt;($F$8-$E$8)/($G$8-$E$8),$E$8+SQRT(R881*($G$8-$E$8)*($F$8-$E$8)),$G$8-SQRT((1-R881)*($G$8-$E$8)*($G$8-$F$8))))</f>
        <v>0.993419132879353</v>
      </c>
      <c r="E881" s="51" t="n">
        <f aca="false">1+IF($G$9=$E$9,$F$9,IF(S881&lt;($F$9-$E$9)/($G$9-$E$9),$E$9+SQRT(S881*($G$9-$E$9)*($F$9-$E$9)),$G$9-SQRT((1-S881)*($G$9-$E$9)*($G$9-$F$9))))</f>
        <v>1.00475282040765</v>
      </c>
      <c r="F881" s="51" t="n">
        <f aca="false">1+IF($G$10=$E$10,$F$10,IF(T881&lt;($F$10-$E$10)/($G$10-$E$10),$E$10+SQRT(T881*($G$10-$E$10)*($F$10-$E$10)),$G$10-SQRT((1-T881)*($G$10-$E$10)*($G$10-$F$10))))</f>
        <v>1.02983780327981</v>
      </c>
      <c r="G881" s="52" t="n">
        <f aca="false">IF($G$11=$E$11,$F$11,IF(U881&lt;($F$11-$E$11)/($G$11-$E$11),$E$11+SQRT(U881*($G$11-$E$11)*($F$11-$E$11)),$G$11-SQRT((1-U881)*($G$11-$E$11)*($G$11-$F$11))))</f>
        <v>0.0959406234016137</v>
      </c>
      <c r="H881" s="53" t="n">
        <f aca="false">(('Business Case'!B11*$C881*'Business Case'!B12*$B881)-'Business Case'!B11*$C881*'Business Case'!B13*$D881-'Business Case'!B14*$E881)-MAX(0,(('Business Case'!B11*$C881*'Business Case'!B12*$B881)-'Business Case'!B11*$C881*'Business Case'!B13*$D881-'Business Case'!B14*$E881))*'Business Case'!$B$7-'Business Case'!$B$8*('Business Case'!B11*$C881*'Business Case'!B12*$B881)-'Business Case'!B15*$F881</f>
        <v>-2059675606.55962</v>
      </c>
      <c r="I881" s="53" t="n">
        <f aca="false">(('Business Case'!C11*$C881*'Business Case'!C12*$B881)-'Business Case'!C11*$C881*'Business Case'!C13*$D881-'Business Case'!C14*$E881)-MAX(0,(('Business Case'!C11*$C881*'Business Case'!C12*$B881)-'Business Case'!C11*$C881*'Business Case'!C13*$D881-'Business Case'!C14*$E881))*'Business Case'!$B$7-'Business Case'!$B$8*(('Business Case'!C11*$C881*'Business Case'!C12*$B881)-('Business Case'!B11*$C881*'Business Case'!B12*$B881))-'Business Case'!C15*$F881</f>
        <v>-58548029.1415306</v>
      </c>
      <c r="J881" s="53" t="n">
        <f aca="false">(('Business Case'!D11*$C881*'Business Case'!D12*$B881)-'Business Case'!D11*$C881*'Business Case'!D13*$D881-'Business Case'!D14*$E881)-MAX(0,(('Business Case'!D11*$C881*'Business Case'!D12*$B881)-'Business Case'!D11*$C881*'Business Case'!D13*$D881-'Business Case'!D14*$E881))*'Business Case'!$B$7-'Business Case'!$B$8*(('Business Case'!D11*$C881*'Business Case'!D12*$B881)-('Business Case'!C11*$C881*'Business Case'!C12*$B881))-'Business Case'!D15*$F881</f>
        <v>170210917.602483</v>
      </c>
      <c r="K881" s="53" t="n">
        <f aca="false">(('Business Case'!E11*$C881*'Business Case'!E12*$B881)-'Business Case'!E11*$C881*'Business Case'!E13*$D881-'Business Case'!E14*$E881)-MAX(0,(('Business Case'!E11*$C881*'Business Case'!E12*$B881)-'Business Case'!E11*$C881*'Business Case'!E13*$D881-'Business Case'!E14*$E881))*'Business Case'!$B$7-'Business Case'!$B$8*(('Business Case'!E11*$C881*'Business Case'!E12*$B881)-('Business Case'!D11*$C881*'Business Case'!D12*$B881))-'Business Case'!E15*$F881</f>
        <v>450461754.510487</v>
      </c>
      <c r="L881" s="53" t="n">
        <f aca="false">(('Business Case'!F11*$C881*'Business Case'!F12*$B881)-'Business Case'!F11*$C881*'Business Case'!F13*$D881-'Business Case'!F14*$E881)-MAX(0,(('Business Case'!F11*$C881*'Business Case'!F12*$B881)-'Business Case'!F11*$C881*'Business Case'!F13*$D881-'Business Case'!F14*$E881))*'Business Case'!$B$7-'Business Case'!$B$8*(('Business Case'!F11*$C881*'Business Case'!F12*$B881)-('Business Case'!E11*$C881*'Business Case'!E12*$B881))-'Business Case'!F15*$F881</f>
        <v>554346299.755556</v>
      </c>
      <c r="M881" s="53" t="n">
        <f aca="false">(('Business Case'!G11*$C881*'Business Case'!G12*$B881)-'Business Case'!G11*$C881*'Business Case'!G13*$D881-'Business Case'!G14*$E881)-MAX(0,(('Business Case'!G11*$C881*'Business Case'!G12*$B881)-'Business Case'!G11*$C881*'Business Case'!G13*$D881-'Business Case'!G14*$E881))*'Business Case'!$B$7-'Business Case'!$B$8*(('Business Case'!G11*$C881*'Business Case'!G12*$B881)-('Business Case'!F11*$C881*'Business Case'!F12*$B881))-'Business Case'!G15*$F881+'Business Case'!$B$8*('Business Case'!G11*$C881*'Business Case'!G12*$B881)</f>
        <v>706319896.23941</v>
      </c>
      <c r="N881" s="53" t="n">
        <f aca="false">IF(COUNT('Business Case'!B11:G11)=0,"",H881+NPV(G881,I881:M881))</f>
        <v>-798151997.101903</v>
      </c>
      <c r="P881" s="54" t="n">
        <f aca="true">RAND()</f>
        <v>0.121933288489691</v>
      </c>
      <c r="Q881" s="54" t="n">
        <f aca="true">RAND()</f>
        <v>0.0205076047818382</v>
      </c>
      <c r="R881" s="54" t="n">
        <f aca="true">RAND()</f>
        <v>0.29003401538383</v>
      </c>
      <c r="S881" s="54" t="n">
        <f aca="true">RAND()</f>
        <v>0.395198318646792</v>
      </c>
      <c r="T881" s="54" t="n">
        <f aca="true">RAND()</f>
        <v>0.420896536147183</v>
      </c>
      <c r="U881" s="54" t="n">
        <f aca="true">RAND()</f>
        <v>0.117636687999332</v>
      </c>
    </row>
    <row r="882" customFormat="false" ht="15" hidden="false" customHeight="false" outlineLevel="0" collapsed="false">
      <c r="A882" s="50" t="n">
        <v>802</v>
      </c>
      <c r="B882" s="51" t="n">
        <f aca="false">1+IF($G$6=$E$6,$F$6,IF(P882&lt;($F$6-$E$6)/($G$6-$E$6),$E$6+SQRT(P882*($G$6-$E$6)*($F$6-$E$6)),$G$6-SQRT((1-P882)*($G$6-$E$6)*($G$6-$F$6))))</f>
        <v>0.970009106965527</v>
      </c>
      <c r="C882" s="51" t="n">
        <f aca="false">1+IF($G$7=$E$7,$F$7,IF(Q882&lt;($F$7-$E$7)/($G$7-$E$7),$E$7+SQRT(Q882*($G$7-$E$7)*($F$7-$E$7)),$G$7-SQRT((1-Q882)*($G$7-$E$7)*($G$7-$F$7))))</f>
        <v>0.932754415255259</v>
      </c>
      <c r="D882" s="51" t="n">
        <f aca="false">1+IF($G$8=$E$8,$F$8,IF(R882&lt;($F$8-$E$8)/($G$8-$E$8),$E$8+SQRT(R882*($G$8-$E$8)*($F$8-$E$8)),$G$8-SQRT((1-R882)*($G$8-$E$8)*($G$8-$F$8))))</f>
        <v>0.995570588319141</v>
      </c>
      <c r="E882" s="51" t="n">
        <f aca="false">1+IF($G$9=$E$9,$F$9,IF(S882&lt;($F$9-$E$9)/($G$9-$E$9),$E$9+SQRT(S882*($G$9-$E$9)*($F$9-$E$9)),$G$9-SQRT((1-S882)*($G$9-$E$9)*($G$9-$F$9))))</f>
        <v>1.08420999603322</v>
      </c>
      <c r="F882" s="51" t="n">
        <f aca="false">1+IF($G$10=$E$10,$F$10,IF(T882&lt;($F$10-$E$10)/($G$10-$E$10),$E$10+SQRT(T882*($G$10-$E$10)*($F$10-$E$10)),$G$10-SQRT((1-T882)*($G$10-$E$10)*($G$10-$F$10))))</f>
        <v>0.984966777582948</v>
      </c>
      <c r="G882" s="52" t="n">
        <f aca="false">IF($G$11=$E$11,$F$11,IF(U882&lt;($F$11-$E$11)/($G$11-$E$11),$E$11+SQRT(U882*($G$11-$E$11)*($F$11-$E$11)),$G$11-SQRT((1-U882)*($G$11-$E$11)*($G$11-$F$11))))</f>
        <v>0.0960648850362668</v>
      </c>
      <c r="H882" s="53" t="n">
        <f aca="false">(('Business Case'!B11*$C882*'Business Case'!B12*$B882)-'Business Case'!B11*$C882*'Business Case'!B13*$D882-'Business Case'!B14*$E882)-MAX(0,(('Business Case'!B11*$C882*'Business Case'!B12*$B882)-'Business Case'!B11*$C882*'Business Case'!B13*$D882-'Business Case'!B14*$E882))*'Business Case'!$B$7-'Business Case'!$B$8*('Business Case'!B11*$C882*'Business Case'!B12*$B882)-'Business Case'!B15*$F882</f>
        <v>-1969933555.1659</v>
      </c>
      <c r="I882" s="53" t="n">
        <f aca="false">(('Business Case'!C11*$C882*'Business Case'!C12*$B882)-'Business Case'!C11*$C882*'Business Case'!C13*$D882-'Business Case'!C14*$E882)-MAX(0,(('Business Case'!C11*$C882*'Business Case'!C12*$B882)-'Business Case'!C11*$C882*'Business Case'!C13*$D882-'Business Case'!C14*$E882))*'Business Case'!$B$7-'Business Case'!$B$8*(('Business Case'!C11*$C882*'Business Case'!C12*$B882)-('Business Case'!B11*$C882*'Business Case'!B12*$B882))-'Business Case'!C15*$F882</f>
        <v>-33875572.9257793</v>
      </c>
      <c r="J882" s="53" t="n">
        <f aca="false">(('Business Case'!D11*$C882*'Business Case'!D12*$B882)-'Business Case'!D11*$C882*'Business Case'!D13*$D882-'Business Case'!D14*$E882)-MAX(0,(('Business Case'!D11*$C882*'Business Case'!D12*$B882)-'Business Case'!D11*$C882*'Business Case'!D13*$D882-'Business Case'!D14*$E882))*'Business Case'!$B$7-'Business Case'!$B$8*(('Business Case'!D11*$C882*'Business Case'!D12*$B882)-('Business Case'!C11*$C882*'Business Case'!C12*$B882))-'Business Case'!D15*$F882</f>
        <v>231824002.920997</v>
      </c>
      <c r="K882" s="53" t="n">
        <f aca="false">(('Business Case'!E11*$C882*'Business Case'!E12*$B882)-'Business Case'!E11*$C882*'Business Case'!E13*$D882-'Business Case'!E14*$E882)-MAX(0,(('Business Case'!E11*$C882*'Business Case'!E12*$B882)-'Business Case'!E11*$C882*'Business Case'!E13*$D882-'Business Case'!E14*$E882))*'Business Case'!$B$7-'Business Case'!$B$8*(('Business Case'!E11*$C882*'Business Case'!E12*$B882)-('Business Case'!D11*$C882*'Business Case'!D12*$B882))-'Business Case'!E15*$F882</f>
        <v>546771917.646921</v>
      </c>
      <c r="L882" s="53" t="n">
        <f aca="false">(('Business Case'!F11*$C882*'Business Case'!F12*$B882)-'Business Case'!F11*$C882*'Business Case'!F13*$D882-'Business Case'!F14*$E882)-MAX(0,(('Business Case'!F11*$C882*'Business Case'!F12*$B882)-'Business Case'!F11*$C882*'Business Case'!F13*$D882-'Business Case'!F14*$E882))*'Business Case'!$B$7-'Business Case'!$B$8*(('Business Case'!F11*$C882*'Business Case'!F12*$B882)-('Business Case'!E11*$C882*'Business Case'!E12*$B882))-'Business Case'!F15*$F882</f>
        <v>666607649.314738</v>
      </c>
      <c r="M882" s="53" t="n">
        <f aca="false">(('Business Case'!G11*$C882*'Business Case'!G12*$B882)-'Business Case'!G11*$C882*'Business Case'!G13*$D882-'Business Case'!G14*$E882)-MAX(0,(('Business Case'!G11*$C882*'Business Case'!G12*$B882)-'Business Case'!G11*$C882*'Business Case'!G13*$D882-'Business Case'!G14*$E882))*'Business Case'!$B$7-'Business Case'!$B$8*(('Business Case'!G11*$C882*'Business Case'!G12*$B882)-('Business Case'!F11*$C882*'Business Case'!F12*$B882))-'Business Case'!G15*$F882+'Business Case'!$B$8*('Business Case'!G11*$C882*'Business Case'!G12*$B882)</f>
        <v>838588284.435309</v>
      </c>
      <c r="N882" s="53" t="n">
        <f aca="false">IF(COUNT('Business Case'!B11:G11)=0,"",H882+NPV(G882,I882:M882))</f>
        <v>-400645909.210835</v>
      </c>
      <c r="P882" s="54" t="n">
        <f aca="true">RAND()</f>
        <v>0.260511539530156</v>
      </c>
      <c r="Q882" s="54" t="n">
        <f aca="true">RAND()</f>
        <v>0.251767639568082</v>
      </c>
      <c r="R882" s="54" t="n">
        <f aca="true">RAND()</f>
        <v>0.319489003038862</v>
      </c>
      <c r="S882" s="54" t="n">
        <f aca="true">RAND()</f>
        <v>0.98337838498193</v>
      </c>
      <c r="T882" s="54" t="n">
        <f aca="true">RAND()</f>
        <v>0.0978140427628296</v>
      </c>
      <c r="U882" s="54" t="n">
        <f aca="true">RAND()</f>
        <v>0.122609435010445</v>
      </c>
    </row>
    <row r="883" customFormat="false" ht="15" hidden="false" customHeight="false" outlineLevel="0" collapsed="false">
      <c r="A883" s="50" t="n">
        <v>803</v>
      </c>
      <c r="B883" s="51" t="n">
        <f aca="false">1+IF($G$6=$E$6,$F$6,IF(P883&lt;($F$6-$E$6)/($G$6-$E$6),$E$6+SQRT(P883*($G$6-$E$6)*($F$6-$E$6)),$G$6-SQRT((1-P883)*($G$6-$E$6)*($G$6-$F$6))))</f>
        <v>0.950892537800687</v>
      </c>
      <c r="C883" s="51" t="n">
        <f aca="false">1+IF($G$7=$E$7,$F$7,IF(Q883&lt;($F$7-$E$7)/($G$7-$E$7),$E$7+SQRT(Q883*($G$7-$E$7)*($F$7-$E$7)),$G$7-SQRT((1-Q883)*($G$7-$E$7)*($G$7-$F$7))))</f>
        <v>0.922297676097004</v>
      </c>
      <c r="D883" s="51" t="n">
        <f aca="false">1+IF($G$8=$E$8,$F$8,IF(R883&lt;($F$8-$E$8)/($G$8-$E$8),$E$8+SQRT(R883*($G$8-$E$8)*($F$8-$E$8)),$G$8-SQRT((1-R883)*($G$8-$E$8)*($G$8-$F$8))))</f>
        <v>0.973042451156911</v>
      </c>
      <c r="E883" s="51" t="n">
        <f aca="false">1+IF($G$9=$E$9,$F$9,IF(S883&lt;($F$9-$E$9)/($G$9-$E$9),$E$9+SQRT(S883*($G$9-$E$9)*($F$9-$E$9)),$G$9-SQRT((1-S883)*($G$9-$E$9)*($G$9-$F$9))))</f>
        <v>1.02459478562262</v>
      </c>
      <c r="F883" s="51" t="n">
        <f aca="false">1+IF($G$10=$E$10,$F$10,IF(T883&lt;($F$10-$E$10)/($G$10-$E$10),$E$10+SQRT(T883*($G$10-$E$10)*($F$10-$E$10)),$G$10-SQRT((1-T883)*($G$10-$E$10)*($G$10-$F$10))))</f>
        <v>1.03176246982003</v>
      </c>
      <c r="G883" s="52" t="n">
        <f aca="false">IF($G$11=$E$11,$F$11,IF(U883&lt;($F$11-$E$11)/($G$11-$E$11),$E$11+SQRT(U883*($G$11-$E$11)*($F$11-$E$11)),$G$11-SQRT((1-U883)*($G$11-$E$11)*($G$11-$F$11))))</f>
        <v>0.097312932626336</v>
      </c>
      <c r="H883" s="53" t="n">
        <f aca="false">(('Business Case'!B11*$C883*'Business Case'!B12*$B883)-'Business Case'!B11*$C883*'Business Case'!B13*$D883-'Business Case'!B14*$E883)-MAX(0,(('Business Case'!B11*$C883*'Business Case'!B12*$B883)-'Business Case'!B11*$C883*'Business Case'!B13*$D883-'Business Case'!B14*$E883))*'Business Case'!$B$7-'Business Case'!$B$8*('Business Case'!B11*$C883*'Business Case'!B12*$B883)-'Business Case'!B15*$F883</f>
        <v>-2063524939.64005</v>
      </c>
      <c r="I883" s="53" t="n">
        <f aca="false">(('Business Case'!C11*$C883*'Business Case'!C12*$B883)-'Business Case'!C11*$C883*'Business Case'!C13*$D883-'Business Case'!C14*$E883)-MAX(0,(('Business Case'!C11*$C883*'Business Case'!C12*$B883)-'Business Case'!C11*$C883*'Business Case'!C13*$D883-'Business Case'!C14*$E883))*'Business Case'!$B$7-'Business Case'!$B$8*(('Business Case'!C11*$C883*'Business Case'!C12*$B883)-('Business Case'!B11*$C883*'Business Case'!B12*$B883))-'Business Case'!C15*$F883</f>
        <v>-35421393.5507872</v>
      </c>
      <c r="J883" s="53" t="n">
        <f aca="false">(('Business Case'!D11*$C883*'Business Case'!D12*$B883)-'Business Case'!D11*$C883*'Business Case'!D13*$D883-'Business Case'!D14*$E883)-MAX(0,(('Business Case'!D11*$C883*'Business Case'!D12*$B883)-'Business Case'!D11*$C883*'Business Case'!D13*$D883-'Business Case'!D14*$E883))*'Business Case'!$B$7-'Business Case'!$B$8*(('Business Case'!D11*$C883*'Business Case'!D12*$B883)-('Business Case'!C11*$C883*'Business Case'!C12*$B883))-'Business Case'!D15*$F883</f>
        <v>223494828.286752</v>
      </c>
      <c r="K883" s="53" t="n">
        <f aca="false">(('Business Case'!E11*$C883*'Business Case'!E12*$B883)-'Business Case'!E11*$C883*'Business Case'!E13*$D883-'Business Case'!E14*$E883)-MAX(0,(('Business Case'!E11*$C883*'Business Case'!E12*$B883)-'Business Case'!E11*$C883*'Business Case'!E13*$D883-'Business Case'!E14*$E883))*'Business Case'!$B$7-'Business Case'!$B$8*(('Business Case'!E11*$C883*'Business Case'!E12*$B883)-('Business Case'!D11*$C883*'Business Case'!D12*$B883))-'Business Case'!E15*$F883</f>
        <v>533999173.615292</v>
      </c>
      <c r="L883" s="53" t="n">
        <f aca="false">(('Business Case'!F11*$C883*'Business Case'!F12*$B883)-'Business Case'!F11*$C883*'Business Case'!F13*$D883-'Business Case'!F14*$E883)-MAX(0,(('Business Case'!F11*$C883*'Business Case'!F12*$B883)-'Business Case'!F11*$C883*'Business Case'!F13*$D883-'Business Case'!F14*$E883))*'Business Case'!$B$7-'Business Case'!$B$8*(('Business Case'!F11*$C883*'Business Case'!F12*$B883)-('Business Case'!E11*$C883*'Business Case'!E12*$B883))-'Business Case'!F15*$F883</f>
        <v>650613907.488331</v>
      </c>
      <c r="M883" s="53" t="n">
        <f aca="false">(('Business Case'!G11*$C883*'Business Case'!G12*$B883)-'Business Case'!G11*$C883*'Business Case'!G13*$D883-'Business Case'!G14*$E883)-MAX(0,(('Business Case'!G11*$C883*'Business Case'!G12*$B883)-'Business Case'!G11*$C883*'Business Case'!G13*$D883-'Business Case'!G14*$E883))*'Business Case'!$B$7-'Business Case'!$B$8*(('Business Case'!G11*$C883*'Business Case'!G12*$B883)-('Business Case'!F11*$C883*'Business Case'!F12*$B883))-'Business Case'!G15*$F883+'Business Case'!$B$8*('Business Case'!G11*$C883*'Business Case'!G12*$B883)</f>
        <v>817315203.754553</v>
      </c>
      <c r="N883" s="53" t="n">
        <f aca="false">IF(COUNT('Business Case'!B11:G11)=0,"",H883+NPV(G883,I883:M883))</f>
        <v>-543557474.848037</v>
      </c>
      <c r="P883" s="54" t="n">
        <f aca="true">RAND()</f>
        <v>0.0994113428923838</v>
      </c>
      <c r="Q883" s="54" t="n">
        <f aca="true">RAND()</f>
        <v>0.21366745112468</v>
      </c>
      <c r="R883" s="54" t="n">
        <f aca="true">RAND()</f>
        <v>0.0816853162028677</v>
      </c>
      <c r="S883" s="54" t="n">
        <f aca="true">RAND()</f>
        <v>0.620936909646709</v>
      </c>
      <c r="T883" s="54" t="n">
        <f aca="true">RAND()</f>
        <v>0.433922668778841</v>
      </c>
      <c r="U883" s="54" t="n">
        <f aca="true">RAND()</f>
        <v>0.178263278657766</v>
      </c>
    </row>
    <row r="884" customFormat="false" ht="15" hidden="false" customHeight="false" outlineLevel="0" collapsed="false">
      <c r="A884" s="50" t="n">
        <v>804</v>
      </c>
      <c r="B884" s="51" t="n">
        <f aca="false">1+IF($G$6=$E$6,$F$6,IF(P884&lt;($F$6-$E$6)/($G$6-$E$6),$E$6+SQRT(P884*($G$6-$E$6)*($F$6-$E$6)),$G$6-SQRT((1-P884)*($G$6-$E$6)*($G$6-$F$6))))</f>
        <v>1.00061705937131</v>
      </c>
      <c r="C884" s="51" t="n">
        <f aca="false">1+IF($G$7=$E$7,$F$7,IF(Q884&lt;($F$7-$E$7)/($G$7-$E$7),$E$7+SQRT(Q884*($G$7-$E$7)*($F$7-$E$7)),$G$7-SQRT((1-Q884)*($G$7-$E$7)*($G$7-$F$7))))</f>
        <v>1.14383958151247</v>
      </c>
      <c r="D884" s="51" t="n">
        <f aca="false">1+IF($G$8=$E$8,$F$8,IF(R884&lt;($F$8-$E$8)/($G$8-$E$8),$E$8+SQRT(R884*($G$8-$E$8)*($F$8-$E$8)),$G$8-SQRT((1-R884)*($G$8-$E$8)*($G$8-$F$8))))</f>
        <v>1.0121284249222</v>
      </c>
      <c r="E884" s="51" t="n">
        <f aca="false">1+IF($G$9=$E$9,$F$9,IF(S884&lt;($F$9-$E$9)/($G$9-$E$9),$E$9+SQRT(S884*($G$9-$E$9)*($F$9-$E$9)),$G$9-SQRT((1-S884)*($G$9-$E$9)*($G$9-$F$9))))</f>
        <v>0.992712254405956</v>
      </c>
      <c r="F884" s="51" t="n">
        <f aca="false">1+IF($G$10=$E$10,$F$10,IF(T884&lt;($F$10-$E$10)/($G$10-$E$10),$E$10+SQRT(T884*($G$10-$E$10)*($F$10-$E$10)),$G$10-SQRT((1-T884)*($G$10-$E$10)*($G$10-$F$10))))</f>
        <v>1.04618425607797</v>
      </c>
      <c r="G884" s="52" t="n">
        <f aca="false">IF($G$11=$E$11,$F$11,IF(U884&lt;($F$11-$E$11)/($G$11-$E$11),$E$11+SQRT(U884*($G$11-$E$11)*($F$11-$E$11)),$G$11-SQRT((1-U884)*($G$11-$E$11)*($G$11-$F$11))))</f>
        <v>0.107868737460399</v>
      </c>
      <c r="H884" s="53" t="n">
        <f aca="false">(('Business Case'!B11*$C884*'Business Case'!B12*$B884)-'Business Case'!B11*$C884*'Business Case'!B13*$D884-'Business Case'!B14*$E884)-MAX(0,(('Business Case'!B11*$C884*'Business Case'!B12*$B884)-'Business Case'!B11*$C884*'Business Case'!B13*$D884-'Business Case'!B14*$E884))*'Business Case'!$B$7-'Business Case'!$B$8*('Business Case'!B11*$C884*'Business Case'!B12*$B884)-'Business Case'!B15*$F884</f>
        <v>-2092368512.15594</v>
      </c>
      <c r="I884" s="53" t="n">
        <f aca="false">(('Business Case'!C11*$C884*'Business Case'!C12*$B884)-'Business Case'!C11*$C884*'Business Case'!C13*$D884-'Business Case'!C14*$E884)-MAX(0,(('Business Case'!C11*$C884*'Business Case'!C12*$B884)-'Business Case'!C11*$C884*'Business Case'!C13*$D884-'Business Case'!C14*$E884))*'Business Case'!$B$7-'Business Case'!$B$8*(('Business Case'!C11*$C884*'Business Case'!C12*$B884)-('Business Case'!B11*$C884*'Business Case'!B12*$B884))-'Business Case'!C15*$F884</f>
        <v>39693536.3122019</v>
      </c>
      <c r="J884" s="53" t="n">
        <f aca="false">(('Business Case'!D11*$C884*'Business Case'!D12*$B884)-'Business Case'!D11*$C884*'Business Case'!D13*$D884-'Business Case'!D14*$E884)-MAX(0,(('Business Case'!D11*$C884*'Business Case'!D12*$B884)-'Business Case'!D11*$C884*'Business Case'!D13*$D884-'Business Case'!D14*$E884))*'Business Case'!$B$7-'Business Case'!$B$8*(('Business Case'!D11*$C884*'Business Case'!D12*$B884)-('Business Case'!C11*$C884*'Business Case'!C12*$B884))-'Business Case'!D15*$F884</f>
        <v>384502414.264143</v>
      </c>
      <c r="K884" s="53" t="n">
        <f aca="false">(('Business Case'!E11*$C884*'Business Case'!E12*$B884)-'Business Case'!E11*$C884*'Business Case'!E13*$D884-'Business Case'!E14*$E884)-MAX(0,(('Business Case'!E11*$C884*'Business Case'!E12*$B884)-'Business Case'!E11*$C884*'Business Case'!E13*$D884-'Business Case'!E14*$E884))*'Business Case'!$B$7-'Business Case'!$B$8*(('Business Case'!E11*$C884*'Business Case'!E12*$B884)-('Business Case'!D11*$C884*'Business Case'!D12*$B884))-'Business Case'!E15*$F884</f>
        <v>781620505.019984</v>
      </c>
      <c r="L884" s="53" t="n">
        <f aca="false">(('Business Case'!F11*$C884*'Business Case'!F12*$B884)-'Business Case'!F11*$C884*'Business Case'!F13*$D884-'Business Case'!F14*$E884)-MAX(0,(('Business Case'!F11*$C884*'Business Case'!F12*$B884)-'Business Case'!F11*$C884*'Business Case'!F13*$D884-'Business Case'!F14*$E884))*'Business Case'!$B$7-'Business Case'!$B$8*(('Business Case'!F11*$C884*'Business Case'!F12*$B884)-('Business Case'!E11*$C884*'Business Case'!E12*$B884))-'Business Case'!F15*$F884</f>
        <v>936112286.640908</v>
      </c>
      <c r="M884" s="53" t="n">
        <f aca="false">(('Business Case'!G11*$C884*'Business Case'!G12*$B884)-'Business Case'!G11*$C884*'Business Case'!G13*$D884-'Business Case'!G14*$E884)-MAX(0,(('Business Case'!G11*$C884*'Business Case'!G12*$B884)-'Business Case'!G11*$C884*'Business Case'!G13*$D884-'Business Case'!G14*$E884))*'Business Case'!$B$7-'Business Case'!$B$8*(('Business Case'!G11*$C884*'Business Case'!G12*$B884)-('Business Case'!F11*$C884*'Business Case'!F12*$B884))-'Business Case'!G15*$F884+'Business Case'!$B$8*('Business Case'!G11*$C884*'Business Case'!G12*$B884)</f>
        <v>1153667475.97743</v>
      </c>
      <c r="N884" s="53" t="n">
        <f aca="false">IF(COUNT('Business Case'!B11:G11)=0,"",H884+NPV(G884,I884:M884))</f>
        <v>144213010.243735</v>
      </c>
      <c r="P884" s="54" t="n">
        <f aca="true">RAND()</f>
        <v>0.676871664049322</v>
      </c>
      <c r="Q884" s="54" t="n">
        <f aca="true">RAND()</f>
        <v>0.999277128458258</v>
      </c>
      <c r="R884" s="54" t="n">
        <f aca="true">RAND()</f>
        <v>0.557062432351829</v>
      </c>
      <c r="S884" s="54" t="n">
        <f aca="true">RAND()</f>
        <v>0.243244890191881</v>
      </c>
      <c r="T884" s="54" t="n">
        <f aca="true">RAND()</f>
        <v>0.526814338434246</v>
      </c>
      <c r="U884" s="54" t="n">
        <f aca="true">RAND()</f>
        <v>0.754720781992116</v>
      </c>
    </row>
    <row r="885" customFormat="false" ht="15" hidden="false" customHeight="false" outlineLevel="0" collapsed="false">
      <c r="A885" s="50" t="n">
        <v>805</v>
      </c>
      <c r="B885" s="51" t="n">
        <f aca="false">1+IF($G$6=$E$6,$F$6,IF(P885&lt;($F$6-$E$6)/($G$6-$E$6),$E$6+SQRT(P885*($G$6-$E$6)*($F$6-$E$6)),$G$6-SQRT((1-P885)*($G$6-$E$6)*($G$6-$F$6))))</f>
        <v>0.993087711346526</v>
      </c>
      <c r="C885" s="51" t="n">
        <f aca="false">1+IF($G$7=$E$7,$F$7,IF(Q885&lt;($F$7-$E$7)/($G$7-$E$7),$E$7+SQRT(Q885*($G$7-$E$7)*($F$7-$E$7)),$G$7-SQRT((1-Q885)*($G$7-$E$7)*($G$7-$F$7))))</f>
        <v>1.06274689563856</v>
      </c>
      <c r="D885" s="51" t="n">
        <f aca="false">1+IF($G$8=$E$8,$F$8,IF(R885&lt;($F$8-$E$8)/($G$8-$E$8),$E$8+SQRT(R885*($G$8-$E$8)*($F$8-$E$8)),$G$8-SQRT((1-R885)*($G$8-$E$8)*($G$8-$F$8))))</f>
        <v>1.00130283895042</v>
      </c>
      <c r="E885" s="51" t="n">
        <f aca="false">1+IF($G$9=$E$9,$F$9,IF(S885&lt;($F$9-$E$9)/($G$9-$E$9),$E$9+SQRT(S885*($G$9-$E$9)*($F$9-$E$9)),$G$9-SQRT((1-S885)*($G$9-$E$9)*($G$9-$F$9))))</f>
        <v>0.988184436202475</v>
      </c>
      <c r="F885" s="51" t="n">
        <f aca="false">1+IF($G$10=$E$10,$F$10,IF(T885&lt;($F$10-$E$10)/($G$10-$E$10),$E$10+SQRT(T885*($G$10-$E$10)*($F$10-$E$10)),$G$10-SQRT((1-T885)*($G$10-$E$10)*($G$10-$F$10))))</f>
        <v>0.967906389549303</v>
      </c>
      <c r="G885" s="52" t="n">
        <f aca="false">IF($G$11=$E$11,$F$11,IF(U885&lt;($F$11-$E$11)/($G$11-$E$11),$E$11+SQRT(U885*($G$11-$E$11)*($F$11-$E$11)),$G$11-SQRT((1-U885)*($G$11-$E$11)*($G$11-$F$11))))</f>
        <v>0.109392974880516</v>
      </c>
      <c r="H885" s="53" t="n">
        <f aca="false">(('Business Case'!B11*$C885*'Business Case'!B12*$B885)-'Business Case'!B11*$C885*'Business Case'!B13*$D885-'Business Case'!B14*$E885)-MAX(0,(('Business Case'!B11*$C885*'Business Case'!B12*$B885)-'Business Case'!B11*$C885*'Business Case'!B13*$D885-'Business Case'!B14*$E885))*'Business Case'!$B$7-'Business Case'!$B$8*('Business Case'!B11*$C885*'Business Case'!B12*$B885)-'Business Case'!B15*$F885</f>
        <v>-1935812779.09861</v>
      </c>
      <c r="I885" s="53" t="n">
        <f aca="false">(('Business Case'!C11*$C885*'Business Case'!C12*$B885)-'Business Case'!C11*$C885*'Business Case'!C13*$D885-'Business Case'!C14*$E885)-MAX(0,(('Business Case'!C11*$C885*'Business Case'!C12*$B885)-'Business Case'!C11*$C885*'Business Case'!C13*$D885-'Business Case'!C14*$E885))*'Business Case'!$B$7-'Business Case'!$B$8*(('Business Case'!C11*$C885*'Business Case'!C12*$B885)-('Business Case'!B11*$C885*'Business Case'!B12*$B885))-'Business Case'!C15*$F885</f>
        <v>27676674.8392508</v>
      </c>
      <c r="J885" s="53" t="n">
        <f aca="false">(('Business Case'!D11*$C885*'Business Case'!D12*$B885)-'Business Case'!D11*$C885*'Business Case'!D13*$D885-'Business Case'!D14*$E885)-MAX(0,(('Business Case'!D11*$C885*'Business Case'!D12*$B885)-'Business Case'!D11*$C885*'Business Case'!D13*$D885-'Business Case'!D14*$E885))*'Business Case'!$B$7-'Business Case'!$B$8*(('Business Case'!D11*$C885*'Business Case'!D12*$B885)-('Business Case'!C11*$C885*'Business Case'!C12*$B885))-'Business Case'!D15*$F885</f>
        <v>347375797.201428</v>
      </c>
      <c r="K885" s="53" t="n">
        <f aca="false">(('Business Case'!E11*$C885*'Business Case'!E12*$B885)-'Business Case'!E11*$C885*'Business Case'!E13*$D885-'Business Case'!E14*$E885)-MAX(0,(('Business Case'!E11*$C885*'Business Case'!E12*$B885)-'Business Case'!E11*$C885*'Business Case'!E13*$D885-'Business Case'!E14*$E885))*'Business Case'!$B$7-'Business Case'!$B$8*(('Business Case'!E11*$C885*'Business Case'!E12*$B885)-('Business Case'!D11*$C885*'Business Case'!D12*$B885))-'Business Case'!E15*$F885</f>
        <v>715470239.04107</v>
      </c>
      <c r="L885" s="53" t="n">
        <f aca="false">(('Business Case'!F11*$C885*'Business Case'!F12*$B885)-'Business Case'!F11*$C885*'Business Case'!F13*$D885-'Business Case'!F14*$E885)-MAX(0,(('Business Case'!F11*$C885*'Business Case'!F12*$B885)-'Business Case'!F11*$C885*'Business Case'!F13*$D885-'Business Case'!F14*$E885))*'Business Case'!$B$7-'Business Case'!$B$8*(('Business Case'!F11*$C885*'Business Case'!F12*$B885)-('Business Case'!E11*$C885*'Business Case'!E12*$B885))-'Business Case'!F15*$F885</f>
        <v>858511267.655131</v>
      </c>
      <c r="M885" s="53" t="n">
        <f aca="false">(('Business Case'!G11*$C885*'Business Case'!G12*$B885)-'Business Case'!G11*$C885*'Business Case'!G13*$D885-'Business Case'!G14*$E885)-MAX(0,(('Business Case'!G11*$C885*'Business Case'!G12*$B885)-'Business Case'!G11*$C885*'Business Case'!G13*$D885-'Business Case'!G14*$E885))*'Business Case'!$B$7-'Business Case'!$B$8*(('Business Case'!G11*$C885*'Business Case'!G12*$B885)-('Business Case'!F11*$C885*'Business Case'!F12*$B885))-'Business Case'!G15*$F885+'Business Case'!$B$8*('Business Case'!G11*$C885*'Business Case'!G12*$B885)</f>
        <v>1059121867.36848</v>
      </c>
      <c r="N885" s="53" t="n">
        <f aca="false">IF(COUNT('Business Case'!B11:G11)=0,"",H885+NPV(G885,I885:M885))</f>
        <v>92411781.8833244</v>
      </c>
      <c r="P885" s="54" t="n">
        <f aca="true">RAND()</f>
        <v>0.556438911445121</v>
      </c>
      <c r="Q885" s="54" t="n">
        <f aca="true">RAND()</f>
        <v>0.854988491034111</v>
      </c>
      <c r="R885" s="54" t="n">
        <f aca="true">RAND()</f>
        <v>0.40449585026306</v>
      </c>
      <c r="S885" s="54" t="n">
        <f aca="true">RAND()</f>
        <v>0.194406822413453</v>
      </c>
      <c r="T885" s="54" t="n">
        <f aca="true">RAND()</f>
        <v>0.0256511029353121</v>
      </c>
      <c r="U885" s="54" t="n">
        <f aca="true">RAND()</f>
        <v>0.81248503019107</v>
      </c>
    </row>
    <row r="886" customFormat="false" ht="15" hidden="false" customHeight="false" outlineLevel="0" collapsed="false">
      <c r="A886" s="50" t="n">
        <v>806</v>
      </c>
      <c r="B886" s="51" t="n">
        <f aca="false">1+IF($G$6=$E$6,$F$6,IF(P886&lt;($F$6-$E$6)/($G$6-$E$6),$E$6+SQRT(P886*($G$6-$E$6)*($F$6-$E$6)),$G$6-SQRT((1-P886)*($G$6-$E$6)*($G$6-$F$6))))</f>
        <v>0.973573525125097</v>
      </c>
      <c r="C886" s="51" t="n">
        <f aca="false">1+IF($G$7=$E$7,$F$7,IF(Q886&lt;($F$7-$E$7)/($G$7-$E$7),$E$7+SQRT(Q886*($G$7-$E$7)*($F$7-$E$7)),$G$7-SQRT((1-Q886)*($G$7-$E$7)*($G$7-$F$7))))</f>
        <v>0.93284947884428</v>
      </c>
      <c r="D886" s="51" t="n">
        <f aca="false">1+IF($G$8=$E$8,$F$8,IF(R886&lt;($F$8-$E$8)/($G$8-$E$8),$E$8+SQRT(R886*($G$8-$E$8)*($F$8-$E$8)),$G$8-SQRT((1-R886)*($G$8-$E$8)*($G$8-$F$8))))</f>
        <v>0.999258341267245</v>
      </c>
      <c r="E886" s="51" t="n">
        <f aca="false">1+IF($G$9=$E$9,$F$9,IF(S886&lt;($F$9-$E$9)/($G$9-$E$9),$E$9+SQRT(S886*($G$9-$E$9)*($F$9-$E$9)),$G$9-SQRT((1-S886)*($G$9-$E$9)*($G$9-$F$9))))</f>
        <v>0.966846151690446</v>
      </c>
      <c r="F886" s="51" t="n">
        <f aca="false">1+IF($G$10=$E$10,$F$10,IF(T886&lt;($F$10-$E$10)/($G$10-$E$10),$E$10+SQRT(T886*($G$10-$E$10)*($F$10-$E$10)),$G$10-SQRT((1-T886)*($G$10-$E$10)*($G$10-$F$10))))</f>
        <v>1.13434635478979</v>
      </c>
      <c r="G886" s="52" t="n">
        <f aca="false">IF($G$11=$E$11,$F$11,IF(U886&lt;($F$11-$E$11)/($G$11-$E$11),$E$11+SQRT(U886*($G$11-$E$11)*($F$11-$E$11)),$G$11-SQRT((1-U886)*($G$11-$E$11)*($G$11-$F$11))))</f>
        <v>0.0938324644101754</v>
      </c>
      <c r="H886" s="53" t="n">
        <f aca="false">(('Business Case'!B11*$C886*'Business Case'!B12*$B886)-'Business Case'!B11*$C886*'Business Case'!B13*$D886-'Business Case'!B14*$E886)-MAX(0,(('Business Case'!B11*$C886*'Business Case'!B12*$B886)-'Business Case'!B11*$C886*'Business Case'!B13*$D886-'Business Case'!B14*$E886))*'Business Case'!$B$7-'Business Case'!$B$8*('Business Case'!B11*$C886*'Business Case'!B12*$B886)-'Business Case'!B15*$F886</f>
        <v>-2268692709.57958</v>
      </c>
      <c r="I886" s="53" t="n">
        <f aca="false">(('Business Case'!C11*$C886*'Business Case'!C12*$B886)-'Business Case'!C11*$C886*'Business Case'!C13*$D886-'Business Case'!C14*$E886)-MAX(0,(('Business Case'!C11*$C886*'Business Case'!C12*$B886)-'Business Case'!C11*$C886*'Business Case'!C13*$D886-'Business Case'!C14*$E886))*'Business Case'!$B$7-'Business Case'!$B$8*(('Business Case'!C11*$C886*'Business Case'!C12*$B886)-('Business Case'!B11*$C886*'Business Case'!B12*$B886))-'Business Case'!C15*$F886</f>
        <v>-31312061.6310517</v>
      </c>
      <c r="J886" s="53" t="n">
        <f aca="false">(('Business Case'!D11*$C886*'Business Case'!D12*$B886)-'Business Case'!D11*$C886*'Business Case'!D13*$D886-'Business Case'!D14*$E886)-MAX(0,(('Business Case'!D11*$C886*'Business Case'!D12*$B886)-'Business Case'!D11*$C886*'Business Case'!D13*$D886-'Business Case'!D14*$E886))*'Business Case'!$B$7-'Business Case'!$B$8*(('Business Case'!D11*$C886*'Business Case'!D12*$B886)-('Business Case'!C11*$C886*'Business Case'!C12*$B886))-'Business Case'!D15*$F886</f>
        <v>235376996.265908</v>
      </c>
      <c r="K886" s="53" t="n">
        <f aca="false">(('Business Case'!E11*$C886*'Business Case'!E12*$B886)-'Business Case'!E11*$C886*'Business Case'!E13*$D886-'Business Case'!E14*$E886)-MAX(0,(('Business Case'!E11*$C886*'Business Case'!E12*$B886)-'Business Case'!E11*$C886*'Business Case'!E13*$D886-'Business Case'!E14*$E886))*'Business Case'!$B$7-'Business Case'!$B$8*(('Business Case'!E11*$C886*'Business Case'!E12*$B886)-('Business Case'!D11*$C886*'Business Case'!D12*$B886))-'Business Case'!E15*$F886</f>
        <v>558783371.902358</v>
      </c>
      <c r="L886" s="53" t="n">
        <f aca="false">(('Business Case'!F11*$C886*'Business Case'!F12*$B886)-'Business Case'!F11*$C886*'Business Case'!F13*$D886-'Business Case'!F14*$E886)-MAX(0,(('Business Case'!F11*$C886*'Business Case'!F12*$B886)-'Business Case'!F11*$C886*'Business Case'!F13*$D886-'Business Case'!F14*$E886))*'Business Case'!$B$7-'Business Case'!$B$8*(('Business Case'!F11*$C886*'Business Case'!F12*$B886)-('Business Case'!E11*$C886*'Business Case'!E12*$B886))-'Business Case'!F15*$F886</f>
        <v>679067032.053779</v>
      </c>
      <c r="M886" s="53" t="n">
        <f aca="false">(('Business Case'!G11*$C886*'Business Case'!G12*$B886)-'Business Case'!G11*$C886*'Business Case'!G13*$D886-'Business Case'!G14*$E886)-MAX(0,(('Business Case'!G11*$C886*'Business Case'!G12*$B886)-'Business Case'!G11*$C886*'Business Case'!G13*$D886-'Business Case'!G14*$E886))*'Business Case'!$B$7-'Business Case'!$B$8*(('Business Case'!G11*$C886*'Business Case'!G12*$B886)-('Business Case'!F11*$C886*'Business Case'!F12*$B886))-'Business Case'!G15*$F886+'Business Case'!$B$8*('Business Case'!G11*$C886*'Business Case'!G12*$B886)</f>
        <v>851697223.408833</v>
      </c>
      <c r="N886" s="53" t="n">
        <f aca="false">IF(COUNT('Business Case'!B11:G11)=0,"",H886+NPV(G886,I886:M886))</f>
        <v>-655351976.427925</v>
      </c>
      <c r="P886" s="54" t="n">
        <f aca="true">RAND()</f>
        <v>0.298971103575981</v>
      </c>
      <c r="Q886" s="54" t="n">
        <f aca="true">RAND()</f>
        <v>0.252128343274239</v>
      </c>
      <c r="R886" s="54" t="n">
        <f aca="true">RAND()</f>
        <v>0.373289874523135</v>
      </c>
      <c r="S886" s="54" t="n">
        <f aca="true">RAND()</f>
        <v>0.0378390435703372</v>
      </c>
      <c r="T886" s="54" t="n">
        <f aca="true">RAND()</f>
        <v>0.913791977412243</v>
      </c>
      <c r="U886" s="54" t="n">
        <f aca="true">RAND()</f>
        <v>0.0489592781842043</v>
      </c>
    </row>
    <row r="887" customFormat="false" ht="15" hidden="false" customHeight="false" outlineLevel="0" collapsed="false">
      <c r="A887" s="50" t="n">
        <v>807</v>
      </c>
      <c r="B887" s="51" t="n">
        <f aca="false">1+IF($G$6=$E$6,$F$6,IF(P887&lt;($F$6-$E$6)/($G$6-$E$6),$E$6+SQRT(P887*($G$6-$E$6)*($F$6-$E$6)),$G$6-SQRT((1-P887)*($G$6-$E$6)*($G$6-$F$6))))</f>
        <v>0.939537538195996</v>
      </c>
      <c r="C887" s="51" t="n">
        <f aca="false">1+IF($G$7=$E$7,$F$7,IF(Q887&lt;($F$7-$E$7)/($G$7-$E$7),$E$7+SQRT(Q887*($G$7-$E$7)*($F$7-$E$7)),$G$7-SQRT((1-Q887)*($G$7-$E$7)*($G$7-$F$7))))</f>
        <v>1.11408440328903</v>
      </c>
      <c r="D887" s="51" t="n">
        <f aca="false">1+IF($G$8=$E$8,$F$8,IF(R887&lt;($F$8-$E$8)/($G$8-$E$8),$E$8+SQRT(R887*($G$8-$E$8)*($F$8-$E$8)),$G$8-SQRT((1-R887)*($G$8-$E$8)*($G$8-$F$8))))</f>
        <v>0.993494318906282</v>
      </c>
      <c r="E887" s="51" t="n">
        <f aca="false">1+IF($G$9=$E$9,$F$9,IF(S887&lt;($F$9-$E$9)/($G$9-$E$9),$E$9+SQRT(S887*($G$9-$E$9)*($F$9-$E$9)),$G$9-SQRT((1-S887)*($G$9-$E$9)*($G$9-$F$9))))</f>
        <v>1.06955550193591</v>
      </c>
      <c r="F887" s="51" t="n">
        <f aca="false">1+IF($G$10=$E$10,$F$10,IF(T887&lt;($F$10-$E$10)/($G$10-$E$10),$E$10+SQRT(T887*($G$10-$E$10)*($F$10-$E$10)),$G$10-SQRT((1-T887)*($G$10-$E$10)*($G$10-$F$10))))</f>
        <v>1.04239298823651</v>
      </c>
      <c r="G887" s="52" t="n">
        <f aca="false">IF($G$11=$E$11,$F$11,IF(U887&lt;($F$11-$E$11)/($G$11-$E$11),$E$11+SQRT(U887*($G$11-$E$11)*($F$11-$E$11)),$G$11-SQRT((1-U887)*($G$11-$E$11)*($G$11-$F$11))))</f>
        <v>0.102481987735771</v>
      </c>
      <c r="H887" s="53" t="n">
        <f aca="false">(('Business Case'!B11*$C887*'Business Case'!B12*$B887)-'Business Case'!B11*$C887*'Business Case'!B13*$D887-'Business Case'!B14*$E887)-MAX(0,(('Business Case'!B11*$C887*'Business Case'!B12*$B887)-'Business Case'!B11*$C887*'Business Case'!B13*$D887-'Business Case'!B14*$E887))*'Business Case'!$B$7-'Business Case'!$B$8*('Business Case'!B11*$C887*'Business Case'!B12*$B887)-'Business Case'!B15*$F887</f>
        <v>-2084785976.47303</v>
      </c>
      <c r="I887" s="53" t="n">
        <f aca="false">(('Business Case'!C11*$C887*'Business Case'!C12*$B887)-'Business Case'!C11*$C887*'Business Case'!C13*$D887-'Business Case'!C14*$E887)-MAX(0,(('Business Case'!C11*$C887*'Business Case'!C12*$B887)-'Business Case'!C11*$C887*'Business Case'!C13*$D887-'Business Case'!C14*$E887))*'Business Case'!$B$7-'Business Case'!$B$8*(('Business Case'!C11*$C887*'Business Case'!C12*$B887)-('Business Case'!B11*$C887*'Business Case'!B12*$B887))-'Business Case'!C15*$F887</f>
        <v>-19861607.1059924</v>
      </c>
      <c r="J887" s="53" t="n">
        <f aca="false">(('Business Case'!D11*$C887*'Business Case'!D12*$B887)-'Business Case'!D11*$C887*'Business Case'!D13*$D887-'Business Case'!D14*$E887)-MAX(0,(('Business Case'!D11*$C887*'Business Case'!D12*$B887)-'Business Case'!D11*$C887*'Business Case'!D13*$D887-'Business Case'!D14*$E887))*'Business Case'!$B$7-'Business Case'!$B$8*(('Business Case'!D11*$C887*'Business Case'!D12*$B887)-('Business Case'!C11*$C887*'Business Case'!C12*$B887))-'Business Case'!D15*$F887</f>
        <v>270869055.24379</v>
      </c>
      <c r="K887" s="53" t="n">
        <f aca="false">(('Business Case'!E11*$C887*'Business Case'!E12*$B887)-'Business Case'!E11*$C887*'Business Case'!E13*$D887-'Business Case'!E14*$E887)-MAX(0,(('Business Case'!E11*$C887*'Business Case'!E12*$B887)-'Business Case'!E11*$C887*'Business Case'!E13*$D887-'Business Case'!E14*$E887))*'Business Case'!$B$7-'Business Case'!$B$8*(('Business Case'!E11*$C887*'Business Case'!E12*$B887)-('Business Case'!D11*$C887*'Business Case'!D12*$B887))-'Business Case'!E15*$F887</f>
        <v>613719367.005398</v>
      </c>
      <c r="L887" s="53" t="n">
        <f aca="false">(('Business Case'!F11*$C887*'Business Case'!F12*$B887)-'Business Case'!F11*$C887*'Business Case'!F13*$D887-'Business Case'!F14*$E887)-MAX(0,(('Business Case'!F11*$C887*'Business Case'!F12*$B887)-'Business Case'!F11*$C887*'Business Case'!F13*$D887-'Business Case'!F14*$E887))*'Business Case'!$B$7-'Business Case'!$B$8*(('Business Case'!F11*$C887*'Business Case'!F12*$B887)-('Business Case'!E11*$C887*'Business Case'!E12*$B887))-'Business Case'!F15*$F887</f>
        <v>746804373.293217</v>
      </c>
      <c r="M887" s="53" t="n">
        <f aca="false">(('Business Case'!G11*$C887*'Business Case'!G12*$B887)-'Business Case'!G11*$C887*'Business Case'!G13*$D887-'Business Case'!G14*$E887)-MAX(0,(('Business Case'!G11*$C887*'Business Case'!G12*$B887)-'Business Case'!G11*$C887*'Business Case'!G13*$D887-'Business Case'!G14*$E887))*'Business Case'!$B$7-'Business Case'!$B$8*(('Business Case'!G11*$C887*'Business Case'!G12*$B887)-('Business Case'!F11*$C887*'Business Case'!F12*$B887))-'Business Case'!G15*$F887+'Business Case'!$B$8*('Business Case'!G11*$C887*'Business Case'!G12*$B887)</f>
        <v>945765693.568283</v>
      </c>
      <c r="N887" s="53" t="n">
        <f aca="false">IF(COUNT('Business Case'!B11:G11)=0,"",H887+NPV(G887,I887:M887))</f>
        <v>-335794966.703684</v>
      </c>
      <c r="P887" s="54" t="n">
        <f aca="true">RAND()</f>
        <v>0.0397620207041657</v>
      </c>
      <c r="Q887" s="54" t="n">
        <f aca="true">RAND()</f>
        <v>0.975429903102755</v>
      </c>
      <c r="R887" s="54" t="n">
        <f aca="true">RAND()</f>
        <v>0.291039350326363</v>
      </c>
      <c r="S887" s="54" t="n">
        <f aca="true">RAND()</f>
        <v>0.938208835841727</v>
      </c>
      <c r="T887" s="54" t="n">
        <f aca="true">RAND()</f>
        <v>0.503200596859688</v>
      </c>
      <c r="U887" s="54" t="n">
        <f aca="true">RAND()</f>
        <v>0.488532077183856</v>
      </c>
    </row>
    <row r="888" customFormat="false" ht="15" hidden="false" customHeight="false" outlineLevel="0" collapsed="false">
      <c r="A888" s="50" t="n">
        <v>808</v>
      </c>
      <c r="B888" s="51" t="n">
        <f aca="false">1+IF($G$6=$E$6,$F$6,IF(P888&lt;($F$6-$E$6)/($G$6-$E$6),$E$6+SQRT(P888*($G$6-$E$6)*($F$6-$E$6)),$G$6-SQRT((1-P888)*($G$6-$E$6)*($G$6-$F$6))))</f>
        <v>1.00618204989172</v>
      </c>
      <c r="C888" s="51" t="n">
        <f aca="false">1+IF($G$7=$E$7,$F$7,IF(Q888&lt;($F$7-$E$7)/($G$7-$E$7),$E$7+SQRT(Q888*($G$7-$E$7)*($F$7-$E$7)),$G$7-SQRT((1-Q888)*($G$7-$E$7)*($G$7-$F$7))))</f>
        <v>1.00598056049233</v>
      </c>
      <c r="D888" s="51" t="n">
        <f aca="false">1+IF($G$8=$E$8,$F$8,IF(R888&lt;($F$8-$E$8)/($G$8-$E$8),$E$8+SQRT(R888*($G$8-$E$8)*($F$8-$E$8)),$G$8-SQRT((1-R888)*($G$8-$E$8)*($G$8-$F$8))))</f>
        <v>0.993256680299609</v>
      </c>
      <c r="E888" s="51" t="n">
        <f aca="false">1+IF($G$9=$E$9,$F$9,IF(S888&lt;($F$9-$E$9)/($G$9-$E$9),$E$9+SQRT(S888*($G$9-$E$9)*($F$9-$E$9)),$G$9-SQRT((1-S888)*($G$9-$E$9)*($G$9-$F$9))))</f>
        <v>0.990635308931146</v>
      </c>
      <c r="F888" s="51" t="n">
        <f aca="false">1+IF($G$10=$E$10,$F$10,IF(T888&lt;($F$10-$E$10)/($G$10-$E$10),$E$10+SQRT(T888*($G$10-$E$10)*($F$10-$E$10)),$G$10-SQRT((1-T888)*($G$10-$E$10)*($G$10-$F$10))))</f>
        <v>1.03347691030024</v>
      </c>
      <c r="G888" s="52" t="n">
        <f aca="false">IF($G$11=$E$11,$F$11,IF(U888&lt;($F$11-$E$11)/($G$11-$E$11),$E$11+SQRT(U888*($G$11-$E$11)*($F$11-$E$11)),$G$11-SQRT((1-U888)*($G$11-$E$11)*($G$11-$F$11))))</f>
        <v>0.0930275831274247</v>
      </c>
      <c r="H888" s="53" t="n">
        <f aca="false">(('Business Case'!B11*$C888*'Business Case'!B12*$B888)-'Business Case'!B11*$C888*'Business Case'!B13*$D888-'Business Case'!B14*$E888)-MAX(0,(('Business Case'!B11*$C888*'Business Case'!B12*$B888)-'Business Case'!B11*$C888*'Business Case'!B13*$D888-'Business Case'!B14*$E888))*'Business Case'!$B$7-'Business Case'!$B$8*('Business Case'!B11*$C888*'Business Case'!B12*$B888)-'Business Case'!B15*$F888</f>
        <v>-2066953820.60048</v>
      </c>
      <c r="I888" s="53" t="n">
        <f aca="false">(('Business Case'!C11*$C888*'Business Case'!C12*$B888)-'Business Case'!C11*$C888*'Business Case'!C13*$D888-'Business Case'!C14*$E888)-MAX(0,(('Business Case'!C11*$C888*'Business Case'!C12*$B888)-'Business Case'!C11*$C888*'Business Case'!C13*$D888-'Business Case'!C14*$E888))*'Business Case'!$B$7-'Business Case'!$B$8*(('Business Case'!C11*$C888*'Business Case'!C12*$B888)-('Business Case'!B11*$C888*'Business Case'!B12*$B888))-'Business Case'!C15*$F888</f>
        <v>20866994.9554314</v>
      </c>
      <c r="J888" s="53" t="n">
        <f aca="false">(('Business Case'!D11*$C888*'Business Case'!D12*$B888)-'Business Case'!D11*$C888*'Business Case'!D13*$D888-'Business Case'!D14*$E888)-MAX(0,(('Business Case'!D11*$C888*'Business Case'!D12*$B888)-'Business Case'!D11*$C888*'Business Case'!D13*$D888-'Business Case'!D14*$E888))*'Business Case'!$B$7-'Business Case'!$B$8*(('Business Case'!D11*$C888*'Business Case'!D12*$B888)-('Business Case'!C11*$C888*'Business Case'!C12*$B888))-'Business Case'!D15*$F888</f>
        <v>338422448.228079</v>
      </c>
      <c r="K888" s="53" t="n">
        <f aca="false">(('Business Case'!E11*$C888*'Business Case'!E12*$B888)-'Business Case'!E11*$C888*'Business Case'!E13*$D888-'Business Case'!E14*$E888)-MAX(0,(('Business Case'!E11*$C888*'Business Case'!E12*$B888)-'Business Case'!E11*$C888*'Business Case'!E13*$D888-'Business Case'!E14*$E888))*'Business Case'!$B$7-'Business Case'!$B$8*(('Business Case'!E11*$C888*'Business Case'!E12*$B888)-('Business Case'!D11*$C888*'Business Case'!D12*$B888))-'Business Case'!E15*$F888</f>
        <v>707651747.015738</v>
      </c>
      <c r="L888" s="53" t="n">
        <f aca="false">(('Business Case'!F11*$C888*'Business Case'!F12*$B888)-'Business Case'!F11*$C888*'Business Case'!F13*$D888-'Business Case'!F14*$E888)-MAX(0,(('Business Case'!F11*$C888*'Business Case'!F12*$B888)-'Business Case'!F11*$C888*'Business Case'!F13*$D888-'Business Case'!F14*$E888))*'Business Case'!$B$7-'Business Case'!$B$8*(('Business Case'!F11*$C888*'Business Case'!F12*$B888)-('Business Case'!E11*$C888*'Business Case'!E12*$B888))-'Business Case'!F15*$F888</f>
        <v>848485182.344742</v>
      </c>
      <c r="M888" s="53" t="n">
        <f aca="false">(('Business Case'!G11*$C888*'Business Case'!G12*$B888)-'Business Case'!G11*$C888*'Business Case'!G13*$D888-'Business Case'!G14*$E888)-MAX(0,(('Business Case'!G11*$C888*'Business Case'!G12*$B888)-'Business Case'!G11*$C888*'Business Case'!G13*$D888-'Business Case'!G14*$E888))*'Business Case'!$B$7-'Business Case'!$B$8*(('Business Case'!G11*$C888*'Business Case'!G12*$B888)-('Business Case'!F11*$C888*'Business Case'!F12*$B888))-'Business Case'!G15*$F888+'Business Case'!$B$8*('Business Case'!G11*$C888*'Business Case'!G12*$B888)</f>
        <v>1040884078.98775</v>
      </c>
      <c r="N888" s="53" t="n">
        <f aca="false">IF(COUNT('Business Case'!B11:G11)=0,"",H888+NPV(G888,I888:M888))</f>
        <v>38955438.4874182</v>
      </c>
      <c r="P888" s="54" t="n">
        <f aca="true">RAND()</f>
        <v>0.761738802182012</v>
      </c>
      <c r="Q888" s="54" t="n">
        <f aca="true">RAND()</f>
        <v>0.604921924645633</v>
      </c>
      <c r="R888" s="54" t="n">
        <f aca="true">RAND()</f>
        <v>0.287867752391161</v>
      </c>
      <c r="S888" s="54" t="n">
        <f aca="true">RAND()</f>
        <v>0.220163777590622</v>
      </c>
      <c r="T888" s="54" t="n">
        <f aca="true">RAND()</f>
        <v>0.445401211936902</v>
      </c>
      <c r="U888" s="54" t="n">
        <f aca="true">RAND()</f>
        <v>0.0305541986448883</v>
      </c>
    </row>
    <row r="889" customFormat="false" ht="15" hidden="false" customHeight="false" outlineLevel="0" collapsed="false">
      <c r="A889" s="50" t="n">
        <v>809</v>
      </c>
      <c r="B889" s="51" t="n">
        <f aca="false">1+IF($G$6=$E$6,$F$6,IF(P889&lt;($F$6-$E$6)/($G$6-$E$6),$E$6+SQRT(P889*($G$6-$E$6)*($F$6-$E$6)),$G$6-SQRT((1-P889)*($G$6-$E$6)*($G$6-$F$6))))</f>
        <v>1.01467402998007</v>
      </c>
      <c r="C889" s="51" t="n">
        <f aca="false">1+IF($G$7=$E$7,$F$7,IF(Q889&lt;($F$7-$E$7)/($G$7-$E$7),$E$7+SQRT(Q889*($G$7-$E$7)*($F$7-$E$7)),$G$7-SQRT((1-Q889)*($G$7-$E$7)*($G$7-$F$7))))</f>
        <v>1.03395206934924</v>
      </c>
      <c r="D889" s="51" t="n">
        <f aca="false">1+IF($G$8=$E$8,$F$8,IF(R889&lt;($F$8-$E$8)/($G$8-$E$8),$E$8+SQRT(R889*($G$8-$E$8)*($F$8-$E$8)),$G$8-SQRT((1-R889)*($G$8-$E$8)*($G$8-$F$8))))</f>
        <v>1.02885650344305</v>
      </c>
      <c r="E889" s="51" t="n">
        <f aca="false">1+IF($G$9=$E$9,$F$9,IF(S889&lt;($F$9-$E$9)/($G$9-$E$9),$E$9+SQRT(S889*($G$9-$E$9)*($F$9-$E$9)),$G$9-SQRT((1-S889)*($G$9-$E$9)*($G$9-$F$9))))</f>
        <v>1.06237048527507</v>
      </c>
      <c r="F889" s="51" t="n">
        <f aca="false">1+IF($G$10=$E$10,$F$10,IF(T889&lt;($F$10-$E$10)/($G$10-$E$10),$E$10+SQRT(T889*($G$10-$E$10)*($F$10-$E$10)),$G$10-SQRT((1-T889)*($G$10-$E$10)*($G$10-$F$10))))</f>
        <v>1.01886539055758</v>
      </c>
      <c r="G889" s="52" t="n">
        <f aca="false">IF($G$11=$E$11,$F$11,IF(U889&lt;($F$11-$E$11)/($G$11-$E$11),$E$11+SQRT(U889*($G$11-$E$11)*($F$11-$E$11)),$G$11-SQRT((1-U889)*($G$11-$E$11)*($G$11-$F$11))))</f>
        <v>0.111685795422704</v>
      </c>
      <c r="H889" s="53" t="n">
        <f aca="false">(('Business Case'!B11*$C889*'Business Case'!B12*$B889)-'Business Case'!B11*$C889*'Business Case'!B13*$D889-'Business Case'!B14*$E889)-MAX(0,(('Business Case'!B11*$C889*'Business Case'!B12*$B889)-'Business Case'!B11*$C889*'Business Case'!B13*$D889-'Business Case'!B14*$E889))*'Business Case'!$B$7-'Business Case'!$B$8*('Business Case'!B11*$C889*'Business Case'!B12*$B889)-'Business Case'!B15*$F889</f>
        <v>-2037730781.11516</v>
      </c>
      <c r="I889" s="53" t="n">
        <f aca="false">(('Business Case'!C11*$C889*'Business Case'!C12*$B889)-'Business Case'!C11*$C889*'Business Case'!C13*$D889-'Business Case'!C14*$E889)-MAX(0,(('Business Case'!C11*$C889*'Business Case'!C12*$B889)-'Business Case'!C11*$C889*'Business Case'!C13*$D889-'Business Case'!C14*$E889))*'Business Case'!$B$7-'Business Case'!$B$8*(('Business Case'!C11*$C889*'Business Case'!C12*$B889)-('Business Case'!B11*$C889*'Business Case'!B12*$B889))-'Business Case'!C15*$F889</f>
        <v>7391610.7956865</v>
      </c>
      <c r="J889" s="53" t="n">
        <f aca="false">(('Business Case'!D11*$C889*'Business Case'!D12*$B889)-'Business Case'!D11*$C889*'Business Case'!D13*$D889-'Business Case'!D14*$E889)-MAX(0,(('Business Case'!D11*$C889*'Business Case'!D12*$B889)-'Business Case'!D11*$C889*'Business Case'!D13*$D889-'Business Case'!D14*$E889))*'Business Case'!$B$7-'Business Case'!$B$8*(('Business Case'!D11*$C889*'Business Case'!D12*$B889)-('Business Case'!C11*$C889*'Business Case'!C12*$B889))-'Business Case'!D15*$F889</f>
        <v>322125448.039831</v>
      </c>
      <c r="K889" s="53" t="n">
        <f aca="false">(('Business Case'!E11*$C889*'Business Case'!E12*$B889)-'Business Case'!E11*$C889*'Business Case'!E13*$D889-'Business Case'!E14*$E889)-MAX(0,(('Business Case'!E11*$C889*'Business Case'!E12*$B889)-'Business Case'!E11*$C889*'Business Case'!E13*$D889-'Business Case'!E14*$E889))*'Business Case'!$B$7-'Business Case'!$B$8*(('Business Case'!E11*$C889*'Business Case'!E12*$B889)-('Business Case'!D11*$C889*'Business Case'!D12*$B889))-'Business Case'!E15*$F889</f>
        <v>687802554.811855</v>
      </c>
      <c r="L889" s="53" t="n">
        <f aca="false">(('Business Case'!F11*$C889*'Business Case'!F12*$B889)-'Business Case'!F11*$C889*'Business Case'!F13*$D889-'Business Case'!F14*$E889)-MAX(0,(('Business Case'!F11*$C889*'Business Case'!F12*$B889)-'Business Case'!F11*$C889*'Business Case'!F13*$D889-'Business Case'!F14*$E889))*'Business Case'!$B$7-'Business Case'!$B$8*(('Business Case'!F11*$C889*'Business Case'!F12*$B889)-('Business Case'!E11*$C889*'Business Case'!E12*$B889))-'Business Case'!F15*$F889</f>
        <v>828971570.150961</v>
      </c>
      <c r="M889" s="53" t="n">
        <f aca="false">(('Business Case'!G11*$C889*'Business Case'!G12*$B889)-'Business Case'!G11*$C889*'Business Case'!G13*$D889-'Business Case'!G14*$E889)-MAX(0,(('Business Case'!G11*$C889*'Business Case'!G12*$B889)-'Business Case'!G11*$C889*'Business Case'!G13*$D889-'Business Case'!G14*$E889))*'Business Case'!$B$7-'Business Case'!$B$8*(('Business Case'!G11*$C889*'Business Case'!G12*$B889)-('Business Case'!F11*$C889*'Business Case'!F12*$B889))-'Business Case'!G15*$F889+'Business Case'!$B$8*('Business Case'!G11*$C889*'Business Case'!G12*$B889)</f>
        <v>1028389119.56844</v>
      </c>
      <c r="N889" s="53" t="n">
        <f aca="false">IF(COUNT('Business Case'!B11:G11)=0,"",H889+NPV(G889,I889:M889))</f>
        <v>-121349006.552526</v>
      </c>
      <c r="P889" s="54" t="n">
        <f aca="true">RAND()</f>
        <v>0.866374008864546</v>
      </c>
      <c r="Q889" s="54" t="n">
        <f aca="true">RAND()</f>
        <v>0.743483386508136</v>
      </c>
      <c r="R889" s="54" t="n">
        <f aca="true">RAND()</f>
        <v>0.748494496147086</v>
      </c>
      <c r="S889" s="54" t="n">
        <f aca="true">RAND()</f>
        <v>0.905601308104427</v>
      </c>
      <c r="T889" s="54" t="n">
        <f aca="true">RAND()</f>
        <v>0.343805065242824</v>
      </c>
      <c r="U889" s="54" t="n">
        <f aca="true">RAND()</f>
        <v>0.884790003744774</v>
      </c>
    </row>
    <row r="890" customFormat="false" ht="15" hidden="false" customHeight="false" outlineLevel="0" collapsed="false">
      <c r="A890" s="50" t="n">
        <v>810</v>
      </c>
      <c r="B890" s="51" t="n">
        <f aca="false">1+IF($G$6=$E$6,$F$6,IF(P890&lt;($F$6-$E$6)/($G$6-$E$6),$E$6+SQRT(P890*($G$6-$E$6)*($F$6-$E$6)),$G$6-SQRT((1-P890)*($G$6-$E$6)*($G$6-$F$6))))</f>
        <v>1.02183776838119</v>
      </c>
      <c r="C890" s="51" t="n">
        <f aca="false">1+IF($G$7=$E$7,$F$7,IF(Q890&lt;($F$7-$E$7)/($G$7-$E$7),$E$7+SQRT(Q890*($G$7-$E$7)*($F$7-$E$7)),$G$7-SQRT((1-Q890)*($G$7-$E$7)*($G$7-$F$7))))</f>
        <v>1.06447713741746</v>
      </c>
      <c r="D890" s="51" t="n">
        <f aca="false">1+IF($G$8=$E$8,$F$8,IF(R890&lt;($F$8-$E$8)/($G$8-$E$8),$E$8+SQRT(R890*($G$8-$E$8)*($F$8-$E$8)),$G$8-SQRT((1-R890)*($G$8-$E$8)*($G$8-$F$8))))</f>
        <v>0.989661195621342</v>
      </c>
      <c r="E890" s="51" t="n">
        <f aca="false">1+IF($G$9=$E$9,$F$9,IF(S890&lt;($F$9-$E$9)/($G$9-$E$9),$E$9+SQRT(S890*($G$9-$E$9)*($F$9-$E$9)),$G$9-SQRT((1-S890)*($G$9-$E$9)*($G$9-$F$9))))</f>
        <v>1.02726641499419</v>
      </c>
      <c r="F890" s="51" t="n">
        <f aca="false">1+IF($G$10=$E$10,$F$10,IF(T890&lt;($F$10-$E$10)/($G$10-$E$10),$E$10+SQRT(T890*($G$10-$E$10)*($F$10-$E$10)),$G$10-SQRT((1-T890)*($G$10-$E$10)*($G$10-$F$10))))</f>
        <v>1.0514740549844</v>
      </c>
      <c r="G890" s="52" t="n">
        <f aca="false">IF($G$11=$E$11,$F$11,IF(U890&lt;($F$11-$E$11)/($G$11-$E$11),$E$11+SQRT(U890*($G$11-$E$11)*($F$11-$E$11)),$G$11-SQRT((1-U890)*($G$11-$E$11)*($G$11-$F$11))))</f>
        <v>0.10188391983041</v>
      </c>
      <c r="H890" s="53" t="n">
        <f aca="false">(('Business Case'!B11*$C890*'Business Case'!B12*$B890)-'Business Case'!B11*$C890*'Business Case'!B13*$D890-'Business Case'!B14*$E890)-MAX(0,(('Business Case'!B11*$C890*'Business Case'!B12*$B890)-'Business Case'!B11*$C890*'Business Case'!B13*$D890-'Business Case'!B14*$E890))*'Business Case'!$B$7-'Business Case'!$B$8*('Business Case'!B11*$C890*'Business Case'!B12*$B890)-'Business Case'!B15*$F890</f>
        <v>-2102948109.9688</v>
      </c>
      <c r="I890" s="53" t="n">
        <f aca="false">(('Business Case'!C11*$C890*'Business Case'!C12*$B890)-'Business Case'!C11*$C890*'Business Case'!C13*$D890-'Business Case'!C14*$E890)-MAX(0,(('Business Case'!C11*$C890*'Business Case'!C12*$B890)-'Business Case'!C11*$C890*'Business Case'!C13*$D890-'Business Case'!C14*$E890))*'Business Case'!$B$7-'Business Case'!$B$8*(('Business Case'!C11*$C890*'Business Case'!C12*$B890)-('Business Case'!B11*$C890*'Business Case'!B12*$B890))-'Business Case'!C15*$F890</f>
        <v>44017917.8546242</v>
      </c>
      <c r="J890" s="53" t="n">
        <f aca="false">(('Business Case'!D11*$C890*'Business Case'!D12*$B890)-'Business Case'!D11*$C890*'Business Case'!D13*$D890-'Business Case'!D14*$E890)-MAX(0,(('Business Case'!D11*$C890*'Business Case'!D12*$B890)-'Business Case'!D11*$C890*'Business Case'!D13*$D890-'Business Case'!D14*$E890))*'Business Case'!$B$7-'Business Case'!$B$8*(('Business Case'!D11*$C890*'Business Case'!D12*$B890)-('Business Case'!C11*$C890*'Business Case'!C12*$B890))-'Business Case'!D15*$F890</f>
        <v>395648082.763804</v>
      </c>
      <c r="K890" s="53" t="n">
        <f aca="false">(('Business Case'!E11*$C890*'Business Case'!E12*$B890)-'Business Case'!E11*$C890*'Business Case'!E13*$D890-'Business Case'!E14*$E890)-MAX(0,(('Business Case'!E11*$C890*'Business Case'!E12*$B890)-'Business Case'!E11*$C890*'Business Case'!E13*$D890-'Business Case'!E14*$E890))*'Business Case'!$B$7-'Business Case'!$B$8*(('Business Case'!E11*$C890*'Business Case'!E12*$B890)-('Business Case'!D11*$C890*'Business Case'!D12*$B890))-'Business Case'!E15*$F890</f>
        <v>799851950.422203</v>
      </c>
      <c r="L890" s="53" t="n">
        <f aca="false">(('Business Case'!F11*$C890*'Business Case'!F12*$B890)-'Business Case'!F11*$C890*'Business Case'!F13*$D890-'Business Case'!F14*$E890)-MAX(0,(('Business Case'!F11*$C890*'Business Case'!F12*$B890)-'Business Case'!F11*$C890*'Business Case'!F13*$D890-'Business Case'!F14*$E890))*'Business Case'!$B$7-'Business Case'!$B$8*(('Business Case'!F11*$C890*'Business Case'!F12*$B890)-('Business Case'!E11*$C890*'Business Case'!E12*$B890))-'Business Case'!F15*$F890</f>
        <v>954653710.28789</v>
      </c>
      <c r="M890" s="53" t="n">
        <f aca="false">(('Business Case'!G11*$C890*'Business Case'!G12*$B890)-'Business Case'!G11*$C890*'Business Case'!G13*$D890-'Business Case'!G14*$E890)-MAX(0,(('Business Case'!G11*$C890*'Business Case'!G12*$B890)-'Business Case'!G11*$C890*'Business Case'!G13*$D890-'Business Case'!G14*$E890))*'Business Case'!$B$7-'Business Case'!$B$8*(('Business Case'!G11*$C890*'Business Case'!G12*$B890)-('Business Case'!F11*$C890*'Business Case'!F12*$B890))-'Business Case'!G15*$F890+'Business Case'!$B$8*('Business Case'!G11*$C890*'Business Case'!G12*$B890)</f>
        <v>1161408087.21567</v>
      </c>
      <c r="N890" s="53" t="n">
        <f aca="false">IF(COUNT('Business Case'!B11:G11)=0,"",H890+NPV(G890,I890:M890))</f>
        <v>223320857.80895</v>
      </c>
      <c r="P890" s="54" t="n">
        <f aca="true">RAND()</f>
        <v>0.931277779713492</v>
      </c>
      <c r="Q890" s="54" t="n">
        <f aca="true">RAND()</f>
        <v>0.860682666203569</v>
      </c>
      <c r="R890" s="54" t="n">
        <f aca="true">RAND()</f>
        <v>0.242001605863742</v>
      </c>
      <c r="S890" s="54" t="n">
        <f aca="true">RAND()</f>
        <v>0.647321707480207</v>
      </c>
      <c r="T890" s="54" t="n">
        <f aca="true">RAND()</f>
        <v>0.558800873144472</v>
      </c>
      <c r="U890" s="54" t="n">
        <f aca="true">RAND()</f>
        <v>0.453012732148317</v>
      </c>
    </row>
    <row r="891" customFormat="false" ht="15" hidden="false" customHeight="false" outlineLevel="0" collapsed="false">
      <c r="A891" s="50" t="n">
        <v>811</v>
      </c>
      <c r="B891" s="51" t="n">
        <f aca="false">1+IF($G$6=$E$6,$F$6,IF(P891&lt;($F$6-$E$6)/($G$6-$E$6),$E$6+SQRT(P891*($G$6-$E$6)*($F$6-$E$6)),$G$6-SQRT((1-P891)*($G$6-$E$6)*($G$6-$F$6))))</f>
        <v>1.00454204362218</v>
      </c>
      <c r="C891" s="51" t="n">
        <f aca="false">1+IF($G$7=$E$7,$F$7,IF(Q891&lt;($F$7-$E$7)/($G$7-$E$7),$E$7+SQRT(Q891*($G$7-$E$7)*($F$7-$E$7)),$G$7-SQRT((1-Q891)*($G$7-$E$7)*($G$7-$F$7))))</f>
        <v>1.09812411508201</v>
      </c>
      <c r="D891" s="51" t="n">
        <f aca="false">1+IF($G$8=$E$8,$F$8,IF(R891&lt;($F$8-$E$8)/($G$8-$E$8),$E$8+SQRT(R891*($G$8-$E$8)*($F$8-$E$8)),$G$8-SQRT((1-R891)*($G$8-$E$8)*($G$8-$F$8))))</f>
        <v>0.995763553435999</v>
      </c>
      <c r="E891" s="51" t="n">
        <f aca="false">1+IF($G$9=$E$9,$F$9,IF(S891&lt;($F$9-$E$9)/($G$9-$E$9),$E$9+SQRT(S891*($G$9-$E$9)*($F$9-$E$9)),$G$9-SQRT((1-S891)*($G$9-$E$9)*($G$9-$F$9))))</f>
        <v>0.974511340322188</v>
      </c>
      <c r="F891" s="51" t="n">
        <f aca="false">1+IF($G$10=$E$10,$F$10,IF(T891&lt;($F$10-$E$10)/($G$10-$E$10),$E$10+SQRT(T891*($G$10-$E$10)*($F$10-$E$10)),$G$10-SQRT((1-T891)*($G$10-$E$10)*($G$10-$F$10))))</f>
        <v>1.00678176023677</v>
      </c>
      <c r="G891" s="52" t="n">
        <f aca="false">IF($G$11=$E$11,$F$11,IF(U891&lt;($F$11-$E$11)/($G$11-$E$11),$E$11+SQRT(U891*($G$11-$E$11)*($F$11-$E$11)),$G$11-SQRT((1-U891)*($G$11-$E$11)*($G$11-$F$11))))</f>
        <v>0.0996915681337557</v>
      </c>
      <c r="H891" s="53" t="n">
        <f aca="false">(('Business Case'!B11*$C891*'Business Case'!B12*$B891)-'Business Case'!B11*$C891*'Business Case'!B13*$D891-'Business Case'!B14*$E891)-MAX(0,(('Business Case'!B11*$C891*'Business Case'!B12*$B891)-'Business Case'!B11*$C891*'Business Case'!B13*$D891-'Business Case'!B14*$E891))*'Business Case'!$B$7-'Business Case'!$B$8*('Business Case'!B11*$C891*'Business Case'!B12*$B891)-'Business Case'!B15*$F891</f>
        <v>-2013563520.47354</v>
      </c>
      <c r="I891" s="53" t="n">
        <f aca="false">(('Business Case'!C11*$C891*'Business Case'!C12*$B891)-'Business Case'!C11*$C891*'Business Case'!C13*$D891-'Business Case'!C14*$E891)-MAX(0,(('Business Case'!C11*$C891*'Business Case'!C12*$B891)-'Business Case'!C11*$C891*'Business Case'!C13*$D891-'Business Case'!C14*$E891))*'Business Case'!$B$7-'Business Case'!$B$8*(('Business Case'!C11*$C891*'Business Case'!C12*$B891)-('Business Case'!B11*$C891*'Business Case'!B12*$B891))-'Business Case'!C15*$F891</f>
        <v>47318845.3250305</v>
      </c>
      <c r="J891" s="53" t="n">
        <f aca="false">(('Business Case'!D11*$C891*'Business Case'!D12*$B891)-'Business Case'!D11*$C891*'Business Case'!D13*$D891-'Business Case'!D14*$E891)-MAX(0,(('Business Case'!D11*$C891*'Business Case'!D12*$B891)-'Business Case'!D11*$C891*'Business Case'!D13*$D891-'Business Case'!D14*$E891))*'Business Case'!$B$7-'Business Case'!$B$8*(('Business Case'!D11*$C891*'Business Case'!D12*$B891)-('Business Case'!C11*$C891*'Business Case'!C12*$B891))-'Business Case'!D15*$F891</f>
        <v>391076697.193913</v>
      </c>
      <c r="K891" s="53" t="n">
        <f aca="false">(('Business Case'!E11*$C891*'Business Case'!E12*$B891)-'Business Case'!E11*$C891*'Business Case'!E13*$D891-'Business Case'!E14*$E891)-MAX(0,(('Business Case'!E11*$C891*'Business Case'!E12*$B891)-'Business Case'!E11*$C891*'Business Case'!E13*$D891-'Business Case'!E14*$E891))*'Business Case'!$B$7-'Business Case'!$B$8*(('Business Case'!E11*$C891*'Business Case'!E12*$B891)-('Business Case'!D11*$C891*'Business Case'!D12*$B891))-'Business Case'!E15*$F891</f>
        <v>785173637.074634</v>
      </c>
      <c r="L891" s="53" t="n">
        <f aca="false">(('Business Case'!F11*$C891*'Business Case'!F12*$B891)-'Business Case'!F11*$C891*'Business Case'!F13*$D891-'Business Case'!F14*$E891)-MAX(0,(('Business Case'!F11*$C891*'Business Case'!F12*$B891)-'Business Case'!F11*$C891*'Business Case'!F13*$D891-'Business Case'!F14*$E891))*'Business Case'!$B$7-'Business Case'!$B$8*(('Business Case'!F11*$C891*'Business Case'!F12*$B891)-('Business Case'!E11*$C891*'Business Case'!E12*$B891))-'Business Case'!F15*$F891</f>
        <v>937883132.981835</v>
      </c>
      <c r="M891" s="53" t="n">
        <f aca="false">(('Business Case'!G11*$C891*'Business Case'!G12*$B891)-'Business Case'!G11*$C891*'Business Case'!G13*$D891-'Business Case'!G14*$E891)-MAX(0,(('Business Case'!G11*$C891*'Business Case'!G12*$B891)-'Business Case'!G11*$C891*'Business Case'!G13*$D891-'Business Case'!G14*$E891))*'Business Case'!$B$7-'Business Case'!$B$8*(('Business Case'!G11*$C891*'Business Case'!G12*$B891)-('Business Case'!F11*$C891*'Business Case'!F12*$B891))-'Business Case'!G15*$F891+'Business Case'!$B$8*('Business Case'!G11*$C891*'Business Case'!G12*$B891)</f>
        <v>1147562632.04516</v>
      </c>
      <c r="N891" s="53" t="n">
        <f aca="false">IF(COUNT('Business Case'!B11:G11)=0,"",H891+NPV(G891,I891:M891))</f>
        <v>298111635.935065</v>
      </c>
      <c r="P891" s="54" t="n">
        <f aca="true">RAND()</f>
        <v>0.738069443647647</v>
      </c>
      <c r="Q891" s="54" t="n">
        <f aca="true">RAND()</f>
        <v>0.948740810742399</v>
      </c>
      <c r="R891" s="54" t="n">
        <f aca="true">RAND()</f>
        <v>0.32220043432146</v>
      </c>
      <c r="S891" s="54" t="n">
        <f aca="true">RAND()</f>
        <v>0.0801074405853484</v>
      </c>
      <c r="T891" s="54" t="n">
        <f aca="true">RAND()</f>
        <v>0.253334236455964</v>
      </c>
      <c r="U891" s="54" t="n">
        <f aca="true">RAND()</f>
        <v>0.313088309637429</v>
      </c>
    </row>
    <row r="892" customFormat="false" ht="15" hidden="false" customHeight="false" outlineLevel="0" collapsed="false">
      <c r="A892" s="50" t="n">
        <v>812</v>
      </c>
      <c r="B892" s="51" t="n">
        <f aca="false">1+IF($G$6=$E$6,$F$6,IF(P892&lt;($F$6-$E$6)/($G$6-$E$6),$E$6+SQRT(P892*($G$6-$E$6)*($F$6-$E$6)),$G$6-SQRT((1-P892)*($G$6-$E$6)*($G$6-$F$6))))</f>
        <v>0.977300424512605</v>
      </c>
      <c r="C892" s="51" t="n">
        <f aca="false">1+IF($G$7=$E$7,$F$7,IF(Q892&lt;($F$7-$E$7)/($G$7-$E$7),$E$7+SQRT(Q892*($G$7-$E$7)*($F$7-$E$7)),$G$7-SQRT((1-Q892)*($G$7-$E$7)*($G$7-$F$7))))</f>
        <v>0.893473555478161</v>
      </c>
      <c r="D892" s="51" t="n">
        <f aca="false">1+IF($G$8=$E$8,$F$8,IF(R892&lt;($F$8-$E$8)/($G$8-$E$8),$E$8+SQRT(R892*($G$8-$E$8)*($F$8-$E$8)),$G$8-SQRT((1-R892)*($G$8-$E$8)*($G$8-$F$8))))</f>
        <v>1.00515324613326</v>
      </c>
      <c r="E892" s="51" t="n">
        <f aca="false">1+IF($G$9=$E$9,$F$9,IF(S892&lt;($F$9-$E$9)/($G$9-$E$9),$E$9+SQRT(S892*($G$9-$E$9)*($F$9-$E$9)),$G$9-SQRT((1-S892)*($G$9-$E$9)*($G$9-$F$9))))</f>
        <v>1.05336474214527</v>
      </c>
      <c r="F892" s="51" t="n">
        <f aca="false">1+IF($G$10=$E$10,$F$10,IF(T892&lt;($F$10-$E$10)/($G$10-$E$10),$E$10+SQRT(T892*($G$10-$E$10)*($F$10-$E$10)),$G$10-SQRT((1-T892)*($G$10-$E$10)*($G$10-$F$10))))</f>
        <v>1.06721056776903</v>
      </c>
      <c r="G892" s="52" t="n">
        <f aca="false">IF($G$11=$E$11,$F$11,IF(U892&lt;($F$11-$E$11)/($G$11-$E$11),$E$11+SQRT(U892*($G$11-$E$11)*($F$11-$E$11)),$G$11-SQRT((1-U892)*($G$11-$E$11)*($G$11-$F$11))))</f>
        <v>0.102046811197807</v>
      </c>
      <c r="H892" s="53" t="n">
        <f aca="false">(('Business Case'!B11*$C892*'Business Case'!B12*$B892)-'Business Case'!B11*$C892*'Business Case'!B13*$D892-'Business Case'!B14*$E892)-MAX(0,(('Business Case'!B11*$C892*'Business Case'!B12*$B892)-'Business Case'!B11*$C892*'Business Case'!B13*$D892-'Business Case'!B14*$E892))*'Business Case'!$B$7-'Business Case'!$B$8*('Business Case'!B11*$C892*'Business Case'!B12*$B892)-'Business Case'!B15*$F892</f>
        <v>-2134421135.53806</v>
      </c>
      <c r="I892" s="53" t="n">
        <f aca="false">(('Business Case'!C11*$C892*'Business Case'!C12*$B892)-'Business Case'!C11*$C892*'Business Case'!C13*$D892-'Business Case'!C14*$E892)-MAX(0,(('Business Case'!C11*$C892*'Business Case'!C12*$B892)-'Business Case'!C11*$C892*'Business Case'!C13*$D892-'Business Case'!C14*$E892))*'Business Case'!$B$7-'Business Case'!$B$8*(('Business Case'!C11*$C892*'Business Case'!C12*$B892)-('Business Case'!B11*$C892*'Business Case'!B12*$B892))-'Business Case'!C15*$F892</f>
        <v>-46312623.5249743</v>
      </c>
      <c r="J892" s="53" t="n">
        <f aca="false">(('Business Case'!D11*$C892*'Business Case'!D12*$B892)-'Business Case'!D11*$C892*'Business Case'!D13*$D892-'Business Case'!D14*$E892)-MAX(0,(('Business Case'!D11*$C892*'Business Case'!D12*$B892)-'Business Case'!D11*$C892*'Business Case'!D13*$D892-'Business Case'!D14*$E892))*'Business Case'!$B$7-'Business Case'!$B$8*(('Business Case'!D11*$C892*'Business Case'!D12*$B892)-('Business Case'!C11*$C892*'Business Case'!C12*$B892))-'Business Case'!D15*$F892</f>
        <v>209150553.7495</v>
      </c>
      <c r="K892" s="53" t="n">
        <f aca="false">(('Business Case'!E11*$C892*'Business Case'!E12*$B892)-'Business Case'!E11*$C892*'Business Case'!E13*$D892-'Business Case'!E14*$E892)-MAX(0,(('Business Case'!E11*$C892*'Business Case'!E12*$B892)-'Business Case'!E11*$C892*'Business Case'!E13*$D892-'Business Case'!E14*$E892))*'Business Case'!$B$7-'Business Case'!$B$8*(('Business Case'!E11*$C892*'Business Case'!E12*$B892)-('Business Case'!D11*$C892*'Business Case'!D12*$B892))-'Business Case'!E15*$F892</f>
        <v>517974259.412427</v>
      </c>
      <c r="L892" s="53" t="n">
        <f aca="false">(('Business Case'!F11*$C892*'Business Case'!F12*$B892)-'Business Case'!F11*$C892*'Business Case'!F13*$D892-'Business Case'!F14*$E892)-MAX(0,(('Business Case'!F11*$C892*'Business Case'!F12*$B892)-'Business Case'!F11*$C892*'Business Case'!F13*$D892-'Business Case'!F14*$E892))*'Business Case'!$B$7-'Business Case'!$B$8*(('Business Case'!F11*$C892*'Business Case'!F12*$B892)-('Business Case'!E11*$C892*'Business Case'!E12*$B892))-'Business Case'!F15*$F892</f>
        <v>633306170.296912</v>
      </c>
      <c r="M892" s="53" t="n">
        <f aca="false">(('Business Case'!G11*$C892*'Business Case'!G12*$B892)-'Business Case'!G11*$C892*'Business Case'!G13*$D892-'Business Case'!G14*$E892)-MAX(0,(('Business Case'!G11*$C892*'Business Case'!G12*$B892)-'Business Case'!G11*$C892*'Business Case'!G13*$D892-'Business Case'!G14*$E892))*'Business Case'!$B$7-'Business Case'!$B$8*(('Business Case'!G11*$C892*'Business Case'!G12*$B892)-('Business Case'!F11*$C892*'Business Case'!F12*$B892))-'Business Case'!G15*$F892+'Business Case'!$B$8*('Business Case'!G11*$C892*'Business Case'!G12*$B892)</f>
        <v>799282521.825039</v>
      </c>
      <c r="N892" s="53" t="n">
        <f aca="false">IF(COUNT('Business Case'!B11:G11)=0,"",H892+NPV(G892,I892:M892))</f>
        <v>-696185753.543931</v>
      </c>
      <c r="P892" s="54" t="n">
        <f aca="true">RAND()</f>
        <v>0.342014442637993</v>
      </c>
      <c r="Q892" s="54" t="n">
        <f aca="true">RAND()</f>
        <v>0.124818651053268</v>
      </c>
      <c r="R892" s="54" t="n">
        <f aca="true">RAND()</f>
        <v>0.461342638039561</v>
      </c>
      <c r="S892" s="54" t="n">
        <f aca="true">RAND()</f>
        <v>0.855010181654829</v>
      </c>
      <c r="T892" s="54" t="n">
        <f aca="true">RAND()</f>
        <v>0.647339333755534</v>
      </c>
      <c r="U892" s="54" t="n">
        <f aca="true">RAND()</f>
        <v>0.462805019721343</v>
      </c>
    </row>
    <row r="893" customFormat="false" ht="15" hidden="false" customHeight="false" outlineLevel="0" collapsed="false">
      <c r="A893" s="50" t="n">
        <v>813</v>
      </c>
      <c r="B893" s="51" t="n">
        <f aca="false">1+IF($G$6=$E$6,$F$6,IF(P893&lt;($F$6-$E$6)/($G$6-$E$6),$E$6+SQRT(P893*($G$6-$E$6)*($F$6-$E$6)),$G$6-SQRT((1-P893)*($G$6-$E$6)*($G$6-$F$6))))</f>
        <v>0.947366703399161</v>
      </c>
      <c r="C893" s="51" t="n">
        <f aca="false">1+IF($G$7=$E$7,$F$7,IF(Q893&lt;($F$7-$E$7)/($G$7-$E$7),$E$7+SQRT(Q893*($G$7-$E$7)*($F$7-$E$7)),$G$7-SQRT((1-Q893)*($G$7-$E$7)*($G$7-$F$7))))</f>
        <v>1.09960333764235</v>
      </c>
      <c r="D893" s="51" t="n">
        <f aca="false">1+IF($G$8=$E$8,$F$8,IF(R893&lt;($F$8-$E$8)/($G$8-$E$8),$E$8+SQRT(R893*($G$8-$E$8)*($F$8-$E$8)),$G$8-SQRT((1-R893)*($G$8-$E$8)*($G$8-$F$8))))</f>
        <v>1.03058928359078</v>
      </c>
      <c r="E893" s="51" t="n">
        <f aca="false">1+IF($G$9=$E$9,$F$9,IF(S893&lt;($F$9-$E$9)/($G$9-$E$9),$E$9+SQRT(S893*($G$9-$E$9)*($F$9-$E$9)),$G$9-SQRT((1-S893)*($G$9-$E$9)*($G$9-$F$9))))</f>
        <v>1.0686544155866</v>
      </c>
      <c r="F893" s="51" t="n">
        <f aca="false">1+IF($G$10=$E$10,$F$10,IF(T893&lt;($F$10-$E$10)/($G$10-$E$10),$E$10+SQRT(T893*($G$10-$E$10)*($F$10-$E$10)),$G$10-SQRT((1-T893)*($G$10-$E$10)*($G$10-$F$10))))</f>
        <v>1.06289423371089</v>
      </c>
      <c r="G893" s="52" t="n">
        <f aca="false">IF($G$11=$E$11,$F$11,IF(U893&lt;($F$11-$E$11)/($G$11-$E$11),$E$11+SQRT(U893*($G$11-$E$11)*($F$11-$E$11)),$G$11-SQRT((1-U893)*($G$11-$E$11)*($G$11-$F$11))))</f>
        <v>0.104005277523883</v>
      </c>
      <c r="H893" s="53" t="n">
        <f aca="false">(('Business Case'!B11*$C893*'Business Case'!B12*$B893)-'Business Case'!B11*$C893*'Business Case'!B13*$D893-'Business Case'!B14*$E893)-MAX(0,(('Business Case'!B11*$C893*'Business Case'!B12*$B893)-'Business Case'!B11*$C893*'Business Case'!B13*$D893-'Business Case'!B14*$E893))*'Business Case'!$B$7-'Business Case'!$B$8*('Business Case'!B11*$C893*'Business Case'!B12*$B893)-'Business Case'!B15*$F893</f>
        <v>-2125788467.42179</v>
      </c>
      <c r="I893" s="53" t="n">
        <f aca="false">(('Business Case'!C11*$C893*'Business Case'!C12*$B893)-'Business Case'!C11*$C893*'Business Case'!C13*$D893-'Business Case'!C14*$E893)-MAX(0,(('Business Case'!C11*$C893*'Business Case'!C12*$B893)-'Business Case'!C11*$C893*'Business Case'!C13*$D893-'Business Case'!C14*$E893))*'Business Case'!$B$7-'Business Case'!$B$8*(('Business Case'!C11*$C893*'Business Case'!C12*$B893)-('Business Case'!B11*$C893*'Business Case'!B12*$B893))-'Business Case'!C15*$F893</f>
        <v>-39133261.507495</v>
      </c>
      <c r="J893" s="53" t="n">
        <f aca="false">(('Business Case'!D11*$C893*'Business Case'!D12*$B893)-'Business Case'!D11*$C893*'Business Case'!D13*$D893-'Business Case'!D14*$E893)-MAX(0,(('Business Case'!D11*$C893*'Business Case'!D12*$B893)-'Business Case'!D11*$C893*'Business Case'!D13*$D893-'Business Case'!D14*$E893))*'Business Case'!$B$7-'Business Case'!$B$8*(('Business Case'!D11*$C893*'Business Case'!D12*$B893)-('Business Case'!C11*$C893*'Business Case'!C12*$B893))-'Business Case'!D15*$F893</f>
        <v>233988716.467775</v>
      </c>
      <c r="K893" s="53" t="n">
        <f aca="false">(('Business Case'!E11*$C893*'Business Case'!E12*$B893)-'Business Case'!E11*$C893*'Business Case'!E13*$D893-'Business Case'!E14*$E893)-MAX(0,(('Business Case'!E11*$C893*'Business Case'!E12*$B893)-'Business Case'!E11*$C893*'Business Case'!E13*$D893-'Business Case'!E14*$E893))*'Business Case'!$B$7-'Business Case'!$B$8*(('Business Case'!E11*$C893*'Business Case'!E12*$B893)-('Business Case'!D11*$C893*'Business Case'!D12*$B893))-'Business Case'!E15*$F893</f>
        <v>560255406.12859</v>
      </c>
      <c r="L893" s="53" t="n">
        <f aca="false">(('Business Case'!F11*$C893*'Business Case'!F12*$B893)-'Business Case'!F11*$C893*'Business Case'!F13*$D893-'Business Case'!F14*$E893)-MAX(0,(('Business Case'!F11*$C893*'Business Case'!F12*$B893)-'Business Case'!F11*$C893*'Business Case'!F13*$D893-'Business Case'!F14*$E893))*'Business Case'!$B$7-'Business Case'!$B$8*(('Business Case'!F11*$C893*'Business Case'!F12*$B893)-('Business Case'!E11*$C893*'Business Case'!E12*$B893))-'Business Case'!F15*$F893</f>
        <v>687298170.93052</v>
      </c>
      <c r="M893" s="53" t="n">
        <f aca="false">(('Business Case'!G11*$C893*'Business Case'!G12*$B893)-'Business Case'!G11*$C893*'Business Case'!G13*$D893-'Business Case'!G14*$E893)-MAX(0,(('Business Case'!G11*$C893*'Business Case'!G12*$B893)-'Business Case'!G11*$C893*'Business Case'!G13*$D893-'Business Case'!G14*$E893))*'Business Case'!$B$7-'Business Case'!$B$8*(('Business Case'!G11*$C893*'Business Case'!G12*$B893)-('Business Case'!F11*$C893*'Business Case'!F12*$B893))-'Business Case'!G15*$F893+'Business Case'!$B$8*('Business Case'!G11*$C893*'Business Case'!G12*$B893)</f>
        <v>885309751.053143</v>
      </c>
      <c r="N893" s="53" t="n">
        <f aca="false">IF(COUNT('Business Case'!B11:G11)=0,"",H893+NPV(G893,I893:M893))</f>
        <v>-550426348.264643</v>
      </c>
      <c r="P893" s="54" t="n">
        <f aca="true">RAND()</f>
        <v>0.078014214056004</v>
      </c>
      <c r="Q893" s="54" t="n">
        <f aca="true">RAND()</f>
        <v>0.951622408061128</v>
      </c>
      <c r="R893" s="54" t="n">
        <f aca="true">RAND()</f>
        <v>0.765248183069933</v>
      </c>
      <c r="S893" s="54" t="n">
        <f aca="true">RAND()</f>
        <v>0.934496955852176</v>
      </c>
      <c r="T893" s="54" t="n">
        <f aca="true">RAND()</f>
        <v>0.624040177005543</v>
      </c>
      <c r="U893" s="54" t="n">
        <f aca="true">RAND()</f>
        <v>0.573614754853354</v>
      </c>
    </row>
    <row r="894" customFormat="false" ht="15" hidden="false" customHeight="false" outlineLevel="0" collapsed="false">
      <c r="A894" s="50" t="n">
        <v>814</v>
      </c>
      <c r="B894" s="51" t="n">
        <f aca="false">1+IF($G$6=$E$6,$F$6,IF(P894&lt;($F$6-$E$6)/($G$6-$E$6),$E$6+SQRT(P894*($G$6-$E$6)*($F$6-$E$6)),$G$6-SQRT((1-P894)*($G$6-$E$6)*($G$6-$F$6))))</f>
        <v>0.963341530730539</v>
      </c>
      <c r="C894" s="51" t="n">
        <f aca="false">1+IF($G$7=$E$7,$F$7,IF(Q894&lt;($F$7-$E$7)/($G$7-$E$7),$E$7+SQRT(Q894*($G$7-$E$7)*($F$7-$E$7)),$G$7-SQRT((1-Q894)*($G$7-$E$7)*($G$7-$F$7))))</f>
        <v>0.902281937073136</v>
      </c>
      <c r="D894" s="51" t="n">
        <f aca="false">1+IF($G$8=$E$8,$F$8,IF(R894&lt;($F$8-$E$8)/($G$8-$E$8),$E$8+SQRT(R894*($G$8-$E$8)*($F$8-$E$8)),$G$8-SQRT((1-R894)*($G$8-$E$8)*($G$8-$F$8))))</f>
        <v>1.01999360763873</v>
      </c>
      <c r="E894" s="51" t="n">
        <f aca="false">1+IF($G$9=$E$9,$F$9,IF(S894&lt;($F$9-$E$9)/($G$9-$E$9),$E$9+SQRT(S894*($G$9-$E$9)*($F$9-$E$9)),$G$9-SQRT((1-S894)*($G$9-$E$9)*($G$9-$F$9))))</f>
        <v>0.988978360619768</v>
      </c>
      <c r="F894" s="51" t="n">
        <f aca="false">1+IF($G$10=$E$10,$F$10,IF(T894&lt;($F$10-$E$10)/($G$10-$E$10),$E$10+SQRT(T894*($G$10-$E$10)*($F$10-$E$10)),$G$10-SQRT((1-T894)*($G$10-$E$10)*($G$10-$F$10))))</f>
        <v>1.02977247045581</v>
      </c>
      <c r="G894" s="52" t="n">
        <f aca="false">IF($G$11=$E$11,$F$11,IF(U894&lt;($F$11-$E$11)/($G$11-$E$11),$E$11+SQRT(U894*($G$11-$E$11)*($F$11-$E$11)),$G$11-SQRT((1-U894)*($G$11-$E$11)*($G$11-$F$11))))</f>
        <v>0.101297783111057</v>
      </c>
      <c r="H894" s="53" t="n">
        <f aca="false">(('Business Case'!B11*$C894*'Business Case'!B12*$B894)-'Business Case'!B11*$C894*'Business Case'!B13*$D894-'Business Case'!B14*$E894)-MAX(0,(('Business Case'!B11*$C894*'Business Case'!B12*$B894)-'Business Case'!B11*$C894*'Business Case'!B13*$D894-'Business Case'!B14*$E894))*'Business Case'!$B$7-'Business Case'!$B$8*('Business Case'!B11*$C894*'Business Case'!B12*$B894)-'Business Case'!B15*$F894</f>
        <v>-2059544940.91163</v>
      </c>
      <c r="I894" s="53" t="n">
        <f aca="false">(('Business Case'!C11*$C894*'Business Case'!C12*$B894)-'Business Case'!C11*$C894*'Business Case'!C13*$D894-'Business Case'!C14*$E894)-MAX(0,(('Business Case'!C11*$C894*'Business Case'!C12*$B894)-'Business Case'!C11*$C894*'Business Case'!C13*$D894-'Business Case'!C14*$E894))*'Business Case'!$B$7-'Business Case'!$B$8*(('Business Case'!C11*$C894*'Business Case'!C12*$B894)-('Business Case'!B11*$C894*'Business Case'!B12*$B894))-'Business Case'!C15*$F894</f>
        <v>-47858711.1469675</v>
      </c>
      <c r="J894" s="53" t="n">
        <f aca="false">(('Business Case'!D11*$C894*'Business Case'!D12*$B894)-'Business Case'!D11*$C894*'Business Case'!D13*$D894-'Business Case'!D14*$E894)-MAX(0,(('Business Case'!D11*$C894*'Business Case'!D12*$B894)-'Business Case'!D11*$C894*'Business Case'!D13*$D894-'Business Case'!D14*$E894))*'Business Case'!$B$7-'Business Case'!$B$8*(('Business Case'!D11*$C894*'Business Case'!D12*$B894)-('Business Case'!C11*$C894*'Business Case'!C12*$B894))-'Business Case'!D15*$F894</f>
        <v>192952169.17114</v>
      </c>
      <c r="K894" s="53" t="n">
        <f aca="false">(('Business Case'!E11*$C894*'Business Case'!E12*$B894)-'Business Case'!E11*$C894*'Business Case'!E13*$D894-'Business Case'!E14*$E894)-MAX(0,(('Business Case'!E11*$C894*'Business Case'!E12*$B894)-'Business Case'!E11*$C894*'Business Case'!E13*$D894-'Business Case'!E14*$E894))*'Business Case'!$B$7-'Business Case'!$B$8*(('Business Case'!E11*$C894*'Business Case'!E12*$B894)-('Business Case'!D11*$C894*'Business Case'!D12*$B894))-'Business Case'!E15*$F894</f>
        <v>485251673.012039</v>
      </c>
      <c r="L894" s="53" t="n">
        <f aca="false">(('Business Case'!F11*$C894*'Business Case'!F12*$B894)-'Business Case'!F11*$C894*'Business Case'!F13*$D894-'Business Case'!F14*$E894)-MAX(0,(('Business Case'!F11*$C894*'Business Case'!F12*$B894)-'Business Case'!F11*$C894*'Business Case'!F13*$D894-'Business Case'!F14*$E894))*'Business Case'!$B$7-'Business Case'!$B$8*(('Business Case'!F11*$C894*'Business Case'!F12*$B894)-('Business Case'!E11*$C894*'Business Case'!E12*$B894))-'Business Case'!F15*$F894</f>
        <v>595561714.144317</v>
      </c>
      <c r="M894" s="53" t="n">
        <f aca="false">(('Business Case'!G11*$C894*'Business Case'!G12*$B894)-'Business Case'!G11*$C894*'Business Case'!G13*$D894-'Business Case'!G14*$E894)-MAX(0,(('Business Case'!G11*$C894*'Business Case'!G12*$B894)-'Business Case'!G11*$C894*'Business Case'!G13*$D894-'Business Case'!G14*$E894))*'Business Case'!$B$7-'Business Case'!$B$8*(('Business Case'!G11*$C894*'Business Case'!G12*$B894)-('Business Case'!F11*$C894*'Business Case'!F12*$B894))-'Business Case'!G15*$F894+'Business Case'!$B$8*('Business Case'!G11*$C894*'Business Case'!G12*$B894)</f>
        <v>760780326.455314</v>
      </c>
      <c r="N894" s="53" t="n">
        <f aca="false">IF(COUNT('Business Case'!B11:G11)=0,"",H894+NPV(G894,I894:M894))</f>
        <v>-706152572.66243</v>
      </c>
      <c r="P894" s="54" t="n">
        <f aca="true">RAND()</f>
        <v>0.195675863131904</v>
      </c>
      <c r="Q894" s="54" t="n">
        <f aca="true">RAND()</f>
        <v>0.149451352163327</v>
      </c>
      <c r="R894" s="54" t="n">
        <f aca="true">RAND()</f>
        <v>0.653772391902444</v>
      </c>
      <c r="S894" s="54" t="n">
        <f aca="true">RAND()</f>
        <v>0.202575012880625</v>
      </c>
      <c r="T894" s="54" t="n">
        <f aca="true">RAND()</f>
        <v>0.420451763705656</v>
      </c>
      <c r="U894" s="54" t="n">
        <f aca="true">RAND()</f>
        <v>0.417045139064916</v>
      </c>
    </row>
    <row r="895" customFormat="false" ht="15" hidden="false" customHeight="false" outlineLevel="0" collapsed="false">
      <c r="A895" s="50" t="n">
        <v>815</v>
      </c>
      <c r="B895" s="51" t="n">
        <f aca="false">1+IF($G$6=$E$6,$F$6,IF(P895&lt;($F$6-$E$6)/($G$6-$E$6),$E$6+SQRT(P895*($G$6-$E$6)*($F$6-$E$6)),$G$6-SQRT((1-P895)*($G$6-$E$6)*($G$6-$F$6))))</f>
        <v>1.02744861279758</v>
      </c>
      <c r="C895" s="51" t="n">
        <f aca="false">1+IF($G$7=$E$7,$F$7,IF(Q895&lt;($F$7-$E$7)/($G$7-$E$7),$E$7+SQRT(Q895*($G$7-$E$7)*($F$7-$E$7)),$G$7-SQRT((1-Q895)*($G$7-$E$7)*($G$7-$F$7))))</f>
        <v>1.05481981918283</v>
      </c>
      <c r="D895" s="51" t="n">
        <f aca="false">1+IF($G$8=$E$8,$F$8,IF(R895&lt;($F$8-$E$8)/($G$8-$E$8),$E$8+SQRT(R895*($G$8-$E$8)*($F$8-$E$8)),$G$8-SQRT((1-R895)*($G$8-$E$8)*($G$8-$F$8))))</f>
        <v>1.02995543027193</v>
      </c>
      <c r="E895" s="51" t="n">
        <f aca="false">1+IF($G$9=$E$9,$F$9,IF(S895&lt;($F$9-$E$9)/($G$9-$E$9),$E$9+SQRT(S895*($G$9-$E$9)*($F$9-$E$9)),$G$9-SQRT((1-S895)*($G$9-$E$9)*($G$9-$F$9))))</f>
        <v>0.978513273717614</v>
      </c>
      <c r="F895" s="51" t="n">
        <f aca="false">1+IF($G$10=$E$10,$F$10,IF(T895&lt;($F$10-$E$10)/($G$10-$E$10),$E$10+SQRT(T895*($G$10-$E$10)*($F$10-$E$10)),$G$10-SQRT((1-T895)*($G$10-$E$10)*($G$10-$F$10))))</f>
        <v>1.1330292099123</v>
      </c>
      <c r="G895" s="52" t="n">
        <f aca="false">IF($G$11=$E$11,$F$11,IF(U895&lt;($F$11-$E$11)/($G$11-$E$11),$E$11+SQRT(U895*($G$11-$E$11)*($F$11-$E$11)),$G$11-SQRT((1-U895)*($G$11-$E$11)*($G$11-$F$11))))</f>
        <v>0.100526961163702</v>
      </c>
      <c r="H895" s="53" t="n">
        <f aca="false">(('Business Case'!B11*$C895*'Business Case'!B12*$B895)-'Business Case'!B11*$C895*'Business Case'!B13*$D895-'Business Case'!B14*$E895)-MAX(0,(('Business Case'!B11*$C895*'Business Case'!B12*$B895)-'Business Case'!B11*$C895*'Business Case'!B13*$D895-'Business Case'!B14*$E895))*'Business Case'!$B$7-'Business Case'!$B$8*('Business Case'!B11*$C895*'Business Case'!B12*$B895)-'Business Case'!B15*$F895</f>
        <v>-2266058419.8246</v>
      </c>
      <c r="I895" s="53" t="n">
        <f aca="false">(('Business Case'!C11*$C895*'Business Case'!C12*$B895)-'Business Case'!C11*$C895*'Business Case'!C13*$D895-'Business Case'!C14*$E895)-MAX(0,(('Business Case'!C11*$C895*'Business Case'!C12*$B895)-'Business Case'!C11*$C895*'Business Case'!C13*$D895-'Business Case'!C14*$E895))*'Business Case'!$B$7-'Business Case'!$B$8*(('Business Case'!C11*$C895*'Business Case'!C12*$B895)-('Business Case'!B11*$C895*'Business Case'!B12*$B895))-'Business Case'!C15*$F895</f>
        <v>22899144.7772852</v>
      </c>
      <c r="J895" s="53" t="n">
        <f aca="false">(('Business Case'!D11*$C895*'Business Case'!D12*$B895)-'Business Case'!D11*$C895*'Business Case'!D13*$D895-'Business Case'!D14*$E895)-MAX(0,(('Business Case'!D11*$C895*'Business Case'!D12*$B895)-'Business Case'!D11*$C895*'Business Case'!D13*$D895-'Business Case'!D14*$E895))*'Business Case'!$B$7-'Business Case'!$B$8*(('Business Case'!D11*$C895*'Business Case'!D12*$B895)-('Business Case'!C11*$C895*'Business Case'!C12*$B895))-'Business Case'!D15*$F895</f>
        <v>354428598.681332</v>
      </c>
      <c r="K895" s="53" t="n">
        <f aca="false">(('Business Case'!E11*$C895*'Business Case'!E12*$B895)-'Business Case'!E11*$C895*'Business Case'!E13*$D895-'Business Case'!E14*$E895)-MAX(0,(('Business Case'!E11*$C895*'Business Case'!E12*$B895)-'Business Case'!E11*$C895*'Business Case'!E13*$D895-'Business Case'!E14*$E895))*'Business Case'!$B$7-'Business Case'!$B$8*(('Business Case'!E11*$C895*'Business Case'!E12*$B895)-('Business Case'!D11*$C895*'Business Case'!D12*$B895))-'Business Case'!E15*$F895</f>
        <v>742609513.080993</v>
      </c>
      <c r="L895" s="53" t="n">
        <f aca="false">(('Business Case'!F11*$C895*'Business Case'!F12*$B895)-'Business Case'!F11*$C895*'Business Case'!F13*$D895-'Business Case'!F14*$E895)-MAX(0,(('Business Case'!F11*$C895*'Business Case'!F12*$B895)-'Business Case'!F11*$C895*'Business Case'!F13*$D895-'Business Case'!F14*$E895))*'Business Case'!$B$7-'Business Case'!$B$8*(('Business Case'!F11*$C895*'Business Case'!F12*$B895)-('Business Case'!E11*$C895*'Business Case'!E12*$B895))-'Business Case'!F15*$F895</f>
        <v>890574531.457599</v>
      </c>
      <c r="M895" s="53" t="n">
        <f aca="false">(('Business Case'!G11*$C895*'Business Case'!G12*$B895)-'Business Case'!G11*$C895*'Business Case'!G13*$D895-'Business Case'!G14*$E895)-MAX(0,(('Business Case'!G11*$C895*'Business Case'!G12*$B895)-'Business Case'!G11*$C895*'Business Case'!G13*$D895-'Business Case'!G14*$E895))*'Business Case'!$B$7-'Business Case'!$B$8*(('Business Case'!G11*$C895*'Business Case'!G12*$B895)-('Business Case'!F11*$C895*'Business Case'!F12*$B895))-'Business Case'!G15*$F895+'Business Case'!$B$8*('Business Case'!G11*$C895*'Business Case'!G12*$B895)</f>
        <v>1096578133.70485</v>
      </c>
      <c r="N895" s="53" t="n">
        <f aca="false">IF(COUNT('Business Case'!B11:G11)=0,"",H895+NPV(G895,I895:M895))</f>
        <v>-109112425.669455</v>
      </c>
      <c r="P895" s="54" t="n">
        <f aca="true">RAND()</f>
        <v>0.967179724853131</v>
      </c>
      <c r="Q895" s="54" t="n">
        <f aca="true">RAND()</f>
        <v>0.827442536754506</v>
      </c>
      <c r="R895" s="54" t="n">
        <f aca="true">RAND()</f>
        <v>0.759186638531928</v>
      </c>
      <c r="S895" s="54" t="n">
        <f aca="true">RAND()</f>
        <v>0.108400903746078</v>
      </c>
      <c r="T895" s="54" t="n">
        <f aca="true">RAND()</f>
        <v>0.910298265500587</v>
      </c>
      <c r="U895" s="54" t="n">
        <f aca="true">RAND()</f>
        <v>0.368001264133406</v>
      </c>
    </row>
    <row r="896" customFormat="false" ht="15" hidden="false" customHeight="false" outlineLevel="0" collapsed="false">
      <c r="A896" s="50" t="n">
        <v>816</v>
      </c>
      <c r="B896" s="51" t="n">
        <f aca="false">1+IF($G$6=$E$6,$F$6,IF(P896&lt;($F$6-$E$6)/($G$6-$E$6),$E$6+SQRT(P896*($G$6-$E$6)*($F$6-$E$6)),$G$6-SQRT((1-P896)*($G$6-$E$6)*($G$6-$F$6))))</f>
        <v>0.988402926388519</v>
      </c>
      <c r="C896" s="51" t="n">
        <f aca="false">1+IF($G$7=$E$7,$F$7,IF(Q896&lt;($F$7-$E$7)/($G$7-$E$7),$E$7+SQRT(Q896*($G$7-$E$7)*($F$7-$E$7)),$G$7-SQRT((1-Q896)*($G$7-$E$7)*($G$7-$F$7))))</f>
        <v>0.943994171745354</v>
      </c>
      <c r="D896" s="51" t="n">
        <f aca="false">1+IF($G$8=$E$8,$F$8,IF(R896&lt;($F$8-$E$8)/($G$8-$E$8),$E$8+SQRT(R896*($G$8-$E$8)*($F$8-$E$8)),$G$8-SQRT((1-R896)*($G$8-$E$8)*($G$8-$F$8))))</f>
        <v>0.970764400941017</v>
      </c>
      <c r="E896" s="51" t="n">
        <f aca="false">1+IF($G$9=$E$9,$F$9,IF(S896&lt;($F$9-$E$9)/($G$9-$E$9),$E$9+SQRT(S896*($G$9-$E$9)*($F$9-$E$9)),$G$9-SQRT((1-S896)*($G$9-$E$9)*($G$9-$F$9))))</f>
        <v>1.05128112942914</v>
      </c>
      <c r="F896" s="51" t="n">
        <f aca="false">1+IF($G$10=$E$10,$F$10,IF(T896&lt;($F$10-$E$10)/($G$10-$E$10),$E$10+SQRT(T896*($G$10-$E$10)*($F$10-$E$10)),$G$10-SQRT((1-T896)*($G$10-$E$10)*($G$10-$F$10))))</f>
        <v>1.1506696037685</v>
      </c>
      <c r="G896" s="52" t="n">
        <f aca="false">IF($G$11=$E$11,$F$11,IF(U896&lt;($F$11-$E$11)/($G$11-$E$11),$E$11+SQRT(U896*($G$11-$E$11)*($F$11-$E$11)),$G$11-SQRT((1-U896)*($G$11-$E$11)*($G$11-$F$11))))</f>
        <v>0.108393202325206</v>
      </c>
      <c r="H896" s="53" t="n">
        <f aca="false">(('Business Case'!B11*$C896*'Business Case'!B12*$B896)-'Business Case'!B11*$C896*'Business Case'!B13*$D896-'Business Case'!B14*$E896)-MAX(0,(('Business Case'!B11*$C896*'Business Case'!B12*$B896)-'Business Case'!B11*$C896*'Business Case'!B13*$D896-'Business Case'!B14*$E896))*'Business Case'!$B$7-'Business Case'!$B$8*('Business Case'!B11*$C896*'Business Case'!B12*$B896)-'Business Case'!B15*$F896</f>
        <v>-2301339207.53701</v>
      </c>
      <c r="I896" s="53" t="n">
        <f aca="false">(('Business Case'!C11*$C896*'Business Case'!C12*$B896)-'Business Case'!C11*$C896*'Business Case'!C13*$D896-'Business Case'!C14*$E896)-MAX(0,(('Business Case'!C11*$C896*'Business Case'!C12*$B896)-'Business Case'!C11*$C896*'Business Case'!C13*$D896-'Business Case'!C14*$E896))*'Business Case'!$B$7-'Business Case'!$B$8*(('Business Case'!C11*$C896*'Business Case'!C12*$B896)-('Business Case'!B11*$C896*'Business Case'!B12*$B896))-'Business Case'!C15*$F896</f>
        <v>-17817334.4312193</v>
      </c>
      <c r="J896" s="53" t="n">
        <f aca="false">(('Business Case'!D11*$C896*'Business Case'!D12*$B896)-'Business Case'!D11*$C896*'Business Case'!D13*$D896-'Business Case'!D14*$E896)-MAX(0,(('Business Case'!D11*$C896*'Business Case'!D12*$B896)-'Business Case'!D11*$C896*'Business Case'!D13*$D896-'Business Case'!D14*$E896))*'Business Case'!$B$7-'Business Case'!$B$8*(('Business Case'!D11*$C896*'Business Case'!D12*$B896)-('Business Case'!C11*$C896*'Business Case'!C12*$B896))-'Business Case'!D15*$F896</f>
        <v>277293603.958975</v>
      </c>
      <c r="K896" s="53" t="n">
        <f aca="false">(('Business Case'!E11*$C896*'Business Case'!E12*$B896)-'Business Case'!E11*$C896*'Business Case'!E13*$D896-'Business Case'!E14*$E896)-MAX(0,(('Business Case'!E11*$C896*'Business Case'!E12*$B896)-'Business Case'!E11*$C896*'Business Case'!E13*$D896-'Business Case'!E14*$E896))*'Business Case'!$B$7-'Business Case'!$B$8*(('Business Case'!E11*$C896*'Business Case'!E12*$B896)-('Business Case'!D11*$C896*'Business Case'!D12*$B896))-'Business Case'!E15*$F896</f>
        <v>629938022.537594</v>
      </c>
      <c r="L896" s="53" t="n">
        <f aca="false">(('Business Case'!F11*$C896*'Business Case'!F12*$B896)-'Business Case'!F11*$C896*'Business Case'!F13*$D896-'Business Case'!F14*$E896)-MAX(0,(('Business Case'!F11*$C896*'Business Case'!F12*$B896)-'Business Case'!F11*$C896*'Business Case'!F13*$D896-'Business Case'!F14*$E896))*'Business Case'!$B$7-'Business Case'!$B$8*(('Business Case'!F11*$C896*'Business Case'!F12*$B896)-('Business Case'!E11*$C896*'Business Case'!E12*$B896))-'Business Case'!F15*$F896</f>
        <v>760554425.894152</v>
      </c>
      <c r="M896" s="53" t="n">
        <f aca="false">(('Business Case'!G11*$C896*'Business Case'!G12*$B896)-'Business Case'!G11*$C896*'Business Case'!G13*$D896-'Business Case'!G14*$E896)-MAX(0,(('Business Case'!G11*$C896*'Business Case'!G12*$B896)-'Business Case'!G11*$C896*'Business Case'!G13*$D896-'Business Case'!G14*$E896))*'Business Case'!$B$7-'Business Case'!$B$8*(('Business Case'!G11*$C896*'Business Case'!G12*$B896)-('Business Case'!F11*$C896*'Business Case'!F12*$B896))-'Business Case'!G15*$F896+'Business Case'!$B$8*('Business Case'!G11*$C896*'Business Case'!G12*$B896)</f>
        <v>937907923.973194</v>
      </c>
      <c r="N896" s="53" t="n">
        <f aca="false">IF(COUNT('Business Case'!B11:G11)=0,"",H896+NPV(G896,I896:M896))</f>
        <v>-564531040.686561</v>
      </c>
      <c r="P896" s="54" t="n">
        <f aca="true">RAND()</f>
        <v>0.487391701928445</v>
      </c>
      <c r="Q896" s="54" t="n">
        <f aca="true">RAND()</f>
        <v>0.296204592809006</v>
      </c>
      <c r="R896" s="54" t="n">
        <f aca="true">RAND()</f>
        <v>0.0663323609906597</v>
      </c>
      <c r="S896" s="54" t="n">
        <f aca="true">RAND()</f>
        <v>0.841764776686682</v>
      </c>
      <c r="T896" s="54" t="n">
        <f aca="true">RAND()</f>
        <v>0.951330240152871</v>
      </c>
      <c r="U896" s="54" t="n">
        <f aca="true">RAND()</f>
        <v>0.775470412893995</v>
      </c>
    </row>
    <row r="897" customFormat="false" ht="15" hidden="false" customHeight="false" outlineLevel="0" collapsed="false">
      <c r="A897" s="50" t="n">
        <v>817</v>
      </c>
      <c r="B897" s="51" t="n">
        <f aca="false">1+IF($G$6=$E$6,$F$6,IF(P897&lt;($F$6-$E$6)/($G$6-$E$6),$E$6+SQRT(P897*($G$6-$E$6)*($F$6-$E$6)),$G$6-SQRT((1-P897)*($G$6-$E$6)*($G$6-$F$6))))</f>
        <v>1.01408803422055</v>
      </c>
      <c r="C897" s="51" t="n">
        <f aca="false">1+IF($G$7=$E$7,$F$7,IF(Q897&lt;($F$7-$E$7)/($G$7-$E$7),$E$7+SQRT(Q897*($G$7-$E$7)*($F$7-$E$7)),$G$7-SQRT((1-Q897)*($G$7-$E$7)*($G$7-$F$7))))</f>
        <v>1.06289615511372</v>
      </c>
      <c r="D897" s="51" t="n">
        <f aca="false">1+IF($G$8=$E$8,$F$8,IF(R897&lt;($F$8-$E$8)/($G$8-$E$8),$E$8+SQRT(R897*($G$8-$E$8)*($F$8-$E$8)),$G$8-SQRT((1-R897)*($G$8-$E$8)*($G$8-$F$8))))</f>
        <v>0.990058820723754</v>
      </c>
      <c r="E897" s="51" t="n">
        <f aca="false">1+IF($G$9=$E$9,$F$9,IF(S897&lt;($F$9-$E$9)/($G$9-$E$9),$E$9+SQRT(S897*($G$9-$E$9)*($F$9-$E$9)),$G$9-SQRT((1-S897)*($G$9-$E$9)*($G$9-$F$9))))</f>
        <v>0.95873753299023</v>
      </c>
      <c r="F897" s="51" t="n">
        <f aca="false">1+IF($G$10=$E$10,$F$10,IF(T897&lt;($F$10-$E$10)/($G$10-$E$10),$E$10+SQRT(T897*($G$10-$E$10)*($F$10-$E$10)),$G$10-SQRT((1-T897)*($G$10-$E$10)*($G$10-$F$10))))</f>
        <v>1.0451618439119</v>
      </c>
      <c r="G897" s="52" t="n">
        <f aca="false">IF($G$11=$E$11,$F$11,IF(U897&lt;($F$11-$E$11)/($G$11-$E$11),$E$11+SQRT(U897*($G$11-$E$11)*($F$11-$E$11)),$G$11-SQRT((1-U897)*($G$11-$E$11)*($G$11-$F$11))))</f>
        <v>0.100945889283274</v>
      </c>
      <c r="H897" s="53" t="n">
        <f aca="false">(('Business Case'!B11*$C897*'Business Case'!B12*$B897)-'Business Case'!B11*$C897*'Business Case'!B13*$D897-'Business Case'!B14*$E897)-MAX(0,(('Business Case'!B11*$C897*'Business Case'!B12*$B897)-'Business Case'!B11*$C897*'Business Case'!B13*$D897-'Business Case'!B14*$E897))*'Business Case'!$B$7-'Business Case'!$B$8*('Business Case'!B11*$C897*'Business Case'!B12*$B897)-'Business Case'!B15*$F897</f>
        <v>-2090323687.8238</v>
      </c>
      <c r="I897" s="53" t="n">
        <f aca="false">(('Business Case'!C11*$C897*'Business Case'!C12*$B897)-'Business Case'!C11*$C897*'Business Case'!C13*$D897-'Business Case'!C14*$E897)-MAX(0,(('Business Case'!C11*$C897*'Business Case'!C12*$B897)-'Business Case'!C11*$C897*'Business Case'!C13*$D897-'Business Case'!C14*$E897))*'Business Case'!$B$7-'Business Case'!$B$8*(('Business Case'!C11*$C897*'Business Case'!C12*$B897)-('Business Case'!B11*$C897*'Business Case'!B12*$B897))-'Business Case'!C15*$F897</f>
        <v>47419276.2122075</v>
      </c>
      <c r="J897" s="53" t="n">
        <f aca="false">(('Business Case'!D11*$C897*'Business Case'!D12*$B897)-'Business Case'!D11*$C897*'Business Case'!D13*$D897-'Business Case'!D14*$E897)-MAX(0,(('Business Case'!D11*$C897*'Business Case'!D12*$B897)-'Business Case'!D11*$C897*'Business Case'!D13*$D897-'Business Case'!D14*$E897))*'Business Case'!$B$7-'Business Case'!$B$8*(('Business Case'!D11*$C897*'Business Case'!D12*$B897)-('Business Case'!C11*$C897*'Business Case'!C12*$B897))-'Business Case'!D15*$F897</f>
        <v>391564008.934244</v>
      </c>
      <c r="K897" s="53" t="n">
        <f aca="false">(('Business Case'!E11*$C897*'Business Case'!E12*$B897)-'Business Case'!E11*$C897*'Business Case'!E13*$D897-'Business Case'!E14*$E897)-MAX(0,(('Business Case'!E11*$C897*'Business Case'!E12*$B897)-'Business Case'!E11*$C897*'Business Case'!E13*$D897-'Business Case'!E14*$E897))*'Business Case'!$B$7-'Business Case'!$B$8*(('Business Case'!E11*$C897*'Business Case'!E12*$B897)-('Business Case'!D11*$C897*'Business Case'!D12*$B897))-'Business Case'!E15*$F897</f>
        <v>787966833.851877</v>
      </c>
      <c r="L897" s="53" t="n">
        <f aca="false">(('Business Case'!F11*$C897*'Business Case'!F12*$B897)-'Business Case'!F11*$C897*'Business Case'!F13*$D897-'Business Case'!F14*$E897)-MAX(0,(('Business Case'!F11*$C897*'Business Case'!F12*$B897)-'Business Case'!F11*$C897*'Business Case'!F13*$D897-'Business Case'!F14*$E897))*'Business Case'!$B$7-'Business Case'!$B$8*(('Business Case'!F11*$C897*'Business Case'!F12*$B897)-('Business Case'!E11*$C897*'Business Case'!E12*$B897))-'Business Case'!F15*$F897</f>
        <v>939932941.377509</v>
      </c>
      <c r="M897" s="53" t="n">
        <f aca="false">(('Business Case'!G11*$C897*'Business Case'!G12*$B897)-'Business Case'!G11*$C897*'Business Case'!G13*$D897-'Business Case'!G14*$E897)-MAX(0,(('Business Case'!G11*$C897*'Business Case'!G12*$B897)-'Business Case'!G11*$C897*'Business Case'!G13*$D897-'Business Case'!G14*$E897))*'Business Case'!$B$7-'Business Case'!$B$8*(('Business Case'!G11*$C897*'Business Case'!G12*$B897)-('Business Case'!F11*$C897*'Business Case'!F12*$B897))-'Business Case'!G15*$F897+'Business Case'!$B$8*('Business Case'!G11*$C897*'Business Case'!G12*$B897)</f>
        <v>1144814522.77808</v>
      </c>
      <c r="N897" s="53" t="n">
        <f aca="false">IF(COUNT('Business Case'!B11:G11)=0,"",H897+NPV(G897,I897:M897))</f>
        <v>213859835.473792</v>
      </c>
      <c r="P897" s="54" t="n">
        <f aca="true">RAND()</f>
        <v>0.860118756134308</v>
      </c>
      <c r="Q897" s="54" t="n">
        <f aca="true">RAND()</f>
        <v>0.855484194400508</v>
      </c>
      <c r="R897" s="54" t="n">
        <f aca="true">RAND()</f>
        <v>0.246878325811979</v>
      </c>
      <c r="S897" s="54" t="n">
        <f aca="true">RAND()</f>
        <v>0.0101792643673802</v>
      </c>
      <c r="T897" s="54" t="n">
        <f aca="true">RAND()</f>
        <v>0.520502908384728</v>
      </c>
      <c r="U897" s="54" t="n">
        <f aca="true">RAND()</f>
        <v>0.394901441324602</v>
      </c>
    </row>
    <row r="898" customFormat="false" ht="15" hidden="false" customHeight="false" outlineLevel="0" collapsed="false">
      <c r="A898" s="50" t="n">
        <v>818</v>
      </c>
      <c r="B898" s="51" t="n">
        <f aca="false">1+IF($G$6=$E$6,$F$6,IF(P898&lt;($F$6-$E$6)/($G$6-$E$6),$E$6+SQRT(P898*($G$6-$E$6)*($F$6-$E$6)),$G$6-SQRT((1-P898)*($G$6-$E$6)*($G$6-$F$6))))</f>
        <v>1.0265436353425</v>
      </c>
      <c r="C898" s="51" t="n">
        <f aca="false">1+IF($G$7=$E$7,$F$7,IF(Q898&lt;($F$7-$E$7)/($G$7-$E$7),$E$7+SQRT(Q898*($G$7-$E$7)*($F$7-$E$7)),$G$7-SQRT((1-Q898)*($G$7-$E$7)*($G$7-$F$7))))</f>
        <v>0.979218866259925</v>
      </c>
      <c r="D898" s="51" t="n">
        <f aca="false">1+IF($G$8=$E$8,$F$8,IF(R898&lt;($F$8-$E$8)/($G$8-$E$8),$E$8+SQRT(R898*($G$8-$E$8)*($F$8-$E$8)),$G$8-SQRT((1-R898)*($G$8-$E$8)*($G$8-$F$8))))</f>
        <v>0.96222736913325</v>
      </c>
      <c r="E898" s="51" t="n">
        <f aca="false">1+IF($G$9=$E$9,$F$9,IF(S898&lt;($F$9-$E$9)/($G$9-$E$9),$E$9+SQRT(S898*($G$9-$E$9)*($F$9-$E$9)),$G$9-SQRT((1-S898)*($G$9-$E$9)*($G$9-$F$9))))</f>
        <v>1.08591551160486</v>
      </c>
      <c r="F898" s="51" t="n">
        <f aca="false">1+IF($G$10=$E$10,$F$10,IF(T898&lt;($F$10-$E$10)/($G$10-$E$10),$E$10+SQRT(T898*($G$10-$E$10)*($F$10-$E$10)),$G$10-SQRT((1-T898)*($G$10-$E$10)*($G$10-$F$10))))</f>
        <v>1.08460067180683</v>
      </c>
      <c r="G898" s="52" t="n">
        <f aca="false">IF($G$11=$E$11,$F$11,IF(U898&lt;($F$11-$E$11)/($G$11-$E$11),$E$11+SQRT(U898*($G$11-$E$11)*($F$11-$E$11)),$G$11-SQRT((1-U898)*($G$11-$E$11)*($G$11-$F$11))))</f>
        <v>0.100574996976685</v>
      </c>
      <c r="H898" s="53" t="n">
        <f aca="false">(('Business Case'!B11*$C898*'Business Case'!B12*$B898)-'Business Case'!B11*$C898*'Business Case'!B13*$D898-'Business Case'!B14*$E898)-MAX(0,(('Business Case'!B11*$C898*'Business Case'!B12*$B898)-'Business Case'!B11*$C898*'Business Case'!B13*$D898-'Business Case'!B14*$E898))*'Business Case'!$B$7-'Business Case'!$B$8*('Business Case'!B11*$C898*'Business Case'!B12*$B898)-'Business Case'!B15*$F898</f>
        <v>-2169201343.61366</v>
      </c>
      <c r="I898" s="53" t="n">
        <f aca="false">(('Business Case'!C11*$C898*'Business Case'!C12*$B898)-'Business Case'!C11*$C898*'Business Case'!C13*$D898-'Business Case'!C14*$E898)-MAX(0,(('Business Case'!C11*$C898*'Business Case'!C12*$B898)-'Business Case'!C11*$C898*'Business Case'!C13*$D898-'Business Case'!C14*$E898))*'Business Case'!$B$7-'Business Case'!$B$8*(('Business Case'!C11*$C898*'Business Case'!C12*$B898)-('Business Case'!B11*$C898*'Business Case'!B12*$B898))-'Business Case'!C15*$F898</f>
        <v>26005719.7127065</v>
      </c>
      <c r="J898" s="53" t="n">
        <f aca="false">(('Business Case'!D11*$C898*'Business Case'!D12*$B898)-'Business Case'!D11*$C898*'Business Case'!D13*$D898-'Business Case'!D14*$E898)-MAX(0,(('Business Case'!D11*$C898*'Business Case'!D12*$B898)-'Business Case'!D11*$C898*'Business Case'!D13*$D898-'Business Case'!D14*$E898))*'Business Case'!$B$7-'Business Case'!$B$8*(('Business Case'!D11*$C898*'Business Case'!D12*$B898)-('Business Case'!C11*$C898*'Business Case'!C12*$B898))-'Business Case'!D15*$F898</f>
        <v>366998825.140998</v>
      </c>
      <c r="K898" s="53" t="n">
        <f aca="false">(('Business Case'!E11*$C898*'Business Case'!E12*$B898)-'Business Case'!E11*$C898*'Business Case'!E13*$D898-'Business Case'!E14*$E898)-MAX(0,(('Business Case'!E11*$C898*'Business Case'!E12*$B898)-'Business Case'!E11*$C898*'Business Case'!E13*$D898-'Business Case'!E14*$E898))*'Business Case'!$B$7-'Business Case'!$B$8*(('Business Case'!E11*$C898*'Business Case'!E12*$B898)-('Business Case'!D11*$C898*'Business Case'!D12*$B898))-'Business Case'!E15*$F898</f>
        <v>762221964.159632</v>
      </c>
      <c r="L898" s="53" t="n">
        <f aca="false">(('Business Case'!F11*$C898*'Business Case'!F12*$B898)-'Business Case'!F11*$C898*'Business Case'!F13*$D898-'Business Case'!F14*$E898)-MAX(0,(('Business Case'!F11*$C898*'Business Case'!F12*$B898)-'Business Case'!F11*$C898*'Business Case'!F13*$D898-'Business Case'!F14*$E898))*'Business Case'!$B$7-'Business Case'!$B$8*(('Business Case'!F11*$C898*'Business Case'!F12*$B898)-('Business Case'!E11*$C898*'Business Case'!E12*$B898))-'Business Case'!F15*$F898</f>
        <v>910626421.158856</v>
      </c>
      <c r="M898" s="53" t="n">
        <f aca="false">(('Business Case'!G11*$C898*'Business Case'!G12*$B898)-'Business Case'!G11*$C898*'Business Case'!G13*$D898-'Business Case'!G14*$E898)-MAX(0,(('Business Case'!G11*$C898*'Business Case'!G12*$B898)-'Business Case'!G11*$C898*'Business Case'!G13*$D898-'Business Case'!G14*$E898))*'Business Case'!$B$7-'Business Case'!$B$8*(('Business Case'!G11*$C898*'Business Case'!G12*$B898)-('Business Case'!F11*$C898*'Business Case'!F12*$B898))-'Business Case'!G15*$F898+'Business Case'!$B$8*('Business Case'!G11*$C898*'Business Case'!G12*$B898)</f>
        <v>1101696908.03606</v>
      </c>
      <c r="N898" s="53" t="n">
        <f aca="false">IF(COUNT('Business Case'!B11:G11)=0,"",H898+NPV(G898,I898:M898))</f>
        <v>32140707.413415</v>
      </c>
      <c r="P898" s="54" t="n">
        <f aca="true">RAND()</f>
        <v>0.962276302125889</v>
      </c>
      <c r="Q898" s="54" t="n">
        <f aca="true">RAND()</f>
        <v>0.458848600335614</v>
      </c>
      <c r="R898" s="54" t="n">
        <f aca="true">RAND()</f>
        <v>0.0230013162955014</v>
      </c>
      <c r="S898" s="54" t="n">
        <f aca="true">RAND()</f>
        <v>0.986775145776475</v>
      </c>
      <c r="T898" s="54" t="n">
        <f aca="true">RAND()</f>
        <v>0.733659901051308</v>
      </c>
      <c r="U898" s="54" t="n">
        <f aca="true">RAND()</f>
        <v>0.371115429240349</v>
      </c>
    </row>
    <row r="899" customFormat="false" ht="15" hidden="false" customHeight="false" outlineLevel="0" collapsed="false">
      <c r="A899" s="50" t="n">
        <v>819</v>
      </c>
      <c r="B899" s="51" t="n">
        <f aca="false">1+IF($G$6=$E$6,$F$6,IF(P899&lt;($F$6-$E$6)/($G$6-$E$6),$E$6+SQRT(P899*($G$6-$E$6)*($F$6-$E$6)),$G$6-SQRT((1-P899)*($G$6-$E$6)*($G$6-$F$6))))</f>
        <v>0.992152212909574</v>
      </c>
      <c r="C899" s="51" t="n">
        <f aca="false">1+IF($G$7=$E$7,$F$7,IF(Q899&lt;($F$7-$E$7)/($G$7-$E$7),$E$7+SQRT(Q899*($G$7-$E$7)*($F$7-$E$7)),$G$7-SQRT((1-Q899)*($G$7-$E$7)*($G$7-$F$7))))</f>
        <v>1.04187270545679</v>
      </c>
      <c r="D899" s="51" t="n">
        <f aca="false">1+IF($G$8=$E$8,$F$8,IF(R899&lt;($F$8-$E$8)/($G$8-$E$8),$E$8+SQRT(R899*($G$8-$E$8)*($F$8-$E$8)),$G$8-SQRT((1-R899)*($G$8-$E$8)*($G$8-$F$8))))</f>
        <v>1.00146335122899</v>
      </c>
      <c r="E899" s="51" t="n">
        <f aca="false">1+IF($G$9=$E$9,$F$9,IF(S899&lt;($F$9-$E$9)/($G$9-$E$9),$E$9+SQRT(S899*($G$9-$E$9)*($F$9-$E$9)),$G$9-SQRT((1-S899)*($G$9-$E$9)*($G$9-$F$9))))</f>
        <v>0.996419121009612</v>
      </c>
      <c r="F899" s="51" t="n">
        <f aca="false">1+IF($G$10=$E$10,$F$10,IF(T899&lt;($F$10-$E$10)/($G$10-$E$10),$E$10+SQRT(T899*($G$10-$E$10)*($F$10-$E$10)),$G$10-SQRT((1-T899)*($G$10-$E$10)*($G$10-$F$10))))</f>
        <v>1.12256046024204</v>
      </c>
      <c r="G899" s="52" t="n">
        <f aca="false">IF($G$11=$E$11,$F$11,IF(U899&lt;($F$11-$E$11)/($G$11-$E$11),$E$11+SQRT(U899*($G$11-$E$11)*($F$11-$E$11)),$G$11-SQRT((1-U899)*($G$11-$E$11)*($G$11-$F$11))))</f>
        <v>0.102310932273657</v>
      </c>
      <c r="H899" s="53" t="n">
        <f aca="false">(('Business Case'!B11*$C899*'Business Case'!B12*$B899)-'Business Case'!B11*$C899*'Business Case'!B13*$D899-'Business Case'!B14*$E899)-MAX(0,(('Business Case'!B11*$C899*'Business Case'!B12*$B899)-'Business Case'!B11*$C899*'Business Case'!B13*$D899-'Business Case'!B14*$E899))*'Business Case'!$B$7-'Business Case'!$B$8*('Business Case'!B11*$C899*'Business Case'!B12*$B899)-'Business Case'!B15*$F899</f>
        <v>-2245120920.48408</v>
      </c>
      <c r="I899" s="53" t="n">
        <f aca="false">(('Business Case'!C11*$C899*'Business Case'!C12*$B899)-'Business Case'!C11*$C899*'Business Case'!C13*$D899-'Business Case'!C14*$E899)-MAX(0,(('Business Case'!C11*$C899*'Business Case'!C12*$B899)-'Business Case'!C11*$C899*'Business Case'!C13*$D899-'Business Case'!C14*$E899))*'Business Case'!$B$7-'Business Case'!$B$8*(('Business Case'!C11*$C899*'Business Case'!C12*$B899)-('Business Case'!B11*$C899*'Business Case'!B12*$B899))-'Business Case'!C15*$F899</f>
        <v>5002080.73608697</v>
      </c>
      <c r="J899" s="53" t="n">
        <f aca="false">(('Business Case'!D11*$C899*'Business Case'!D12*$B899)-'Business Case'!D11*$C899*'Business Case'!D13*$D899-'Business Case'!D14*$E899)-MAX(0,(('Business Case'!D11*$C899*'Business Case'!D12*$B899)-'Business Case'!D11*$C899*'Business Case'!D13*$D899-'Business Case'!D14*$E899))*'Business Case'!$B$7-'Business Case'!$B$8*(('Business Case'!D11*$C899*'Business Case'!D12*$B899)-('Business Case'!C11*$C899*'Business Case'!C12*$B899))-'Business Case'!D15*$F899</f>
        <v>317537823.229329</v>
      </c>
      <c r="K899" s="53" t="n">
        <f aca="false">(('Business Case'!E11*$C899*'Business Case'!E12*$B899)-'Business Case'!E11*$C899*'Business Case'!E13*$D899-'Business Case'!E14*$E899)-MAX(0,(('Business Case'!E11*$C899*'Business Case'!E12*$B899)-'Business Case'!E11*$C899*'Business Case'!E13*$D899-'Business Case'!E14*$E899))*'Business Case'!$B$7-'Business Case'!$B$8*(('Business Case'!E11*$C899*'Business Case'!E12*$B899)-('Business Case'!D11*$C899*'Business Case'!D12*$B899))-'Business Case'!E15*$F899</f>
        <v>686201588.734673</v>
      </c>
      <c r="L899" s="53" t="n">
        <f aca="false">(('Business Case'!F11*$C899*'Business Case'!F12*$B899)-'Business Case'!F11*$C899*'Business Case'!F13*$D899-'Business Case'!F14*$E899)-MAX(0,(('Business Case'!F11*$C899*'Business Case'!F12*$B899)-'Business Case'!F11*$C899*'Business Case'!F13*$D899-'Business Case'!F14*$E899))*'Business Case'!$B$7-'Business Case'!$B$8*(('Business Case'!F11*$C899*'Business Case'!F12*$B899)-('Business Case'!E11*$C899*'Business Case'!E12*$B899))-'Business Case'!F15*$F899</f>
        <v>826104714.049343</v>
      </c>
      <c r="M899" s="53" t="n">
        <f aca="false">(('Business Case'!G11*$C899*'Business Case'!G12*$B899)-'Business Case'!G11*$C899*'Business Case'!G13*$D899-'Business Case'!G14*$E899)-MAX(0,(('Business Case'!G11*$C899*'Business Case'!G12*$B899)-'Business Case'!G11*$C899*'Business Case'!G13*$D899-'Business Case'!G14*$E899))*'Business Case'!$B$7-'Business Case'!$B$8*(('Business Case'!G11*$C899*'Business Case'!G12*$B899)-('Business Case'!F11*$C899*'Business Case'!F12*$B899))-'Business Case'!G15*$F899+'Business Case'!$B$8*('Business Case'!G11*$C899*'Business Case'!G12*$B899)</f>
        <v>1022589708.70908</v>
      </c>
      <c r="N899" s="53" t="n">
        <f aca="false">IF(COUNT('Business Case'!B11:G11)=0,"",H899+NPV(G899,I899:M899))</f>
        <v>-279092770.907567</v>
      </c>
      <c r="P899" s="54" t="n">
        <f aca="true">RAND()</f>
        <v>0.542285607057138</v>
      </c>
      <c r="Q899" s="54" t="n">
        <f aca="true">RAND()</f>
        <v>0.777304536662225</v>
      </c>
      <c r="R899" s="54" t="n">
        <f aca="true">RAND()</f>
        <v>0.406922576905709</v>
      </c>
      <c r="S899" s="54" t="n">
        <f aca="true">RAND()</f>
        <v>0.287297972707336</v>
      </c>
      <c r="T899" s="54" t="n">
        <f aca="true">RAND()</f>
        <v>0.880062353641508</v>
      </c>
      <c r="U899" s="54" t="n">
        <f aca="true">RAND()</f>
        <v>0.478494804954748</v>
      </c>
    </row>
    <row r="900" customFormat="false" ht="15" hidden="false" customHeight="false" outlineLevel="0" collapsed="false">
      <c r="A900" s="50" t="n">
        <v>820</v>
      </c>
      <c r="B900" s="51" t="n">
        <f aca="false">1+IF($G$6=$E$6,$F$6,IF(P900&lt;($F$6-$E$6)/($G$6-$E$6),$E$6+SQRT(P900*($G$6-$E$6)*($F$6-$E$6)),$G$6-SQRT((1-P900)*($G$6-$E$6)*($G$6-$F$6))))</f>
        <v>1.00965446464015</v>
      </c>
      <c r="C900" s="51" t="n">
        <f aca="false">1+IF($G$7=$E$7,$F$7,IF(Q900&lt;($F$7-$E$7)/($G$7-$E$7),$E$7+SQRT(Q900*($G$7-$E$7)*($F$7-$E$7)),$G$7-SQRT((1-Q900)*($G$7-$E$7)*($G$7-$F$7))))</f>
        <v>1.07584668999489</v>
      </c>
      <c r="D900" s="51" t="n">
        <f aca="false">1+IF($G$8=$E$8,$F$8,IF(R900&lt;($F$8-$E$8)/($G$8-$E$8),$E$8+SQRT(R900*($G$8-$E$8)*($F$8-$E$8)),$G$8-SQRT((1-R900)*($G$8-$E$8)*($G$8-$F$8))))</f>
        <v>0.98909288465914</v>
      </c>
      <c r="E900" s="51" t="n">
        <f aca="false">1+IF($G$9=$E$9,$F$9,IF(S900&lt;($F$9-$E$9)/($G$9-$E$9),$E$9+SQRT(S900*($G$9-$E$9)*($F$9-$E$9)),$G$9-SQRT((1-S900)*($G$9-$E$9)*($G$9-$F$9))))</f>
        <v>0.998448807888247</v>
      </c>
      <c r="F900" s="51" t="n">
        <f aca="false">1+IF($G$10=$E$10,$F$10,IF(T900&lt;($F$10-$E$10)/($G$10-$E$10),$E$10+SQRT(T900*($G$10-$E$10)*($F$10-$E$10)),$G$10-SQRT((1-T900)*($G$10-$E$10)*($G$10-$F$10))))</f>
        <v>1.02355134667002</v>
      </c>
      <c r="G900" s="52" t="n">
        <f aca="false">IF($G$11=$E$11,$F$11,IF(U900&lt;($F$11-$E$11)/($G$11-$E$11),$E$11+SQRT(U900*($G$11-$E$11)*($F$11-$E$11)),$G$11-SQRT((1-U900)*($G$11-$E$11)*($G$11-$F$11))))</f>
        <v>0.10037913349111</v>
      </c>
      <c r="H900" s="53" t="n">
        <f aca="false">(('Business Case'!B11*$C900*'Business Case'!B12*$B900)-'Business Case'!B11*$C900*'Business Case'!B13*$D900-'Business Case'!B14*$E900)-MAX(0,(('Business Case'!B11*$C900*'Business Case'!B12*$B900)-'Business Case'!B11*$C900*'Business Case'!B13*$D900-'Business Case'!B14*$E900))*'Business Case'!$B$7-'Business Case'!$B$8*('Business Case'!B11*$C900*'Business Case'!B12*$B900)-'Business Case'!B15*$F900</f>
        <v>-2047102693.34004</v>
      </c>
      <c r="I900" s="53" t="n">
        <f aca="false">(('Business Case'!C11*$C900*'Business Case'!C12*$B900)-'Business Case'!C11*$C900*'Business Case'!C13*$D900-'Business Case'!C14*$E900)-MAX(0,(('Business Case'!C11*$C900*'Business Case'!C12*$B900)-'Business Case'!C11*$C900*'Business Case'!C13*$D900-'Business Case'!C14*$E900))*'Business Case'!$B$7-'Business Case'!$B$8*(('Business Case'!C11*$C900*'Business Case'!C12*$B900)-('Business Case'!B11*$C900*'Business Case'!B12*$B900))-'Business Case'!C15*$F900</f>
        <v>44318107.687288</v>
      </c>
      <c r="J900" s="53" t="n">
        <f aca="false">(('Business Case'!D11*$C900*'Business Case'!D12*$B900)-'Business Case'!D11*$C900*'Business Case'!D13*$D900-'Business Case'!D14*$E900)-MAX(0,(('Business Case'!D11*$C900*'Business Case'!D12*$B900)-'Business Case'!D11*$C900*'Business Case'!D13*$D900-'Business Case'!D14*$E900))*'Business Case'!$B$7-'Business Case'!$B$8*(('Business Case'!D11*$C900*'Business Case'!D12*$B900)-('Business Case'!C11*$C900*'Business Case'!C12*$B900))-'Business Case'!D15*$F900</f>
        <v>389281110.695802</v>
      </c>
      <c r="K900" s="53" t="n">
        <f aca="false">(('Business Case'!E11*$C900*'Business Case'!E12*$B900)-'Business Case'!E11*$C900*'Business Case'!E13*$D900-'Business Case'!E14*$E900)-MAX(0,(('Business Case'!E11*$C900*'Business Case'!E12*$B900)-'Business Case'!E11*$C900*'Business Case'!E13*$D900-'Business Case'!E14*$E900))*'Business Case'!$B$7-'Business Case'!$B$8*(('Business Case'!E11*$C900*'Business Case'!E12*$B900)-('Business Case'!D11*$C900*'Business Case'!D12*$B900))-'Business Case'!E15*$F900</f>
        <v>785421681.037818</v>
      </c>
      <c r="L900" s="53" t="n">
        <f aca="false">(('Business Case'!F11*$C900*'Business Case'!F12*$B900)-'Business Case'!F11*$C900*'Business Case'!F13*$D900-'Business Case'!F14*$E900)-MAX(0,(('Business Case'!F11*$C900*'Business Case'!F12*$B900)-'Business Case'!F11*$C900*'Business Case'!F13*$D900-'Business Case'!F14*$E900))*'Business Case'!$B$7-'Business Case'!$B$8*(('Business Case'!F11*$C900*'Business Case'!F12*$B900)-('Business Case'!E11*$C900*'Business Case'!E12*$B900))-'Business Case'!F15*$F900</f>
        <v>937949575.489</v>
      </c>
      <c r="M900" s="53" t="n">
        <f aca="false">(('Business Case'!G11*$C900*'Business Case'!G12*$B900)-'Business Case'!G11*$C900*'Business Case'!G13*$D900-'Business Case'!G14*$E900)-MAX(0,(('Business Case'!G11*$C900*'Business Case'!G12*$B900)-'Business Case'!G11*$C900*'Business Case'!G13*$D900-'Business Case'!G14*$E900))*'Business Case'!$B$7-'Business Case'!$B$8*(('Business Case'!G11*$C900*'Business Case'!G12*$B900)-('Business Case'!F11*$C900*'Business Case'!F12*$B900))-'Business Case'!G15*$F900+'Business Case'!$B$8*('Business Case'!G11*$C900*'Business Case'!G12*$B900)</f>
        <v>1144420822.78822</v>
      </c>
      <c r="N900" s="53" t="n">
        <f aca="false">IF(COUNT('Business Case'!B11:G11)=0,"",H900+NPV(G900,I900:M900))</f>
        <v>253281760.068237</v>
      </c>
      <c r="P900" s="54" t="n">
        <f aca="true">RAND()</f>
        <v>0.808155934109217</v>
      </c>
      <c r="Q900" s="54" t="n">
        <f aca="true">RAND()</f>
        <v>0.89526260219592</v>
      </c>
      <c r="R900" s="54" t="n">
        <f aca="true">RAND()</f>
        <v>0.235115943226592</v>
      </c>
      <c r="S900" s="54" t="n">
        <f aca="true">RAND()</f>
        <v>0.312971598105635</v>
      </c>
      <c r="T900" s="54" t="n">
        <f aca="true">RAND()</f>
        <v>0.377317454760737</v>
      </c>
      <c r="U900" s="54" t="n">
        <f aca="true">RAND()</f>
        <v>0.358369329067182</v>
      </c>
    </row>
    <row r="901" customFormat="false" ht="15" hidden="false" customHeight="false" outlineLevel="0" collapsed="false">
      <c r="A901" s="50" t="n">
        <v>821</v>
      </c>
      <c r="B901" s="51" t="n">
        <f aca="false">1+IF($G$6=$E$6,$F$6,IF(P901&lt;($F$6-$E$6)/($G$6-$E$6),$E$6+SQRT(P901*($G$6-$E$6)*($F$6-$E$6)),$G$6-SQRT((1-P901)*($G$6-$E$6)*($G$6-$F$6))))</f>
        <v>1.00282224130735</v>
      </c>
      <c r="C901" s="51" t="n">
        <f aca="false">1+IF($G$7=$E$7,$F$7,IF(Q901&lt;($F$7-$E$7)/($G$7-$E$7),$E$7+SQRT(Q901*($G$7-$E$7)*($F$7-$E$7)),$G$7-SQRT((1-Q901)*($G$7-$E$7)*($G$7-$F$7))))</f>
        <v>1.13762081440266</v>
      </c>
      <c r="D901" s="51" t="n">
        <f aca="false">1+IF($G$8=$E$8,$F$8,IF(R901&lt;($F$8-$E$8)/($G$8-$E$8),$E$8+SQRT(R901*($G$8-$E$8)*($F$8-$E$8)),$G$8-SQRT((1-R901)*($G$8-$E$8)*($G$8-$F$8))))</f>
        <v>1.00532545218352</v>
      </c>
      <c r="E901" s="51" t="n">
        <f aca="false">1+IF($G$9=$E$9,$F$9,IF(S901&lt;($F$9-$E$9)/($G$9-$E$9),$E$9+SQRT(S901*($G$9-$E$9)*($F$9-$E$9)),$G$9-SQRT((1-S901)*($G$9-$E$9)*($G$9-$F$9))))</f>
        <v>1.02719899095706</v>
      </c>
      <c r="F901" s="51" t="n">
        <f aca="false">1+IF($G$10=$E$10,$F$10,IF(T901&lt;($F$10-$E$10)/($G$10-$E$10),$E$10+SQRT(T901*($G$10-$E$10)*($F$10-$E$10)),$G$10-SQRT((1-T901)*($G$10-$E$10)*($G$10-$F$10))))</f>
        <v>0.990241449891824</v>
      </c>
      <c r="G901" s="52" t="n">
        <f aca="false">IF($G$11=$E$11,$F$11,IF(U901&lt;($F$11-$E$11)/($G$11-$E$11),$E$11+SQRT(U901*($G$11-$E$11)*($F$11-$E$11)),$G$11-SQRT((1-U901)*($G$11-$E$11)*($G$11-$F$11))))</f>
        <v>0.0964495797947657</v>
      </c>
      <c r="H901" s="53" t="n">
        <f aca="false">(('Business Case'!B11*$C901*'Business Case'!B12*$B901)-'Business Case'!B11*$C901*'Business Case'!B13*$D901-'Business Case'!B14*$E901)-MAX(0,(('Business Case'!B11*$C901*'Business Case'!B12*$B901)-'Business Case'!B11*$C901*'Business Case'!B13*$D901-'Business Case'!B14*$E901))*'Business Case'!$B$7-'Business Case'!$B$8*('Business Case'!B11*$C901*'Business Case'!B12*$B901)-'Business Case'!B15*$F901</f>
        <v>-1980482899.78365</v>
      </c>
      <c r="I901" s="53" t="n">
        <f aca="false">(('Business Case'!C11*$C901*'Business Case'!C12*$B901)-'Business Case'!C11*$C901*'Business Case'!C13*$D901-'Business Case'!C14*$E901)-MAX(0,(('Business Case'!C11*$C901*'Business Case'!C12*$B901)-'Business Case'!C11*$C901*'Business Case'!C13*$D901-'Business Case'!C14*$E901))*'Business Case'!$B$7-'Business Case'!$B$8*(('Business Case'!C11*$C901*'Business Case'!C12*$B901)-('Business Case'!B11*$C901*'Business Case'!B12*$B901))-'Business Case'!C15*$F901</f>
        <v>44718321.8602688</v>
      </c>
      <c r="J901" s="53" t="n">
        <f aca="false">(('Business Case'!D11*$C901*'Business Case'!D12*$B901)-'Business Case'!D11*$C901*'Business Case'!D13*$D901-'Business Case'!D14*$E901)-MAX(0,(('Business Case'!D11*$C901*'Business Case'!D12*$B901)-'Business Case'!D11*$C901*'Business Case'!D13*$D901-'Business Case'!D14*$E901))*'Business Case'!$B$7-'Business Case'!$B$8*(('Business Case'!D11*$C901*'Business Case'!D12*$B901)-('Business Case'!C11*$C901*'Business Case'!C12*$B901))-'Business Case'!D15*$F901</f>
        <v>393669187.843609</v>
      </c>
      <c r="K901" s="53" t="n">
        <f aca="false">(('Business Case'!E11*$C901*'Business Case'!E12*$B901)-'Business Case'!E11*$C901*'Business Case'!E13*$D901-'Business Case'!E14*$E901)-MAX(0,(('Business Case'!E11*$C901*'Business Case'!E12*$B901)-'Business Case'!E11*$C901*'Business Case'!E13*$D901-'Business Case'!E14*$E901))*'Business Case'!$B$7-'Business Case'!$B$8*(('Business Case'!E11*$C901*'Business Case'!E12*$B901)-('Business Case'!D11*$C901*'Business Case'!D12*$B901))-'Business Case'!E15*$F901</f>
        <v>792132126.321541</v>
      </c>
      <c r="L901" s="53" t="n">
        <f aca="false">(('Business Case'!F11*$C901*'Business Case'!F12*$B901)-'Business Case'!F11*$C901*'Business Case'!F13*$D901-'Business Case'!F14*$E901)-MAX(0,(('Business Case'!F11*$C901*'Business Case'!F12*$B901)-'Business Case'!F11*$C901*'Business Case'!F13*$D901-'Business Case'!F14*$E901))*'Business Case'!$B$7-'Business Case'!$B$8*(('Business Case'!F11*$C901*'Business Case'!F12*$B901)-('Business Case'!E11*$C901*'Business Case'!E12*$B901))-'Business Case'!F15*$F901</f>
        <v>947876216.729185</v>
      </c>
      <c r="M901" s="53" t="n">
        <f aca="false">(('Business Case'!G11*$C901*'Business Case'!G12*$B901)-'Business Case'!G11*$C901*'Business Case'!G13*$D901-'Business Case'!G14*$E901)-MAX(0,(('Business Case'!G11*$C901*'Business Case'!G12*$B901)-'Business Case'!G11*$C901*'Business Case'!G13*$D901-'Business Case'!G14*$E901))*'Business Case'!$B$7-'Business Case'!$B$8*(('Business Case'!G11*$C901*'Business Case'!G12*$B901)-('Business Case'!F11*$C901*'Business Case'!F12*$B901))-'Business Case'!G15*$F901+'Business Case'!$B$8*('Business Case'!G11*$C901*'Business Case'!G12*$B901)</f>
        <v>1164725459.66844</v>
      </c>
      <c r="N901" s="53" t="n">
        <f aca="false">IF(COUNT('Business Case'!B11:G11)=0,"",H901+NPV(G901,I901:M901))</f>
        <v>379525910.447676</v>
      </c>
      <c r="P901" s="54" t="n">
        <f aca="true">RAND()</f>
        <v>0.712044637206468</v>
      </c>
      <c r="Q901" s="54" t="n">
        <f aca="true">RAND()</f>
        <v>0.997081062170412</v>
      </c>
      <c r="R901" s="54" t="n">
        <f aca="true">RAND()</f>
        <v>0.463818452731184</v>
      </c>
      <c r="S901" s="54" t="n">
        <f aca="true">RAND()</f>
        <v>0.64666753882195</v>
      </c>
      <c r="T901" s="54" t="n">
        <f aca="true">RAND()</f>
        <v>0.129549943151696</v>
      </c>
      <c r="U901" s="54" t="n">
        <f aca="true">RAND()</f>
        <v>0.138656931763499</v>
      </c>
    </row>
    <row r="902" customFormat="false" ht="15" hidden="false" customHeight="false" outlineLevel="0" collapsed="false">
      <c r="A902" s="50" t="n">
        <v>822</v>
      </c>
      <c r="B902" s="51" t="n">
        <f aca="false">1+IF($G$6=$E$6,$F$6,IF(P902&lt;($F$6-$E$6)/($G$6-$E$6),$E$6+SQRT(P902*($G$6-$E$6)*($F$6-$E$6)),$G$6-SQRT((1-P902)*($G$6-$E$6)*($G$6-$F$6))))</f>
        <v>0.968302518065933</v>
      </c>
      <c r="C902" s="51" t="n">
        <f aca="false">1+IF($G$7=$E$7,$F$7,IF(Q902&lt;($F$7-$E$7)/($G$7-$E$7),$E$7+SQRT(Q902*($G$7-$E$7)*($F$7-$E$7)),$G$7-SQRT((1-Q902)*($G$7-$E$7)*($G$7-$F$7))))</f>
        <v>1.06784151523236</v>
      </c>
      <c r="D902" s="51" t="n">
        <f aca="false">1+IF($G$8=$E$8,$F$8,IF(R902&lt;($F$8-$E$8)/($G$8-$E$8),$E$8+SQRT(R902*($G$8-$E$8)*($F$8-$E$8)),$G$8-SQRT((1-R902)*($G$8-$E$8)*($G$8-$F$8))))</f>
        <v>0.968765549235578</v>
      </c>
      <c r="E902" s="51" t="n">
        <f aca="false">1+IF($G$9=$E$9,$F$9,IF(S902&lt;($F$9-$E$9)/($G$9-$E$9),$E$9+SQRT(S902*($G$9-$E$9)*($F$9-$E$9)),$G$9-SQRT((1-S902)*($G$9-$E$9)*($G$9-$F$9))))</f>
        <v>1.07121092209967</v>
      </c>
      <c r="F902" s="51" t="n">
        <f aca="false">1+IF($G$10=$E$10,$F$10,IF(T902&lt;($F$10-$E$10)/($G$10-$E$10),$E$10+SQRT(T902*($G$10-$E$10)*($F$10-$E$10)),$G$10-SQRT((1-T902)*($G$10-$E$10)*($G$10-$F$10))))</f>
        <v>1.02216529703402</v>
      </c>
      <c r="G902" s="52" t="n">
        <f aca="false">IF($G$11=$E$11,$F$11,IF(U902&lt;($F$11-$E$11)/($G$11-$E$11),$E$11+SQRT(U902*($G$11-$E$11)*($F$11-$E$11)),$G$11-SQRT((1-U902)*($G$11-$E$11)*($G$11-$F$11))))</f>
        <v>0.0972753992814635</v>
      </c>
      <c r="H902" s="53" t="n">
        <f aca="false">(('Business Case'!B11*$C902*'Business Case'!B12*$B902)-'Business Case'!B11*$C902*'Business Case'!B13*$D902-'Business Case'!B14*$E902)-MAX(0,(('Business Case'!B11*$C902*'Business Case'!B12*$B902)-'Business Case'!B11*$C902*'Business Case'!B13*$D902-'Business Case'!B14*$E902))*'Business Case'!$B$7-'Business Case'!$B$8*('Business Case'!B11*$C902*'Business Case'!B12*$B902)-'Business Case'!B15*$F902</f>
        <v>-2044330594.06804</v>
      </c>
      <c r="I902" s="53" t="n">
        <f aca="false">(('Business Case'!C11*$C902*'Business Case'!C12*$B902)-'Business Case'!C11*$C902*'Business Case'!C13*$D902-'Business Case'!C14*$E902)-MAX(0,(('Business Case'!C11*$C902*'Business Case'!C12*$B902)-'Business Case'!C11*$C902*'Business Case'!C13*$D902-'Business Case'!C14*$E902))*'Business Case'!$B$7-'Business Case'!$B$8*(('Business Case'!C11*$C902*'Business Case'!C12*$B902)-('Business Case'!B11*$C902*'Business Case'!B12*$B902))-'Business Case'!C15*$F902</f>
        <v>9195142.62591878</v>
      </c>
      <c r="J902" s="53" t="n">
        <f aca="false">(('Business Case'!D11*$C902*'Business Case'!D12*$B902)-'Business Case'!D11*$C902*'Business Case'!D13*$D902-'Business Case'!D14*$E902)-MAX(0,(('Business Case'!D11*$C902*'Business Case'!D12*$B902)-'Business Case'!D11*$C902*'Business Case'!D13*$D902-'Business Case'!D14*$E902))*'Business Case'!$B$7-'Business Case'!$B$8*(('Business Case'!D11*$C902*'Business Case'!D12*$B902)-('Business Case'!C11*$C902*'Business Case'!C12*$B902))-'Business Case'!D15*$F902</f>
        <v>326535237.758249</v>
      </c>
      <c r="K902" s="53" t="n">
        <f aca="false">(('Business Case'!E11*$C902*'Business Case'!E12*$B902)-'Business Case'!E11*$C902*'Business Case'!E13*$D902-'Business Case'!E14*$E902)-MAX(0,(('Business Case'!E11*$C902*'Business Case'!E12*$B902)-'Business Case'!E11*$C902*'Business Case'!E13*$D902-'Business Case'!E14*$E902))*'Business Case'!$B$7-'Business Case'!$B$8*(('Business Case'!E11*$C902*'Business Case'!E12*$B902)-('Business Case'!D11*$C902*'Business Case'!D12*$B902))-'Business Case'!E15*$F902</f>
        <v>694983597.74228</v>
      </c>
      <c r="L902" s="53" t="n">
        <f aca="false">(('Business Case'!F11*$C902*'Business Case'!F12*$B902)-'Business Case'!F11*$C902*'Business Case'!F13*$D902-'Business Case'!F14*$E902)-MAX(0,(('Business Case'!F11*$C902*'Business Case'!F12*$B902)-'Business Case'!F11*$C902*'Business Case'!F13*$D902-'Business Case'!F14*$E902))*'Business Case'!$B$7-'Business Case'!$B$8*(('Business Case'!F11*$C902*'Business Case'!F12*$B902)-('Business Case'!E11*$C902*'Business Case'!E12*$B902))-'Business Case'!F15*$F902</f>
        <v>836498449.240014</v>
      </c>
      <c r="M902" s="53" t="n">
        <f aca="false">(('Business Case'!G11*$C902*'Business Case'!G12*$B902)-'Business Case'!G11*$C902*'Business Case'!G13*$D902-'Business Case'!G14*$E902)-MAX(0,(('Business Case'!G11*$C902*'Business Case'!G12*$B902)-'Business Case'!G11*$C902*'Business Case'!G13*$D902-'Business Case'!G14*$E902))*'Business Case'!$B$7-'Business Case'!$B$8*(('Business Case'!G11*$C902*'Business Case'!G12*$B902)-('Business Case'!F11*$C902*'Business Case'!F12*$B902))-'Business Case'!G15*$F902+'Business Case'!$B$8*('Business Case'!G11*$C902*'Business Case'!G12*$B902)</f>
        <v>1033039958.06828</v>
      </c>
      <c r="N902" s="53" t="n">
        <f aca="false">IF(COUNT('Business Case'!B11:G11)=0,"",H902+NPV(G902,I902:M902))</f>
        <v>-12218852.6638682</v>
      </c>
      <c r="P902" s="54" t="n">
        <f aca="true">RAND()</f>
        <v>0.243034713698935</v>
      </c>
      <c r="Q902" s="54" t="n">
        <f aca="true">RAND()</f>
        <v>0.871428254870193</v>
      </c>
      <c r="R902" s="54" t="n">
        <f aca="true">RAND()</f>
        <v>0.0541762827866022</v>
      </c>
      <c r="S902" s="54" t="n">
        <f aca="true">RAND()</f>
        <v>0.944745932909914</v>
      </c>
      <c r="T902" s="54" t="n">
        <f aca="true">RAND()</f>
        <v>0.367496368420049</v>
      </c>
      <c r="U902" s="54" t="n">
        <f aca="true">RAND()</f>
        <v>0.1764381156824</v>
      </c>
    </row>
    <row r="903" customFormat="false" ht="15" hidden="false" customHeight="false" outlineLevel="0" collapsed="false">
      <c r="A903" s="50" t="n">
        <v>823</v>
      </c>
      <c r="B903" s="51" t="n">
        <f aca="false">1+IF($G$6=$E$6,$F$6,IF(P903&lt;($F$6-$E$6)/($G$6-$E$6),$E$6+SQRT(P903*($G$6-$E$6)*($F$6-$E$6)),$G$6-SQRT((1-P903)*($G$6-$E$6)*($G$6-$F$6))))</f>
        <v>0.983362950414976</v>
      </c>
      <c r="C903" s="51" t="n">
        <f aca="false">1+IF($G$7=$E$7,$F$7,IF(Q903&lt;($F$7-$E$7)/($G$7-$E$7),$E$7+SQRT(Q903*($G$7-$E$7)*($F$7-$E$7)),$G$7-SQRT((1-Q903)*($G$7-$E$7)*($G$7-$F$7))))</f>
        <v>0.996365687105277</v>
      </c>
      <c r="D903" s="51" t="n">
        <f aca="false">1+IF($G$8=$E$8,$F$8,IF(R903&lt;($F$8-$E$8)/($G$8-$E$8),$E$8+SQRT(R903*($G$8-$E$8)*($F$8-$E$8)),$G$8-SQRT((1-R903)*($G$8-$E$8)*($G$8-$F$8))))</f>
        <v>1.0059261856842</v>
      </c>
      <c r="E903" s="51" t="n">
        <f aca="false">1+IF($G$9=$E$9,$F$9,IF(S903&lt;($F$9-$E$9)/($G$9-$E$9),$E$9+SQRT(S903*($G$9-$E$9)*($F$9-$E$9)),$G$9-SQRT((1-S903)*($G$9-$E$9)*($G$9-$F$9))))</f>
        <v>0.973632050320641</v>
      </c>
      <c r="F903" s="51" t="n">
        <f aca="false">1+IF($G$10=$E$10,$F$10,IF(T903&lt;($F$10-$E$10)/($G$10-$E$10),$E$10+SQRT(T903*($G$10-$E$10)*($F$10-$E$10)),$G$10-SQRT((1-T903)*($G$10-$E$10)*($G$10-$F$10))))</f>
        <v>0.968256136968974</v>
      </c>
      <c r="G903" s="52" t="n">
        <f aca="false">IF($G$11=$E$11,$F$11,IF(U903&lt;($F$11-$E$11)/($G$11-$E$11),$E$11+SQRT(U903*($G$11-$E$11)*($F$11-$E$11)),$G$11-SQRT((1-U903)*($G$11-$E$11)*($G$11-$F$11))))</f>
        <v>0.105165900264925</v>
      </c>
      <c r="H903" s="53" t="n">
        <f aca="false">(('Business Case'!B11*$C903*'Business Case'!B12*$B903)-'Business Case'!B11*$C903*'Business Case'!B13*$D903-'Business Case'!B14*$E903)-MAX(0,(('Business Case'!B11*$C903*'Business Case'!B12*$B903)-'Business Case'!B11*$C903*'Business Case'!B13*$D903-'Business Case'!B14*$E903))*'Business Case'!$B$7-'Business Case'!$B$8*('Business Case'!B11*$C903*'Business Case'!B12*$B903)-'Business Case'!B15*$F903</f>
        <v>-1936512273.93795</v>
      </c>
      <c r="I903" s="53" t="n">
        <f aca="false">(('Business Case'!C11*$C903*'Business Case'!C12*$B903)-'Business Case'!C11*$C903*'Business Case'!C13*$D903-'Business Case'!C14*$E903)-MAX(0,(('Business Case'!C11*$C903*'Business Case'!C12*$B903)-'Business Case'!C11*$C903*'Business Case'!C13*$D903-'Business Case'!C14*$E903))*'Business Case'!$B$7-'Business Case'!$B$8*(('Business Case'!C11*$C903*'Business Case'!C12*$B903)-('Business Case'!B11*$C903*'Business Case'!B12*$B903))-'Business Case'!C15*$F903</f>
        <v>3367230.88865645</v>
      </c>
      <c r="J903" s="53" t="n">
        <f aca="false">(('Business Case'!D11*$C903*'Business Case'!D12*$B903)-'Business Case'!D11*$C903*'Business Case'!D13*$D903-'Business Case'!D14*$E903)-MAX(0,(('Business Case'!D11*$C903*'Business Case'!D12*$B903)-'Business Case'!D11*$C903*'Business Case'!D13*$D903-'Business Case'!D14*$E903))*'Business Case'!$B$7-'Business Case'!$B$8*(('Business Case'!D11*$C903*'Business Case'!D12*$B903)-('Business Case'!C11*$C903*'Business Case'!C12*$B903))-'Business Case'!D15*$F903</f>
        <v>292802820.065256</v>
      </c>
      <c r="K903" s="53" t="n">
        <f aca="false">(('Business Case'!E11*$C903*'Business Case'!E12*$B903)-'Business Case'!E11*$C903*'Business Case'!E13*$D903-'Business Case'!E14*$E903)-MAX(0,(('Business Case'!E11*$C903*'Business Case'!E12*$B903)-'Business Case'!E11*$C903*'Business Case'!E13*$D903-'Business Case'!E14*$E903))*'Business Case'!$B$7-'Business Case'!$B$8*(('Business Case'!E11*$C903*'Business Case'!E12*$B903)-('Business Case'!D11*$C903*'Business Case'!D12*$B903))-'Business Case'!E15*$F903</f>
        <v>630651216.090304</v>
      </c>
      <c r="L903" s="53" t="n">
        <f aca="false">(('Business Case'!F11*$C903*'Business Case'!F12*$B903)-'Business Case'!F11*$C903*'Business Case'!F13*$D903-'Business Case'!F14*$E903)-MAX(0,(('Business Case'!F11*$C903*'Business Case'!F12*$B903)-'Business Case'!F11*$C903*'Business Case'!F13*$D903-'Business Case'!F14*$E903))*'Business Case'!$B$7-'Business Case'!$B$8*(('Business Case'!F11*$C903*'Business Case'!F12*$B903)-('Business Case'!E11*$C903*'Business Case'!E12*$B903))-'Business Case'!F15*$F903</f>
        <v>760991257.172804</v>
      </c>
      <c r="M903" s="53" t="n">
        <f aca="false">(('Business Case'!G11*$C903*'Business Case'!G12*$B903)-'Business Case'!G11*$C903*'Business Case'!G13*$D903-'Business Case'!G14*$E903)-MAX(0,(('Business Case'!G11*$C903*'Business Case'!G12*$B903)-'Business Case'!G11*$C903*'Business Case'!G13*$D903-'Business Case'!G14*$E903))*'Business Case'!$B$7-'Business Case'!$B$8*(('Business Case'!G11*$C903*'Business Case'!G12*$B903)-('Business Case'!F11*$C903*'Business Case'!F12*$B903))-'Business Case'!G15*$F903+'Business Case'!$B$8*('Business Case'!G11*$C903*'Business Case'!G12*$B903)</f>
        <v>947229569.636122</v>
      </c>
      <c r="N903" s="53" t="n">
        <f aca="false">IF(COUNT('Business Case'!B11:G11)=0,"",H903+NPV(G903,I903:M903))</f>
        <v>-141878560.527076</v>
      </c>
      <c r="P903" s="54" t="n">
        <f aca="true">RAND()</f>
        <v>0.418214946384445</v>
      </c>
      <c r="Q903" s="54" t="n">
        <f aca="true">RAND()</f>
        <v>0.550849758176108</v>
      </c>
      <c r="R903" s="54" t="n">
        <f aca="true">RAND()</f>
        <v>0.472410580068108</v>
      </c>
      <c r="S903" s="54" t="n">
        <f aca="true">RAND()</f>
        <v>0.0744631736476402</v>
      </c>
      <c r="T903" s="54" t="n">
        <f aca="true">RAND()</f>
        <v>0.0266629229623946</v>
      </c>
      <c r="U903" s="54" t="n">
        <f aca="true">RAND()</f>
        <v>0.633249141749748</v>
      </c>
    </row>
    <row r="904" customFormat="false" ht="15" hidden="false" customHeight="false" outlineLevel="0" collapsed="false">
      <c r="A904" s="50" t="n">
        <v>824</v>
      </c>
      <c r="B904" s="51" t="n">
        <f aca="false">1+IF($G$6=$E$6,$F$6,IF(P904&lt;($F$6-$E$6)/($G$6-$E$6),$E$6+SQRT(P904*($G$6-$E$6)*($F$6-$E$6)),$G$6-SQRT((1-P904)*($G$6-$E$6)*($G$6-$F$6))))</f>
        <v>1.00110070540338</v>
      </c>
      <c r="C904" s="51" t="n">
        <f aca="false">1+IF($G$7=$E$7,$F$7,IF(Q904&lt;($F$7-$E$7)/($G$7-$E$7),$E$7+SQRT(Q904*($G$7-$E$7)*($F$7-$E$7)),$G$7-SQRT((1-Q904)*($G$7-$E$7)*($G$7-$F$7))))</f>
        <v>1.0577056172402</v>
      </c>
      <c r="D904" s="51" t="n">
        <f aca="false">1+IF($G$8=$E$8,$F$8,IF(R904&lt;($F$8-$E$8)/($G$8-$E$8),$E$8+SQRT(R904*($G$8-$E$8)*($F$8-$E$8)),$G$8-SQRT((1-R904)*($G$8-$E$8)*($G$8-$F$8))))</f>
        <v>1.02985801416136</v>
      </c>
      <c r="E904" s="51" t="n">
        <f aca="false">1+IF($G$9=$E$9,$F$9,IF(S904&lt;($F$9-$E$9)/($G$9-$E$9),$E$9+SQRT(S904*($G$9-$E$9)*($F$9-$E$9)),$G$9-SQRT((1-S904)*($G$9-$E$9)*($G$9-$F$9))))</f>
        <v>0.96028937721429</v>
      </c>
      <c r="F904" s="51" t="n">
        <f aca="false">1+IF($G$10=$E$10,$F$10,IF(T904&lt;($F$10-$E$10)/($G$10-$E$10),$E$10+SQRT(T904*($G$10-$E$10)*($F$10-$E$10)),$G$10-SQRT((1-T904)*($G$10-$E$10)*($G$10-$F$10))))</f>
        <v>0.992156415665696</v>
      </c>
      <c r="G904" s="52" t="n">
        <f aca="false">IF($G$11=$E$11,$F$11,IF(U904&lt;($F$11-$E$11)/($G$11-$E$11),$E$11+SQRT(U904*($G$11-$E$11)*($F$11-$E$11)),$G$11-SQRT((1-U904)*($G$11-$E$11)*($G$11-$F$11))))</f>
        <v>0.105071584676801</v>
      </c>
      <c r="H904" s="53" t="n">
        <f aca="false">(('Business Case'!B11*$C904*'Business Case'!B12*$B904)-'Business Case'!B11*$C904*'Business Case'!B13*$D904-'Business Case'!B14*$E904)-MAX(0,(('Business Case'!B11*$C904*'Business Case'!B12*$B904)-'Business Case'!B11*$C904*'Business Case'!B13*$D904-'Business Case'!B14*$E904))*'Business Case'!$B$7-'Business Case'!$B$8*('Business Case'!B11*$C904*'Business Case'!B12*$B904)-'Business Case'!B15*$F904</f>
        <v>-1984312831.33139</v>
      </c>
      <c r="I904" s="53" t="n">
        <f aca="false">(('Business Case'!C11*$C904*'Business Case'!C12*$B904)-'Business Case'!C11*$C904*'Business Case'!C13*$D904-'Business Case'!C14*$E904)-MAX(0,(('Business Case'!C11*$C904*'Business Case'!C12*$B904)-'Business Case'!C11*$C904*'Business Case'!C13*$D904-'Business Case'!C14*$E904))*'Business Case'!$B$7-'Business Case'!$B$8*(('Business Case'!C11*$C904*'Business Case'!C12*$B904)-('Business Case'!B11*$C904*'Business Case'!B12*$B904))-'Business Case'!C15*$F904</f>
        <v>19002434.0954273</v>
      </c>
      <c r="J904" s="53" t="n">
        <f aca="false">(('Business Case'!D11*$C904*'Business Case'!D12*$B904)-'Business Case'!D11*$C904*'Business Case'!D13*$D904-'Business Case'!D14*$E904)-MAX(0,(('Business Case'!D11*$C904*'Business Case'!D12*$B904)-'Business Case'!D11*$C904*'Business Case'!D13*$D904-'Business Case'!D14*$E904))*'Business Case'!$B$7-'Business Case'!$B$8*(('Business Case'!D11*$C904*'Business Case'!D12*$B904)-('Business Case'!C11*$C904*'Business Case'!C12*$B904))-'Business Case'!D15*$F904</f>
        <v>328665471.678442</v>
      </c>
      <c r="K904" s="53" t="n">
        <f aca="false">(('Business Case'!E11*$C904*'Business Case'!E12*$B904)-'Business Case'!E11*$C904*'Business Case'!E13*$D904-'Business Case'!E14*$E904)-MAX(0,(('Business Case'!E11*$C904*'Business Case'!E12*$B904)-'Business Case'!E11*$C904*'Business Case'!E13*$D904-'Business Case'!E14*$E904))*'Business Case'!$B$7-'Business Case'!$B$8*(('Business Case'!E11*$C904*'Business Case'!E12*$B904)-('Business Case'!D11*$C904*'Business Case'!D12*$B904))-'Business Case'!E15*$F904</f>
        <v>687936330.044742</v>
      </c>
      <c r="L904" s="53" t="n">
        <f aca="false">(('Business Case'!F11*$C904*'Business Case'!F12*$B904)-'Business Case'!F11*$C904*'Business Case'!F13*$D904-'Business Case'!F14*$E904)-MAX(0,(('Business Case'!F11*$C904*'Business Case'!F12*$B904)-'Business Case'!F11*$C904*'Business Case'!F13*$D904-'Business Case'!F14*$E904))*'Business Case'!$B$7-'Business Case'!$B$8*(('Business Case'!F11*$C904*'Business Case'!F12*$B904)-('Business Case'!E11*$C904*'Business Case'!E12*$B904))-'Business Case'!F15*$F904</f>
        <v>827751884.22651</v>
      </c>
      <c r="M904" s="53" t="n">
        <f aca="false">(('Business Case'!G11*$C904*'Business Case'!G12*$B904)-'Business Case'!G11*$C904*'Business Case'!G13*$D904-'Business Case'!G14*$E904)-MAX(0,(('Business Case'!G11*$C904*'Business Case'!G12*$B904)-'Business Case'!G11*$C904*'Business Case'!G13*$D904-'Business Case'!G14*$E904))*'Business Case'!$B$7-'Business Case'!$B$8*(('Business Case'!G11*$C904*'Business Case'!G12*$B904)-('Business Case'!F11*$C904*'Business Case'!F12*$B904))-'Business Case'!G15*$F904+'Business Case'!$B$8*('Business Case'!G11*$C904*'Business Case'!G12*$B904)</f>
        <v>1029021863.32405</v>
      </c>
      <c r="N904" s="53" t="n">
        <f aca="false">IF(COUNT('Business Case'!B11:G11)=0,"",H904+NPV(G904,I904:M904))</f>
        <v>-8734970.68643642</v>
      </c>
      <c r="P904" s="54" t="n">
        <f aca="true">RAND()</f>
        <v>0.684759349976083</v>
      </c>
      <c r="Q904" s="54" t="n">
        <f aca="true">RAND()</f>
        <v>0.837747560209273</v>
      </c>
      <c r="R904" s="54" t="n">
        <f aca="true">RAND()</f>
        <v>0.758248197707469</v>
      </c>
      <c r="S904" s="54" t="n">
        <f aca="true">RAND()</f>
        <v>0.0141161711277271</v>
      </c>
      <c r="T904" s="54" t="n">
        <f aca="true">RAND()</f>
        <v>0.142173070542315</v>
      </c>
      <c r="U904" s="54" t="n">
        <f aca="true">RAND()</f>
        <v>0.628570693230128</v>
      </c>
    </row>
    <row r="905" customFormat="false" ht="15" hidden="false" customHeight="false" outlineLevel="0" collapsed="false">
      <c r="A905" s="50" t="n">
        <v>825</v>
      </c>
      <c r="B905" s="51" t="n">
        <f aca="false">1+IF($G$6=$E$6,$F$6,IF(P905&lt;($F$6-$E$6)/($G$6-$E$6),$E$6+SQRT(P905*($G$6-$E$6)*($F$6-$E$6)),$G$6-SQRT((1-P905)*($G$6-$E$6)*($G$6-$F$6))))</f>
        <v>0.99214890911583</v>
      </c>
      <c r="C905" s="51" t="n">
        <f aca="false">1+IF($G$7=$E$7,$F$7,IF(Q905&lt;($F$7-$E$7)/($G$7-$E$7),$E$7+SQRT(Q905*($G$7-$E$7)*($F$7-$E$7)),$G$7-SQRT((1-Q905)*($G$7-$E$7)*($G$7-$F$7))))</f>
        <v>0.979622430227758</v>
      </c>
      <c r="D905" s="51" t="n">
        <f aca="false">1+IF($G$8=$E$8,$F$8,IF(R905&lt;($F$8-$E$8)/($G$8-$E$8),$E$8+SQRT(R905*($G$8-$E$8)*($F$8-$E$8)),$G$8-SQRT((1-R905)*($G$8-$E$8)*($G$8-$F$8))))</f>
        <v>1.00641523424782</v>
      </c>
      <c r="E905" s="51" t="n">
        <f aca="false">1+IF($G$9=$E$9,$F$9,IF(S905&lt;($F$9-$E$9)/($G$9-$E$9),$E$9+SQRT(S905*($G$9-$E$9)*($F$9-$E$9)),$G$9-SQRT((1-S905)*($G$9-$E$9)*($G$9-$F$9))))</f>
        <v>0.978595291316526</v>
      </c>
      <c r="F905" s="51" t="n">
        <f aca="false">1+IF($G$10=$E$10,$F$10,IF(T905&lt;($F$10-$E$10)/($G$10-$E$10),$E$10+SQRT(T905*($G$10-$E$10)*($F$10-$E$10)),$G$10-SQRT((1-T905)*($G$10-$E$10)*($G$10-$F$10))))</f>
        <v>1.02146063908402</v>
      </c>
      <c r="G905" s="52" t="n">
        <f aca="false">IF($G$11=$E$11,$F$11,IF(U905&lt;($F$11-$E$11)/($G$11-$E$11),$E$11+SQRT(U905*($G$11-$E$11)*($F$11-$E$11)),$G$11-SQRT((1-U905)*($G$11-$E$11)*($G$11-$F$11))))</f>
        <v>0.107778086944639</v>
      </c>
      <c r="H905" s="53" t="n">
        <f aca="false">(('Business Case'!B11*$C905*'Business Case'!B12*$B905)-'Business Case'!B11*$C905*'Business Case'!B13*$D905-'Business Case'!B14*$E905)-MAX(0,(('Business Case'!B11*$C905*'Business Case'!B12*$B905)-'Business Case'!B11*$C905*'Business Case'!B13*$D905-'Business Case'!B14*$E905))*'Business Case'!$B$7-'Business Case'!$B$8*('Business Case'!B11*$C905*'Business Case'!B12*$B905)-'Business Case'!B15*$F905</f>
        <v>-2042921278.16805</v>
      </c>
      <c r="I905" s="53" t="n">
        <f aca="false">(('Business Case'!C11*$C905*'Business Case'!C12*$B905)-'Business Case'!C11*$C905*'Business Case'!C13*$D905-'Business Case'!C14*$E905)-MAX(0,(('Business Case'!C11*$C905*'Business Case'!C12*$B905)-'Business Case'!C11*$C905*'Business Case'!C13*$D905-'Business Case'!C14*$E905))*'Business Case'!$B$7-'Business Case'!$B$8*(('Business Case'!C11*$C905*'Business Case'!C12*$B905)-('Business Case'!B11*$C905*'Business Case'!B12*$B905))-'Business Case'!C15*$F905</f>
        <v>-310979.102906927</v>
      </c>
      <c r="J905" s="53" t="n">
        <f aca="false">(('Business Case'!D11*$C905*'Business Case'!D12*$B905)-'Business Case'!D11*$C905*'Business Case'!D13*$D905-'Business Case'!D14*$E905)-MAX(0,(('Business Case'!D11*$C905*'Business Case'!D12*$B905)-'Business Case'!D11*$C905*'Business Case'!D13*$D905-'Business Case'!D14*$E905))*'Business Case'!$B$7-'Business Case'!$B$8*(('Business Case'!D11*$C905*'Business Case'!D12*$B905)-('Business Case'!C11*$C905*'Business Case'!C12*$B905))-'Business Case'!D15*$F905</f>
        <v>291065276.041504</v>
      </c>
      <c r="K905" s="53" t="n">
        <f aca="false">(('Business Case'!E11*$C905*'Business Case'!E12*$B905)-'Business Case'!E11*$C905*'Business Case'!E13*$D905-'Business Case'!E14*$E905)-MAX(0,(('Business Case'!E11*$C905*'Business Case'!E12*$B905)-'Business Case'!E11*$C905*'Business Case'!E13*$D905-'Business Case'!E14*$E905))*'Business Case'!$B$7-'Business Case'!$B$8*(('Business Case'!E11*$C905*'Business Case'!E12*$B905)-('Business Case'!D11*$C905*'Business Case'!D12*$B905))-'Business Case'!E15*$F905</f>
        <v>633514563.140117</v>
      </c>
      <c r="L905" s="53" t="n">
        <f aca="false">(('Business Case'!F11*$C905*'Business Case'!F12*$B905)-'Business Case'!F11*$C905*'Business Case'!F13*$D905-'Business Case'!F14*$E905)-MAX(0,(('Business Case'!F11*$C905*'Business Case'!F12*$B905)-'Business Case'!F11*$C905*'Business Case'!F13*$D905-'Business Case'!F14*$E905))*'Business Case'!$B$7-'Business Case'!$B$8*(('Business Case'!F11*$C905*'Business Case'!F12*$B905)-('Business Case'!E11*$C905*'Business Case'!E12*$B905))-'Business Case'!F15*$F905</f>
        <v>764229928.130724</v>
      </c>
      <c r="M905" s="53" t="n">
        <f aca="false">(('Business Case'!G11*$C905*'Business Case'!G12*$B905)-'Business Case'!G11*$C905*'Business Case'!G13*$D905-'Business Case'!G14*$E905)-MAX(0,(('Business Case'!G11*$C905*'Business Case'!G12*$B905)-'Business Case'!G11*$C905*'Business Case'!G13*$D905-'Business Case'!G14*$E905))*'Business Case'!$B$7-'Business Case'!$B$8*(('Business Case'!G11*$C905*'Business Case'!G12*$B905)-('Business Case'!F11*$C905*'Business Case'!F12*$B905))-'Business Case'!G15*$F905+'Business Case'!$B$8*('Business Case'!G11*$C905*'Business Case'!G12*$B905)</f>
        <v>948974634.480979</v>
      </c>
      <c r="N905" s="53" t="n">
        <f aca="false">IF(COUNT('Business Case'!B11:G11)=0,"",H905+NPV(G905,I905:M905))</f>
        <v>-263691168.703621</v>
      </c>
      <c r="P905" s="54" t="n">
        <f aca="true">RAND()</f>
        <v>0.542235946521277</v>
      </c>
      <c r="Q905" s="54" t="n">
        <f aca="true">RAND()</f>
        <v>0.460917392013224</v>
      </c>
      <c r="R905" s="54" t="n">
        <f aca="true">RAND()</f>
        <v>0.479354062422739</v>
      </c>
      <c r="S905" s="54" t="n">
        <f aca="true">RAND()</f>
        <v>0.109025424730261</v>
      </c>
      <c r="T905" s="54" t="n">
        <f aca="true">RAND()</f>
        <v>0.362473932074297</v>
      </c>
      <c r="U905" s="54" t="n">
        <f aca="true">RAND()</f>
        <v>0.751041402111992</v>
      </c>
    </row>
    <row r="906" customFormat="false" ht="15" hidden="false" customHeight="false" outlineLevel="0" collapsed="false">
      <c r="A906" s="50" t="n">
        <v>826</v>
      </c>
      <c r="B906" s="51" t="n">
        <f aca="false">1+IF($G$6=$E$6,$F$6,IF(P906&lt;($F$6-$E$6)/($G$6-$E$6),$E$6+SQRT(P906*($G$6-$E$6)*($F$6-$E$6)),$G$6-SQRT((1-P906)*($G$6-$E$6)*($G$6-$F$6))))</f>
        <v>1.03180404241931</v>
      </c>
      <c r="C906" s="51" t="n">
        <f aca="false">1+IF($G$7=$E$7,$F$7,IF(Q906&lt;($F$7-$E$7)/($G$7-$E$7),$E$7+SQRT(Q906*($G$7-$E$7)*($F$7-$E$7)),$G$7-SQRT((1-Q906)*($G$7-$E$7)*($G$7-$F$7))))</f>
        <v>0.990300105318836</v>
      </c>
      <c r="D906" s="51" t="n">
        <f aca="false">1+IF($G$8=$E$8,$F$8,IF(R906&lt;($F$8-$E$8)/($G$8-$E$8),$E$8+SQRT(R906*($G$8-$E$8)*($F$8-$E$8)),$G$8-SQRT((1-R906)*($G$8-$E$8)*($G$8-$F$8))))</f>
        <v>0.991133804995729</v>
      </c>
      <c r="E906" s="51" t="n">
        <f aca="false">1+IF($G$9=$E$9,$F$9,IF(S906&lt;($F$9-$E$9)/($G$9-$E$9),$E$9+SQRT(S906*($G$9-$E$9)*($F$9-$E$9)),$G$9-SQRT((1-S906)*($G$9-$E$9)*($G$9-$F$9))))</f>
        <v>1.02436470037592</v>
      </c>
      <c r="F906" s="51" t="n">
        <f aca="false">1+IF($G$10=$E$10,$F$10,IF(T906&lt;($F$10-$E$10)/($G$10-$E$10),$E$10+SQRT(T906*($G$10-$E$10)*($F$10-$E$10)),$G$10-SQRT((1-T906)*($G$10-$E$10)*($G$10-$F$10))))</f>
        <v>1.12939331052123</v>
      </c>
      <c r="G906" s="52" t="n">
        <f aca="false">IF($G$11=$E$11,$F$11,IF(U906&lt;($F$11-$E$11)/($G$11-$E$11),$E$11+SQRT(U906*($G$11-$E$11)*($F$11-$E$11)),$G$11-SQRT((1-U906)*($G$11-$E$11)*($G$11-$F$11))))</f>
        <v>0.101115173202463</v>
      </c>
      <c r="H906" s="53" t="n">
        <f aca="false">(('Business Case'!B11*$C906*'Business Case'!B12*$B906)-'Business Case'!B11*$C906*'Business Case'!B13*$D906-'Business Case'!B14*$E906)-MAX(0,(('Business Case'!B11*$C906*'Business Case'!B12*$B906)-'Business Case'!B11*$C906*'Business Case'!B13*$D906-'Business Case'!B14*$E906))*'Business Case'!$B$7-'Business Case'!$B$8*('Business Case'!B11*$C906*'Business Case'!B12*$B906)-'Business Case'!B15*$F906</f>
        <v>-2258786621.04246</v>
      </c>
      <c r="I906" s="53" t="n">
        <f aca="false">(('Business Case'!C11*$C906*'Business Case'!C12*$B906)-'Business Case'!C11*$C906*'Business Case'!C13*$D906-'Business Case'!C14*$E906)-MAX(0,(('Business Case'!C11*$C906*'Business Case'!C12*$B906)-'Business Case'!C11*$C906*'Business Case'!C13*$D906-'Business Case'!C14*$E906))*'Business Case'!$B$7-'Business Case'!$B$8*(('Business Case'!C11*$C906*'Business Case'!C12*$B906)-('Business Case'!B11*$C906*'Business Case'!B12*$B906))-'Business Case'!C15*$F906</f>
        <v>22890657.053823</v>
      </c>
      <c r="J906" s="53" t="n">
        <f aca="false">(('Business Case'!D11*$C906*'Business Case'!D12*$B906)-'Business Case'!D11*$C906*'Business Case'!D13*$D906-'Business Case'!D14*$E906)-MAX(0,(('Business Case'!D11*$C906*'Business Case'!D12*$B906)-'Business Case'!D11*$C906*'Business Case'!D13*$D906-'Business Case'!D14*$E906))*'Business Case'!$B$7-'Business Case'!$B$8*(('Business Case'!D11*$C906*'Business Case'!D12*$B906)-('Business Case'!C11*$C906*'Business Case'!C12*$B906))-'Business Case'!D15*$F906</f>
        <v>357355192.146489</v>
      </c>
      <c r="K906" s="53" t="n">
        <f aca="false">(('Business Case'!E11*$C906*'Business Case'!E12*$B906)-'Business Case'!E11*$C906*'Business Case'!E13*$D906-'Business Case'!E14*$E906)-MAX(0,(('Business Case'!E11*$C906*'Business Case'!E12*$B906)-'Business Case'!E11*$C906*'Business Case'!E13*$D906-'Business Case'!E14*$E906))*'Business Case'!$B$7-'Business Case'!$B$8*(('Business Case'!E11*$C906*'Business Case'!E12*$B906)-('Business Case'!D11*$C906*'Business Case'!D12*$B906))-'Business Case'!E15*$F906</f>
        <v>748289392.765217</v>
      </c>
      <c r="L906" s="53" t="n">
        <f aca="false">(('Business Case'!F11*$C906*'Business Case'!F12*$B906)-'Business Case'!F11*$C906*'Business Case'!F13*$D906-'Business Case'!F14*$E906)-MAX(0,(('Business Case'!F11*$C906*'Business Case'!F12*$B906)-'Business Case'!F11*$C906*'Business Case'!F13*$D906-'Business Case'!F14*$E906))*'Business Case'!$B$7-'Business Case'!$B$8*(('Business Case'!F11*$C906*'Business Case'!F12*$B906)-('Business Case'!E11*$C906*'Business Case'!E12*$B906))-'Business Case'!F15*$F906</f>
        <v>895090828.858282</v>
      </c>
      <c r="M906" s="53" t="n">
        <f aca="false">(('Business Case'!G11*$C906*'Business Case'!G12*$B906)-'Business Case'!G11*$C906*'Business Case'!G13*$D906-'Business Case'!G14*$E906)-MAX(0,(('Business Case'!G11*$C906*'Business Case'!G12*$B906)-'Business Case'!G11*$C906*'Business Case'!G13*$D906-'Business Case'!G14*$E906))*'Business Case'!$B$7-'Business Case'!$B$8*(('Business Case'!G11*$C906*'Business Case'!G12*$B906)-('Business Case'!F11*$C906*'Business Case'!F12*$B906))-'Business Case'!G15*$F906+'Business Case'!$B$8*('Business Case'!G11*$C906*'Business Case'!G12*$B906)</f>
        <v>1089313746.36692</v>
      </c>
      <c r="N906" s="53" t="n">
        <f aca="false">IF(COUNT('Business Case'!B11:G11)=0,"",H906+NPV(G906,I906:M906))</f>
        <v>-100920378.767887</v>
      </c>
      <c r="P906" s="54" t="n">
        <f aca="true">RAND()</f>
        <v>0.986005474861579</v>
      </c>
      <c r="Q906" s="54" t="n">
        <f aca="true">RAND()</f>
        <v>0.517344715490857</v>
      </c>
      <c r="R906" s="54" t="n">
        <f aca="true">RAND()</f>
        <v>0.260306140527175</v>
      </c>
      <c r="S906" s="54" t="n">
        <f aca="true">RAND()</f>
        <v>0.618620096718366</v>
      </c>
      <c r="T906" s="54" t="n">
        <f aca="true">RAND()</f>
        <v>0.900293908016973</v>
      </c>
      <c r="U906" s="54" t="n">
        <f aca="true">RAND()</f>
        <v>0.405605528045064</v>
      </c>
    </row>
    <row r="907" customFormat="false" ht="15" hidden="false" customHeight="false" outlineLevel="0" collapsed="false">
      <c r="A907" s="50" t="n">
        <v>827</v>
      </c>
      <c r="B907" s="51" t="n">
        <f aca="false">1+IF($G$6=$E$6,$F$6,IF(P907&lt;($F$6-$E$6)/($G$6-$E$6),$E$6+SQRT(P907*($G$6-$E$6)*($F$6-$E$6)),$G$6-SQRT((1-P907)*($G$6-$E$6)*($G$6-$F$6))))</f>
        <v>0.991501359478073</v>
      </c>
      <c r="C907" s="51" t="n">
        <f aca="false">1+IF($G$7=$E$7,$F$7,IF(Q907&lt;($F$7-$E$7)/($G$7-$E$7),$E$7+SQRT(Q907*($G$7-$E$7)*($F$7-$E$7)),$G$7-SQRT((1-Q907)*($G$7-$E$7)*($G$7-$F$7))))</f>
        <v>1.0784343185143</v>
      </c>
      <c r="D907" s="51" t="n">
        <f aca="false">1+IF($G$8=$E$8,$F$8,IF(R907&lt;($F$8-$E$8)/($G$8-$E$8),$E$8+SQRT(R907*($G$8-$E$8)*($F$8-$E$8)),$G$8-SQRT((1-R907)*($G$8-$E$8)*($G$8-$F$8))))</f>
        <v>1.04007748901321</v>
      </c>
      <c r="E907" s="51" t="n">
        <f aca="false">1+IF($G$9=$E$9,$F$9,IF(S907&lt;($F$9-$E$9)/($G$9-$E$9),$E$9+SQRT(S907*($G$9-$E$9)*($F$9-$E$9)),$G$9-SQRT((1-S907)*($G$9-$E$9)*($G$9-$F$9))))</f>
        <v>1.03841500522572</v>
      </c>
      <c r="F907" s="51" t="n">
        <f aca="false">1+IF($G$10=$E$10,$F$10,IF(T907&lt;($F$10-$E$10)/($G$10-$E$10),$E$10+SQRT(T907*($G$10-$E$10)*($F$10-$E$10)),$G$10-SQRT((1-T907)*($G$10-$E$10)*($G$10-$F$10))))</f>
        <v>1.16108053724212</v>
      </c>
      <c r="G907" s="52" t="n">
        <f aca="false">IF($G$11=$E$11,$F$11,IF(U907&lt;($F$11-$E$11)/($G$11-$E$11),$E$11+SQRT(U907*($G$11-$E$11)*($F$11-$E$11)),$G$11-SQRT((1-U907)*($G$11-$E$11)*($G$11-$F$11))))</f>
        <v>0.106109822396625</v>
      </c>
      <c r="H907" s="53" t="n">
        <f aca="false">(('Business Case'!B11*$C907*'Business Case'!B12*$B907)-'Business Case'!B11*$C907*'Business Case'!B13*$D907-'Business Case'!B14*$E907)-MAX(0,(('Business Case'!B11*$C907*'Business Case'!B12*$B907)-'Business Case'!B11*$C907*'Business Case'!B13*$D907-'Business Case'!B14*$E907))*'Business Case'!$B$7-'Business Case'!$B$8*('Business Case'!B11*$C907*'Business Case'!B12*$B907)-'Business Case'!B15*$F907</f>
        <v>-2322161074.48425</v>
      </c>
      <c r="I907" s="53" t="n">
        <f aca="false">(('Business Case'!C11*$C907*'Business Case'!C12*$B907)-'Business Case'!C11*$C907*'Business Case'!C13*$D907-'Business Case'!C14*$E907)-MAX(0,(('Business Case'!C11*$C907*'Business Case'!C12*$B907)-'Business Case'!C11*$C907*'Business Case'!C13*$D907-'Business Case'!C14*$E907))*'Business Case'!$B$7-'Business Case'!$B$8*(('Business Case'!C11*$C907*'Business Case'!C12*$B907)-('Business Case'!B11*$C907*'Business Case'!B12*$B907))-'Business Case'!C15*$F907</f>
        <v>-17590962.4813091</v>
      </c>
      <c r="J907" s="53" t="n">
        <f aca="false">(('Business Case'!D11*$C907*'Business Case'!D12*$B907)-'Business Case'!D11*$C907*'Business Case'!D13*$D907-'Business Case'!D14*$E907)-MAX(0,(('Business Case'!D11*$C907*'Business Case'!D12*$B907)-'Business Case'!D11*$C907*'Business Case'!D13*$D907-'Business Case'!D14*$E907))*'Business Case'!$B$7-'Business Case'!$B$8*(('Business Case'!D11*$C907*'Business Case'!D12*$B907)-('Business Case'!C11*$C907*'Business Case'!C12*$B907))-'Business Case'!D15*$F907</f>
        <v>284019652.281392</v>
      </c>
      <c r="K907" s="53" t="n">
        <f aca="false">(('Business Case'!E11*$C907*'Business Case'!E12*$B907)-'Business Case'!E11*$C907*'Business Case'!E13*$D907-'Business Case'!E14*$E907)-MAX(0,(('Business Case'!E11*$C907*'Business Case'!E12*$B907)-'Business Case'!E11*$C907*'Business Case'!E13*$D907-'Business Case'!E14*$E907))*'Business Case'!$B$7-'Business Case'!$B$8*(('Business Case'!E11*$C907*'Business Case'!E12*$B907)-('Business Case'!D11*$C907*'Business Case'!D12*$B907))-'Business Case'!E15*$F907</f>
        <v>643684293.906199</v>
      </c>
      <c r="L907" s="53" t="n">
        <f aca="false">(('Business Case'!F11*$C907*'Business Case'!F12*$B907)-'Business Case'!F11*$C907*'Business Case'!F13*$D907-'Business Case'!F14*$E907)-MAX(0,(('Business Case'!F11*$C907*'Business Case'!F12*$B907)-'Business Case'!F11*$C907*'Business Case'!F13*$D907-'Business Case'!F14*$E907))*'Business Case'!$B$7-'Business Case'!$B$8*(('Business Case'!F11*$C907*'Business Case'!F12*$B907)-('Business Case'!E11*$C907*'Business Case'!E12*$B907))-'Business Case'!F15*$F907</f>
        <v>781175105.344899</v>
      </c>
      <c r="M907" s="53" t="n">
        <f aca="false">(('Business Case'!G11*$C907*'Business Case'!G12*$B907)-'Business Case'!G11*$C907*'Business Case'!G13*$D907-'Business Case'!G14*$E907)-MAX(0,(('Business Case'!G11*$C907*'Business Case'!G12*$B907)-'Business Case'!G11*$C907*'Business Case'!G13*$D907-'Business Case'!G14*$E907))*'Business Case'!$B$7-'Business Case'!$B$8*(('Business Case'!G11*$C907*'Business Case'!G12*$B907)-('Business Case'!F11*$C907*'Business Case'!F12*$B907))-'Business Case'!G15*$F907+'Business Case'!$B$8*('Business Case'!G11*$C907*'Business Case'!G12*$B907)</f>
        <v>984421774.526134</v>
      </c>
      <c r="N907" s="53" t="n">
        <f aca="false">IF(COUNT('Business Case'!B11:G11)=0,"",H907+NPV(G907,I907:M907))</f>
        <v>-513869889.843865</v>
      </c>
      <c r="P907" s="54" t="n">
        <f aca="true">RAND()</f>
        <v>0.532546292417982</v>
      </c>
      <c r="Q907" s="54" t="n">
        <f aca="true">RAND()</f>
        <v>0.90244482349501</v>
      </c>
      <c r="R907" s="54" t="n">
        <f aca="true">RAND()</f>
        <v>0.846749338125936</v>
      </c>
      <c r="S907" s="54" t="n">
        <f aca="true">RAND()</f>
        <v>0.747152561243446</v>
      </c>
      <c r="T907" s="54" t="n">
        <f aca="true">RAND()</f>
        <v>0.969705508372766</v>
      </c>
      <c r="U907" s="54" t="n">
        <f aca="true">RAND()</f>
        <v>0.678438276911185</v>
      </c>
    </row>
    <row r="908" customFormat="false" ht="15" hidden="false" customHeight="false" outlineLevel="0" collapsed="false">
      <c r="A908" s="50" t="n">
        <v>828</v>
      </c>
      <c r="B908" s="51" t="n">
        <f aca="false">1+IF($G$6=$E$6,$F$6,IF(P908&lt;($F$6-$E$6)/($G$6-$E$6),$E$6+SQRT(P908*($G$6-$E$6)*($F$6-$E$6)),$G$6-SQRT((1-P908)*($G$6-$E$6)*($G$6-$F$6))))</f>
        <v>1.01727845329378</v>
      </c>
      <c r="C908" s="51" t="n">
        <f aca="false">1+IF($G$7=$E$7,$F$7,IF(Q908&lt;($F$7-$E$7)/($G$7-$E$7),$E$7+SQRT(Q908*($G$7-$E$7)*($F$7-$E$7)),$G$7-SQRT((1-Q908)*($G$7-$E$7)*($G$7-$F$7))))</f>
        <v>0.947246477639318</v>
      </c>
      <c r="D908" s="51" t="n">
        <f aca="false">1+IF($G$8=$E$8,$F$8,IF(R908&lt;($F$8-$E$8)/($G$8-$E$8),$E$8+SQRT(R908*($G$8-$E$8)*($F$8-$E$8)),$G$8-SQRT((1-R908)*($G$8-$E$8)*($G$8-$F$8))))</f>
        <v>0.97337526394502</v>
      </c>
      <c r="E908" s="51" t="n">
        <f aca="false">1+IF($G$9=$E$9,$F$9,IF(S908&lt;($F$9-$E$9)/($G$9-$E$9),$E$9+SQRT(S908*($G$9-$E$9)*($F$9-$E$9)),$G$9-SQRT((1-S908)*($G$9-$E$9)*($G$9-$F$9))))</f>
        <v>1.08931686326761</v>
      </c>
      <c r="F908" s="51" t="n">
        <f aca="false">1+IF($G$10=$E$10,$F$10,IF(T908&lt;($F$10-$E$10)/($G$10-$E$10),$E$10+SQRT(T908*($G$10-$E$10)*($F$10-$E$10)),$G$10-SQRT((1-T908)*($G$10-$E$10)*($G$10-$F$10))))</f>
        <v>0.976647163579596</v>
      </c>
      <c r="G908" s="52" t="n">
        <f aca="false">IF($G$11=$E$11,$F$11,IF(U908&lt;($F$11-$E$11)/($G$11-$E$11),$E$11+SQRT(U908*($G$11-$E$11)*($F$11-$E$11)),$G$11-SQRT((1-U908)*($G$11-$E$11)*($G$11-$F$11))))</f>
        <v>0.108747837587921</v>
      </c>
      <c r="H908" s="53" t="n">
        <f aca="false">(('Business Case'!B11*$C908*'Business Case'!B12*$B908)-'Business Case'!B11*$C908*'Business Case'!B13*$D908-'Business Case'!B14*$E908)-MAX(0,(('Business Case'!B11*$C908*'Business Case'!B12*$B908)-'Business Case'!B11*$C908*'Business Case'!B13*$D908-'Business Case'!B14*$E908))*'Business Case'!$B$7-'Business Case'!$B$8*('Business Case'!B11*$C908*'Business Case'!B12*$B908)-'Business Case'!B15*$F908</f>
        <v>-1953294327.15919</v>
      </c>
      <c r="I908" s="53" t="n">
        <f aca="false">(('Business Case'!C11*$C908*'Business Case'!C12*$B908)-'Business Case'!C11*$C908*'Business Case'!C13*$D908-'Business Case'!C14*$E908)-MAX(0,(('Business Case'!C11*$C908*'Business Case'!C12*$B908)-'Business Case'!C11*$C908*'Business Case'!C13*$D908-'Business Case'!C14*$E908))*'Business Case'!$B$7-'Business Case'!$B$8*(('Business Case'!C11*$C908*'Business Case'!C12*$B908)-('Business Case'!B11*$C908*'Business Case'!B12*$B908))-'Business Case'!C15*$F908</f>
        <v>14745787.6097632</v>
      </c>
      <c r="J908" s="53" t="n">
        <f aca="false">(('Business Case'!D11*$C908*'Business Case'!D12*$B908)-'Business Case'!D11*$C908*'Business Case'!D13*$D908-'Business Case'!D14*$E908)-MAX(0,(('Business Case'!D11*$C908*'Business Case'!D12*$B908)-'Business Case'!D11*$C908*'Business Case'!D13*$D908-'Business Case'!D14*$E908))*'Business Case'!$B$7-'Business Case'!$B$8*(('Business Case'!D11*$C908*'Business Case'!D12*$B908)-('Business Case'!C11*$C908*'Business Case'!C12*$B908))-'Business Case'!D15*$F908</f>
        <v>332010869.831441</v>
      </c>
      <c r="K908" s="53" t="n">
        <f aca="false">(('Business Case'!E11*$C908*'Business Case'!E12*$B908)-'Business Case'!E11*$C908*'Business Case'!E13*$D908-'Business Case'!E14*$E908)-MAX(0,(('Business Case'!E11*$C908*'Business Case'!E12*$B908)-'Business Case'!E11*$C908*'Business Case'!E13*$D908-'Business Case'!E14*$E908))*'Business Case'!$B$7-'Business Case'!$B$8*(('Business Case'!E11*$C908*'Business Case'!E12*$B908)-('Business Case'!D11*$C908*'Business Case'!D12*$B908))-'Business Case'!E15*$F908</f>
        <v>698108310.232099</v>
      </c>
      <c r="L908" s="53" t="n">
        <f aca="false">(('Business Case'!F11*$C908*'Business Case'!F12*$B908)-'Business Case'!F11*$C908*'Business Case'!F13*$D908-'Business Case'!F14*$E908)-MAX(0,(('Business Case'!F11*$C908*'Business Case'!F12*$B908)-'Business Case'!F11*$C908*'Business Case'!F13*$D908-'Business Case'!F14*$E908))*'Business Case'!$B$7-'Business Case'!$B$8*(('Business Case'!F11*$C908*'Business Case'!F12*$B908)-('Business Case'!E11*$C908*'Business Case'!E12*$B908))-'Business Case'!F15*$F908</f>
        <v>837165817.837526</v>
      </c>
      <c r="M908" s="53" t="n">
        <f aca="false">(('Business Case'!G11*$C908*'Business Case'!G12*$B908)-'Business Case'!G11*$C908*'Business Case'!G13*$D908-'Business Case'!G14*$E908)-MAX(0,(('Business Case'!G11*$C908*'Business Case'!G12*$B908)-'Business Case'!G11*$C908*'Business Case'!G13*$D908-'Business Case'!G14*$E908))*'Business Case'!$B$7-'Business Case'!$B$8*(('Business Case'!G11*$C908*'Business Case'!G12*$B908)-('Business Case'!F11*$C908*'Business Case'!F12*$B908))-'Business Case'!G15*$F908+'Business Case'!$B$8*('Business Case'!G11*$C908*'Business Case'!G12*$B908)</f>
        <v>1020329458.92763</v>
      </c>
      <c r="N908" s="53" t="n">
        <f aca="false">IF(COUNT('Business Case'!B11:G11)=0,"",H908+NPV(G908,I908:M908))</f>
        <v>5169058.42958522</v>
      </c>
      <c r="P908" s="54" t="n">
        <f aca="true">RAND()</f>
        <v>0.892444024016048</v>
      </c>
      <c r="Q908" s="54" t="n">
        <f aca="true">RAND()</f>
        <v>0.309736073959801</v>
      </c>
      <c r="R908" s="54" t="n">
        <f aca="true">RAND()</f>
        <v>0.0840619945383644</v>
      </c>
      <c r="S908" s="54" t="n">
        <f aca="true">RAND()</f>
        <v>0.992391372637134</v>
      </c>
      <c r="T908" s="54" t="n">
        <f aca="true">RAND()</f>
        <v>0.0568057061470196</v>
      </c>
      <c r="U908" s="54" t="n">
        <f aca="true">RAND()</f>
        <v>0.788981401753667</v>
      </c>
    </row>
    <row r="909" customFormat="false" ht="15" hidden="false" customHeight="false" outlineLevel="0" collapsed="false">
      <c r="A909" s="50" t="n">
        <v>829</v>
      </c>
      <c r="B909" s="51" t="n">
        <f aca="false">1+IF($G$6=$E$6,$F$6,IF(P909&lt;($F$6-$E$6)/($G$6-$E$6),$E$6+SQRT(P909*($G$6-$E$6)*($F$6-$E$6)),$G$6-SQRT((1-P909)*($G$6-$E$6)*($G$6-$F$6))))</f>
        <v>1.02782274070832</v>
      </c>
      <c r="C909" s="51" t="n">
        <f aca="false">1+IF($G$7=$E$7,$F$7,IF(Q909&lt;($F$7-$E$7)/($G$7-$E$7),$E$7+SQRT(Q909*($G$7-$E$7)*($F$7-$E$7)),$G$7-SQRT((1-Q909)*($G$7-$E$7)*($G$7-$F$7))))</f>
        <v>0.920482794577001</v>
      </c>
      <c r="D909" s="51" t="n">
        <f aca="false">1+IF($G$8=$E$8,$F$8,IF(R909&lt;($F$8-$E$8)/($G$8-$E$8),$E$8+SQRT(R909*($G$8-$E$8)*($F$8-$E$8)),$G$8-SQRT((1-R909)*($G$8-$E$8)*($G$8-$F$8))))</f>
        <v>1.01765481500506</v>
      </c>
      <c r="E909" s="51" t="n">
        <f aca="false">1+IF($G$9=$E$9,$F$9,IF(S909&lt;($F$9-$E$9)/($G$9-$E$9),$E$9+SQRT(S909*($G$9-$E$9)*($F$9-$E$9)),$G$9-SQRT((1-S909)*($G$9-$E$9)*($G$9-$F$9))))</f>
        <v>1.02975149586511</v>
      </c>
      <c r="F909" s="51" t="n">
        <f aca="false">1+IF($G$10=$E$10,$F$10,IF(T909&lt;($F$10-$E$10)/($G$10-$E$10),$E$10+SQRT(T909*($G$10-$E$10)*($F$10-$E$10)),$G$10-SQRT((1-T909)*($G$10-$E$10)*($G$10-$F$10))))</f>
        <v>1.09365355900365</v>
      </c>
      <c r="G909" s="52" t="n">
        <f aca="false">IF($G$11=$E$11,$F$11,IF(U909&lt;($F$11-$E$11)/($G$11-$E$11),$E$11+SQRT(U909*($G$11-$E$11)*($F$11-$E$11)),$G$11-SQRT((1-U909)*($G$11-$E$11)*($G$11-$F$11))))</f>
        <v>0.0944169936054281</v>
      </c>
      <c r="H909" s="53" t="n">
        <f aca="false">(('Business Case'!B11*$C909*'Business Case'!B12*$B909)-'Business Case'!B11*$C909*'Business Case'!B13*$D909-'Business Case'!B14*$E909)-MAX(0,(('Business Case'!B11*$C909*'Business Case'!B12*$B909)-'Business Case'!B11*$C909*'Business Case'!B13*$D909-'Business Case'!B14*$E909))*'Business Case'!$B$7-'Business Case'!$B$8*('Business Case'!B11*$C909*'Business Case'!B12*$B909)-'Business Case'!B15*$F909</f>
        <v>-2187307118.00731</v>
      </c>
      <c r="I909" s="53" t="n">
        <f aca="false">(('Business Case'!C11*$C909*'Business Case'!C12*$B909)-'Business Case'!C11*$C909*'Business Case'!C13*$D909-'Business Case'!C14*$E909)-MAX(0,(('Business Case'!C11*$C909*'Business Case'!C12*$B909)-'Business Case'!C11*$C909*'Business Case'!C13*$D909-'Business Case'!C14*$E909))*'Business Case'!$B$7-'Business Case'!$B$8*(('Business Case'!C11*$C909*'Business Case'!C12*$B909)-('Business Case'!B11*$C909*'Business Case'!B12*$B909))-'Business Case'!C15*$F909</f>
        <v>-9455820.24311826</v>
      </c>
      <c r="J909" s="53" t="n">
        <f aca="false">(('Business Case'!D11*$C909*'Business Case'!D12*$B909)-'Business Case'!D11*$C909*'Business Case'!D13*$D909-'Business Case'!D14*$E909)-MAX(0,(('Business Case'!D11*$C909*'Business Case'!D12*$B909)-'Business Case'!D11*$C909*'Business Case'!D13*$D909-'Business Case'!D14*$E909))*'Business Case'!$B$7-'Business Case'!$B$8*(('Business Case'!D11*$C909*'Business Case'!D12*$B909)-('Business Case'!C11*$C909*'Business Case'!C12*$B909))-'Business Case'!D15*$F909</f>
        <v>285929846.954599</v>
      </c>
      <c r="K909" s="53" t="n">
        <f aca="false">(('Business Case'!E11*$C909*'Business Case'!E12*$B909)-'Business Case'!E11*$C909*'Business Case'!E13*$D909-'Business Case'!E14*$E909)-MAX(0,(('Business Case'!E11*$C909*'Business Case'!E12*$B909)-'Business Case'!E11*$C909*'Business Case'!E13*$D909-'Business Case'!E14*$E909))*'Business Case'!$B$7-'Business Case'!$B$8*(('Business Case'!E11*$C909*'Business Case'!E12*$B909)-('Business Case'!D11*$C909*'Business Case'!D12*$B909))-'Business Case'!E15*$F909</f>
        <v>635998192.102499</v>
      </c>
      <c r="L909" s="53" t="n">
        <f aca="false">(('Business Case'!F11*$C909*'Business Case'!F12*$B909)-'Business Case'!F11*$C909*'Business Case'!F13*$D909-'Business Case'!F14*$E909)-MAX(0,(('Business Case'!F11*$C909*'Business Case'!F12*$B909)-'Business Case'!F11*$C909*'Business Case'!F13*$D909-'Business Case'!F14*$E909))*'Business Case'!$B$7-'Business Case'!$B$8*(('Business Case'!F11*$C909*'Business Case'!F12*$B909)-('Business Case'!E11*$C909*'Business Case'!E12*$B909))-'Business Case'!F15*$F909</f>
        <v>767157060.387373</v>
      </c>
      <c r="M909" s="53" t="n">
        <f aca="false">(('Business Case'!G11*$C909*'Business Case'!G12*$B909)-'Business Case'!G11*$C909*'Business Case'!G13*$D909-'Business Case'!G14*$E909)-MAX(0,(('Business Case'!G11*$C909*'Business Case'!G12*$B909)-'Business Case'!G11*$C909*'Business Case'!G13*$D909-'Business Case'!G14*$E909))*'Business Case'!$B$7-'Business Case'!$B$8*(('Business Case'!G11*$C909*'Business Case'!G12*$B909)-('Business Case'!F11*$C909*'Business Case'!F12*$B909))-'Business Case'!G15*$F909+'Business Case'!$B$8*('Business Case'!G11*$C909*'Business Case'!G12*$B909)</f>
        <v>946990446.091697</v>
      </c>
      <c r="N909" s="53" t="n">
        <f aca="false">IF(COUNT('Business Case'!B11:G11)=0,"",H909+NPV(G909,I909:M909))</f>
        <v>-334128177.132288</v>
      </c>
      <c r="P909" s="54" t="n">
        <f aca="true">RAND()</f>
        <v>0.969107157529854</v>
      </c>
      <c r="Q909" s="54" t="n">
        <f aca="true">RAND()</f>
        <v>0.207372911272626</v>
      </c>
      <c r="R909" s="54" t="n">
        <f aca="true">RAND()</f>
        <v>0.626257491148719</v>
      </c>
      <c r="S909" s="54" t="n">
        <f aca="true">RAND()</f>
        <v>0.671009844454018</v>
      </c>
      <c r="T909" s="54" t="n">
        <f aca="true">RAND()</f>
        <v>0.773808689748208</v>
      </c>
      <c r="U909" s="54" t="n">
        <f aca="true">RAND()</f>
        <v>0.0650327750346421</v>
      </c>
    </row>
    <row r="910" customFormat="false" ht="15" hidden="false" customHeight="false" outlineLevel="0" collapsed="false">
      <c r="A910" s="50" t="n">
        <v>830</v>
      </c>
      <c r="B910" s="51" t="n">
        <f aca="false">1+IF($G$6=$E$6,$F$6,IF(P910&lt;($F$6-$E$6)/($G$6-$E$6),$E$6+SQRT(P910*($G$6-$E$6)*($F$6-$E$6)),$G$6-SQRT((1-P910)*($G$6-$E$6)*($G$6-$F$6))))</f>
        <v>0.985281585455604</v>
      </c>
      <c r="C910" s="51" t="n">
        <f aca="false">1+IF($G$7=$E$7,$F$7,IF(Q910&lt;($F$7-$E$7)/($G$7-$E$7),$E$7+SQRT(Q910*($G$7-$E$7)*($F$7-$E$7)),$G$7-SQRT((1-Q910)*($G$7-$E$7)*($G$7-$F$7))))</f>
        <v>1.00616078091846</v>
      </c>
      <c r="D910" s="51" t="n">
        <f aca="false">1+IF($G$8=$E$8,$F$8,IF(R910&lt;($F$8-$E$8)/($G$8-$E$8),$E$8+SQRT(R910*($G$8-$E$8)*($F$8-$E$8)),$G$8-SQRT((1-R910)*($G$8-$E$8)*($G$8-$F$8))))</f>
        <v>1.01902090751992</v>
      </c>
      <c r="E910" s="51" t="n">
        <f aca="false">1+IF($G$9=$E$9,$F$9,IF(S910&lt;($F$9-$E$9)/($G$9-$E$9),$E$9+SQRT(S910*($G$9-$E$9)*($F$9-$E$9)),$G$9-SQRT((1-S910)*($G$9-$E$9)*($G$9-$F$9))))</f>
        <v>0.975804782091888</v>
      </c>
      <c r="F910" s="51" t="n">
        <f aca="false">1+IF($G$10=$E$10,$F$10,IF(T910&lt;($F$10-$E$10)/($G$10-$E$10),$E$10+SQRT(T910*($G$10-$E$10)*($F$10-$E$10)),$G$10-SQRT((1-T910)*($G$10-$E$10)*($G$10-$F$10))))</f>
        <v>1.070899071075</v>
      </c>
      <c r="G910" s="52" t="n">
        <f aca="false">IF($G$11=$E$11,$F$11,IF(U910&lt;($F$11-$E$11)/($G$11-$E$11),$E$11+SQRT(U910*($G$11-$E$11)*($F$11-$E$11)),$G$11-SQRT((1-U910)*($G$11-$E$11)*($G$11-$F$11))))</f>
        <v>0.100663484815936</v>
      </c>
      <c r="H910" s="53" t="n">
        <f aca="false">(('Business Case'!B11*$C910*'Business Case'!B12*$B910)-'Business Case'!B11*$C910*'Business Case'!B13*$D910-'Business Case'!B14*$E910)-MAX(0,(('Business Case'!B11*$C910*'Business Case'!B12*$B910)-'Business Case'!B11*$C910*'Business Case'!B13*$D910-'Business Case'!B14*$E910))*'Business Case'!$B$7-'Business Case'!$B$8*('Business Case'!B11*$C910*'Business Case'!B12*$B910)-'Business Case'!B15*$F910</f>
        <v>-2141798142.15</v>
      </c>
      <c r="I910" s="53" t="n">
        <f aca="false">(('Business Case'!C11*$C910*'Business Case'!C12*$B910)-'Business Case'!C11*$C910*'Business Case'!C13*$D910-'Business Case'!C14*$E910)-MAX(0,(('Business Case'!C11*$C910*'Business Case'!C12*$B910)-'Business Case'!C11*$C910*'Business Case'!C13*$D910-'Business Case'!C14*$E910))*'Business Case'!$B$7-'Business Case'!$B$8*(('Business Case'!C11*$C910*'Business Case'!C12*$B910)-('Business Case'!B11*$C910*'Business Case'!B12*$B910))-'Business Case'!C15*$F910</f>
        <v>-10123606.319944</v>
      </c>
      <c r="J910" s="53" t="n">
        <f aca="false">(('Business Case'!D11*$C910*'Business Case'!D12*$B910)-'Business Case'!D11*$C910*'Business Case'!D13*$D910-'Business Case'!D14*$E910)-MAX(0,(('Business Case'!D11*$C910*'Business Case'!D12*$B910)-'Business Case'!D11*$C910*'Business Case'!D13*$D910-'Business Case'!D14*$E910))*'Business Case'!$B$7-'Business Case'!$B$8*(('Business Case'!D11*$C910*'Business Case'!D12*$B910)-('Business Case'!C11*$C910*'Business Case'!C12*$B910))-'Business Case'!D15*$F910</f>
        <v>276993806.06199</v>
      </c>
      <c r="K910" s="53" t="n">
        <f aca="false">(('Business Case'!E11*$C910*'Business Case'!E12*$B910)-'Business Case'!E11*$C910*'Business Case'!E13*$D910-'Business Case'!E14*$E910)-MAX(0,(('Business Case'!E11*$C910*'Business Case'!E12*$B910)-'Business Case'!E11*$C910*'Business Case'!E13*$D910-'Business Case'!E14*$E910))*'Business Case'!$B$7-'Business Case'!$B$8*(('Business Case'!E11*$C910*'Business Case'!E12*$B910)-('Business Case'!D11*$C910*'Business Case'!D12*$B910))-'Business Case'!E15*$F910</f>
        <v>617656171.997673</v>
      </c>
      <c r="L910" s="53" t="n">
        <f aca="false">(('Business Case'!F11*$C910*'Business Case'!F12*$B910)-'Business Case'!F11*$C910*'Business Case'!F13*$D910-'Business Case'!F14*$E910)-MAX(0,(('Business Case'!F11*$C910*'Business Case'!F12*$B910)-'Business Case'!F11*$C910*'Business Case'!F13*$D910-'Business Case'!F14*$E910))*'Business Case'!$B$7-'Business Case'!$B$8*(('Business Case'!F11*$C910*'Business Case'!F12*$B910)-('Business Case'!E11*$C910*'Business Case'!E12*$B910))-'Business Case'!F15*$F910</f>
        <v>747623090.512259</v>
      </c>
      <c r="M910" s="53" t="n">
        <f aca="false">(('Business Case'!G11*$C910*'Business Case'!G12*$B910)-'Business Case'!G11*$C910*'Business Case'!G13*$D910-'Business Case'!G14*$E910)-MAX(0,(('Business Case'!G11*$C910*'Business Case'!G12*$B910)-'Business Case'!G11*$C910*'Business Case'!G13*$D910-'Business Case'!G14*$E910))*'Business Case'!$B$7-'Business Case'!$B$8*(('Business Case'!G11*$C910*'Business Case'!G12*$B910)-('Business Case'!F11*$C910*'Business Case'!F12*$B910))-'Business Case'!G15*$F910+'Business Case'!$B$8*('Business Case'!G11*$C910*'Business Case'!G12*$B910)</f>
        <v>936059219.642267</v>
      </c>
      <c r="N910" s="53" t="n">
        <f aca="false">IF(COUNT('Business Case'!B11:G11)=0,"",H910+NPV(G910,I910:M910))</f>
        <v>-370259829.830994</v>
      </c>
      <c r="P910" s="54" t="n">
        <f aca="true">RAND()</f>
        <v>0.443925562458058</v>
      </c>
      <c r="Q910" s="54" t="n">
        <f aca="true">RAND()</f>
        <v>0.605910077219308</v>
      </c>
      <c r="R910" s="54" t="n">
        <f aca="true">RAND()</f>
        <v>0.642456757721725</v>
      </c>
      <c r="S910" s="54" t="n">
        <f aca="true">RAND()</f>
        <v>0.0887849038413065</v>
      </c>
      <c r="T910" s="54" t="n">
        <f aca="true">RAND()</f>
        <v>0.666659003014036</v>
      </c>
      <c r="U910" s="54" t="n">
        <f aca="true">RAND()</f>
        <v>0.376831967560792</v>
      </c>
    </row>
    <row r="911" customFormat="false" ht="15" hidden="false" customHeight="false" outlineLevel="0" collapsed="false">
      <c r="A911" s="50" t="n">
        <v>831</v>
      </c>
      <c r="B911" s="51" t="n">
        <f aca="false">1+IF($G$6=$E$6,$F$6,IF(P911&lt;($F$6-$E$6)/($G$6-$E$6),$E$6+SQRT(P911*($G$6-$E$6)*($F$6-$E$6)),$G$6-SQRT((1-P911)*($G$6-$E$6)*($G$6-$F$6))))</f>
        <v>0.985401949686784</v>
      </c>
      <c r="C911" s="51" t="n">
        <f aca="false">1+IF($G$7=$E$7,$F$7,IF(Q911&lt;($F$7-$E$7)/($G$7-$E$7),$E$7+SQRT(Q911*($G$7-$E$7)*($F$7-$E$7)),$G$7-SQRT((1-Q911)*($G$7-$E$7)*($G$7-$F$7))))</f>
        <v>0.968898268440529</v>
      </c>
      <c r="D911" s="51" t="n">
        <f aca="false">1+IF($G$8=$E$8,$F$8,IF(R911&lt;($F$8-$E$8)/($G$8-$E$8),$E$8+SQRT(R911*($G$8-$E$8)*($F$8-$E$8)),$G$8-SQRT((1-R911)*($G$8-$E$8)*($G$8-$F$8))))</f>
        <v>0.985262913604253</v>
      </c>
      <c r="E911" s="51" t="n">
        <f aca="false">1+IF($G$9=$E$9,$F$9,IF(S911&lt;($F$9-$E$9)/($G$9-$E$9),$E$9+SQRT(S911*($G$9-$E$9)*($F$9-$E$9)),$G$9-SQRT((1-S911)*($G$9-$E$9)*($G$9-$F$9))))</f>
        <v>0.997412649813465</v>
      </c>
      <c r="F911" s="51" t="n">
        <f aca="false">1+IF($G$10=$E$10,$F$10,IF(T911&lt;($F$10-$E$10)/($G$10-$E$10),$E$10+SQRT(T911*($G$10-$E$10)*($F$10-$E$10)),$G$10-SQRT((1-T911)*($G$10-$E$10)*($G$10-$F$10))))</f>
        <v>1.13372941112853</v>
      </c>
      <c r="G911" s="52" t="n">
        <f aca="false">IF($G$11=$E$11,$F$11,IF(U911&lt;($F$11-$E$11)/($G$11-$E$11),$E$11+SQRT(U911*($G$11-$E$11)*($F$11-$E$11)),$G$11-SQRT((1-U911)*($G$11-$E$11)*($G$11-$F$11))))</f>
        <v>0.114633320205406</v>
      </c>
      <c r="H911" s="53" t="n">
        <f aca="false">(('Business Case'!B11*$C911*'Business Case'!B12*$B911)-'Business Case'!B11*$C911*'Business Case'!B13*$D911-'Business Case'!B14*$E911)-MAX(0,(('Business Case'!B11*$C911*'Business Case'!B12*$B911)-'Business Case'!B11*$C911*'Business Case'!B13*$D911-'Business Case'!B14*$E911))*'Business Case'!$B$7-'Business Case'!$B$8*('Business Case'!B11*$C911*'Business Case'!B12*$B911)-'Business Case'!B15*$F911</f>
        <v>-2267458822.25707</v>
      </c>
      <c r="I911" s="53" t="n">
        <f aca="false">(('Business Case'!C11*$C911*'Business Case'!C12*$B911)-'Business Case'!C11*$C911*'Business Case'!C13*$D911-'Business Case'!C14*$E911)-MAX(0,(('Business Case'!C11*$C911*'Business Case'!C12*$B911)-'Business Case'!C11*$C911*'Business Case'!C13*$D911-'Business Case'!C14*$E911))*'Business Case'!$B$7-'Business Case'!$B$8*(('Business Case'!C11*$C911*'Business Case'!C12*$B911)-('Business Case'!B11*$C911*'Business Case'!B12*$B911))-'Business Case'!C15*$F911</f>
        <v>-11375843.0116779</v>
      </c>
      <c r="J911" s="53" t="n">
        <f aca="false">(('Business Case'!D11*$C911*'Business Case'!D12*$B911)-'Business Case'!D11*$C911*'Business Case'!D13*$D911-'Business Case'!D14*$E911)-MAX(0,(('Business Case'!D11*$C911*'Business Case'!D12*$B911)-'Business Case'!D11*$C911*'Business Case'!D13*$D911-'Business Case'!D14*$E911))*'Business Case'!$B$7-'Business Case'!$B$8*(('Business Case'!D11*$C911*'Business Case'!D12*$B911)-('Business Case'!C11*$C911*'Business Case'!C12*$B911))-'Business Case'!D15*$F911</f>
        <v>281947793.838141</v>
      </c>
      <c r="K911" s="53" t="n">
        <f aca="false">(('Business Case'!E11*$C911*'Business Case'!E12*$B911)-'Business Case'!E11*$C911*'Business Case'!E13*$D911-'Business Case'!E14*$E911)-MAX(0,(('Business Case'!E11*$C911*'Business Case'!E12*$B911)-'Business Case'!E11*$C911*'Business Case'!E13*$D911-'Business Case'!E14*$E911))*'Business Case'!$B$7-'Business Case'!$B$8*(('Business Case'!E11*$C911*'Business Case'!E12*$B911)-('Business Case'!D11*$C911*'Business Case'!D12*$B911))-'Business Case'!E15*$F911</f>
        <v>631957901.244385</v>
      </c>
      <c r="L911" s="53" t="n">
        <f aca="false">(('Business Case'!F11*$C911*'Business Case'!F12*$B911)-'Business Case'!F11*$C911*'Business Case'!F13*$D911-'Business Case'!F14*$E911)-MAX(0,(('Business Case'!F11*$C911*'Business Case'!F12*$B911)-'Business Case'!F11*$C911*'Business Case'!F13*$D911-'Business Case'!F14*$E911))*'Business Case'!$B$7-'Business Case'!$B$8*(('Business Case'!F11*$C911*'Business Case'!F12*$B911)-('Business Case'!E11*$C911*'Business Case'!E12*$B911))-'Business Case'!F15*$F911</f>
        <v>762728753.491104</v>
      </c>
      <c r="M911" s="53" t="n">
        <f aca="false">(('Business Case'!G11*$C911*'Business Case'!G12*$B911)-'Business Case'!G11*$C911*'Business Case'!G13*$D911-'Business Case'!G14*$E911)-MAX(0,(('Business Case'!G11*$C911*'Business Case'!G12*$B911)-'Business Case'!G11*$C911*'Business Case'!G13*$D911-'Business Case'!G14*$E911))*'Business Case'!$B$7-'Business Case'!$B$8*(('Business Case'!G11*$C911*'Business Case'!G12*$B911)-('Business Case'!F11*$C911*'Business Case'!F12*$B911))-'Business Case'!G15*$F911+'Business Case'!$B$8*('Business Case'!G11*$C911*'Business Case'!G12*$B911)</f>
        <v>944208439.95672</v>
      </c>
      <c r="N911" s="53" t="n">
        <f aca="false">IF(COUNT('Business Case'!B11:G11)=0,"",H911+NPV(G911,I911:M911))</f>
        <v>-551461421.698166</v>
      </c>
      <c r="P911" s="54" t="n">
        <f aca="true">RAND()</f>
        <v>0.445564064878401</v>
      </c>
      <c r="Q911" s="54" t="n">
        <f aca="true">RAND()</f>
        <v>0.407523215460127</v>
      </c>
      <c r="R911" s="54" t="n">
        <f aca="true">RAND()</f>
        <v>0.191303550132463</v>
      </c>
      <c r="S911" s="54" t="n">
        <f aca="true">RAND()</f>
        <v>0.299727914977897</v>
      </c>
      <c r="T911" s="54" t="n">
        <f aca="true">RAND()</f>
        <v>0.912164181012583</v>
      </c>
      <c r="U911" s="54" t="n">
        <f aca="true">RAND()</f>
        <v>0.951997913303826</v>
      </c>
    </row>
    <row r="912" customFormat="false" ht="15" hidden="false" customHeight="false" outlineLevel="0" collapsed="false">
      <c r="A912" s="50" t="n">
        <v>832</v>
      </c>
      <c r="B912" s="51" t="n">
        <f aca="false">1+IF($G$6=$E$6,$F$6,IF(P912&lt;($F$6-$E$6)/($G$6-$E$6),$E$6+SQRT(P912*($G$6-$E$6)*($F$6-$E$6)),$G$6-SQRT((1-P912)*($G$6-$E$6)*($G$6-$F$6))))</f>
        <v>0.998272389828186</v>
      </c>
      <c r="C912" s="51" t="n">
        <f aca="false">1+IF($G$7=$E$7,$F$7,IF(Q912&lt;($F$7-$E$7)/($G$7-$E$7),$E$7+SQRT(Q912*($G$7-$E$7)*($F$7-$E$7)),$G$7-SQRT((1-Q912)*($G$7-$E$7)*($G$7-$F$7))))</f>
        <v>0.982534515016959</v>
      </c>
      <c r="D912" s="51" t="n">
        <f aca="false">1+IF($G$8=$E$8,$F$8,IF(R912&lt;($F$8-$E$8)/($G$8-$E$8),$E$8+SQRT(R912*($G$8-$E$8)*($F$8-$E$8)),$G$8-SQRT((1-R912)*($G$8-$E$8)*($G$8-$F$8))))</f>
        <v>0.987638502735704</v>
      </c>
      <c r="E912" s="51" t="n">
        <f aca="false">1+IF($G$9=$E$9,$F$9,IF(S912&lt;($F$9-$E$9)/($G$9-$E$9),$E$9+SQRT(S912*($G$9-$E$9)*($F$9-$E$9)),$G$9-SQRT((1-S912)*($G$9-$E$9)*($G$9-$F$9))))</f>
        <v>0.965849320168129</v>
      </c>
      <c r="F912" s="51" t="n">
        <f aca="false">1+IF($G$10=$E$10,$F$10,IF(T912&lt;($F$10-$E$10)/($G$10-$E$10),$E$10+SQRT(T912*($G$10-$E$10)*($F$10-$E$10)),$G$10-SQRT((1-T912)*($G$10-$E$10)*($G$10-$F$10))))</f>
        <v>1.06012900784969</v>
      </c>
      <c r="G912" s="52" t="n">
        <f aca="false">IF($G$11=$E$11,$F$11,IF(U912&lt;($F$11-$E$11)/($G$11-$E$11),$E$11+SQRT(U912*($G$11-$E$11)*($F$11-$E$11)),$G$11-SQRT((1-U912)*($G$11-$E$11)*($G$11-$F$11))))</f>
        <v>0.104535425914355</v>
      </c>
      <c r="H912" s="53" t="n">
        <f aca="false">(('Business Case'!B11*$C912*'Business Case'!B12*$B912)-'Business Case'!B11*$C912*'Business Case'!B13*$D912-'Business Case'!B14*$E912)-MAX(0,(('Business Case'!B11*$C912*'Business Case'!B12*$B912)-'Business Case'!B11*$C912*'Business Case'!B13*$D912-'Business Case'!B14*$E912))*'Business Case'!$B$7-'Business Case'!$B$8*('Business Case'!B11*$C912*'Business Case'!B12*$B912)-'Business Case'!B15*$F912</f>
        <v>-2120258015.69938</v>
      </c>
      <c r="I912" s="53" t="n">
        <f aca="false">(('Business Case'!C11*$C912*'Business Case'!C12*$B912)-'Business Case'!C11*$C912*'Business Case'!C13*$D912-'Business Case'!C14*$E912)-MAX(0,(('Business Case'!C11*$C912*'Business Case'!C12*$B912)-'Business Case'!C11*$C912*'Business Case'!C13*$D912-'Business Case'!C14*$E912))*'Business Case'!$B$7-'Business Case'!$B$8*(('Business Case'!C11*$C912*'Business Case'!C12*$B912)-('Business Case'!B11*$C912*'Business Case'!B12*$B912))-'Business Case'!C15*$F912</f>
        <v>12411424.6750763</v>
      </c>
      <c r="J912" s="53" t="n">
        <f aca="false">(('Business Case'!D11*$C912*'Business Case'!D12*$B912)-'Business Case'!D11*$C912*'Business Case'!D13*$D912-'Business Case'!D14*$E912)-MAX(0,(('Business Case'!D11*$C912*'Business Case'!D12*$B912)-'Business Case'!D11*$C912*'Business Case'!D13*$D912-'Business Case'!D14*$E912))*'Business Case'!$B$7-'Business Case'!$B$8*(('Business Case'!D11*$C912*'Business Case'!D12*$B912)-('Business Case'!C11*$C912*'Business Case'!C12*$B912))-'Business Case'!D15*$F912</f>
        <v>319026117.607008</v>
      </c>
      <c r="K912" s="53" t="n">
        <f aca="false">(('Business Case'!E11*$C912*'Business Case'!E12*$B912)-'Business Case'!E11*$C912*'Business Case'!E13*$D912-'Business Case'!E14*$E912)-MAX(0,(('Business Case'!E11*$C912*'Business Case'!E12*$B912)-'Business Case'!E11*$C912*'Business Case'!E13*$D912-'Business Case'!E14*$E912))*'Business Case'!$B$7-'Business Case'!$B$8*(('Business Case'!E11*$C912*'Business Case'!E12*$B912)-('Business Case'!D11*$C912*'Business Case'!D12*$B912))-'Business Case'!E15*$F912</f>
        <v>678647260.931425</v>
      </c>
      <c r="L912" s="53" t="n">
        <f aca="false">(('Business Case'!F11*$C912*'Business Case'!F12*$B912)-'Business Case'!F11*$C912*'Business Case'!F13*$D912-'Business Case'!F14*$E912)-MAX(0,(('Business Case'!F11*$C912*'Business Case'!F12*$B912)-'Business Case'!F11*$C912*'Business Case'!F13*$D912-'Business Case'!F14*$E912))*'Business Case'!$B$7-'Business Case'!$B$8*(('Business Case'!F11*$C912*'Business Case'!F12*$B912)-('Business Case'!E11*$C912*'Business Case'!E12*$B912))-'Business Case'!F15*$F912</f>
        <v>814749888.004722</v>
      </c>
      <c r="M912" s="53" t="n">
        <f aca="false">(('Business Case'!G11*$C912*'Business Case'!G12*$B912)-'Business Case'!G11*$C912*'Business Case'!G13*$D912-'Business Case'!G14*$E912)-MAX(0,(('Business Case'!G11*$C912*'Business Case'!G12*$B912)-'Business Case'!G11*$C912*'Business Case'!G13*$D912-'Business Case'!G14*$E912))*'Business Case'!$B$7-'Business Case'!$B$8*(('Business Case'!G11*$C912*'Business Case'!G12*$B912)-('Business Case'!F11*$C912*'Business Case'!F12*$B912))-'Business Case'!G15*$F912+'Business Case'!$B$8*('Business Case'!G11*$C912*'Business Case'!G12*$B912)</f>
        <v>1001187399.86598</v>
      </c>
      <c r="N912" s="53" t="n">
        <f aca="false">IF(COUNT('Business Case'!B11:G11)=0,"",H912+NPV(G912,I912:M912))</f>
        <v>-187500638.683754</v>
      </c>
      <c r="P912" s="54" t="n">
        <f aca="true">RAND()</f>
        <v>0.638184063480784</v>
      </c>
      <c r="Q912" s="54" t="n">
        <f aca="true">RAND()</f>
        <v>0.475983559606806</v>
      </c>
      <c r="R912" s="54" t="n">
        <f aca="true">RAND()</f>
        <v>0.217947213567019</v>
      </c>
      <c r="S912" s="54" t="n">
        <f aca="true">RAND()</f>
        <v>0.0334934599722473</v>
      </c>
      <c r="T912" s="54" t="n">
        <f aca="true">RAND()</f>
        <v>0.608722111097751</v>
      </c>
      <c r="U912" s="54" t="n">
        <f aca="true">RAND()</f>
        <v>0.601411580582671</v>
      </c>
    </row>
    <row r="913" customFormat="false" ht="15" hidden="false" customHeight="false" outlineLevel="0" collapsed="false">
      <c r="A913" s="50" t="n">
        <v>833</v>
      </c>
      <c r="B913" s="51" t="n">
        <f aca="false">1+IF($G$6=$E$6,$F$6,IF(P913&lt;($F$6-$E$6)/($G$6-$E$6),$E$6+SQRT(P913*($G$6-$E$6)*($F$6-$E$6)),$G$6-SQRT((1-P913)*($G$6-$E$6)*($G$6-$F$6))))</f>
        <v>1.00755043132312</v>
      </c>
      <c r="C913" s="51" t="n">
        <f aca="false">1+IF($G$7=$E$7,$F$7,IF(Q913&lt;($F$7-$E$7)/($G$7-$E$7),$E$7+SQRT(Q913*($G$7-$E$7)*($F$7-$E$7)),$G$7-SQRT((1-Q913)*($G$7-$E$7)*($G$7-$F$7))))</f>
        <v>1.07419015002516</v>
      </c>
      <c r="D913" s="51" t="n">
        <f aca="false">1+IF($G$8=$E$8,$F$8,IF(R913&lt;($F$8-$E$8)/($G$8-$E$8),$E$8+SQRT(R913*($G$8-$E$8)*($F$8-$E$8)),$G$8-SQRT((1-R913)*($G$8-$E$8)*($G$8-$F$8))))</f>
        <v>1.00700616322759</v>
      </c>
      <c r="E913" s="51" t="n">
        <f aca="false">1+IF($G$9=$E$9,$F$9,IF(S913&lt;($F$9-$E$9)/($G$9-$E$9),$E$9+SQRT(S913*($G$9-$E$9)*($F$9-$E$9)),$G$9-SQRT((1-S913)*($G$9-$E$9)*($G$9-$F$9))))</f>
        <v>0.986928579160377</v>
      </c>
      <c r="F913" s="51" t="n">
        <f aca="false">1+IF($G$10=$E$10,$F$10,IF(T913&lt;($F$10-$E$10)/($G$10-$E$10),$E$10+SQRT(T913*($G$10-$E$10)*($F$10-$E$10)),$G$10-SQRT((1-T913)*($G$10-$E$10)*($G$10-$F$10))))</f>
        <v>1.03558487875022</v>
      </c>
      <c r="G913" s="52" t="n">
        <f aca="false">IF($G$11=$E$11,$F$11,IF(U913&lt;($F$11-$E$11)/($G$11-$E$11),$E$11+SQRT(U913*($G$11-$E$11)*($F$11-$E$11)),$G$11-SQRT((1-U913)*($G$11-$E$11)*($G$11-$F$11))))</f>
        <v>0.10789646639327</v>
      </c>
      <c r="H913" s="53" t="n">
        <f aca="false">(('Business Case'!B11*$C913*'Business Case'!B12*$B913)-'Business Case'!B11*$C913*'Business Case'!B13*$D913-'Business Case'!B14*$E913)-MAX(0,(('Business Case'!B11*$C913*'Business Case'!B12*$B913)-'Business Case'!B11*$C913*'Business Case'!B13*$D913-'Business Case'!B14*$E913))*'Business Case'!$B$7-'Business Case'!$B$8*('Business Case'!B11*$C913*'Business Case'!B12*$B913)-'Business Case'!B15*$F913</f>
        <v>-2071169757.50043</v>
      </c>
      <c r="I913" s="53" t="n">
        <f aca="false">(('Business Case'!C11*$C913*'Business Case'!C12*$B913)-'Business Case'!C11*$C913*'Business Case'!C13*$D913-'Business Case'!C14*$E913)-MAX(0,(('Business Case'!C11*$C913*'Business Case'!C12*$B913)-'Business Case'!C11*$C913*'Business Case'!C13*$D913-'Business Case'!C14*$E913))*'Business Case'!$B$7-'Business Case'!$B$8*(('Business Case'!C11*$C913*'Business Case'!C12*$B913)-('Business Case'!B11*$C913*'Business Case'!B12*$B913))-'Business Case'!C15*$F913</f>
        <v>32723929.7031101</v>
      </c>
      <c r="J913" s="53" t="n">
        <f aca="false">(('Business Case'!D11*$C913*'Business Case'!D12*$B913)-'Business Case'!D11*$C913*'Business Case'!D13*$D913-'Business Case'!D14*$E913)-MAX(0,(('Business Case'!D11*$C913*'Business Case'!D12*$B913)-'Business Case'!D11*$C913*'Business Case'!D13*$D913-'Business Case'!D14*$E913))*'Business Case'!$B$7-'Business Case'!$B$8*(('Business Case'!D11*$C913*'Business Case'!D12*$B913)-('Business Case'!C11*$C913*'Business Case'!C12*$B913))-'Business Case'!D15*$F913</f>
        <v>365454062.065017</v>
      </c>
      <c r="K913" s="53" t="n">
        <f aca="false">(('Business Case'!E11*$C913*'Business Case'!E12*$B913)-'Business Case'!E11*$C913*'Business Case'!E13*$D913-'Business Case'!E14*$E913)-MAX(0,(('Business Case'!E11*$C913*'Business Case'!E12*$B913)-'Business Case'!E11*$C913*'Business Case'!E13*$D913-'Business Case'!E14*$E913))*'Business Case'!$B$7-'Business Case'!$B$8*(('Business Case'!E11*$C913*'Business Case'!E12*$B913)-('Business Case'!D11*$C913*'Business Case'!D12*$B913))-'Business Case'!E15*$F913</f>
        <v>749963438.364435</v>
      </c>
      <c r="L913" s="53" t="n">
        <f aca="false">(('Business Case'!F11*$C913*'Business Case'!F12*$B913)-'Business Case'!F11*$C913*'Business Case'!F13*$D913-'Business Case'!F14*$E913)-MAX(0,(('Business Case'!F11*$C913*'Business Case'!F12*$B913)-'Business Case'!F11*$C913*'Business Case'!F13*$D913-'Business Case'!F14*$E913))*'Business Case'!$B$7-'Business Case'!$B$8*(('Business Case'!F11*$C913*'Business Case'!F12*$B913)-('Business Case'!E11*$C913*'Business Case'!E12*$B913))-'Business Case'!F15*$F913</f>
        <v>898277796.369851</v>
      </c>
      <c r="M913" s="53" t="n">
        <f aca="false">(('Business Case'!G11*$C913*'Business Case'!G12*$B913)-'Business Case'!G11*$C913*'Business Case'!G13*$D913-'Business Case'!G14*$E913)-MAX(0,(('Business Case'!G11*$C913*'Business Case'!G12*$B913)-'Business Case'!G11*$C913*'Business Case'!G13*$D913-'Business Case'!G14*$E913))*'Business Case'!$B$7-'Business Case'!$B$8*(('Business Case'!G11*$C913*'Business Case'!G12*$B913)-('Business Case'!F11*$C913*'Business Case'!F12*$B913))-'Business Case'!G15*$F913+'Business Case'!$B$8*('Business Case'!G11*$C913*'Business Case'!G12*$B913)</f>
        <v>1104001522.73614</v>
      </c>
      <c r="N913" s="53" t="n">
        <f aca="false">IF(COUNT('Business Case'!B11:G11)=0,"",H913+NPV(G913,I913:M913))</f>
        <v>65246393.3102832</v>
      </c>
      <c r="P913" s="54" t="n">
        <f aca="true">RAND()</f>
        <v>0.780630310975899</v>
      </c>
      <c r="Q913" s="54" t="n">
        <f aca="true">RAND()</f>
        <v>0.890530793272239</v>
      </c>
      <c r="R913" s="54" t="n">
        <f aca="true">RAND()</f>
        <v>0.48768267242719</v>
      </c>
      <c r="S913" s="54" t="n">
        <f aca="true">RAND()</f>
        <v>0.181829327840564</v>
      </c>
      <c r="T913" s="54" t="n">
        <f aca="true">RAND()</f>
        <v>0.459353358088373</v>
      </c>
      <c r="U913" s="54" t="n">
        <f aca="true">RAND()</f>
        <v>0.755840790384585</v>
      </c>
    </row>
    <row r="914" customFormat="false" ht="15" hidden="false" customHeight="false" outlineLevel="0" collapsed="false">
      <c r="A914" s="50" t="n">
        <v>834</v>
      </c>
      <c r="B914" s="51" t="n">
        <f aca="false">1+IF($G$6=$E$6,$F$6,IF(P914&lt;($F$6-$E$6)/($G$6-$E$6),$E$6+SQRT(P914*($G$6-$E$6)*($F$6-$E$6)),$G$6-SQRT((1-P914)*($G$6-$E$6)*($G$6-$F$6))))</f>
        <v>0.974537024000473</v>
      </c>
      <c r="C914" s="51" t="n">
        <f aca="false">1+IF($G$7=$E$7,$F$7,IF(Q914&lt;($F$7-$E$7)/($G$7-$E$7),$E$7+SQRT(Q914*($G$7-$E$7)*($F$7-$E$7)),$G$7-SQRT((1-Q914)*($G$7-$E$7)*($G$7-$F$7))))</f>
        <v>0.900551840166082</v>
      </c>
      <c r="D914" s="51" t="n">
        <f aca="false">1+IF($G$8=$E$8,$F$8,IF(R914&lt;($F$8-$E$8)/($G$8-$E$8),$E$8+SQRT(R914*($G$8-$E$8)*($F$8-$E$8)),$G$8-SQRT((1-R914)*($G$8-$E$8)*($G$8-$F$8))))</f>
        <v>1.02384159714165</v>
      </c>
      <c r="E914" s="51" t="n">
        <f aca="false">1+IF($G$9=$E$9,$F$9,IF(S914&lt;($F$9-$E$9)/($G$9-$E$9),$E$9+SQRT(S914*($G$9-$E$9)*($F$9-$E$9)),$G$9-SQRT((1-S914)*($G$9-$E$9)*($G$9-$F$9))))</f>
        <v>1.01130859458303</v>
      </c>
      <c r="F914" s="51" t="n">
        <f aca="false">1+IF($G$10=$E$10,$F$10,IF(T914&lt;($F$10-$E$10)/($G$10-$E$10),$E$10+SQRT(T914*($G$10-$E$10)*($F$10-$E$10)),$G$10-SQRT((1-T914)*($G$10-$E$10)*($G$10-$F$10))))</f>
        <v>1.03214358778613</v>
      </c>
      <c r="G914" s="52" t="n">
        <f aca="false">IF($G$11=$E$11,$F$11,IF(U914&lt;($F$11-$E$11)/($G$11-$E$11),$E$11+SQRT(U914*($G$11-$E$11)*($F$11-$E$11)),$G$11-SQRT((1-U914)*($G$11-$E$11)*($G$11-$F$11))))</f>
        <v>0.0959405750971681</v>
      </c>
      <c r="H914" s="53" t="n">
        <f aca="false">(('Business Case'!B11*$C914*'Business Case'!B12*$B914)-'Business Case'!B11*$C914*'Business Case'!B13*$D914-'Business Case'!B14*$E914)-MAX(0,(('Business Case'!B11*$C914*'Business Case'!B12*$B914)-'Business Case'!B11*$C914*'Business Case'!B13*$D914-'Business Case'!B14*$E914))*'Business Case'!$B$7-'Business Case'!$B$8*('Business Case'!B11*$C914*'Business Case'!B12*$B914)-'Business Case'!B15*$F914</f>
        <v>-2064287175.57225</v>
      </c>
      <c r="I914" s="53" t="n">
        <f aca="false">(('Business Case'!C11*$C914*'Business Case'!C12*$B914)-'Business Case'!C11*$C914*'Business Case'!C13*$D914-'Business Case'!C14*$E914)-MAX(0,(('Business Case'!C11*$C914*'Business Case'!C12*$B914)-'Business Case'!C11*$C914*'Business Case'!C13*$D914-'Business Case'!C14*$E914))*'Business Case'!$B$7-'Business Case'!$B$8*(('Business Case'!C11*$C914*'Business Case'!C12*$B914)-('Business Case'!B11*$C914*'Business Case'!B12*$B914))-'Business Case'!C15*$F914</f>
        <v>-45685165.840516</v>
      </c>
      <c r="J914" s="53" t="n">
        <f aca="false">(('Business Case'!D11*$C914*'Business Case'!D12*$B914)-'Business Case'!D11*$C914*'Business Case'!D13*$D914-'Business Case'!D14*$E914)-MAX(0,(('Business Case'!D11*$C914*'Business Case'!D12*$B914)-'Business Case'!D11*$C914*'Business Case'!D13*$D914-'Business Case'!D14*$E914))*'Business Case'!$B$7-'Business Case'!$B$8*(('Business Case'!D11*$C914*'Business Case'!D12*$B914)-('Business Case'!C11*$C914*'Business Case'!C12*$B914))-'Business Case'!D15*$F914</f>
        <v>201147987.603871</v>
      </c>
      <c r="K914" s="53" t="n">
        <f aca="false">(('Business Case'!E11*$C914*'Business Case'!E12*$B914)-'Business Case'!E11*$C914*'Business Case'!E13*$D914-'Business Case'!E14*$E914)-MAX(0,(('Business Case'!E11*$C914*'Business Case'!E12*$B914)-'Business Case'!E11*$C914*'Business Case'!E13*$D914-'Business Case'!E14*$E914))*'Business Case'!$B$7-'Business Case'!$B$8*(('Business Case'!E11*$C914*'Business Case'!E12*$B914)-('Business Case'!D11*$C914*'Business Case'!D12*$B914))-'Business Case'!E15*$F914</f>
        <v>499588320.437565</v>
      </c>
      <c r="L914" s="53" t="n">
        <f aca="false">(('Business Case'!F11*$C914*'Business Case'!F12*$B914)-'Business Case'!F11*$C914*'Business Case'!F13*$D914-'Business Case'!F14*$E914)-MAX(0,(('Business Case'!F11*$C914*'Business Case'!F12*$B914)-'Business Case'!F11*$C914*'Business Case'!F13*$D914-'Business Case'!F14*$E914))*'Business Case'!$B$7-'Business Case'!$B$8*(('Business Case'!F11*$C914*'Business Case'!F12*$B914)-('Business Case'!E11*$C914*'Business Case'!E12*$B914))-'Business Case'!F15*$F914</f>
        <v>612196623.823416</v>
      </c>
      <c r="M914" s="53" t="n">
        <f aca="false">(('Business Case'!G11*$C914*'Business Case'!G12*$B914)-'Business Case'!G11*$C914*'Business Case'!G13*$D914-'Business Case'!G14*$E914)-MAX(0,(('Business Case'!G11*$C914*'Business Case'!G12*$B914)-'Business Case'!G11*$C914*'Business Case'!G13*$D914-'Business Case'!G14*$E914))*'Business Case'!$B$7-'Business Case'!$B$8*(('Business Case'!G11*$C914*'Business Case'!G12*$B914)-('Business Case'!F11*$C914*'Business Case'!F12*$B914))-'Business Case'!G15*$F914+'Business Case'!$B$8*('Business Case'!G11*$C914*'Business Case'!G12*$B914)</f>
        <v>779014844.464222</v>
      </c>
      <c r="N914" s="53" t="n">
        <f aca="false">IF(COUNT('Business Case'!B11:G11)=0,"",H914+NPV(G914,I914:M914))</f>
        <v>-641866488.635506</v>
      </c>
      <c r="P914" s="54" t="n">
        <f aca="true">RAND()</f>
        <v>0.309821561127932</v>
      </c>
      <c r="Q914" s="54" t="n">
        <f aca="true">RAND()</f>
        <v>0.14443817943979</v>
      </c>
      <c r="R914" s="54" t="n">
        <f aca="true">RAND()</f>
        <v>0.696753248884553</v>
      </c>
      <c r="S914" s="54" t="n">
        <f aca="true">RAND()</f>
        <v>0.475588973677529</v>
      </c>
      <c r="T914" s="54" t="n">
        <f aca="true">RAND()</f>
        <v>0.436484497573715</v>
      </c>
      <c r="U914" s="54" t="n">
        <f aca="true">RAND()</f>
        <v>0.117634774950311</v>
      </c>
    </row>
    <row r="915" customFormat="false" ht="15" hidden="false" customHeight="false" outlineLevel="0" collapsed="false">
      <c r="A915" s="50" t="n">
        <v>835</v>
      </c>
      <c r="B915" s="51" t="n">
        <f aca="false">1+IF($G$6=$E$6,$F$6,IF(P915&lt;($F$6-$E$6)/($G$6-$E$6),$E$6+SQRT(P915*($G$6-$E$6)*($F$6-$E$6)),$G$6-SQRT((1-P915)*($G$6-$E$6)*($G$6-$F$6))))</f>
        <v>1.01242515312645</v>
      </c>
      <c r="C915" s="51" t="n">
        <f aca="false">1+IF($G$7=$E$7,$F$7,IF(Q915&lt;($F$7-$E$7)/($G$7-$E$7),$E$7+SQRT(Q915*($G$7-$E$7)*($F$7-$E$7)),$G$7-SQRT((1-Q915)*($G$7-$E$7)*($G$7-$F$7))))</f>
        <v>0.941958942802433</v>
      </c>
      <c r="D915" s="51" t="n">
        <f aca="false">1+IF($G$8=$E$8,$F$8,IF(R915&lt;($F$8-$E$8)/($G$8-$E$8),$E$8+SQRT(R915*($G$8-$E$8)*($F$8-$E$8)),$G$8-SQRT((1-R915)*($G$8-$E$8)*($G$8-$F$8))))</f>
        <v>1.05324639591989</v>
      </c>
      <c r="E915" s="51" t="n">
        <f aca="false">1+IF($G$9=$E$9,$F$9,IF(S915&lt;($F$9-$E$9)/($G$9-$E$9),$E$9+SQRT(S915*($G$9-$E$9)*($F$9-$E$9)),$G$9-SQRT((1-S915)*($G$9-$E$9)*($G$9-$F$9))))</f>
        <v>1.0269759934715</v>
      </c>
      <c r="F915" s="51" t="n">
        <f aca="false">1+IF($G$10=$E$10,$F$10,IF(T915&lt;($F$10-$E$10)/($G$10-$E$10),$E$10+SQRT(T915*($G$10-$E$10)*($F$10-$E$10)),$G$10-SQRT((1-T915)*($G$10-$E$10)*($G$10-$F$10))))</f>
        <v>1.02002383308941</v>
      </c>
      <c r="G915" s="52" t="n">
        <f aca="false">IF($G$11=$E$11,$F$11,IF(U915&lt;($F$11-$E$11)/($G$11-$E$11),$E$11+SQRT(U915*($G$11-$E$11)*($F$11-$E$11)),$G$11-SQRT((1-U915)*($G$11-$E$11)*($G$11-$F$11))))</f>
        <v>0.112152839341352</v>
      </c>
      <c r="H915" s="53" t="n">
        <f aca="false">(('Business Case'!B11*$C915*'Business Case'!B12*$B915)-'Business Case'!B11*$C915*'Business Case'!B13*$D915-'Business Case'!B14*$E915)-MAX(0,(('Business Case'!B11*$C915*'Business Case'!B12*$B915)-'Business Case'!B11*$C915*'Business Case'!B13*$D915-'Business Case'!B14*$E915))*'Business Case'!$B$7-'Business Case'!$B$8*('Business Case'!B11*$C915*'Business Case'!B12*$B915)-'Business Case'!B15*$F915</f>
        <v>-2040047666.17882</v>
      </c>
      <c r="I915" s="53" t="n">
        <f aca="false">(('Business Case'!C11*$C915*'Business Case'!C12*$B915)-'Business Case'!C11*$C915*'Business Case'!C13*$D915-'Business Case'!C14*$E915)-MAX(0,(('Business Case'!C11*$C915*'Business Case'!C12*$B915)-'Business Case'!C11*$C915*'Business Case'!C13*$D915-'Business Case'!C14*$E915))*'Business Case'!$B$7-'Business Case'!$B$8*(('Business Case'!C11*$C915*'Business Case'!C12*$B915)-('Business Case'!B11*$C915*'Business Case'!B12*$B915))-'Business Case'!C15*$F915</f>
        <v>-24241094.8009562</v>
      </c>
      <c r="J915" s="53" t="n">
        <f aca="false">(('Business Case'!D11*$C915*'Business Case'!D12*$B915)-'Business Case'!D11*$C915*'Business Case'!D13*$D915-'Business Case'!D14*$E915)-MAX(0,(('Business Case'!D11*$C915*'Business Case'!D12*$B915)-'Business Case'!D11*$C915*'Business Case'!D13*$D915-'Business Case'!D14*$E915))*'Business Case'!$B$7-'Business Case'!$B$8*(('Business Case'!D11*$C915*'Business Case'!D12*$B915)-('Business Case'!C11*$C915*'Business Case'!C12*$B915))-'Business Case'!D15*$F915</f>
        <v>248994066.109461</v>
      </c>
      <c r="K915" s="53" t="n">
        <f aca="false">(('Business Case'!E11*$C915*'Business Case'!E12*$B915)-'Business Case'!E11*$C915*'Business Case'!E13*$D915-'Business Case'!E14*$E915)-MAX(0,(('Business Case'!E11*$C915*'Business Case'!E12*$B915)-'Business Case'!E11*$C915*'Business Case'!E13*$D915-'Business Case'!E14*$E915))*'Business Case'!$B$7-'Business Case'!$B$8*(('Business Case'!E11*$C915*'Business Case'!E12*$B915)-('Business Case'!D11*$C915*'Business Case'!D12*$B915))-'Business Case'!E15*$F915</f>
        <v>573230418.674349</v>
      </c>
      <c r="L915" s="53" t="n">
        <f aca="false">(('Business Case'!F11*$C915*'Business Case'!F12*$B915)-'Business Case'!F11*$C915*'Business Case'!F13*$D915-'Business Case'!F14*$E915)-MAX(0,(('Business Case'!F11*$C915*'Business Case'!F12*$B915)-'Business Case'!F11*$C915*'Business Case'!F13*$D915-'Business Case'!F14*$E915))*'Business Case'!$B$7-'Business Case'!$B$8*(('Business Case'!F11*$C915*'Business Case'!F12*$B915)-('Business Case'!E11*$C915*'Business Case'!E12*$B915))-'Business Case'!F15*$F915</f>
        <v>697267396.398346</v>
      </c>
      <c r="M915" s="53" t="n">
        <f aca="false">(('Business Case'!G11*$C915*'Business Case'!G12*$B915)-'Business Case'!G11*$C915*'Business Case'!G13*$D915-'Business Case'!G14*$E915)-MAX(0,(('Business Case'!G11*$C915*'Business Case'!G12*$B915)-'Business Case'!G11*$C915*'Business Case'!G13*$D915-'Business Case'!G14*$E915))*'Business Case'!$B$7-'Business Case'!$B$8*(('Business Case'!G11*$C915*'Business Case'!G12*$B915)-('Business Case'!F11*$C915*'Business Case'!F12*$B915))-'Business Case'!G15*$F915+'Business Case'!$B$8*('Business Case'!G11*$C915*'Business Case'!G12*$B915)</f>
        <v>878539645.544558</v>
      </c>
      <c r="N915" s="53" t="n">
        <f aca="false">IF(COUNT('Business Case'!B11:G11)=0,"",H915+NPV(G915,I915:M915))</f>
        <v>-471715529.161544</v>
      </c>
      <c r="P915" s="54" t="n">
        <f aca="true">RAND()</f>
        <v>0.841589129145876</v>
      </c>
      <c r="Q915" s="54" t="n">
        <f aca="true">RAND()</f>
        <v>0.287890592022634</v>
      </c>
      <c r="R915" s="54" t="n">
        <f aca="true">RAND()</f>
        <v>0.931177371992752</v>
      </c>
      <c r="S915" s="54" t="n">
        <f aca="true">RAND()</f>
        <v>0.644499631368388</v>
      </c>
      <c r="T915" s="54" t="n">
        <f aca="true">RAND()</f>
        <v>0.352171586883414</v>
      </c>
      <c r="U915" s="54" t="n">
        <f aca="true">RAND()</f>
        <v>0.897370115995604</v>
      </c>
    </row>
    <row r="916" customFormat="false" ht="15" hidden="false" customHeight="false" outlineLevel="0" collapsed="false">
      <c r="A916" s="50" t="n">
        <v>836</v>
      </c>
      <c r="B916" s="51" t="n">
        <f aca="false">1+IF($G$6=$E$6,$F$6,IF(P916&lt;($F$6-$E$6)/($G$6-$E$6),$E$6+SQRT(P916*($G$6-$E$6)*($F$6-$E$6)),$G$6-SQRT((1-P916)*($G$6-$E$6)*($G$6-$F$6))))</f>
        <v>0.991638570334897</v>
      </c>
      <c r="C916" s="51" t="n">
        <f aca="false">1+IF($G$7=$E$7,$F$7,IF(Q916&lt;($F$7-$E$7)/($G$7-$E$7),$E$7+SQRT(Q916*($G$7-$E$7)*($F$7-$E$7)),$G$7-SQRT((1-Q916)*($G$7-$E$7)*($G$7-$F$7))))</f>
        <v>0.947328912465661</v>
      </c>
      <c r="D916" s="51" t="n">
        <f aca="false">1+IF($G$8=$E$8,$F$8,IF(R916&lt;($F$8-$E$8)/($G$8-$E$8),$E$8+SQRT(R916*($G$8-$E$8)*($F$8-$E$8)),$G$8-SQRT((1-R916)*($G$8-$E$8)*($G$8-$F$8))))</f>
        <v>1.04614272202756</v>
      </c>
      <c r="E916" s="51" t="n">
        <f aca="false">1+IF($G$9=$E$9,$F$9,IF(S916&lt;($F$9-$E$9)/($G$9-$E$9),$E$9+SQRT(S916*($G$9-$E$9)*($F$9-$E$9)),$G$9-SQRT((1-S916)*($G$9-$E$9)*($G$9-$F$9))))</f>
        <v>1.04538371877973</v>
      </c>
      <c r="F916" s="51" t="n">
        <f aca="false">1+IF($G$10=$E$10,$F$10,IF(T916&lt;($F$10-$E$10)/($G$10-$E$10),$E$10+SQRT(T916*($G$10-$E$10)*($F$10-$E$10)),$G$10-SQRT((1-T916)*($G$10-$E$10)*($G$10-$F$10))))</f>
        <v>0.960072426939592</v>
      </c>
      <c r="G916" s="52" t="n">
        <f aca="false">IF($G$11=$E$11,$F$11,IF(U916&lt;($F$11-$E$11)/($G$11-$E$11),$E$11+SQRT(U916*($G$11-$E$11)*($F$11-$E$11)),$G$11-SQRT((1-U916)*($G$11-$E$11)*($G$11-$F$11))))</f>
        <v>0.0956990808766666</v>
      </c>
      <c r="H916" s="53" t="n">
        <f aca="false">(('Business Case'!B11*$C916*'Business Case'!B12*$B916)-'Business Case'!B11*$C916*'Business Case'!B13*$D916-'Business Case'!B14*$E916)-MAX(0,(('Business Case'!B11*$C916*'Business Case'!B12*$B916)-'Business Case'!B11*$C916*'Business Case'!B13*$D916-'Business Case'!B14*$E916))*'Business Case'!$B$7-'Business Case'!$B$8*('Business Case'!B11*$C916*'Business Case'!B12*$B916)-'Business Case'!B15*$F916</f>
        <v>-1920144853.87918</v>
      </c>
      <c r="I916" s="53" t="n">
        <f aca="false">(('Business Case'!C11*$C916*'Business Case'!C12*$B916)-'Business Case'!C11*$C916*'Business Case'!C13*$D916-'Business Case'!C14*$E916)-MAX(0,(('Business Case'!C11*$C916*'Business Case'!C12*$B916)-'Business Case'!C11*$C916*'Business Case'!C13*$D916-'Business Case'!C14*$E916))*'Business Case'!$B$7-'Business Case'!$B$8*(('Business Case'!C11*$C916*'Business Case'!C12*$B916)-('Business Case'!B11*$C916*'Business Case'!B12*$B916))-'Business Case'!C15*$F916</f>
        <v>-31250849.7129055</v>
      </c>
      <c r="J916" s="53" t="n">
        <f aca="false">(('Business Case'!D11*$C916*'Business Case'!D12*$B916)-'Business Case'!D11*$C916*'Business Case'!D13*$D916-'Business Case'!D14*$E916)-MAX(0,(('Business Case'!D11*$C916*'Business Case'!D12*$B916)-'Business Case'!D11*$C916*'Business Case'!D13*$D916-'Business Case'!D14*$E916))*'Business Case'!$B$7-'Business Case'!$B$8*(('Business Case'!D11*$C916*'Business Case'!D12*$B916)-('Business Case'!C11*$C916*'Business Case'!C12*$B916))-'Business Case'!D15*$F916</f>
        <v>230858013.01299</v>
      </c>
      <c r="K916" s="53" t="n">
        <f aca="false">(('Business Case'!E11*$C916*'Business Case'!E12*$B916)-'Business Case'!E11*$C916*'Business Case'!E13*$D916-'Business Case'!E14*$E916)-MAX(0,(('Business Case'!E11*$C916*'Business Case'!E12*$B916)-'Business Case'!E11*$C916*'Business Case'!E13*$D916-'Business Case'!E14*$E916))*'Business Case'!$B$7-'Business Case'!$B$8*(('Business Case'!E11*$C916*'Business Case'!E12*$B916)-('Business Case'!D11*$C916*'Business Case'!D12*$B916))-'Business Case'!E15*$F916</f>
        <v>540970497.085864</v>
      </c>
      <c r="L916" s="53" t="n">
        <f aca="false">(('Business Case'!F11*$C916*'Business Case'!F12*$B916)-'Business Case'!F11*$C916*'Business Case'!F13*$D916-'Business Case'!F14*$E916)-MAX(0,(('Business Case'!F11*$C916*'Business Case'!F12*$B916)-'Business Case'!F11*$C916*'Business Case'!F13*$D916-'Business Case'!F14*$E916))*'Business Case'!$B$7-'Business Case'!$B$8*(('Business Case'!F11*$C916*'Business Case'!F12*$B916)-('Business Case'!E11*$C916*'Business Case'!E12*$B916))-'Business Case'!F15*$F916</f>
        <v>660806054.617405</v>
      </c>
      <c r="M916" s="53" t="n">
        <f aca="false">(('Business Case'!G11*$C916*'Business Case'!G12*$B916)-'Business Case'!G11*$C916*'Business Case'!G13*$D916-'Business Case'!G14*$E916)-MAX(0,(('Business Case'!G11*$C916*'Business Case'!G12*$B916)-'Business Case'!G11*$C916*'Business Case'!G13*$D916-'Business Case'!G14*$E916))*'Business Case'!$B$7-'Business Case'!$B$8*(('Business Case'!G11*$C916*'Business Case'!G12*$B916)-('Business Case'!F11*$C916*'Business Case'!F12*$B916))-'Business Case'!G15*$F916+'Business Case'!$B$8*('Business Case'!G11*$C916*'Business Case'!G12*$B916)</f>
        <v>839368706.043405</v>
      </c>
      <c r="N916" s="53" t="n">
        <f aca="false">IF(COUNT('Business Case'!B11:G11)=0,"",H916+NPV(G916,I916:M916))</f>
        <v>-355170380.443399</v>
      </c>
      <c r="P916" s="54" t="n">
        <f aca="true">RAND()</f>
        <v>0.534592162461255</v>
      </c>
      <c r="Q916" s="54" t="n">
        <f aca="true">RAND()</f>
        <v>0.310082977833064</v>
      </c>
      <c r="R916" s="54" t="n">
        <f aca="true">RAND()</f>
        <v>0.889777377720836</v>
      </c>
      <c r="S916" s="54" t="n">
        <f aca="true">RAND()</f>
        <v>0.801137455044569</v>
      </c>
      <c r="T916" s="54" t="n">
        <f aca="true">RAND()</f>
        <v>0.00811630275627298</v>
      </c>
      <c r="U916" s="54" t="n">
        <f aca="true">RAND()</f>
        <v>0.108265076129291</v>
      </c>
    </row>
    <row r="917" customFormat="false" ht="15" hidden="false" customHeight="false" outlineLevel="0" collapsed="false">
      <c r="A917" s="50" t="n">
        <v>837</v>
      </c>
      <c r="B917" s="51" t="n">
        <f aca="false">1+IF($G$6=$E$6,$F$6,IF(P917&lt;($F$6-$E$6)/($G$6-$E$6),$E$6+SQRT(P917*($G$6-$E$6)*($F$6-$E$6)),$G$6-SQRT((1-P917)*($G$6-$E$6)*($G$6-$F$6))))</f>
        <v>0.932371464635792</v>
      </c>
      <c r="C917" s="51" t="n">
        <f aca="false">1+IF($G$7=$E$7,$F$7,IF(Q917&lt;($F$7-$E$7)/($G$7-$E$7),$E$7+SQRT(Q917*($G$7-$E$7)*($F$7-$E$7)),$G$7-SQRT((1-Q917)*($G$7-$E$7)*($G$7-$F$7))))</f>
        <v>1.01224194609385</v>
      </c>
      <c r="D917" s="51" t="n">
        <f aca="false">1+IF($G$8=$E$8,$F$8,IF(R917&lt;($F$8-$E$8)/($G$8-$E$8),$E$8+SQRT(R917*($G$8-$E$8)*($F$8-$E$8)),$G$8-SQRT((1-R917)*($G$8-$E$8)*($G$8-$F$8))))</f>
        <v>0.965790262316708</v>
      </c>
      <c r="E917" s="51" t="n">
        <f aca="false">1+IF($G$9=$E$9,$F$9,IF(S917&lt;($F$9-$E$9)/($G$9-$E$9),$E$9+SQRT(S917*($G$9-$E$9)*($F$9-$E$9)),$G$9-SQRT((1-S917)*($G$9-$E$9)*($G$9-$F$9))))</f>
        <v>1.05475705161259</v>
      </c>
      <c r="F917" s="51" t="n">
        <f aca="false">1+IF($G$10=$E$10,$F$10,IF(T917&lt;($F$10-$E$10)/($G$10-$E$10),$E$10+SQRT(T917*($G$10-$E$10)*($F$10-$E$10)),$G$10-SQRT((1-T917)*($G$10-$E$10)*($G$10-$F$10))))</f>
        <v>1.10658398807011</v>
      </c>
      <c r="G917" s="52" t="n">
        <f aca="false">IF($G$11=$E$11,$F$11,IF(U917&lt;($F$11-$E$11)/($G$11-$E$11),$E$11+SQRT(U917*($G$11-$E$11)*($F$11-$E$11)),$G$11-SQRT((1-U917)*($G$11-$E$11)*($G$11-$F$11))))</f>
        <v>0.109943122711848</v>
      </c>
      <c r="H917" s="53" t="n">
        <f aca="false">(('Business Case'!B11*$C917*'Business Case'!B12*$B917)-'Business Case'!B11*$C917*'Business Case'!B13*$D917-'Business Case'!B14*$E917)-MAX(0,(('Business Case'!B11*$C917*'Business Case'!B12*$B917)-'Business Case'!B11*$C917*'Business Case'!B13*$D917-'Business Case'!B14*$E917))*'Business Case'!$B$7-'Business Case'!$B$8*('Business Case'!B11*$C917*'Business Case'!B12*$B917)-'Business Case'!B15*$F917</f>
        <v>-2213167976.14023</v>
      </c>
      <c r="I917" s="53" t="n">
        <f aca="false">(('Business Case'!C11*$C917*'Business Case'!C12*$B917)-'Business Case'!C11*$C917*'Business Case'!C13*$D917-'Business Case'!C14*$E917)-MAX(0,(('Business Case'!C11*$C917*'Business Case'!C12*$B917)-'Business Case'!C11*$C917*'Business Case'!C13*$D917-'Business Case'!C14*$E917))*'Business Case'!$B$7-'Business Case'!$B$8*(('Business Case'!C11*$C917*'Business Case'!C12*$B917)-('Business Case'!B11*$C917*'Business Case'!B12*$B917))-'Business Case'!C15*$F917</f>
        <v>-37002269.5511734</v>
      </c>
      <c r="J917" s="53" t="n">
        <f aca="false">(('Business Case'!D11*$C917*'Business Case'!D12*$B917)-'Business Case'!D11*$C917*'Business Case'!D13*$D917-'Business Case'!D14*$E917)-MAX(0,(('Business Case'!D11*$C917*'Business Case'!D12*$B917)-'Business Case'!D11*$C917*'Business Case'!D13*$D917-'Business Case'!D14*$E917))*'Business Case'!$B$7-'Business Case'!$B$8*(('Business Case'!D11*$C917*'Business Case'!D12*$B917)-('Business Case'!C11*$C917*'Business Case'!C12*$B917))-'Business Case'!D15*$F917</f>
        <v>235566153.066996</v>
      </c>
      <c r="K917" s="53" t="n">
        <f aca="false">(('Business Case'!E11*$C917*'Business Case'!E12*$B917)-'Business Case'!E11*$C917*'Business Case'!E13*$D917-'Business Case'!E14*$E917)-MAX(0,(('Business Case'!E11*$C917*'Business Case'!E12*$B917)-'Business Case'!E11*$C917*'Business Case'!E13*$D917-'Business Case'!E14*$E917))*'Business Case'!$B$7-'Business Case'!$B$8*(('Business Case'!E11*$C917*'Business Case'!E12*$B917)-('Business Case'!D11*$C917*'Business Case'!D12*$B917))-'Business Case'!E15*$F917</f>
        <v>563463775.088671</v>
      </c>
      <c r="L917" s="53" t="n">
        <f aca="false">(('Business Case'!F11*$C917*'Business Case'!F12*$B917)-'Business Case'!F11*$C917*'Business Case'!F13*$D917-'Business Case'!F14*$E917)-MAX(0,(('Business Case'!F11*$C917*'Business Case'!F12*$B917)-'Business Case'!F11*$C917*'Business Case'!F13*$D917-'Business Case'!F14*$E917))*'Business Case'!$B$7-'Business Case'!$B$8*(('Business Case'!F11*$C917*'Business Case'!F12*$B917)-('Business Case'!E11*$C917*'Business Case'!E12*$B917))-'Business Case'!F15*$F917</f>
        <v>686937143.043408</v>
      </c>
      <c r="M917" s="53" t="n">
        <f aca="false">(('Business Case'!G11*$C917*'Business Case'!G12*$B917)-'Business Case'!G11*$C917*'Business Case'!G13*$D917-'Business Case'!G14*$E917)-MAX(0,(('Business Case'!G11*$C917*'Business Case'!G12*$B917)-'Business Case'!G11*$C917*'Business Case'!G13*$D917-'Business Case'!G14*$E917))*'Business Case'!$B$7-'Business Case'!$B$8*(('Business Case'!G11*$C917*'Business Case'!G12*$B917)-('Business Case'!F11*$C917*'Business Case'!F12*$B917))-'Business Case'!G15*$F917+'Business Case'!$B$8*('Business Case'!G11*$C917*'Business Case'!G12*$B917)</f>
        <v>866331891.994483</v>
      </c>
      <c r="N917" s="53" t="n">
        <f aca="false">IF(COUNT('Business Case'!B11:G11)=0,"",H917+NPV(G917,I917:M917))</f>
        <v>-676374411.113802</v>
      </c>
      <c r="P917" s="54" t="n">
        <f aca="true">RAND()</f>
        <v>0.0159430351286105</v>
      </c>
      <c r="Q917" s="54" t="n">
        <f aca="true">RAND()</f>
        <v>0.63852797302836</v>
      </c>
      <c r="R917" s="54" t="n">
        <f aca="true">RAND()</f>
        <v>0.0383588283123778</v>
      </c>
      <c r="S917" s="54" t="n">
        <f aca="true">RAND()</f>
        <v>0.863538374747636</v>
      </c>
      <c r="T917" s="54" t="n">
        <f aca="true">RAND()</f>
        <v>0.825468974302309</v>
      </c>
      <c r="U917" s="54" t="n">
        <f aca="true">RAND()</f>
        <v>0.831432032018437</v>
      </c>
    </row>
    <row r="918" customFormat="false" ht="15" hidden="false" customHeight="false" outlineLevel="0" collapsed="false">
      <c r="A918" s="50" t="n">
        <v>838</v>
      </c>
      <c r="B918" s="51" t="n">
        <f aca="false">1+IF($G$6=$E$6,$F$6,IF(P918&lt;($F$6-$E$6)/($G$6-$E$6),$E$6+SQRT(P918*($G$6-$E$6)*($F$6-$E$6)),$G$6-SQRT((1-P918)*($G$6-$E$6)*($G$6-$F$6))))</f>
        <v>1.00124662317393</v>
      </c>
      <c r="C918" s="51" t="n">
        <f aca="false">1+IF($G$7=$E$7,$F$7,IF(Q918&lt;($F$7-$E$7)/($G$7-$E$7),$E$7+SQRT(Q918*($G$7-$E$7)*($F$7-$E$7)),$G$7-SQRT((1-Q918)*($G$7-$E$7)*($G$7-$F$7))))</f>
        <v>0.847259904711212</v>
      </c>
      <c r="D918" s="51" t="n">
        <f aca="false">1+IF($G$8=$E$8,$F$8,IF(R918&lt;($F$8-$E$8)/($G$8-$E$8),$E$8+SQRT(R918*($G$8-$E$8)*($F$8-$E$8)),$G$8-SQRT((1-R918)*($G$8-$E$8)*($G$8-$F$8))))</f>
        <v>1.01259322240112</v>
      </c>
      <c r="E918" s="51" t="n">
        <f aca="false">1+IF($G$9=$E$9,$F$9,IF(S918&lt;($F$9-$E$9)/($G$9-$E$9),$E$9+SQRT(S918*($G$9-$E$9)*($F$9-$E$9)),$G$9-SQRT((1-S918)*($G$9-$E$9)*($G$9-$F$9))))</f>
        <v>1.01560248352442</v>
      </c>
      <c r="F918" s="51" t="n">
        <f aca="false">1+IF($G$10=$E$10,$F$10,IF(T918&lt;($F$10-$E$10)/($G$10-$E$10),$E$10+SQRT(T918*($G$10-$E$10)*($F$10-$E$10)),$G$10-SQRT((1-T918)*($G$10-$E$10)*($G$10-$F$10))))</f>
        <v>1.11965138337169</v>
      </c>
      <c r="G918" s="52" t="n">
        <f aca="false">IF($G$11=$E$11,$F$11,IF(U918&lt;($F$11-$E$11)/($G$11-$E$11),$E$11+SQRT(U918*($G$11-$E$11)*($F$11-$E$11)),$G$11-SQRT((1-U918)*($G$11-$E$11)*($G$11-$F$11))))</f>
        <v>0.0933548101549422</v>
      </c>
      <c r="H918" s="53" t="n">
        <f aca="false">(('Business Case'!B11*$C918*'Business Case'!B12*$B918)-'Business Case'!B11*$C918*'Business Case'!B13*$D918-'Business Case'!B14*$E918)-MAX(0,(('Business Case'!B11*$C918*'Business Case'!B12*$B918)-'Business Case'!B11*$C918*'Business Case'!B13*$D918-'Business Case'!B14*$E918))*'Business Case'!$B$7-'Business Case'!$B$8*('Business Case'!B11*$C918*'Business Case'!B12*$B918)-'Business Case'!B15*$F918</f>
        <v>-2239302766.74339</v>
      </c>
      <c r="I918" s="53" t="n">
        <f aca="false">(('Business Case'!C11*$C918*'Business Case'!C12*$B918)-'Business Case'!C11*$C918*'Business Case'!C13*$D918-'Business Case'!C14*$E918)-MAX(0,(('Business Case'!C11*$C918*'Business Case'!C12*$B918)-'Business Case'!C11*$C918*'Business Case'!C13*$D918-'Business Case'!C14*$E918))*'Business Case'!$B$7-'Business Case'!$B$8*(('Business Case'!C11*$C918*'Business Case'!C12*$B918)-('Business Case'!B11*$C918*'Business Case'!B12*$B918))-'Business Case'!C15*$F918</f>
        <v>-44719879.0684358</v>
      </c>
      <c r="J918" s="53" t="n">
        <f aca="false">(('Business Case'!D11*$C918*'Business Case'!D12*$B918)-'Business Case'!D11*$C918*'Business Case'!D13*$D918-'Business Case'!D14*$E918)-MAX(0,(('Business Case'!D11*$C918*'Business Case'!D12*$B918)-'Business Case'!D11*$C918*'Business Case'!D13*$D918-'Business Case'!D14*$E918))*'Business Case'!$B$7-'Business Case'!$B$8*(('Business Case'!D11*$C918*'Business Case'!D12*$B918)-('Business Case'!C11*$C918*'Business Case'!C12*$B918))-'Business Case'!D15*$F918</f>
        <v>210920760.942727</v>
      </c>
      <c r="K918" s="53" t="n">
        <f aca="false">(('Business Case'!E11*$C918*'Business Case'!E12*$B918)-'Business Case'!E11*$C918*'Business Case'!E13*$D918-'Business Case'!E14*$E918)-MAX(0,(('Business Case'!E11*$C918*'Business Case'!E12*$B918)-'Business Case'!E11*$C918*'Business Case'!E13*$D918-'Business Case'!E14*$E918))*'Business Case'!$B$7-'Business Case'!$B$8*(('Business Case'!E11*$C918*'Business Case'!E12*$B918)-('Business Case'!D11*$C918*'Business Case'!D12*$B918))-'Business Case'!E15*$F918</f>
        <v>522543970.122474</v>
      </c>
      <c r="L918" s="53" t="n">
        <f aca="false">(('Business Case'!F11*$C918*'Business Case'!F12*$B918)-'Business Case'!F11*$C918*'Business Case'!F13*$D918-'Business Case'!F14*$E918)-MAX(0,(('Business Case'!F11*$C918*'Business Case'!F12*$B918)-'Business Case'!F11*$C918*'Business Case'!F13*$D918-'Business Case'!F14*$E918))*'Business Case'!$B$7-'Business Case'!$B$8*(('Business Case'!F11*$C918*'Business Case'!F12*$B918)-('Business Case'!E11*$C918*'Business Case'!E12*$B918))-'Business Case'!F15*$F918</f>
        <v>637075321.849699</v>
      </c>
      <c r="M918" s="53" t="n">
        <f aca="false">(('Business Case'!G11*$C918*'Business Case'!G12*$B918)-'Business Case'!G11*$C918*'Business Case'!G13*$D918-'Business Case'!G14*$E918)-MAX(0,(('Business Case'!G11*$C918*'Business Case'!G12*$B918)-'Business Case'!G11*$C918*'Business Case'!G13*$D918-'Business Case'!G14*$E918))*'Business Case'!$B$7-'Business Case'!$B$8*(('Business Case'!G11*$C918*'Business Case'!G12*$B918)-('Business Case'!F11*$C918*'Business Case'!F12*$B918))-'Business Case'!G15*$F918+'Business Case'!$B$8*('Business Case'!G11*$C918*'Business Case'!G12*$B918)</f>
        <v>798323249.662308</v>
      </c>
      <c r="N918" s="53" t="n">
        <f aca="false">IF(COUNT('Business Case'!B11:G11)=0,"",H918+NPV(G918,I918:M918))</f>
        <v>-747217065.839113</v>
      </c>
      <c r="P918" s="54" t="n">
        <f aca="true">RAND()</f>
        <v>0.687119955120106</v>
      </c>
      <c r="Q918" s="54" t="n">
        <f aca="true">RAND()</f>
        <v>0.0319071227616126</v>
      </c>
      <c r="R918" s="54" t="n">
        <f aca="true">RAND()</f>
        <v>0.563108301320627</v>
      </c>
      <c r="S918" s="54" t="n">
        <f aca="true">RAND()</f>
        <v>0.525137280850228</v>
      </c>
      <c r="T918" s="54" t="n">
        <f aca="true">RAND()</f>
        <v>0.870881996118348</v>
      </c>
      <c r="U918" s="54" t="n">
        <f aca="true">RAND()</f>
        <v>0.037515837252344</v>
      </c>
    </row>
    <row r="919" customFormat="false" ht="15" hidden="false" customHeight="false" outlineLevel="0" collapsed="false">
      <c r="A919" s="50" t="n">
        <v>839</v>
      </c>
      <c r="B919" s="51" t="n">
        <f aca="false">1+IF($G$6=$E$6,$F$6,IF(P919&lt;($F$6-$E$6)/($G$6-$E$6),$E$6+SQRT(P919*($G$6-$E$6)*($F$6-$E$6)),$G$6-SQRT((1-P919)*($G$6-$E$6)*($G$6-$F$6))))</f>
        <v>1.01108268711171</v>
      </c>
      <c r="C919" s="51" t="n">
        <f aca="false">1+IF($G$7=$E$7,$F$7,IF(Q919&lt;($F$7-$E$7)/($G$7-$E$7),$E$7+SQRT(Q919*($G$7-$E$7)*($F$7-$E$7)),$G$7-SQRT((1-Q919)*($G$7-$E$7)*($G$7-$F$7))))</f>
        <v>1.01714207681767</v>
      </c>
      <c r="D919" s="51" t="n">
        <f aca="false">1+IF($G$8=$E$8,$F$8,IF(R919&lt;($F$8-$E$8)/($G$8-$E$8),$E$8+SQRT(R919*($G$8-$E$8)*($F$8-$E$8)),$G$8-SQRT((1-R919)*($G$8-$E$8)*($G$8-$F$8))))</f>
        <v>0.977257004578808</v>
      </c>
      <c r="E919" s="51" t="n">
        <f aca="false">1+IF($G$9=$E$9,$F$9,IF(S919&lt;($F$9-$E$9)/($G$9-$E$9),$E$9+SQRT(S919*($G$9-$E$9)*($F$9-$E$9)),$G$9-SQRT((1-S919)*($G$9-$E$9)*($G$9-$F$9))))</f>
        <v>1.06739000823795</v>
      </c>
      <c r="F919" s="51" t="n">
        <f aca="false">1+IF($G$10=$E$10,$F$10,IF(T919&lt;($F$10-$E$10)/($G$10-$E$10),$E$10+SQRT(T919*($G$10-$E$10)*($F$10-$E$10)),$G$10-SQRT((1-T919)*($G$10-$E$10)*($G$10-$F$10))))</f>
        <v>0.984900309371992</v>
      </c>
      <c r="G919" s="52" t="n">
        <f aca="false">IF($G$11=$E$11,$F$11,IF(U919&lt;($F$11-$E$11)/($G$11-$E$11),$E$11+SQRT(U919*($G$11-$E$11)*($F$11-$E$11)),$G$11-SQRT((1-U919)*($G$11-$E$11)*($G$11-$F$11))))</f>
        <v>0.104723192769013</v>
      </c>
      <c r="H919" s="53" t="n">
        <f aca="false">(('Business Case'!B11*$C919*'Business Case'!B12*$B919)-'Business Case'!B11*$C919*'Business Case'!B13*$D919-'Business Case'!B14*$E919)-MAX(0,(('Business Case'!B11*$C919*'Business Case'!B12*$B919)-'Business Case'!B11*$C919*'Business Case'!B13*$D919-'Business Case'!B14*$E919))*'Business Case'!$B$7-'Business Case'!$B$8*('Business Case'!B11*$C919*'Business Case'!B12*$B919)-'Business Case'!B15*$F919</f>
        <v>-1969800618.74398</v>
      </c>
      <c r="I919" s="53" t="n">
        <f aca="false">(('Business Case'!C11*$C919*'Business Case'!C12*$B919)-'Business Case'!C11*$C919*'Business Case'!C13*$D919-'Business Case'!C14*$E919)-MAX(0,(('Business Case'!C11*$C919*'Business Case'!C12*$B919)-'Business Case'!C11*$C919*'Business Case'!C13*$D919-'Business Case'!C14*$E919))*'Business Case'!$B$7-'Business Case'!$B$8*(('Business Case'!C11*$C919*'Business Case'!C12*$B919)-('Business Case'!B11*$C919*'Business Case'!B12*$B919))-'Business Case'!C15*$F919</f>
        <v>29906611.4117966</v>
      </c>
      <c r="J919" s="53" t="n">
        <f aca="false">(('Business Case'!D11*$C919*'Business Case'!D12*$B919)-'Business Case'!D11*$C919*'Business Case'!D13*$D919-'Business Case'!D14*$E919)-MAX(0,(('Business Case'!D11*$C919*'Business Case'!D12*$B919)-'Business Case'!D11*$C919*'Business Case'!D13*$D919-'Business Case'!D14*$E919))*'Business Case'!$B$7-'Business Case'!$B$8*(('Business Case'!D11*$C919*'Business Case'!D12*$B919)-('Business Case'!C11*$C919*'Business Case'!C12*$B919))-'Business Case'!D15*$F919</f>
        <v>363399133.271723</v>
      </c>
      <c r="K919" s="53" t="n">
        <f aca="false">(('Business Case'!E11*$C919*'Business Case'!E12*$B919)-'Business Case'!E11*$C919*'Business Case'!E13*$D919-'Business Case'!E14*$E919)-MAX(0,(('Business Case'!E11*$C919*'Business Case'!E12*$B919)-'Business Case'!E11*$C919*'Business Case'!E13*$D919-'Business Case'!E14*$E919))*'Business Case'!$B$7-'Business Case'!$B$8*(('Business Case'!E11*$C919*'Business Case'!E12*$B919)-('Business Case'!D11*$C919*'Business Case'!D12*$B919))-'Business Case'!E15*$F919</f>
        <v>746136670.600248</v>
      </c>
      <c r="L919" s="53" t="n">
        <f aca="false">(('Business Case'!F11*$C919*'Business Case'!F12*$B919)-'Business Case'!F11*$C919*'Business Case'!F13*$D919-'Business Case'!F14*$E919)-MAX(0,(('Business Case'!F11*$C919*'Business Case'!F12*$B919)-'Business Case'!F11*$C919*'Business Case'!F13*$D919-'Business Case'!F14*$E919))*'Business Case'!$B$7-'Business Case'!$B$8*(('Business Case'!F11*$C919*'Business Case'!F12*$B919)-('Business Case'!E11*$C919*'Business Case'!E12*$B919))-'Business Case'!F15*$F919</f>
        <v>892842858.11322</v>
      </c>
      <c r="M919" s="53" t="n">
        <f aca="false">(('Business Case'!G11*$C919*'Business Case'!G12*$B919)-'Business Case'!G11*$C919*'Business Case'!G13*$D919-'Business Case'!G14*$E919)-MAX(0,(('Business Case'!G11*$C919*'Business Case'!G12*$B919)-'Business Case'!G11*$C919*'Business Case'!G13*$D919-'Business Case'!G14*$E919))*'Business Case'!$B$7-'Business Case'!$B$8*(('Business Case'!G11*$C919*'Business Case'!G12*$B919)-('Business Case'!F11*$C919*'Business Case'!F12*$B919))-'Business Case'!G15*$F919+'Business Case'!$B$8*('Business Case'!G11*$C919*'Business Case'!G12*$B919)</f>
        <v>1088323932.69136</v>
      </c>
      <c r="N919" s="53" t="n">
        <f aca="false">IF(COUNT('Business Case'!B11:G11)=0,"",H919+NPV(G919,I919:M919))</f>
        <v>169364048.56824</v>
      </c>
      <c r="P919" s="54" t="n">
        <f aca="true">RAND()</f>
        <v>0.825789378191878</v>
      </c>
      <c r="Q919" s="54" t="n">
        <f aca="true">RAND()</f>
        <v>0.663786138051003</v>
      </c>
      <c r="R919" s="54" t="n">
        <f aca="true">RAND()</f>
        <v>0.114299122862943</v>
      </c>
      <c r="S919" s="54" t="n">
        <f aca="true">RAND()</f>
        <v>0.929105895818596</v>
      </c>
      <c r="T919" s="54" t="n">
        <f aca="true">RAND()</f>
        <v>0.0974425275408622</v>
      </c>
      <c r="U919" s="54" t="n">
        <f aca="true">RAND()</f>
        <v>0.611031934712096</v>
      </c>
    </row>
    <row r="920" customFormat="false" ht="15" hidden="false" customHeight="false" outlineLevel="0" collapsed="false">
      <c r="A920" s="50" t="n">
        <v>840</v>
      </c>
      <c r="B920" s="51" t="n">
        <f aca="false">1+IF($G$6=$E$6,$F$6,IF(P920&lt;($F$6-$E$6)/($G$6-$E$6),$E$6+SQRT(P920*($G$6-$E$6)*($F$6-$E$6)),$G$6-SQRT((1-P920)*($G$6-$E$6)*($G$6-$F$6))))</f>
        <v>0.994691789208638</v>
      </c>
      <c r="C920" s="51" t="n">
        <f aca="false">1+IF($G$7=$E$7,$F$7,IF(Q920&lt;($F$7-$E$7)/($G$7-$E$7),$E$7+SQRT(Q920*($G$7-$E$7)*($F$7-$E$7)),$G$7-SQRT((1-Q920)*($G$7-$E$7)*($G$7-$F$7))))</f>
        <v>0.842689319916535</v>
      </c>
      <c r="D920" s="51" t="n">
        <f aca="false">1+IF($G$8=$E$8,$F$8,IF(R920&lt;($F$8-$E$8)/($G$8-$E$8),$E$8+SQRT(R920*($G$8-$E$8)*($F$8-$E$8)),$G$8-SQRT((1-R920)*($G$8-$E$8)*($G$8-$F$8))))</f>
        <v>1.02170167845918</v>
      </c>
      <c r="E920" s="51" t="n">
        <f aca="false">1+IF($G$9=$E$9,$F$9,IF(S920&lt;($F$9-$E$9)/($G$9-$E$9),$E$9+SQRT(S920*($G$9-$E$9)*($F$9-$E$9)),$G$9-SQRT((1-S920)*($G$9-$E$9)*($G$9-$F$9))))</f>
        <v>1.00591021685697</v>
      </c>
      <c r="F920" s="51" t="n">
        <f aca="false">1+IF($G$10=$E$10,$F$10,IF(T920&lt;($F$10-$E$10)/($G$10-$E$10),$E$10+SQRT(T920*($G$10-$E$10)*($F$10-$E$10)),$G$10-SQRT((1-T920)*($G$10-$E$10)*($G$10-$F$10))))</f>
        <v>0.991574377616041</v>
      </c>
      <c r="G920" s="52" t="n">
        <f aca="false">IF($G$11=$E$11,$F$11,IF(U920&lt;($F$11-$E$11)/($G$11-$E$11),$E$11+SQRT(U920*($G$11-$E$11)*($F$11-$E$11)),$G$11-SQRT((1-U920)*($G$11-$E$11)*($G$11-$F$11))))</f>
        <v>0.116285858008547</v>
      </c>
      <c r="H920" s="53" t="n">
        <f aca="false">(('Business Case'!B11*$C920*'Business Case'!B12*$B920)-'Business Case'!B11*$C920*'Business Case'!B13*$D920-'Business Case'!B14*$E920)-MAX(0,(('Business Case'!B11*$C920*'Business Case'!B12*$B920)-'Business Case'!B11*$C920*'Business Case'!B13*$D920-'Business Case'!B14*$E920))*'Business Case'!$B$7-'Business Case'!$B$8*('Business Case'!B11*$C920*'Business Case'!B12*$B920)-'Business Case'!B15*$F920</f>
        <v>-1983148755.23208</v>
      </c>
      <c r="I920" s="53" t="n">
        <f aca="false">(('Business Case'!C11*$C920*'Business Case'!C12*$B920)-'Business Case'!C11*$C920*'Business Case'!C13*$D920-'Business Case'!C14*$E920)-MAX(0,(('Business Case'!C11*$C920*'Business Case'!C12*$B920)-'Business Case'!C11*$C920*'Business Case'!C13*$D920-'Business Case'!C14*$E920))*'Business Case'!$B$7-'Business Case'!$B$8*(('Business Case'!C11*$C920*'Business Case'!C12*$B920)-('Business Case'!B11*$C920*'Business Case'!B12*$B920))-'Business Case'!C15*$F920</f>
        <v>-39843012.6487192</v>
      </c>
      <c r="J920" s="53" t="n">
        <f aca="false">(('Business Case'!D11*$C920*'Business Case'!D12*$B920)-'Business Case'!D11*$C920*'Business Case'!D13*$D920-'Business Case'!D14*$E920)-MAX(0,(('Business Case'!D11*$C920*'Business Case'!D12*$B920)-'Business Case'!D11*$C920*'Business Case'!D13*$D920-'Business Case'!D14*$E920))*'Business Case'!$B$7-'Business Case'!$B$8*(('Business Case'!D11*$C920*'Business Case'!D12*$B920)-('Business Case'!C11*$C920*'Business Case'!C12*$B920))-'Business Case'!D15*$F920</f>
        <v>205964970.381136</v>
      </c>
      <c r="K920" s="53" t="n">
        <f aca="false">(('Business Case'!E11*$C920*'Business Case'!E12*$B920)-'Business Case'!E11*$C920*'Business Case'!E13*$D920-'Business Case'!E14*$E920)-MAX(0,(('Business Case'!E11*$C920*'Business Case'!E12*$B920)-'Business Case'!E11*$C920*'Business Case'!E13*$D920-'Business Case'!E14*$E920))*'Business Case'!$B$7-'Business Case'!$B$8*(('Business Case'!E11*$C920*'Business Case'!E12*$B920)-('Business Case'!D11*$C920*'Business Case'!D12*$B920))-'Business Case'!E15*$F920</f>
        <v>501351672.291793</v>
      </c>
      <c r="L920" s="53" t="n">
        <f aca="false">(('Business Case'!F11*$C920*'Business Case'!F12*$B920)-'Business Case'!F11*$C920*'Business Case'!F13*$D920-'Business Case'!F14*$E920)-MAX(0,(('Business Case'!F11*$C920*'Business Case'!F12*$B920)-'Business Case'!F11*$C920*'Business Case'!F13*$D920-'Business Case'!F14*$E920))*'Business Case'!$B$7-'Business Case'!$B$8*(('Business Case'!F11*$C920*'Business Case'!F12*$B920)-('Business Case'!E11*$C920*'Business Case'!E12*$B920))-'Business Case'!F15*$F920</f>
        <v>612256416.688351</v>
      </c>
      <c r="M920" s="53" t="n">
        <f aca="false">(('Business Case'!G11*$C920*'Business Case'!G12*$B920)-'Business Case'!G11*$C920*'Business Case'!G13*$D920-'Business Case'!G14*$E920)-MAX(0,(('Business Case'!G11*$C920*'Business Case'!G12*$B920)-'Business Case'!G11*$C920*'Business Case'!G13*$D920-'Business Case'!G14*$E920))*'Business Case'!$B$7-'Business Case'!$B$8*(('Business Case'!G11*$C920*'Business Case'!G12*$B920)-('Business Case'!F11*$C920*'Business Case'!F12*$B920))-'Business Case'!G15*$F920+'Business Case'!$B$8*('Business Case'!G11*$C920*'Business Case'!G12*$B920)</f>
        <v>771584541.981351</v>
      </c>
      <c r="N920" s="53" t="n">
        <f aca="false">IF(COUNT('Business Case'!B11:G11)=0,"",H920+NPV(G920,I920:M920))</f>
        <v>-653672254.813186</v>
      </c>
      <c r="P920" s="54" t="n">
        <f aca="true">RAND()</f>
        <v>0.581131601582037</v>
      </c>
      <c r="Q920" s="54" t="n">
        <f aca="true">RAND()</f>
        <v>0.0260339719276614</v>
      </c>
      <c r="R920" s="54" t="n">
        <f aca="true">RAND()</f>
        <v>0.6732024716849</v>
      </c>
      <c r="S920" s="54" t="n">
        <f aca="true">RAND()</f>
        <v>0.40980751387317</v>
      </c>
      <c r="T920" s="54" t="n">
        <f aca="true">RAND()</f>
        <v>0.138274309932896</v>
      </c>
      <c r="U920" s="54" t="n">
        <f aca="true">RAND()</f>
        <v>0.977008582112205</v>
      </c>
    </row>
    <row r="921" customFormat="false" ht="15" hidden="false" customHeight="false" outlineLevel="0" collapsed="false">
      <c r="A921" s="50" t="n">
        <v>841</v>
      </c>
      <c r="B921" s="51" t="n">
        <f aca="false">1+IF($G$6=$E$6,$F$6,IF(P921&lt;($F$6-$E$6)/($G$6-$E$6),$E$6+SQRT(P921*($G$6-$E$6)*($F$6-$E$6)),$G$6-SQRT((1-P921)*($G$6-$E$6)*($G$6-$F$6))))</f>
        <v>1.02436201729967</v>
      </c>
      <c r="C921" s="51" t="n">
        <f aca="false">1+IF($G$7=$E$7,$F$7,IF(Q921&lt;($F$7-$E$7)/($G$7-$E$7),$E$7+SQRT(Q921*($G$7-$E$7)*($F$7-$E$7)),$G$7-SQRT((1-Q921)*($G$7-$E$7)*($G$7-$F$7))))</f>
        <v>0.924396091135991</v>
      </c>
      <c r="D921" s="51" t="n">
        <f aca="false">1+IF($G$8=$E$8,$F$8,IF(R921&lt;($F$8-$E$8)/($G$8-$E$8),$E$8+SQRT(R921*($G$8-$E$8)*($F$8-$E$8)),$G$8-SQRT((1-R921)*($G$8-$E$8)*($G$8-$F$8))))</f>
        <v>0.962833973692869</v>
      </c>
      <c r="E921" s="51" t="n">
        <f aca="false">1+IF($G$9=$E$9,$F$9,IF(S921&lt;($F$9-$E$9)/($G$9-$E$9),$E$9+SQRT(S921*($G$9-$E$9)*($F$9-$E$9)),$G$9-SQRT((1-S921)*($G$9-$E$9)*($G$9-$F$9))))</f>
        <v>0.970614040482165</v>
      </c>
      <c r="F921" s="51" t="n">
        <f aca="false">1+IF($G$10=$E$10,$F$10,IF(T921&lt;($F$10-$E$10)/($G$10-$E$10),$E$10+SQRT(T921*($G$10-$E$10)*($F$10-$E$10)),$G$10-SQRT((1-T921)*($G$10-$E$10)*($G$10-$F$10))))</f>
        <v>1.09388294516727</v>
      </c>
      <c r="G921" s="52" t="n">
        <f aca="false">IF($G$11=$E$11,$F$11,IF(U921&lt;($F$11-$E$11)/($G$11-$E$11),$E$11+SQRT(U921*($G$11-$E$11)*($F$11-$E$11)),$G$11-SQRT((1-U921)*($G$11-$E$11)*($G$11-$F$11))))</f>
        <v>0.111452733088791</v>
      </c>
      <c r="H921" s="53" t="n">
        <f aca="false">(('Business Case'!B11*$C921*'Business Case'!B12*$B921)-'Business Case'!B11*$C921*'Business Case'!B13*$D921-'Business Case'!B14*$E921)-MAX(0,(('Business Case'!B11*$C921*'Business Case'!B12*$B921)-'Business Case'!B11*$C921*'Business Case'!B13*$D921-'Business Case'!B14*$E921))*'Business Case'!$B$7-'Business Case'!$B$8*('Business Case'!B11*$C921*'Business Case'!B12*$B921)-'Business Case'!B15*$F921</f>
        <v>-2187765890.33455</v>
      </c>
      <c r="I921" s="53" t="n">
        <f aca="false">(('Business Case'!C11*$C921*'Business Case'!C12*$B921)-'Business Case'!C11*$C921*'Business Case'!C13*$D921-'Business Case'!C14*$E921)-MAX(0,(('Business Case'!C11*$C921*'Business Case'!C12*$B921)-'Business Case'!C11*$C921*'Business Case'!C13*$D921-'Business Case'!C14*$E921))*'Business Case'!$B$7-'Business Case'!$B$8*(('Business Case'!C11*$C921*'Business Case'!C12*$B921)-('Business Case'!B11*$C921*'Business Case'!B12*$B921))-'Business Case'!C15*$F921</f>
        <v>23465575.989663</v>
      </c>
      <c r="J921" s="53" t="n">
        <f aca="false">(('Business Case'!D11*$C921*'Business Case'!D12*$B921)-'Business Case'!D11*$C921*'Business Case'!D13*$D921-'Business Case'!D14*$E921)-MAX(0,(('Business Case'!D11*$C921*'Business Case'!D12*$B921)-'Business Case'!D11*$C921*'Business Case'!D13*$D921-'Business Case'!D14*$E921))*'Business Case'!$B$7-'Business Case'!$B$8*(('Business Case'!D11*$C921*'Business Case'!D12*$B921)-('Business Case'!C11*$C921*'Business Case'!C12*$B921))-'Business Case'!D15*$F921</f>
        <v>343428901.177865</v>
      </c>
      <c r="K921" s="53" t="n">
        <f aca="false">(('Business Case'!E11*$C921*'Business Case'!E12*$B921)-'Business Case'!E11*$C921*'Business Case'!E13*$D921-'Business Case'!E14*$E921)-MAX(0,(('Business Case'!E11*$C921*'Business Case'!E12*$B921)-'Business Case'!E11*$C921*'Business Case'!E13*$D921-'Business Case'!E14*$E921))*'Business Case'!$B$7-'Business Case'!$B$8*(('Business Case'!E11*$C921*'Business Case'!E12*$B921)-('Business Case'!D11*$C921*'Business Case'!D12*$B921))-'Business Case'!E15*$F921</f>
        <v>718086373.624431</v>
      </c>
      <c r="L921" s="53" t="n">
        <f aca="false">(('Business Case'!F11*$C921*'Business Case'!F12*$B921)-'Business Case'!F11*$C921*'Business Case'!F13*$D921-'Business Case'!F14*$E921)-MAX(0,(('Business Case'!F11*$C921*'Business Case'!F12*$B921)-'Business Case'!F11*$C921*'Business Case'!F13*$D921-'Business Case'!F14*$E921))*'Business Case'!$B$7-'Business Case'!$B$8*(('Business Case'!F11*$C921*'Business Case'!F12*$B921)-('Business Case'!E11*$C921*'Business Case'!E12*$B921))-'Business Case'!F15*$F921</f>
        <v>857466240.770663</v>
      </c>
      <c r="M921" s="53" t="n">
        <f aca="false">(('Business Case'!G11*$C921*'Business Case'!G12*$B921)-'Business Case'!G11*$C921*'Business Case'!G13*$D921-'Business Case'!G14*$E921)-MAX(0,(('Business Case'!G11*$C921*'Business Case'!G12*$B921)-'Business Case'!G11*$C921*'Business Case'!G13*$D921-'Business Case'!G14*$E921))*'Business Case'!$B$7-'Business Case'!$B$8*(('Business Case'!G11*$C921*'Business Case'!G12*$B921)-('Business Case'!F11*$C921*'Business Case'!F12*$B921))-'Business Case'!G15*$F921+'Business Case'!$B$8*('Business Case'!G11*$C921*'Business Case'!G12*$B921)</f>
        <v>1037456080.56324</v>
      </c>
      <c r="N921" s="53" t="n">
        <f aca="false">IF(COUNT('Business Case'!B11:G11)=0,"",H921+NPV(G921,I921:M921))</f>
        <v>-192085726.652239</v>
      </c>
      <c r="P921" s="54" t="n">
        <f aca="true">RAND()</f>
        <v>0.949052811888369</v>
      </c>
      <c r="Q921" s="54" t="n">
        <f aca="true">RAND()</f>
        <v>0.221062678427338</v>
      </c>
      <c r="R921" s="54" t="n">
        <f aca="true">RAND()</f>
        <v>0.025340135499884</v>
      </c>
      <c r="S921" s="54" t="n">
        <f aca="true">RAND()</f>
        <v>0.0566584886667085</v>
      </c>
      <c r="T921" s="54" t="n">
        <f aca="true">RAND()</f>
        <v>0.774783413472566</v>
      </c>
      <c r="U921" s="54" t="n">
        <f aca="true">RAND()</f>
        <v>0.878240380580914</v>
      </c>
    </row>
    <row r="922" customFormat="false" ht="15" hidden="false" customHeight="false" outlineLevel="0" collapsed="false">
      <c r="A922" s="50" t="n">
        <v>842</v>
      </c>
      <c r="B922" s="51" t="n">
        <f aca="false">1+IF($G$6=$E$6,$F$6,IF(P922&lt;($F$6-$E$6)/($G$6-$E$6),$E$6+SQRT(P922*($G$6-$E$6)*($F$6-$E$6)),$G$6-SQRT((1-P922)*($G$6-$E$6)*($G$6-$F$6))))</f>
        <v>0.951075367533585</v>
      </c>
      <c r="C922" s="51" t="n">
        <f aca="false">1+IF($G$7=$E$7,$F$7,IF(Q922&lt;($F$7-$E$7)/($G$7-$E$7),$E$7+SQRT(Q922*($G$7-$E$7)*($F$7-$E$7)),$G$7-SQRT((1-Q922)*($G$7-$E$7)*($G$7-$F$7))))</f>
        <v>1.05900553252333</v>
      </c>
      <c r="D922" s="51" t="n">
        <f aca="false">1+IF($G$8=$E$8,$F$8,IF(R922&lt;($F$8-$E$8)/($G$8-$E$8),$E$8+SQRT(R922*($G$8-$E$8)*($F$8-$E$8)),$G$8-SQRT((1-R922)*($G$8-$E$8)*($G$8-$F$8))))</f>
        <v>1.03725773757582</v>
      </c>
      <c r="E922" s="51" t="n">
        <f aca="false">1+IF($G$9=$E$9,$F$9,IF(S922&lt;($F$9-$E$9)/($G$9-$E$9),$E$9+SQRT(S922*($G$9-$E$9)*($F$9-$E$9)),$G$9-SQRT((1-S922)*($G$9-$E$9)*($G$9-$F$9))))</f>
        <v>1.05115021037861</v>
      </c>
      <c r="F922" s="51" t="n">
        <f aca="false">1+IF($G$10=$E$10,$F$10,IF(T922&lt;($F$10-$E$10)/($G$10-$E$10),$E$10+SQRT(T922*($G$10-$E$10)*($F$10-$E$10)),$G$10-SQRT((1-T922)*($G$10-$E$10)*($G$10-$F$10))))</f>
        <v>1.04500774872397</v>
      </c>
      <c r="G922" s="52" t="n">
        <f aca="false">IF($G$11=$E$11,$F$11,IF(U922&lt;($F$11-$E$11)/($G$11-$E$11),$E$11+SQRT(U922*($G$11-$E$11)*($F$11-$E$11)),$G$11-SQRT((1-U922)*($G$11-$E$11)*($G$11-$F$11))))</f>
        <v>0.112540616834771</v>
      </c>
      <c r="H922" s="53" t="n">
        <f aca="false">(('Business Case'!B11*$C922*'Business Case'!B12*$B922)-'Business Case'!B11*$C922*'Business Case'!B13*$D922-'Business Case'!B14*$E922)-MAX(0,(('Business Case'!B11*$C922*'Business Case'!B12*$B922)-'Business Case'!B11*$C922*'Business Case'!B13*$D922-'Business Case'!B14*$E922))*'Business Case'!$B$7-'Business Case'!$B$8*('Business Case'!B11*$C922*'Business Case'!B12*$B922)-'Business Case'!B15*$F922</f>
        <v>-2090015497.44794</v>
      </c>
      <c r="I922" s="53" t="n">
        <f aca="false">(('Business Case'!C11*$C922*'Business Case'!C12*$B922)-'Business Case'!C11*$C922*'Business Case'!C13*$D922-'Business Case'!C14*$E922)-MAX(0,(('Business Case'!C11*$C922*'Business Case'!C12*$B922)-'Business Case'!C11*$C922*'Business Case'!C13*$D922-'Business Case'!C14*$E922))*'Business Case'!$B$7-'Business Case'!$B$8*(('Business Case'!C11*$C922*'Business Case'!C12*$B922)-('Business Case'!B11*$C922*'Business Case'!B12*$B922))-'Business Case'!C15*$F922</f>
        <v>-43547314.0519841</v>
      </c>
      <c r="J922" s="53" t="n">
        <f aca="false">(('Business Case'!D11*$C922*'Business Case'!D12*$B922)-'Business Case'!D11*$C922*'Business Case'!D13*$D922-'Business Case'!D14*$E922)-MAX(0,(('Business Case'!D11*$C922*'Business Case'!D12*$B922)-'Business Case'!D11*$C922*'Business Case'!D13*$D922-'Business Case'!D14*$E922))*'Business Case'!$B$7-'Business Case'!$B$8*(('Business Case'!D11*$C922*'Business Case'!D12*$B922)-('Business Case'!C11*$C922*'Business Case'!C12*$B922))-'Business Case'!D15*$F922</f>
        <v>219092647.587463</v>
      </c>
      <c r="K922" s="53" t="n">
        <f aca="false">(('Business Case'!E11*$C922*'Business Case'!E12*$B922)-'Business Case'!E11*$C922*'Business Case'!E13*$D922-'Business Case'!E14*$E922)-MAX(0,(('Business Case'!E11*$C922*'Business Case'!E12*$B922)-'Business Case'!E11*$C922*'Business Case'!E13*$D922-'Business Case'!E14*$E922))*'Business Case'!$B$7-'Business Case'!$B$8*(('Business Case'!E11*$C922*'Business Case'!E12*$B922)-('Business Case'!D11*$C922*'Business Case'!D12*$B922))-'Business Case'!E15*$F922</f>
        <v>533982996.663108</v>
      </c>
      <c r="L922" s="53" t="n">
        <f aca="false">(('Business Case'!F11*$C922*'Business Case'!F12*$B922)-'Business Case'!F11*$C922*'Business Case'!F13*$D922-'Business Case'!F14*$E922)-MAX(0,(('Business Case'!F11*$C922*'Business Case'!F12*$B922)-'Business Case'!F11*$C922*'Business Case'!F13*$D922-'Business Case'!F14*$E922))*'Business Case'!$B$7-'Business Case'!$B$8*(('Business Case'!F11*$C922*'Business Case'!F12*$B922)-('Business Case'!E11*$C922*'Business Case'!E12*$B922))-'Business Case'!F15*$F922</f>
        <v>656338277.811721</v>
      </c>
      <c r="M922" s="53" t="n">
        <f aca="false">(('Business Case'!G11*$C922*'Business Case'!G12*$B922)-'Business Case'!G11*$C922*'Business Case'!G13*$D922-'Business Case'!G14*$E922)-MAX(0,(('Business Case'!G11*$C922*'Business Case'!G12*$B922)-'Business Case'!G11*$C922*'Business Case'!G13*$D922-'Business Case'!G14*$E922))*'Business Case'!$B$7-'Business Case'!$B$8*(('Business Case'!G11*$C922*'Business Case'!G12*$B922)-('Business Case'!F11*$C922*'Business Case'!F12*$B922))-'Business Case'!G15*$F922+'Business Case'!$B$8*('Business Case'!G11*$C922*'Business Case'!G12*$B922)</f>
        <v>847785727.790104</v>
      </c>
      <c r="N922" s="53" t="n">
        <f aca="false">IF(COUNT('Business Case'!B11:G11)=0,"",H922+NPV(G922,I922:M922))</f>
        <v>-638557787.021559</v>
      </c>
      <c r="P922" s="54" t="n">
        <f aca="true">RAND()</f>
        <v>0.100591507015349</v>
      </c>
      <c r="Q922" s="54" t="n">
        <f aca="true">RAND()</f>
        <v>0.842285845497856</v>
      </c>
      <c r="R922" s="54" t="n">
        <f aca="true">RAND()</f>
        <v>0.824336442582963</v>
      </c>
      <c r="S922" s="54" t="n">
        <f aca="true">RAND()</f>
        <v>0.840913203596405</v>
      </c>
      <c r="T922" s="54" t="n">
        <f aca="true">RAND()</f>
        <v>0.519548040887762</v>
      </c>
      <c r="U922" s="54" t="n">
        <f aca="true">RAND()</f>
        <v>0.907262671323836</v>
      </c>
    </row>
    <row r="923" customFormat="false" ht="15" hidden="false" customHeight="false" outlineLevel="0" collapsed="false">
      <c r="A923" s="50" t="n">
        <v>843</v>
      </c>
      <c r="B923" s="51" t="n">
        <f aca="false">1+IF($G$6=$E$6,$F$6,IF(P923&lt;($F$6-$E$6)/($G$6-$E$6),$E$6+SQRT(P923*($G$6-$E$6)*($F$6-$E$6)),$G$6-SQRT((1-P923)*($G$6-$E$6)*($G$6-$F$6))))</f>
        <v>1.01188199776618</v>
      </c>
      <c r="C923" s="51" t="n">
        <f aca="false">1+IF($G$7=$E$7,$F$7,IF(Q923&lt;($F$7-$E$7)/($G$7-$E$7),$E$7+SQRT(Q923*($G$7-$E$7)*($F$7-$E$7)),$G$7-SQRT((1-Q923)*($G$7-$E$7)*($G$7-$F$7))))</f>
        <v>1.03946079335319</v>
      </c>
      <c r="D923" s="51" t="n">
        <f aca="false">1+IF($G$8=$E$8,$F$8,IF(R923&lt;($F$8-$E$8)/($G$8-$E$8),$E$8+SQRT(R923*($G$8-$E$8)*($F$8-$E$8)),$G$8-SQRT((1-R923)*($G$8-$E$8)*($G$8-$F$8))))</f>
        <v>0.96698649125552</v>
      </c>
      <c r="E923" s="51" t="n">
        <f aca="false">1+IF($G$9=$E$9,$F$9,IF(S923&lt;($F$9-$E$9)/($G$9-$E$9),$E$9+SQRT(S923*($G$9-$E$9)*($F$9-$E$9)),$G$9-SQRT((1-S923)*($G$9-$E$9)*($G$9-$F$9))))</f>
        <v>0.975041315512412</v>
      </c>
      <c r="F923" s="51" t="n">
        <f aca="false">1+IF($G$10=$E$10,$F$10,IF(T923&lt;($F$10-$E$10)/($G$10-$E$10),$E$10+SQRT(T923*($G$10-$E$10)*($F$10-$E$10)),$G$10-SQRT((1-T923)*($G$10-$E$10)*($G$10-$F$10))))</f>
        <v>1.09588413272472</v>
      </c>
      <c r="G923" s="52" t="n">
        <f aca="false">IF($G$11=$E$11,$F$11,IF(U923&lt;($F$11-$E$11)/($G$11-$E$11),$E$11+SQRT(U923*($G$11-$E$11)*($F$11-$E$11)),$G$11-SQRT((1-U923)*($G$11-$E$11)*($G$11-$F$11))))</f>
        <v>0.11073983559139</v>
      </c>
      <c r="H923" s="53" t="n">
        <f aca="false">(('Business Case'!B11*$C923*'Business Case'!B12*$B923)-'Business Case'!B11*$C923*'Business Case'!B13*$D923-'Business Case'!B14*$E923)-MAX(0,(('Business Case'!B11*$C923*'Business Case'!B12*$B923)-'Business Case'!B11*$C923*'Business Case'!B13*$D923-'Business Case'!B14*$E923))*'Business Case'!$B$7-'Business Case'!$B$8*('Business Case'!B11*$C923*'Business Case'!B12*$B923)-'Business Case'!B15*$F923</f>
        <v>-2191768265.44943</v>
      </c>
      <c r="I923" s="53" t="n">
        <f aca="false">(('Business Case'!C11*$C923*'Business Case'!C12*$B923)-'Business Case'!C11*$C923*'Business Case'!C13*$D923-'Business Case'!C14*$E923)-MAX(0,(('Business Case'!C11*$C923*'Business Case'!C12*$B923)-'Business Case'!C11*$C923*'Business Case'!C13*$D923-'Business Case'!C14*$E923))*'Business Case'!$B$7-'Business Case'!$B$8*(('Business Case'!C11*$C923*'Business Case'!C12*$B923)-('Business Case'!B11*$C923*'Business Case'!B12*$B923))-'Business Case'!C15*$F923</f>
        <v>44190682.7303015</v>
      </c>
      <c r="J923" s="53" t="n">
        <f aca="false">(('Business Case'!D11*$C923*'Business Case'!D12*$B923)-'Business Case'!D11*$C923*'Business Case'!D13*$D923-'Business Case'!D14*$E923)-MAX(0,(('Business Case'!D11*$C923*'Business Case'!D12*$B923)-'Business Case'!D11*$C923*'Business Case'!D13*$D923-'Business Case'!D14*$E923))*'Business Case'!$B$7-'Business Case'!$B$8*(('Business Case'!D11*$C923*'Business Case'!D12*$B923)-('Business Case'!C11*$C923*'Business Case'!C12*$B923))-'Business Case'!D15*$F923</f>
        <v>391146570.469919</v>
      </c>
      <c r="K923" s="53" t="n">
        <f aca="false">(('Business Case'!E11*$C923*'Business Case'!E12*$B923)-'Business Case'!E11*$C923*'Business Case'!E13*$D923-'Business Case'!E14*$E923)-MAX(0,(('Business Case'!E11*$C923*'Business Case'!E12*$B923)-'Business Case'!E11*$C923*'Business Case'!E13*$D923-'Business Case'!E14*$E923))*'Business Case'!$B$7-'Business Case'!$B$8*(('Business Case'!E11*$C923*'Business Case'!E12*$B923)-('Business Case'!D11*$C923*'Business Case'!D12*$B923))-'Business Case'!E15*$F923</f>
        <v>792896664.845773</v>
      </c>
      <c r="L923" s="53" t="n">
        <f aca="false">(('Business Case'!F11*$C923*'Business Case'!F12*$B923)-'Business Case'!F11*$C923*'Business Case'!F13*$D923-'Business Case'!F14*$E923)-MAX(0,(('Business Case'!F11*$C923*'Business Case'!F12*$B923)-'Business Case'!F11*$C923*'Business Case'!F13*$D923-'Business Case'!F14*$E923))*'Business Case'!$B$7-'Business Case'!$B$8*(('Business Case'!F11*$C923*'Business Case'!F12*$B923)-('Business Case'!E11*$C923*'Business Case'!E12*$B923))-'Business Case'!F15*$F923</f>
        <v>944899238.539632</v>
      </c>
      <c r="M923" s="53" t="n">
        <f aca="false">(('Business Case'!G11*$C923*'Business Case'!G12*$B923)-'Business Case'!G11*$C923*'Business Case'!G13*$D923-'Business Case'!G14*$E923)-MAX(0,(('Business Case'!G11*$C923*'Business Case'!G12*$B923)-'Business Case'!G11*$C923*'Business Case'!G13*$D923-'Business Case'!G14*$E923))*'Business Case'!$B$7-'Business Case'!$B$8*(('Business Case'!G11*$C923*'Business Case'!G12*$B923)-('Business Case'!F11*$C923*'Business Case'!F12*$B923))-'Business Case'!G15*$F923+'Business Case'!$B$8*('Business Case'!G11*$C923*'Business Case'!G12*$B923)</f>
        <v>1144827599.66656</v>
      </c>
      <c r="N923" s="53" t="n">
        <f aca="false">IF(COUNT('Business Case'!B11:G11)=0,"",H923+NPV(G923,I923:M923))</f>
        <v>41576216.1161222</v>
      </c>
      <c r="P923" s="54" t="n">
        <f aca="true">RAND()</f>
        <v>0.835287072995622</v>
      </c>
      <c r="Q923" s="54" t="n">
        <f aca="true">RAND()</f>
        <v>0.767258738931305</v>
      </c>
      <c r="R923" s="54" t="n">
        <f aca="true">RAND()</f>
        <v>0.0443909054113641</v>
      </c>
      <c r="S923" s="54" t="n">
        <f aca="true">RAND()</f>
        <v>0.0836089976789554</v>
      </c>
      <c r="T923" s="54" t="n">
        <f aca="true">RAND()</f>
        <v>0.78319772363031</v>
      </c>
      <c r="U923" s="54" t="n">
        <f aca="true">RAND()</f>
        <v>0.857082258542509</v>
      </c>
    </row>
    <row r="924" customFormat="false" ht="15" hidden="false" customHeight="false" outlineLevel="0" collapsed="false">
      <c r="A924" s="50" t="n">
        <v>844</v>
      </c>
      <c r="B924" s="51" t="n">
        <f aca="false">1+IF($G$6=$E$6,$F$6,IF(P924&lt;($F$6-$E$6)/($G$6-$E$6),$E$6+SQRT(P924*($G$6-$E$6)*($F$6-$E$6)),$G$6-SQRT((1-P924)*($G$6-$E$6)*($G$6-$F$6))))</f>
        <v>0.9741790767071</v>
      </c>
      <c r="C924" s="51" t="n">
        <f aca="false">1+IF($G$7=$E$7,$F$7,IF(Q924&lt;($F$7-$E$7)/($G$7-$E$7),$E$7+SQRT(Q924*($G$7-$E$7)*($F$7-$E$7)),$G$7-SQRT((1-Q924)*($G$7-$E$7)*($G$7-$F$7))))</f>
        <v>0.853107138275285</v>
      </c>
      <c r="D924" s="51" t="n">
        <f aca="false">1+IF($G$8=$E$8,$F$8,IF(R924&lt;($F$8-$E$8)/($G$8-$E$8),$E$8+SQRT(R924*($G$8-$E$8)*($F$8-$E$8)),$G$8-SQRT((1-R924)*($G$8-$E$8)*($G$8-$F$8))))</f>
        <v>0.981959427127704</v>
      </c>
      <c r="E924" s="51" t="n">
        <f aca="false">1+IF($G$9=$E$9,$F$9,IF(S924&lt;($F$9-$E$9)/($G$9-$E$9),$E$9+SQRT(S924*($G$9-$E$9)*($F$9-$E$9)),$G$9-SQRT((1-S924)*($G$9-$E$9)*($G$9-$F$9))))</f>
        <v>1.08801308477929</v>
      </c>
      <c r="F924" s="51" t="n">
        <f aca="false">1+IF($G$10=$E$10,$F$10,IF(T924&lt;($F$10-$E$10)/($G$10-$E$10),$E$10+SQRT(T924*($G$10-$E$10)*($F$10-$E$10)),$G$10-SQRT((1-T924)*($G$10-$E$10)*($G$10-$F$10))))</f>
        <v>1.15869160141606</v>
      </c>
      <c r="G924" s="52" t="n">
        <f aca="false">IF($G$11=$E$11,$F$11,IF(U924&lt;($F$11-$E$11)/($G$11-$E$11),$E$11+SQRT(U924*($G$11-$E$11)*($F$11-$E$11)),$G$11-SQRT((1-U924)*($G$11-$E$11)*($G$11-$F$11))))</f>
        <v>0.113471611937898</v>
      </c>
      <c r="H924" s="53" t="n">
        <f aca="false">(('Business Case'!B11*$C924*'Business Case'!B12*$B924)-'Business Case'!B11*$C924*'Business Case'!B13*$D924-'Business Case'!B14*$E924)-MAX(0,(('Business Case'!B11*$C924*'Business Case'!B12*$B924)-'Business Case'!B11*$C924*'Business Case'!B13*$D924-'Business Case'!B14*$E924))*'Business Case'!$B$7-'Business Case'!$B$8*('Business Case'!B11*$C924*'Business Case'!B12*$B924)-'Business Case'!B15*$F924</f>
        <v>-2317383202.83213</v>
      </c>
      <c r="I924" s="53" t="n">
        <f aca="false">(('Business Case'!C11*$C924*'Business Case'!C12*$B924)-'Business Case'!C11*$C924*'Business Case'!C13*$D924-'Business Case'!C14*$E924)-MAX(0,(('Business Case'!C11*$C924*'Business Case'!C12*$B924)-'Business Case'!C11*$C924*'Business Case'!C13*$D924-'Business Case'!C14*$E924))*'Business Case'!$B$7-'Business Case'!$B$8*(('Business Case'!C11*$C924*'Business Case'!C12*$B924)-('Business Case'!B11*$C924*'Business Case'!B12*$B924))-'Business Case'!C15*$F924</f>
        <v>-61798002.3276774</v>
      </c>
      <c r="J924" s="53" t="n">
        <f aca="false">(('Business Case'!D11*$C924*'Business Case'!D12*$B924)-'Business Case'!D11*$C924*'Business Case'!D13*$D924-'Business Case'!D14*$E924)-MAX(0,(('Business Case'!D11*$C924*'Business Case'!D12*$B924)-'Business Case'!D11*$C924*'Business Case'!D13*$D924-'Business Case'!D14*$E924))*'Business Case'!$B$7-'Business Case'!$B$8*(('Business Case'!D11*$C924*'Business Case'!D12*$B924)-('Business Case'!C11*$C924*'Business Case'!C12*$B924))-'Business Case'!D15*$F924</f>
        <v>190071757.945436</v>
      </c>
      <c r="K924" s="53" t="n">
        <f aca="false">(('Business Case'!E11*$C924*'Business Case'!E12*$B924)-'Business Case'!E11*$C924*'Business Case'!E13*$D924-'Business Case'!E14*$E924)-MAX(0,(('Business Case'!E11*$C924*'Business Case'!E12*$B924)-'Business Case'!E11*$C924*'Business Case'!E13*$D924-'Business Case'!E14*$E924))*'Business Case'!$B$7-'Business Case'!$B$8*(('Business Case'!E11*$C924*'Business Case'!E12*$B924)-('Business Case'!D11*$C924*'Business Case'!D12*$B924))-'Business Case'!E15*$F924</f>
        <v>499876098.289353</v>
      </c>
      <c r="L924" s="53" t="n">
        <f aca="false">(('Business Case'!F11*$C924*'Business Case'!F12*$B924)-'Business Case'!F11*$C924*'Business Case'!F13*$D924-'Business Case'!F14*$E924)-MAX(0,(('Business Case'!F11*$C924*'Business Case'!F12*$B924)-'Business Case'!F11*$C924*'Business Case'!F13*$D924-'Business Case'!F14*$E924))*'Business Case'!$B$7-'Business Case'!$B$8*(('Business Case'!F11*$C924*'Business Case'!F12*$B924)-('Business Case'!E11*$C924*'Business Case'!E12*$B924))-'Business Case'!F15*$F924</f>
        <v>612554779.58277</v>
      </c>
      <c r="M924" s="53" t="n">
        <f aca="false">(('Business Case'!G11*$C924*'Business Case'!G12*$B924)-'Business Case'!G11*$C924*'Business Case'!G13*$D924-'Business Case'!G14*$E924)-MAX(0,(('Business Case'!G11*$C924*'Business Case'!G12*$B924)-'Business Case'!G11*$C924*'Business Case'!G13*$D924-'Business Case'!G14*$E924))*'Business Case'!$B$7-'Business Case'!$B$8*(('Business Case'!G11*$C924*'Business Case'!G12*$B924)-('Business Case'!F11*$C924*'Business Case'!F12*$B924))-'Business Case'!G15*$F924+'Business Case'!$B$8*('Business Case'!G11*$C924*'Business Case'!G12*$B924)</f>
        <v>770526299.529192</v>
      </c>
      <c r="N924" s="53" t="n">
        <f aca="false">IF(COUNT('Business Case'!B11:G11)=0,"",H924+NPV(G924,I924:M924))</f>
        <v>-1008794713.89612</v>
      </c>
      <c r="P924" s="54" t="n">
        <f aca="true">RAND()</f>
        <v>0.30576795342019</v>
      </c>
      <c r="Q924" s="54" t="n">
        <f aca="true">RAND()</f>
        <v>0.0402909733684319</v>
      </c>
      <c r="R924" s="54" t="n">
        <f aca="true">RAND()</f>
        <v>0.157139228050922</v>
      </c>
      <c r="S924" s="54" t="n">
        <f aca="true">RAND()</f>
        <v>0.990420924232763</v>
      </c>
      <c r="T924" s="54" t="n">
        <f aca="true">RAND()</f>
        <v>0.965872324128614</v>
      </c>
      <c r="U924" s="54" t="n">
        <f aca="true">RAND()</f>
        <v>0.928966915517683</v>
      </c>
    </row>
    <row r="925" customFormat="false" ht="15" hidden="false" customHeight="false" outlineLevel="0" collapsed="false">
      <c r="A925" s="50" t="n">
        <v>845</v>
      </c>
      <c r="B925" s="51" t="n">
        <f aca="false">1+IF($G$6=$E$6,$F$6,IF(P925&lt;($F$6-$E$6)/($G$6-$E$6),$E$6+SQRT(P925*($G$6-$E$6)*($F$6-$E$6)),$G$6-SQRT((1-P925)*($G$6-$E$6)*($G$6-$F$6))))</f>
        <v>0.978186283871443</v>
      </c>
      <c r="C925" s="51" t="n">
        <f aca="false">1+IF($G$7=$E$7,$F$7,IF(Q925&lt;($F$7-$E$7)/($G$7-$E$7),$E$7+SQRT(Q925*($G$7-$E$7)*($F$7-$E$7)),$G$7-SQRT((1-Q925)*($G$7-$E$7)*($G$7-$F$7))))</f>
        <v>0.864610567966566</v>
      </c>
      <c r="D925" s="51" t="n">
        <f aca="false">1+IF($G$8=$E$8,$F$8,IF(R925&lt;($F$8-$E$8)/($G$8-$E$8),$E$8+SQRT(R925*($G$8-$E$8)*($F$8-$E$8)),$G$8-SQRT((1-R925)*($G$8-$E$8)*($G$8-$F$8))))</f>
        <v>1.04648780907737</v>
      </c>
      <c r="E925" s="51" t="n">
        <f aca="false">1+IF($G$9=$E$9,$F$9,IF(S925&lt;($F$9-$E$9)/($G$9-$E$9),$E$9+SQRT(S925*($G$9-$E$9)*($F$9-$E$9)),$G$9-SQRT((1-S925)*($G$9-$E$9)*($G$9-$F$9))))</f>
        <v>1.06761801939782</v>
      </c>
      <c r="F925" s="51" t="n">
        <f aca="false">1+IF($G$10=$E$10,$F$10,IF(T925&lt;($F$10-$E$10)/($G$10-$E$10),$E$10+SQRT(T925*($G$10-$E$10)*($F$10-$E$10)),$G$10-SQRT((1-T925)*($G$10-$E$10)*($G$10-$F$10))))</f>
        <v>1.0788709591705</v>
      </c>
      <c r="G925" s="52" t="n">
        <f aca="false">IF($G$11=$E$11,$F$11,IF(U925&lt;($F$11-$E$11)/($G$11-$E$11),$E$11+SQRT(U925*($G$11-$E$11)*($F$11-$E$11)),$G$11-SQRT((1-U925)*($G$11-$E$11)*($G$11-$F$11))))</f>
        <v>0.102785813847299</v>
      </c>
      <c r="H925" s="53" t="n">
        <f aca="false">(('Business Case'!B11*$C925*'Business Case'!B12*$B925)-'Business Case'!B11*$C925*'Business Case'!B13*$D925-'Business Case'!B14*$E925)-MAX(0,(('Business Case'!B11*$C925*'Business Case'!B12*$B925)-'Business Case'!B11*$C925*'Business Case'!B13*$D925-'Business Case'!B14*$E925))*'Business Case'!$B$7-'Business Case'!$B$8*('Business Case'!B11*$C925*'Business Case'!B12*$B925)-'Business Case'!B15*$F925</f>
        <v>-2157741918.34101</v>
      </c>
      <c r="I925" s="53" t="n">
        <f aca="false">(('Business Case'!C11*$C925*'Business Case'!C12*$B925)-'Business Case'!C11*$C925*'Business Case'!C13*$D925-'Business Case'!C14*$E925)-MAX(0,(('Business Case'!C11*$C925*'Business Case'!C12*$B925)-'Business Case'!C11*$C925*'Business Case'!C13*$D925-'Business Case'!C14*$E925))*'Business Case'!$B$7-'Business Case'!$B$8*(('Business Case'!C11*$C925*'Business Case'!C12*$B925)-('Business Case'!B11*$C925*'Business Case'!B12*$B925))-'Business Case'!C15*$F925</f>
        <v>-74003240.1613359</v>
      </c>
      <c r="J925" s="53" t="n">
        <f aca="false">(('Business Case'!D11*$C925*'Business Case'!D12*$B925)-'Business Case'!D11*$C925*'Business Case'!D13*$D925-'Business Case'!D14*$E925)-MAX(0,(('Business Case'!D11*$C925*'Business Case'!D12*$B925)-'Business Case'!D11*$C925*'Business Case'!D13*$D925-'Business Case'!D14*$E925))*'Business Case'!$B$7-'Business Case'!$B$8*(('Business Case'!D11*$C925*'Business Case'!D12*$B925)-('Business Case'!C11*$C925*'Business Case'!C12*$B925))-'Business Case'!D15*$F925</f>
        <v>155539588.241702</v>
      </c>
      <c r="K925" s="53" t="n">
        <f aca="false">(('Business Case'!E11*$C925*'Business Case'!E12*$B925)-'Business Case'!E11*$C925*'Business Case'!E13*$D925-'Business Case'!E14*$E925)-MAX(0,(('Business Case'!E11*$C925*'Business Case'!E12*$B925)-'Business Case'!E11*$C925*'Business Case'!E13*$D925-'Business Case'!E14*$E925))*'Business Case'!$B$7-'Business Case'!$B$8*(('Business Case'!E11*$C925*'Business Case'!E12*$B925)-('Business Case'!D11*$C925*'Business Case'!D12*$B925))-'Business Case'!E15*$F925</f>
        <v>439025964.603265</v>
      </c>
      <c r="L925" s="53" t="n">
        <f aca="false">(('Business Case'!F11*$C925*'Business Case'!F12*$B925)-'Business Case'!F11*$C925*'Business Case'!F13*$D925-'Business Case'!F14*$E925)-MAX(0,(('Business Case'!F11*$C925*'Business Case'!F12*$B925)-'Business Case'!F11*$C925*'Business Case'!F13*$D925-'Business Case'!F14*$E925))*'Business Case'!$B$7-'Business Case'!$B$8*(('Business Case'!F11*$C925*'Business Case'!F12*$B925)-('Business Case'!E11*$C925*'Business Case'!E12*$B925))-'Business Case'!F15*$F925</f>
        <v>544769367.596913</v>
      </c>
      <c r="M925" s="53" t="n">
        <f aca="false">(('Business Case'!G11*$C925*'Business Case'!G12*$B925)-'Business Case'!G11*$C925*'Business Case'!G13*$D925-'Business Case'!G14*$E925)-MAX(0,(('Business Case'!G11*$C925*'Business Case'!G12*$B925)-'Business Case'!G11*$C925*'Business Case'!G13*$D925-'Business Case'!G14*$E925))*'Business Case'!$B$7-'Business Case'!$B$8*(('Business Case'!G11*$C925*'Business Case'!G12*$B925)-('Business Case'!F11*$C925*'Business Case'!F12*$B925))-'Business Case'!G15*$F925+'Business Case'!$B$8*('Business Case'!G11*$C925*'Business Case'!G12*$B925)</f>
        <v>705529565.323077</v>
      </c>
      <c r="N925" s="53" t="n">
        <f aca="false">IF(COUNT('Business Case'!B11:G11)=0,"",H925+NPV(G925,I925:M925))</f>
        <v>-968685678.218037</v>
      </c>
      <c r="P925" s="54" t="n">
        <f aca="true">RAND()</f>
        <v>0.352671211538348</v>
      </c>
      <c r="Q925" s="54" t="n">
        <f aca="true">RAND()</f>
        <v>0.0596360784708886</v>
      </c>
      <c r="R925" s="54" t="n">
        <f aca="true">RAND()</f>
        <v>0.892012794188957</v>
      </c>
      <c r="S925" s="54" t="n">
        <f aca="true">RAND()</f>
        <v>0.930093822151981</v>
      </c>
      <c r="T925" s="54" t="n">
        <f aca="true">RAND()</f>
        <v>0.706555109354519</v>
      </c>
      <c r="U925" s="54" t="n">
        <f aca="true">RAND()</f>
        <v>0.506119658500263</v>
      </c>
    </row>
    <row r="926" customFormat="false" ht="15" hidden="false" customHeight="false" outlineLevel="0" collapsed="false">
      <c r="A926" s="50" t="n">
        <v>846</v>
      </c>
      <c r="B926" s="51" t="n">
        <f aca="false">1+IF($G$6=$E$6,$F$6,IF(P926&lt;($F$6-$E$6)/($G$6-$E$6),$E$6+SQRT(P926*($G$6-$E$6)*($F$6-$E$6)),$G$6-SQRT((1-P926)*($G$6-$E$6)*($G$6-$F$6))))</f>
        <v>0.985902337942663</v>
      </c>
      <c r="C926" s="51" t="n">
        <f aca="false">1+IF($G$7=$E$7,$F$7,IF(Q926&lt;($F$7-$E$7)/($G$7-$E$7),$E$7+SQRT(Q926*($G$7-$E$7)*($F$7-$E$7)),$G$7-SQRT((1-Q926)*($G$7-$E$7)*($G$7-$F$7))))</f>
        <v>1.00913760888027</v>
      </c>
      <c r="D926" s="51" t="n">
        <f aca="false">1+IF($G$8=$E$8,$F$8,IF(R926&lt;($F$8-$E$8)/($G$8-$E$8),$E$8+SQRT(R926*($G$8-$E$8)*($F$8-$E$8)),$G$8-SQRT((1-R926)*($G$8-$E$8)*($G$8-$F$8))))</f>
        <v>1.00578243897363</v>
      </c>
      <c r="E926" s="51" t="n">
        <f aca="false">1+IF($G$9=$E$9,$F$9,IF(S926&lt;($F$9-$E$9)/($G$9-$E$9),$E$9+SQRT(S926*($G$9-$E$9)*($F$9-$E$9)),$G$9-SQRT((1-S926)*($G$9-$E$9)*($G$9-$F$9))))</f>
        <v>0.996952207856212</v>
      </c>
      <c r="F926" s="51" t="n">
        <f aca="false">1+IF($G$10=$E$10,$F$10,IF(T926&lt;($F$10-$E$10)/($G$10-$E$10),$E$10+SQRT(T926*($G$10-$E$10)*($F$10-$E$10)),$G$10-SQRT((1-T926)*($G$10-$E$10)*($G$10-$F$10))))</f>
        <v>1.04355185604449</v>
      </c>
      <c r="G926" s="52" t="n">
        <f aca="false">IF($G$11=$E$11,$F$11,IF(U926&lt;($F$11-$E$11)/($G$11-$E$11),$E$11+SQRT(U926*($G$11-$E$11)*($F$11-$E$11)),$G$11-SQRT((1-U926)*($G$11-$E$11)*($G$11-$F$11))))</f>
        <v>0.109323410759354</v>
      </c>
      <c r="H926" s="53" t="n">
        <f aca="false">(('Business Case'!B11*$C926*'Business Case'!B12*$B926)-'Business Case'!B11*$C926*'Business Case'!B13*$D926-'Business Case'!B14*$E926)-MAX(0,(('Business Case'!B11*$C926*'Business Case'!B12*$B926)-'Business Case'!B11*$C926*'Business Case'!B13*$D926-'Business Case'!B14*$E926))*'Business Case'!$B$7-'Business Case'!$B$8*('Business Case'!B11*$C926*'Business Case'!B12*$B926)-'Business Case'!B15*$F926</f>
        <v>-2087103712.08898</v>
      </c>
      <c r="I926" s="53" t="n">
        <f aca="false">(('Business Case'!C11*$C926*'Business Case'!C12*$B926)-'Business Case'!C11*$C926*'Business Case'!C13*$D926-'Business Case'!C14*$E926)-MAX(0,(('Business Case'!C11*$C926*'Business Case'!C12*$B926)-'Business Case'!C11*$C926*'Business Case'!C13*$D926-'Business Case'!C14*$E926))*'Business Case'!$B$7-'Business Case'!$B$8*(('Business Case'!C11*$C926*'Business Case'!C12*$B926)-('Business Case'!B11*$C926*'Business Case'!B12*$B926))-'Business Case'!C15*$F926</f>
        <v>-2379054.63512041</v>
      </c>
      <c r="J926" s="53" t="n">
        <f aca="false">(('Business Case'!D11*$C926*'Business Case'!D12*$B926)-'Business Case'!D11*$C926*'Business Case'!D13*$D926-'Business Case'!D14*$E926)-MAX(0,(('Business Case'!D11*$C926*'Business Case'!D12*$B926)-'Business Case'!D11*$C926*'Business Case'!D13*$D926-'Business Case'!D14*$E926))*'Business Case'!$B$7-'Business Case'!$B$8*(('Business Case'!D11*$C926*'Business Case'!D12*$B926)-('Business Case'!C11*$C926*'Business Case'!C12*$B926))-'Business Case'!D15*$F926</f>
        <v>292939873.161746</v>
      </c>
      <c r="K926" s="53" t="n">
        <f aca="false">(('Business Case'!E11*$C926*'Business Case'!E12*$B926)-'Business Case'!E11*$C926*'Business Case'!E13*$D926-'Business Case'!E14*$E926)-MAX(0,(('Business Case'!E11*$C926*'Business Case'!E12*$B926)-'Business Case'!E11*$C926*'Business Case'!E13*$D926-'Business Case'!E14*$E926))*'Business Case'!$B$7-'Business Case'!$B$8*(('Business Case'!E11*$C926*'Business Case'!E12*$B926)-('Business Case'!D11*$C926*'Business Case'!D12*$B926))-'Business Case'!E15*$F926</f>
        <v>640436393.760836</v>
      </c>
      <c r="L926" s="53" t="n">
        <f aca="false">(('Business Case'!F11*$C926*'Business Case'!F12*$B926)-'Business Case'!F11*$C926*'Business Case'!F13*$D926-'Business Case'!F14*$E926)-MAX(0,(('Business Case'!F11*$C926*'Business Case'!F12*$B926)-'Business Case'!F11*$C926*'Business Case'!F13*$D926-'Business Case'!F14*$E926))*'Business Case'!$B$7-'Business Case'!$B$8*(('Business Case'!F11*$C926*'Business Case'!F12*$B926)-('Business Case'!E11*$C926*'Business Case'!E12*$B926))-'Business Case'!F15*$F926</f>
        <v>773260164.940047</v>
      </c>
      <c r="M926" s="53" t="n">
        <f aca="false">(('Business Case'!G11*$C926*'Business Case'!G12*$B926)-'Business Case'!G11*$C926*'Business Case'!G13*$D926-'Business Case'!G14*$E926)-MAX(0,(('Business Case'!G11*$C926*'Business Case'!G12*$B926)-'Business Case'!G11*$C926*'Business Case'!G13*$D926-'Business Case'!G14*$E926))*'Business Case'!$B$7-'Business Case'!$B$8*(('Business Case'!G11*$C926*'Business Case'!G12*$B926)-('Business Case'!F11*$C926*'Business Case'!F12*$B926))-'Business Case'!G15*$F926+'Business Case'!$B$8*('Business Case'!G11*$C926*'Business Case'!G12*$B926)</f>
        <v>962372872.131455</v>
      </c>
      <c r="N926" s="53" t="n">
        <f aca="false">IF(COUNT('Business Case'!B11:G11)=0,"",H926+NPV(G926,I926:M926))</f>
        <v>-298583208.693902</v>
      </c>
      <c r="P926" s="54" t="n">
        <f aca="true">RAND()</f>
        <v>0.452408140240519</v>
      </c>
      <c r="Q926" s="54" t="n">
        <f aca="true">RAND()</f>
        <v>0.62205308129584</v>
      </c>
      <c r="R926" s="54" t="n">
        <f aca="true">RAND()</f>
        <v>0.470360926470873</v>
      </c>
      <c r="S926" s="54" t="n">
        <f aca="true">RAND()</f>
        <v>0.293934643009723</v>
      </c>
      <c r="T926" s="54" t="n">
        <f aca="true">RAND()</f>
        <v>0.510479565057525</v>
      </c>
      <c r="U926" s="54" t="n">
        <f aca="true">RAND()</f>
        <v>0.81001740364422</v>
      </c>
    </row>
    <row r="927" customFormat="false" ht="15" hidden="false" customHeight="false" outlineLevel="0" collapsed="false">
      <c r="A927" s="50" t="n">
        <v>847</v>
      </c>
      <c r="B927" s="51" t="n">
        <f aca="false">1+IF($G$6=$E$6,$F$6,IF(P927&lt;($F$6-$E$6)/($G$6-$E$6),$E$6+SQRT(P927*($G$6-$E$6)*($F$6-$E$6)),$G$6-SQRT((1-P927)*($G$6-$E$6)*($G$6-$F$6))))</f>
        <v>0.995583229886269</v>
      </c>
      <c r="C927" s="51" t="n">
        <f aca="false">1+IF($G$7=$E$7,$F$7,IF(Q927&lt;($F$7-$E$7)/($G$7-$E$7),$E$7+SQRT(Q927*($G$7-$E$7)*($F$7-$E$7)),$G$7-SQRT((1-Q927)*($G$7-$E$7)*($G$7-$F$7))))</f>
        <v>0.959253789963393</v>
      </c>
      <c r="D927" s="51" t="n">
        <f aca="false">1+IF($G$8=$E$8,$F$8,IF(R927&lt;($F$8-$E$8)/($G$8-$E$8),$E$8+SQRT(R927*($G$8-$E$8)*($F$8-$E$8)),$G$8-SQRT((1-R927)*($G$8-$E$8)*($G$8-$F$8))))</f>
        <v>0.984963748458931</v>
      </c>
      <c r="E927" s="51" t="n">
        <f aca="false">1+IF($G$9=$E$9,$F$9,IF(S927&lt;($F$9-$E$9)/($G$9-$E$9),$E$9+SQRT(S927*($G$9-$E$9)*($F$9-$E$9)),$G$9-SQRT((1-S927)*($G$9-$E$9)*($G$9-$F$9))))</f>
        <v>0.989295970367323</v>
      </c>
      <c r="F927" s="51" t="n">
        <f aca="false">1+IF($G$10=$E$10,$F$10,IF(T927&lt;($F$10-$E$10)/($G$10-$E$10),$E$10+SQRT(T927*($G$10-$E$10)*($F$10-$E$10)),$G$10-SQRT((1-T927)*($G$10-$E$10)*($G$10-$F$10))))</f>
        <v>0.984657780554836</v>
      </c>
      <c r="G927" s="52" t="n">
        <f aca="false">IF($G$11=$E$11,$F$11,IF(U927&lt;($F$11-$E$11)/($G$11-$E$11),$E$11+SQRT(U927*($G$11-$E$11)*($F$11-$E$11)),$G$11-SQRT((1-U927)*($G$11-$E$11)*($G$11-$F$11))))</f>
        <v>0.101615043398035</v>
      </c>
      <c r="H927" s="53" t="n">
        <f aca="false">(('Business Case'!B11*$C927*'Business Case'!B12*$B927)-'Business Case'!B11*$C927*'Business Case'!B13*$D927-'Business Case'!B14*$E927)-MAX(0,(('Business Case'!B11*$C927*'Business Case'!B12*$B927)-'Business Case'!B11*$C927*'Business Case'!B13*$D927-'Business Case'!B14*$E927))*'Business Case'!$B$7-'Business Case'!$B$8*('Business Case'!B11*$C927*'Business Case'!B12*$B927)-'Business Case'!B15*$F927</f>
        <v>-1969315561.10967</v>
      </c>
      <c r="I927" s="53" t="n">
        <f aca="false">(('Business Case'!C11*$C927*'Business Case'!C12*$B927)-'Business Case'!C11*$C927*'Business Case'!C13*$D927-'Business Case'!C14*$E927)-MAX(0,(('Business Case'!C11*$C927*'Business Case'!C12*$B927)-'Business Case'!C11*$C927*'Business Case'!C13*$D927-'Business Case'!C14*$E927))*'Business Case'!$B$7-'Business Case'!$B$8*(('Business Case'!C11*$C927*'Business Case'!C12*$B927)-('Business Case'!B11*$C927*'Business Case'!B12*$B927))-'Business Case'!C15*$F927</f>
        <v>9898447.10839544</v>
      </c>
      <c r="J927" s="53" t="n">
        <f aca="false">(('Business Case'!D11*$C927*'Business Case'!D12*$B927)-'Business Case'!D11*$C927*'Business Case'!D13*$D927-'Business Case'!D14*$E927)-MAX(0,(('Business Case'!D11*$C927*'Business Case'!D12*$B927)-'Business Case'!D11*$C927*'Business Case'!D13*$D927-'Business Case'!D14*$E927))*'Business Case'!$B$7-'Business Case'!$B$8*(('Business Case'!D11*$C927*'Business Case'!D12*$B927)-('Business Case'!C11*$C927*'Business Case'!C12*$B927))-'Business Case'!D15*$F927</f>
        <v>308448639.838274</v>
      </c>
      <c r="K927" s="53" t="n">
        <f aca="false">(('Business Case'!E11*$C927*'Business Case'!E12*$B927)-'Business Case'!E11*$C927*'Business Case'!E13*$D927-'Business Case'!E14*$E927)-MAX(0,(('Business Case'!E11*$C927*'Business Case'!E12*$B927)-'Business Case'!E11*$C927*'Business Case'!E13*$D927-'Business Case'!E14*$E927))*'Business Case'!$B$7-'Business Case'!$B$8*(('Business Case'!E11*$C927*'Business Case'!E12*$B927)-('Business Case'!D11*$C927*'Business Case'!D12*$B927))-'Business Case'!E15*$F927</f>
        <v>656231721.595894</v>
      </c>
      <c r="L927" s="53" t="n">
        <f aca="false">(('Business Case'!F11*$C927*'Business Case'!F12*$B927)-'Business Case'!F11*$C927*'Business Case'!F13*$D927-'Business Case'!F14*$E927)-MAX(0,(('Business Case'!F11*$C927*'Business Case'!F12*$B927)-'Business Case'!F11*$C927*'Business Case'!F13*$D927-'Business Case'!F14*$E927))*'Business Case'!$B$7-'Business Case'!$B$8*(('Business Case'!F11*$C927*'Business Case'!F12*$B927)-('Business Case'!E11*$C927*'Business Case'!E12*$B927))-'Business Case'!F15*$F927</f>
        <v>788753839.559031</v>
      </c>
      <c r="M927" s="53" t="n">
        <f aca="false">(('Business Case'!G11*$C927*'Business Case'!G12*$B927)-'Business Case'!G11*$C927*'Business Case'!G13*$D927-'Business Case'!G14*$E927)-MAX(0,(('Business Case'!G11*$C927*'Business Case'!G12*$B927)-'Business Case'!G11*$C927*'Business Case'!G13*$D927-'Business Case'!G14*$E927))*'Business Case'!$B$7-'Business Case'!$B$8*(('Business Case'!G11*$C927*'Business Case'!G12*$B927)-('Business Case'!F11*$C927*'Business Case'!F12*$B927))-'Business Case'!G15*$F927+'Business Case'!$B$8*('Business Case'!G11*$C927*'Business Case'!G12*$B927)</f>
        <v>970283468.351506</v>
      </c>
      <c r="N927" s="53" t="n">
        <f aca="false">IF(COUNT('Business Case'!B11:G11)=0,"",H927+NPV(G927,I927:M927))</f>
        <v>-81646046.0478208</v>
      </c>
      <c r="P927" s="54" t="n">
        <f aca="true">RAND()</f>
        <v>0.595085900004226</v>
      </c>
      <c r="Q927" s="54" t="n">
        <f aca="true">RAND()</f>
        <v>0.362310994538635</v>
      </c>
      <c r="R927" s="54" t="n">
        <f aca="true">RAND()</f>
        <v>0.188071339430675</v>
      </c>
      <c r="S927" s="54" t="n">
        <f aca="true">RAND()</f>
        <v>0.205889771614601</v>
      </c>
      <c r="T927" s="54" t="n">
        <f aca="true">RAND()</f>
        <v>0.096092940238973</v>
      </c>
      <c r="U927" s="54" t="n">
        <f aca="true">RAND()</f>
        <v>0.436655617906448</v>
      </c>
    </row>
    <row r="928" customFormat="false" ht="15" hidden="false" customHeight="false" outlineLevel="0" collapsed="false">
      <c r="A928" s="50" t="n">
        <v>848</v>
      </c>
      <c r="B928" s="51" t="n">
        <f aca="false">1+IF($G$6=$E$6,$F$6,IF(P928&lt;($F$6-$E$6)/($G$6-$E$6),$E$6+SQRT(P928*($G$6-$E$6)*($F$6-$E$6)),$G$6-SQRT((1-P928)*($G$6-$E$6)*($G$6-$F$6))))</f>
        <v>0.963291216201212</v>
      </c>
      <c r="C928" s="51" t="n">
        <f aca="false">1+IF($G$7=$E$7,$F$7,IF(Q928&lt;($F$7-$E$7)/($G$7-$E$7),$E$7+SQRT(Q928*($G$7-$E$7)*($F$7-$E$7)),$G$7-SQRT((1-Q928)*($G$7-$E$7)*($G$7-$F$7))))</f>
        <v>0.962125904337626</v>
      </c>
      <c r="D928" s="51" t="n">
        <f aca="false">1+IF($G$8=$E$8,$F$8,IF(R928&lt;($F$8-$E$8)/($G$8-$E$8),$E$8+SQRT(R928*($G$8-$E$8)*($F$8-$E$8)),$G$8-SQRT((1-R928)*($G$8-$E$8)*($G$8-$F$8))))</f>
        <v>1.03017947423185</v>
      </c>
      <c r="E928" s="51" t="n">
        <f aca="false">1+IF($G$9=$E$9,$F$9,IF(S928&lt;($F$9-$E$9)/($G$9-$E$9),$E$9+SQRT(S928*($G$9-$E$9)*($F$9-$E$9)),$G$9-SQRT((1-S928)*($G$9-$E$9)*($G$9-$F$9))))</f>
        <v>1.04390144676236</v>
      </c>
      <c r="F928" s="51" t="n">
        <f aca="false">1+IF($G$10=$E$10,$F$10,IF(T928&lt;($F$10-$E$10)/($G$10-$E$10),$E$10+SQRT(T928*($G$10-$E$10)*($F$10-$E$10)),$G$10-SQRT((1-T928)*($G$10-$E$10)*($G$10-$F$10))))</f>
        <v>1.02631111454686</v>
      </c>
      <c r="G928" s="52" t="n">
        <f aca="false">IF($G$11=$E$11,$F$11,IF(U928&lt;($F$11-$E$11)/($G$11-$E$11),$E$11+SQRT(U928*($G$11-$E$11)*($F$11-$E$11)),$G$11-SQRT((1-U928)*($G$11-$E$11)*($G$11-$F$11))))</f>
        <v>0.110448840052075</v>
      </c>
      <c r="H928" s="53" t="n">
        <f aca="false">(('Business Case'!B11*$C928*'Business Case'!B12*$B928)-'Business Case'!B11*$C928*'Business Case'!B13*$D928-'Business Case'!B14*$E928)-MAX(0,(('Business Case'!B11*$C928*'Business Case'!B12*$B928)-'Business Case'!B11*$C928*'Business Case'!B13*$D928-'Business Case'!B14*$E928))*'Business Case'!$B$7-'Business Case'!$B$8*('Business Case'!B11*$C928*'Business Case'!B12*$B928)-'Business Case'!B15*$F928</f>
        <v>-2052622229.09372</v>
      </c>
      <c r="I928" s="53" t="n">
        <f aca="false">(('Business Case'!C11*$C928*'Business Case'!C12*$B928)-'Business Case'!C11*$C928*'Business Case'!C13*$D928-'Business Case'!C14*$E928)-MAX(0,(('Business Case'!C11*$C928*'Business Case'!C12*$B928)-'Business Case'!C11*$C928*'Business Case'!C13*$D928-'Business Case'!C14*$E928))*'Business Case'!$B$7-'Business Case'!$B$8*(('Business Case'!C11*$C928*'Business Case'!C12*$B928)-('Business Case'!B11*$C928*'Business Case'!B12*$B928))-'Business Case'!C15*$F928</f>
        <v>-47393411.5592392</v>
      </c>
      <c r="J928" s="53" t="n">
        <f aca="false">(('Business Case'!D11*$C928*'Business Case'!D12*$B928)-'Business Case'!D11*$C928*'Business Case'!D13*$D928-'Business Case'!D14*$E928)-MAX(0,(('Business Case'!D11*$C928*'Business Case'!D12*$B928)-'Business Case'!D11*$C928*'Business Case'!D13*$D928-'Business Case'!D14*$E928))*'Business Case'!$B$7-'Business Case'!$B$8*(('Business Case'!D11*$C928*'Business Case'!D12*$B928)-('Business Case'!C11*$C928*'Business Case'!C12*$B928))-'Business Case'!D15*$F928</f>
        <v>204332771.368071</v>
      </c>
      <c r="K928" s="53" t="n">
        <f aca="false">(('Business Case'!E11*$C928*'Business Case'!E12*$B928)-'Business Case'!E11*$C928*'Business Case'!E13*$D928-'Business Case'!E14*$E928)-MAX(0,(('Business Case'!E11*$C928*'Business Case'!E12*$B928)-'Business Case'!E11*$C928*'Business Case'!E13*$D928-'Business Case'!E14*$E928))*'Business Case'!$B$7-'Business Case'!$B$8*(('Business Case'!E11*$C928*'Business Case'!E12*$B928)-('Business Case'!D11*$C928*'Business Case'!D12*$B928))-'Business Case'!E15*$F928</f>
        <v>507374510.022724</v>
      </c>
      <c r="L928" s="53" t="n">
        <f aca="false">(('Business Case'!F11*$C928*'Business Case'!F12*$B928)-'Business Case'!F11*$C928*'Business Case'!F13*$D928-'Business Case'!F14*$E928)-MAX(0,(('Business Case'!F11*$C928*'Business Case'!F12*$B928)-'Business Case'!F11*$C928*'Business Case'!F13*$D928-'Business Case'!F14*$E928))*'Business Case'!$B$7-'Business Case'!$B$8*(('Business Case'!F11*$C928*'Business Case'!F12*$B928)-('Business Case'!E11*$C928*'Business Case'!E12*$B928))-'Business Case'!F15*$F928</f>
        <v>623313702.533332</v>
      </c>
      <c r="M928" s="53" t="n">
        <f aca="false">(('Business Case'!G11*$C928*'Business Case'!G12*$B928)-'Business Case'!G11*$C928*'Business Case'!G13*$D928-'Business Case'!G14*$E928)-MAX(0,(('Business Case'!G11*$C928*'Business Case'!G12*$B928)-'Business Case'!G11*$C928*'Business Case'!G13*$D928-'Business Case'!G14*$E928))*'Business Case'!$B$7-'Business Case'!$B$8*(('Business Case'!G11*$C928*'Business Case'!G12*$B928)-('Business Case'!F11*$C928*'Business Case'!F12*$B928))-'Business Case'!G15*$F928+'Business Case'!$B$8*('Business Case'!G11*$C928*'Business Case'!G12*$B928)</f>
        <v>799481259.30827</v>
      </c>
      <c r="N928" s="53" t="n">
        <f aca="false">IF(COUNT('Business Case'!B11:G11)=0,"",H928+NPV(G928,I928:M928))</f>
        <v>-675628795.653155</v>
      </c>
      <c r="P928" s="54" t="n">
        <f aca="true">RAND()</f>
        <v>0.19522181251876</v>
      </c>
      <c r="Q928" s="54" t="n">
        <f aca="true">RAND()</f>
        <v>0.3754972693899</v>
      </c>
      <c r="R928" s="54" t="n">
        <f aca="true">RAND()</f>
        <v>0.761338001171641</v>
      </c>
      <c r="S928" s="54" t="n">
        <f aca="true">RAND()</f>
        <v>0.790196821642897</v>
      </c>
      <c r="T928" s="54" t="n">
        <f aca="true">RAND()</f>
        <v>0.396643421400925</v>
      </c>
      <c r="U928" s="54" t="n">
        <f aca="true">RAND()</f>
        <v>0.847958906081911</v>
      </c>
    </row>
    <row r="929" customFormat="false" ht="15" hidden="false" customHeight="false" outlineLevel="0" collapsed="false">
      <c r="A929" s="50" t="n">
        <v>849</v>
      </c>
      <c r="B929" s="51" t="n">
        <f aca="false">1+IF($G$6=$E$6,$F$6,IF(P929&lt;($F$6-$E$6)/($G$6-$E$6),$E$6+SQRT(P929*($G$6-$E$6)*($F$6-$E$6)),$G$6-SQRT((1-P929)*($G$6-$E$6)*($G$6-$F$6))))</f>
        <v>0.995536150271933</v>
      </c>
      <c r="C929" s="51" t="n">
        <f aca="false">1+IF($G$7=$E$7,$F$7,IF(Q929&lt;($F$7-$E$7)/($G$7-$E$7),$E$7+SQRT(Q929*($G$7-$E$7)*($F$7-$E$7)),$G$7-SQRT((1-Q929)*($G$7-$E$7)*($G$7-$F$7))))</f>
        <v>1.05570675597701</v>
      </c>
      <c r="D929" s="51" t="n">
        <f aca="false">1+IF($G$8=$E$8,$F$8,IF(R929&lt;($F$8-$E$8)/($G$8-$E$8),$E$8+SQRT(R929*($G$8-$E$8)*($F$8-$E$8)),$G$8-SQRT((1-R929)*($G$8-$E$8)*($G$8-$F$8))))</f>
        <v>0.965484403062299</v>
      </c>
      <c r="E929" s="51" t="n">
        <f aca="false">1+IF($G$9=$E$9,$F$9,IF(S929&lt;($F$9-$E$9)/($G$9-$E$9),$E$9+SQRT(S929*($G$9-$E$9)*($F$9-$E$9)),$G$9-SQRT((1-S929)*($G$9-$E$9)*($G$9-$F$9))))</f>
        <v>1.06823903432293</v>
      </c>
      <c r="F929" s="51" t="n">
        <f aca="false">1+IF($G$10=$E$10,$F$10,IF(T929&lt;($F$10-$E$10)/($G$10-$E$10),$E$10+SQRT(T929*($G$10-$E$10)*($F$10-$E$10)),$G$10-SQRT((1-T929)*($G$10-$E$10)*($G$10-$F$10))))</f>
        <v>1.04578246418388</v>
      </c>
      <c r="G929" s="52" t="n">
        <f aca="false">IF($G$11=$E$11,$F$11,IF(U929&lt;($F$11-$E$11)/($G$11-$E$11),$E$11+SQRT(U929*($G$11-$E$11)*($F$11-$E$11)),$G$11-SQRT((1-U929)*($G$11-$E$11)*($G$11-$F$11))))</f>
        <v>0.101533712485787</v>
      </c>
      <c r="H929" s="53" t="n">
        <f aca="false">(('Business Case'!B11*$C929*'Business Case'!B12*$B929)-'Business Case'!B11*$C929*'Business Case'!B13*$D929-'Business Case'!B14*$E929)-MAX(0,(('Business Case'!B11*$C929*'Business Case'!B12*$B929)-'Business Case'!B11*$C929*'Business Case'!B13*$D929-'Business Case'!B14*$E929))*'Business Case'!$B$7-'Business Case'!$B$8*('Business Case'!B11*$C929*'Business Case'!B12*$B929)-'Business Case'!B15*$F929</f>
        <v>-2091564928.36777</v>
      </c>
      <c r="I929" s="53" t="n">
        <f aca="false">(('Business Case'!C11*$C929*'Business Case'!C12*$B929)-'Business Case'!C11*$C929*'Business Case'!C13*$D929-'Business Case'!C14*$E929)-MAX(0,(('Business Case'!C11*$C929*'Business Case'!C12*$B929)-'Business Case'!C11*$C929*'Business Case'!C13*$D929-'Business Case'!C14*$E929))*'Business Case'!$B$7-'Business Case'!$B$8*(('Business Case'!C11*$C929*'Business Case'!C12*$B929)-('Business Case'!B11*$C929*'Business Case'!B12*$B929))-'Business Case'!C15*$F929</f>
        <v>28090692.4204824</v>
      </c>
      <c r="J929" s="53" t="n">
        <f aca="false">(('Business Case'!D11*$C929*'Business Case'!D12*$B929)-'Business Case'!D11*$C929*'Business Case'!D13*$D929-'Business Case'!D14*$E929)-MAX(0,(('Business Case'!D11*$C929*'Business Case'!D12*$B929)-'Business Case'!D11*$C929*'Business Case'!D13*$D929-'Business Case'!D14*$E929))*'Business Case'!$B$7-'Business Case'!$B$8*(('Business Case'!D11*$C929*'Business Case'!D12*$B929)-('Business Case'!C11*$C929*'Business Case'!C12*$B929))-'Business Case'!D15*$F929</f>
        <v>367146763.324122</v>
      </c>
      <c r="K929" s="53" t="n">
        <f aca="false">(('Business Case'!E11*$C929*'Business Case'!E12*$B929)-'Business Case'!E11*$C929*'Business Case'!E13*$D929-'Business Case'!E14*$E929)-MAX(0,(('Business Case'!E11*$C929*'Business Case'!E12*$B929)-'Business Case'!E11*$C929*'Business Case'!E13*$D929-'Business Case'!E14*$E929))*'Business Case'!$B$7-'Business Case'!$B$8*(('Business Case'!E11*$C929*'Business Case'!E12*$B929)-('Business Case'!D11*$C929*'Business Case'!D12*$B929))-'Business Case'!E15*$F929</f>
        <v>758491957.436955</v>
      </c>
      <c r="L929" s="53" t="n">
        <f aca="false">(('Business Case'!F11*$C929*'Business Case'!F12*$B929)-'Business Case'!F11*$C929*'Business Case'!F13*$D929-'Business Case'!F14*$E929)-MAX(0,(('Business Case'!F11*$C929*'Business Case'!F12*$B929)-'Business Case'!F11*$C929*'Business Case'!F13*$D929-'Business Case'!F14*$E929))*'Business Case'!$B$7-'Business Case'!$B$8*(('Business Case'!F11*$C929*'Business Case'!F12*$B929)-('Business Case'!E11*$C929*'Business Case'!E12*$B929))-'Business Case'!F15*$F929</f>
        <v>907833008.660867</v>
      </c>
      <c r="M929" s="53" t="n">
        <f aca="false">(('Business Case'!G11*$C929*'Business Case'!G12*$B929)-'Business Case'!G11*$C929*'Business Case'!G13*$D929-'Business Case'!G14*$E929)-MAX(0,(('Business Case'!G11*$C929*'Business Case'!G12*$B929)-'Business Case'!G11*$C929*'Business Case'!G13*$D929-'Business Case'!G14*$E929))*'Business Case'!$B$7-'Business Case'!$B$8*(('Business Case'!G11*$C929*'Business Case'!G12*$B929)-('Business Case'!F11*$C929*'Business Case'!F12*$B929))-'Business Case'!G15*$F929+'Business Case'!$B$8*('Business Case'!G11*$C929*'Business Case'!G12*$B929)</f>
        <v>1107605993.73571</v>
      </c>
      <c r="N929" s="53" t="n">
        <f aca="false">IF(COUNT('Business Case'!B11:G11)=0,"",H929+NPV(G929,I929:M929))</f>
        <v>103586104.456239</v>
      </c>
      <c r="P929" s="54" t="n">
        <f aca="true">RAND()</f>
        <v>0.594344791448345</v>
      </c>
      <c r="Q929" s="54" t="n">
        <f aca="true">RAND()</f>
        <v>0.830643507268955</v>
      </c>
      <c r="R929" s="54" t="n">
        <f aca="true">RAND()</f>
        <v>0.0368871904916526</v>
      </c>
      <c r="S929" s="54" t="n">
        <f aca="true">RAND()</f>
        <v>0.932749403950662</v>
      </c>
      <c r="T929" s="54" t="n">
        <f aca="true">RAND()</f>
        <v>0.524339032936097</v>
      </c>
      <c r="U929" s="54" t="n">
        <f aca="true">RAND()</f>
        <v>0.43166037573737</v>
      </c>
    </row>
    <row r="930" customFormat="false" ht="15" hidden="false" customHeight="false" outlineLevel="0" collapsed="false">
      <c r="A930" s="50" t="n">
        <v>850</v>
      </c>
      <c r="B930" s="51" t="n">
        <f aca="false">1+IF($G$6=$E$6,$F$6,IF(P930&lt;($F$6-$E$6)/($G$6-$E$6),$E$6+SQRT(P930*($G$6-$E$6)*($F$6-$E$6)),$G$6-SQRT((1-P930)*($G$6-$E$6)*($G$6-$F$6))))</f>
        <v>0.964098029964852</v>
      </c>
      <c r="C930" s="51" t="n">
        <f aca="false">1+IF($G$7=$E$7,$F$7,IF(Q930&lt;($F$7-$E$7)/($G$7-$E$7),$E$7+SQRT(Q930*($G$7-$E$7)*($F$7-$E$7)),$G$7-SQRT((1-Q930)*($G$7-$E$7)*($G$7-$F$7))))</f>
        <v>0.924703570853705</v>
      </c>
      <c r="D930" s="51" t="n">
        <f aca="false">1+IF($G$8=$E$8,$F$8,IF(R930&lt;($F$8-$E$8)/($G$8-$E$8),$E$8+SQRT(R930*($G$8-$E$8)*($F$8-$E$8)),$G$8-SQRT((1-R930)*($G$8-$E$8)*($G$8-$F$8))))</f>
        <v>0.994396331085486</v>
      </c>
      <c r="E930" s="51" t="n">
        <f aca="false">1+IF($G$9=$E$9,$F$9,IF(S930&lt;($F$9-$E$9)/($G$9-$E$9),$E$9+SQRT(S930*($G$9-$E$9)*($F$9-$E$9)),$G$9-SQRT((1-S930)*($G$9-$E$9)*($G$9-$F$9))))</f>
        <v>0.999139958705118</v>
      </c>
      <c r="F930" s="51" t="n">
        <f aca="false">1+IF($G$10=$E$10,$F$10,IF(T930&lt;($F$10-$E$10)/($G$10-$E$10),$E$10+SQRT(T930*($G$10-$E$10)*($F$10-$E$10)),$G$10-SQRT((1-T930)*($G$10-$E$10)*($G$10-$F$10))))</f>
        <v>0.969700915894452</v>
      </c>
      <c r="G930" s="52" t="n">
        <f aca="false">IF($G$11=$E$11,$F$11,IF(U930&lt;($F$11-$E$11)/($G$11-$E$11),$E$11+SQRT(U930*($G$11-$E$11)*($F$11-$E$11)),$G$11-SQRT((1-U930)*($G$11-$E$11)*($G$11-$F$11))))</f>
        <v>0.102760924277855</v>
      </c>
      <c r="H930" s="53" t="n">
        <f aca="false">(('Business Case'!B11*$C930*'Business Case'!B12*$B930)-'Business Case'!B11*$C930*'Business Case'!B13*$D930-'Business Case'!B14*$E930)-MAX(0,(('Business Case'!B11*$C930*'Business Case'!B12*$B930)-'Business Case'!B11*$C930*'Business Case'!B13*$D930-'Business Case'!B14*$E930))*'Business Case'!$B$7-'Business Case'!$B$8*('Business Case'!B11*$C930*'Business Case'!B12*$B930)-'Business Case'!B15*$F930</f>
        <v>-1939401831.7889</v>
      </c>
      <c r="I930" s="53" t="n">
        <f aca="false">(('Business Case'!C11*$C930*'Business Case'!C12*$B930)-'Business Case'!C11*$C930*'Business Case'!C13*$D930-'Business Case'!C14*$E930)-MAX(0,(('Business Case'!C11*$C930*'Business Case'!C12*$B930)-'Business Case'!C11*$C930*'Business Case'!C13*$D930-'Business Case'!C14*$E930))*'Business Case'!$B$7-'Business Case'!$B$8*(('Business Case'!C11*$C930*'Business Case'!C12*$B930)-('Business Case'!B11*$C930*'Business Case'!B12*$B930))-'Business Case'!C15*$F930</f>
        <v>-25778332.625736</v>
      </c>
      <c r="J930" s="53" t="n">
        <f aca="false">(('Business Case'!D11*$C930*'Business Case'!D12*$B930)-'Business Case'!D11*$C930*'Business Case'!D13*$D930-'Business Case'!D14*$E930)-MAX(0,(('Business Case'!D11*$C930*'Business Case'!D12*$B930)-'Business Case'!D11*$C930*'Business Case'!D13*$D930-'Business Case'!D14*$E930))*'Business Case'!$B$7-'Business Case'!$B$8*(('Business Case'!D11*$C930*'Business Case'!D12*$B930)-('Business Case'!C11*$C930*'Business Case'!C12*$B930))-'Business Case'!D15*$F930</f>
        <v>233706742.013286</v>
      </c>
      <c r="K930" s="53" t="n">
        <f aca="false">(('Business Case'!E11*$C930*'Business Case'!E12*$B930)-'Business Case'!E11*$C930*'Business Case'!E13*$D930-'Business Case'!E14*$E930)-MAX(0,(('Business Case'!E11*$C930*'Business Case'!E12*$B930)-'Business Case'!E11*$C930*'Business Case'!E13*$D930-'Business Case'!E14*$E930))*'Business Case'!$B$7-'Business Case'!$B$8*(('Business Case'!E11*$C930*'Business Case'!E12*$B930)-('Business Case'!D11*$C930*'Business Case'!D12*$B930))-'Business Case'!E15*$F930</f>
        <v>541676862.447031</v>
      </c>
      <c r="L930" s="53" t="n">
        <f aca="false">(('Business Case'!F11*$C930*'Business Case'!F12*$B930)-'Business Case'!F11*$C930*'Business Case'!F13*$D930-'Business Case'!F14*$E930)-MAX(0,(('Business Case'!F11*$C930*'Business Case'!F12*$B930)-'Business Case'!F11*$C930*'Business Case'!F13*$D930-'Business Case'!F14*$E930))*'Business Case'!$B$7-'Business Case'!$B$8*(('Business Case'!F11*$C930*'Business Case'!F12*$B930)-('Business Case'!E11*$C930*'Business Case'!E12*$B930))-'Business Case'!F15*$F930</f>
        <v>658982296.358336</v>
      </c>
      <c r="M930" s="53" t="n">
        <f aca="false">(('Business Case'!G11*$C930*'Business Case'!G12*$B930)-'Business Case'!G11*$C930*'Business Case'!G13*$D930-'Business Case'!G14*$E930)-MAX(0,(('Business Case'!G11*$C930*'Business Case'!G12*$B930)-'Business Case'!G11*$C930*'Business Case'!G13*$D930-'Business Case'!G14*$E930))*'Business Case'!$B$7-'Business Case'!$B$8*(('Business Case'!G11*$C930*'Business Case'!G12*$B930)-('Business Case'!F11*$C930*'Business Case'!F12*$B930))-'Business Case'!G15*$F930+'Business Case'!$B$8*('Business Case'!G11*$C930*'Business Case'!G12*$B930)</f>
        <v>828439546.032302</v>
      </c>
      <c r="N930" s="53" t="n">
        <f aca="false">IF(COUNT('Business Case'!B11:G11)=0,"",H930+NPV(G930,I930:M930))</f>
        <v>-413085318.800738</v>
      </c>
      <c r="P930" s="54" t="n">
        <f aca="true">RAND()</f>
        <v>0.202566275706356</v>
      </c>
      <c r="Q930" s="54" t="n">
        <f aca="true">RAND()</f>
        <v>0.22215686548093</v>
      </c>
      <c r="R930" s="54" t="n">
        <f aca="true">RAND()</f>
        <v>0.303236032900319</v>
      </c>
      <c r="S930" s="54" t="n">
        <f aca="true">RAND()</f>
        <v>0.321964738872099</v>
      </c>
      <c r="T930" s="54" t="n">
        <f aca="true">RAND()</f>
        <v>0.0310500869664224</v>
      </c>
      <c r="U930" s="54" t="n">
        <f aca="true">RAND()</f>
        <v>0.504690447076905</v>
      </c>
    </row>
    <row r="931" customFormat="false" ht="15" hidden="false" customHeight="false" outlineLevel="0" collapsed="false">
      <c r="A931" s="50" t="n">
        <v>851</v>
      </c>
      <c r="B931" s="51" t="n">
        <f aca="false">1+IF($G$6=$E$6,$F$6,IF(P931&lt;($F$6-$E$6)/($G$6-$E$6),$E$6+SQRT(P931*($G$6-$E$6)*($F$6-$E$6)),$G$6-SQRT((1-P931)*($G$6-$E$6)*($G$6-$F$6))))</f>
        <v>1.01112460185223</v>
      </c>
      <c r="C931" s="51" t="n">
        <f aca="false">1+IF($G$7=$E$7,$F$7,IF(Q931&lt;($F$7-$E$7)/($G$7-$E$7),$E$7+SQRT(Q931*($G$7-$E$7)*($F$7-$E$7)),$G$7-SQRT((1-Q931)*($G$7-$E$7)*($G$7-$F$7))))</f>
        <v>0.897391871284215</v>
      </c>
      <c r="D931" s="51" t="n">
        <f aca="false">1+IF($G$8=$E$8,$F$8,IF(R931&lt;($F$8-$E$8)/($G$8-$E$8),$E$8+SQRT(R931*($G$8-$E$8)*($F$8-$E$8)),$G$8-SQRT((1-R931)*($G$8-$E$8)*($G$8-$F$8))))</f>
        <v>1.00478241822508</v>
      </c>
      <c r="E931" s="51" t="n">
        <f aca="false">1+IF($G$9=$E$9,$F$9,IF(S931&lt;($F$9-$E$9)/($G$9-$E$9),$E$9+SQRT(S931*($G$9-$E$9)*($F$9-$E$9)),$G$9-SQRT((1-S931)*($G$9-$E$9)*($G$9-$F$9))))</f>
        <v>0.990135540638368</v>
      </c>
      <c r="F931" s="51" t="n">
        <f aca="false">1+IF($G$10=$E$10,$F$10,IF(T931&lt;($F$10-$E$10)/($G$10-$E$10),$E$10+SQRT(T931*($G$10-$E$10)*($F$10-$E$10)),$G$10-SQRT((1-T931)*($G$10-$E$10)*($G$10-$F$10))))</f>
        <v>0.993037544062066</v>
      </c>
      <c r="G931" s="52" t="n">
        <f aca="false">IF($G$11=$E$11,$F$11,IF(U931&lt;($F$11-$E$11)/($G$11-$E$11),$E$11+SQRT(U931*($G$11-$E$11)*($F$11-$E$11)),$G$11-SQRT((1-U931)*($G$11-$E$11)*($G$11-$F$11))))</f>
        <v>0.0956049040768708</v>
      </c>
      <c r="H931" s="53" t="n">
        <f aca="false">(('Business Case'!B11*$C931*'Business Case'!B12*$B931)-'Business Case'!B11*$C931*'Business Case'!B13*$D931-'Business Case'!B14*$E931)-MAX(0,(('Business Case'!B11*$C931*'Business Case'!B12*$B931)-'Business Case'!B11*$C931*'Business Case'!B13*$D931-'Business Case'!B14*$E931))*'Business Case'!$B$7-'Business Case'!$B$8*('Business Case'!B11*$C931*'Business Case'!B12*$B931)-'Business Case'!B15*$F931</f>
        <v>-1986075088.12413</v>
      </c>
      <c r="I931" s="53" t="n">
        <f aca="false">(('Business Case'!C11*$C931*'Business Case'!C12*$B931)-'Business Case'!C11*$C931*'Business Case'!C13*$D931-'Business Case'!C14*$E931)-MAX(0,(('Business Case'!C11*$C931*'Business Case'!C12*$B931)-'Business Case'!C11*$C931*'Business Case'!C13*$D931-'Business Case'!C14*$E931))*'Business Case'!$B$7-'Business Case'!$B$8*(('Business Case'!C11*$C931*'Business Case'!C12*$B931)-('Business Case'!B11*$C931*'Business Case'!B12*$B931))-'Business Case'!C15*$F931</f>
        <v>-5523748.86215404</v>
      </c>
      <c r="J931" s="53" t="n">
        <f aca="false">(('Business Case'!D11*$C931*'Business Case'!D12*$B931)-'Business Case'!D11*$C931*'Business Case'!D13*$D931-'Business Case'!D14*$E931)-MAX(0,(('Business Case'!D11*$C931*'Business Case'!D12*$B931)-'Business Case'!D11*$C931*'Business Case'!D13*$D931-'Business Case'!D14*$E931))*'Business Case'!$B$7-'Business Case'!$B$8*(('Business Case'!D11*$C931*'Business Case'!D12*$B931)-('Business Case'!C11*$C931*'Business Case'!C12*$B931))-'Business Case'!D15*$F931</f>
        <v>276091850.485904</v>
      </c>
      <c r="K931" s="53" t="n">
        <f aca="false">(('Business Case'!E11*$C931*'Business Case'!E12*$B931)-'Business Case'!E11*$C931*'Business Case'!E13*$D931-'Business Case'!E14*$E931)-MAX(0,(('Business Case'!E11*$C931*'Business Case'!E12*$B931)-'Business Case'!E11*$C931*'Business Case'!E13*$D931-'Business Case'!E14*$E931))*'Business Case'!$B$7-'Business Case'!$B$8*(('Business Case'!E11*$C931*'Business Case'!E12*$B931)-('Business Case'!D11*$C931*'Business Case'!D12*$B931))-'Business Case'!E15*$F931</f>
        <v>607359327.037067</v>
      </c>
      <c r="L931" s="53" t="n">
        <f aca="false">(('Business Case'!F11*$C931*'Business Case'!F12*$B931)-'Business Case'!F11*$C931*'Business Case'!F13*$D931-'Business Case'!F14*$E931)-MAX(0,(('Business Case'!F11*$C931*'Business Case'!F12*$B931)-'Business Case'!F11*$C931*'Business Case'!F13*$D931-'Business Case'!F14*$E931))*'Business Case'!$B$7-'Business Case'!$B$8*(('Business Case'!F11*$C931*'Business Case'!F12*$B931)-('Business Case'!E11*$C931*'Business Case'!E12*$B931))-'Business Case'!F15*$F931</f>
        <v>732590073.436572</v>
      </c>
      <c r="M931" s="53" t="n">
        <f aca="false">(('Business Case'!G11*$C931*'Business Case'!G12*$B931)-'Business Case'!G11*$C931*'Business Case'!G13*$D931-'Business Case'!G14*$E931)-MAX(0,(('Business Case'!G11*$C931*'Business Case'!G12*$B931)-'Business Case'!G11*$C931*'Business Case'!G13*$D931-'Business Case'!G14*$E931))*'Business Case'!$B$7-'Business Case'!$B$8*(('Business Case'!G11*$C931*'Business Case'!G12*$B931)-('Business Case'!F11*$C931*'Business Case'!F12*$B931))-'Business Case'!G15*$F931+'Business Case'!$B$8*('Business Case'!G11*$C931*'Business Case'!G12*$B931)</f>
        <v>905063913.162416</v>
      </c>
      <c r="N931" s="53" t="n">
        <f aca="false">IF(COUNT('Business Case'!B11:G11)=0,"",H931+NPV(G931,I931:M931))</f>
        <v>-217492976.952563</v>
      </c>
      <c r="P931" s="54" t="n">
        <f aca="true">RAND()</f>
        <v>0.826294037876564</v>
      </c>
      <c r="Q931" s="54" t="n">
        <f aca="true">RAND()</f>
        <v>0.135502522746302</v>
      </c>
      <c r="R931" s="54" t="n">
        <f aca="true">RAND()</f>
        <v>0.455991864608981</v>
      </c>
      <c r="S931" s="54" t="n">
        <f aca="true">RAND()</f>
        <v>0.214781549644546</v>
      </c>
      <c r="T931" s="54" t="n">
        <f aca="true">RAND()</f>
        <v>0.148178415911544</v>
      </c>
      <c r="U931" s="54" t="n">
        <f aca="true">RAND()</f>
        <v>0.104716499036408</v>
      </c>
    </row>
    <row r="932" customFormat="false" ht="15" hidden="false" customHeight="false" outlineLevel="0" collapsed="false">
      <c r="A932" s="50" t="n">
        <v>852</v>
      </c>
      <c r="B932" s="51" t="n">
        <f aca="false">1+IF($G$6=$E$6,$F$6,IF(P932&lt;($F$6-$E$6)/($G$6-$E$6),$E$6+SQRT(P932*($G$6-$E$6)*($F$6-$E$6)),$G$6-SQRT((1-P932)*($G$6-$E$6)*($G$6-$F$6))))</f>
        <v>0.966652703419058</v>
      </c>
      <c r="C932" s="51" t="n">
        <f aca="false">1+IF($G$7=$E$7,$F$7,IF(Q932&lt;($F$7-$E$7)/($G$7-$E$7),$E$7+SQRT(Q932*($G$7-$E$7)*($F$7-$E$7)),$G$7-SQRT((1-Q932)*($G$7-$E$7)*($G$7-$F$7))))</f>
        <v>1.06622130640252</v>
      </c>
      <c r="D932" s="51" t="n">
        <f aca="false">1+IF($G$8=$E$8,$F$8,IF(R932&lt;($F$8-$E$8)/($G$8-$E$8),$E$8+SQRT(R932*($G$8-$E$8)*($F$8-$E$8)),$G$8-SQRT((1-R932)*($G$8-$E$8)*($G$8-$F$8))))</f>
        <v>0.998490131164879</v>
      </c>
      <c r="E932" s="51" t="n">
        <f aca="false">1+IF($G$9=$E$9,$F$9,IF(S932&lt;($F$9-$E$9)/($G$9-$E$9),$E$9+SQRT(S932*($G$9-$E$9)*($F$9-$E$9)),$G$9-SQRT((1-S932)*($G$9-$E$9)*($G$9-$F$9))))</f>
        <v>1.05307049364167</v>
      </c>
      <c r="F932" s="51" t="n">
        <f aca="false">1+IF($G$10=$E$10,$F$10,IF(T932&lt;($F$10-$E$10)/($G$10-$E$10),$E$10+SQRT(T932*($G$10-$E$10)*($F$10-$E$10)),$G$10-SQRT((1-T932)*($G$10-$E$10)*($G$10-$F$10))))</f>
        <v>1.00862062968216</v>
      </c>
      <c r="G932" s="52" t="n">
        <f aca="false">IF($G$11=$E$11,$F$11,IF(U932&lt;($F$11-$E$11)/($G$11-$E$11),$E$11+SQRT(U932*($G$11-$E$11)*($F$11-$E$11)),$G$11-SQRT((1-U932)*($G$11-$E$11)*($G$11-$F$11))))</f>
        <v>0.106002166787379</v>
      </c>
      <c r="H932" s="53" t="n">
        <f aca="false">(('Business Case'!B11*$C932*'Business Case'!B12*$B932)-'Business Case'!B11*$C932*'Business Case'!B13*$D932-'Business Case'!B14*$E932)-MAX(0,(('Business Case'!B11*$C932*'Business Case'!B12*$B932)-'Business Case'!B11*$C932*'Business Case'!B13*$D932-'Business Case'!B14*$E932))*'Business Case'!$B$7-'Business Case'!$B$8*('Business Case'!B11*$C932*'Business Case'!B12*$B932)-'Business Case'!B15*$F932</f>
        <v>-2017241259.36432</v>
      </c>
      <c r="I932" s="53" t="n">
        <f aca="false">(('Business Case'!C11*$C932*'Business Case'!C12*$B932)-'Business Case'!C11*$C932*'Business Case'!C13*$D932-'Business Case'!C14*$E932)-MAX(0,(('Business Case'!C11*$C932*'Business Case'!C12*$B932)-'Business Case'!C11*$C932*'Business Case'!C13*$D932-'Business Case'!C14*$E932))*'Business Case'!$B$7-'Business Case'!$B$8*(('Business Case'!C11*$C932*'Business Case'!C12*$B932)-('Business Case'!B11*$C932*'Business Case'!B12*$B932))-'Business Case'!C15*$F932</f>
        <v>-4844869.02040756</v>
      </c>
      <c r="J932" s="53" t="n">
        <f aca="false">(('Business Case'!D11*$C932*'Business Case'!D12*$B932)-'Business Case'!D11*$C932*'Business Case'!D13*$D932-'Business Case'!D14*$E932)-MAX(0,(('Business Case'!D11*$C932*'Business Case'!D12*$B932)-'Business Case'!D11*$C932*'Business Case'!D13*$D932-'Business Case'!D14*$E932))*'Business Case'!$B$7-'Business Case'!$B$8*(('Business Case'!D11*$C932*'Business Case'!D12*$B932)-('Business Case'!C11*$C932*'Business Case'!C12*$B932))-'Business Case'!D15*$F932</f>
        <v>294348659.440325</v>
      </c>
      <c r="K932" s="53" t="n">
        <f aca="false">(('Business Case'!E11*$C932*'Business Case'!E12*$B932)-'Business Case'!E11*$C932*'Business Case'!E13*$D932-'Business Case'!E14*$E932)-MAX(0,(('Business Case'!E11*$C932*'Business Case'!E12*$B932)-'Business Case'!E11*$C932*'Business Case'!E13*$D932-'Business Case'!E14*$E932))*'Business Case'!$B$7-'Business Case'!$B$8*(('Business Case'!E11*$C932*'Business Case'!E12*$B932)-('Business Case'!D11*$C932*'Business Case'!D12*$B932))-'Business Case'!E15*$F932</f>
        <v>643973219.385165</v>
      </c>
      <c r="L932" s="53" t="n">
        <f aca="false">(('Business Case'!F11*$C932*'Business Case'!F12*$B932)-'Business Case'!F11*$C932*'Business Case'!F13*$D932-'Business Case'!F14*$E932)-MAX(0,(('Business Case'!F11*$C932*'Business Case'!F12*$B932)-'Business Case'!F11*$C932*'Business Case'!F13*$D932-'Business Case'!F14*$E932))*'Business Case'!$B$7-'Business Case'!$B$8*(('Business Case'!F11*$C932*'Business Case'!F12*$B932)-('Business Case'!E11*$C932*'Business Case'!E12*$B932))-'Business Case'!F15*$F932</f>
        <v>779324202.416795</v>
      </c>
      <c r="M932" s="53" t="n">
        <f aca="false">(('Business Case'!G11*$C932*'Business Case'!G12*$B932)-'Business Case'!G11*$C932*'Business Case'!G13*$D932-'Business Case'!G14*$E932)-MAX(0,(('Business Case'!G11*$C932*'Business Case'!G12*$B932)-'Business Case'!G11*$C932*'Business Case'!G13*$D932-'Business Case'!G14*$E932))*'Business Case'!$B$7-'Business Case'!$B$8*(('Business Case'!G11*$C932*'Business Case'!G12*$B932)-('Business Case'!F11*$C932*'Business Case'!F12*$B932))-'Business Case'!G15*$F932+'Business Case'!$B$8*('Business Case'!G11*$C932*'Business Case'!G12*$B932)</f>
        <v>975233140.246086</v>
      </c>
      <c r="N932" s="53" t="n">
        <f aca="false">IF(COUNT('Business Case'!B11:G11)=0,"",H932+NPV(G932,I932:M932))</f>
        <v>-194882133.374499</v>
      </c>
      <c r="P932" s="54" t="n">
        <f aca="true">RAND()</f>
        <v>0.226716118365265</v>
      </c>
      <c r="Q932" s="54" t="n">
        <f aca="true">RAND()</f>
        <v>0.866307247601887</v>
      </c>
      <c r="R932" s="54" t="n">
        <f aca="true">RAND()</f>
        <v>0.361737356982644</v>
      </c>
      <c r="S932" s="54" t="n">
        <f aca="true">RAND()</f>
        <v>0.853174762197538</v>
      </c>
      <c r="T932" s="54" t="n">
        <f aca="true">RAND()</f>
        <v>0.267478732334937</v>
      </c>
      <c r="U932" s="54" t="n">
        <f aca="true">RAND()</f>
        <v>0.673434442252718</v>
      </c>
    </row>
    <row r="933" customFormat="false" ht="15" hidden="false" customHeight="false" outlineLevel="0" collapsed="false">
      <c r="A933" s="50" t="n">
        <v>853</v>
      </c>
      <c r="B933" s="51" t="n">
        <f aca="false">1+IF($G$6=$E$6,$F$6,IF(P933&lt;($F$6-$E$6)/($G$6-$E$6),$E$6+SQRT(P933*($G$6-$E$6)*($F$6-$E$6)),$G$6-SQRT((1-P933)*($G$6-$E$6)*($G$6-$F$6))))</f>
        <v>1.00455964614089</v>
      </c>
      <c r="C933" s="51" t="n">
        <f aca="false">1+IF($G$7=$E$7,$F$7,IF(Q933&lt;($F$7-$E$7)/($G$7-$E$7),$E$7+SQRT(Q933*($G$7-$E$7)*($F$7-$E$7)),$G$7-SQRT((1-Q933)*($G$7-$E$7)*($G$7-$F$7))))</f>
        <v>1.03506849032189</v>
      </c>
      <c r="D933" s="51" t="n">
        <f aca="false">1+IF($G$8=$E$8,$F$8,IF(R933&lt;($F$8-$E$8)/($G$8-$E$8),$E$8+SQRT(R933*($G$8-$E$8)*($F$8-$E$8)),$G$8-SQRT((1-R933)*($G$8-$E$8)*($G$8-$F$8))))</f>
        <v>0.99300390786428</v>
      </c>
      <c r="E933" s="51" t="n">
        <f aca="false">1+IF($G$9=$E$9,$F$9,IF(S933&lt;($F$9-$E$9)/($G$9-$E$9),$E$9+SQRT(S933*($G$9-$E$9)*($F$9-$E$9)),$G$9-SQRT((1-S933)*($G$9-$E$9)*($G$9-$F$9))))</f>
        <v>0.981862924761192</v>
      </c>
      <c r="F933" s="51" t="n">
        <f aca="false">1+IF($G$10=$E$10,$F$10,IF(T933&lt;($F$10-$E$10)/($G$10-$E$10),$E$10+SQRT(T933*($G$10-$E$10)*($F$10-$E$10)),$G$10-SQRT((1-T933)*($G$10-$E$10)*($G$10-$F$10))))</f>
        <v>1.07816826336125</v>
      </c>
      <c r="G933" s="52" t="n">
        <f aca="false">IF($G$11=$E$11,$F$11,IF(U933&lt;($F$11-$E$11)/($G$11-$E$11),$E$11+SQRT(U933*($G$11-$E$11)*($F$11-$E$11)),$G$11-SQRT((1-U933)*($G$11-$E$11)*($G$11-$F$11))))</f>
        <v>0.105501180443163</v>
      </c>
      <c r="H933" s="53" t="n">
        <f aca="false">(('Business Case'!B11*$C933*'Business Case'!B12*$B933)-'Business Case'!B11*$C933*'Business Case'!B13*$D933-'Business Case'!B14*$E933)-MAX(0,(('Business Case'!B11*$C933*'Business Case'!B12*$B933)-'Business Case'!B11*$C933*'Business Case'!B13*$D933-'Business Case'!B14*$E933))*'Business Case'!$B$7-'Business Case'!$B$8*('Business Case'!B11*$C933*'Business Case'!B12*$B933)-'Business Case'!B15*$F933</f>
        <v>-2156336526.72251</v>
      </c>
      <c r="I933" s="53" t="n">
        <f aca="false">(('Business Case'!C11*$C933*'Business Case'!C12*$B933)-'Business Case'!C11*$C933*'Business Case'!C13*$D933-'Business Case'!C14*$E933)-MAX(0,(('Business Case'!C11*$C933*'Business Case'!C12*$B933)-'Business Case'!C11*$C933*'Business Case'!C13*$D933-'Business Case'!C14*$E933))*'Business Case'!$B$7-'Business Case'!$B$8*(('Business Case'!C11*$C933*'Business Case'!C12*$B933)-('Business Case'!B11*$C933*'Business Case'!B12*$B933))-'Business Case'!C15*$F933</f>
        <v>24155694.0790535</v>
      </c>
      <c r="J933" s="53" t="n">
        <f aca="false">(('Business Case'!D11*$C933*'Business Case'!D12*$B933)-'Business Case'!D11*$C933*'Business Case'!D13*$D933-'Business Case'!D14*$E933)-MAX(0,(('Business Case'!D11*$C933*'Business Case'!D12*$B933)-'Business Case'!D11*$C933*'Business Case'!D13*$D933-'Business Case'!D14*$E933))*'Business Case'!$B$7-'Business Case'!$B$8*(('Business Case'!D11*$C933*'Business Case'!D12*$B933)-('Business Case'!C11*$C933*'Business Case'!C12*$B933))-'Business Case'!D15*$F933</f>
        <v>349651734.200661</v>
      </c>
      <c r="K933" s="53" t="n">
        <f aca="false">(('Business Case'!E11*$C933*'Business Case'!E12*$B933)-'Business Case'!E11*$C933*'Business Case'!E13*$D933-'Business Case'!E14*$E933)-MAX(0,(('Business Case'!E11*$C933*'Business Case'!E12*$B933)-'Business Case'!E11*$C933*'Business Case'!E13*$D933-'Business Case'!E14*$E933))*'Business Case'!$B$7-'Business Case'!$B$8*(('Business Case'!E11*$C933*'Business Case'!E12*$B933)-('Business Case'!D11*$C933*'Business Case'!D12*$B933))-'Business Case'!E15*$F933</f>
        <v>729056187.490331</v>
      </c>
      <c r="L933" s="53" t="n">
        <f aca="false">(('Business Case'!F11*$C933*'Business Case'!F12*$B933)-'Business Case'!F11*$C933*'Business Case'!F13*$D933-'Business Case'!F14*$E933)-MAX(0,(('Business Case'!F11*$C933*'Business Case'!F12*$B933)-'Business Case'!F11*$C933*'Business Case'!F13*$D933-'Business Case'!F14*$E933))*'Business Case'!$B$7-'Business Case'!$B$8*(('Business Case'!F11*$C933*'Business Case'!F12*$B933)-('Business Case'!E11*$C933*'Business Case'!E12*$B933))-'Business Case'!F15*$F933</f>
        <v>873489942.067792</v>
      </c>
      <c r="M933" s="53" t="n">
        <f aca="false">(('Business Case'!G11*$C933*'Business Case'!G12*$B933)-'Business Case'!G11*$C933*'Business Case'!G13*$D933-'Business Case'!G14*$E933)-MAX(0,(('Business Case'!G11*$C933*'Business Case'!G12*$B933)-'Business Case'!G11*$C933*'Business Case'!G13*$D933-'Business Case'!G14*$E933))*'Business Case'!$B$7-'Business Case'!$B$8*(('Business Case'!G11*$C933*'Business Case'!G12*$B933)-('Business Case'!F11*$C933*'Business Case'!F12*$B933))-'Business Case'!G15*$F933+'Business Case'!$B$8*('Business Case'!G11*$C933*'Business Case'!G12*$B933)</f>
        <v>1071132852.02088</v>
      </c>
      <c r="N933" s="53" t="n">
        <f aca="false">IF(COUNT('Business Case'!B11:G11)=0,"",H933+NPV(G933,I933:M933))</f>
        <v>-75248760.7447836</v>
      </c>
      <c r="P933" s="54" t="n">
        <f aca="true">RAND()</f>
        <v>0.738329441321103</v>
      </c>
      <c r="Q933" s="54" t="n">
        <f aca="true">RAND()</f>
        <v>0.748395201583073</v>
      </c>
      <c r="R933" s="54" t="n">
        <f aca="true">RAND()</f>
        <v>0.284513244861464</v>
      </c>
      <c r="S933" s="54" t="n">
        <f aca="true">RAND()</f>
        <v>0.135366129911649</v>
      </c>
      <c r="T933" s="54" t="n">
        <f aca="true">RAND()</f>
        <v>0.703140558951743</v>
      </c>
      <c r="U933" s="54" t="n">
        <f aca="true">RAND()</f>
        <v>0.649640385763816</v>
      </c>
    </row>
    <row r="934" customFormat="false" ht="15" hidden="false" customHeight="false" outlineLevel="0" collapsed="false">
      <c r="A934" s="50" t="n">
        <v>854</v>
      </c>
      <c r="B934" s="51" t="n">
        <f aca="false">1+IF($G$6=$E$6,$F$6,IF(P934&lt;($F$6-$E$6)/($G$6-$E$6),$E$6+SQRT(P934*($G$6-$E$6)*($F$6-$E$6)),$G$6-SQRT((1-P934)*($G$6-$E$6)*($G$6-$F$6))))</f>
        <v>0.991636301443463</v>
      </c>
      <c r="C934" s="51" t="n">
        <f aca="false">1+IF($G$7=$E$7,$F$7,IF(Q934&lt;($F$7-$E$7)/($G$7-$E$7),$E$7+SQRT(Q934*($G$7-$E$7)*($F$7-$E$7)),$G$7-SQRT((1-Q934)*($G$7-$E$7)*($G$7-$F$7))))</f>
        <v>0.877673364908539</v>
      </c>
      <c r="D934" s="51" t="n">
        <f aca="false">1+IF($G$8=$E$8,$F$8,IF(R934&lt;($F$8-$E$8)/($G$8-$E$8),$E$8+SQRT(R934*($G$8-$E$8)*($F$8-$E$8)),$G$8-SQRT((1-R934)*($G$8-$E$8)*($G$8-$F$8))))</f>
        <v>1.01147684950139</v>
      </c>
      <c r="E934" s="51" t="n">
        <f aca="false">1+IF($G$9=$E$9,$F$9,IF(S934&lt;($F$9-$E$9)/($G$9-$E$9),$E$9+SQRT(S934*($G$9-$E$9)*($F$9-$E$9)),$G$9-SQRT((1-S934)*($G$9-$E$9)*($G$9-$F$9))))</f>
        <v>1.0489269184001</v>
      </c>
      <c r="F934" s="51" t="n">
        <f aca="false">1+IF($G$10=$E$10,$F$10,IF(T934&lt;($F$10-$E$10)/($G$10-$E$10),$E$10+SQRT(T934*($G$10-$E$10)*($F$10-$E$10)),$G$10-SQRT((1-T934)*($G$10-$E$10)*($G$10-$F$10))))</f>
        <v>1.01918862837336</v>
      </c>
      <c r="G934" s="52" t="n">
        <f aca="false">IF($G$11=$E$11,$F$11,IF(U934&lt;($F$11-$E$11)/($G$11-$E$11),$E$11+SQRT(U934*($G$11-$E$11)*($F$11-$E$11)),$G$11-SQRT((1-U934)*($G$11-$E$11)*($G$11-$F$11))))</f>
        <v>0.108314965606716</v>
      </c>
      <c r="H934" s="53" t="n">
        <f aca="false">(('Business Case'!B11*$C934*'Business Case'!B12*$B934)-'Business Case'!B11*$C934*'Business Case'!B13*$D934-'Business Case'!B14*$E934)-MAX(0,(('Business Case'!B11*$C934*'Business Case'!B12*$B934)-'Business Case'!B11*$C934*'Business Case'!B13*$D934-'Business Case'!B14*$E934))*'Business Case'!$B$7-'Business Case'!$B$8*('Business Case'!B11*$C934*'Business Case'!B12*$B934)-'Business Case'!B15*$F934</f>
        <v>-2038377256.74671</v>
      </c>
      <c r="I934" s="53" t="n">
        <f aca="false">(('Business Case'!C11*$C934*'Business Case'!C12*$B934)-'Business Case'!C11*$C934*'Business Case'!C13*$D934-'Business Case'!C14*$E934)-MAX(0,(('Business Case'!C11*$C934*'Business Case'!C12*$B934)-'Business Case'!C11*$C934*'Business Case'!C13*$D934-'Business Case'!C14*$E934))*'Business Case'!$B$7-'Business Case'!$B$8*(('Business Case'!C11*$C934*'Business Case'!C12*$B934)-('Business Case'!B11*$C934*'Business Case'!B12*$B934))-'Business Case'!C15*$F934</f>
        <v>-37784200.0522346</v>
      </c>
      <c r="J934" s="53" t="n">
        <f aca="false">(('Business Case'!D11*$C934*'Business Case'!D12*$B934)-'Business Case'!D11*$C934*'Business Case'!D13*$D934-'Business Case'!D14*$E934)-MAX(0,(('Business Case'!D11*$C934*'Business Case'!D12*$B934)-'Business Case'!D11*$C934*'Business Case'!D13*$D934-'Business Case'!D14*$E934))*'Business Case'!$B$7-'Business Case'!$B$8*(('Business Case'!D11*$C934*'Business Case'!D12*$B934)-('Business Case'!C11*$C934*'Business Case'!C12*$B934))-'Business Case'!D15*$F934</f>
        <v>220625921.297822</v>
      </c>
      <c r="K934" s="53" t="n">
        <f aca="false">(('Business Case'!E11*$C934*'Business Case'!E12*$B934)-'Business Case'!E11*$C934*'Business Case'!E13*$D934-'Business Case'!E14*$E934)-MAX(0,(('Business Case'!E11*$C934*'Business Case'!E12*$B934)-'Business Case'!E11*$C934*'Business Case'!E13*$D934-'Business Case'!E14*$E934))*'Business Case'!$B$7-'Business Case'!$B$8*(('Business Case'!E11*$C934*'Business Case'!E12*$B934)-('Business Case'!D11*$C934*'Business Case'!D12*$B934))-'Business Case'!E15*$F934</f>
        <v>529995474.066547</v>
      </c>
      <c r="L934" s="53" t="n">
        <f aca="false">(('Business Case'!F11*$C934*'Business Case'!F12*$B934)-'Business Case'!F11*$C934*'Business Case'!F13*$D934-'Business Case'!F14*$E934)-MAX(0,(('Business Case'!F11*$C934*'Business Case'!F12*$B934)-'Business Case'!F11*$C934*'Business Case'!F13*$D934-'Business Case'!F14*$E934))*'Business Case'!$B$7-'Business Case'!$B$8*(('Business Case'!F11*$C934*'Business Case'!F12*$B934)-('Business Case'!E11*$C934*'Business Case'!E12*$B934))-'Business Case'!F15*$F934</f>
        <v>646210881.69554</v>
      </c>
      <c r="M934" s="53" t="n">
        <f aca="false">(('Business Case'!G11*$C934*'Business Case'!G12*$B934)-'Business Case'!G11*$C934*'Business Case'!G13*$D934-'Business Case'!G14*$E934)-MAX(0,(('Business Case'!G11*$C934*'Business Case'!G12*$B934)-'Business Case'!G11*$C934*'Business Case'!G13*$D934-'Business Case'!G14*$E934))*'Business Case'!$B$7-'Business Case'!$B$8*(('Business Case'!G11*$C934*'Business Case'!G12*$B934)-('Business Case'!F11*$C934*'Business Case'!F12*$B934))-'Business Case'!G15*$F934+'Business Case'!$B$8*('Business Case'!G11*$C934*'Business Case'!G12*$B934)</f>
        <v>811643734.513232</v>
      </c>
      <c r="N934" s="53" t="n">
        <f aca="false">IF(COUNT('Business Case'!B11:G11)=0,"",H934+NPV(G934,I934:M934))</f>
        <v>-589943095.554034</v>
      </c>
      <c r="P934" s="54" t="n">
        <f aca="true">RAND()</f>
        <v>0.534558300468608</v>
      </c>
      <c r="Q934" s="54" t="n">
        <f aca="true">RAND()</f>
        <v>0.0861878802316433</v>
      </c>
      <c r="R934" s="54" t="n">
        <f aca="true">RAND()</f>
        <v>0.548517100552361</v>
      </c>
      <c r="S934" s="54" t="n">
        <f aca="true">RAND()</f>
        <v>0.826102689059344</v>
      </c>
      <c r="T934" s="54" t="n">
        <f aca="true">RAND()</f>
        <v>0.346144957809839</v>
      </c>
      <c r="U934" s="54" t="n">
        <f aca="true">RAND()</f>
        <v>0.77243328537963</v>
      </c>
    </row>
    <row r="935" customFormat="false" ht="15" hidden="false" customHeight="false" outlineLevel="0" collapsed="false">
      <c r="A935" s="50" t="n">
        <v>855</v>
      </c>
      <c r="B935" s="51" t="n">
        <f aca="false">1+IF($G$6=$E$6,$F$6,IF(P935&lt;($F$6-$E$6)/($G$6-$E$6),$E$6+SQRT(P935*($G$6-$E$6)*($F$6-$E$6)),$G$6-SQRT((1-P935)*($G$6-$E$6)*($G$6-$F$6))))</f>
        <v>0.996952132972793</v>
      </c>
      <c r="C935" s="51" t="n">
        <f aca="false">1+IF($G$7=$E$7,$F$7,IF(Q935&lt;($F$7-$E$7)/($G$7-$E$7),$E$7+SQRT(Q935*($G$7-$E$7)*($F$7-$E$7)),$G$7-SQRT((1-Q935)*($G$7-$E$7)*($G$7-$F$7))))</f>
        <v>0.97975194349267</v>
      </c>
      <c r="D935" s="51" t="n">
        <f aca="false">1+IF($G$8=$E$8,$F$8,IF(R935&lt;($F$8-$E$8)/($G$8-$E$8),$E$8+SQRT(R935*($G$8-$E$8)*($F$8-$E$8)),$G$8-SQRT((1-R935)*($G$8-$E$8)*($G$8-$F$8))))</f>
        <v>1.01438645327743</v>
      </c>
      <c r="E935" s="51" t="n">
        <f aca="false">1+IF($G$9=$E$9,$F$9,IF(S935&lt;($F$9-$E$9)/($G$9-$E$9),$E$9+SQRT(S935*($G$9-$E$9)*($F$9-$E$9)),$G$9-SQRT((1-S935)*($G$9-$E$9)*($G$9-$F$9))))</f>
        <v>1.03484173157734</v>
      </c>
      <c r="F935" s="51" t="n">
        <f aca="false">1+IF($G$10=$E$10,$F$10,IF(T935&lt;($F$10-$E$10)/($G$10-$E$10),$E$10+SQRT(T935*($G$10-$E$10)*($F$10-$E$10)),$G$10-SQRT((1-T935)*($G$10-$E$10)*($G$10-$F$10))))</f>
        <v>1.06008852908953</v>
      </c>
      <c r="G935" s="52" t="n">
        <f aca="false">IF($G$11=$E$11,$F$11,IF(U935&lt;($F$11-$E$11)/($G$11-$E$11),$E$11+SQRT(U935*($G$11-$E$11)*($F$11-$E$11)),$G$11-SQRT((1-U935)*($G$11-$E$11)*($G$11-$F$11))))</f>
        <v>0.109036419129051</v>
      </c>
      <c r="H935" s="53" t="n">
        <f aca="false">(('Business Case'!B11*$C935*'Business Case'!B12*$B935)-'Business Case'!B11*$C935*'Business Case'!B13*$D935-'Business Case'!B14*$E935)-MAX(0,(('Business Case'!B11*$C935*'Business Case'!B12*$B935)-'Business Case'!B11*$C935*'Business Case'!B13*$D935-'Business Case'!B14*$E935))*'Business Case'!$B$7-'Business Case'!$B$8*('Business Case'!B11*$C935*'Business Case'!B12*$B935)-'Business Case'!B15*$F935</f>
        <v>-2120177058.17906</v>
      </c>
      <c r="I935" s="53" t="n">
        <f aca="false">(('Business Case'!C11*$C935*'Business Case'!C12*$B935)-'Business Case'!C11*$C935*'Business Case'!C13*$D935-'Business Case'!C14*$E935)-MAX(0,(('Business Case'!C11*$C935*'Business Case'!C12*$B935)-'Business Case'!C11*$C935*'Business Case'!C13*$D935-'Business Case'!C14*$E935))*'Business Case'!$B$7-'Business Case'!$B$8*(('Business Case'!C11*$C935*'Business Case'!C12*$B935)-('Business Case'!B11*$C935*'Business Case'!B12*$B935))-'Business Case'!C15*$F935</f>
        <v>-12527583.6079156</v>
      </c>
      <c r="J935" s="53" t="n">
        <f aca="false">(('Business Case'!D11*$C935*'Business Case'!D12*$B935)-'Business Case'!D11*$C935*'Business Case'!D13*$D935-'Business Case'!D14*$E935)-MAX(0,(('Business Case'!D11*$C935*'Business Case'!D12*$B935)-'Business Case'!D11*$C935*'Business Case'!D13*$D935-'Business Case'!D14*$E935))*'Business Case'!$B$7-'Business Case'!$B$8*(('Business Case'!D11*$C935*'Business Case'!D12*$B935)-('Business Case'!C11*$C935*'Business Case'!C12*$B935))-'Business Case'!D15*$F935</f>
        <v>278743718.469204</v>
      </c>
      <c r="K935" s="53" t="n">
        <f aca="false">(('Business Case'!E11*$C935*'Business Case'!E12*$B935)-'Business Case'!E11*$C935*'Business Case'!E13*$D935-'Business Case'!E14*$E935)-MAX(0,(('Business Case'!E11*$C935*'Business Case'!E12*$B935)-'Business Case'!E11*$C935*'Business Case'!E13*$D935-'Business Case'!E14*$E935))*'Business Case'!$B$7-'Business Case'!$B$8*(('Business Case'!E11*$C935*'Business Case'!E12*$B935)-('Business Case'!D11*$C935*'Business Case'!D12*$B935))-'Business Case'!E15*$F935</f>
        <v>623019447.000801</v>
      </c>
      <c r="L935" s="53" t="n">
        <f aca="false">(('Business Case'!F11*$C935*'Business Case'!F12*$B935)-'Business Case'!F11*$C935*'Business Case'!F13*$D935-'Business Case'!F14*$E935)-MAX(0,(('Business Case'!F11*$C935*'Business Case'!F12*$B935)-'Business Case'!F11*$C935*'Business Case'!F13*$D935-'Business Case'!F14*$E935))*'Business Case'!$B$7-'Business Case'!$B$8*(('Business Case'!F11*$C935*'Business Case'!F12*$B935)-('Business Case'!E11*$C935*'Business Case'!E12*$B935))-'Business Case'!F15*$F935</f>
        <v>753866906.723698</v>
      </c>
      <c r="M935" s="53" t="n">
        <f aca="false">(('Business Case'!G11*$C935*'Business Case'!G12*$B935)-'Business Case'!G11*$C935*'Business Case'!G13*$D935-'Business Case'!G14*$E935)-MAX(0,(('Business Case'!G11*$C935*'Business Case'!G12*$B935)-'Business Case'!G11*$C935*'Business Case'!G13*$D935-'Business Case'!G14*$E935))*'Business Case'!$B$7-'Business Case'!$B$8*(('Business Case'!G11*$C935*'Business Case'!G12*$B935)-('Business Case'!F11*$C935*'Business Case'!F12*$B935))-'Business Case'!G15*$F935+'Business Case'!$B$8*('Business Case'!G11*$C935*'Business Case'!G12*$B935)</f>
        <v>939530548.058245</v>
      </c>
      <c r="N935" s="53" t="n">
        <f aca="false">IF(COUNT('Business Case'!B11:G11)=0,"",H935+NPV(G935,I935:M935))</f>
        <v>-389794498.190194</v>
      </c>
      <c r="P935" s="54" t="n">
        <f aca="true">RAND()</f>
        <v>0.616836538444007</v>
      </c>
      <c r="Q935" s="54" t="n">
        <f aca="true">RAND()</f>
        <v>0.461582302705601</v>
      </c>
      <c r="R935" s="54" t="n">
        <f aca="true">RAND()</f>
        <v>0.586044469854367</v>
      </c>
      <c r="S935" s="54" t="n">
        <f aca="true">RAND()</f>
        <v>0.71696000374402</v>
      </c>
      <c r="T935" s="54" t="n">
        <f aca="true">RAND()</f>
        <v>0.608495606153361</v>
      </c>
      <c r="U935" s="54" t="n">
        <f aca="true">RAND()</f>
        <v>0.799666490810264</v>
      </c>
    </row>
    <row r="936" customFormat="false" ht="15" hidden="false" customHeight="false" outlineLevel="0" collapsed="false">
      <c r="A936" s="50" t="n">
        <v>856</v>
      </c>
      <c r="B936" s="51" t="n">
        <f aca="false">1+IF($G$6=$E$6,$F$6,IF(P936&lt;($F$6-$E$6)/($G$6-$E$6),$E$6+SQRT(P936*($G$6-$E$6)*($F$6-$E$6)),$G$6-SQRT((1-P936)*($G$6-$E$6)*($G$6-$F$6))))</f>
        <v>0.99399917347663</v>
      </c>
      <c r="C936" s="51" t="n">
        <f aca="false">1+IF($G$7=$E$7,$F$7,IF(Q936&lt;($F$7-$E$7)/($G$7-$E$7),$E$7+SQRT(Q936*($G$7-$E$7)*($F$7-$E$7)),$G$7-SQRT((1-Q936)*($G$7-$E$7)*($G$7-$F$7))))</f>
        <v>0.863743252437395</v>
      </c>
      <c r="D936" s="51" t="n">
        <f aca="false">1+IF($G$8=$E$8,$F$8,IF(R936&lt;($F$8-$E$8)/($G$8-$E$8),$E$8+SQRT(R936*($G$8-$E$8)*($F$8-$E$8)),$G$8-SQRT((1-R936)*($G$8-$E$8)*($G$8-$F$8))))</f>
        <v>1.00081729168423</v>
      </c>
      <c r="E936" s="51" t="n">
        <f aca="false">1+IF($G$9=$E$9,$F$9,IF(S936&lt;($F$9-$E$9)/($G$9-$E$9),$E$9+SQRT(S936*($G$9-$E$9)*($F$9-$E$9)),$G$9-SQRT((1-S936)*($G$9-$E$9)*($G$9-$F$9))))</f>
        <v>1.07882299753023</v>
      </c>
      <c r="F936" s="51" t="n">
        <f aca="false">1+IF($G$10=$E$10,$F$10,IF(T936&lt;($F$10-$E$10)/($G$10-$E$10),$E$10+SQRT(T936*($G$10-$E$10)*($F$10-$E$10)),$G$10-SQRT((1-T936)*($G$10-$E$10)*($G$10-$F$10))))</f>
        <v>0.965658923312343</v>
      </c>
      <c r="G936" s="52" t="n">
        <f aca="false">IF($G$11=$E$11,$F$11,IF(U936&lt;($F$11-$E$11)/($G$11-$E$11),$E$11+SQRT(U936*($G$11-$E$11)*($F$11-$E$11)),$G$11-SQRT((1-U936)*($G$11-$E$11)*($G$11-$F$11))))</f>
        <v>0.107133696678754</v>
      </c>
      <c r="H936" s="53" t="n">
        <f aca="false">(('Business Case'!B11*$C936*'Business Case'!B12*$B936)-'Business Case'!B11*$C936*'Business Case'!B13*$D936-'Business Case'!B14*$E936)-MAX(0,(('Business Case'!B11*$C936*'Business Case'!B12*$B936)-'Business Case'!B11*$C936*'Business Case'!B13*$D936-'Business Case'!B14*$E936))*'Business Case'!$B$7-'Business Case'!$B$8*('Business Case'!B11*$C936*'Business Case'!B12*$B936)-'Business Case'!B15*$F936</f>
        <v>-1931317846.62469</v>
      </c>
      <c r="I936" s="53" t="n">
        <f aca="false">(('Business Case'!C11*$C936*'Business Case'!C12*$B936)-'Business Case'!C11*$C936*'Business Case'!C13*$D936-'Business Case'!C14*$E936)-MAX(0,(('Business Case'!C11*$C936*'Business Case'!C12*$B936)-'Business Case'!C11*$C936*'Business Case'!C13*$D936-'Business Case'!C14*$E936))*'Business Case'!$B$7-'Business Case'!$B$8*(('Business Case'!C11*$C936*'Business Case'!C12*$B936)-('Business Case'!B11*$C936*'Business Case'!B12*$B936))-'Business Case'!C15*$F936</f>
        <v>-33788581.5985234</v>
      </c>
      <c r="J936" s="53" t="n">
        <f aca="false">(('Business Case'!D11*$C936*'Business Case'!D12*$B936)-'Business Case'!D11*$C936*'Business Case'!D13*$D936-'Business Case'!D14*$E936)-MAX(0,(('Business Case'!D11*$C936*'Business Case'!D12*$B936)-'Business Case'!D11*$C936*'Business Case'!D13*$D936-'Business Case'!D14*$E936))*'Business Case'!$B$7-'Business Case'!$B$8*(('Business Case'!D11*$C936*'Business Case'!D12*$B936)-('Business Case'!C11*$C936*'Business Case'!C12*$B936))-'Business Case'!D15*$F936</f>
        <v>226905113.879321</v>
      </c>
      <c r="K936" s="53" t="n">
        <f aca="false">(('Business Case'!E11*$C936*'Business Case'!E12*$B936)-'Business Case'!E11*$C936*'Business Case'!E13*$D936-'Business Case'!E14*$E936)-MAX(0,(('Business Case'!E11*$C936*'Business Case'!E12*$B936)-'Business Case'!E11*$C936*'Business Case'!E13*$D936-'Business Case'!E14*$E936))*'Business Case'!$B$7-'Business Case'!$B$8*(('Business Case'!E11*$C936*'Business Case'!E12*$B936)-('Business Case'!D11*$C936*'Business Case'!D12*$B936))-'Business Case'!E15*$F936</f>
        <v>535881755.522782</v>
      </c>
      <c r="L936" s="53" t="n">
        <f aca="false">(('Business Case'!F11*$C936*'Business Case'!F12*$B936)-'Business Case'!F11*$C936*'Business Case'!F13*$D936-'Business Case'!F14*$E936)-MAX(0,(('Business Case'!F11*$C936*'Business Case'!F12*$B936)-'Business Case'!F11*$C936*'Business Case'!F13*$D936-'Business Case'!F14*$E936))*'Business Case'!$B$7-'Business Case'!$B$8*(('Business Case'!F11*$C936*'Business Case'!F12*$B936)-('Business Case'!E11*$C936*'Business Case'!E12*$B936))-'Business Case'!F15*$F936</f>
        <v>652451490.346286</v>
      </c>
      <c r="M936" s="53" t="n">
        <f aca="false">(('Business Case'!G11*$C936*'Business Case'!G12*$B936)-'Business Case'!G11*$C936*'Business Case'!G13*$D936-'Business Case'!G14*$E936)-MAX(0,(('Business Case'!G11*$C936*'Business Case'!G12*$B936)-'Business Case'!G11*$C936*'Business Case'!G13*$D936-'Business Case'!G14*$E936))*'Business Case'!$B$7-'Business Case'!$B$8*(('Business Case'!G11*$C936*'Business Case'!G12*$B936)-('Business Case'!F11*$C936*'Business Case'!F12*$B936))-'Business Case'!G15*$F936+'Business Case'!$B$8*('Business Case'!G11*$C936*'Business Case'!G12*$B936)</f>
        <v>815646590.166176</v>
      </c>
      <c r="N936" s="53" t="n">
        <f aca="false">IF(COUNT('Business Case'!B11:G11)=0,"",H936+NPV(G936,I936:M936))</f>
        <v>-457234399.022227</v>
      </c>
      <c r="P936" s="54" t="n">
        <f aca="true">RAND()</f>
        <v>0.570403924502545</v>
      </c>
      <c r="Q936" s="54" t="n">
        <f aca="true">RAND()</f>
        <v>0.058045746161392</v>
      </c>
      <c r="R936" s="54" t="n">
        <f aca="true">RAND()</f>
        <v>0.397124875363474</v>
      </c>
      <c r="S936" s="54" t="n">
        <f aca="true">RAND()</f>
        <v>0.970102304426366</v>
      </c>
      <c r="T936" s="54" t="n">
        <f aca="true">RAND()</f>
        <v>0.019616150344147</v>
      </c>
      <c r="U936" s="54" t="n">
        <f aca="true">RAND()</f>
        <v>0.724097064742837</v>
      </c>
    </row>
    <row r="937" customFormat="false" ht="15" hidden="false" customHeight="false" outlineLevel="0" collapsed="false">
      <c r="A937" s="50" t="n">
        <v>857</v>
      </c>
      <c r="B937" s="51" t="n">
        <f aca="false">1+IF($G$6=$E$6,$F$6,IF(P937&lt;($F$6-$E$6)/($G$6-$E$6),$E$6+SQRT(P937*($G$6-$E$6)*($F$6-$E$6)),$G$6-SQRT((1-P937)*($G$6-$E$6)*($G$6-$F$6))))</f>
        <v>0.940978395487515</v>
      </c>
      <c r="C937" s="51" t="n">
        <f aca="false">1+IF($G$7=$E$7,$F$7,IF(Q937&lt;($F$7-$E$7)/($G$7-$E$7),$E$7+SQRT(Q937*($G$7-$E$7)*($F$7-$E$7)),$G$7-SQRT((1-Q937)*($G$7-$E$7)*($G$7-$F$7))))</f>
        <v>0.855513936955459</v>
      </c>
      <c r="D937" s="51" t="n">
        <f aca="false">1+IF($G$8=$E$8,$F$8,IF(R937&lt;($F$8-$E$8)/($G$8-$E$8),$E$8+SQRT(R937*($G$8-$E$8)*($F$8-$E$8)),$G$8-SQRT((1-R937)*($G$8-$E$8)*($G$8-$F$8))))</f>
        <v>1.00097001520229</v>
      </c>
      <c r="E937" s="51" t="n">
        <f aca="false">1+IF($G$9=$E$9,$F$9,IF(S937&lt;($F$9-$E$9)/($G$9-$E$9),$E$9+SQRT(S937*($G$9-$E$9)*($F$9-$E$9)),$G$9-SQRT((1-S937)*($G$9-$E$9)*($G$9-$F$9))))</f>
        <v>0.974289263013929</v>
      </c>
      <c r="F937" s="51" t="n">
        <f aca="false">1+IF($G$10=$E$10,$F$10,IF(T937&lt;($F$10-$E$10)/($G$10-$E$10),$E$10+SQRT(T937*($G$10-$E$10)*($F$10-$E$10)),$G$10-SQRT((1-T937)*($G$10-$E$10)*($G$10-$F$10))))</f>
        <v>1.03645222219148</v>
      </c>
      <c r="G937" s="52" t="n">
        <f aca="false">IF($G$11=$E$11,$F$11,IF(U937&lt;($F$11-$E$11)/($G$11-$E$11),$E$11+SQRT(U937*($G$11-$E$11)*($F$11-$E$11)),$G$11-SQRT((1-U937)*($G$11-$E$11)*($G$11-$F$11))))</f>
        <v>0.107343945006045</v>
      </c>
      <c r="H937" s="53" t="n">
        <f aca="false">(('Business Case'!B11*$C937*'Business Case'!B12*$B937)-'Business Case'!B11*$C937*'Business Case'!B13*$D937-'Business Case'!B14*$E937)-MAX(0,(('Business Case'!B11*$C937*'Business Case'!B12*$B937)-'Business Case'!B11*$C937*'Business Case'!B13*$D937-'Business Case'!B14*$E937))*'Business Case'!$B$7-'Business Case'!$B$8*('Business Case'!B11*$C937*'Business Case'!B12*$B937)-'Business Case'!B15*$F937</f>
        <v>-2072904444.38296</v>
      </c>
      <c r="I937" s="53" t="n">
        <f aca="false">(('Business Case'!C11*$C937*'Business Case'!C12*$B937)-'Business Case'!C11*$C937*'Business Case'!C13*$D937-'Business Case'!C14*$E937)-MAX(0,(('Business Case'!C11*$C937*'Business Case'!C12*$B937)-'Business Case'!C11*$C937*'Business Case'!C13*$D937-'Business Case'!C14*$E937))*'Business Case'!$B$7-'Business Case'!$B$8*(('Business Case'!C11*$C937*'Business Case'!C12*$B937)-('Business Case'!B11*$C937*'Business Case'!B12*$B937))-'Business Case'!C15*$F937</f>
        <v>-62931467.0427954</v>
      </c>
      <c r="J937" s="53" t="n">
        <f aca="false">(('Business Case'!D11*$C937*'Business Case'!D12*$B937)-'Business Case'!D11*$C937*'Business Case'!D13*$D937-'Business Case'!D14*$E937)-MAX(0,(('Business Case'!D11*$C937*'Business Case'!D12*$B937)-'Business Case'!D11*$C937*'Business Case'!D13*$D937-'Business Case'!D14*$E937))*'Business Case'!$B$7-'Business Case'!$B$8*(('Business Case'!D11*$C937*'Business Case'!D12*$B937)-('Business Case'!C11*$C937*'Business Case'!C12*$B937))-'Business Case'!D15*$F937</f>
        <v>158058464.962169</v>
      </c>
      <c r="K937" s="53" t="n">
        <f aca="false">(('Business Case'!E11*$C937*'Business Case'!E12*$B937)-'Business Case'!E11*$C937*'Business Case'!E13*$D937-'Business Case'!E14*$E937)-MAX(0,(('Business Case'!E11*$C937*'Business Case'!E12*$B937)-'Business Case'!E11*$C937*'Business Case'!E13*$D937-'Business Case'!E14*$E937))*'Business Case'!$B$7-'Business Case'!$B$8*(('Business Case'!E11*$C937*'Business Case'!E12*$B937)-('Business Case'!D11*$C937*'Business Case'!D12*$B937))-'Business Case'!E15*$F937</f>
        <v>430871008.076707</v>
      </c>
      <c r="L937" s="53" t="n">
        <f aca="false">(('Business Case'!F11*$C937*'Business Case'!F12*$B937)-'Business Case'!F11*$C937*'Business Case'!F13*$D937-'Business Case'!F14*$E937)-MAX(0,(('Business Case'!F11*$C937*'Business Case'!F12*$B937)-'Business Case'!F11*$C937*'Business Case'!F13*$D937-'Business Case'!F14*$E937))*'Business Case'!$B$7-'Business Case'!$B$8*(('Business Case'!F11*$C937*'Business Case'!F12*$B937)-('Business Case'!E11*$C937*'Business Case'!E12*$B937))-'Business Case'!F15*$F937</f>
        <v>532355814.497049</v>
      </c>
      <c r="M937" s="53" t="n">
        <f aca="false">(('Business Case'!G11*$C937*'Business Case'!G12*$B937)-'Business Case'!G11*$C937*'Business Case'!G13*$D937-'Business Case'!G14*$E937)-MAX(0,(('Business Case'!G11*$C937*'Business Case'!G12*$B937)-'Business Case'!G11*$C937*'Business Case'!G13*$D937-'Business Case'!G14*$E937))*'Business Case'!$B$7-'Business Case'!$B$8*(('Business Case'!G11*$C937*'Business Case'!G12*$B937)-('Business Case'!F11*$C937*'Business Case'!F12*$B937))-'Business Case'!G15*$F937+'Business Case'!$B$8*('Business Case'!G11*$C937*'Business Case'!G12*$B937)</f>
        <v>685374041.133162</v>
      </c>
      <c r="N937" s="53" t="n">
        <f aca="false">IF(COUNT('Business Case'!B11:G11)=0,"",H937+NPV(G937,I937:M937))</f>
        <v>-917820430.783121</v>
      </c>
      <c r="P937" s="54" t="n">
        <f aca="true">RAND()</f>
        <v>0.0458430288781856</v>
      </c>
      <c r="Q937" s="54" t="n">
        <f aca="true">RAND()</f>
        <v>0.0440256742327805</v>
      </c>
      <c r="R937" s="54" t="n">
        <f aca="true">RAND()</f>
        <v>0.399448221430148</v>
      </c>
      <c r="S937" s="54" t="n">
        <f aca="true">RAND()</f>
        <v>0.0786624397013079</v>
      </c>
      <c r="T937" s="54" t="n">
        <f aca="true">RAND()</f>
        <v>0.465042487477907</v>
      </c>
      <c r="U937" s="54" t="n">
        <f aca="true">RAND()</f>
        <v>0.733040453316646</v>
      </c>
    </row>
    <row r="938" customFormat="false" ht="15" hidden="false" customHeight="false" outlineLevel="0" collapsed="false">
      <c r="A938" s="50" t="n">
        <v>858</v>
      </c>
      <c r="B938" s="51" t="n">
        <f aca="false">1+IF($G$6=$E$6,$F$6,IF(P938&lt;($F$6-$E$6)/($G$6-$E$6),$E$6+SQRT(P938*($G$6-$E$6)*($F$6-$E$6)),$G$6-SQRT((1-P938)*($G$6-$E$6)*($G$6-$F$6))))</f>
        <v>0.932584014065598</v>
      </c>
      <c r="C938" s="51" t="n">
        <f aca="false">1+IF($G$7=$E$7,$F$7,IF(Q938&lt;($F$7-$E$7)/($G$7-$E$7),$E$7+SQRT(Q938*($G$7-$E$7)*($F$7-$E$7)),$G$7-SQRT((1-Q938)*($G$7-$E$7)*($G$7-$F$7))))</f>
        <v>0.995834843073751</v>
      </c>
      <c r="D938" s="51" t="n">
        <f aca="false">1+IF($G$8=$E$8,$F$8,IF(R938&lt;($F$8-$E$8)/($G$8-$E$8),$E$8+SQRT(R938*($G$8-$E$8)*($F$8-$E$8)),$G$8-SQRT((1-R938)*($G$8-$E$8)*($G$8-$F$8))))</f>
        <v>1.04617372348704</v>
      </c>
      <c r="E938" s="51" t="n">
        <f aca="false">1+IF($G$9=$E$9,$F$9,IF(S938&lt;($F$9-$E$9)/($G$9-$E$9),$E$9+SQRT(S938*($G$9-$E$9)*($F$9-$E$9)),$G$9-SQRT((1-S938)*($G$9-$E$9)*($G$9-$F$9))))</f>
        <v>0.982527428415811</v>
      </c>
      <c r="F938" s="51" t="n">
        <f aca="false">1+IF($G$10=$E$10,$F$10,IF(T938&lt;($F$10-$E$10)/($G$10-$E$10),$E$10+SQRT(T938*($G$10-$E$10)*($F$10-$E$10)),$G$10-SQRT((1-T938)*($G$10-$E$10)*($G$10-$F$10))))</f>
        <v>1.08717564218662</v>
      </c>
      <c r="G938" s="52" t="n">
        <f aca="false">IF($G$11=$E$11,$F$11,IF(U938&lt;($F$11-$E$11)/($G$11-$E$11),$E$11+SQRT(U938*($G$11-$E$11)*($F$11-$E$11)),$G$11-SQRT((1-U938)*($G$11-$E$11)*($G$11-$F$11))))</f>
        <v>0.102027220815799</v>
      </c>
      <c r="H938" s="53" t="n">
        <f aca="false">(('Business Case'!B11*$C938*'Business Case'!B12*$B938)-'Business Case'!B11*$C938*'Business Case'!B13*$D938-'Business Case'!B14*$E938)-MAX(0,(('Business Case'!B11*$C938*'Business Case'!B12*$B938)-'Business Case'!B11*$C938*'Business Case'!B13*$D938-'Business Case'!B14*$E938))*'Business Case'!$B$7-'Business Case'!$B$8*('Business Case'!B11*$C938*'Business Case'!B12*$B938)-'Business Case'!B15*$F938</f>
        <v>-2174351284.37323</v>
      </c>
      <c r="I938" s="53" t="n">
        <f aca="false">(('Business Case'!C11*$C938*'Business Case'!C12*$B938)-'Business Case'!C11*$C938*'Business Case'!C13*$D938-'Business Case'!C14*$E938)-MAX(0,(('Business Case'!C11*$C938*'Business Case'!C12*$B938)-'Business Case'!C11*$C938*'Business Case'!C13*$D938-'Business Case'!C14*$E938))*'Business Case'!$B$7-'Business Case'!$B$8*(('Business Case'!C11*$C938*'Business Case'!C12*$B938)-('Business Case'!B11*$C938*'Business Case'!B12*$B938))-'Business Case'!C15*$F938</f>
        <v>-69231443.1318984</v>
      </c>
      <c r="J938" s="53" t="n">
        <f aca="false">(('Business Case'!D11*$C938*'Business Case'!D12*$B938)-'Business Case'!D11*$C938*'Business Case'!D13*$D938-'Business Case'!D14*$E938)-MAX(0,(('Business Case'!D11*$C938*'Business Case'!D12*$B938)-'Business Case'!D11*$C938*'Business Case'!D13*$D938-'Business Case'!D14*$E938))*'Business Case'!$B$7-'Business Case'!$B$8*(('Business Case'!D11*$C938*'Business Case'!D12*$B938)-('Business Case'!C11*$C938*'Business Case'!C12*$B938))-'Business Case'!D15*$F938</f>
        <v>158113868.406351</v>
      </c>
      <c r="K938" s="53" t="n">
        <f aca="false">(('Business Case'!E11*$C938*'Business Case'!E12*$B938)-'Business Case'!E11*$C938*'Business Case'!E13*$D938-'Business Case'!E14*$E938)-MAX(0,(('Business Case'!E11*$C938*'Business Case'!E12*$B938)-'Business Case'!E11*$C938*'Business Case'!E13*$D938-'Business Case'!E14*$E938))*'Business Case'!$B$7-'Business Case'!$B$8*(('Business Case'!E11*$C938*'Business Case'!E12*$B938)-('Business Case'!D11*$C938*'Business Case'!D12*$B938))-'Business Case'!E15*$F938</f>
        <v>439817962.05393</v>
      </c>
      <c r="L938" s="53" t="n">
        <f aca="false">(('Business Case'!F11*$C938*'Business Case'!F12*$B938)-'Business Case'!F11*$C938*'Business Case'!F13*$D938-'Business Case'!F14*$E938)-MAX(0,(('Business Case'!F11*$C938*'Business Case'!F12*$B938)-'Business Case'!F11*$C938*'Business Case'!F13*$D938-'Business Case'!F14*$E938))*'Business Case'!$B$7-'Business Case'!$B$8*(('Business Case'!F11*$C938*'Business Case'!F12*$B938)-('Business Case'!E11*$C938*'Business Case'!E12*$B938))-'Business Case'!F15*$F938</f>
        <v>547695592.653851</v>
      </c>
      <c r="M938" s="53" t="n">
        <f aca="false">(('Business Case'!G11*$C938*'Business Case'!G12*$B938)-'Business Case'!G11*$C938*'Business Case'!G13*$D938-'Business Case'!G14*$E938)-MAX(0,(('Business Case'!G11*$C938*'Business Case'!G12*$B938)-'Business Case'!G11*$C938*'Business Case'!G13*$D938-'Business Case'!G14*$E938))*'Business Case'!$B$7-'Business Case'!$B$8*(('Business Case'!G11*$C938*'Business Case'!G12*$B938)-('Business Case'!F11*$C938*'Business Case'!F12*$B938))-'Business Case'!G15*$F938+'Business Case'!$B$8*('Business Case'!G11*$C938*'Business Case'!G12*$B938)</f>
        <v>724222823.133295</v>
      </c>
      <c r="N938" s="53" t="n">
        <f aca="false">IF(COUNT('Business Case'!B11:G11)=0,"",H938+NPV(G938,I938:M938))</f>
        <v>-961456362.505979</v>
      </c>
      <c r="P938" s="54" t="n">
        <f aca="true">RAND()</f>
        <v>0.0164955635419957</v>
      </c>
      <c r="Q938" s="54" t="n">
        <f aca="true">RAND()</f>
        <v>0.547875510881725</v>
      </c>
      <c r="R938" s="54" t="n">
        <f aca="true">RAND()</f>
        <v>0.889979136275839</v>
      </c>
      <c r="S938" s="54" t="n">
        <f aca="true">RAND()</f>
        <v>0.141071146579424</v>
      </c>
      <c r="T938" s="54" t="n">
        <f aca="true">RAND()</f>
        <v>0.745413285679953</v>
      </c>
      <c r="U938" s="54" t="n">
        <f aca="true">RAND()</f>
        <v>0.461632013993227</v>
      </c>
    </row>
    <row r="939" customFormat="false" ht="15" hidden="false" customHeight="false" outlineLevel="0" collapsed="false">
      <c r="A939" s="50" t="n">
        <v>859</v>
      </c>
      <c r="B939" s="51" t="n">
        <f aca="false">1+IF($G$6=$E$6,$F$6,IF(P939&lt;($F$6-$E$6)/($G$6-$E$6),$E$6+SQRT(P939*($G$6-$E$6)*($F$6-$E$6)),$G$6-SQRT((1-P939)*($G$6-$E$6)*($G$6-$F$6))))</f>
        <v>0.967407805965571</v>
      </c>
      <c r="C939" s="51" t="n">
        <f aca="false">1+IF($G$7=$E$7,$F$7,IF(Q939&lt;($F$7-$E$7)/($G$7-$E$7),$E$7+SQRT(Q939*($G$7-$E$7)*($F$7-$E$7)),$G$7-SQRT((1-Q939)*($G$7-$E$7)*($G$7-$F$7))))</f>
        <v>0.978434291227583</v>
      </c>
      <c r="D939" s="51" t="n">
        <f aca="false">1+IF($G$8=$E$8,$F$8,IF(R939&lt;($F$8-$E$8)/($G$8-$E$8),$E$8+SQRT(R939*($G$8-$E$8)*($F$8-$E$8)),$G$8-SQRT((1-R939)*($G$8-$E$8)*($G$8-$F$8))))</f>
        <v>0.996521477616881</v>
      </c>
      <c r="E939" s="51" t="n">
        <f aca="false">1+IF($G$9=$E$9,$F$9,IF(S939&lt;($F$9-$E$9)/($G$9-$E$9),$E$9+SQRT(S939*($G$9-$E$9)*($F$9-$E$9)),$G$9-SQRT((1-S939)*($G$9-$E$9)*($G$9-$F$9))))</f>
        <v>1.07259928395599</v>
      </c>
      <c r="F939" s="51" t="n">
        <f aca="false">1+IF($G$10=$E$10,$F$10,IF(T939&lt;($F$10-$E$10)/($G$10-$E$10),$E$10+SQRT(T939*($G$10-$E$10)*($F$10-$E$10)),$G$10-SQRT((1-T939)*($G$10-$E$10)*($G$10-$F$10))))</f>
        <v>1.01928934342476</v>
      </c>
      <c r="G939" s="52" t="n">
        <f aca="false">IF($G$11=$E$11,$F$11,IF(U939&lt;($F$11-$E$11)/($G$11-$E$11),$E$11+SQRT(U939*($G$11-$E$11)*($F$11-$E$11)),$G$11-SQRT((1-U939)*($G$11-$E$11)*($G$11-$F$11))))</f>
        <v>0.103657357327629</v>
      </c>
      <c r="H939" s="53" t="n">
        <f aca="false">(('Business Case'!B11*$C939*'Business Case'!B12*$B939)-'Business Case'!B11*$C939*'Business Case'!B13*$D939-'Business Case'!B14*$E939)-MAX(0,(('Business Case'!B11*$C939*'Business Case'!B12*$B939)-'Business Case'!B11*$C939*'Business Case'!B13*$D939-'Business Case'!B14*$E939))*'Business Case'!$B$7-'Business Case'!$B$8*('Business Case'!B11*$C939*'Business Case'!B12*$B939)-'Business Case'!B15*$F939</f>
        <v>-2038578686.84952</v>
      </c>
      <c r="I939" s="53" t="n">
        <f aca="false">(('Business Case'!C11*$C939*'Business Case'!C12*$B939)-'Business Case'!C11*$C939*'Business Case'!C13*$D939-'Business Case'!C14*$E939)-MAX(0,(('Business Case'!C11*$C939*'Business Case'!C12*$B939)-'Business Case'!C11*$C939*'Business Case'!C13*$D939-'Business Case'!C14*$E939))*'Business Case'!$B$7-'Business Case'!$B$8*(('Business Case'!C11*$C939*'Business Case'!C12*$B939)-('Business Case'!B11*$C939*'Business Case'!B12*$B939))-'Business Case'!C15*$F939</f>
        <v>-27370721.1504632</v>
      </c>
      <c r="J939" s="53" t="n">
        <f aca="false">(('Business Case'!D11*$C939*'Business Case'!D12*$B939)-'Business Case'!D11*$C939*'Business Case'!D13*$D939-'Business Case'!D14*$E939)-MAX(0,(('Business Case'!D11*$C939*'Business Case'!D12*$B939)-'Business Case'!D11*$C939*'Business Case'!D13*$D939-'Business Case'!D14*$E939))*'Business Case'!$B$7-'Business Case'!$B$8*(('Business Case'!D11*$C939*'Business Case'!D12*$B939)-('Business Case'!C11*$C939*'Business Case'!C12*$B939))-'Business Case'!D15*$F939</f>
        <v>248780001.514552</v>
      </c>
      <c r="K939" s="53" t="n">
        <f aca="false">(('Business Case'!E11*$C939*'Business Case'!E12*$B939)-'Business Case'!E11*$C939*'Business Case'!E13*$D939-'Business Case'!E14*$E939)-MAX(0,(('Business Case'!E11*$C939*'Business Case'!E12*$B939)-'Business Case'!E11*$C939*'Business Case'!E13*$D939-'Business Case'!E14*$E939))*'Business Case'!$B$7-'Business Case'!$B$8*(('Business Case'!E11*$C939*'Business Case'!E12*$B939)-('Business Case'!D11*$C939*'Business Case'!D12*$B939))-'Business Case'!E15*$F939</f>
        <v>575895191.350806</v>
      </c>
      <c r="L939" s="53" t="n">
        <f aca="false">(('Business Case'!F11*$C939*'Business Case'!F12*$B939)-'Business Case'!F11*$C939*'Business Case'!F13*$D939-'Business Case'!F14*$E939)-MAX(0,(('Business Case'!F11*$C939*'Business Case'!F12*$B939)-'Business Case'!F11*$C939*'Business Case'!F13*$D939-'Business Case'!F14*$E939))*'Business Case'!$B$7-'Business Case'!$B$8*(('Business Case'!F11*$C939*'Business Case'!F12*$B939)-('Business Case'!E11*$C939*'Business Case'!E12*$B939))-'Business Case'!F15*$F939</f>
        <v>700658026.43545</v>
      </c>
      <c r="M939" s="53" t="n">
        <f aca="false">(('Business Case'!G11*$C939*'Business Case'!G12*$B939)-'Business Case'!G11*$C939*'Business Case'!G13*$D939-'Business Case'!G14*$E939)-MAX(0,(('Business Case'!G11*$C939*'Business Case'!G12*$B939)-'Business Case'!G11*$C939*'Business Case'!G13*$D939-'Business Case'!G14*$E939))*'Business Case'!$B$7-'Business Case'!$B$8*(('Business Case'!G11*$C939*'Business Case'!G12*$B939)-('Business Case'!F11*$C939*'Business Case'!F12*$B939))-'Business Case'!G15*$F939+'Business Case'!$B$8*('Business Case'!G11*$C939*'Business Case'!G12*$B939)</f>
        <v>880577294.515138</v>
      </c>
      <c r="N939" s="53" t="n">
        <f aca="false">IF(COUNT('Business Case'!B11:G11)=0,"",H939+NPV(G939,I939:M939))</f>
        <v>-420728164.262406</v>
      </c>
      <c r="P939" s="54" t="n">
        <f aca="true">RAND()</f>
        <v>0.234114590257207</v>
      </c>
      <c r="Q939" s="54" t="n">
        <f aca="true">RAND()</f>
        <v>0.454839946941286</v>
      </c>
      <c r="R939" s="54" t="n">
        <f aca="true">RAND()</f>
        <v>0.332961212255066</v>
      </c>
      <c r="S939" s="54" t="n">
        <f aca="true">RAND()</f>
        <v>0.949946717351716</v>
      </c>
      <c r="T939" s="54" t="n">
        <f aca="true">RAND()</f>
        <v>0.346873172002905</v>
      </c>
      <c r="U939" s="54" t="n">
        <f aca="true">RAND()</f>
        <v>0.55486338413867</v>
      </c>
    </row>
    <row r="940" customFormat="false" ht="15" hidden="false" customHeight="false" outlineLevel="0" collapsed="false">
      <c r="A940" s="50" t="n">
        <v>860</v>
      </c>
      <c r="B940" s="51" t="n">
        <f aca="false">1+IF($G$6=$E$6,$F$6,IF(P940&lt;($F$6-$E$6)/($G$6-$E$6),$E$6+SQRT(P940*($G$6-$E$6)*($F$6-$E$6)),$G$6-SQRT((1-P940)*($G$6-$E$6)*($G$6-$F$6))))</f>
        <v>0.962589332052222</v>
      </c>
      <c r="C940" s="51" t="n">
        <f aca="false">1+IF($G$7=$E$7,$F$7,IF(Q940&lt;($F$7-$E$7)/($G$7-$E$7),$E$7+SQRT(Q940*($G$7-$E$7)*($F$7-$E$7)),$G$7-SQRT((1-Q940)*($G$7-$E$7)*($G$7-$F$7))))</f>
        <v>1.01194183592812</v>
      </c>
      <c r="D940" s="51" t="n">
        <f aca="false">1+IF($G$8=$E$8,$F$8,IF(R940&lt;($F$8-$E$8)/($G$8-$E$8),$E$8+SQRT(R940*($G$8-$E$8)*($F$8-$E$8)),$G$8-SQRT((1-R940)*($G$8-$E$8)*($G$8-$F$8))))</f>
        <v>1.04160653583533</v>
      </c>
      <c r="E940" s="51" t="n">
        <f aca="false">1+IF($G$9=$E$9,$F$9,IF(S940&lt;($F$9-$E$9)/($G$9-$E$9),$E$9+SQRT(S940*($G$9-$E$9)*($F$9-$E$9)),$G$9-SQRT((1-S940)*($G$9-$E$9)*($G$9-$F$9))))</f>
        <v>0.987267361843977</v>
      </c>
      <c r="F940" s="51" t="n">
        <f aca="false">1+IF($G$10=$E$10,$F$10,IF(T940&lt;($F$10-$E$10)/($G$10-$E$10),$E$10+SQRT(T940*($G$10-$E$10)*($F$10-$E$10)),$G$10-SQRT((1-T940)*($G$10-$E$10)*($G$10-$F$10))))</f>
        <v>0.99590965627166</v>
      </c>
      <c r="G940" s="52" t="n">
        <f aca="false">IF($G$11=$E$11,$F$11,IF(U940&lt;($F$11-$E$11)/($G$11-$E$11),$E$11+SQRT(U940*($G$11-$E$11)*($F$11-$E$11)),$G$11-SQRT((1-U940)*($G$11-$E$11)*($G$11-$F$11))))</f>
        <v>0.113212375511669</v>
      </c>
      <c r="H940" s="53" t="n">
        <f aca="false">(('Business Case'!B11*$C940*'Business Case'!B12*$B940)-'Business Case'!B11*$C940*'Business Case'!B13*$D940-'Business Case'!B14*$E940)-MAX(0,(('Business Case'!B11*$C940*'Business Case'!B12*$B940)-'Business Case'!B11*$C940*'Business Case'!B13*$D940-'Business Case'!B14*$E940))*'Business Case'!$B$7-'Business Case'!$B$8*('Business Case'!B11*$C940*'Business Case'!B12*$B940)-'Business Case'!B15*$F940</f>
        <v>-1991819312.54332</v>
      </c>
      <c r="I940" s="53" t="n">
        <f aca="false">(('Business Case'!C11*$C940*'Business Case'!C12*$B940)-'Business Case'!C11*$C940*'Business Case'!C13*$D940-'Business Case'!C14*$E940)-MAX(0,(('Business Case'!C11*$C940*'Business Case'!C12*$B940)-'Business Case'!C11*$C940*'Business Case'!C13*$D940-'Business Case'!C14*$E940))*'Business Case'!$B$7-'Business Case'!$B$8*(('Business Case'!C11*$C940*'Business Case'!C12*$B940)-('Business Case'!B11*$C940*'Business Case'!B12*$B940))-'Business Case'!C15*$F940</f>
        <v>-32218484.122712</v>
      </c>
      <c r="J940" s="53" t="n">
        <f aca="false">(('Business Case'!D11*$C940*'Business Case'!D12*$B940)-'Business Case'!D11*$C940*'Business Case'!D13*$D940-'Business Case'!D14*$E940)-MAX(0,(('Business Case'!D11*$C940*'Business Case'!D12*$B940)-'Business Case'!D11*$C940*'Business Case'!D13*$D940-'Business Case'!D14*$E940))*'Business Case'!$B$7-'Business Case'!$B$8*(('Business Case'!D11*$C940*'Business Case'!D12*$B940)-('Business Case'!C11*$C940*'Business Case'!C12*$B940))-'Business Case'!D15*$F940</f>
        <v>226039952.357339</v>
      </c>
      <c r="K940" s="53" t="n">
        <f aca="false">(('Business Case'!E11*$C940*'Business Case'!E12*$B940)-'Business Case'!E11*$C940*'Business Case'!E13*$D940-'Business Case'!E14*$E940)-MAX(0,(('Business Case'!E11*$C940*'Business Case'!E12*$B940)-'Business Case'!E11*$C940*'Business Case'!E13*$D940-'Business Case'!E14*$E940))*'Business Case'!$B$7-'Business Case'!$B$8*(('Business Case'!E11*$C940*'Business Case'!E12*$B940)-('Business Case'!D11*$C940*'Business Case'!D12*$B940))-'Business Case'!E15*$F940</f>
        <v>534093871.650973</v>
      </c>
      <c r="L940" s="53" t="n">
        <f aca="false">(('Business Case'!F11*$C940*'Business Case'!F12*$B940)-'Business Case'!F11*$C940*'Business Case'!F13*$D940-'Business Case'!F14*$E940)-MAX(0,(('Business Case'!F11*$C940*'Business Case'!F12*$B940)-'Business Case'!F11*$C940*'Business Case'!F13*$D940-'Business Case'!F14*$E940))*'Business Case'!$B$7-'Business Case'!$B$8*(('Business Case'!F11*$C940*'Business Case'!F12*$B940)-('Business Case'!E11*$C940*'Business Case'!E12*$B940))-'Business Case'!F15*$F940</f>
        <v>653844374.558579</v>
      </c>
      <c r="M940" s="53" t="n">
        <f aca="false">(('Business Case'!G11*$C940*'Business Case'!G12*$B940)-'Business Case'!G11*$C940*'Business Case'!G13*$D940-'Business Case'!G14*$E940)-MAX(0,(('Business Case'!G11*$C940*'Business Case'!G12*$B940)-'Business Case'!G11*$C940*'Business Case'!G13*$D940-'Business Case'!G14*$E940))*'Business Case'!$B$7-'Business Case'!$B$8*(('Business Case'!G11*$C940*'Business Case'!G12*$B940)-('Business Case'!F11*$C940*'Business Case'!F12*$B940))-'Business Case'!G15*$F940+'Business Case'!$B$8*('Business Case'!G11*$C940*'Business Case'!G12*$B940)</f>
        <v>838998340.336985</v>
      </c>
      <c r="N940" s="53" t="n">
        <f aca="false">IF(COUNT('Business Case'!B11:G11)=0,"",H940+NPV(G940,I940:M940))</f>
        <v>-534686074.380231</v>
      </c>
      <c r="P940" s="54" t="n">
        <f aca="true">RAND()</f>
        <v>0.188942833818169</v>
      </c>
      <c r="Q940" s="54" t="n">
        <f aca="true">RAND()</f>
        <v>0.63695130158289</v>
      </c>
      <c r="R940" s="54" t="n">
        <f aca="true">RAND()</f>
        <v>0.858263645138105</v>
      </c>
      <c r="S940" s="54" t="n">
        <f aca="true">RAND()</f>
        <v>0.185180834507985</v>
      </c>
      <c r="T940" s="54" t="n">
        <f aca="true">RAND()</f>
        <v>0.168615723118558</v>
      </c>
      <c r="U940" s="54" t="n">
        <f aca="true">RAND()</f>
        <v>0.923213589675688</v>
      </c>
    </row>
    <row r="941" customFormat="false" ht="15" hidden="false" customHeight="false" outlineLevel="0" collapsed="false">
      <c r="A941" s="50" t="n">
        <v>861</v>
      </c>
      <c r="B941" s="51" t="n">
        <f aca="false">1+IF($G$6=$E$6,$F$6,IF(P941&lt;($F$6-$E$6)/($G$6-$E$6),$E$6+SQRT(P941*($G$6-$E$6)*($F$6-$E$6)),$G$6-SQRT((1-P941)*($G$6-$E$6)*($G$6-$F$6))))</f>
        <v>0.985217492534548</v>
      </c>
      <c r="C941" s="51" t="n">
        <f aca="false">1+IF($G$7=$E$7,$F$7,IF(Q941&lt;($F$7-$E$7)/($G$7-$E$7),$E$7+SQRT(Q941*($G$7-$E$7)*($F$7-$E$7)),$G$7-SQRT((1-Q941)*($G$7-$E$7)*($G$7-$F$7))))</f>
        <v>1.0058185713842</v>
      </c>
      <c r="D941" s="51" t="n">
        <f aca="false">1+IF($G$8=$E$8,$F$8,IF(R941&lt;($F$8-$E$8)/($G$8-$E$8),$E$8+SQRT(R941*($G$8-$E$8)*($F$8-$E$8)),$G$8-SQRT((1-R941)*($G$8-$E$8)*($G$8-$F$8))))</f>
        <v>1.01176944959413</v>
      </c>
      <c r="E941" s="51" t="n">
        <f aca="false">1+IF($G$9=$E$9,$F$9,IF(S941&lt;($F$9-$E$9)/($G$9-$E$9),$E$9+SQRT(S941*($G$9-$E$9)*($F$9-$E$9)),$G$9-SQRT((1-S941)*($G$9-$E$9)*($G$9-$F$9))))</f>
        <v>1.03012458460691</v>
      </c>
      <c r="F941" s="51" t="n">
        <f aca="false">1+IF($G$10=$E$10,$F$10,IF(T941&lt;($F$10-$E$10)/($G$10-$E$10),$E$10+SQRT(T941*($G$10-$E$10)*($F$10-$E$10)),$G$10-SQRT((1-T941)*($G$10-$E$10)*($G$10-$F$10))))</f>
        <v>1.00520768906568</v>
      </c>
      <c r="G941" s="52" t="n">
        <f aca="false">IF($G$11=$E$11,$F$11,IF(U941&lt;($F$11-$E$11)/($G$11-$E$11),$E$11+SQRT(U941*($G$11-$E$11)*($F$11-$E$11)),$G$11-SQRT((1-U941)*($G$11-$E$11)*($G$11-$F$11))))</f>
        <v>0.102516675403042</v>
      </c>
      <c r="H941" s="53" t="n">
        <f aca="false">(('Business Case'!B11*$C941*'Business Case'!B12*$B941)-'Business Case'!B11*$C941*'Business Case'!B13*$D941-'Business Case'!B14*$E941)-MAX(0,(('Business Case'!B11*$C941*'Business Case'!B12*$B941)-'Business Case'!B11*$C941*'Business Case'!B13*$D941-'Business Case'!B14*$E941))*'Business Case'!$B$7-'Business Case'!$B$8*('Business Case'!B11*$C941*'Business Case'!B12*$B941)-'Business Case'!B15*$F941</f>
        <v>-2010415378.13137</v>
      </c>
      <c r="I941" s="53" t="n">
        <f aca="false">(('Business Case'!C11*$C941*'Business Case'!C12*$B941)-'Business Case'!C11*$C941*'Business Case'!C13*$D941-'Business Case'!C14*$E941)-MAX(0,(('Business Case'!C11*$C941*'Business Case'!C12*$B941)-'Business Case'!C11*$C941*'Business Case'!C13*$D941-'Business Case'!C14*$E941))*'Business Case'!$B$7-'Business Case'!$B$8*(('Business Case'!C11*$C941*'Business Case'!C12*$B941)-('Business Case'!B11*$C941*'Business Case'!B12*$B941))-'Business Case'!C15*$F941</f>
        <v>-7674612.11727706</v>
      </c>
      <c r="J941" s="53" t="n">
        <f aca="false">(('Business Case'!D11*$C941*'Business Case'!D12*$B941)-'Business Case'!D11*$C941*'Business Case'!D13*$D941-'Business Case'!D14*$E941)-MAX(0,(('Business Case'!D11*$C941*'Business Case'!D12*$B941)-'Business Case'!D11*$C941*'Business Case'!D13*$D941-'Business Case'!D14*$E941))*'Business Case'!$B$7-'Business Case'!$B$8*(('Business Case'!D11*$C941*'Business Case'!D12*$B941)-('Business Case'!C11*$C941*'Business Case'!C12*$B941))-'Business Case'!D15*$F941</f>
        <v>283026111.23886</v>
      </c>
      <c r="K941" s="53" t="n">
        <f aca="false">(('Business Case'!E11*$C941*'Business Case'!E12*$B941)-'Business Case'!E11*$C941*'Business Case'!E13*$D941-'Business Case'!E14*$E941)-MAX(0,(('Business Case'!E11*$C941*'Business Case'!E12*$B941)-'Business Case'!E11*$C941*'Business Case'!E13*$D941-'Business Case'!E14*$E941))*'Business Case'!$B$7-'Business Case'!$B$8*(('Business Case'!E11*$C941*'Business Case'!E12*$B941)-('Business Case'!D11*$C941*'Business Case'!D12*$B941))-'Business Case'!E15*$F941</f>
        <v>623987219.048282</v>
      </c>
      <c r="L941" s="53" t="n">
        <f aca="false">(('Business Case'!F11*$C941*'Business Case'!F12*$B941)-'Business Case'!F11*$C941*'Business Case'!F13*$D941-'Business Case'!F14*$E941)-MAX(0,(('Business Case'!F11*$C941*'Business Case'!F12*$B941)-'Business Case'!F11*$C941*'Business Case'!F13*$D941-'Business Case'!F14*$E941))*'Business Case'!$B$7-'Business Case'!$B$8*(('Business Case'!F11*$C941*'Business Case'!F12*$B941)-('Business Case'!E11*$C941*'Business Case'!E12*$B941))-'Business Case'!F15*$F941</f>
        <v>755134693.924157</v>
      </c>
      <c r="M941" s="53" t="n">
        <f aca="false">(('Business Case'!G11*$C941*'Business Case'!G12*$B941)-'Business Case'!G11*$C941*'Business Case'!G13*$D941-'Business Case'!G14*$E941)-MAX(0,(('Business Case'!G11*$C941*'Business Case'!G12*$B941)-'Business Case'!G11*$C941*'Business Case'!G13*$D941-'Business Case'!G14*$E941))*'Business Case'!$B$7-'Business Case'!$B$8*(('Business Case'!G11*$C941*'Business Case'!G12*$B941)-('Business Case'!F11*$C941*'Business Case'!F12*$B941))-'Business Case'!G15*$F941+'Business Case'!$B$8*('Business Case'!G11*$C941*'Business Case'!G12*$B941)</f>
        <v>943494479.588551</v>
      </c>
      <c r="N941" s="53" t="n">
        <f aca="false">IF(COUNT('Business Case'!B11:G11)=0,"",H941+NPV(G941,I941:M941))</f>
        <v>-228675463.579162</v>
      </c>
      <c r="P941" s="54" t="n">
        <f aca="true">RAND()</f>
        <v>0.443054305468103</v>
      </c>
      <c r="Q941" s="54" t="n">
        <f aca="true">RAND()</f>
        <v>0.604032678901089</v>
      </c>
      <c r="R941" s="54" t="n">
        <f aca="true">RAND()</f>
        <v>0.552364614549198</v>
      </c>
      <c r="S941" s="54" t="n">
        <f aca="true">RAND()</f>
        <v>0.674495088242859</v>
      </c>
      <c r="T941" s="54" t="n">
        <f aca="true">RAND()</f>
        <v>0.241119112017368</v>
      </c>
      <c r="U941" s="54" t="n">
        <f aca="true">RAND()</f>
        <v>0.490555601729029</v>
      </c>
    </row>
    <row r="942" customFormat="false" ht="15" hidden="false" customHeight="false" outlineLevel="0" collapsed="false">
      <c r="A942" s="50" t="n">
        <v>862</v>
      </c>
      <c r="B942" s="51" t="n">
        <f aca="false">1+IF($G$6=$E$6,$F$6,IF(P942&lt;($F$6-$E$6)/($G$6-$E$6),$E$6+SQRT(P942*($G$6-$E$6)*($F$6-$E$6)),$G$6-SQRT((1-P942)*($G$6-$E$6)*($G$6-$F$6))))</f>
        <v>1.01216713509</v>
      </c>
      <c r="C942" s="51" t="n">
        <f aca="false">1+IF($G$7=$E$7,$F$7,IF(Q942&lt;($F$7-$E$7)/($G$7-$E$7),$E$7+SQRT(Q942*($G$7-$E$7)*($F$7-$E$7)),$G$7-SQRT((1-Q942)*($G$7-$E$7)*($G$7-$F$7))))</f>
        <v>1.0603506523711</v>
      </c>
      <c r="D942" s="51" t="n">
        <f aca="false">1+IF($G$8=$E$8,$F$8,IF(R942&lt;($F$8-$E$8)/($G$8-$E$8),$E$8+SQRT(R942*($G$8-$E$8)*($F$8-$E$8)),$G$8-SQRT((1-R942)*($G$8-$E$8)*($G$8-$F$8))))</f>
        <v>0.976287422807175</v>
      </c>
      <c r="E942" s="51" t="n">
        <f aca="false">1+IF($G$9=$E$9,$F$9,IF(S942&lt;($F$9-$E$9)/($G$9-$E$9),$E$9+SQRT(S942*($G$9-$E$9)*($F$9-$E$9)),$G$9-SQRT((1-S942)*($G$9-$E$9)*($G$9-$F$9))))</f>
        <v>1.00828437904232</v>
      </c>
      <c r="F942" s="51" t="n">
        <f aca="false">1+IF($G$10=$E$10,$F$10,IF(T942&lt;($F$10-$E$10)/($G$10-$E$10),$E$10+SQRT(T942*($G$10-$E$10)*($F$10-$E$10)),$G$10-SQRT((1-T942)*($G$10-$E$10)*($G$10-$F$10))))</f>
        <v>1.06722434522516</v>
      </c>
      <c r="G942" s="52" t="n">
        <f aca="false">IF($G$11=$E$11,$F$11,IF(U942&lt;($F$11-$E$11)/($G$11-$E$11),$E$11+SQRT(U942*($G$11-$E$11)*($F$11-$E$11)),$G$11-SQRT((1-U942)*($G$11-$E$11)*($G$11-$F$11))))</f>
        <v>0.109113565958855</v>
      </c>
      <c r="H942" s="53" t="n">
        <f aca="false">(('Business Case'!B11*$C942*'Business Case'!B12*$B942)-'Business Case'!B11*$C942*'Business Case'!B13*$D942-'Business Case'!B14*$E942)-MAX(0,(('Business Case'!B11*$C942*'Business Case'!B12*$B942)-'Business Case'!B11*$C942*'Business Case'!B13*$D942-'Business Case'!B14*$E942))*'Business Case'!$B$7-'Business Case'!$B$8*('Business Case'!B11*$C942*'Business Case'!B12*$B942)-'Business Case'!B15*$F942</f>
        <v>-2134448690.45032</v>
      </c>
      <c r="I942" s="53" t="n">
        <f aca="false">(('Business Case'!C11*$C942*'Business Case'!C12*$B942)-'Business Case'!C11*$C942*'Business Case'!C13*$D942-'Business Case'!C14*$E942)-MAX(0,(('Business Case'!C11*$C942*'Business Case'!C12*$B942)-'Business Case'!C11*$C942*'Business Case'!C13*$D942-'Business Case'!C14*$E942))*'Business Case'!$B$7-'Business Case'!$B$8*(('Business Case'!C11*$C942*'Business Case'!C12*$B942)-('Business Case'!B11*$C942*'Business Case'!B12*$B942))-'Business Case'!C15*$F942</f>
        <v>43389697.8103741</v>
      </c>
      <c r="J942" s="53" t="n">
        <f aca="false">(('Business Case'!D11*$C942*'Business Case'!D12*$B942)-'Business Case'!D11*$C942*'Business Case'!D13*$D942-'Business Case'!D14*$E942)-MAX(0,(('Business Case'!D11*$C942*'Business Case'!D12*$B942)-'Business Case'!D11*$C942*'Business Case'!D13*$D942-'Business Case'!D14*$E942))*'Business Case'!$B$7-'Business Case'!$B$8*(('Business Case'!D11*$C942*'Business Case'!D12*$B942)-('Business Case'!C11*$C942*'Business Case'!C12*$B942))-'Business Case'!D15*$F942</f>
        <v>392517256.774028</v>
      </c>
      <c r="K942" s="53" t="n">
        <f aca="false">(('Business Case'!E11*$C942*'Business Case'!E12*$B942)-'Business Case'!E11*$C942*'Business Case'!E13*$D942-'Business Case'!E14*$E942)-MAX(0,(('Business Case'!E11*$C942*'Business Case'!E12*$B942)-'Business Case'!E11*$C942*'Business Case'!E13*$D942-'Business Case'!E14*$E942))*'Business Case'!$B$7-'Business Case'!$B$8*(('Business Case'!E11*$C942*'Business Case'!E12*$B942)-('Business Case'!D11*$C942*'Business Case'!D12*$B942))-'Business Case'!E15*$F942</f>
        <v>795006032.998941</v>
      </c>
      <c r="L942" s="53" t="n">
        <f aca="false">(('Business Case'!F11*$C942*'Business Case'!F12*$B942)-'Business Case'!F11*$C942*'Business Case'!F13*$D942-'Business Case'!F14*$E942)-MAX(0,(('Business Case'!F11*$C942*'Business Case'!F12*$B942)-'Business Case'!F11*$C942*'Business Case'!F13*$D942-'Business Case'!F14*$E942))*'Business Case'!$B$7-'Business Case'!$B$8*(('Business Case'!F11*$C942*'Business Case'!F12*$B942)-('Business Case'!E11*$C942*'Business Case'!E12*$B942))-'Business Case'!F15*$F942</f>
        <v>948473477.94079</v>
      </c>
      <c r="M942" s="53" t="n">
        <f aca="false">(('Business Case'!G11*$C942*'Business Case'!G12*$B942)-'Business Case'!G11*$C942*'Business Case'!G13*$D942-'Business Case'!G14*$E942)-MAX(0,(('Business Case'!G11*$C942*'Business Case'!G12*$B942)-'Business Case'!G11*$C942*'Business Case'!G13*$D942-'Business Case'!G14*$E942))*'Business Case'!$B$7-'Business Case'!$B$8*(('Business Case'!G11*$C942*'Business Case'!G12*$B942)-('Business Case'!F11*$C942*'Business Case'!F12*$B942))-'Business Case'!G15*$F942+'Business Case'!$B$8*('Business Case'!G11*$C942*'Business Case'!G12*$B942)</f>
        <v>1152477233.68759</v>
      </c>
      <c r="N942" s="53" t="n">
        <f aca="false">IF(COUNT('Business Case'!B11:G11)=0,"",H942+NPV(G942,I942:M942))</f>
        <v>119919342.412811</v>
      </c>
      <c r="P942" s="54" t="n">
        <f aca="true">RAND()</f>
        <v>0.838610756437901</v>
      </c>
      <c r="Q942" s="54" t="n">
        <f aca="true">RAND()</f>
        <v>0.846914180375489</v>
      </c>
      <c r="R942" s="54" t="n">
        <f aca="true">RAND()</f>
        <v>0.106312091975875</v>
      </c>
      <c r="S942" s="54" t="n">
        <f aca="true">RAND()</f>
        <v>0.439216324823143</v>
      </c>
      <c r="T942" s="54" t="n">
        <f aca="true">RAND()</f>
        <v>0.647412509982262</v>
      </c>
      <c r="U942" s="54" t="n">
        <f aca="true">RAND()</f>
        <v>0.802475923112987</v>
      </c>
    </row>
    <row r="943" customFormat="false" ht="15" hidden="false" customHeight="false" outlineLevel="0" collapsed="false">
      <c r="A943" s="50" t="n">
        <v>863</v>
      </c>
      <c r="B943" s="51" t="n">
        <f aca="false">1+IF($G$6=$E$6,$F$6,IF(P943&lt;($F$6-$E$6)/($G$6-$E$6),$E$6+SQRT(P943*($G$6-$E$6)*($F$6-$E$6)),$G$6-SQRT((1-P943)*($G$6-$E$6)*($G$6-$F$6))))</f>
        <v>0.955927464162405</v>
      </c>
      <c r="C943" s="51" t="n">
        <f aca="false">1+IF($G$7=$E$7,$F$7,IF(Q943&lt;($F$7-$E$7)/($G$7-$E$7),$E$7+SQRT(Q943*($G$7-$E$7)*($F$7-$E$7)),$G$7-SQRT((1-Q943)*($G$7-$E$7)*($G$7-$F$7))))</f>
        <v>0.985116977114458</v>
      </c>
      <c r="D943" s="51" t="n">
        <f aca="false">1+IF($G$8=$E$8,$F$8,IF(R943&lt;($F$8-$E$8)/($G$8-$E$8),$E$8+SQRT(R943*($G$8-$E$8)*($F$8-$E$8)),$G$8-SQRT((1-R943)*($G$8-$E$8)*($G$8-$F$8))))</f>
        <v>1.00968391809475</v>
      </c>
      <c r="E943" s="51" t="n">
        <f aca="false">1+IF($G$9=$E$9,$F$9,IF(S943&lt;($F$9-$E$9)/($G$9-$E$9),$E$9+SQRT(S943*($G$9-$E$9)*($F$9-$E$9)),$G$9-SQRT((1-S943)*($G$9-$E$9)*($G$9-$F$9))))</f>
        <v>1.00880669168638</v>
      </c>
      <c r="F943" s="51" t="n">
        <f aca="false">1+IF($G$10=$E$10,$F$10,IF(T943&lt;($F$10-$E$10)/($G$10-$E$10),$E$10+SQRT(T943*($G$10-$E$10)*($F$10-$E$10)),$G$10-SQRT((1-T943)*($G$10-$E$10)*($G$10-$F$10))))</f>
        <v>1.00500141500672</v>
      </c>
      <c r="G943" s="52" t="n">
        <f aca="false">IF($G$11=$E$11,$F$11,IF(U943&lt;($F$11-$E$11)/($G$11-$E$11),$E$11+SQRT(U943*($G$11-$E$11)*($F$11-$E$11)),$G$11-SQRT((1-U943)*($G$11-$E$11)*($G$11-$F$11))))</f>
        <v>0.116482688528743</v>
      </c>
      <c r="H943" s="53" t="n">
        <f aca="false">(('Business Case'!B11*$C943*'Business Case'!B12*$B943)-'Business Case'!B11*$C943*'Business Case'!B13*$D943-'Business Case'!B14*$E943)-MAX(0,(('Business Case'!B11*$C943*'Business Case'!B12*$B943)-'Business Case'!B11*$C943*'Business Case'!B13*$D943-'Business Case'!B14*$E943))*'Business Case'!$B$7-'Business Case'!$B$8*('Business Case'!B11*$C943*'Business Case'!B12*$B943)-'Business Case'!B15*$F943</f>
        <v>-2010002830.01345</v>
      </c>
      <c r="I943" s="53" t="n">
        <f aca="false">(('Business Case'!C11*$C943*'Business Case'!C12*$B943)-'Business Case'!C11*$C943*'Business Case'!C13*$D943-'Business Case'!C14*$E943)-MAX(0,(('Business Case'!C11*$C943*'Business Case'!C12*$B943)-'Business Case'!C11*$C943*'Business Case'!C13*$D943-'Business Case'!C14*$E943))*'Business Case'!$B$7-'Business Case'!$B$8*(('Business Case'!C11*$C943*'Business Case'!C12*$B943)-('Business Case'!B11*$C943*'Business Case'!B12*$B943))-'Business Case'!C15*$F943</f>
        <v>-30634485.1458239</v>
      </c>
      <c r="J943" s="53" t="n">
        <f aca="false">(('Business Case'!D11*$C943*'Business Case'!D12*$B943)-'Business Case'!D11*$C943*'Business Case'!D13*$D943-'Business Case'!D14*$E943)-MAX(0,(('Business Case'!D11*$C943*'Business Case'!D12*$B943)-'Business Case'!D11*$C943*'Business Case'!D13*$D943-'Business Case'!D14*$E943))*'Business Case'!$B$7-'Business Case'!$B$8*(('Business Case'!D11*$C943*'Business Case'!D12*$B943)-('Business Case'!C11*$C943*'Business Case'!C12*$B943))-'Business Case'!D15*$F943</f>
        <v>231501230.146504</v>
      </c>
      <c r="K943" s="53" t="n">
        <f aca="false">(('Business Case'!E11*$C943*'Business Case'!E12*$B943)-'Business Case'!E11*$C943*'Business Case'!E13*$D943-'Business Case'!E14*$E943)-MAX(0,(('Business Case'!E11*$C943*'Business Case'!E12*$B943)-'Business Case'!E11*$C943*'Business Case'!E13*$D943-'Business Case'!E14*$E943))*'Business Case'!$B$7-'Business Case'!$B$8*(('Business Case'!E11*$C943*'Business Case'!E12*$B943)-('Business Case'!D11*$C943*'Business Case'!D12*$B943))-'Business Case'!E15*$F943</f>
        <v>543887016.189168</v>
      </c>
      <c r="L943" s="53" t="n">
        <f aca="false">(('Business Case'!F11*$C943*'Business Case'!F12*$B943)-'Business Case'!F11*$C943*'Business Case'!F13*$D943-'Business Case'!F14*$E943)-MAX(0,(('Business Case'!F11*$C943*'Business Case'!F12*$B943)-'Business Case'!F11*$C943*'Business Case'!F13*$D943-'Business Case'!F14*$E943))*'Business Case'!$B$7-'Business Case'!$B$8*(('Business Case'!F11*$C943*'Business Case'!F12*$B943)-('Business Case'!E11*$C943*'Business Case'!E12*$B943))-'Business Case'!F15*$F943</f>
        <v>663810752.873061</v>
      </c>
      <c r="M943" s="53" t="n">
        <f aca="false">(('Business Case'!G11*$C943*'Business Case'!G12*$B943)-'Business Case'!G11*$C943*'Business Case'!G13*$D943-'Business Case'!G14*$E943)-MAX(0,(('Business Case'!G11*$C943*'Business Case'!G12*$B943)-'Business Case'!G11*$C943*'Business Case'!G13*$D943-'Business Case'!G14*$E943))*'Business Case'!$B$7-'Business Case'!$B$8*(('Business Case'!G11*$C943*'Business Case'!G12*$B943)-('Business Case'!F11*$C943*'Business Case'!F12*$B943))-'Business Case'!G15*$F943+'Business Case'!$B$8*('Business Case'!G11*$C943*'Business Case'!G12*$B943)</f>
        <v>842809159.931876</v>
      </c>
      <c r="N943" s="53" t="n">
        <f aca="false">IF(COUNT('Business Case'!B11:G11)=0,"",H943+NPV(G943,I943:M943))</f>
        <v>-547908733.078138</v>
      </c>
      <c r="P943" s="54" t="n">
        <f aca="true">RAND()</f>
        <v>0.134456529285508</v>
      </c>
      <c r="Q943" s="54" t="n">
        <f aca="true">RAND()</f>
        <v>0.489547074514211</v>
      </c>
      <c r="R943" s="54" t="n">
        <f aca="true">RAND()</f>
        <v>0.524581598605153</v>
      </c>
      <c r="S943" s="54" t="n">
        <f aca="true">RAND()</f>
        <v>0.445585367921086</v>
      </c>
      <c r="T943" s="54" t="n">
        <f aca="true">RAND()</f>
        <v>0.239511037012396</v>
      </c>
      <c r="U943" s="54" t="n">
        <f aca="true">RAND()</f>
        <v>0.979380866690277</v>
      </c>
    </row>
    <row r="944" customFormat="false" ht="15" hidden="false" customHeight="false" outlineLevel="0" collapsed="false">
      <c r="A944" s="50" t="n">
        <v>864</v>
      </c>
      <c r="B944" s="51" t="n">
        <f aca="false">1+IF($G$6=$E$6,$F$6,IF(P944&lt;($F$6-$E$6)/($G$6-$E$6),$E$6+SQRT(P944*($G$6-$E$6)*($F$6-$E$6)),$G$6-SQRT((1-P944)*($G$6-$E$6)*($G$6-$F$6))))</f>
        <v>1.01931900176112</v>
      </c>
      <c r="C944" s="51" t="n">
        <f aca="false">1+IF($G$7=$E$7,$F$7,IF(Q944&lt;($F$7-$E$7)/($G$7-$E$7),$E$7+SQRT(Q944*($G$7-$E$7)*($F$7-$E$7)),$G$7-SQRT((1-Q944)*($G$7-$E$7)*($G$7-$F$7))))</f>
        <v>0.913103349711598</v>
      </c>
      <c r="D944" s="51" t="n">
        <f aca="false">1+IF($G$8=$E$8,$F$8,IF(R944&lt;($F$8-$E$8)/($G$8-$E$8),$E$8+SQRT(R944*($G$8-$E$8)*($F$8-$E$8)),$G$8-SQRT((1-R944)*($G$8-$E$8)*($G$8-$F$8))))</f>
        <v>0.99372111331876</v>
      </c>
      <c r="E944" s="51" t="n">
        <f aca="false">1+IF($G$9=$E$9,$F$9,IF(S944&lt;($F$9-$E$9)/($G$9-$E$9),$E$9+SQRT(S944*($G$9-$E$9)*($F$9-$E$9)),$G$9-SQRT((1-S944)*($G$9-$E$9)*($G$9-$F$9))))</f>
        <v>1.05053270560553</v>
      </c>
      <c r="F944" s="51" t="n">
        <f aca="false">1+IF($G$10=$E$10,$F$10,IF(T944&lt;($F$10-$E$10)/($G$10-$E$10),$E$10+SQRT(T944*($G$10-$E$10)*($F$10-$E$10)),$G$10-SQRT((1-T944)*($G$10-$E$10)*($G$10-$F$10))))</f>
        <v>1.03650963371023</v>
      </c>
      <c r="G944" s="52" t="n">
        <f aca="false">IF($G$11=$E$11,$F$11,IF(U944&lt;($F$11-$E$11)/($G$11-$E$11),$E$11+SQRT(U944*($G$11-$E$11)*($F$11-$E$11)),$G$11-SQRT((1-U944)*($G$11-$E$11)*($G$11-$F$11))))</f>
        <v>0.105129706646015</v>
      </c>
      <c r="H944" s="53" t="n">
        <f aca="false">(('Business Case'!B11*$C944*'Business Case'!B12*$B944)-'Business Case'!B11*$C944*'Business Case'!B13*$D944-'Business Case'!B14*$E944)-MAX(0,(('Business Case'!B11*$C944*'Business Case'!B12*$B944)-'Business Case'!B11*$C944*'Business Case'!B13*$D944-'Business Case'!B14*$E944))*'Business Case'!$B$7-'Business Case'!$B$8*('Business Case'!B11*$C944*'Business Case'!B12*$B944)-'Business Case'!B15*$F944</f>
        <v>-2073019267.42046</v>
      </c>
      <c r="I944" s="53" t="n">
        <f aca="false">(('Business Case'!C11*$C944*'Business Case'!C12*$B944)-'Business Case'!C11*$C944*'Business Case'!C13*$D944-'Business Case'!C14*$E944)-MAX(0,(('Business Case'!C11*$C944*'Business Case'!C12*$B944)-'Business Case'!C11*$C944*'Business Case'!C13*$D944-'Business Case'!C14*$E944))*'Business Case'!$B$7-'Business Case'!$B$8*(('Business Case'!C11*$C944*'Business Case'!C12*$B944)-('Business Case'!B11*$C944*'Business Case'!B12*$B944))-'Business Case'!C15*$F944</f>
        <v>-3441334.22675253</v>
      </c>
      <c r="J944" s="53" t="n">
        <f aca="false">(('Business Case'!D11*$C944*'Business Case'!D12*$B944)-'Business Case'!D11*$C944*'Business Case'!D13*$D944-'Business Case'!D14*$E944)-MAX(0,(('Business Case'!D11*$C944*'Business Case'!D12*$B944)-'Business Case'!D11*$C944*'Business Case'!D13*$D944-'Business Case'!D14*$E944))*'Business Case'!$B$7-'Business Case'!$B$8*(('Business Case'!D11*$C944*'Business Case'!D12*$B944)-('Business Case'!C11*$C944*'Business Case'!C12*$B944))-'Business Case'!D15*$F944</f>
        <v>294403793.615939</v>
      </c>
      <c r="K944" s="53" t="n">
        <f aca="false">(('Business Case'!E11*$C944*'Business Case'!E12*$B944)-'Business Case'!E11*$C944*'Business Case'!E13*$D944-'Business Case'!E14*$E944)-MAX(0,(('Business Case'!E11*$C944*'Business Case'!E12*$B944)-'Business Case'!E11*$C944*'Business Case'!E13*$D944-'Business Case'!E14*$E944))*'Business Case'!$B$7-'Business Case'!$B$8*(('Business Case'!E11*$C944*'Business Case'!E12*$B944)-('Business Case'!D11*$C944*'Business Case'!D12*$B944))-'Business Case'!E15*$F944</f>
        <v>644074403.144142</v>
      </c>
      <c r="L944" s="53" t="n">
        <f aca="false">(('Business Case'!F11*$C944*'Business Case'!F12*$B944)-'Business Case'!F11*$C944*'Business Case'!F13*$D944-'Business Case'!F14*$E944)-MAX(0,(('Business Case'!F11*$C944*'Business Case'!F12*$B944)-'Business Case'!F11*$C944*'Business Case'!F13*$D944-'Business Case'!F14*$E944))*'Business Case'!$B$7-'Business Case'!$B$8*(('Business Case'!F11*$C944*'Business Case'!F12*$B944)-('Business Case'!E11*$C944*'Business Case'!E12*$B944))-'Business Case'!F15*$F944</f>
        <v>775522611.065915</v>
      </c>
      <c r="M944" s="53" t="n">
        <f aca="false">(('Business Case'!G11*$C944*'Business Case'!G12*$B944)-'Business Case'!G11*$C944*'Business Case'!G13*$D944-'Business Case'!G14*$E944)-MAX(0,(('Business Case'!G11*$C944*'Business Case'!G12*$B944)-'Business Case'!G11*$C944*'Business Case'!G13*$D944-'Business Case'!G14*$E944))*'Business Case'!$B$7-'Business Case'!$B$8*(('Business Case'!G11*$C944*'Business Case'!G12*$B944)-('Business Case'!F11*$C944*'Business Case'!F12*$B944))-'Business Case'!G15*$F944+'Business Case'!$B$8*('Business Case'!G11*$C944*'Business Case'!G12*$B944)</f>
        <v>952438353.590735</v>
      </c>
      <c r="N944" s="53" t="n">
        <f aca="false">IF(COUNT('Business Case'!B11:G11)=0,"",H944+NPV(G944,I944:M944))</f>
        <v>-260165697.390499</v>
      </c>
      <c r="P944" s="54" t="n">
        <f aca="true">RAND()</f>
        <v>0.910895064967382</v>
      </c>
      <c r="Q944" s="54" t="n">
        <f aca="true">RAND()</f>
        <v>0.182748110228344</v>
      </c>
      <c r="R944" s="54" t="n">
        <f aca="true">RAND()</f>
        <v>0.294082423051049</v>
      </c>
      <c r="S944" s="54" t="n">
        <f aca="true">RAND()</f>
        <v>0.836865785686065</v>
      </c>
      <c r="T944" s="54" t="n">
        <f aca="true">RAND()</f>
        <v>0.465418002608739</v>
      </c>
      <c r="U944" s="54" t="n">
        <f aca="true">RAND()</f>
        <v>0.631457292610727</v>
      </c>
    </row>
    <row r="945" customFormat="false" ht="15" hidden="false" customHeight="false" outlineLevel="0" collapsed="false">
      <c r="A945" s="50" t="n">
        <v>865</v>
      </c>
      <c r="B945" s="51" t="n">
        <f aca="false">1+IF($G$6=$E$6,$F$6,IF(P945&lt;($F$6-$E$6)/($G$6-$E$6),$E$6+SQRT(P945*($G$6-$E$6)*($F$6-$E$6)),$G$6-SQRT((1-P945)*($G$6-$E$6)*($G$6-$F$6))))</f>
        <v>0.994422350080451</v>
      </c>
      <c r="C945" s="51" t="n">
        <f aca="false">1+IF($G$7=$E$7,$F$7,IF(Q945&lt;($F$7-$E$7)/($G$7-$E$7),$E$7+SQRT(Q945*($G$7-$E$7)*($F$7-$E$7)),$G$7-SQRT((1-Q945)*($G$7-$E$7)*($G$7-$F$7))))</f>
        <v>1.13425056390009</v>
      </c>
      <c r="D945" s="51" t="n">
        <f aca="false">1+IF($G$8=$E$8,$F$8,IF(R945&lt;($F$8-$E$8)/($G$8-$E$8),$E$8+SQRT(R945*($G$8-$E$8)*($F$8-$E$8)),$G$8-SQRT((1-R945)*($G$8-$E$8)*($G$8-$F$8))))</f>
        <v>1.03768492291965</v>
      </c>
      <c r="E945" s="51" t="n">
        <f aca="false">1+IF($G$9=$E$9,$F$9,IF(S945&lt;($F$9-$E$9)/($G$9-$E$9),$E$9+SQRT(S945*($G$9-$E$9)*($F$9-$E$9)),$G$9-SQRT((1-S945)*($G$9-$E$9)*($G$9-$F$9))))</f>
        <v>1.03300642457921</v>
      </c>
      <c r="F945" s="51" t="n">
        <f aca="false">1+IF($G$10=$E$10,$F$10,IF(T945&lt;($F$10-$E$10)/($G$10-$E$10),$E$10+SQRT(T945*($G$10-$E$10)*($F$10-$E$10)),$G$10-SQRT((1-T945)*($G$10-$E$10)*($G$10-$F$10))))</f>
        <v>1.04690412428078</v>
      </c>
      <c r="G945" s="52" t="n">
        <f aca="false">IF($G$11=$E$11,$F$11,IF(U945&lt;($F$11-$E$11)/($G$11-$E$11),$E$11+SQRT(U945*($G$11-$E$11)*($F$11-$E$11)),$G$11-SQRT((1-U945)*($G$11-$E$11)*($G$11-$F$11))))</f>
        <v>0.105719203253258</v>
      </c>
      <c r="H945" s="53" t="n">
        <f aca="false">(('Business Case'!B11*$C945*'Business Case'!B12*$B945)-'Business Case'!B11*$C945*'Business Case'!B13*$D945-'Business Case'!B14*$E945)-MAX(0,(('Business Case'!B11*$C945*'Business Case'!B12*$B945)-'Business Case'!B11*$C945*'Business Case'!B13*$D945-'Business Case'!B14*$E945))*'Business Case'!$B$7-'Business Case'!$B$8*('Business Case'!B11*$C945*'Business Case'!B12*$B945)-'Business Case'!B15*$F945</f>
        <v>-2093808248.56155</v>
      </c>
      <c r="I945" s="53" t="n">
        <f aca="false">(('Business Case'!C11*$C945*'Business Case'!C12*$B945)-'Business Case'!C11*$C945*'Business Case'!C13*$D945-'Business Case'!C14*$E945)-MAX(0,(('Business Case'!C11*$C945*'Business Case'!C12*$B945)-'Business Case'!C11*$C945*'Business Case'!C13*$D945-'Business Case'!C14*$E945))*'Business Case'!$B$7-'Business Case'!$B$8*(('Business Case'!C11*$C945*'Business Case'!C12*$B945)-('Business Case'!B11*$C945*'Business Case'!B12*$B945))-'Business Case'!C15*$F945</f>
        <v>11268414.3663978</v>
      </c>
      <c r="J945" s="53" t="n">
        <f aca="false">(('Business Case'!D11*$C945*'Business Case'!D12*$B945)-'Business Case'!D11*$C945*'Business Case'!D13*$D945-'Business Case'!D14*$E945)-MAX(0,(('Business Case'!D11*$C945*'Business Case'!D12*$B945)-'Business Case'!D11*$C945*'Business Case'!D13*$D945-'Business Case'!D14*$E945))*'Business Case'!$B$7-'Business Case'!$B$8*(('Business Case'!D11*$C945*'Business Case'!D12*$B945)-('Business Case'!C11*$C945*'Business Case'!C12*$B945))-'Business Case'!D15*$F945</f>
        <v>332592340.667571</v>
      </c>
      <c r="K945" s="53" t="n">
        <f aca="false">(('Business Case'!E11*$C945*'Business Case'!E12*$B945)-'Business Case'!E11*$C945*'Business Case'!E13*$D945-'Business Case'!E14*$E945)-MAX(0,(('Business Case'!E11*$C945*'Business Case'!E12*$B945)-'Business Case'!E11*$C945*'Business Case'!E13*$D945-'Business Case'!E14*$E945))*'Business Case'!$B$7-'Business Case'!$B$8*(('Business Case'!E11*$C945*'Business Case'!E12*$B945)-('Business Case'!D11*$C945*'Business Case'!D12*$B945))-'Business Case'!E15*$F945</f>
        <v>706261473.182782</v>
      </c>
      <c r="L945" s="53" t="n">
        <f aca="false">(('Business Case'!F11*$C945*'Business Case'!F12*$B945)-'Business Case'!F11*$C945*'Business Case'!F13*$D945-'Business Case'!F14*$E945)-MAX(0,(('Business Case'!F11*$C945*'Business Case'!F12*$B945)-'Business Case'!F11*$C945*'Business Case'!F13*$D945-'Business Case'!F14*$E945))*'Business Case'!$B$7-'Business Case'!$B$8*(('Business Case'!F11*$C945*'Business Case'!F12*$B945)-('Business Case'!E11*$C945*'Business Case'!E12*$B945))-'Business Case'!F15*$F945</f>
        <v>852350505.904195</v>
      </c>
      <c r="M945" s="53" t="n">
        <f aca="false">(('Business Case'!G11*$C945*'Business Case'!G12*$B945)-'Business Case'!G11*$C945*'Business Case'!G13*$D945-'Business Case'!G14*$E945)-MAX(0,(('Business Case'!G11*$C945*'Business Case'!G12*$B945)-'Business Case'!G11*$C945*'Business Case'!G13*$D945-'Business Case'!G14*$E945))*'Business Case'!$B$7-'Business Case'!$B$8*(('Business Case'!G11*$C945*'Business Case'!G12*$B945)-('Business Case'!F11*$C945*'Business Case'!F12*$B945))-'Business Case'!G15*$F945+'Business Case'!$B$8*('Business Case'!G11*$C945*'Business Case'!G12*$B945)</f>
        <v>1066746320.98649</v>
      </c>
      <c r="N945" s="53" t="n">
        <f aca="false">IF(COUNT('Business Case'!B11:G11)=0,"",H945+NPV(G945,I945:M945))</f>
        <v>-73523176.863025</v>
      </c>
      <c r="P945" s="54" t="n">
        <f aca="true">RAND()</f>
        <v>0.576946478280957</v>
      </c>
      <c r="Q945" s="54" t="n">
        <f aca="true">RAND()</f>
        <v>0.995275338333995</v>
      </c>
      <c r="R945" s="54" t="n">
        <f aca="true">RAND()</f>
        <v>0.827830216508055</v>
      </c>
      <c r="S945" s="54" t="n">
        <f aca="true">RAND()</f>
        <v>0.700790723489242</v>
      </c>
      <c r="T945" s="54" t="n">
        <f aca="true">RAND()</f>
        <v>0.531233056755278</v>
      </c>
      <c r="U945" s="54" t="n">
        <f aca="true">RAND()</f>
        <v>0.660098073797077</v>
      </c>
    </row>
    <row r="946" customFormat="false" ht="15" hidden="false" customHeight="false" outlineLevel="0" collapsed="false">
      <c r="A946" s="50" t="n">
        <v>866</v>
      </c>
      <c r="B946" s="51" t="n">
        <f aca="false">1+IF($G$6=$E$6,$F$6,IF(P946&lt;($F$6-$E$6)/($G$6-$E$6),$E$6+SQRT(P946*($G$6-$E$6)*($F$6-$E$6)),$G$6-SQRT((1-P946)*($G$6-$E$6)*($G$6-$F$6))))</f>
        <v>1.00645161873888</v>
      </c>
      <c r="C946" s="51" t="n">
        <f aca="false">1+IF($G$7=$E$7,$F$7,IF(Q946&lt;($F$7-$E$7)/($G$7-$E$7),$E$7+SQRT(Q946*($G$7-$E$7)*($F$7-$E$7)),$G$7-SQRT((1-Q946)*($G$7-$E$7)*($G$7-$F$7))))</f>
        <v>0.890862883202552</v>
      </c>
      <c r="D946" s="51" t="n">
        <f aca="false">1+IF($G$8=$E$8,$F$8,IF(R946&lt;($F$8-$E$8)/($G$8-$E$8),$E$8+SQRT(R946*($G$8-$E$8)*($F$8-$E$8)),$G$8-SQRT((1-R946)*($G$8-$E$8)*($G$8-$F$8))))</f>
        <v>1.05146725549665</v>
      </c>
      <c r="E946" s="51" t="n">
        <f aca="false">1+IF($G$9=$E$9,$F$9,IF(S946&lt;($F$9-$E$9)/($G$9-$E$9),$E$9+SQRT(S946*($G$9-$E$9)*($F$9-$E$9)),$G$9-SQRT((1-S946)*($G$9-$E$9)*($G$9-$F$9))))</f>
        <v>0.978268801505669</v>
      </c>
      <c r="F946" s="51" t="n">
        <f aca="false">1+IF($G$10=$E$10,$F$10,IF(T946&lt;($F$10-$E$10)/($G$10-$E$10),$E$10+SQRT(T946*($G$10-$E$10)*($F$10-$E$10)),$G$10-SQRT((1-T946)*($G$10-$E$10)*($G$10-$F$10))))</f>
        <v>1.0730083033715</v>
      </c>
      <c r="G946" s="52" t="n">
        <f aca="false">IF($G$11=$E$11,$F$11,IF(U946&lt;($F$11-$E$11)/($G$11-$E$11),$E$11+SQRT(U946*($G$11-$E$11)*($F$11-$E$11)),$G$11-SQRT((1-U946)*($G$11-$E$11)*($G$11-$F$11))))</f>
        <v>0.102921347109923</v>
      </c>
      <c r="H946" s="53" t="n">
        <f aca="false">(('Business Case'!B11*$C946*'Business Case'!B12*$B946)-'Business Case'!B11*$C946*'Business Case'!B13*$D946-'Business Case'!B14*$E946)-MAX(0,(('Business Case'!B11*$C946*'Business Case'!B12*$B946)-'Business Case'!B11*$C946*'Business Case'!B13*$D946-'Business Case'!B14*$E946))*'Business Case'!$B$7-'Business Case'!$B$8*('Business Case'!B11*$C946*'Business Case'!B12*$B946)-'Business Case'!B15*$F946</f>
        <v>-2146016606.743</v>
      </c>
      <c r="I946" s="53" t="n">
        <f aca="false">(('Business Case'!C11*$C946*'Business Case'!C12*$B946)-'Business Case'!C11*$C946*'Business Case'!C13*$D946-'Business Case'!C14*$E946)-MAX(0,(('Business Case'!C11*$C946*'Business Case'!C12*$B946)-'Business Case'!C11*$C946*'Business Case'!C13*$D946-'Business Case'!C14*$E946))*'Business Case'!$B$7-'Business Case'!$B$8*(('Business Case'!C11*$C946*'Business Case'!C12*$B946)-('Business Case'!B11*$C946*'Business Case'!B12*$B946))-'Business Case'!C15*$F946</f>
        <v>-38024666.6707725</v>
      </c>
      <c r="J946" s="53" t="n">
        <f aca="false">(('Business Case'!D11*$C946*'Business Case'!D12*$B946)-'Business Case'!D11*$C946*'Business Case'!D13*$D946-'Business Case'!D14*$E946)-MAX(0,(('Business Case'!D11*$C946*'Business Case'!D12*$B946)-'Business Case'!D11*$C946*'Business Case'!D13*$D946-'Business Case'!D14*$E946))*'Business Case'!$B$7-'Business Case'!$B$8*(('Business Case'!D11*$C946*'Business Case'!D12*$B946)-('Business Case'!C11*$C946*'Business Case'!C12*$B946))-'Business Case'!D15*$F946</f>
        <v>216841603.232598</v>
      </c>
      <c r="K946" s="53" t="n">
        <f aca="false">(('Business Case'!E11*$C946*'Business Case'!E12*$B946)-'Business Case'!E11*$C946*'Business Case'!E13*$D946-'Business Case'!E14*$E946)-MAX(0,(('Business Case'!E11*$C946*'Business Case'!E12*$B946)-'Business Case'!E11*$C946*'Business Case'!E13*$D946-'Business Case'!E14*$E946))*'Business Case'!$B$7-'Business Case'!$B$8*(('Business Case'!E11*$C946*'Business Case'!E12*$B946)-('Business Case'!D11*$C946*'Business Case'!D12*$B946))-'Business Case'!E15*$F946</f>
        <v>525358288.304544</v>
      </c>
      <c r="L946" s="53" t="n">
        <f aca="false">(('Business Case'!F11*$C946*'Business Case'!F12*$B946)-'Business Case'!F11*$C946*'Business Case'!F13*$D946-'Business Case'!F14*$E946)-MAX(0,(('Business Case'!F11*$C946*'Business Case'!F12*$B946)-'Business Case'!F11*$C946*'Business Case'!F13*$D946-'Business Case'!F14*$E946))*'Business Case'!$B$7-'Business Case'!$B$8*(('Business Case'!F11*$C946*'Business Case'!F12*$B946)-('Business Case'!E11*$C946*'Business Case'!E12*$B946))-'Business Case'!F15*$F946</f>
        <v>641300566.714259</v>
      </c>
      <c r="M946" s="53" t="n">
        <f aca="false">(('Business Case'!G11*$C946*'Business Case'!G12*$B946)-'Business Case'!G11*$C946*'Business Case'!G13*$D946-'Business Case'!G14*$E946)-MAX(0,(('Business Case'!G11*$C946*'Business Case'!G12*$B946)-'Business Case'!G11*$C946*'Business Case'!G13*$D946-'Business Case'!G14*$E946))*'Business Case'!$B$7-'Business Case'!$B$8*(('Business Case'!G11*$C946*'Business Case'!G12*$B946)-('Business Case'!F11*$C946*'Business Case'!F12*$B946))-'Business Case'!G15*$F946+'Business Case'!$B$8*('Business Case'!G11*$C946*'Business Case'!G12*$B946)</f>
        <v>811728269.811511</v>
      </c>
      <c r="N946" s="53" t="n">
        <f aca="false">IF(COUNT('Business Case'!B11:G11)=0,"",H946+NPV(G946,I946:M946))</f>
        <v>-679877618.821385</v>
      </c>
      <c r="P946" s="54" t="n">
        <f aca="true">RAND()</f>
        <v>0.765522107241321</v>
      </c>
      <c r="Q946" s="54" t="n">
        <f aca="true">RAND()</f>
        <v>0.11794376491258</v>
      </c>
      <c r="R946" s="54" t="n">
        <f aca="true">RAND()</f>
        <v>0.921719470298731</v>
      </c>
      <c r="S946" s="54" t="n">
        <f aca="true">RAND()</f>
        <v>0.106550018475591</v>
      </c>
      <c r="T946" s="54" t="n">
        <f aca="true">RAND()</f>
        <v>0.677462179748302</v>
      </c>
      <c r="U946" s="54" t="n">
        <f aca="true">RAND()</f>
        <v>0.513866025767112</v>
      </c>
    </row>
    <row r="947" customFormat="false" ht="15" hidden="false" customHeight="false" outlineLevel="0" collapsed="false">
      <c r="A947" s="50" t="n">
        <v>867</v>
      </c>
      <c r="B947" s="51" t="n">
        <f aca="false">1+IF($G$6=$E$6,$F$6,IF(P947&lt;($F$6-$E$6)/($G$6-$E$6),$E$6+SQRT(P947*($G$6-$E$6)*($F$6-$E$6)),$G$6-SQRT((1-P947)*($G$6-$E$6)*($G$6-$F$6))))</f>
        <v>0.981006793838022</v>
      </c>
      <c r="C947" s="51" t="n">
        <f aca="false">1+IF($G$7=$E$7,$F$7,IF(Q947&lt;($F$7-$E$7)/($G$7-$E$7),$E$7+SQRT(Q947*($G$7-$E$7)*($F$7-$E$7)),$G$7-SQRT((1-Q947)*($G$7-$E$7)*($G$7-$F$7))))</f>
        <v>0.914169892844711</v>
      </c>
      <c r="D947" s="51" t="n">
        <f aca="false">1+IF($G$8=$E$8,$F$8,IF(R947&lt;($F$8-$E$8)/($G$8-$E$8),$E$8+SQRT(R947*($G$8-$E$8)*($F$8-$E$8)),$G$8-SQRT((1-R947)*($G$8-$E$8)*($G$8-$F$8))))</f>
        <v>0.959629816582284</v>
      </c>
      <c r="E947" s="51" t="n">
        <f aca="false">1+IF($G$9=$E$9,$F$9,IF(S947&lt;($F$9-$E$9)/($G$9-$E$9),$E$9+SQRT(S947*($G$9-$E$9)*($F$9-$E$9)),$G$9-SQRT((1-S947)*($G$9-$E$9)*($G$9-$F$9))))</f>
        <v>1.0441242727682</v>
      </c>
      <c r="F947" s="51" t="n">
        <f aca="false">1+IF($G$10=$E$10,$F$10,IF(T947&lt;($F$10-$E$10)/($G$10-$E$10),$E$10+SQRT(T947*($G$10-$E$10)*($F$10-$E$10)),$G$10-SQRT((1-T947)*($G$10-$E$10)*($G$10-$F$10))))</f>
        <v>1.00246292526496</v>
      </c>
      <c r="G947" s="52" t="n">
        <f aca="false">IF($G$11=$E$11,$F$11,IF(U947&lt;($F$11-$E$11)/($G$11-$E$11),$E$11+SQRT(U947*($G$11-$E$11)*($F$11-$E$11)),$G$11-SQRT((1-U947)*($G$11-$E$11)*($G$11-$F$11))))</f>
        <v>0.113059748272892</v>
      </c>
      <c r="H947" s="53" t="n">
        <f aca="false">(('Business Case'!B11*$C947*'Business Case'!B12*$B947)-'Business Case'!B11*$C947*'Business Case'!B13*$D947-'Business Case'!B14*$E947)-MAX(0,(('Business Case'!B11*$C947*'Business Case'!B12*$B947)-'Business Case'!B11*$C947*'Business Case'!B13*$D947-'Business Case'!B14*$E947))*'Business Case'!$B$7-'Business Case'!$B$8*('Business Case'!B11*$C947*'Business Case'!B12*$B947)-'Business Case'!B15*$F947</f>
        <v>-2004925850.52991</v>
      </c>
      <c r="I947" s="53" t="n">
        <f aca="false">(('Business Case'!C11*$C947*'Business Case'!C12*$B947)-'Business Case'!C11*$C947*'Business Case'!C13*$D947-'Business Case'!C14*$E947)-MAX(0,(('Business Case'!C11*$C947*'Business Case'!C12*$B947)-'Business Case'!C11*$C947*'Business Case'!C13*$D947-'Business Case'!C14*$E947))*'Business Case'!$B$7-'Business Case'!$B$8*(('Business Case'!C11*$C947*'Business Case'!C12*$B947)-('Business Case'!B11*$C947*'Business Case'!B12*$B947))-'Business Case'!C15*$F947</f>
        <v>-9751169.69364572</v>
      </c>
      <c r="J947" s="53" t="n">
        <f aca="false">(('Business Case'!D11*$C947*'Business Case'!D12*$B947)-'Business Case'!D11*$C947*'Business Case'!D13*$D947-'Business Case'!D14*$E947)-MAX(0,(('Business Case'!D11*$C947*'Business Case'!D12*$B947)-'Business Case'!D11*$C947*'Business Case'!D13*$D947-'Business Case'!D14*$E947))*'Business Case'!$B$7-'Business Case'!$B$8*(('Business Case'!D11*$C947*'Business Case'!D12*$B947)-('Business Case'!C11*$C947*'Business Case'!C12*$B947))-'Business Case'!D15*$F947</f>
        <v>275708893.158094</v>
      </c>
      <c r="K947" s="53" t="n">
        <f aca="false">(('Business Case'!E11*$C947*'Business Case'!E12*$B947)-'Business Case'!E11*$C947*'Business Case'!E13*$D947-'Business Case'!E14*$E947)-MAX(0,(('Business Case'!E11*$C947*'Business Case'!E12*$B947)-'Business Case'!E11*$C947*'Business Case'!E13*$D947-'Business Case'!E14*$E947))*'Business Case'!$B$7-'Business Case'!$B$8*(('Business Case'!E11*$C947*'Business Case'!E12*$B947)-('Business Case'!D11*$C947*'Business Case'!D12*$B947))-'Business Case'!E15*$F947</f>
        <v>611292102.273081</v>
      </c>
      <c r="L947" s="53" t="n">
        <f aca="false">(('Business Case'!F11*$C947*'Business Case'!F12*$B947)-'Business Case'!F11*$C947*'Business Case'!F13*$D947-'Business Case'!F14*$E947)-MAX(0,(('Business Case'!F11*$C947*'Business Case'!F12*$B947)-'Business Case'!F11*$C947*'Business Case'!F13*$D947-'Business Case'!F14*$E947))*'Business Case'!$B$7-'Business Case'!$B$8*(('Business Case'!F11*$C947*'Business Case'!F12*$B947)-('Business Case'!E11*$C947*'Business Case'!E12*$B947))-'Business Case'!F15*$F947</f>
        <v>737439102.177829</v>
      </c>
      <c r="M947" s="53" t="n">
        <f aca="false">(('Business Case'!G11*$C947*'Business Case'!G12*$B947)-'Business Case'!G11*$C947*'Business Case'!G13*$D947-'Business Case'!G14*$E947)-MAX(0,(('Business Case'!G11*$C947*'Business Case'!G12*$B947)-'Business Case'!G11*$C947*'Business Case'!G13*$D947-'Business Case'!G14*$E947))*'Business Case'!$B$7-'Business Case'!$B$8*(('Business Case'!G11*$C947*'Business Case'!G12*$B947)-('Business Case'!F11*$C947*'Business Case'!F12*$B947))-'Business Case'!G15*$F947+'Business Case'!$B$8*('Business Case'!G11*$C947*'Business Case'!G12*$B947)</f>
        <v>907904153.092416</v>
      </c>
      <c r="N947" s="53" t="n">
        <f aca="false">IF(COUNT('Business Case'!B11:G11)=0,"",H947+NPV(G947,I947:M947))</f>
        <v>-335961691.367067</v>
      </c>
      <c r="P947" s="54" t="n">
        <f aca="true">RAND()</f>
        <v>0.387690509832798</v>
      </c>
      <c r="Q947" s="54" t="n">
        <f aca="true">RAND()</f>
        <v>0.186210920459611</v>
      </c>
      <c r="R947" s="54" t="n">
        <f aca="true">RAND()</f>
        <v>0.0142666719089897</v>
      </c>
      <c r="S947" s="54" t="n">
        <f aca="true">RAND()</f>
        <v>0.791860207087854</v>
      </c>
      <c r="T947" s="54" t="n">
        <f aca="true">RAND()</f>
        <v>0.219582082102438</v>
      </c>
      <c r="U947" s="54" t="n">
        <f aca="true">RAND()</f>
        <v>0.919721509940613</v>
      </c>
    </row>
    <row r="948" customFormat="false" ht="15" hidden="false" customHeight="false" outlineLevel="0" collapsed="false">
      <c r="A948" s="50" t="n">
        <v>868</v>
      </c>
      <c r="B948" s="51" t="n">
        <f aca="false">1+IF($G$6=$E$6,$F$6,IF(P948&lt;($F$6-$E$6)/($G$6-$E$6),$E$6+SQRT(P948*($G$6-$E$6)*($F$6-$E$6)),$G$6-SQRT((1-P948)*($G$6-$E$6)*($G$6-$F$6))))</f>
        <v>0.974096821127272</v>
      </c>
      <c r="C948" s="51" t="n">
        <f aca="false">1+IF($G$7=$E$7,$F$7,IF(Q948&lt;($F$7-$E$7)/($G$7-$E$7),$E$7+SQRT(Q948*($G$7-$E$7)*($F$7-$E$7)),$G$7-SQRT((1-Q948)*($G$7-$E$7)*($G$7-$F$7))))</f>
        <v>0.992835724909649</v>
      </c>
      <c r="D948" s="51" t="n">
        <f aca="false">1+IF($G$8=$E$8,$F$8,IF(R948&lt;($F$8-$E$8)/($G$8-$E$8),$E$8+SQRT(R948*($G$8-$E$8)*($F$8-$E$8)),$G$8-SQRT((1-R948)*($G$8-$E$8)*($G$8-$F$8))))</f>
        <v>1.02848603132521</v>
      </c>
      <c r="E948" s="51" t="n">
        <f aca="false">1+IF($G$9=$E$9,$F$9,IF(S948&lt;($F$9-$E$9)/($G$9-$E$9),$E$9+SQRT(S948*($G$9-$E$9)*($F$9-$E$9)),$G$9-SQRT((1-S948)*($G$9-$E$9)*($G$9-$F$9))))</f>
        <v>0.988264603388753</v>
      </c>
      <c r="F948" s="51" t="n">
        <f aca="false">1+IF($G$10=$E$10,$F$10,IF(T948&lt;($F$10-$E$10)/($G$10-$E$10),$E$10+SQRT(T948*($G$10-$E$10)*($F$10-$E$10)),$G$10-SQRT((1-T948)*($G$10-$E$10)*($G$10-$F$10))))</f>
        <v>0.965505507151214</v>
      </c>
      <c r="G948" s="52" t="n">
        <f aca="false">IF($G$11=$E$11,$F$11,IF(U948&lt;($F$11-$E$11)/($G$11-$E$11),$E$11+SQRT(U948*($G$11-$E$11)*($F$11-$E$11)),$G$11-SQRT((1-U948)*($G$11-$E$11)*($G$11-$F$11))))</f>
        <v>0.0978184471367343</v>
      </c>
      <c r="H948" s="53" t="n">
        <f aca="false">(('Business Case'!B11*$C948*'Business Case'!B12*$B948)-'Business Case'!B11*$C948*'Business Case'!B13*$D948-'Business Case'!B14*$E948)-MAX(0,(('Business Case'!B11*$C948*'Business Case'!B12*$B948)-'Business Case'!B11*$C948*'Business Case'!B13*$D948-'Business Case'!B14*$E948))*'Business Case'!$B$7-'Business Case'!$B$8*('Business Case'!B11*$C948*'Business Case'!B12*$B948)-'Business Case'!B15*$F948</f>
        <v>-1931011014.30243</v>
      </c>
      <c r="I948" s="53" t="n">
        <f aca="false">(('Business Case'!C11*$C948*'Business Case'!C12*$B948)-'Business Case'!C11*$C948*'Business Case'!C13*$D948-'Business Case'!C14*$E948)-MAX(0,(('Business Case'!C11*$C948*'Business Case'!C12*$B948)-'Business Case'!C11*$C948*'Business Case'!C13*$D948-'Business Case'!C14*$E948))*'Business Case'!$B$7-'Business Case'!$B$8*(('Business Case'!C11*$C948*'Business Case'!C12*$B948)-('Business Case'!B11*$C948*'Business Case'!B12*$B948))-'Business Case'!C15*$F948</f>
        <v>-17808365.0749583</v>
      </c>
      <c r="J948" s="53" t="n">
        <f aca="false">(('Business Case'!D11*$C948*'Business Case'!D12*$B948)-'Business Case'!D11*$C948*'Business Case'!D13*$D948-'Business Case'!D14*$E948)-MAX(0,(('Business Case'!D11*$C948*'Business Case'!D12*$B948)-'Business Case'!D11*$C948*'Business Case'!D13*$D948-'Business Case'!D14*$E948))*'Business Case'!$B$7-'Business Case'!$B$8*(('Business Case'!D11*$C948*'Business Case'!D12*$B948)-('Business Case'!C11*$C948*'Business Case'!C12*$B948))-'Business Case'!D15*$F948</f>
        <v>251600450.691196</v>
      </c>
      <c r="K948" s="53" t="n">
        <f aca="false">(('Business Case'!E11*$C948*'Business Case'!E12*$B948)-'Business Case'!E11*$C948*'Business Case'!E13*$D948-'Business Case'!E14*$E948)-MAX(0,(('Business Case'!E11*$C948*'Business Case'!E12*$B948)-'Business Case'!E11*$C948*'Business Case'!E13*$D948-'Business Case'!E14*$E948))*'Business Case'!$B$7-'Business Case'!$B$8*(('Business Case'!E11*$C948*'Business Case'!E12*$B948)-('Business Case'!D11*$C948*'Business Case'!D12*$B948))-'Business Case'!E15*$F948</f>
        <v>569284541.814911</v>
      </c>
      <c r="L948" s="53" t="n">
        <f aca="false">(('Business Case'!F11*$C948*'Business Case'!F12*$B948)-'Business Case'!F11*$C948*'Business Case'!F13*$D948-'Business Case'!F14*$E948)-MAX(0,(('Business Case'!F11*$C948*'Business Case'!F12*$B948)-'Business Case'!F11*$C948*'Business Case'!F13*$D948-'Business Case'!F14*$E948))*'Business Case'!$B$7-'Business Case'!$B$8*(('Business Case'!F11*$C948*'Business Case'!F12*$B948)-('Business Case'!E11*$C948*'Business Case'!E12*$B948))-'Business Case'!F15*$F948</f>
        <v>692511082.753035</v>
      </c>
      <c r="M948" s="53" t="n">
        <f aca="false">(('Business Case'!G11*$C948*'Business Case'!G12*$B948)-'Business Case'!G11*$C948*'Business Case'!G13*$D948-'Business Case'!G14*$E948)-MAX(0,(('Business Case'!G11*$C948*'Business Case'!G12*$B948)-'Business Case'!G11*$C948*'Business Case'!G13*$D948-'Business Case'!G14*$E948))*'Business Case'!$B$7-'Business Case'!$B$8*(('Business Case'!G11*$C948*'Business Case'!G12*$B948)-('Business Case'!F11*$C948*'Business Case'!F12*$B948))-'Business Case'!G15*$F948+'Business Case'!$B$8*('Business Case'!G11*$C948*'Business Case'!G12*$B948)</f>
        <v>876340895.674774</v>
      </c>
      <c r="N948" s="53" t="n">
        <f aca="false">IF(COUNT('Business Case'!B11:G11)=0,"",H948+NPV(G948,I948:M948))</f>
        <v>-281872292.654038</v>
      </c>
      <c r="P948" s="54" t="n">
        <f aca="true">RAND()</f>
        <v>0.304840214174594</v>
      </c>
      <c r="Q948" s="54" t="n">
        <f aca="true">RAND()</f>
        <v>0.531223097163286</v>
      </c>
      <c r="R948" s="54" t="n">
        <f aca="true">RAND()</f>
        <v>0.744837599170435</v>
      </c>
      <c r="S948" s="54" t="n">
        <f aca="true">RAND()</f>
        <v>0.19522398299981</v>
      </c>
      <c r="T948" s="54" t="n">
        <f aca="true">RAND()</f>
        <v>0.0192336601613076</v>
      </c>
      <c r="U948" s="54" t="n">
        <f aca="true">RAND()</f>
        <v>0.203760385433029</v>
      </c>
    </row>
    <row r="949" customFormat="false" ht="15" hidden="false" customHeight="false" outlineLevel="0" collapsed="false">
      <c r="A949" s="50" t="n">
        <v>869</v>
      </c>
      <c r="B949" s="51" t="n">
        <f aca="false">1+IF($G$6=$E$6,$F$6,IF(P949&lt;($F$6-$E$6)/($G$6-$E$6),$E$6+SQRT(P949*($G$6-$E$6)*($F$6-$E$6)),$G$6-SQRT((1-P949)*($G$6-$E$6)*($G$6-$F$6))))</f>
        <v>0.97054890903334</v>
      </c>
      <c r="C949" s="51" t="n">
        <f aca="false">1+IF($G$7=$E$7,$F$7,IF(Q949&lt;($F$7-$E$7)/($G$7-$E$7),$E$7+SQRT(Q949*($G$7-$E$7)*($F$7-$E$7)),$G$7-SQRT((1-Q949)*($G$7-$E$7)*($G$7-$F$7))))</f>
        <v>0.889211682074713</v>
      </c>
      <c r="D949" s="51" t="n">
        <f aca="false">1+IF($G$8=$E$8,$F$8,IF(R949&lt;($F$8-$E$8)/($G$8-$E$8),$E$8+SQRT(R949*($G$8-$E$8)*($F$8-$E$8)),$G$8-SQRT((1-R949)*($G$8-$E$8)*($G$8-$F$8))))</f>
        <v>0.971541629777013</v>
      </c>
      <c r="E949" s="51" t="n">
        <f aca="false">1+IF($G$9=$E$9,$F$9,IF(S949&lt;($F$9-$E$9)/($G$9-$E$9),$E$9+SQRT(S949*($G$9-$E$9)*($F$9-$E$9)),$G$9-SQRT((1-S949)*($G$9-$E$9)*($G$9-$F$9))))</f>
        <v>0.961264315921916</v>
      </c>
      <c r="F949" s="51" t="n">
        <f aca="false">1+IF($G$10=$E$10,$F$10,IF(T949&lt;($F$10-$E$10)/($G$10-$E$10),$E$10+SQRT(T949*($G$10-$E$10)*($F$10-$E$10)),$G$10-SQRT((1-T949)*($G$10-$E$10)*($G$10-$F$10))))</f>
        <v>1.14301844334216</v>
      </c>
      <c r="G949" s="52" t="n">
        <f aca="false">IF($G$11=$E$11,$F$11,IF(U949&lt;($F$11-$E$11)/($G$11-$E$11),$E$11+SQRT(U949*($G$11-$E$11)*($F$11-$E$11)),$G$11-SQRT((1-U949)*($G$11-$E$11)*($G$11-$F$11))))</f>
        <v>0.1103443145415</v>
      </c>
      <c r="H949" s="53" t="n">
        <f aca="false">(('Business Case'!B11*$C949*'Business Case'!B12*$B949)-'Business Case'!B11*$C949*'Business Case'!B13*$D949-'Business Case'!B14*$E949)-MAX(0,(('Business Case'!B11*$C949*'Business Case'!B12*$B949)-'Business Case'!B11*$C949*'Business Case'!B13*$D949-'Business Case'!B14*$E949))*'Business Case'!$B$7-'Business Case'!$B$8*('Business Case'!B11*$C949*'Business Case'!B12*$B949)-'Business Case'!B15*$F949</f>
        <v>-2286036886.68431</v>
      </c>
      <c r="I949" s="53" t="n">
        <f aca="false">(('Business Case'!C11*$C949*'Business Case'!C12*$B949)-'Business Case'!C11*$C949*'Business Case'!C13*$D949-'Business Case'!C14*$E949)-MAX(0,(('Business Case'!C11*$C949*'Business Case'!C12*$B949)-'Business Case'!C11*$C949*'Business Case'!C13*$D949-'Business Case'!C14*$E949))*'Business Case'!$B$7-'Business Case'!$B$8*(('Business Case'!C11*$C949*'Business Case'!C12*$B949)-('Business Case'!B11*$C949*'Business Case'!B12*$B949))-'Business Case'!C15*$F949</f>
        <v>-31105284.3134138</v>
      </c>
      <c r="J949" s="53" t="n">
        <f aca="false">(('Business Case'!D11*$C949*'Business Case'!D12*$B949)-'Business Case'!D11*$C949*'Business Case'!D13*$D949-'Business Case'!D14*$E949)-MAX(0,(('Business Case'!D11*$C949*'Business Case'!D12*$B949)-'Business Case'!D11*$C949*'Business Case'!D13*$D949-'Business Case'!D14*$E949))*'Business Case'!$B$7-'Business Case'!$B$8*(('Business Case'!D11*$C949*'Business Case'!D12*$B949)-('Business Case'!C11*$C949*'Business Case'!C12*$B949))-'Business Case'!D15*$F949</f>
        <v>233522195.935755</v>
      </c>
      <c r="K949" s="53" t="n">
        <f aca="false">(('Business Case'!E11*$C949*'Business Case'!E12*$B949)-'Business Case'!E11*$C949*'Business Case'!E13*$D949-'Business Case'!E14*$E949)-MAX(0,(('Business Case'!E11*$C949*'Business Case'!E12*$B949)-'Business Case'!E11*$C949*'Business Case'!E13*$D949-'Business Case'!E14*$E949))*'Business Case'!$B$7-'Business Case'!$B$8*(('Business Case'!E11*$C949*'Business Case'!E12*$B949)-('Business Case'!D11*$C949*'Business Case'!D12*$B949))-'Business Case'!E15*$F949</f>
        <v>555300598.352031</v>
      </c>
      <c r="L949" s="53" t="n">
        <f aca="false">(('Business Case'!F11*$C949*'Business Case'!F12*$B949)-'Business Case'!F11*$C949*'Business Case'!F13*$D949-'Business Case'!F14*$E949)-MAX(0,(('Business Case'!F11*$C949*'Business Case'!F12*$B949)-'Business Case'!F11*$C949*'Business Case'!F13*$D949-'Business Case'!F14*$E949))*'Business Case'!$B$7-'Business Case'!$B$8*(('Business Case'!F11*$C949*'Business Case'!F12*$B949)-('Business Case'!E11*$C949*'Business Case'!E12*$B949))-'Business Case'!F15*$F949</f>
        <v>673335848.104601</v>
      </c>
      <c r="M949" s="53" t="n">
        <f aca="false">(('Business Case'!G11*$C949*'Business Case'!G12*$B949)-'Business Case'!G11*$C949*'Business Case'!G13*$D949-'Business Case'!G14*$E949)-MAX(0,(('Business Case'!G11*$C949*'Business Case'!G12*$B949)-'Business Case'!G11*$C949*'Business Case'!G13*$D949-'Business Case'!G14*$E949))*'Business Case'!$B$7-'Business Case'!$B$8*(('Business Case'!G11*$C949*'Business Case'!G12*$B949)-('Business Case'!F11*$C949*'Business Case'!F12*$B949))-'Business Case'!G15*$F949+'Business Case'!$B$8*('Business Case'!G11*$C949*'Business Case'!G12*$B949)</f>
        <v>837379341.286926</v>
      </c>
      <c r="N949" s="53" t="n">
        <f aca="false">IF(COUNT('Business Case'!B11:G11)=0,"",H949+NPV(G949,I949:M949))</f>
        <v>-779812129.572312</v>
      </c>
      <c r="P949" s="54" t="n">
        <f aca="true">RAND()</f>
        <v>0.26616585463134</v>
      </c>
      <c r="Q949" s="54" t="n">
        <f aca="true">RAND()</f>
        <v>0.113696060265709</v>
      </c>
      <c r="R949" s="54" t="n">
        <f aca="true">RAND()</f>
        <v>0.0713910482230584</v>
      </c>
      <c r="S949" s="54" t="n">
        <f aca="true">RAND()</f>
        <v>0.0169179750918298</v>
      </c>
      <c r="T949" s="54" t="n">
        <f aca="true">RAND()</f>
        <v>0.935062044016979</v>
      </c>
      <c r="U949" s="54" t="n">
        <f aca="true">RAND()</f>
        <v>0.844612897210857</v>
      </c>
    </row>
    <row r="950" customFormat="false" ht="15" hidden="false" customHeight="false" outlineLevel="0" collapsed="false">
      <c r="A950" s="50" t="n">
        <v>870</v>
      </c>
      <c r="B950" s="51" t="n">
        <f aca="false">1+IF($G$6=$E$6,$F$6,IF(P950&lt;($F$6-$E$6)/($G$6-$E$6),$E$6+SQRT(P950*($G$6-$E$6)*($F$6-$E$6)),$G$6-SQRT((1-P950)*($G$6-$E$6)*($G$6-$F$6))))</f>
        <v>0.974387671165774</v>
      </c>
      <c r="C950" s="51" t="n">
        <f aca="false">1+IF($G$7=$E$7,$F$7,IF(Q950&lt;($F$7-$E$7)/($G$7-$E$7),$E$7+SQRT(Q950*($G$7-$E$7)*($F$7-$E$7)),$G$7-SQRT((1-Q950)*($G$7-$E$7)*($G$7-$F$7))))</f>
        <v>1.12336107592354</v>
      </c>
      <c r="D950" s="51" t="n">
        <f aca="false">1+IF($G$8=$E$8,$F$8,IF(R950&lt;($F$8-$E$8)/($G$8-$E$8),$E$8+SQRT(R950*($G$8-$E$8)*($F$8-$E$8)),$G$8-SQRT((1-R950)*($G$8-$E$8)*($G$8-$F$8))))</f>
        <v>1.01126190212251</v>
      </c>
      <c r="E950" s="51" t="n">
        <f aca="false">1+IF($G$9=$E$9,$F$9,IF(S950&lt;($F$9-$E$9)/($G$9-$E$9),$E$9+SQRT(S950*($G$9-$E$9)*($F$9-$E$9)),$G$9-SQRT((1-S950)*($G$9-$E$9)*($G$9-$F$9))))</f>
        <v>1.01187608633025</v>
      </c>
      <c r="F950" s="51" t="n">
        <f aca="false">1+IF($G$10=$E$10,$F$10,IF(T950&lt;($F$10-$E$10)/($G$10-$E$10),$E$10+SQRT(T950*($G$10-$E$10)*($F$10-$E$10)),$G$10-SQRT((1-T950)*($G$10-$E$10)*($G$10-$F$10))))</f>
        <v>1.04777841796319</v>
      </c>
      <c r="G950" s="52" t="n">
        <f aca="false">IF($G$11=$E$11,$F$11,IF(U950&lt;($F$11-$E$11)/($G$11-$E$11),$E$11+SQRT(U950*($G$11-$E$11)*($F$11-$E$11)),$G$11-SQRT((1-U950)*($G$11-$E$11)*($G$11-$F$11))))</f>
        <v>0.0989788177148309</v>
      </c>
      <c r="H950" s="53" t="n">
        <f aca="false">(('Business Case'!B11*$C950*'Business Case'!B12*$B950)-'Business Case'!B11*$C950*'Business Case'!B13*$D950-'Business Case'!B14*$E950)-MAX(0,(('Business Case'!B11*$C950*'Business Case'!B12*$B950)-'Business Case'!B11*$C950*'Business Case'!B13*$D950-'Business Case'!B14*$E950))*'Business Case'!$B$7-'Business Case'!$B$8*('Business Case'!B11*$C950*'Business Case'!B12*$B950)-'Business Case'!B15*$F950</f>
        <v>-2095556835.92639</v>
      </c>
      <c r="I950" s="53" t="n">
        <f aca="false">(('Business Case'!C11*$C950*'Business Case'!C12*$B950)-'Business Case'!C11*$C950*'Business Case'!C13*$D950-'Business Case'!C14*$E950)-MAX(0,(('Business Case'!C11*$C950*'Business Case'!C12*$B950)-'Business Case'!C11*$C950*'Business Case'!C13*$D950-'Business Case'!C14*$E950))*'Business Case'!$B$7-'Business Case'!$B$8*(('Business Case'!C11*$C950*'Business Case'!C12*$B950)-('Business Case'!B11*$C950*'Business Case'!B12*$B950))-'Business Case'!C15*$F950</f>
        <v>9589831.18381658</v>
      </c>
      <c r="J950" s="53" t="n">
        <f aca="false">(('Business Case'!D11*$C950*'Business Case'!D12*$B950)-'Business Case'!D11*$C950*'Business Case'!D13*$D950-'Business Case'!D14*$E950)-MAX(0,(('Business Case'!D11*$C950*'Business Case'!D12*$B950)-'Business Case'!D11*$C950*'Business Case'!D13*$D950-'Business Case'!D14*$E950))*'Business Case'!$B$7-'Business Case'!$B$8*(('Business Case'!D11*$C950*'Business Case'!D12*$B950)-('Business Case'!C11*$C950*'Business Case'!C12*$B950))-'Business Case'!D15*$F950</f>
        <v>324589786.868557</v>
      </c>
      <c r="K950" s="53" t="n">
        <f aca="false">(('Business Case'!E11*$C950*'Business Case'!E12*$B950)-'Business Case'!E11*$C950*'Business Case'!E13*$D950-'Business Case'!E14*$E950)-MAX(0,(('Business Case'!E11*$C950*'Business Case'!E12*$B950)-'Business Case'!E11*$C950*'Business Case'!E13*$D950-'Business Case'!E14*$E950))*'Business Case'!$B$7-'Business Case'!$B$8*(('Business Case'!E11*$C950*'Business Case'!E12*$B950)-('Business Case'!D11*$C950*'Business Case'!D12*$B950))-'Business Case'!E15*$F950</f>
        <v>691978663.451457</v>
      </c>
      <c r="L950" s="53" t="n">
        <f aca="false">(('Business Case'!F11*$C950*'Business Case'!F12*$B950)-'Business Case'!F11*$C950*'Business Case'!F13*$D950-'Business Case'!F14*$E950)-MAX(0,(('Business Case'!F11*$C950*'Business Case'!F12*$B950)-'Business Case'!F11*$C950*'Business Case'!F13*$D950-'Business Case'!F14*$E950))*'Business Case'!$B$7-'Business Case'!$B$8*(('Business Case'!F11*$C950*'Business Case'!F12*$B950)-('Business Case'!E11*$C950*'Business Case'!E12*$B950))-'Business Case'!F15*$F950</f>
        <v>834807650.831998</v>
      </c>
      <c r="M950" s="53" t="n">
        <f aca="false">(('Business Case'!G11*$C950*'Business Case'!G12*$B950)-'Business Case'!G11*$C950*'Business Case'!G13*$D950-'Business Case'!G14*$E950)-MAX(0,(('Business Case'!G11*$C950*'Business Case'!G12*$B950)-'Business Case'!G11*$C950*'Business Case'!G13*$D950-'Business Case'!G14*$E950))*'Business Case'!$B$7-'Business Case'!$B$8*(('Business Case'!G11*$C950*'Business Case'!G12*$B950)-('Business Case'!F11*$C950*'Business Case'!F12*$B950))-'Business Case'!G15*$F950+'Business Case'!$B$8*('Business Case'!G11*$C950*'Business Case'!G12*$B950)</f>
        <v>1042867162.66962</v>
      </c>
      <c r="N950" s="53" t="n">
        <f aca="false">IF(COUNT('Business Case'!B11:G11)=0,"",H950+NPV(G950,I950:M950))</f>
        <v>-73871838.3447754</v>
      </c>
      <c r="P950" s="54" t="n">
        <f aca="true">RAND()</f>
        <v>0.308126955712119</v>
      </c>
      <c r="Q950" s="54" t="n">
        <f aca="true">RAND()</f>
        <v>0.986483194743785</v>
      </c>
      <c r="R950" s="54" t="n">
        <f aca="true">RAND()</f>
        <v>0.545680182710002</v>
      </c>
      <c r="S950" s="54" t="n">
        <f aca="true">RAND()</f>
        <v>0.482278389301794</v>
      </c>
      <c r="T950" s="54" t="n">
        <f aca="true">RAND()</f>
        <v>0.536571799244243</v>
      </c>
      <c r="U950" s="54" t="n">
        <f aca="true">RAND()</f>
        <v>0.268730558520535</v>
      </c>
    </row>
    <row r="951" customFormat="false" ht="15" hidden="false" customHeight="false" outlineLevel="0" collapsed="false">
      <c r="A951" s="50" t="n">
        <v>871</v>
      </c>
      <c r="B951" s="51" t="n">
        <f aca="false">1+IF($G$6=$E$6,$F$6,IF(P951&lt;($F$6-$E$6)/($G$6-$E$6),$E$6+SQRT(P951*($G$6-$E$6)*($F$6-$E$6)),$G$6-SQRT((1-P951)*($G$6-$E$6)*($G$6-$F$6))))</f>
        <v>0.985556781446014</v>
      </c>
      <c r="C951" s="51" t="n">
        <f aca="false">1+IF($G$7=$E$7,$F$7,IF(Q951&lt;($F$7-$E$7)/($G$7-$E$7),$E$7+SQRT(Q951*($G$7-$E$7)*($F$7-$E$7)),$G$7-SQRT((1-Q951)*($G$7-$E$7)*($G$7-$F$7))))</f>
        <v>1.05260900644342</v>
      </c>
      <c r="D951" s="51" t="n">
        <f aca="false">1+IF($G$8=$E$8,$F$8,IF(R951&lt;($F$8-$E$8)/($G$8-$E$8),$E$8+SQRT(R951*($G$8-$E$8)*($F$8-$E$8)),$G$8-SQRT((1-R951)*($G$8-$E$8)*($G$8-$F$8))))</f>
        <v>0.981430351818962</v>
      </c>
      <c r="E951" s="51" t="n">
        <f aca="false">1+IF($G$9=$E$9,$F$9,IF(S951&lt;($F$9-$E$9)/($G$9-$E$9),$E$9+SQRT(S951*($G$9-$E$9)*($F$9-$E$9)),$G$9-SQRT((1-S951)*($G$9-$E$9)*($G$9-$F$9))))</f>
        <v>1.03597993619392</v>
      </c>
      <c r="F951" s="51" t="n">
        <f aca="false">1+IF($G$10=$E$10,$F$10,IF(T951&lt;($F$10-$E$10)/($G$10-$E$10),$E$10+SQRT(T951*($G$10-$E$10)*($F$10-$E$10)),$G$10-SQRT((1-T951)*($G$10-$E$10)*($G$10-$F$10))))</f>
        <v>1.04581013063295</v>
      </c>
      <c r="G951" s="52" t="n">
        <f aca="false">IF($G$11=$E$11,$F$11,IF(U951&lt;($F$11-$E$11)/($G$11-$E$11),$E$11+SQRT(U951*($G$11-$E$11)*($F$11-$E$11)),$G$11-SQRT((1-U951)*($G$11-$E$11)*($G$11-$F$11))))</f>
        <v>0.110269775008848</v>
      </c>
      <c r="H951" s="53" t="n">
        <f aca="false">(('Business Case'!B11*$C951*'Business Case'!B12*$B951)-'Business Case'!B11*$C951*'Business Case'!B13*$D951-'Business Case'!B14*$E951)-MAX(0,(('Business Case'!B11*$C951*'Business Case'!B12*$B951)-'Business Case'!B11*$C951*'Business Case'!B13*$D951-'Business Case'!B14*$E951))*'Business Case'!$B$7-'Business Case'!$B$8*('Business Case'!B11*$C951*'Business Case'!B12*$B951)-'Business Case'!B15*$F951</f>
        <v>-2091620261.2659</v>
      </c>
      <c r="I951" s="53" t="n">
        <f aca="false">(('Business Case'!C11*$C951*'Business Case'!C12*$B951)-'Business Case'!C11*$C951*'Business Case'!C13*$D951-'Business Case'!C14*$E951)-MAX(0,(('Business Case'!C11*$C951*'Business Case'!C12*$B951)-'Business Case'!C11*$C951*'Business Case'!C13*$D951-'Business Case'!C14*$E951))*'Business Case'!$B$7-'Business Case'!$B$8*(('Business Case'!C11*$C951*'Business Case'!C12*$B951)-('Business Case'!B11*$C951*'Business Case'!B12*$B951))-'Business Case'!C15*$F951</f>
        <v>15188359.7325062</v>
      </c>
      <c r="J951" s="53" t="n">
        <f aca="false">(('Business Case'!D11*$C951*'Business Case'!D12*$B951)-'Business Case'!D11*$C951*'Business Case'!D13*$D951-'Business Case'!D14*$E951)-MAX(0,(('Business Case'!D11*$C951*'Business Case'!D12*$B951)-'Business Case'!D11*$C951*'Business Case'!D13*$D951-'Business Case'!D14*$E951))*'Business Case'!$B$7-'Business Case'!$B$8*(('Business Case'!D11*$C951*'Business Case'!D12*$B951)-('Business Case'!C11*$C951*'Business Case'!C12*$B951))-'Business Case'!D15*$F951</f>
        <v>336053203.618557</v>
      </c>
      <c r="K951" s="53" t="n">
        <f aca="false">(('Business Case'!E11*$C951*'Business Case'!E12*$B951)-'Business Case'!E11*$C951*'Business Case'!E13*$D951-'Business Case'!E14*$E951)-MAX(0,(('Business Case'!E11*$C951*'Business Case'!E12*$B951)-'Business Case'!E11*$C951*'Business Case'!E13*$D951-'Business Case'!E14*$E951))*'Business Case'!$B$7-'Business Case'!$B$8*(('Business Case'!E11*$C951*'Business Case'!E12*$B951)-('Business Case'!D11*$C951*'Business Case'!D12*$B951))-'Business Case'!E15*$F951</f>
        <v>709208554.036255</v>
      </c>
      <c r="L951" s="53" t="n">
        <f aca="false">(('Business Case'!F11*$C951*'Business Case'!F12*$B951)-'Business Case'!F11*$C951*'Business Case'!F13*$D951-'Business Case'!F14*$E951)-MAX(0,(('Business Case'!F11*$C951*'Business Case'!F12*$B951)-'Business Case'!F11*$C951*'Business Case'!F13*$D951-'Business Case'!F14*$E951))*'Business Case'!$B$7-'Business Case'!$B$8*(('Business Case'!F11*$C951*'Business Case'!F12*$B951)-('Business Case'!E11*$C951*'Business Case'!E12*$B951))-'Business Case'!F15*$F951</f>
        <v>852016251.440589</v>
      </c>
      <c r="M951" s="53" t="n">
        <f aca="false">(('Business Case'!G11*$C951*'Business Case'!G12*$B951)-'Business Case'!G11*$C951*'Business Case'!G13*$D951-'Business Case'!G14*$E951)-MAX(0,(('Business Case'!G11*$C951*'Business Case'!G12*$B951)-'Business Case'!G11*$C951*'Business Case'!G13*$D951-'Business Case'!G14*$E951))*'Business Case'!$B$7-'Business Case'!$B$8*(('Business Case'!G11*$C951*'Business Case'!G12*$B951)-('Business Case'!F11*$C951*'Business Case'!F12*$B951))-'Business Case'!G15*$F951+'Business Case'!$B$8*('Business Case'!G11*$C951*'Business Case'!G12*$B951)</f>
        <v>1049206373.37333</v>
      </c>
      <c r="N951" s="53" t="n">
        <f aca="false">IF(COUNT('Business Case'!B11:G11)=0,"",H951+NPV(G951,I951:M951))</f>
        <v>-104534303.667522</v>
      </c>
      <c r="P951" s="54" t="n">
        <f aca="true">RAND()</f>
        <v>0.447676207662544</v>
      </c>
      <c r="Q951" s="54" t="n">
        <f aca="true">RAND()</f>
        <v>0.819333226172631</v>
      </c>
      <c r="R951" s="54" t="n">
        <f aca="true">RAND()</f>
        <v>0.151979540840572</v>
      </c>
      <c r="S951" s="54" t="n">
        <f aca="true">RAND()</f>
        <v>0.726762095351028</v>
      </c>
      <c r="T951" s="54" t="n">
        <f aca="true">RAND()</f>
        <v>0.524509683691432</v>
      </c>
      <c r="U951" s="54" t="n">
        <f aca="true">RAND()</f>
        <v>0.842204536035931</v>
      </c>
    </row>
    <row r="952" customFormat="false" ht="15" hidden="false" customHeight="false" outlineLevel="0" collapsed="false">
      <c r="A952" s="50" t="n">
        <v>872</v>
      </c>
      <c r="B952" s="51" t="n">
        <f aca="false">1+IF($G$6=$E$6,$F$6,IF(P952&lt;($F$6-$E$6)/($G$6-$E$6),$E$6+SQRT(P952*($G$6-$E$6)*($F$6-$E$6)),$G$6-SQRT((1-P952)*($G$6-$E$6)*($G$6-$F$6))))</f>
        <v>0.95436921172558</v>
      </c>
      <c r="C952" s="51" t="n">
        <f aca="false">1+IF($G$7=$E$7,$F$7,IF(Q952&lt;($F$7-$E$7)/($G$7-$E$7),$E$7+SQRT(Q952*($G$7-$E$7)*($F$7-$E$7)),$G$7-SQRT((1-Q952)*($G$7-$E$7)*($G$7-$F$7))))</f>
        <v>1.10369571076276</v>
      </c>
      <c r="D952" s="51" t="n">
        <f aca="false">1+IF($G$8=$E$8,$F$8,IF(R952&lt;($F$8-$E$8)/($G$8-$E$8),$E$8+SQRT(R952*($G$8-$E$8)*($F$8-$E$8)),$G$8-SQRT((1-R952)*($G$8-$E$8)*($G$8-$F$8))))</f>
        <v>1.00507107644821</v>
      </c>
      <c r="E952" s="51" t="n">
        <f aca="false">1+IF($G$9=$E$9,$F$9,IF(S952&lt;($F$9-$E$9)/($G$9-$E$9),$E$9+SQRT(S952*($G$9-$E$9)*($F$9-$E$9)),$G$9-SQRT((1-S952)*($G$9-$E$9)*($G$9-$F$9))))</f>
        <v>1.01061770755522</v>
      </c>
      <c r="F952" s="51" t="n">
        <f aca="false">1+IF($G$10=$E$10,$F$10,IF(T952&lt;($F$10-$E$10)/($G$10-$E$10),$E$10+SQRT(T952*($G$10-$E$10)*($F$10-$E$10)),$G$10-SQRT((1-T952)*($G$10-$E$10)*($G$10-$F$10))))</f>
        <v>0.970933026441478</v>
      </c>
      <c r="G952" s="52" t="n">
        <f aca="false">IF($G$11=$E$11,$F$11,IF(U952&lt;($F$11-$E$11)/($G$11-$E$11),$E$11+SQRT(U952*($G$11-$E$11)*($F$11-$E$11)),$G$11-SQRT((1-U952)*($G$11-$E$11)*($G$11-$F$11))))</f>
        <v>0.110522409384918</v>
      </c>
      <c r="H952" s="53" t="n">
        <f aca="false">(('Business Case'!B11*$C952*'Business Case'!B12*$B952)-'Business Case'!B11*$C952*'Business Case'!B13*$D952-'Business Case'!B14*$E952)-MAX(0,(('Business Case'!B11*$C952*'Business Case'!B12*$B952)-'Business Case'!B11*$C952*'Business Case'!B13*$D952-'Business Case'!B14*$E952))*'Business Case'!$B$7-'Business Case'!$B$8*('Business Case'!B11*$C952*'Business Case'!B12*$B952)-'Business Case'!B15*$F952</f>
        <v>-1941866052.88296</v>
      </c>
      <c r="I952" s="53" t="n">
        <f aca="false">(('Business Case'!C11*$C952*'Business Case'!C12*$B952)-'Business Case'!C11*$C952*'Business Case'!C13*$D952-'Business Case'!C14*$E952)-MAX(0,(('Business Case'!C11*$C952*'Business Case'!C12*$B952)-'Business Case'!C11*$C952*'Business Case'!C13*$D952-'Business Case'!C14*$E952))*'Business Case'!$B$7-'Business Case'!$B$8*(('Business Case'!C11*$C952*'Business Case'!C12*$B952)-('Business Case'!B11*$C952*'Business Case'!B12*$B952))-'Business Case'!C15*$F952</f>
        <v>-521285.028714463</v>
      </c>
      <c r="J952" s="53" t="n">
        <f aca="false">(('Business Case'!D11*$C952*'Business Case'!D12*$B952)-'Business Case'!D11*$C952*'Business Case'!D13*$D952-'Business Case'!D14*$E952)-MAX(0,(('Business Case'!D11*$C952*'Business Case'!D12*$B952)-'Business Case'!D11*$C952*'Business Case'!D13*$D952-'Business Case'!D14*$E952))*'Business Case'!$B$7-'Business Case'!$B$8*(('Business Case'!D11*$C952*'Business Case'!D12*$B952)-('Business Case'!C11*$C952*'Business Case'!C12*$B952))-'Business Case'!D15*$F952</f>
        <v>294365363.972406</v>
      </c>
      <c r="K952" s="53" t="n">
        <f aca="false">(('Business Case'!E11*$C952*'Business Case'!E12*$B952)-'Business Case'!E11*$C952*'Business Case'!E13*$D952-'Business Case'!E14*$E952)-MAX(0,(('Business Case'!E11*$C952*'Business Case'!E12*$B952)-'Business Case'!E11*$C952*'Business Case'!E13*$D952-'Business Case'!E14*$E952))*'Business Case'!$B$7-'Business Case'!$B$8*(('Business Case'!E11*$C952*'Business Case'!E12*$B952)-('Business Case'!D11*$C952*'Business Case'!D12*$B952))-'Business Case'!E15*$F952</f>
        <v>637798664.295601</v>
      </c>
      <c r="L952" s="53" t="n">
        <f aca="false">(('Business Case'!F11*$C952*'Business Case'!F12*$B952)-'Business Case'!F11*$C952*'Business Case'!F13*$D952-'Business Case'!F14*$E952)-MAX(0,(('Business Case'!F11*$C952*'Business Case'!F12*$B952)-'Business Case'!F11*$C952*'Business Case'!F13*$D952-'Business Case'!F14*$E952))*'Business Case'!$B$7-'Business Case'!$B$8*(('Business Case'!F11*$C952*'Business Case'!F12*$B952)-('Business Case'!E11*$C952*'Business Case'!E12*$B952))-'Business Case'!F15*$F952</f>
        <v>772497409.543531</v>
      </c>
      <c r="M952" s="53" t="n">
        <f aca="false">(('Business Case'!G11*$C952*'Business Case'!G12*$B952)-'Business Case'!G11*$C952*'Business Case'!G13*$D952-'Business Case'!G14*$E952)-MAX(0,(('Business Case'!G11*$C952*'Business Case'!G12*$B952)-'Business Case'!G11*$C952*'Business Case'!G13*$D952-'Business Case'!G14*$E952))*'Business Case'!$B$7-'Business Case'!$B$8*(('Business Case'!G11*$C952*'Business Case'!G12*$B952)-('Business Case'!F11*$C952*'Business Case'!F12*$B952))-'Business Case'!G15*$F952+'Business Case'!$B$8*('Business Case'!G11*$C952*'Business Case'!G12*$B952)</f>
        <v>972714985.238425</v>
      </c>
      <c r="N952" s="53" t="n">
        <f aca="false">IF(COUNT('Business Case'!B11:G11)=0,"",H952+NPV(G952,I952:M952))</f>
        <v>-154137959.630563</v>
      </c>
      <c r="P952" s="54" t="n">
        <f aca="true">RAND()</f>
        <v>0.123046116108097</v>
      </c>
      <c r="Q952" s="54" t="n">
        <f aca="true">RAND()</f>
        <v>0.959160243775892</v>
      </c>
      <c r="R952" s="54" t="n">
        <f aca="true">RAND()</f>
        <v>0.460159270708718</v>
      </c>
      <c r="S952" s="54" t="n">
        <f aca="true">RAND()</f>
        <v>0.4673870531544</v>
      </c>
      <c r="T952" s="54" t="n">
        <f aca="true">RAND()</f>
        <v>0.0350553276799684</v>
      </c>
      <c r="U952" s="54" t="n">
        <f aca="true">RAND()</f>
        <v>0.850292126888189</v>
      </c>
    </row>
    <row r="953" customFormat="false" ht="15" hidden="false" customHeight="false" outlineLevel="0" collapsed="false">
      <c r="A953" s="50" t="n">
        <v>873</v>
      </c>
      <c r="B953" s="51" t="n">
        <f aca="false">1+IF($G$6=$E$6,$F$6,IF(P953&lt;($F$6-$E$6)/($G$6-$E$6),$E$6+SQRT(P953*($G$6-$E$6)*($F$6-$E$6)),$G$6-SQRT((1-P953)*($G$6-$E$6)*($G$6-$F$6))))</f>
        <v>1.00897961726481</v>
      </c>
      <c r="C953" s="51" t="n">
        <f aca="false">1+IF($G$7=$E$7,$F$7,IF(Q953&lt;($F$7-$E$7)/($G$7-$E$7),$E$7+SQRT(Q953*($G$7-$E$7)*($F$7-$E$7)),$G$7-SQRT((1-Q953)*($G$7-$E$7)*($G$7-$F$7))))</f>
        <v>0.920029588723094</v>
      </c>
      <c r="D953" s="51" t="n">
        <f aca="false">1+IF($G$8=$E$8,$F$8,IF(R953&lt;($F$8-$E$8)/($G$8-$E$8),$E$8+SQRT(R953*($G$8-$E$8)*($F$8-$E$8)),$G$8-SQRT((1-R953)*($G$8-$E$8)*($G$8-$F$8))))</f>
        <v>1.00000053466654</v>
      </c>
      <c r="E953" s="51" t="n">
        <f aca="false">1+IF($G$9=$E$9,$F$9,IF(S953&lt;($F$9-$E$9)/($G$9-$E$9),$E$9+SQRT(S953*($G$9-$E$9)*($F$9-$E$9)),$G$9-SQRT((1-S953)*($G$9-$E$9)*($G$9-$F$9))))</f>
        <v>0.996178462297005</v>
      </c>
      <c r="F953" s="51" t="n">
        <f aca="false">1+IF($G$10=$E$10,$F$10,IF(T953&lt;($F$10-$E$10)/($G$10-$E$10),$E$10+SQRT(T953*($G$10-$E$10)*($F$10-$E$10)),$G$10-SQRT((1-T953)*($G$10-$E$10)*($G$10-$F$10))))</f>
        <v>1.10620886288414</v>
      </c>
      <c r="G953" s="52" t="n">
        <f aca="false">IF($G$11=$E$11,$F$11,IF(U953&lt;($F$11-$E$11)/($G$11-$E$11),$E$11+SQRT(U953*($G$11-$E$11)*($F$11-$E$11)),$G$11-SQRT((1-U953)*($G$11-$E$11)*($G$11-$F$11))))</f>
        <v>0.0992952937671588</v>
      </c>
      <c r="H953" s="53" t="n">
        <f aca="false">(('Business Case'!B11*$C953*'Business Case'!B12*$B953)-'Business Case'!B11*$C953*'Business Case'!B13*$D953-'Business Case'!B14*$E953)-MAX(0,(('Business Case'!B11*$C953*'Business Case'!B12*$B953)-'Business Case'!B11*$C953*'Business Case'!B13*$D953-'Business Case'!B14*$E953))*'Business Case'!$B$7-'Business Case'!$B$8*('Business Case'!B11*$C953*'Business Case'!B12*$B953)-'Business Case'!B15*$F953</f>
        <v>-2212417725.76829</v>
      </c>
      <c r="I953" s="53" t="n">
        <f aca="false">(('Business Case'!C11*$C953*'Business Case'!C12*$B953)-'Business Case'!C11*$C953*'Business Case'!C13*$D953-'Business Case'!C14*$E953)-MAX(0,(('Business Case'!C11*$C953*'Business Case'!C12*$B953)-'Business Case'!C11*$C953*'Business Case'!C13*$D953-'Business Case'!C14*$E953))*'Business Case'!$B$7-'Business Case'!$B$8*(('Business Case'!C11*$C953*'Business Case'!C12*$B953)-('Business Case'!B11*$C953*'Business Case'!B12*$B953))-'Business Case'!C15*$F953</f>
        <v>-11044623.5027869</v>
      </c>
      <c r="J953" s="53" t="n">
        <f aca="false">(('Business Case'!D11*$C953*'Business Case'!D12*$B953)-'Business Case'!D11*$C953*'Business Case'!D13*$D953-'Business Case'!D14*$E953)-MAX(0,(('Business Case'!D11*$C953*'Business Case'!D12*$B953)-'Business Case'!D11*$C953*'Business Case'!D13*$D953-'Business Case'!D14*$E953))*'Business Case'!$B$7-'Business Case'!$B$8*(('Business Case'!D11*$C953*'Business Case'!D12*$B953)-('Business Case'!C11*$C953*'Business Case'!C12*$B953))-'Business Case'!D15*$F953</f>
        <v>278310827.364817</v>
      </c>
      <c r="K953" s="53" t="n">
        <f aca="false">(('Business Case'!E11*$C953*'Business Case'!E12*$B953)-'Business Case'!E11*$C953*'Business Case'!E13*$D953-'Business Case'!E14*$E953)-MAX(0,(('Business Case'!E11*$C953*'Business Case'!E12*$B953)-'Business Case'!E11*$C953*'Business Case'!E13*$D953-'Business Case'!E14*$E953))*'Business Case'!$B$7-'Business Case'!$B$8*(('Business Case'!E11*$C953*'Business Case'!E12*$B953)-('Business Case'!D11*$C953*'Business Case'!D12*$B953))-'Business Case'!E15*$F953</f>
        <v>622976721.376628</v>
      </c>
      <c r="L953" s="53" t="n">
        <f aca="false">(('Business Case'!F11*$C953*'Business Case'!F12*$B953)-'Business Case'!F11*$C953*'Business Case'!F13*$D953-'Business Case'!F14*$E953)-MAX(0,(('Business Case'!F11*$C953*'Business Case'!F12*$B953)-'Business Case'!F11*$C953*'Business Case'!F13*$D953-'Business Case'!F14*$E953))*'Business Case'!$B$7-'Business Case'!$B$8*(('Business Case'!F11*$C953*'Business Case'!F12*$B953)-('Business Case'!E11*$C953*'Business Case'!E12*$B953))-'Business Case'!F15*$F953</f>
        <v>751510278.828057</v>
      </c>
      <c r="M953" s="53" t="n">
        <f aca="false">(('Business Case'!G11*$C953*'Business Case'!G12*$B953)-'Business Case'!G11*$C953*'Business Case'!G13*$D953-'Business Case'!G14*$E953)-MAX(0,(('Business Case'!G11*$C953*'Business Case'!G12*$B953)-'Business Case'!G11*$C953*'Business Case'!G13*$D953-'Business Case'!G14*$E953))*'Business Case'!$B$7-'Business Case'!$B$8*(('Business Case'!G11*$C953*'Business Case'!G12*$B953)-('Business Case'!F11*$C953*'Business Case'!F12*$B953))-'Business Case'!G15*$F953+'Business Case'!$B$8*('Business Case'!G11*$C953*'Business Case'!G12*$B953)</f>
        <v>927959851.553645</v>
      </c>
      <c r="N953" s="53" t="n">
        <f aca="false">IF(COUNT('Business Case'!B11:G11)=0,"",H953+NPV(G953,I953:M953))</f>
        <v>-430560089.222641</v>
      </c>
      <c r="P953" s="54" t="n">
        <f aca="true">RAND()</f>
        <v>0.799528303117102</v>
      </c>
      <c r="Q953" s="54" t="n">
        <f aca="true">RAND()</f>
        <v>0.205815745271931</v>
      </c>
      <c r="R953" s="54" t="n">
        <f aca="true">RAND()</f>
        <v>0.384623610227027</v>
      </c>
      <c r="S953" s="54" t="n">
        <f aca="true">RAND()</f>
        <v>0.284326717348782</v>
      </c>
      <c r="T953" s="54" t="n">
        <f aca="true">RAND()</f>
        <v>0.824064451970292</v>
      </c>
      <c r="U953" s="54" t="n">
        <f aca="true">RAND()</f>
        <v>0.288008287392607</v>
      </c>
    </row>
    <row r="954" customFormat="false" ht="15" hidden="false" customHeight="false" outlineLevel="0" collapsed="false">
      <c r="A954" s="50" t="n">
        <v>874</v>
      </c>
      <c r="B954" s="51" t="n">
        <f aca="false">1+IF($G$6=$E$6,$F$6,IF(P954&lt;($F$6-$E$6)/($G$6-$E$6),$E$6+SQRT(P954*($G$6-$E$6)*($F$6-$E$6)),$G$6-SQRT((1-P954)*($G$6-$E$6)*($G$6-$F$6))))</f>
        <v>0.93241661621566</v>
      </c>
      <c r="C954" s="51" t="n">
        <f aca="false">1+IF($G$7=$E$7,$F$7,IF(Q954&lt;($F$7-$E$7)/($G$7-$E$7),$E$7+SQRT(Q954*($G$7-$E$7)*($F$7-$E$7)),$G$7-SQRT((1-Q954)*($G$7-$E$7)*($G$7-$F$7))))</f>
        <v>1.07429077926042</v>
      </c>
      <c r="D954" s="51" t="n">
        <f aca="false">1+IF($G$8=$E$8,$F$8,IF(R954&lt;($F$8-$E$8)/($G$8-$E$8),$E$8+SQRT(R954*($G$8-$E$8)*($F$8-$E$8)),$G$8-SQRT((1-R954)*($G$8-$E$8)*($G$8-$F$8))))</f>
        <v>1.0691528245304</v>
      </c>
      <c r="E954" s="51" t="n">
        <f aca="false">1+IF($G$9=$E$9,$F$9,IF(S954&lt;($F$9-$E$9)/($G$9-$E$9),$E$9+SQRT(S954*($G$9-$E$9)*($F$9-$E$9)),$G$9-SQRT((1-S954)*($G$9-$E$9)*($G$9-$F$9))))</f>
        <v>1.06295889971237</v>
      </c>
      <c r="F954" s="51" t="n">
        <f aca="false">1+IF($G$10=$E$10,$F$10,IF(T954&lt;($F$10-$E$10)/($G$10-$E$10),$E$10+SQRT(T954*($G$10-$E$10)*($F$10-$E$10)),$G$10-SQRT((1-T954)*($G$10-$E$10)*($G$10-$F$10))))</f>
        <v>0.989997973380556</v>
      </c>
      <c r="G954" s="52" t="n">
        <f aca="false">IF($G$11=$E$11,$F$11,IF(U954&lt;($F$11-$E$11)/($G$11-$E$11),$E$11+SQRT(U954*($G$11-$E$11)*($F$11-$E$11)),$G$11-SQRT((1-U954)*($G$11-$E$11)*($G$11-$F$11))))</f>
        <v>0.1121013495657</v>
      </c>
      <c r="H954" s="53" t="n">
        <f aca="false">(('Business Case'!B11*$C954*'Business Case'!B12*$B954)-'Business Case'!B11*$C954*'Business Case'!B13*$D954-'Business Case'!B14*$E954)-MAX(0,(('Business Case'!B11*$C954*'Business Case'!B12*$B954)-'Business Case'!B11*$C954*'Business Case'!B13*$D954-'Business Case'!B14*$E954))*'Business Case'!$B$7-'Business Case'!$B$8*('Business Case'!B11*$C954*'Business Case'!B12*$B954)-'Business Case'!B15*$F954</f>
        <v>-1979995946.76111</v>
      </c>
      <c r="I954" s="53" t="n">
        <f aca="false">(('Business Case'!C11*$C954*'Business Case'!C12*$B954)-'Business Case'!C11*$C954*'Business Case'!C13*$D954-'Business Case'!C14*$E954)-MAX(0,(('Business Case'!C11*$C954*'Business Case'!C12*$B954)-'Business Case'!C11*$C954*'Business Case'!C13*$D954-'Business Case'!C14*$E954))*'Business Case'!$B$7-'Business Case'!$B$8*(('Business Case'!C11*$C954*'Business Case'!C12*$B954)-('Business Case'!B11*$C954*'Business Case'!B12*$B954))-'Business Case'!C15*$F954</f>
        <v>-69608156.202099</v>
      </c>
      <c r="J954" s="53" t="n">
        <f aca="false">(('Business Case'!D11*$C954*'Business Case'!D12*$B954)-'Business Case'!D11*$C954*'Business Case'!D13*$D954-'Business Case'!D14*$E954)-MAX(0,(('Business Case'!D11*$C954*'Business Case'!D12*$B954)-'Business Case'!D11*$C954*'Business Case'!D13*$D954-'Business Case'!D14*$E954))*'Business Case'!$B$7-'Business Case'!$B$8*(('Business Case'!D11*$C954*'Business Case'!D12*$B954)-('Business Case'!C11*$C954*'Business Case'!C12*$B954))-'Business Case'!D15*$F954</f>
        <v>162863672.429183</v>
      </c>
      <c r="K954" s="53" t="n">
        <f aca="false">(('Business Case'!E11*$C954*'Business Case'!E12*$B954)-'Business Case'!E11*$C954*'Business Case'!E13*$D954-'Business Case'!E14*$E954)-MAX(0,(('Business Case'!E11*$C954*'Business Case'!E12*$B954)-'Business Case'!E11*$C954*'Business Case'!E13*$D954-'Business Case'!E14*$E954))*'Business Case'!$B$7-'Business Case'!$B$8*(('Business Case'!E11*$C954*'Business Case'!E12*$B954)-('Business Case'!D11*$C954*'Business Case'!D12*$B954))-'Business Case'!E15*$F954</f>
        <v>444835399.729494</v>
      </c>
      <c r="L954" s="53" t="n">
        <f aca="false">(('Business Case'!F11*$C954*'Business Case'!F12*$B954)-'Business Case'!F11*$C954*'Business Case'!F13*$D954-'Business Case'!F14*$E954)-MAX(0,(('Business Case'!F11*$C954*'Business Case'!F12*$B954)-'Business Case'!F11*$C954*'Business Case'!F13*$D954-'Business Case'!F14*$E954))*'Business Case'!$B$7-'Business Case'!$B$8*(('Business Case'!F11*$C954*'Business Case'!F12*$B954)-('Business Case'!E11*$C954*'Business Case'!E12*$B954))-'Business Case'!F15*$F954</f>
        <v>556944297.244073</v>
      </c>
      <c r="M954" s="53" t="n">
        <f aca="false">(('Business Case'!G11*$C954*'Business Case'!G12*$B954)-'Business Case'!G11*$C954*'Business Case'!G13*$D954-'Business Case'!G14*$E954)-MAX(0,(('Business Case'!G11*$C954*'Business Case'!G12*$B954)-'Business Case'!G11*$C954*'Business Case'!G13*$D954-'Business Case'!G14*$E954))*'Business Case'!$B$7-'Business Case'!$B$8*(('Business Case'!G11*$C954*'Business Case'!G12*$B954)-('Business Case'!F11*$C954*'Business Case'!F12*$B954))-'Business Case'!G15*$F954+'Business Case'!$B$8*('Business Case'!G11*$C954*'Business Case'!G12*$B954)</f>
        <v>747344881.083571</v>
      </c>
      <c r="N954" s="53" t="n">
        <f aca="false">IF(COUNT('Business Case'!B11:G11)=0,"",H954+NPV(G954,I954:M954))</f>
        <v>-784033353.106418</v>
      </c>
      <c r="P954" s="54" t="n">
        <f aca="true">RAND()</f>
        <v>0.0160596206507269</v>
      </c>
      <c r="Q954" s="54" t="n">
        <f aca="true">RAND()</f>
        <v>0.890821217047717</v>
      </c>
      <c r="R954" s="54" t="n">
        <f aca="true">RAND()</f>
        <v>0.988686421570365</v>
      </c>
      <c r="S954" s="54" t="n">
        <f aca="true">RAND()</f>
        <v>0.908530459298785</v>
      </c>
      <c r="T954" s="54" t="n">
        <f aca="true">RAND()</f>
        <v>0.127987029964136</v>
      </c>
      <c r="U954" s="54" t="n">
        <f aca="true">RAND()</f>
        <v>0.896018868861233</v>
      </c>
    </row>
    <row r="955" customFormat="false" ht="15" hidden="false" customHeight="false" outlineLevel="0" collapsed="false">
      <c r="A955" s="50" t="n">
        <v>875</v>
      </c>
      <c r="B955" s="51" t="n">
        <f aca="false">1+IF($G$6=$E$6,$F$6,IF(P955&lt;($F$6-$E$6)/($G$6-$E$6),$E$6+SQRT(P955*($G$6-$E$6)*($F$6-$E$6)),$G$6-SQRT((1-P955)*($G$6-$E$6)*($G$6-$F$6))))</f>
        <v>0.997431662710393</v>
      </c>
      <c r="C955" s="51" t="n">
        <f aca="false">1+IF($G$7=$E$7,$F$7,IF(Q955&lt;($F$7-$E$7)/($G$7-$E$7),$E$7+SQRT(Q955*($G$7-$E$7)*($F$7-$E$7)),$G$7-SQRT((1-Q955)*($G$7-$E$7)*($G$7-$F$7))))</f>
        <v>1.08229196087941</v>
      </c>
      <c r="D955" s="51" t="n">
        <f aca="false">1+IF($G$8=$E$8,$F$8,IF(R955&lt;($F$8-$E$8)/($G$8-$E$8),$E$8+SQRT(R955*($G$8-$E$8)*($F$8-$E$8)),$G$8-SQRT((1-R955)*($G$8-$E$8)*($G$8-$F$8))))</f>
        <v>0.975389364998773</v>
      </c>
      <c r="E955" s="51" t="n">
        <f aca="false">1+IF($G$9=$E$9,$F$9,IF(S955&lt;($F$9-$E$9)/($G$9-$E$9),$E$9+SQRT(S955*($G$9-$E$9)*($F$9-$E$9)),$G$9-SQRT((1-S955)*($G$9-$E$9)*($G$9-$F$9))))</f>
        <v>0.986486628820228</v>
      </c>
      <c r="F955" s="51" t="n">
        <f aca="false">1+IF($G$10=$E$10,$F$10,IF(T955&lt;($F$10-$E$10)/($G$10-$E$10),$E$10+SQRT(T955*($G$10-$E$10)*($F$10-$E$10)),$G$10-SQRT((1-T955)*($G$10-$E$10)*($G$10-$F$10))))</f>
        <v>1.08514811218836</v>
      </c>
      <c r="G955" s="52" t="n">
        <f aca="false">IF($G$11=$E$11,$F$11,IF(U955&lt;($F$11-$E$11)/($G$11-$E$11),$E$11+SQRT(U955*($G$11-$E$11)*($F$11-$E$11)),$G$11-SQRT((1-U955)*($G$11-$E$11)*($G$11-$F$11))))</f>
        <v>0.107373074510734</v>
      </c>
      <c r="H955" s="53" t="n">
        <f aca="false">(('Business Case'!B11*$C955*'Business Case'!B12*$B955)-'Business Case'!B11*$C955*'Business Case'!B13*$D955-'Business Case'!B14*$E955)-MAX(0,(('Business Case'!B11*$C955*'Business Case'!B12*$B955)-'Business Case'!B11*$C955*'Business Case'!B13*$D955-'Business Case'!B14*$E955))*'Business Case'!$B$7-'Business Case'!$B$8*('Business Case'!B11*$C955*'Business Case'!B12*$B955)-'Business Case'!B15*$F955</f>
        <v>-2170296224.37672</v>
      </c>
      <c r="I955" s="53" t="n">
        <f aca="false">(('Business Case'!C11*$C955*'Business Case'!C12*$B955)-'Business Case'!C11*$C955*'Business Case'!C13*$D955-'Business Case'!C14*$E955)-MAX(0,(('Business Case'!C11*$C955*'Business Case'!C12*$B955)-'Business Case'!C11*$C955*'Business Case'!C13*$D955-'Business Case'!C14*$E955))*'Business Case'!$B$7-'Business Case'!$B$8*(('Business Case'!C11*$C955*'Business Case'!C12*$B955)-('Business Case'!B11*$C955*'Business Case'!B12*$B955))-'Business Case'!C15*$F955</f>
        <v>39031693.5906135</v>
      </c>
      <c r="J955" s="53" t="n">
        <f aca="false">(('Business Case'!D11*$C955*'Business Case'!D12*$B955)-'Business Case'!D11*$C955*'Business Case'!D13*$D955-'Business Case'!D14*$E955)-MAX(0,(('Business Case'!D11*$C955*'Business Case'!D12*$B955)-'Business Case'!D11*$C955*'Business Case'!D13*$D955-'Business Case'!D14*$E955))*'Business Case'!$B$7-'Business Case'!$B$8*(('Business Case'!D11*$C955*'Business Case'!D12*$B955)-('Business Case'!C11*$C955*'Business Case'!C12*$B955))-'Business Case'!D15*$F955</f>
        <v>382818513.099145</v>
      </c>
      <c r="K955" s="53" t="n">
        <f aca="false">(('Business Case'!E11*$C955*'Business Case'!E12*$B955)-'Business Case'!E11*$C955*'Business Case'!E13*$D955-'Business Case'!E14*$E955)-MAX(0,(('Business Case'!E11*$C955*'Business Case'!E12*$B955)-'Business Case'!E11*$C955*'Business Case'!E13*$D955-'Business Case'!E14*$E955))*'Business Case'!$B$7-'Business Case'!$B$8*(('Business Case'!E11*$C955*'Business Case'!E12*$B955)-('Business Case'!D11*$C955*'Business Case'!D12*$B955))-'Business Case'!E15*$F955</f>
        <v>780862738.217094</v>
      </c>
      <c r="L955" s="53" t="n">
        <f aca="false">(('Business Case'!F11*$C955*'Business Case'!F12*$B955)-'Business Case'!F11*$C955*'Business Case'!F13*$D955-'Business Case'!F14*$E955)-MAX(0,(('Business Case'!F11*$C955*'Business Case'!F12*$B955)-'Business Case'!F11*$C955*'Business Case'!F13*$D955-'Business Case'!F14*$E955))*'Business Case'!$B$7-'Business Case'!$B$8*(('Business Case'!F11*$C955*'Business Case'!F12*$B955)-('Business Case'!E11*$C955*'Business Case'!E12*$B955))-'Business Case'!F15*$F955</f>
        <v>932766288.773835</v>
      </c>
      <c r="M955" s="53" t="n">
        <f aca="false">(('Business Case'!G11*$C955*'Business Case'!G12*$B955)-'Business Case'!G11*$C955*'Business Case'!G13*$D955-'Business Case'!G14*$E955)-MAX(0,(('Business Case'!G11*$C955*'Business Case'!G12*$B955)-'Business Case'!G11*$C955*'Business Case'!G13*$D955-'Business Case'!G14*$E955))*'Business Case'!$B$7-'Business Case'!$B$8*(('Business Case'!G11*$C955*'Business Case'!G12*$B955)-('Business Case'!F11*$C955*'Business Case'!F12*$B955))-'Business Case'!G15*$F955+'Business Case'!$B$8*('Business Case'!G11*$C955*'Business Case'!G12*$B955)</f>
        <v>1137959981.07027</v>
      </c>
      <c r="N955" s="53" t="n">
        <f aca="false">IF(COUNT('Business Case'!B11:G11)=0,"",H955+NPV(G955,I955:M955))</f>
        <v>55829096.7585897</v>
      </c>
      <c r="P955" s="54" t="n">
        <f aca="true">RAND()</f>
        <v>0.624548165635004</v>
      </c>
      <c r="Q955" s="54" t="n">
        <f aca="true">RAND()</f>
        <v>0.912678503589425</v>
      </c>
      <c r="R955" s="54" t="n">
        <f aca="true">RAND()</f>
        <v>0.099172285390911</v>
      </c>
      <c r="S955" s="54" t="n">
        <f aca="true">RAND()</f>
        <v>0.17750321102201</v>
      </c>
      <c r="T955" s="54" t="n">
        <f aca="true">RAND()</f>
        <v>0.736180877322043</v>
      </c>
      <c r="U955" s="54" t="n">
        <f aca="true">RAND()</f>
        <v>0.734267921147553</v>
      </c>
    </row>
    <row r="956" customFormat="false" ht="15" hidden="false" customHeight="false" outlineLevel="0" collapsed="false">
      <c r="A956" s="50" t="n">
        <v>876</v>
      </c>
      <c r="B956" s="51" t="n">
        <f aca="false">1+IF($G$6=$E$6,$F$6,IF(P956&lt;($F$6-$E$6)/($G$6-$E$6),$E$6+SQRT(P956*($G$6-$E$6)*($F$6-$E$6)),$G$6-SQRT((1-P956)*($G$6-$E$6)*($G$6-$F$6))))</f>
        <v>1.00568110019752</v>
      </c>
      <c r="C956" s="51" t="n">
        <f aca="false">1+IF($G$7=$E$7,$F$7,IF(Q956&lt;($F$7-$E$7)/($G$7-$E$7),$E$7+SQRT(Q956*($G$7-$E$7)*($F$7-$E$7)),$G$7-SQRT((1-Q956)*($G$7-$E$7)*($G$7-$F$7))))</f>
        <v>0.906187057707303</v>
      </c>
      <c r="D956" s="51" t="n">
        <f aca="false">1+IF($G$8=$E$8,$F$8,IF(R956&lt;($F$8-$E$8)/($G$8-$E$8),$E$8+SQRT(R956*($G$8-$E$8)*($F$8-$E$8)),$G$8-SQRT((1-R956)*($G$8-$E$8)*($G$8-$F$8))))</f>
        <v>1.02252091499242</v>
      </c>
      <c r="E956" s="51" t="n">
        <f aca="false">1+IF($G$9=$E$9,$F$9,IF(S956&lt;($F$9-$E$9)/($G$9-$E$9),$E$9+SQRT(S956*($G$9-$E$9)*($F$9-$E$9)),$G$9-SQRT((1-S956)*($G$9-$E$9)*($G$9-$F$9))))</f>
        <v>0.995445371498058</v>
      </c>
      <c r="F956" s="51" t="n">
        <f aca="false">1+IF($G$10=$E$10,$F$10,IF(T956&lt;($F$10-$E$10)/($G$10-$E$10),$E$10+SQRT(T956*($G$10-$E$10)*($F$10-$E$10)),$G$10-SQRT((1-T956)*($G$10-$E$10)*($G$10-$F$10))))</f>
        <v>1.09492473829425</v>
      </c>
      <c r="G956" s="52" t="n">
        <f aca="false">IF($G$11=$E$11,$F$11,IF(U956&lt;($F$11-$E$11)/($G$11-$E$11),$E$11+SQRT(U956*($G$11-$E$11)*($F$11-$E$11)),$G$11-SQRT((1-U956)*($G$11-$E$11)*($G$11-$F$11))))</f>
        <v>0.103029216369764</v>
      </c>
      <c r="H956" s="53" t="n">
        <f aca="false">(('Business Case'!B11*$C956*'Business Case'!B12*$B956)-'Business Case'!B11*$C956*'Business Case'!B13*$D956-'Business Case'!B14*$E956)-MAX(0,(('Business Case'!B11*$C956*'Business Case'!B12*$B956)-'Business Case'!B11*$C956*'Business Case'!B13*$D956-'Business Case'!B14*$E956))*'Business Case'!$B$7-'Business Case'!$B$8*('Business Case'!B11*$C956*'Business Case'!B12*$B956)-'Business Case'!B15*$F956</f>
        <v>-2189849476.58851</v>
      </c>
      <c r="I956" s="53" t="n">
        <f aca="false">(('Business Case'!C11*$C956*'Business Case'!C12*$B956)-'Business Case'!C11*$C956*'Business Case'!C13*$D956-'Business Case'!C14*$E956)-MAX(0,(('Business Case'!C11*$C956*'Business Case'!C12*$B956)-'Business Case'!C11*$C956*'Business Case'!C13*$D956-'Business Case'!C14*$E956))*'Business Case'!$B$7-'Business Case'!$B$8*(('Business Case'!C11*$C956*'Business Case'!C12*$B956)-('Business Case'!B11*$C956*'Business Case'!B12*$B956))-'Business Case'!C15*$F956</f>
        <v>-26181904.3696133</v>
      </c>
      <c r="J956" s="53" t="n">
        <f aca="false">(('Business Case'!D11*$C956*'Business Case'!D12*$B956)-'Business Case'!D11*$C956*'Business Case'!D13*$D956-'Business Case'!D14*$E956)-MAX(0,(('Business Case'!D11*$C956*'Business Case'!D12*$B956)-'Business Case'!D11*$C956*'Business Case'!D13*$D956-'Business Case'!D14*$E956))*'Business Case'!$B$7-'Business Case'!$B$8*(('Business Case'!D11*$C956*'Business Case'!D12*$B956)-('Business Case'!C11*$C956*'Business Case'!C12*$B956))-'Business Case'!D15*$F956</f>
        <v>245924613.539025</v>
      </c>
      <c r="K956" s="53" t="n">
        <f aca="false">(('Business Case'!E11*$C956*'Business Case'!E12*$B956)-'Business Case'!E11*$C956*'Business Case'!E13*$D956-'Business Case'!E14*$E956)-MAX(0,(('Business Case'!E11*$C956*'Business Case'!E12*$B956)-'Business Case'!E11*$C956*'Business Case'!E13*$D956-'Business Case'!E14*$E956))*'Business Case'!$B$7-'Business Case'!$B$8*(('Business Case'!E11*$C956*'Business Case'!E12*$B956)-('Business Case'!D11*$C956*'Business Case'!D12*$B956))-'Business Case'!E15*$F956</f>
        <v>572777368.362376</v>
      </c>
      <c r="L956" s="53" t="n">
        <f aca="false">(('Business Case'!F11*$C956*'Business Case'!F12*$B956)-'Business Case'!F11*$C956*'Business Case'!F13*$D956-'Business Case'!F14*$E956)-MAX(0,(('Business Case'!F11*$C956*'Business Case'!F12*$B956)-'Business Case'!F11*$C956*'Business Case'!F13*$D956-'Business Case'!F14*$E956))*'Business Case'!$B$7-'Business Case'!$B$8*(('Business Case'!F11*$C956*'Business Case'!F12*$B956)-('Business Case'!E11*$C956*'Business Case'!E12*$B956))-'Business Case'!F15*$F956</f>
        <v>694975285.413124</v>
      </c>
      <c r="M956" s="53" t="n">
        <f aca="false">(('Business Case'!G11*$C956*'Business Case'!G12*$B956)-'Business Case'!G11*$C956*'Business Case'!G13*$D956-'Business Case'!G14*$E956)-MAX(0,(('Business Case'!G11*$C956*'Business Case'!G12*$B956)-'Business Case'!G11*$C956*'Business Case'!G13*$D956-'Business Case'!G14*$E956))*'Business Case'!$B$7-'Business Case'!$B$8*(('Business Case'!G11*$C956*'Business Case'!G12*$B956)-('Business Case'!F11*$C956*'Business Case'!F12*$B956))-'Business Case'!G15*$F956+'Business Case'!$B$8*('Business Case'!G11*$C956*'Business Case'!G12*$B956)</f>
        <v>868201879.693066</v>
      </c>
      <c r="N956" s="53" t="n">
        <f aca="false">IF(COUNT('Business Case'!B11:G11)=0,"",H956+NPV(G956,I956:M956))</f>
        <v>-583448984.286285</v>
      </c>
      <c r="P956" s="54" t="n">
        <f aca="true">RAND()</f>
        <v>0.754627732572324</v>
      </c>
      <c r="Q956" s="54" t="n">
        <f aca="true">RAND()</f>
        <v>0.161081303207629</v>
      </c>
      <c r="R956" s="54" t="n">
        <f aca="true">RAND()</f>
        <v>0.682322575643365</v>
      </c>
      <c r="S956" s="54" t="n">
        <f aca="true">RAND()</f>
        <v>0.275370905412871</v>
      </c>
      <c r="T956" s="54" t="n">
        <f aca="true">RAND()</f>
        <v>0.779183787549374</v>
      </c>
      <c r="U956" s="54" t="n">
        <f aca="true">RAND()</f>
        <v>0.519987504959495</v>
      </c>
    </row>
    <row r="957" customFormat="false" ht="15" hidden="false" customHeight="false" outlineLevel="0" collapsed="false">
      <c r="A957" s="50" t="n">
        <v>877</v>
      </c>
      <c r="B957" s="51" t="n">
        <f aca="false">1+IF($G$6=$E$6,$F$6,IF(P957&lt;($F$6-$E$6)/($G$6-$E$6),$E$6+SQRT(P957*($G$6-$E$6)*($F$6-$E$6)),$G$6-SQRT((1-P957)*($G$6-$E$6)*($G$6-$F$6))))</f>
        <v>0.953369648644916</v>
      </c>
      <c r="C957" s="51" t="n">
        <f aca="false">1+IF($G$7=$E$7,$F$7,IF(Q957&lt;($F$7-$E$7)/($G$7-$E$7),$E$7+SQRT(Q957*($G$7-$E$7)*($F$7-$E$7)),$G$7-SQRT((1-Q957)*($G$7-$E$7)*($G$7-$F$7))))</f>
        <v>1.13467222672016</v>
      </c>
      <c r="D957" s="51" t="n">
        <f aca="false">1+IF($G$8=$E$8,$F$8,IF(R957&lt;($F$8-$E$8)/($G$8-$E$8),$E$8+SQRT(R957*($G$8-$E$8)*($F$8-$E$8)),$G$8-SQRT((1-R957)*($G$8-$E$8)*($G$8-$F$8))))</f>
        <v>1.00810511868455</v>
      </c>
      <c r="E957" s="51" t="n">
        <f aca="false">1+IF($G$9=$E$9,$F$9,IF(S957&lt;($F$9-$E$9)/($G$9-$E$9),$E$9+SQRT(S957*($G$9-$E$9)*($F$9-$E$9)),$G$9-SQRT((1-S957)*($G$9-$E$9)*($G$9-$F$9))))</f>
        <v>1.0235499666245</v>
      </c>
      <c r="F957" s="51" t="n">
        <f aca="false">1+IF($G$10=$E$10,$F$10,IF(T957&lt;($F$10-$E$10)/($G$10-$E$10),$E$10+SQRT(T957*($G$10-$E$10)*($F$10-$E$10)),$G$10-SQRT((1-T957)*($G$10-$E$10)*($G$10-$F$10))))</f>
        <v>0.970062111841498</v>
      </c>
      <c r="G957" s="52" t="n">
        <f aca="false">IF($G$11=$E$11,$F$11,IF(U957&lt;($F$11-$E$11)/($G$11-$E$11),$E$11+SQRT(U957*($G$11-$E$11)*($F$11-$E$11)),$G$11-SQRT((1-U957)*($G$11-$E$11)*($G$11-$F$11))))</f>
        <v>0.107792934565574</v>
      </c>
      <c r="H957" s="53" t="n">
        <f aca="false">(('Business Case'!B11*$C957*'Business Case'!B12*$B957)-'Business Case'!B11*$C957*'Business Case'!B13*$D957-'Business Case'!B14*$E957)-MAX(0,(('Business Case'!B11*$C957*'Business Case'!B12*$B957)-'Business Case'!B11*$C957*'Business Case'!B13*$D957-'Business Case'!B14*$E957))*'Business Case'!$B$7-'Business Case'!$B$8*('Business Case'!B11*$C957*'Business Case'!B12*$B957)-'Business Case'!B15*$F957</f>
        <v>-1940124223.683</v>
      </c>
      <c r="I957" s="53" t="n">
        <f aca="false">(('Business Case'!C11*$C957*'Business Case'!C12*$B957)-'Business Case'!C11*$C957*'Business Case'!C13*$D957-'Business Case'!C14*$E957)-MAX(0,(('Business Case'!C11*$C957*'Business Case'!C12*$B957)-'Business Case'!C11*$C957*'Business Case'!C13*$D957-'Business Case'!C14*$E957))*'Business Case'!$B$7-'Business Case'!$B$8*(('Business Case'!C11*$C957*'Business Case'!C12*$B957)-('Business Case'!B11*$C957*'Business Case'!B12*$B957))-'Business Case'!C15*$F957</f>
        <v>1838097.06278497</v>
      </c>
      <c r="J957" s="53" t="n">
        <f aca="false">(('Business Case'!D11*$C957*'Business Case'!D12*$B957)-'Business Case'!D11*$C957*'Business Case'!D13*$D957-'Business Case'!D14*$E957)-MAX(0,(('Business Case'!D11*$C957*'Business Case'!D12*$B957)-'Business Case'!D11*$C957*'Business Case'!D13*$D957-'Business Case'!D14*$E957))*'Business Case'!$B$7-'Business Case'!$B$8*(('Business Case'!D11*$C957*'Business Case'!D12*$B957)-('Business Case'!C11*$C957*'Business Case'!C12*$B957))-'Business Case'!D15*$F957</f>
        <v>302309755.863783</v>
      </c>
      <c r="K957" s="53" t="n">
        <f aca="false">(('Business Case'!E11*$C957*'Business Case'!E12*$B957)-'Business Case'!E11*$C957*'Business Case'!E13*$D957-'Business Case'!E14*$E957)-MAX(0,(('Business Case'!E11*$C957*'Business Case'!E12*$B957)-'Business Case'!E11*$C957*'Business Case'!E13*$D957-'Business Case'!E14*$E957))*'Business Case'!$B$7-'Business Case'!$B$8*(('Business Case'!E11*$C957*'Business Case'!E12*$B957)-('Business Case'!D11*$C957*'Business Case'!D12*$B957))-'Business Case'!E15*$F957</f>
        <v>651284520.256856</v>
      </c>
      <c r="L957" s="53" t="n">
        <f aca="false">(('Business Case'!F11*$C957*'Business Case'!F12*$B957)-'Business Case'!F11*$C957*'Business Case'!F13*$D957-'Business Case'!F14*$E957)-MAX(0,(('Business Case'!F11*$C957*'Business Case'!F12*$B957)-'Business Case'!F11*$C957*'Business Case'!F13*$D957-'Business Case'!F14*$E957))*'Business Case'!$B$7-'Business Case'!$B$8*(('Business Case'!F11*$C957*'Business Case'!F12*$B957)-('Business Case'!E11*$C957*'Business Case'!E12*$B957))-'Business Case'!F15*$F957</f>
        <v>788827436.723894</v>
      </c>
      <c r="M957" s="53" t="n">
        <f aca="false">(('Business Case'!G11*$C957*'Business Case'!G12*$B957)-'Business Case'!G11*$C957*'Business Case'!G13*$D957-'Business Case'!G14*$E957)-MAX(0,(('Business Case'!G11*$C957*'Business Case'!G12*$B957)-'Business Case'!G11*$C957*'Business Case'!G13*$D957-'Business Case'!G14*$E957))*'Business Case'!$B$7-'Business Case'!$B$8*(('Business Case'!G11*$C957*'Business Case'!G12*$B957)-('Business Case'!F11*$C957*'Business Case'!F12*$B957))-'Business Case'!G15*$F957+'Business Case'!$B$8*('Business Case'!G11*$C957*'Business Case'!G12*$B957)</f>
        <v>994448769.490779</v>
      </c>
      <c r="N957" s="53" t="n">
        <f aca="false">IF(COUNT('Business Case'!B11:G11)=0,"",H957+NPV(G957,I957:M957))</f>
        <v>-93221600.2876551</v>
      </c>
      <c r="P957" s="54" t="n">
        <f aca="true">RAND()</f>
        <v>0.115993067779701</v>
      </c>
      <c r="Q957" s="54" t="n">
        <f aca="true">RAND()</f>
        <v>0.99552494031013</v>
      </c>
      <c r="R957" s="54" t="n">
        <f aca="true">RAND()</f>
        <v>0.502992888522809</v>
      </c>
      <c r="S957" s="54" t="n">
        <f aca="true">RAND()</f>
        <v>0.610359493125629</v>
      </c>
      <c r="T957" s="54" t="n">
        <f aca="true">RAND()</f>
        <v>0.032199066523263</v>
      </c>
      <c r="U957" s="54" t="n">
        <f aca="true">RAND()</f>
        <v>0.751645922466052</v>
      </c>
    </row>
    <row r="958" customFormat="false" ht="15" hidden="false" customHeight="false" outlineLevel="0" collapsed="false">
      <c r="A958" s="50" t="n">
        <v>878</v>
      </c>
      <c r="B958" s="51" t="n">
        <f aca="false">1+IF($G$6=$E$6,$F$6,IF(P958&lt;($F$6-$E$6)/($G$6-$E$6),$E$6+SQRT(P958*($G$6-$E$6)*($F$6-$E$6)),$G$6-SQRT((1-P958)*($G$6-$E$6)*($G$6-$F$6))))</f>
        <v>0.965590914366273</v>
      </c>
      <c r="C958" s="51" t="n">
        <f aca="false">1+IF($G$7=$E$7,$F$7,IF(Q958&lt;($F$7-$E$7)/($G$7-$E$7),$E$7+SQRT(Q958*($G$7-$E$7)*($F$7-$E$7)),$G$7-SQRT((1-Q958)*($G$7-$E$7)*($G$7-$F$7))))</f>
        <v>1.07896467774605</v>
      </c>
      <c r="D958" s="51" t="n">
        <f aca="false">1+IF($G$8=$E$8,$F$8,IF(R958&lt;($F$8-$E$8)/($G$8-$E$8),$E$8+SQRT(R958*($G$8-$E$8)*($F$8-$E$8)),$G$8-SQRT((1-R958)*($G$8-$E$8)*($G$8-$F$8))))</f>
        <v>1.0321258692808</v>
      </c>
      <c r="E958" s="51" t="n">
        <f aca="false">1+IF($G$9=$E$9,$F$9,IF(S958&lt;($F$9-$E$9)/($G$9-$E$9),$E$9+SQRT(S958*($G$9-$E$9)*($F$9-$E$9)),$G$9-SQRT((1-S958)*($G$9-$E$9)*($G$9-$F$9))))</f>
        <v>1.02871403426262</v>
      </c>
      <c r="F958" s="51" t="n">
        <f aca="false">1+IF($G$10=$E$10,$F$10,IF(T958&lt;($F$10-$E$10)/($G$10-$E$10),$E$10+SQRT(T958*($G$10-$E$10)*($F$10-$E$10)),$G$10-SQRT((1-T958)*($G$10-$E$10)*($G$10-$F$10))))</f>
        <v>1.14329824817385</v>
      </c>
      <c r="G958" s="52" t="n">
        <f aca="false">IF($G$11=$E$11,$F$11,IF(U958&lt;($F$11-$E$11)/($G$11-$E$11),$E$11+SQRT(U958*($G$11-$E$11)*($F$11-$E$11)),$G$11-SQRT((1-U958)*($G$11-$E$11)*($G$11-$F$11))))</f>
        <v>0.112588567603426</v>
      </c>
      <c r="H958" s="53" t="n">
        <f aca="false">(('Business Case'!B11*$C958*'Business Case'!B12*$B958)-'Business Case'!B11*$C958*'Business Case'!B13*$D958-'Business Case'!B14*$E958)-MAX(0,(('Business Case'!B11*$C958*'Business Case'!B12*$B958)-'Business Case'!B11*$C958*'Business Case'!B13*$D958-'Business Case'!B14*$E958))*'Business Case'!$B$7-'Business Case'!$B$8*('Business Case'!B11*$C958*'Business Case'!B12*$B958)-'Business Case'!B15*$F958</f>
        <v>-2286596496.3477</v>
      </c>
      <c r="I958" s="53" t="n">
        <f aca="false">(('Business Case'!C11*$C958*'Business Case'!C12*$B958)-'Business Case'!C11*$C958*'Business Case'!C13*$D958-'Business Case'!C14*$E958)-MAX(0,(('Business Case'!C11*$C958*'Business Case'!C12*$B958)-'Business Case'!C11*$C958*'Business Case'!C13*$D958-'Business Case'!C14*$E958))*'Business Case'!$B$7-'Business Case'!$B$8*(('Business Case'!C11*$C958*'Business Case'!C12*$B958)-('Business Case'!B11*$C958*'Business Case'!B12*$B958))-'Business Case'!C15*$F958</f>
        <v>-31369248.37259</v>
      </c>
      <c r="J958" s="53" t="n">
        <f aca="false">(('Business Case'!D11*$C958*'Business Case'!D12*$B958)-'Business Case'!D11*$C958*'Business Case'!D13*$D958-'Business Case'!D14*$E958)-MAX(0,(('Business Case'!D11*$C958*'Business Case'!D12*$B958)-'Business Case'!D11*$C958*'Business Case'!D13*$D958-'Business Case'!D14*$E958))*'Business Case'!$B$7-'Business Case'!$B$8*(('Business Case'!D11*$C958*'Business Case'!D12*$B958)-('Business Case'!C11*$C958*'Business Case'!C12*$B958))-'Business Case'!D15*$F958</f>
        <v>251883371.053183</v>
      </c>
      <c r="K958" s="53" t="n">
        <f aca="false">(('Business Case'!E11*$C958*'Business Case'!E12*$B958)-'Business Case'!E11*$C958*'Business Case'!E13*$D958-'Business Case'!E14*$E958)-MAX(0,(('Business Case'!E11*$C958*'Business Case'!E12*$B958)-'Business Case'!E11*$C958*'Business Case'!E13*$D958-'Business Case'!E14*$E958))*'Business Case'!$B$7-'Business Case'!$B$8*(('Business Case'!E11*$C958*'Business Case'!E12*$B958)-('Business Case'!D11*$C958*'Business Case'!D12*$B958))-'Business Case'!E15*$F958</f>
        <v>592300902.887648</v>
      </c>
      <c r="L958" s="53" t="n">
        <f aca="false">(('Business Case'!F11*$C958*'Business Case'!F12*$B958)-'Business Case'!F11*$C958*'Business Case'!F13*$D958-'Business Case'!F14*$E958)-MAX(0,(('Business Case'!F11*$C958*'Business Case'!F12*$B958)-'Business Case'!F11*$C958*'Business Case'!F13*$D958-'Business Case'!F14*$E958))*'Business Case'!$B$7-'Business Case'!$B$8*(('Business Case'!F11*$C958*'Business Case'!F12*$B958)-('Business Case'!E11*$C958*'Business Case'!E12*$B958))-'Business Case'!F15*$F958</f>
        <v>722724380.902128</v>
      </c>
      <c r="M958" s="53" t="n">
        <f aca="false">(('Business Case'!G11*$C958*'Business Case'!G12*$B958)-'Business Case'!G11*$C958*'Business Case'!G13*$D958-'Business Case'!G14*$E958)-MAX(0,(('Business Case'!G11*$C958*'Business Case'!G12*$B958)-'Business Case'!G11*$C958*'Business Case'!G13*$D958-'Business Case'!G14*$E958))*'Business Case'!$B$7-'Business Case'!$B$8*(('Business Case'!G11*$C958*'Business Case'!G12*$B958)-('Business Case'!F11*$C958*'Business Case'!F12*$B958))-'Business Case'!G15*$F958+'Business Case'!$B$8*('Business Case'!G11*$C958*'Business Case'!G12*$B958)</f>
        <v>920757041.034516</v>
      </c>
      <c r="N958" s="53" t="n">
        <f aca="false">IF(COUNT('Business Case'!B11:G11)=0,"",H958+NPV(G958,I958:M958))</f>
        <v>-669474698.270547</v>
      </c>
      <c r="P958" s="54" t="n">
        <f aca="true">RAND()</f>
        <v>0.216513695078422</v>
      </c>
      <c r="Q958" s="54" t="n">
        <f aca="true">RAND()</f>
        <v>0.903885390329105</v>
      </c>
      <c r="R958" s="54" t="n">
        <f aca="true">RAND()</f>
        <v>0.779621885373154</v>
      </c>
      <c r="S958" s="54" t="n">
        <f aca="true">RAND()</f>
        <v>0.6612207392593</v>
      </c>
      <c r="T958" s="54" t="n">
        <f aca="true">RAND()</f>
        <v>0.935698226796908</v>
      </c>
      <c r="U958" s="54" t="n">
        <f aca="true">RAND()</f>
        <v>0.908451116385014</v>
      </c>
    </row>
    <row r="959" customFormat="false" ht="15" hidden="false" customHeight="false" outlineLevel="0" collapsed="false">
      <c r="A959" s="50" t="n">
        <v>879</v>
      </c>
      <c r="B959" s="51" t="n">
        <f aca="false">1+IF($G$6=$E$6,$F$6,IF(P959&lt;($F$6-$E$6)/($G$6-$E$6),$E$6+SQRT(P959*($G$6-$E$6)*($F$6-$E$6)),$G$6-SQRT((1-P959)*($G$6-$E$6)*($G$6-$F$6))))</f>
        <v>1.00790586351445</v>
      </c>
      <c r="C959" s="51" t="n">
        <f aca="false">1+IF($G$7=$E$7,$F$7,IF(Q959&lt;($F$7-$E$7)/($G$7-$E$7),$E$7+SQRT(Q959*($G$7-$E$7)*($F$7-$E$7)),$G$7-SQRT((1-Q959)*($G$7-$E$7)*($G$7-$F$7))))</f>
        <v>1.13753591253449</v>
      </c>
      <c r="D959" s="51" t="n">
        <f aca="false">1+IF($G$8=$E$8,$F$8,IF(R959&lt;($F$8-$E$8)/($G$8-$E$8),$E$8+SQRT(R959*($G$8-$E$8)*($F$8-$E$8)),$G$8-SQRT((1-R959)*($G$8-$E$8)*($G$8-$F$8))))</f>
        <v>1.05309013878286</v>
      </c>
      <c r="E959" s="51" t="n">
        <f aca="false">1+IF($G$9=$E$9,$F$9,IF(S959&lt;($F$9-$E$9)/($G$9-$E$9),$E$9+SQRT(S959*($G$9-$E$9)*($F$9-$E$9)),$G$9-SQRT((1-S959)*($G$9-$E$9)*($G$9-$F$9))))</f>
        <v>1.01001254280064</v>
      </c>
      <c r="F959" s="51" t="n">
        <f aca="false">1+IF($G$10=$E$10,$F$10,IF(T959&lt;($F$10-$E$10)/($G$10-$E$10),$E$10+SQRT(T959*($G$10-$E$10)*($F$10-$E$10)),$G$10-SQRT((1-T959)*($G$10-$E$10)*($G$10-$F$10))))</f>
        <v>0.963386554212301</v>
      </c>
      <c r="G959" s="52" t="n">
        <f aca="false">IF($G$11=$E$11,$F$11,IF(U959&lt;($F$11-$E$11)/($G$11-$E$11),$E$11+SQRT(U959*($G$11-$E$11)*($F$11-$E$11)),$G$11-SQRT((1-U959)*($G$11-$E$11)*($G$11-$F$11))))</f>
        <v>0.0912318833937288</v>
      </c>
      <c r="H959" s="53" t="n">
        <f aca="false">(('Business Case'!B11*$C959*'Business Case'!B12*$B959)-'Business Case'!B11*$C959*'Business Case'!B13*$D959-'Business Case'!B14*$E959)-MAX(0,(('Business Case'!B11*$C959*'Business Case'!B12*$B959)-'Business Case'!B11*$C959*'Business Case'!B13*$D959-'Business Case'!B14*$E959))*'Business Case'!$B$7-'Business Case'!$B$8*('Business Case'!B11*$C959*'Business Case'!B12*$B959)-'Business Case'!B15*$F959</f>
        <v>-1926773108.4246</v>
      </c>
      <c r="I959" s="53" t="n">
        <f aca="false">(('Business Case'!C11*$C959*'Business Case'!C12*$B959)-'Business Case'!C11*$C959*'Business Case'!C13*$D959-'Business Case'!C14*$E959)-MAX(0,(('Business Case'!C11*$C959*'Business Case'!C12*$B959)-'Business Case'!C11*$C959*'Business Case'!C13*$D959-'Business Case'!C14*$E959))*'Business Case'!$B$7-'Business Case'!$B$8*(('Business Case'!C11*$C959*'Business Case'!C12*$B959)-('Business Case'!B11*$C959*'Business Case'!B12*$B959))-'Business Case'!C15*$F959</f>
        <v>26448161.8776632</v>
      </c>
      <c r="J959" s="53" t="n">
        <f aca="false">(('Business Case'!D11*$C959*'Business Case'!D12*$B959)-'Business Case'!D11*$C959*'Business Case'!D13*$D959-'Business Case'!D14*$E959)-MAX(0,(('Business Case'!D11*$C959*'Business Case'!D12*$B959)-'Business Case'!D11*$C959*'Business Case'!D13*$D959-'Business Case'!D14*$E959))*'Business Case'!$B$7-'Business Case'!$B$8*(('Business Case'!D11*$C959*'Business Case'!D12*$B959)-('Business Case'!C11*$C959*'Business Case'!C12*$B959))-'Business Case'!D15*$F959</f>
        <v>352294832.146708</v>
      </c>
      <c r="K959" s="53" t="n">
        <f aca="false">(('Business Case'!E11*$C959*'Business Case'!E12*$B959)-'Business Case'!E11*$C959*'Business Case'!E13*$D959-'Business Case'!E14*$E959)-MAX(0,(('Business Case'!E11*$C959*'Business Case'!E12*$B959)-'Business Case'!E11*$C959*'Business Case'!E13*$D959-'Business Case'!E14*$E959))*'Business Case'!$B$7-'Business Case'!$B$8*(('Business Case'!E11*$C959*'Business Case'!E12*$B959)-('Business Case'!D11*$C959*'Business Case'!D12*$B959))-'Business Case'!E15*$F959</f>
        <v>726310830.126368</v>
      </c>
      <c r="L959" s="53" t="n">
        <f aca="false">(('Business Case'!F11*$C959*'Business Case'!F12*$B959)-'Business Case'!F11*$C959*'Business Case'!F13*$D959-'Business Case'!F14*$E959)-MAX(0,(('Business Case'!F11*$C959*'Business Case'!F12*$B959)-'Business Case'!F11*$C959*'Business Case'!F13*$D959-'Business Case'!F14*$E959))*'Business Case'!$B$7-'Business Case'!$B$8*(('Business Case'!F11*$C959*'Business Case'!F12*$B959)-('Business Case'!E11*$C959*'Business Case'!E12*$B959))-'Business Case'!F15*$F959</f>
        <v>874550433.138649</v>
      </c>
      <c r="M959" s="53" t="n">
        <f aca="false">(('Business Case'!G11*$C959*'Business Case'!G12*$B959)-'Business Case'!G11*$C959*'Business Case'!G13*$D959-'Business Case'!G14*$E959)-MAX(0,(('Business Case'!G11*$C959*'Business Case'!G12*$B959)-'Business Case'!G11*$C959*'Business Case'!G13*$D959-'Business Case'!G14*$E959))*'Business Case'!$B$7-'Business Case'!$B$8*(('Business Case'!G11*$C959*'Business Case'!G12*$B959)-('Business Case'!F11*$C959*'Business Case'!F12*$B959))-'Business Case'!G15*$F959+'Business Case'!$B$8*('Business Case'!G11*$C959*'Business Case'!G12*$B959)</f>
        <v>1092482687.54628</v>
      </c>
      <c r="N959" s="53" t="n">
        <f aca="false">IF(COUNT('Business Case'!B11:G11)=0,"",H959+NPV(G959,I959:M959))</f>
        <v>275062957.837722</v>
      </c>
      <c r="P959" s="54" t="n">
        <f aca="true">RAND()</f>
        <v>0.785409667343122</v>
      </c>
      <c r="Q959" s="54" t="n">
        <f aca="true">RAND()</f>
        <v>0.997040886164801</v>
      </c>
      <c r="R959" s="54" t="n">
        <f aca="true">RAND()</f>
        <v>0.930371093199454</v>
      </c>
      <c r="S959" s="54" t="n">
        <f aca="true">RAND()</f>
        <v>0.460150503119592</v>
      </c>
      <c r="T959" s="54" t="n">
        <f aca="true">RAND()</f>
        <v>0.0143359866943104</v>
      </c>
      <c r="U959" s="54" t="n">
        <f aca="true">RAND()</f>
        <v>0.0050584556524824</v>
      </c>
    </row>
    <row r="960" customFormat="false" ht="15" hidden="false" customHeight="false" outlineLevel="0" collapsed="false">
      <c r="A960" s="50" t="n">
        <v>880</v>
      </c>
      <c r="B960" s="51" t="n">
        <f aca="false">1+IF($G$6=$E$6,$F$6,IF(P960&lt;($F$6-$E$6)/($G$6-$E$6),$E$6+SQRT(P960*($G$6-$E$6)*($F$6-$E$6)),$G$6-SQRT((1-P960)*($G$6-$E$6)*($G$6-$F$6))))</f>
        <v>1.00755920556673</v>
      </c>
      <c r="C960" s="51" t="n">
        <f aca="false">1+IF($G$7=$E$7,$F$7,IF(Q960&lt;($F$7-$E$7)/($G$7-$E$7),$E$7+SQRT(Q960*($G$7-$E$7)*($F$7-$E$7)),$G$7-SQRT((1-Q960)*($G$7-$E$7)*($G$7-$F$7))))</f>
        <v>1.05303853389636</v>
      </c>
      <c r="D960" s="51" t="n">
        <f aca="false">1+IF($G$8=$E$8,$F$8,IF(R960&lt;($F$8-$E$8)/($G$8-$E$8),$E$8+SQRT(R960*($G$8-$E$8)*($F$8-$E$8)),$G$8-SQRT((1-R960)*($G$8-$E$8)*($G$8-$F$8))))</f>
        <v>1.06927683566273</v>
      </c>
      <c r="E960" s="51" t="n">
        <f aca="false">1+IF($G$9=$E$9,$F$9,IF(S960&lt;($F$9-$E$9)/($G$9-$E$9),$E$9+SQRT(S960*($G$9-$E$9)*($F$9-$E$9)),$G$9-SQRT((1-S960)*($G$9-$E$9)*($G$9-$F$9))))</f>
        <v>1.00118389903266</v>
      </c>
      <c r="F960" s="51" t="n">
        <f aca="false">1+IF($G$10=$E$10,$F$10,IF(T960&lt;($F$10-$E$10)/($G$10-$E$10),$E$10+SQRT(T960*($G$10-$E$10)*($F$10-$E$10)),$G$10-SQRT((1-T960)*($G$10-$E$10)*($G$10-$F$10))))</f>
        <v>1.05597679677166</v>
      </c>
      <c r="G960" s="52" t="n">
        <f aca="false">IF($G$11=$E$11,$F$11,IF(U960&lt;($F$11-$E$11)/($G$11-$E$11),$E$11+SQRT(U960*($G$11-$E$11)*($F$11-$E$11)),$G$11-SQRT((1-U960)*($G$11-$E$11)*($G$11-$F$11))))</f>
        <v>0.113966969018937</v>
      </c>
      <c r="H960" s="53" t="n">
        <f aca="false">(('Business Case'!B11*$C960*'Business Case'!B12*$B960)-'Business Case'!B11*$C960*'Business Case'!B13*$D960-'Business Case'!B14*$E960)-MAX(0,(('Business Case'!B11*$C960*'Business Case'!B12*$B960)-'Business Case'!B11*$C960*'Business Case'!B13*$D960-'Business Case'!B14*$E960))*'Business Case'!$B$7-'Business Case'!$B$8*('Business Case'!B11*$C960*'Business Case'!B12*$B960)-'Business Case'!B15*$F960</f>
        <v>-2111953593.54332</v>
      </c>
      <c r="I960" s="53" t="n">
        <f aca="false">(('Business Case'!C11*$C960*'Business Case'!C12*$B960)-'Business Case'!C11*$C960*'Business Case'!C13*$D960-'Business Case'!C14*$E960)-MAX(0,(('Business Case'!C11*$C960*'Business Case'!C12*$B960)-'Business Case'!C11*$C960*'Business Case'!C13*$D960-'Business Case'!C14*$E960))*'Business Case'!$B$7-'Business Case'!$B$8*(('Business Case'!C11*$C960*'Business Case'!C12*$B960)-('Business Case'!B11*$C960*'Business Case'!B12*$B960))-'Business Case'!C15*$F960</f>
        <v>-10350552.6158773</v>
      </c>
      <c r="J960" s="53" t="n">
        <f aca="false">(('Business Case'!D11*$C960*'Business Case'!D12*$B960)-'Business Case'!D11*$C960*'Business Case'!D13*$D960-'Business Case'!D14*$E960)-MAX(0,(('Business Case'!D11*$C960*'Business Case'!D12*$B960)-'Business Case'!D11*$C960*'Business Case'!D13*$D960-'Business Case'!D14*$E960))*'Business Case'!$B$7-'Business Case'!$B$8*(('Business Case'!D11*$C960*'Business Case'!D12*$B960)-('Business Case'!C11*$C960*'Business Case'!C12*$B960))-'Business Case'!D15*$F960</f>
        <v>282267095.870349</v>
      </c>
      <c r="K960" s="53" t="n">
        <f aca="false">(('Business Case'!E11*$C960*'Business Case'!E12*$B960)-'Business Case'!E11*$C960*'Business Case'!E13*$D960-'Business Case'!E14*$E960)-MAX(0,(('Business Case'!E11*$C960*'Business Case'!E12*$B960)-'Business Case'!E11*$C960*'Business Case'!E13*$D960-'Business Case'!E14*$E960))*'Business Case'!$B$7-'Business Case'!$B$8*(('Business Case'!E11*$C960*'Business Case'!E12*$B960)-('Business Case'!D11*$C960*'Business Case'!D12*$B960))-'Business Case'!E15*$F960</f>
        <v>627683584.195158</v>
      </c>
      <c r="L960" s="53" t="n">
        <f aca="false">(('Business Case'!F11*$C960*'Business Case'!F12*$B960)-'Business Case'!F11*$C960*'Business Case'!F13*$D960-'Business Case'!F14*$E960)-MAX(0,(('Business Case'!F11*$C960*'Business Case'!F12*$B960)-'Business Case'!F11*$C960*'Business Case'!F13*$D960-'Business Case'!F14*$E960))*'Business Case'!$B$7-'Business Case'!$B$8*(('Business Case'!F11*$C960*'Business Case'!F12*$B960)-('Business Case'!E11*$C960*'Business Case'!E12*$B960))-'Business Case'!F15*$F960</f>
        <v>761890914.345562</v>
      </c>
      <c r="M960" s="53" t="n">
        <f aca="false">(('Business Case'!G11*$C960*'Business Case'!G12*$B960)-'Business Case'!G11*$C960*'Business Case'!G13*$D960-'Business Case'!G14*$E960)-MAX(0,(('Business Case'!G11*$C960*'Business Case'!G12*$B960)-'Business Case'!G11*$C960*'Business Case'!G13*$D960-'Business Case'!G14*$E960))*'Business Case'!$B$7-'Business Case'!$B$8*(('Business Case'!G11*$C960*'Business Case'!G12*$B960)-('Business Case'!F11*$C960*'Business Case'!F12*$B960))-'Business Case'!G15*$F960+'Business Case'!$B$8*('Business Case'!G11*$C960*'Business Case'!G12*$B960)</f>
        <v>963565541.281371</v>
      </c>
      <c r="N960" s="53" t="n">
        <f aca="false">IF(COUNT('Business Case'!B11:G11)=0,"",H960+NPV(G960,I960:M960))</f>
        <v>-383218636.86629</v>
      </c>
      <c r="P960" s="54" t="n">
        <f aca="true">RAND()</f>
        <v>0.78074892844554</v>
      </c>
      <c r="Q960" s="54" t="n">
        <f aca="true">RAND()</f>
        <v>0.82092331601968</v>
      </c>
      <c r="R960" s="54" t="n">
        <f aca="true">RAND()</f>
        <v>0.988943629480374</v>
      </c>
      <c r="S960" s="54" t="n">
        <f aca="true">RAND()</f>
        <v>0.349025212640769</v>
      </c>
      <c r="T960" s="54" t="n">
        <f aca="true">RAND()</f>
        <v>0.585146338636973</v>
      </c>
      <c r="U960" s="54" t="n">
        <f aca="true">RAND()</f>
        <v>0.939337561969215</v>
      </c>
    </row>
    <row r="961" customFormat="false" ht="15" hidden="false" customHeight="false" outlineLevel="0" collapsed="false">
      <c r="A961" s="50" t="n">
        <v>881</v>
      </c>
      <c r="B961" s="51" t="n">
        <f aca="false">1+IF($G$6=$E$6,$F$6,IF(P961&lt;($F$6-$E$6)/($G$6-$E$6),$E$6+SQRT(P961*($G$6-$E$6)*($F$6-$E$6)),$G$6-SQRT((1-P961)*($G$6-$E$6)*($G$6-$F$6))))</f>
        <v>0.994166226946949</v>
      </c>
      <c r="C961" s="51" t="n">
        <f aca="false">1+IF($G$7=$E$7,$F$7,IF(Q961&lt;($F$7-$E$7)/($G$7-$E$7),$E$7+SQRT(Q961*($G$7-$E$7)*($F$7-$E$7)),$G$7-SQRT((1-Q961)*($G$7-$E$7)*($G$7-$F$7))))</f>
        <v>0.992499998827446</v>
      </c>
      <c r="D961" s="51" t="n">
        <f aca="false">1+IF($G$8=$E$8,$F$8,IF(R961&lt;($F$8-$E$8)/($G$8-$E$8),$E$8+SQRT(R961*($G$8-$E$8)*($F$8-$E$8)),$G$8-SQRT((1-R961)*($G$8-$E$8)*($G$8-$F$8))))</f>
        <v>0.98779782992716</v>
      </c>
      <c r="E961" s="51" t="n">
        <f aca="false">1+IF($G$9=$E$9,$F$9,IF(S961&lt;($F$9-$E$9)/($G$9-$E$9),$E$9+SQRT(S961*($G$9-$E$9)*($F$9-$E$9)),$G$9-SQRT((1-S961)*($G$9-$E$9)*($G$9-$F$9))))</f>
        <v>1.09235668227788</v>
      </c>
      <c r="F961" s="51" t="n">
        <f aca="false">1+IF($G$10=$E$10,$F$10,IF(T961&lt;($F$10-$E$10)/($G$10-$E$10),$E$10+SQRT(T961*($G$10-$E$10)*($F$10-$E$10)),$G$10-SQRT((1-T961)*($G$10-$E$10)*($G$10-$F$10))))</f>
        <v>1.01763856972208</v>
      </c>
      <c r="G961" s="52" t="n">
        <f aca="false">IF($G$11=$E$11,$F$11,IF(U961&lt;($F$11-$E$11)/($G$11-$E$11),$E$11+SQRT(U961*($G$11-$E$11)*($F$11-$E$11)),$G$11-SQRT((1-U961)*($G$11-$E$11)*($G$11-$F$11))))</f>
        <v>0.105595162917405</v>
      </c>
      <c r="H961" s="53" t="n">
        <f aca="false">(('Business Case'!B11*$C961*'Business Case'!B12*$B961)-'Business Case'!B11*$C961*'Business Case'!B13*$D961-'Business Case'!B14*$E961)-MAX(0,(('Business Case'!B11*$C961*'Business Case'!B12*$B961)-'Business Case'!B11*$C961*'Business Case'!B13*$D961-'Business Case'!B14*$E961))*'Business Case'!$B$7-'Business Case'!$B$8*('Business Case'!B11*$C961*'Business Case'!B12*$B961)-'Business Case'!B15*$F961</f>
        <v>-2035277139.44416</v>
      </c>
      <c r="I961" s="53" t="n">
        <f aca="false">(('Business Case'!C11*$C961*'Business Case'!C12*$B961)-'Business Case'!C11*$C961*'Business Case'!C13*$D961-'Business Case'!C14*$E961)-MAX(0,(('Business Case'!C11*$C961*'Business Case'!C12*$B961)-'Business Case'!C11*$C961*'Business Case'!C13*$D961-'Business Case'!C14*$E961))*'Business Case'!$B$7-'Business Case'!$B$8*(('Business Case'!C11*$C961*'Business Case'!C12*$B961)-('Business Case'!B11*$C961*'Business Case'!B12*$B961))-'Business Case'!C15*$F961</f>
        <v>-1942420.03844167</v>
      </c>
      <c r="J961" s="53" t="n">
        <f aca="false">(('Business Case'!D11*$C961*'Business Case'!D12*$B961)-'Business Case'!D11*$C961*'Business Case'!D13*$D961-'Business Case'!D14*$E961)-MAX(0,(('Business Case'!D11*$C961*'Business Case'!D12*$B961)-'Business Case'!D11*$C961*'Business Case'!D13*$D961-'Business Case'!D14*$E961))*'Business Case'!$B$7-'Business Case'!$B$8*(('Business Case'!D11*$C961*'Business Case'!D12*$B961)-('Business Case'!C11*$C961*'Business Case'!C12*$B961))-'Business Case'!D15*$F961</f>
        <v>304363182.430702</v>
      </c>
      <c r="K961" s="53" t="n">
        <f aca="false">(('Business Case'!E11*$C961*'Business Case'!E12*$B961)-'Business Case'!E11*$C961*'Business Case'!E13*$D961-'Business Case'!E14*$E961)-MAX(0,(('Business Case'!E11*$C961*'Business Case'!E12*$B961)-'Business Case'!E11*$C961*'Business Case'!E13*$D961-'Business Case'!E14*$E961))*'Business Case'!$B$7-'Business Case'!$B$8*(('Business Case'!E11*$C961*'Business Case'!E12*$B961)-('Business Case'!D11*$C961*'Business Case'!D12*$B961))-'Business Case'!E15*$F961</f>
        <v>661550713.38595</v>
      </c>
      <c r="L961" s="53" t="n">
        <f aca="false">(('Business Case'!F11*$C961*'Business Case'!F12*$B961)-'Business Case'!F11*$C961*'Business Case'!F13*$D961-'Business Case'!F14*$E961)-MAX(0,(('Business Case'!F11*$C961*'Business Case'!F12*$B961)-'Business Case'!F11*$C961*'Business Case'!F13*$D961-'Business Case'!F14*$E961))*'Business Case'!$B$7-'Business Case'!$B$8*(('Business Case'!F11*$C961*'Business Case'!F12*$B961)-('Business Case'!E11*$C961*'Business Case'!E12*$B961))-'Business Case'!F15*$F961</f>
        <v>797753277.752639</v>
      </c>
      <c r="M961" s="53" t="n">
        <f aca="false">(('Business Case'!G11*$C961*'Business Case'!G12*$B961)-'Business Case'!G11*$C961*'Business Case'!G13*$D961-'Business Case'!G14*$E961)-MAX(0,(('Business Case'!G11*$C961*'Business Case'!G12*$B961)-'Business Case'!G11*$C961*'Business Case'!G13*$D961-'Business Case'!G14*$E961))*'Business Case'!$B$7-'Business Case'!$B$8*(('Business Case'!G11*$C961*'Business Case'!G12*$B961)-('Business Case'!F11*$C961*'Business Case'!F12*$B961))-'Business Case'!G15*$F961+'Business Case'!$B$8*('Business Case'!G11*$C961*'Business Case'!G12*$B961)</f>
        <v>985307110.576001</v>
      </c>
      <c r="N961" s="53" t="n">
        <f aca="false">IF(COUNT('Business Case'!B11:G11)=0,"",H961+NPV(G961,I961:M961))</f>
        <v>-168105945.326395</v>
      </c>
      <c r="P961" s="54" t="n">
        <f aca="true">RAND()</f>
        <v>0.572982210369408</v>
      </c>
      <c r="Q961" s="54" t="n">
        <f aca="true">RAND()</f>
        <v>0.529374993550954</v>
      </c>
      <c r="R961" s="54" t="n">
        <f aca="true">RAND()</f>
        <v>0.219796299569618</v>
      </c>
      <c r="S961" s="54" t="n">
        <f aca="true">RAND()</f>
        <v>0.996105312946586</v>
      </c>
      <c r="T961" s="54" t="n">
        <f aca="true">RAND()</f>
        <v>0.334886174939842</v>
      </c>
      <c r="U961" s="54" t="n">
        <f aca="true">RAND()</f>
        <v>0.654167781039829</v>
      </c>
    </row>
    <row r="962" customFormat="false" ht="15" hidden="false" customHeight="false" outlineLevel="0" collapsed="false">
      <c r="A962" s="50" t="n">
        <v>882</v>
      </c>
      <c r="B962" s="51" t="n">
        <f aca="false">1+IF($G$6=$E$6,$F$6,IF(P962&lt;($F$6-$E$6)/($G$6-$E$6),$E$6+SQRT(P962*($G$6-$E$6)*($F$6-$E$6)),$G$6-SQRT((1-P962)*($G$6-$E$6)*($G$6-$F$6))))</f>
        <v>1.01138728663826</v>
      </c>
      <c r="C962" s="51" t="n">
        <f aca="false">1+IF($G$7=$E$7,$F$7,IF(Q962&lt;($F$7-$E$7)/($G$7-$E$7),$E$7+SQRT(Q962*($G$7-$E$7)*($F$7-$E$7)),$G$7-SQRT((1-Q962)*($G$7-$E$7)*($G$7-$F$7))))</f>
        <v>0.968515094125186</v>
      </c>
      <c r="D962" s="51" t="n">
        <f aca="false">1+IF($G$8=$E$8,$F$8,IF(R962&lt;($F$8-$E$8)/($G$8-$E$8),$E$8+SQRT(R962*($G$8-$E$8)*($F$8-$E$8)),$G$8-SQRT((1-R962)*($G$8-$E$8)*($G$8-$F$8))))</f>
        <v>0.964851932954738</v>
      </c>
      <c r="E962" s="51" t="n">
        <f aca="false">1+IF($G$9=$E$9,$F$9,IF(S962&lt;($F$9-$E$9)/($G$9-$E$9),$E$9+SQRT(S962*($G$9-$E$9)*($F$9-$E$9)),$G$9-SQRT((1-S962)*($G$9-$E$9)*($G$9-$F$9))))</f>
        <v>1.07613943418782</v>
      </c>
      <c r="F962" s="51" t="n">
        <f aca="false">1+IF($G$10=$E$10,$F$10,IF(T962&lt;($F$10-$E$10)/($G$10-$E$10),$E$10+SQRT(T962*($G$10-$E$10)*($F$10-$E$10)),$G$10-SQRT((1-T962)*($G$10-$E$10)*($G$10-$F$10))))</f>
        <v>1.07134923850787</v>
      </c>
      <c r="G962" s="52" t="n">
        <f aca="false">IF($G$11=$E$11,$F$11,IF(U962&lt;($F$11-$E$11)/($G$11-$E$11),$E$11+SQRT(U962*($G$11-$E$11)*($F$11-$E$11)),$G$11-SQRT((1-U962)*($G$11-$E$11)*($G$11-$F$11))))</f>
        <v>0.1014570106068</v>
      </c>
      <c r="H962" s="53" t="n">
        <f aca="false">(('Business Case'!B11*$C962*'Business Case'!B12*$B962)-'Business Case'!B11*$C962*'Business Case'!B13*$D962-'Business Case'!B14*$E962)-MAX(0,(('Business Case'!B11*$C962*'Business Case'!B12*$B962)-'Business Case'!B11*$C962*'Business Case'!B13*$D962-'Business Case'!B14*$E962))*'Business Case'!$B$7-'Business Case'!$B$8*('Business Case'!B11*$C962*'Business Case'!B12*$B962)-'Business Case'!B15*$F962</f>
        <v>-2142698477.01574</v>
      </c>
      <c r="I962" s="53" t="n">
        <f aca="false">(('Business Case'!C11*$C962*'Business Case'!C12*$B962)-'Business Case'!C11*$C962*'Business Case'!C13*$D962-'Business Case'!C14*$E962)-MAX(0,(('Business Case'!C11*$C962*'Business Case'!C12*$B962)-'Business Case'!C11*$C962*'Business Case'!C13*$D962-'Business Case'!C14*$E962))*'Business Case'!$B$7-'Business Case'!$B$8*(('Business Case'!C11*$C962*'Business Case'!C12*$B962)-('Business Case'!B11*$C962*'Business Case'!B12*$B962))-'Business Case'!C15*$F962</f>
        <v>12999681.7548349</v>
      </c>
      <c r="J962" s="53" t="n">
        <f aca="false">(('Business Case'!D11*$C962*'Business Case'!D12*$B962)-'Business Case'!D11*$C962*'Business Case'!D13*$D962-'Business Case'!D14*$E962)-MAX(0,(('Business Case'!D11*$C962*'Business Case'!D12*$B962)-'Business Case'!D11*$C962*'Business Case'!D13*$D962-'Business Case'!D14*$E962))*'Business Case'!$B$7-'Business Case'!$B$8*(('Business Case'!D11*$C962*'Business Case'!D12*$B962)-('Business Case'!C11*$C962*'Business Case'!C12*$B962))-'Business Case'!D15*$F962</f>
        <v>336940868.247471</v>
      </c>
      <c r="K962" s="53" t="n">
        <f aca="false">(('Business Case'!E11*$C962*'Business Case'!E12*$B962)-'Business Case'!E11*$C962*'Business Case'!E13*$D962-'Business Case'!E14*$E962)-MAX(0,(('Business Case'!E11*$C962*'Business Case'!E12*$B962)-'Business Case'!E11*$C962*'Business Case'!E13*$D962-'Business Case'!E14*$E962))*'Business Case'!$B$7-'Business Case'!$B$8*(('Business Case'!E11*$C962*'Business Case'!E12*$B962)-('Business Case'!D11*$C962*'Business Case'!D12*$B962))-'Business Case'!E15*$F962</f>
        <v>714449516.665501</v>
      </c>
      <c r="L962" s="53" t="n">
        <f aca="false">(('Business Case'!F11*$C962*'Business Case'!F12*$B962)-'Business Case'!F11*$C962*'Business Case'!F13*$D962-'Business Case'!F14*$E962)-MAX(0,(('Business Case'!F11*$C962*'Business Case'!F12*$B962)-'Business Case'!F11*$C962*'Business Case'!F13*$D962-'Business Case'!F14*$E962))*'Business Case'!$B$7-'Business Case'!$B$8*(('Business Case'!F11*$C962*'Business Case'!F12*$B962)-('Business Case'!E11*$C962*'Business Case'!E12*$B962))-'Business Case'!F15*$F962</f>
        <v>856282947.726717</v>
      </c>
      <c r="M962" s="53" t="n">
        <f aca="false">(('Business Case'!G11*$C962*'Business Case'!G12*$B962)-'Business Case'!G11*$C962*'Business Case'!G13*$D962-'Business Case'!G14*$E962)-MAX(0,(('Business Case'!G11*$C962*'Business Case'!G12*$B962)-'Business Case'!G11*$C962*'Business Case'!G13*$D962-'Business Case'!G14*$E962))*'Business Case'!$B$7-'Business Case'!$B$8*(('Business Case'!G11*$C962*'Business Case'!G12*$B962)-('Business Case'!F11*$C962*'Business Case'!F12*$B962))-'Business Case'!G15*$F962+'Business Case'!$B$8*('Business Case'!G11*$C962*'Business Case'!G12*$B962)</f>
        <v>1042474643.32691</v>
      </c>
      <c r="N962" s="53" t="n">
        <f aca="false">IF(COUNT('Business Case'!B11:G11)=0,"",H962+NPV(G962,I962:M962))</f>
        <v>-93730583.9787228</v>
      </c>
      <c r="P962" s="54" t="n">
        <f aca="true">RAND()</f>
        <v>0.829440132099793</v>
      </c>
      <c r="Q962" s="54" t="n">
        <f aca="true">RAND()</f>
        <v>0.405676242114576</v>
      </c>
      <c r="R962" s="54" t="n">
        <f aca="true">RAND()</f>
        <v>0.033935371152621</v>
      </c>
      <c r="S962" s="54" t="n">
        <f aca="true">RAND()</f>
        <v>0.962044893274847</v>
      </c>
      <c r="T962" s="54" t="n">
        <f aca="true">RAND()</f>
        <v>0.668979631349897</v>
      </c>
      <c r="U962" s="54" t="n">
        <f aca="true">RAND()</f>
        <v>0.426929240606115</v>
      </c>
    </row>
    <row r="963" customFormat="false" ht="15" hidden="false" customHeight="false" outlineLevel="0" collapsed="false">
      <c r="A963" s="50" t="n">
        <v>883</v>
      </c>
      <c r="B963" s="51" t="n">
        <f aca="false">1+IF($G$6=$E$6,$F$6,IF(P963&lt;($F$6-$E$6)/($G$6-$E$6),$E$6+SQRT(P963*($G$6-$E$6)*($F$6-$E$6)),$G$6-SQRT((1-P963)*($G$6-$E$6)*($G$6-$F$6))))</f>
        <v>0.967109520286508</v>
      </c>
      <c r="C963" s="51" t="n">
        <f aca="false">1+IF($G$7=$E$7,$F$7,IF(Q963&lt;($F$7-$E$7)/($G$7-$E$7),$E$7+SQRT(Q963*($G$7-$E$7)*($F$7-$E$7)),$G$7-SQRT((1-Q963)*($G$7-$E$7)*($G$7-$F$7))))</f>
        <v>1.09864679683236</v>
      </c>
      <c r="D963" s="51" t="n">
        <f aca="false">1+IF($G$8=$E$8,$F$8,IF(R963&lt;($F$8-$E$8)/($G$8-$E$8),$E$8+SQRT(R963*($G$8-$E$8)*($F$8-$E$8)),$G$8-SQRT((1-R963)*($G$8-$E$8)*($G$8-$F$8))))</f>
        <v>0.993445469958648</v>
      </c>
      <c r="E963" s="51" t="n">
        <f aca="false">1+IF($G$9=$E$9,$F$9,IF(S963&lt;($F$9-$E$9)/($G$9-$E$9),$E$9+SQRT(S963*($G$9-$E$9)*($F$9-$E$9)),$G$9-SQRT((1-S963)*($G$9-$E$9)*($G$9-$F$9))))</f>
        <v>1.03565158160325</v>
      </c>
      <c r="F963" s="51" t="n">
        <f aca="false">1+IF($G$10=$E$10,$F$10,IF(T963&lt;($F$10-$E$10)/($G$10-$E$10),$E$10+SQRT(T963*($G$10-$E$10)*($F$10-$E$10)),$G$10-SQRT((1-T963)*($G$10-$E$10)*($G$10-$F$10))))</f>
        <v>1.12492148999283</v>
      </c>
      <c r="G963" s="52" t="n">
        <f aca="false">IF($G$11=$E$11,$F$11,IF(U963&lt;($F$11-$E$11)/($G$11-$E$11),$E$11+SQRT(U963*($G$11-$E$11)*($F$11-$E$11)),$G$11-SQRT((1-U963)*($G$11-$E$11)*($G$11-$F$11))))</f>
        <v>0.102816416354854</v>
      </c>
      <c r="H963" s="53" t="n">
        <f aca="false">(('Business Case'!B11*$C963*'Business Case'!B12*$B963)-'Business Case'!B11*$C963*'Business Case'!B13*$D963-'Business Case'!B14*$E963)-MAX(0,(('Business Case'!B11*$C963*'Business Case'!B12*$B963)-'Business Case'!B11*$C963*'Business Case'!B13*$D963-'Business Case'!B14*$E963))*'Business Case'!$B$7-'Business Case'!$B$8*('Business Case'!B11*$C963*'Business Case'!B12*$B963)-'Business Case'!B15*$F963</f>
        <v>-2249842979.98566</v>
      </c>
      <c r="I963" s="53" t="n">
        <f aca="false">(('Business Case'!C11*$C963*'Business Case'!C12*$B963)-'Business Case'!C11*$C963*'Business Case'!C13*$D963-'Business Case'!C14*$E963)-MAX(0,(('Business Case'!C11*$C963*'Business Case'!C12*$B963)-'Business Case'!C11*$C963*'Business Case'!C13*$D963-'Business Case'!C14*$E963))*'Business Case'!$B$7-'Business Case'!$B$8*(('Business Case'!C11*$C963*'Business Case'!C12*$B963)-('Business Case'!B11*$C963*'Business Case'!B12*$B963))-'Business Case'!C15*$F963</f>
        <v>-3301642.72635624</v>
      </c>
      <c r="J963" s="53" t="n">
        <f aca="false">(('Business Case'!D11*$C963*'Business Case'!D12*$B963)-'Business Case'!D11*$C963*'Business Case'!D13*$D963-'Business Case'!D14*$E963)-MAX(0,(('Business Case'!D11*$C963*'Business Case'!D12*$B963)-'Business Case'!D11*$C963*'Business Case'!D13*$D963-'Business Case'!D14*$E963))*'Business Case'!$B$7-'Business Case'!$B$8*(('Business Case'!D11*$C963*'Business Case'!D12*$B963)-('Business Case'!C11*$C963*'Business Case'!C12*$B963))-'Business Case'!D15*$F963</f>
        <v>308239128.952029</v>
      </c>
      <c r="K963" s="53" t="n">
        <f aca="false">(('Business Case'!E11*$C963*'Business Case'!E12*$B963)-'Business Case'!E11*$C963*'Business Case'!E13*$D963-'Business Case'!E14*$E963)-MAX(0,(('Business Case'!E11*$C963*'Business Case'!E12*$B963)-'Business Case'!E11*$C963*'Business Case'!E13*$D963-'Business Case'!E14*$E963))*'Business Case'!$B$7-'Business Case'!$B$8*(('Business Case'!E11*$C963*'Business Case'!E12*$B963)-('Business Case'!D11*$C963*'Business Case'!D12*$B963))-'Business Case'!E15*$F963</f>
        <v>676025975.130056</v>
      </c>
      <c r="L963" s="53" t="n">
        <f aca="false">(('Business Case'!F11*$C963*'Business Case'!F12*$B963)-'Business Case'!F11*$C963*'Business Case'!F13*$D963-'Business Case'!F14*$E963)-MAX(0,(('Business Case'!F11*$C963*'Business Case'!F12*$B963)-'Business Case'!F11*$C963*'Business Case'!F13*$D963-'Business Case'!F14*$E963))*'Business Case'!$B$7-'Business Case'!$B$8*(('Business Case'!F11*$C963*'Business Case'!F12*$B963)-('Business Case'!E11*$C963*'Business Case'!E12*$B963))-'Business Case'!F15*$F963</f>
        <v>816593306.023835</v>
      </c>
      <c r="M963" s="53" t="n">
        <f aca="false">(('Business Case'!G11*$C963*'Business Case'!G12*$B963)-'Business Case'!G11*$C963*'Business Case'!G13*$D963-'Business Case'!G14*$E963)-MAX(0,(('Business Case'!G11*$C963*'Business Case'!G12*$B963)-'Business Case'!G11*$C963*'Business Case'!G13*$D963-'Business Case'!G14*$E963))*'Business Case'!$B$7-'Business Case'!$B$8*(('Business Case'!G11*$C963*'Business Case'!G12*$B963)-('Business Case'!F11*$C963*'Business Case'!F12*$B963))-'Business Case'!G15*$F963+'Business Case'!$B$8*('Business Case'!G11*$C963*'Business Case'!G12*$B963)</f>
        <v>1018555544.52925</v>
      </c>
      <c r="N963" s="53" t="n">
        <f aca="false">IF(COUNT('Business Case'!B11:G11)=0,"",H963+NPV(G963,I963:M963))</f>
        <v>-318889651.417083</v>
      </c>
      <c r="P963" s="54" t="n">
        <f aca="true">RAND()</f>
        <v>0.231177802252597</v>
      </c>
      <c r="Q963" s="54" t="n">
        <f aca="true">RAND()</f>
        <v>0.949768543322347</v>
      </c>
      <c r="R963" s="54" t="n">
        <f aca="true">RAND()</f>
        <v>0.290385978450429</v>
      </c>
      <c r="S963" s="54" t="n">
        <f aca="true">RAND()</f>
        <v>0.723952069989109</v>
      </c>
      <c r="T963" s="54" t="n">
        <f aca="true">RAND()</f>
        <v>0.887264346702066</v>
      </c>
      <c r="U963" s="54" t="n">
        <f aca="true">RAND()</f>
        <v>0.507874088517128</v>
      </c>
    </row>
    <row r="964" customFormat="false" ht="15" hidden="false" customHeight="false" outlineLevel="0" collapsed="false">
      <c r="A964" s="50" t="n">
        <v>884</v>
      </c>
      <c r="B964" s="51" t="n">
        <f aca="false">1+IF($G$6=$E$6,$F$6,IF(P964&lt;($F$6-$E$6)/($G$6-$E$6),$E$6+SQRT(P964*($G$6-$E$6)*($F$6-$E$6)),$G$6-SQRT((1-P964)*($G$6-$E$6)*($G$6-$F$6))))</f>
        <v>1.00503849792705</v>
      </c>
      <c r="C964" s="51" t="n">
        <f aca="false">1+IF($G$7=$E$7,$F$7,IF(Q964&lt;($F$7-$E$7)/($G$7-$E$7),$E$7+SQRT(Q964*($G$7-$E$7)*($F$7-$E$7)),$G$7-SQRT((1-Q964)*($G$7-$E$7)*($G$7-$F$7))))</f>
        <v>1.07911208767177</v>
      </c>
      <c r="D964" s="51" t="n">
        <f aca="false">1+IF($G$8=$E$8,$F$8,IF(R964&lt;($F$8-$E$8)/($G$8-$E$8),$E$8+SQRT(R964*($G$8-$E$8)*($F$8-$E$8)),$G$8-SQRT((1-R964)*($G$8-$E$8)*($G$8-$F$8))))</f>
        <v>0.966505516410005</v>
      </c>
      <c r="E964" s="51" t="n">
        <f aca="false">1+IF($G$9=$E$9,$F$9,IF(S964&lt;($F$9-$E$9)/($G$9-$E$9),$E$9+SQRT(S964*($G$9-$E$9)*($F$9-$E$9)),$G$9-SQRT((1-S964)*($G$9-$E$9)*($G$9-$F$9))))</f>
        <v>1.01222091660001</v>
      </c>
      <c r="F964" s="51" t="n">
        <f aca="false">1+IF($G$10=$E$10,$F$10,IF(T964&lt;($F$10-$E$10)/($G$10-$E$10),$E$10+SQRT(T964*($G$10-$E$10)*($F$10-$E$10)),$G$10-SQRT((1-T964)*($G$10-$E$10)*($G$10-$F$10))))</f>
        <v>0.991908343218506</v>
      </c>
      <c r="G964" s="52" t="n">
        <f aca="false">IF($G$11=$E$11,$F$11,IF(U964&lt;($F$11-$E$11)/($G$11-$E$11),$E$11+SQRT(U964*($G$11-$E$11)*($F$11-$E$11)),$G$11-SQRT((1-U964)*($G$11-$E$11)*($G$11-$F$11))))</f>
        <v>0.109143062952475</v>
      </c>
      <c r="H964" s="53" t="n">
        <f aca="false">(('Business Case'!B11*$C964*'Business Case'!B12*$B964)-'Business Case'!B11*$C964*'Business Case'!B13*$D964-'Business Case'!B14*$E964)-MAX(0,(('Business Case'!B11*$C964*'Business Case'!B12*$B964)-'Business Case'!B11*$C964*'Business Case'!B13*$D964-'Business Case'!B14*$E964))*'Business Case'!$B$7-'Business Case'!$B$8*('Business Case'!B11*$C964*'Business Case'!B12*$B964)-'Business Case'!B15*$F964</f>
        <v>-1983816686.43701</v>
      </c>
      <c r="I964" s="53" t="n">
        <f aca="false">(('Business Case'!C11*$C964*'Business Case'!C12*$B964)-'Business Case'!C11*$C964*'Business Case'!C13*$D964-'Business Case'!C14*$E964)-MAX(0,(('Business Case'!C11*$C964*'Business Case'!C12*$B964)-'Business Case'!C11*$C964*'Business Case'!C13*$D964-'Business Case'!C14*$E964))*'Business Case'!$B$7-'Business Case'!$B$8*(('Business Case'!C11*$C964*'Business Case'!C12*$B964)-('Business Case'!B11*$C964*'Business Case'!B12*$B964))-'Business Case'!C15*$F964</f>
        <v>55056127.9916123</v>
      </c>
      <c r="J964" s="53" t="n">
        <f aca="false">(('Business Case'!D11*$C964*'Business Case'!D12*$B964)-'Business Case'!D11*$C964*'Business Case'!D13*$D964-'Business Case'!D14*$E964)-MAX(0,(('Business Case'!D11*$C964*'Business Case'!D12*$B964)-'Business Case'!D11*$C964*'Business Case'!D13*$D964-'Business Case'!D14*$E964))*'Business Case'!$B$7-'Business Case'!$B$8*(('Business Case'!D11*$C964*'Business Case'!D12*$B964)-('Business Case'!C11*$C964*'Business Case'!C12*$B964))-'Business Case'!D15*$F964</f>
        <v>409463934.742731</v>
      </c>
      <c r="K964" s="53" t="n">
        <f aca="false">(('Business Case'!E11*$C964*'Business Case'!E12*$B964)-'Business Case'!E11*$C964*'Business Case'!E13*$D964-'Business Case'!E14*$E964)-MAX(0,(('Business Case'!E11*$C964*'Business Case'!E12*$B964)-'Business Case'!E11*$C964*'Business Case'!E13*$D964-'Business Case'!E14*$E964))*'Business Case'!$B$7-'Business Case'!$B$8*(('Business Case'!E11*$C964*'Business Case'!E12*$B964)-('Business Case'!D11*$C964*'Business Case'!D12*$B964))-'Business Case'!E15*$F964</f>
        <v>813467158.654774</v>
      </c>
      <c r="L964" s="53" t="n">
        <f aca="false">(('Business Case'!F11*$C964*'Business Case'!F12*$B964)-'Business Case'!F11*$C964*'Business Case'!F13*$D964-'Business Case'!F14*$E964)-MAX(0,(('Business Case'!F11*$C964*'Business Case'!F12*$B964)-'Business Case'!F11*$C964*'Business Case'!F13*$D964-'Business Case'!F14*$E964))*'Business Case'!$B$7-'Business Case'!$B$8*(('Business Case'!F11*$C964*'Business Case'!F12*$B964)-('Business Case'!E11*$C964*'Business Case'!E12*$B964))-'Business Case'!F15*$F964</f>
        <v>969085114.303237</v>
      </c>
      <c r="M964" s="53" t="n">
        <f aca="false">(('Business Case'!G11*$C964*'Business Case'!G12*$B964)-'Business Case'!G11*$C964*'Business Case'!G13*$D964-'Business Case'!G14*$E964)-MAX(0,(('Business Case'!G11*$C964*'Business Case'!G12*$B964)-'Business Case'!G11*$C964*'Business Case'!G13*$D964-'Business Case'!G14*$E964))*'Business Case'!$B$7-'Business Case'!$B$8*(('Business Case'!G11*$C964*'Business Case'!G12*$B964)-('Business Case'!F11*$C964*'Business Case'!F12*$B964))-'Business Case'!G15*$F964+'Business Case'!$B$8*('Business Case'!G11*$C964*'Business Case'!G12*$B964)</f>
        <v>1175236224.6594</v>
      </c>
      <c r="N964" s="53" t="n">
        <f aca="false">IF(COUNT('Business Case'!B11:G11)=0,"",H964+NPV(G964,I964:M964))</f>
        <v>335330922.595823</v>
      </c>
      <c r="P964" s="54" t="n">
        <f aca="true">RAND()</f>
        <v>0.745352786000613</v>
      </c>
      <c r="Q964" s="54" t="n">
        <f aca="true">RAND()</f>
        <v>0.904283883538002</v>
      </c>
      <c r="R964" s="54" t="n">
        <f aca="true">RAND()</f>
        <v>0.0419126264555304</v>
      </c>
      <c r="S964" s="54" t="n">
        <f aca="true">RAND()</f>
        <v>0.486322167830464</v>
      </c>
      <c r="T964" s="54" t="n">
        <f aca="true">RAND()</f>
        <v>0.14050473850561</v>
      </c>
      <c r="U964" s="54" t="n">
        <f aca="true">RAND()</f>
        <v>0.803544863243482</v>
      </c>
    </row>
    <row r="965" customFormat="false" ht="15" hidden="false" customHeight="false" outlineLevel="0" collapsed="false">
      <c r="A965" s="50" t="n">
        <v>885</v>
      </c>
      <c r="B965" s="51" t="n">
        <f aca="false">1+IF($G$6=$E$6,$F$6,IF(P965&lt;($F$6-$E$6)/($G$6-$E$6),$E$6+SQRT(P965*($G$6-$E$6)*($F$6-$E$6)),$G$6-SQRT((1-P965)*($G$6-$E$6)*($G$6-$F$6))))</f>
        <v>1.00593914193095</v>
      </c>
      <c r="C965" s="51" t="n">
        <f aca="false">1+IF($G$7=$E$7,$F$7,IF(Q965&lt;($F$7-$E$7)/($G$7-$E$7),$E$7+SQRT(Q965*($G$7-$E$7)*($F$7-$E$7)),$G$7-SQRT((1-Q965)*($G$7-$E$7)*($G$7-$F$7))))</f>
        <v>0.944846713035837</v>
      </c>
      <c r="D965" s="51" t="n">
        <f aca="false">1+IF($G$8=$E$8,$F$8,IF(R965&lt;($F$8-$E$8)/($G$8-$E$8),$E$8+SQRT(R965*($G$8-$E$8)*($F$8-$E$8)),$G$8-SQRT((1-R965)*($G$8-$E$8)*($G$8-$F$8))))</f>
        <v>1.02843507771821</v>
      </c>
      <c r="E965" s="51" t="n">
        <f aca="false">1+IF($G$9=$E$9,$F$9,IF(S965&lt;($F$9-$E$9)/($G$9-$E$9),$E$9+SQRT(S965*($G$9-$E$9)*($F$9-$E$9)),$G$9-SQRT((1-S965)*($G$9-$E$9)*($G$9-$F$9))))</f>
        <v>1.00394219181786</v>
      </c>
      <c r="F965" s="51" t="n">
        <f aca="false">1+IF($G$10=$E$10,$F$10,IF(T965&lt;($F$10-$E$10)/($G$10-$E$10),$E$10+SQRT(T965*($G$10-$E$10)*($F$10-$E$10)),$G$10-SQRT((1-T965)*($G$10-$E$10)*($G$10-$F$10))))</f>
        <v>1.14595965207796</v>
      </c>
      <c r="G965" s="52" t="n">
        <f aca="false">IF($G$11=$E$11,$F$11,IF(U965&lt;($F$11-$E$11)/($G$11-$E$11),$E$11+SQRT(U965*($G$11-$E$11)*($F$11-$E$11)),$G$11-SQRT((1-U965)*($G$11-$E$11)*($G$11-$F$11))))</f>
        <v>0.0973414102612185</v>
      </c>
      <c r="H965" s="53" t="n">
        <f aca="false">(('Business Case'!B11*$C965*'Business Case'!B12*$B965)-'Business Case'!B11*$C965*'Business Case'!B13*$D965-'Business Case'!B14*$E965)-MAX(0,(('Business Case'!B11*$C965*'Business Case'!B12*$B965)-'Business Case'!B11*$C965*'Business Case'!B13*$D965-'Business Case'!B14*$E965))*'Business Case'!$B$7-'Business Case'!$B$8*('Business Case'!B11*$C965*'Business Case'!B12*$B965)-'Business Case'!B15*$F965</f>
        <v>-2291919304.15592</v>
      </c>
      <c r="I965" s="53" t="n">
        <f aca="false">(('Business Case'!C11*$C965*'Business Case'!C12*$B965)-'Business Case'!C11*$C965*'Business Case'!C13*$D965-'Business Case'!C14*$E965)-MAX(0,(('Business Case'!C11*$C965*'Business Case'!C12*$B965)-'Business Case'!C11*$C965*'Business Case'!C13*$D965-'Business Case'!C14*$E965))*'Business Case'!$B$7-'Business Case'!$B$8*(('Business Case'!C11*$C965*'Business Case'!C12*$B965)-('Business Case'!B11*$C965*'Business Case'!B12*$B965))-'Business Case'!C15*$F965</f>
        <v>-25574105.1041154</v>
      </c>
      <c r="J965" s="53" t="n">
        <f aca="false">(('Business Case'!D11*$C965*'Business Case'!D12*$B965)-'Business Case'!D11*$C965*'Business Case'!D13*$D965-'Business Case'!D14*$E965)-MAX(0,(('Business Case'!D11*$C965*'Business Case'!D12*$B965)-'Business Case'!D11*$C965*'Business Case'!D13*$D965-'Business Case'!D14*$E965))*'Business Case'!$B$7-'Business Case'!$B$8*(('Business Case'!D11*$C965*'Business Case'!D12*$B965)-('Business Case'!C11*$C965*'Business Case'!C12*$B965))-'Business Case'!D15*$F965</f>
        <v>255480092.521294</v>
      </c>
      <c r="K965" s="53" t="n">
        <f aca="false">(('Business Case'!E11*$C965*'Business Case'!E12*$B965)-'Business Case'!E11*$C965*'Business Case'!E13*$D965-'Business Case'!E14*$E965)-MAX(0,(('Business Case'!E11*$C965*'Business Case'!E12*$B965)-'Business Case'!E11*$C965*'Business Case'!E13*$D965-'Business Case'!E14*$E965))*'Business Case'!$B$7-'Business Case'!$B$8*(('Business Case'!E11*$C965*'Business Case'!E12*$B965)-('Business Case'!D11*$C965*'Business Case'!D12*$B965))-'Business Case'!E15*$F965</f>
        <v>593832272.750602</v>
      </c>
      <c r="L965" s="53" t="n">
        <f aca="false">(('Business Case'!F11*$C965*'Business Case'!F12*$B965)-'Business Case'!F11*$C965*'Business Case'!F13*$D965-'Business Case'!F14*$E965)-MAX(0,(('Business Case'!F11*$C965*'Business Case'!F12*$B965)-'Business Case'!F11*$C965*'Business Case'!F13*$D965-'Business Case'!F14*$E965))*'Business Case'!$B$7-'Business Case'!$B$8*(('Business Case'!F11*$C965*'Business Case'!F12*$B965)-('Business Case'!E11*$C965*'Business Case'!E12*$B965))-'Business Case'!F15*$F965</f>
        <v>720364843.855891</v>
      </c>
      <c r="M965" s="53" t="n">
        <f aca="false">(('Business Case'!G11*$C965*'Business Case'!G12*$B965)-'Business Case'!G11*$C965*'Business Case'!G13*$D965-'Business Case'!G14*$E965)-MAX(0,(('Business Case'!G11*$C965*'Business Case'!G12*$B965)-'Business Case'!G11*$C965*'Business Case'!G13*$D965-'Business Case'!G14*$E965))*'Business Case'!$B$7-'Business Case'!$B$8*(('Business Case'!G11*$C965*'Business Case'!G12*$B965)-('Business Case'!F11*$C965*'Business Case'!F12*$B965))-'Business Case'!G15*$F965+'Business Case'!$B$8*('Business Case'!G11*$C965*'Business Case'!G12*$B965)</f>
        <v>901027955.955067</v>
      </c>
      <c r="N965" s="53" t="n">
        <f aca="false">IF(COUNT('Business Case'!B11:G11)=0,"",H965+NPV(G965,I965:M965))</f>
        <v>-590572254.397234</v>
      </c>
      <c r="P965" s="54" t="n">
        <f aca="true">RAND()</f>
        <v>0.758303739083318</v>
      </c>
      <c r="Q965" s="54" t="n">
        <f aca="true">RAND()</f>
        <v>0.299722432532658</v>
      </c>
      <c r="R965" s="54" t="n">
        <f aca="true">RAND()</f>
        <v>0.744332575968593</v>
      </c>
      <c r="S965" s="54" t="n">
        <f aca="true">RAND()</f>
        <v>0.384859832482876</v>
      </c>
      <c r="T965" s="54" t="n">
        <f aca="true">RAND()</f>
        <v>0.941592815929292</v>
      </c>
      <c r="U965" s="54" t="n">
        <f aca="true">RAND()</f>
        <v>0.179654348745082</v>
      </c>
    </row>
    <row r="966" customFormat="false" ht="15" hidden="false" customHeight="false" outlineLevel="0" collapsed="false">
      <c r="A966" s="50" t="n">
        <v>886</v>
      </c>
      <c r="B966" s="51" t="n">
        <f aca="false">1+IF($G$6=$E$6,$F$6,IF(P966&lt;($F$6-$E$6)/($G$6-$E$6),$E$6+SQRT(P966*($G$6-$E$6)*($F$6-$E$6)),$G$6-SQRT((1-P966)*($G$6-$E$6)*($G$6-$F$6))))</f>
        <v>0.970297123526819</v>
      </c>
      <c r="C966" s="51" t="n">
        <f aca="false">1+IF($G$7=$E$7,$F$7,IF(Q966&lt;($F$7-$E$7)/($G$7-$E$7),$E$7+SQRT(Q966*($G$7-$E$7)*($F$7-$E$7)),$G$7-SQRT((1-Q966)*($G$7-$E$7)*($G$7-$F$7))))</f>
        <v>0.924901640527124</v>
      </c>
      <c r="D966" s="51" t="n">
        <f aca="false">1+IF($G$8=$E$8,$F$8,IF(R966&lt;($F$8-$E$8)/($G$8-$E$8),$E$8+SQRT(R966*($G$8-$E$8)*($F$8-$E$8)),$G$8-SQRT((1-R966)*($G$8-$E$8)*($G$8-$F$8))))</f>
        <v>1.03616358179604</v>
      </c>
      <c r="E966" s="51" t="n">
        <f aca="false">1+IF($G$9=$E$9,$F$9,IF(S966&lt;($F$9-$E$9)/($G$9-$E$9),$E$9+SQRT(S966*($G$9-$E$9)*($F$9-$E$9)),$G$9-SQRT((1-S966)*($G$9-$E$9)*($G$9-$F$9))))</f>
        <v>0.962873330873291</v>
      </c>
      <c r="F966" s="51" t="n">
        <f aca="false">1+IF($G$10=$E$10,$F$10,IF(T966&lt;($F$10-$E$10)/($G$10-$E$10),$E$10+SQRT(T966*($G$10-$E$10)*($F$10-$E$10)),$G$10-SQRT((1-T966)*($G$10-$E$10)*($G$10-$F$10))))</f>
        <v>1.07780678664455</v>
      </c>
      <c r="G966" s="52" t="n">
        <f aca="false">IF($G$11=$E$11,$F$11,IF(U966&lt;($F$11-$E$11)/($G$11-$E$11),$E$11+SQRT(U966*($G$11-$E$11)*($F$11-$E$11)),$G$11-SQRT((1-U966)*($G$11-$E$11)*($G$11-$F$11))))</f>
        <v>0.0971549153607525</v>
      </c>
      <c r="H966" s="53" t="n">
        <f aca="false">(('Business Case'!B11*$C966*'Business Case'!B12*$B966)-'Business Case'!B11*$C966*'Business Case'!B13*$D966-'Business Case'!B14*$E966)-MAX(0,(('Business Case'!B11*$C966*'Business Case'!B12*$B966)-'Business Case'!B11*$C966*'Business Case'!B13*$D966-'Business Case'!B14*$E966))*'Business Case'!$B$7-'Business Case'!$B$8*('Business Case'!B11*$C966*'Business Case'!B12*$B966)-'Business Case'!B15*$F966</f>
        <v>-2155613573.28911</v>
      </c>
      <c r="I966" s="53" t="n">
        <f aca="false">(('Business Case'!C11*$C966*'Business Case'!C12*$B966)-'Business Case'!C11*$C966*'Business Case'!C13*$D966-'Business Case'!C14*$E966)-MAX(0,(('Business Case'!C11*$C966*'Business Case'!C12*$B966)-'Business Case'!C11*$C966*'Business Case'!C13*$D966-'Business Case'!C14*$E966))*'Business Case'!$B$7-'Business Case'!$B$8*(('Business Case'!C11*$C966*'Business Case'!C12*$B966)-('Business Case'!B11*$C966*'Business Case'!B12*$B966))-'Business Case'!C15*$F966</f>
        <v>-46762934.9960355</v>
      </c>
      <c r="J966" s="53" t="n">
        <f aca="false">(('Business Case'!D11*$C966*'Business Case'!D12*$B966)-'Business Case'!D11*$C966*'Business Case'!D13*$D966-'Business Case'!D14*$E966)-MAX(0,(('Business Case'!D11*$C966*'Business Case'!D12*$B966)-'Business Case'!D11*$C966*'Business Case'!D13*$D966-'Business Case'!D14*$E966))*'Business Case'!$B$7-'Business Case'!$B$8*(('Business Case'!D11*$C966*'Business Case'!D12*$B966)-('Business Case'!C11*$C966*'Business Case'!C12*$B966))-'Business Case'!D15*$F966</f>
        <v>197698136.488483</v>
      </c>
      <c r="K966" s="53" t="n">
        <f aca="false">(('Business Case'!E11*$C966*'Business Case'!E12*$B966)-'Business Case'!E11*$C966*'Business Case'!E13*$D966-'Business Case'!E14*$E966)-MAX(0,(('Business Case'!E11*$C966*'Business Case'!E12*$B966)-'Business Case'!E11*$C966*'Business Case'!E13*$D966-'Business Case'!E14*$E966))*'Business Case'!$B$7-'Business Case'!$B$8*(('Business Case'!E11*$C966*'Business Case'!E12*$B966)-('Business Case'!D11*$C966*'Business Case'!D12*$B966))-'Business Case'!E15*$F966</f>
        <v>496049547.305229</v>
      </c>
      <c r="L966" s="53" t="n">
        <f aca="false">(('Business Case'!F11*$C966*'Business Case'!F12*$B966)-'Business Case'!F11*$C966*'Business Case'!F13*$D966-'Business Case'!F14*$E966)-MAX(0,(('Business Case'!F11*$C966*'Business Case'!F12*$B966)-'Business Case'!F11*$C966*'Business Case'!F13*$D966-'Business Case'!F14*$E966))*'Business Case'!$B$7-'Business Case'!$B$8*(('Business Case'!F11*$C966*'Business Case'!F12*$B966)-('Business Case'!E11*$C966*'Business Case'!E12*$B966))-'Business Case'!F15*$F966</f>
        <v>608551731.244014</v>
      </c>
      <c r="M966" s="53" t="n">
        <f aca="false">(('Business Case'!G11*$C966*'Business Case'!G12*$B966)-'Business Case'!G11*$C966*'Business Case'!G13*$D966-'Business Case'!G14*$E966)-MAX(0,(('Business Case'!G11*$C966*'Business Case'!G12*$B966)-'Business Case'!G11*$C966*'Business Case'!G13*$D966-'Business Case'!G14*$E966))*'Business Case'!$B$7-'Business Case'!$B$8*(('Business Case'!G11*$C966*'Business Case'!G12*$B966)-('Business Case'!F11*$C966*'Business Case'!F12*$B966))-'Business Case'!G15*$F966+'Business Case'!$B$8*('Business Case'!G11*$C966*'Business Case'!G12*$B966)</f>
        <v>779135111.852376</v>
      </c>
      <c r="N966" s="53" t="n">
        <f aca="false">IF(COUNT('Business Case'!B11:G11)=0,"",H966+NPV(G966,I966:M966))</f>
        <v>-748340020.576347</v>
      </c>
      <c r="P966" s="54" t="n">
        <f aca="true">RAND()</f>
        <v>0.263520899486678</v>
      </c>
      <c r="Q966" s="54" t="n">
        <f aca="true">RAND()</f>
        <v>0.222863140090956</v>
      </c>
      <c r="R966" s="54" t="n">
        <f aca="true">RAND()</f>
        <v>0.815227734523795</v>
      </c>
      <c r="S966" s="54" t="n">
        <f aca="true">RAND()</f>
        <v>0.0220963530364311</v>
      </c>
      <c r="T966" s="54" t="n">
        <f aca="true">RAND()</f>
        <v>0.701376372197401</v>
      </c>
      <c r="U966" s="54" t="n">
        <f aca="true">RAND()</f>
        <v>0.170642712731774</v>
      </c>
    </row>
    <row r="967" customFormat="false" ht="15" hidden="false" customHeight="false" outlineLevel="0" collapsed="false">
      <c r="A967" s="50" t="n">
        <v>887</v>
      </c>
      <c r="B967" s="51" t="n">
        <f aca="false">1+IF($G$6=$E$6,$F$6,IF(P967&lt;($F$6-$E$6)/($G$6-$E$6),$E$6+SQRT(P967*($G$6-$E$6)*($F$6-$E$6)),$G$6-SQRT((1-P967)*($G$6-$E$6)*($G$6-$F$6))))</f>
        <v>0.94462830523837</v>
      </c>
      <c r="C967" s="51" t="n">
        <f aca="false">1+IF($G$7=$E$7,$F$7,IF(Q967&lt;($F$7-$E$7)/($G$7-$E$7),$E$7+SQRT(Q967*($G$7-$E$7)*($F$7-$E$7)),$G$7-SQRT((1-Q967)*($G$7-$E$7)*($G$7-$F$7))))</f>
        <v>1.07386058987644</v>
      </c>
      <c r="D967" s="51" t="n">
        <f aca="false">1+IF($G$8=$E$8,$F$8,IF(R967&lt;($F$8-$E$8)/($G$8-$E$8),$E$8+SQRT(R967*($G$8-$E$8)*($F$8-$E$8)),$G$8-SQRT((1-R967)*($G$8-$E$8)*($G$8-$F$8))))</f>
        <v>0.96685467105799</v>
      </c>
      <c r="E967" s="51" t="n">
        <f aca="false">1+IF($G$9=$E$9,$F$9,IF(S967&lt;($F$9-$E$9)/($G$9-$E$9),$E$9+SQRT(S967*($G$9-$E$9)*($F$9-$E$9)),$G$9-SQRT((1-S967)*($G$9-$E$9)*($G$9-$F$9))))</f>
        <v>1.05615954204497</v>
      </c>
      <c r="F967" s="51" t="n">
        <f aca="false">1+IF($G$10=$E$10,$F$10,IF(T967&lt;($F$10-$E$10)/($G$10-$E$10),$E$10+SQRT(T967*($G$10-$E$10)*($F$10-$E$10)),$G$10-SQRT((1-T967)*($G$10-$E$10)*($G$10-$F$10))))</f>
        <v>1.09083118585486</v>
      </c>
      <c r="G967" s="52" t="n">
        <f aca="false">IF($G$11=$E$11,$F$11,IF(U967&lt;($F$11-$E$11)/($G$11-$E$11),$E$11+SQRT(U967*($G$11-$E$11)*($F$11-$E$11)),$G$11-SQRT((1-U967)*($G$11-$E$11)*($G$11-$F$11))))</f>
        <v>0.0965405004932671</v>
      </c>
      <c r="H967" s="53" t="n">
        <f aca="false">(('Business Case'!B11*$C967*'Business Case'!B12*$B967)-'Business Case'!B11*$C967*'Business Case'!B13*$D967-'Business Case'!B14*$E967)-MAX(0,(('Business Case'!B11*$C967*'Business Case'!B12*$B967)-'Business Case'!B11*$C967*'Business Case'!B13*$D967-'Business Case'!B14*$E967))*'Business Case'!$B$7-'Business Case'!$B$8*('Business Case'!B11*$C967*'Business Case'!B12*$B967)-'Business Case'!B15*$F967</f>
        <v>-2181662371.70972</v>
      </c>
      <c r="I967" s="53" t="n">
        <f aca="false">(('Business Case'!C11*$C967*'Business Case'!C12*$B967)-'Business Case'!C11*$C967*'Business Case'!C13*$D967-'Business Case'!C14*$E967)-MAX(0,(('Business Case'!C11*$C967*'Business Case'!C12*$B967)-'Business Case'!C11*$C967*'Business Case'!C13*$D967-'Business Case'!C14*$E967))*'Business Case'!$B$7-'Business Case'!$B$8*(('Business Case'!C11*$C967*'Business Case'!C12*$B967)-('Business Case'!B11*$C967*'Business Case'!B12*$B967))-'Business Case'!C15*$F967</f>
        <v>-12499256.0607352</v>
      </c>
      <c r="J967" s="53" t="n">
        <f aca="false">(('Business Case'!D11*$C967*'Business Case'!D12*$B967)-'Business Case'!D11*$C967*'Business Case'!D13*$D967-'Business Case'!D14*$E967)-MAX(0,(('Business Case'!D11*$C967*'Business Case'!D12*$B967)-'Business Case'!D11*$C967*'Business Case'!D13*$D967-'Business Case'!D14*$E967))*'Business Case'!$B$7-'Business Case'!$B$8*(('Business Case'!D11*$C967*'Business Case'!D12*$B967)-('Business Case'!C11*$C967*'Business Case'!C12*$B967))-'Business Case'!D15*$F967</f>
        <v>286856943.157375</v>
      </c>
      <c r="K967" s="53" t="n">
        <f aca="false">(('Business Case'!E11*$C967*'Business Case'!E12*$B967)-'Business Case'!E11*$C967*'Business Case'!E13*$D967-'Business Case'!E14*$E967)-MAX(0,(('Business Case'!E11*$C967*'Business Case'!E12*$B967)-'Business Case'!E11*$C967*'Business Case'!E13*$D967-'Business Case'!E14*$E967))*'Business Case'!$B$7-'Business Case'!$B$8*(('Business Case'!E11*$C967*'Business Case'!E12*$B967)-('Business Case'!D11*$C967*'Business Case'!D12*$B967))-'Business Case'!E15*$F967</f>
        <v>640754701.668229</v>
      </c>
      <c r="L967" s="53" t="n">
        <f aca="false">(('Business Case'!F11*$C967*'Business Case'!F12*$B967)-'Business Case'!F11*$C967*'Business Case'!F13*$D967-'Business Case'!F14*$E967)-MAX(0,(('Business Case'!F11*$C967*'Business Case'!F12*$B967)-'Business Case'!F11*$C967*'Business Case'!F13*$D967-'Business Case'!F14*$E967))*'Business Case'!$B$7-'Business Case'!$B$8*(('Business Case'!F11*$C967*'Business Case'!F12*$B967)-('Business Case'!E11*$C967*'Business Case'!E12*$B967))-'Business Case'!F15*$F967</f>
        <v>775597734.617309</v>
      </c>
      <c r="M967" s="53" t="n">
        <f aca="false">(('Business Case'!G11*$C967*'Business Case'!G12*$B967)-'Business Case'!G11*$C967*'Business Case'!G13*$D967-'Business Case'!G14*$E967)-MAX(0,(('Business Case'!G11*$C967*'Business Case'!G12*$B967)-'Business Case'!G11*$C967*'Business Case'!G13*$D967-'Business Case'!G14*$E967))*'Business Case'!$B$7-'Business Case'!$B$8*(('Business Case'!G11*$C967*'Business Case'!G12*$B967)-('Business Case'!F11*$C967*'Business Case'!F12*$B967))-'Business Case'!G15*$F967+'Business Case'!$B$8*('Business Case'!G11*$C967*'Business Case'!G12*$B967)</f>
        <v>968414717.270714</v>
      </c>
      <c r="N967" s="53" t="n">
        <f aca="false">IF(COUNT('Business Case'!B11:G11)=0,"",H967+NPV(G967,I967:M967))</f>
        <v>-321196381.628274</v>
      </c>
      <c r="P967" s="54" t="n">
        <f aca="true">RAND()</f>
        <v>0.0631826478035739</v>
      </c>
      <c r="Q967" s="54" t="n">
        <f aca="true">RAND()</f>
        <v>0.889576956686405</v>
      </c>
      <c r="R967" s="54" t="n">
        <f aca="true">RAND()</f>
        <v>0.0437046056112385</v>
      </c>
      <c r="S967" s="54" t="n">
        <f aca="true">RAND()</f>
        <v>0.871867616419535</v>
      </c>
      <c r="T967" s="54" t="n">
        <f aca="true">RAND()</f>
        <v>0.76164340036288</v>
      </c>
      <c r="U967" s="54" t="n">
        <f aca="true">RAND()</f>
        <v>0.142593822341425</v>
      </c>
    </row>
    <row r="968" customFormat="false" ht="15" hidden="false" customHeight="false" outlineLevel="0" collapsed="false">
      <c r="A968" s="50" t="n">
        <v>888</v>
      </c>
      <c r="B968" s="51" t="n">
        <f aca="false">1+IF($G$6=$E$6,$F$6,IF(P968&lt;($F$6-$E$6)/($G$6-$E$6),$E$6+SQRT(P968*($G$6-$E$6)*($F$6-$E$6)),$G$6-SQRT((1-P968)*($G$6-$E$6)*($G$6-$F$6))))</f>
        <v>1.03327862641701</v>
      </c>
      <c r="C968" s="51" t="n">
        <f aca="false">1+IF($G$7=$E$7,$F$7,IF(Q968&lt;($F$7-$E$7)/($G$7-$E$7),$E$7+SQRT(Q968*($G$7-$E$7)*($F$7-$E$7)),$G$7-SQRT((1-Q968)*($G$7-$E$7)*($G$7-$F$7))))</f>
        <v>1.1118621345252</v>
      </c>
      <c r="D968" s="51" t="n">
        <f aca="false">1+IF($G$8=$E$8,$F$8,IF(R968&lt;($F$8-$E$8)/($G$8-$E$8),$E$8+SQRT(R968*($G$8-$E$8)*($F$8-$E$8)),$G$8-SQRT((1-R968)*($G$8-$E$8)*($G$8-$F$8))))</f>
        <v>1.01155874232346</v>
      </c>
      <c r="E968" s="51" t="n">
        <f aca="false">1+IF($G$9=$E$9,$F$9,IF(S968&lt;($F$9-$E$9)/($G$9-$E$9),$E$9+SQRT(S968*($G$9-$E$9)*($F$9-$E$9)),$G$9-SQRT((1-S968)*($G$9-$E$9)*($G$9-$F$9))))</f>
        <v>0.990551542588673</v>
      </c>
      <c r="F968" s="51" t="n">
        <f aca="false">1+IF($G$10=$E$10,$F$10,IF(T968&lt;($F$10-$E$10)/($G$10-$E$10),$E$10+SQRT(T968*($G$10-$E$10)*($F$10-$E$10)),$G$10-SQRT((1-T968)*($G$10-$E$10)*($G$10-$F$10))))</f>
        <v>1.13317212515851</v>
      </c>
      <c r="G968" s="52" t="n">
        <f aca="false">IF($G$11=$E$11,$F$11,IF(U968&lt;($F$11-$E$11)/($G$11-$E$11),$E$11+SQRT(U968*($G$11-$E$11)*($F$11-$E$11)),$G$11-SQRT((1-U968)*($G$11-$E$11)*($G$11-$F$11))))</f>
        <v>0.099805219258802</v>
      </c>
      <c r="H968" s="53" t="n">
        <f aca="false">(('Business Case'!B11*$C968*'Business Case'!B12*$B968)-'Business Case'!B11*$C968*'Business Case'!B13*$D968-'Business Case'!B14*$E968)-MAX(0,(('Business Case'!B11*$C968*'Business Case'!B12*$B968)-'Business Case'!B11*$C968*'Business Case'!B13*$D968-'Business Case'!B14*$E968))*'Business Case'!$B$7-'Business Case'!$B$8*('Business Case'!B11*$C968*'Business Case'!B12*$B968)-'Business Case'!B15*$F968</f>
        <v>-2266344250.31702</v>
      </c>
      <c r="I968" s="53" t="n">
        <f aca="false">(('Business Case'!C11*$C968*'Business Case'!C12*$B968)-'Business Case'!C11*$C968*'Business Case'!C13*$D968-'Business Case'!C14*$E968)-MAX(0,(('Business Case'!C11*$C968*'Business Case'!C12*$B968)-'Business Case'!C11*$C968*'Business Case'!C13*$D968-'Business Case'!C14*$E968))*'Business Case'!$B$7-'Business Case'!$B$8*(('Business Case'!C11*$C968*'Business Case'!C12*$B968)-('Business Case'!B11*$C968*'Business Case'!B12*$B968))-'Business Case'!C15*$F968</f>
        <v>51507585.763673</v>
      </c>
      <c r="J968" s="53" t="n">
        <f aca="false">(('Business Case'!D11*$C968*'Business Case'!D12*$B968)-'Business Case'!D11*$C968*'Business Case'!D13*$D968-'Business Case'!D14*$E968)-MAX(0,(('Business Case'!D11*$C968*'Business Case'!D12*$B968)-'Business Case'!D11*$C968*'Business Case'!D13*$D968-'Business Case'!D14*$E968))*'Business Case'!$B$7-'Business Case'!$B$8*(('Business Case'!D11*$C968*'Business Case'!D12*$B968)-('Business Case'!C11*$C968*'Business Case'!C12*$B968))-'Business Case'!D15*$F968</f>
        <v>416745890.973264</v>
      </c>
      <c r="K968" s="53" t="n">
        <f aca="false">(('Business Case'!E11*$C968*'Business Case'!E12*$B968)-'Business Case'!E11*$C968*'Business Case'!E13*$D968-'Business Case'!E14*$E968)-MAX(0,(('Business Case'!E11*$C968*'Business Case'!E12*$B968)-'Business Case'!E11*$C968*'Business Case'!E13*$D968-'Business Case'!E14*$E968))*'Business Case'!$B$7-'Business Case'!$B$8*(('Business Case'!E11*$C968*'Business Case'!E12*$B968)-('Business Case'!D11*$C968*'Business Case'!D12*$B968))-'Business Case'!E15*$F968</f>
        <v>838642802.440782</v>
      </c>
      <c r="L968" s="53" t="n">
        <f aca="false">(('Business Case'!F11*$C968*'Business Case'!F12*$B968)-'Business Case'!F11*$C968*'Business Case'!F13*$D968-'Business Case'!F14*$E968)-MAX(0,(('Business Case'!F11*$C968*'Business Case'!F12*$B968)-'Business Case'!F11*$C968*'Business Case'!F13*$D968-'Business Case'!F14*$E968))*'Business Case'!$B$7-'Business Case'!$B$8*(('Business Case'!F11*$C968*'Business Case'!F12*$B968)-('Business Case'!E11*$C968*'Business Case'!E12*$B968))-'Business Case'!F15*$F968</f>
        <v>1000093622.55995</v>
      </c>
      <c r="M968" s="53" t="n">
        <f aca="false">(('Business Case'!G11*$C968*'Business Case'!G12*$B968)-'Business Case'!G11*$C968*'Business Case'!G13*$D968-'Business Case'!G14*$E968)-MAX(0,(('Business Case'!G11*$C968*'Business Case'!G12*$B968)-'Business Case'!G11*$C968*'Business Case'!G13*$D968-'Business Case'!G14*$E968))*'Business Case'!$B$7-'Business Case'!$B$8*(('Business Case'!G11*$C968*'Business Case'!G12*$B968)-('Business Case'!F11*$C968*'Business Case'!F12*$B968))-'Business Case'!G15*$F968+'Business Case'!$B$8*('Business Case'!G11*$C968*'Business Case'!G12*$B968)</f>
        <v>1218469573.66446</v>
      </c>
      <c r="N968" s="53" t="n">
        <f aca="false">IF(COUNT('Business Case'!B11:G11)=0,"",H968+NPV(G968,I968:M968))</f>
        <v>196254177.382179</v>
      </c>
      <c r="P968" s="54" t="n">
        <f aca="true">RAND()</f>
        <v>0.990588153574548</v>
      </c>
      <c r="Q968" s="54" t="n">
        <f aca="true">RAND()</f>
        <v>0.972295299371924</v>
      </c>
      <c r="R968" s="54" t="n">
        <f aca="true">RAND()</f>
        <v>0.549595600735886</v>
      </c>
      <c r="S968" s="54" t="n">
        <f aca="true">RAND()</f>
        <v>0.21925701417613</v>
      </c>
      <c r="T968" s="54" t="n">
        <f aca="true">RAND()</f>
        <v>0.910680702883403</v>
      </c>
      <c r="U968" s="54" t="n">
        <f aca="true">RAND()</f>
        <v>0.320474415710603</v>
      </c>
    </row>
    <row r="969" customFormat="false" ht="15" hidden="false" customHeight="false" outlineLevel="0" collapsed="false">
      <c r="A969" s="50" t="n">
        <v>889</v>
      </c>
      <c r="B969" s="51" t="n">
        <f aca="false">1+IF($G$6=$E$6,$F$6,IF(P969&lt;($F$6-$E$6)/($G$6-$E$6),$E$6+SQRT(P969*($G$6-$E$6)*($F$6-$E$6)),$G$6-SQRT((1-P969)*($G$6-$E$6)*($G$6-$F$6))))</f>
        <v>0.969699873337634</v>
      </c>
      <c r="C969" s="51" t="n">
        <f aca="false">1+IF($G$7=$E$7,$F$7,IF(Q969&lt;($F$7-$E$7)/($G$7-$E$7),$E$7+SQRT(Q969*($G$7-$E$7)*($F$7-$E$7)),$G$7-SQRT((1-Q969)*($G$7-$E$7)*($G$7-$F$7))))</f>
        <v>0.928582935977897</v>
      </c>
      <c r="D969" s="51" t="n">
        <f aca="false">1+IF($G$8=$E$8,$F$8,IF(R969&lt;($F$8-$E$8)/($G$8-$E$8),$E$8+SQRT(R969*($G$8-$E$8)*($F$8-$E$8)),$G$8-SQRT((1-R969)*($G$8-$E$8)*($G$8-$F$8))))</f>
        <v>1.04433117002213</v>
      </c>
      <c r="E969" s="51" t="n">
        <f aca="false">1+IF($G$9=$E$9,$F$9,IF(S969&lt;($F$9-$E$9)/($G$9-$E$9),$E$9+SQRT(S969*($G$9-$E$9)*($F$9-$E$9)),$G$9-SQRT((1-S969)*($G$9-$E$9)*($G$9-$F$9))))</f>
        <v>1.04438758132922</v>
      </c>
      <c r="F969" s="51" t="n">
        <f aca="false">1+IF($G$10=$E$10,$F$10,IF(T969&lt;($F$10-$E$10)/($G$10-$E$10),$E$10+SQRT(T969*($G$10-$E$10)*($F$10-$E$10)),$G$10-SQRT((1-T969)*($G$10-$E$10)*($G$10-$F$10))))</f>
        <v>0.994197435546025</v>
      </c>
      <c r="G969" s="52" t="n">
        <f aca="false">IF($G$11=$E$11,$F$11,IF(U969&lt;($F$11-$E$11)/($G$11-$E$11),$E$11+SQRT(U969*($G$11-$E$11)*($F$11-$E$11)),$G$11-SQRT((1-U969)*($G$11-$E$11)*($G$11-$F$11))))</f>
        <v>0.0979662168977305</v>
      </c>
      <c r="H969" s="53" t="n">
        <f aca="false">(('Business Case'!B11*$C969*'Business Case'!B12*$B969)-'Business Case'!B11*$C969*'Business Case'!B13*$D969-'Business Case'!B14*$E969)-MAX(0,(('Business Case'!B11*$C969*'Business Case'!B12*$B969)-'Business Case'!B11*$C969*'Business Case'!B13*$D969-'Business Case'!B14*$E969))*'Business Case'!$B$7-'Business Case'!$B$8*('Business Case'!B11*$C969*'Business Case'!B12*$B969)-'Business Case'!B15*$F969</f>
        <v>-1988394871.09205</v>
      </c>
      <c r="I969" s="53" t="n">
        <f aca="false">(('Business Case'!C11*$C969*'Business Case'!C12*$B969)-'Business Case'!C11*$C969*'Business Case'!C13*$D969-'Business Case'!C14*$E969)-MAX(0,(('Business Case'!C11*$C969*'Business Case'!C12*$B969)-'Business Case'!C11*$C969*'Business Case'!C13*$D969-'Business Case'!C14*$E969))*'Business Case'!$B$7-'Business Case'!$B$8*(('Business Case'!C11*$C969*'Business Case'!C12*$B969)-('Business Case'!B11*$C969*'Business Case'!B12*$B969))-'Business Case'!C15*$F969</f>
        <v>-53513541.9753805</v>
      </c>
      <c r="J969" s="53" t="n">
        <f aca="false">(('Business Case'!D11*$C969*'Business Case'!D12*$B969)-'Business Case'!D11*$C969*'Business Case'!D13*$D969-'Business Case'!D14*$E969)-MAX(0,(('Business Case'!D11*$C969*'Business Case'!D12*$B969)-'Business Case'!D11*$C969*'Business Case'!D13*$D969-'Business Case'!D14*$E969))*'Business Case'!$B$7-'Business Case'!$B$8*(('Business Case'!D11*$C969*'Business Case'!D12*$B969)-('Business Case'!C11*$C969*'Business Case'!C12*$B969))-'Business Case'!D15*$F969</f>
        <v>187583733.468858</v>
      </c>
      <c r="K969" s="53" t="n">
        <f aca="false">(('Business Case'!E11*$C969*'Business Case'!E12*$B969)-'Business Case'!E11*$C969*'Business Case'!E13*$D969-'Business Case'!E14*$E969)-MAX(0,(('Business Case'!E11*$C969*'Business Case'!E12*$B969)-'Business Case'!E11*$C969*'Business Case'!E13*$D969-'Business Case'!E14*$E969))*'Business Case'!$B$7-'Business Case'!$B$8*(('Business Case'!E11*$C969*'Business Case'!E12*$B969)-('Business Case'!D11*$C969*'Business Case'!D12*$B969))-'Business Case'!E15*$F969</f>
        <v>478390880.690398</v>
      </c>
      <c r="L969" s="53" t="n">
        <f aca="false">(('Business Case'!F11*$C969*'Business Case'!F12*$B969)-'Business Case'!F11*$C969*'Business Case'!F13*$D969-'Business Case'!F14*$E969)-MAX(0,(('Business Case'!F11*$C969*'Business Case'!F12*$B969)-'Business Case'!F11*$C969*'Business Case'!F13*$D969-'Business Case'!F14*$E969))*'Business Case'!$B$7-'Business Case'!$B$8*(('Business Case'!F11*$C969*'Business Case'!F12*$B969)-('Business Case'!E11*$C969*'Business Case'!E12*$B969))-'Business Case'!F15*$F969</f>
        <v>589876079.038478</v>
      </c>
      <c r="M969" s="53" t="n">
        <f aca="false">(('Business Case'!G11*$C969*'Business Case'!G12*$B969)-'Business Case'!G11*$C969*'Business Case'!G13*$D969-'Business Case'!G14*$E969)-MAX(0,(('Business Case'!G11*$C969*'Business Case'!G12*$B969)-'Business Case'!G11*$C969*'Business Case'!G13*$D969-'Business Case'!G14*$E969))*'Business Case'!$B$7-'Business Case'!$B$8*(('Business Case'!G11*$C969*'Business Case'!G12*$B969)-('Business Case'!F11*$C969*'Business Case'!F12*$B969))-'Business Case'!G15*$F969+'Business Case'!$B$8*('Business Case'!G11*$C969*'Business Case'!G12*$B969)</f>
        <v>761032998.305148</v>
      </c>
      <c r="N969" s="53" t="n">
        <f aca="false">IF(COUNT('Business Case'!B11:G11)=0,"",H969+NPV(G969,I969:M969))</f>
        <v>-637286684.029814</v>
      </c>
      <c r="P969" s="54" t="n">
        <f aca="true">RAND()</f>
        <v>0.257299730185092</v>
      </c>
      <c r="Q969" s="54" t="n">
        <f aca="true">RAND()</f>
        <v>0.236193877495656</v>
      </c>
      <c r="R969" s="54" t="n">
        <f aca="true">RAND()</f>
        <v>0.877666785385533</v>
      </c>
      <c r="S969" s="54" t="n">
        <f aca="true">RAND()</f>
        <v>0.793817259305742</v>
      </c>
      <c r="T969" s="54" t="n">
        <f aca="true">RAND()</f>
        <v>0.156273064707605</v>
      </c>
      <c r="U969" s="54" t="n">
        <f aca="true">RAND()</f>
        <v>0.211535372205625</v>
      </c>
    </row>
    <row r="970" customFormat="false" ht="15" hidden="false" customHeight="false" outlineLevel="0" collapsed="false">
      <c r="A970" s="50" t="n">
        <v>890</v>
      </c>
      <c r="B970" s="51" t="n">
        <f aca="false">1+IF($G$6=$E$6,$F$6,IF(P970&lt;($F$6-$E$6)/($G$6-$E$6),$E$6+SQRT(P970*($G$6-$E$6)*($F$6-$E$6)),$G$6-SQRT((1-P970)*($G$6-$E$6)*($G$6-$F$6))))</f>
        <v>1.00664510055437</v>
      </c>
      <c r="C970" s="51" t="n">
        <f aca="false">1+IF($G$7=$E$7,$F$7,IF(Q970&lt;($F$7-$E$7)/($G$7-$E$7),$E$7+SQRT(Q970*($G$7-$E$7)*($F$7-$E$7)),$G$7-SQRT((1-Q970)*($G$7-$E$7)*($G$7-$F$7))))</f>
        <v>1.05892622572383</v>
      </c>
      <c r="D970" s="51" t="n">
        <f aca="false">1+IF($G$8=$E$8,$F$8,IF(R970&lt;($F$8-$E$8)/($G$8-$E$8),$E$8+SQRT(R970*($G$8-$E$8)*($F$8-$E$8)),$G$8-SQRT((1-R970)*($G$8-$E$8)*($G$8-$F$8))))</f>
        <v>1.00847333747082</v>
      </c>
      <c r="E970" s="51" t="n">
        <f aca="false">1+IF($G$9=$E$9,$F$9,IF(S970&lt;($F$9-$E$9)/($G$9-$E$9),$E$9+SQRT(S970*($G$9-$E$9)*($F$9-$E$9)),$G$9-SQRT((1-S970)*($G$9-$E$9)*($G$9-$F$9))))</f>
        <v>0.983728534678439</v>
      </c>
      <c r="F970" s="51" t="n">
        <f aca="false">1+IF($G$10=$E$10,$F$10,IF(T970&lt;($F$10-$E$10)/($G$10-$E$10),$E$10+SQRT(T970*($G$10-$E$10)*($F$10-$E$10)),$G$10-SQRT((1-T970)*($G$10-$E$10)*($G$10-$F$10))))</f>
        <v>1.04874216441864</v>
      </c>
      <c r="G970" s="52" t="n">
        <f aca="false">IF($G$11=$E$11,$F$11,IF(U970&lt;($F$11-$E$11)/($G$11-$E$11),$E$11+SQRT(U970*($G$11-$E$11)*($F$11-$E$11)),$G$11-SQRT((1-U970)*($G$11-$E$11)*($G$11-$F$11))))</f>
        <v>0.100063868322721</v>
      </c>
      <c r="H970" s="53" t="n">
        <f aca="false">(('Business Case'!B11*$C970*'Business Case'!B12*$B970)-'Business Case'!B11*$C970*'Business Case'!B13*$D970-'Business Case'!B14*$E970)-MAX(0,(('Business Case'!B11*$C970*'Business Case'!B12*$B970)-'Business Case'!B11*$C970*'Business Case'!B13*$D970-'Business Case'!B14*$E970))*'Business Case'!$B$7-'Business Case'!$B$8*('Business Case'!B11*$C970*'Business Case'!B12*$B970)-'Business Case'!B15*$F970</f>
        <v>-2097484328.83727</v>
      </c>
      <c r="I970" s="53" t="n">
        <f aca="false">(('Business Case'!C11*$C970*'Business Case'!C12*$B970)-'Business Case'!C11*$C970*'Business Case'!C13*$D970-'Business Case'!C14*$E970)-MAX(0,(('Business Case'!C11*$C970*'Business Case'!C12*$B970)-'Business Case'!C11*$C970*'Business Case'!C13*$D970-'Business Case'!C14*$E970))*'Business Case'!$B$7-'Business Case'!$B$8*(('Business Case'!C11*$C970*'Business Case'!C12*$B970)-('Business Case'!B11*$C970*'Business Case'!B12*$B970))-'Business Case'!C15*$F970</f>
        <v>26401644.3313384</v>
      </c>
      <c r="J970" s="53" t="n">
        <f aca="false">(('Business Case'!D11*$C970*'Business Case'!D12*$B970)-'Business Case'!D11*$C970*'Business Case'!D13*$D970-'Business Case'!D14*$E970)-MAX(0,(('Business Case'!D11*$C970*'Business Case'!D12*$B970)-'Business Case'!D11*$C970*'Business Case'!D13*$D970-'Business Case'!D14*$E970))*'Business Case'!$B$7-'Business Case'!$B$8*(('Business Case'!D11*$C970*'Business Case'!D12*$B970)-('Business Case'!C11*$C970*'Business Case'!C12*$B970))-'Business Case'!D15*$F970</f>
        <v>352823219.314917</v>
      </c>
      <c r="K970" s="53" t="n">
        <f aca="false">(('Business Case'!E11*$C970*'Business Case'!E12*$B970)-'Business Case'!E11*$C970*'Business Case'!E13*$D970-'Business Case'!E14*$E970)-MAX(0,(('Business Case'!E11*$C970*'Business Case'!E12*$B970)-'Business Case'!E11*$C970*'Business Case'!E13*$D970-'Business Case'!E14*$E970))*'Business Case'!$B$7-'Business Case'!$B$8*(('Business Case'!E11*$C970*'Business Case'!E12*$B970)-('Business Case'!D11*$C970*'Business Case'!D12*$B970))-'Business Case'!E15*$F970</f>
        <v>731681902.519427</v>
      </c>
      <c r="L970" s="53" t="n">
        <f aca="false">(('Business Case'!F11*$C970*'Business Case'!F12*$B970)-'Business Case'!F11*$C970*'Business Case'!F13*$D970-'Business Case'!F14*$E970)-MAX(0,(('Business Case'!F11*$C970*'Business Case'!F12*$B970)-'Business Case'!F11*$C970*'Business Case'!F13*$D970-'Business Case'!F14*$E970))*'Business Case'!$B$7-'Business Case'!$B$8*(('Business Case'!F11*$C970*'Business Case'!F12*$B970)-('Business Case'!E11*$C970*'Business Case'!E12*$B970))-'Business Case'!F15*$F970</f>
        <v>877328771.900022</v>
      </c>
      <c r="M970" s="53" t="n">
        <f aca="false">(('Business Case'!G11*$C970*'Business Case'!G12*$B970)-'Business Case'!G11*$C970*'Business Case'!G13*$D970-'Business Case'!G14*$E970)-MAX(0,(('Business Case'!G11*$C970*'Business Case'!G12*$B970)-'Business Case'!G11*$C970*'Business Case'!G13*$D970-'Business Case'!G14*$E970))*'Business Case'!$B$7-'Business Case'!$B$8*(('Business Case'!G11*$C970*'Business Case'!G12*$B970)-('Business Case'!F11*$C970*'Business Case'!F12*$B970))-'Business Case'!G15*$F970+'Business Case'!$B$8*('Business Case'!G11*$C970*'Business Case'!G12*$B970)</f>
        <v>1079946999.35673</v>
      </c>
      <c r="N970" s="53" t="n">
        <f aca="false">IF(COUNT('Business Case'!B11:G11)=0,"",H970+NPV(G970,I970:M970))</f>
        <v>37154740.9153705</v>
      </c>
      <c r="P970" s="54" t="n">
        <f aca="true">RAND()</f>
        <v>0.768218892285852</v>
      </c>
      <c r="Q970" s="54" t="n">
        <f aca="true">RAND()</f>
        <v>0.842010812173202</v>
      </c>
      <c r="R970" s="54" t="n">
        <f aca="true">RAND()</f>
        <v>0.508070821868961</v>
      </c>
      <c r="S970" s="54" t="n">
        <f aca="true">RAND()</f>
        <v>0.15168187354062</v>
      </c>
      <c r="T970" s="54" t="n">
        <f aca="true">RAND()</f>
        <v>0.542421343504823</v>
      </c>
      <c r="U970" s="54" t="n">
        <f aca="true">RAND()</f>
        <v>0.337584422910308</v>
      </c>
    </row>
    <row r="971" customFormat="false" ht="15" hidden="false" customHeight="false" outlineLevel="0" collapsed="false">
      <c r="A971" s="50" t="n">
        <v>891</v>
      </c>
      <c r="B971" s="51" t="n">
        <f aca="false">1+IF($G$6=$E$6,$F$6,IF(P971&lt;($F$6-$E$6)/($G$6-$E$6),$E$6+SQRT(P971*($G$6-$E$6)*($F$6-$E$6)),$G$6-SQRT((1-P971)*($G$6-$E$6)*($G$6-$F$6))))</f>
        <v>1.00950467980086</v>
      </c>
      <c r="C971" s="51" t="n">
        <f aca="false">1+IF($G$7=$E$7,$F$7,IF(Q971&lt;($F$7-$E$7)/($G$7-$E$7),$E$7+SQRT(Q971*($G$7-$E$7)*($F$7-$E$7)),$G$7-SQRT((1-Q971)*($G$7-$E$7)*($G$7-$F$7))))</f>
        <v>1.0238537850824</v>
      </c>
      <c r="D971" s="51" t="n">
        <f aca="false">1+IF($G$8=$E$8,$F$8,IF(R971&lt;($F$8-$E$8)/($G$8-$E$8),$E$8+SQRT(R971*($G$8-$E$8)*($F$8-$E$8)),$G$8-SQRT((1-R971)*($G$8-$E$8)*($G$8-$F$8))))</f>
        <v>1.0025509519644</v>
      </c>
      <c r="E971" s="51" t="n">
        <f aca="false">1+IF($G$9=$E$9,$F$9,IF(S971&lt;($F$9-$E$9)/($G$9-$E$9),$E$9+SQRT(S971*($G$9-$E$9)*($F$9-$E$9)),$G$9-SQRT((1-S971)*($G$9-$E$9)*($G$9-$F$9))))</f>
        <v>0.977546328886949</v>
      </c>
      <c r="F971" s="51" t="n">
        <f aca="false">1+IF($G$10=$E$10,$F$10,IF(T971&lt;($F$10-$E$10)/($G$10-$E$10),$E$10+SQRT(T971*($G$10-$E$10)*($F$10-$E$10)),$G$10-SQRT((1-T971)*($G$10-$E$10)*($G$10-$F$10))))</f>
        <v>1.00987072853337</v>
      </c>
      <c r="G971" s="52" t="n">
        <f aca="false">IF($G$11=$E$11,$F$11,IF(U971&lt;($F$11-$E$11)/($G$11-$E$11),$E$11+SQRT(U971*($G$11-$E$11)*($F$11-$E$11)),$G$11-SQRT((1-U971)*($G$11-$E$11)*($G$11-$F$11))))</f>
        <v>0.105605750773958</v>
      </c>
      <c r="H971" s="53" t="n">
        <f aca="false">(('Business Case'!B11*$C971*'Business Case'!B12*$B971)-'Business Case'!B11*$C971*'Business Case'!B13*$D971-'Business Case'!B14*$E971)-MAX(0,(('Business Case'!B11*$C971*'Business Case'!B12*$B971)-'Business Case'!B11*$C971*'Business Case'!B13*$D971-'Business Case'!B14*$E971))*'Business Case'!$B$7-'Business Case'!$B$8*('Business Case'!B11*$C971*'Business Case'!B12*$B971)-'Business Case'!B15*$F971</f>
        <v>-2019741457.06675</v>
      </c>
      <c r="I971" s="53" t="n">
        <f aca="false">(('Business Case'!C11*$C971*'Business Case'!C12*$B971)-'Business Case'!C11*$C971*'Business Case'!C13*$D971-'Business Case'!C14*$E971)-MAX(0,(('Business Case'!C11*$C971*'Business Case'!C12*$B971)-'Business Case'!C11*$C971*'Business Case'!C13*$D971-'Business Case'!C14*$E971))*'Business Case'!$B$7-'Business Case'!$B$8*(('Business Case'!C11*$C971*'Business Case'!C12*$B971)-('Business Case'!B11*$C971*'Business Case'!B12*$B971))-'Business Case'!C15*$F971</f>
        <v>27537206.4845593</v>
      </c>
      <c r="J971" s="53" t="n">
        <f aca="false">(('Business Case'!D11*$C971*'Business Case'!D12*$B971)-'Business Case'!D11*$C971*'Business Case'!D13*$D971-'Business Case'!D14*$E971)-MAX(0,(('Business Case'!D11*$C971*'Business Case'!D12*$B971)-'Business Case'!D11*$C971*'Business Case'!D13*$D971-'Business Case'!D14*$E971))*'Business Case'!$B$7-'Business Case'!$B$8*(('Business Case'!D11*$C971*'Business Case'!D12*$B971)-('Business Case'!C11*$C971*'Business Case'!C12*$B971))-'Business Case'!D15*$F971</f>
        <v>348649629.908755</v>
      </c>
      <c r="K971" s="53" t="n">
        <f aca="false">(('Business Case'!E11*$C971*'Business Case'!E12*$B971)-'Business Case'!E11*$C971*'Business Case'!E13*$D971-'Business Case'!E14*$E971)-MAX(0,(('Business Case'!E11*$C971*'Business Case'!E12*$B971)-'Business Case'!E11*$C971*'Business Case'!E13*$D971-'Business Case'!E14*$E971))*'Business Case'!$B$7-'Business Case'!$B$8*(('Business Case'!E11*$C971*'Business Case'!E12*$B971)-('Business Case'!D11*$C971*'Business Case'!D12*$B971))-'Business Case'!E15*$F971</f>
        <v>720255589.759619</v>
      </c>
      <c r="L971" s="53" t="n">
        <f aca="false">(('Business Case'!F11*$C971*'Business Case'!F12*$B971)-'Business Case'!F11*$C971*'Business Case'!F13*$D971-'Business Case'!F14*$E971)-MAX(0,(('Business Case'!F11*$C971*'Business Case'!F12*$B971)-'Business Case'!F11*$C971*'Business Case'!F13*$D971-'Business Case'!F14*$E971))*'Business Case'!$B$7-'Business Case'!$B$8*(('Business Case'!F11*$C971*'Business Case'!F12*$B971)-('Business Case'!E11*$C971*'Business Case'!E12*$B971))-'Business Case'!F15*$F971</f>
        <v>863013768.3134</v>
      </c>
      <c r="M971" s="53" t="n">
        <f aca="false">(('Business Case'!G11*$C971*'Business Case'!G12*$B971)-'Business Case'!G11*$C971*'Business Case'!G13*$D971-'Business Case'!G14*$E971)-MAX(0,(('Business Case'!G11*$C971*'Business Case'!G12*$B971)-'Business Case'!G11*$C971*'Business Case'!G13*$D971-'Business Case'!G14*$E971))*'Business Case'!$B$7-'Business Case'!$B$8*(('Business Case'!G11*$C971*'Business Case'!G12*$B971)-('Business Case'!F11*$C971*'Business Case'!F12*$B971))-'Business Case'!G15*$F971+'Business Case'!$B$8*('Business Case'!G11*$C971*'Business Case'!G12*$B971)</f>
        <v>1059477640.74817</v>
      </c>
      <c r="N971" s="53" t="n">
        <f aca="false">IF(COUNT('Business Case'!B11:G11)=0,"",H971+NPV(G971,I971:M971))</f>
        <v>42269136.7876935</v>
      </c>
      <c r="P971" s="54" t="n">
        <f aca="true">RAND()</f>
        <v>0.806257384573263</v>
      </c>
      <c r="Q971" s="54" t="n">
        <f aca="true">RAND()</f>
        <v>0.69689776118026</v>
      </c>
      <c r="R971" s="54" t="n">
        <f aca="true">RAND()</f>
        <v>0.423235092151801</v>
      </c>
      <c r="S971" s="54" t="n">
        <f aca="true">RAND()</f>
        <v>0.101173364686396</v>
      </c>
      <c r="T971" s="54" t="n">
        <f aca="true">RAND()</f>
        <v>0.277017202631398</v>
      </c>
      <c r="U971" s="54" t="n">
        <f aca="true">RAND()</f>
        <v>0.654675982030993</v>
      </c>
    </row>
    <row r="972" customFormat="false" ht="15" hidden="false" customHeight="false" outlineLevel="0" collapsed="false">
      <c r="A972" s="50" t="n">
        <v>892</v>
      </c>
      <c r="B972" s="51" t="n">
        <f aca="false">1+IF($G$6=$E$6,$F$6,IF(P972&lt;($F$6-$E$6)/($G$6-$E$6),$E$6+SQRT(P972*($G$6-$E$6)*($F$6-$E$6)),$G$6-SQRT((1-P972)*($G$6-$E$6)*($G$6-$F$6))))</f>
        <v>0.946947271752023</v>
      </c>
      <c r="C972" s="51" t="n">
        <f aca="false">1+IF($G$7=$E$7,$F$7,IF(Q972&lt;($F$7-$E$7)/($G$7-$E$7),$E$7+SQRT(Q972*($G$7-$E$7)*($F$7-$E$7)),$G$7-SQRT((1-Q972)*($G$7-$E$7)*($G$7-$F$7))))</f>
        <v>0.976891181908084</v>
      </c>
      <c r="D972" s="51" t="n">
        <f aca="false">1+IF($G$8=$E$8,$F$8,IF(R972&lt;($F$8-$E$8)/($G$8-$E$8),$E$8+SQRT(R972*($G$8-$E$8)*($F$8-$E$8)),$G$8-SQRT((1-R972)*($G$8-$E$8)*($G$8-$F$8))))</f>
        <v>1.05246305374637</v>
      </c>
      <c r="E972" s="51" t="n">
        <f aca="false">1+IF($G$9=$E$9,$F$9,IF(S972&lt;($F$9-$E$9)/($G$9-$E$9),$E$9+SQRT(S972*($G$9-$E$9)*($F$9-$E$9)),$G$9-SQRT((1-S972)*($G$9-$E$9)*($G$9-$F$9))))</f>
        <v>1.03002715520648</v>
      </c>
      <c r="F972" s="51" t="n">
        <f aca="false">1+IF($G$10=$E$10,$F$10,IF(T972&lt;($F$10-$E$10)/($G$10-$E$10),$E$10+SQRT(T972*($G$10-$E$10)*($F$10-$E$10)),$G$10-SQRT((1-T972)*($G$10-$E$10)*($G$10-$F$10))))</f>
        <v>1.0125776501588</v>
      </c>
      <c r="G972" s="52" t="n">
        <f aca="false">IF($G$11=$E$11,$F$11,IF(U972&lt;($F$11-$E$11)/($G$11-$E$11),$E$11+SQRT(U972*($G$11-$E$11)*($F$11-$E$11)),$G$11-SQRT((1-U972)*($G$11-$E$11)*($G$11-$F$11))))</f>
        <v>0.106526951545462</v>
      </c>
      <c r="H972" s="53" t="n">
        <f aca="false">(('Business Case'!B11*$C972*'Business Case'!B12*$B972)-'Business Case'!B11*$C972*'Business Case'!B13*$D972-'Business Case'!B14*$E972)-MAX(0,(('Business Case'!B11*$C972*'Business Case'!B12*$B972)-'Business Case'!B11*$C972*'Business Case'!B13*$D972-'Business Case'!B14*$E972))*'Business Case'!$B$7-'Business Case'!$B$8*('Business Case'!B11*$C972*'Business Case'!B12*$B972)-'Business Case'!B15*$F972</f>
        <v>-2025155300.31759</v>
      </c>
      <c r="I972" s="53" t="n">
        <f aca="false">(('Business Case'!C11*$C972*'Business Case'!C12*$B972)-'Business Case'!C11*$C972*'Business Case'!C13*$D972-'Business Case'!C14*$E972)-MAX(0,(('Business Case'!C11*$C972*'Business Case'!C12*$B972)-'Business Case'!C11*$C972*'Business Case'!C13*$D972-'Business Case'!C14*$E972))*'Business Case'!$B$7-'Business Case'!$B$8*(('Business Case'!C11*$C972*'Business Case'!C12*$B972)-('Business Case'!B11*$C972*'Business Case'!B12*$B972))-'Business Case'!C15*$F972</f>
        <v>-64314975.8470035</v>
      </c>
      <c r="J972" s="53" t="n">
        <f aca="false">(('Business Case'!D11*$C972*'Business Case'!D12*$B972)-'Business Case'!D11*$C972*'Business Case'!D13*$D972-'Business Case'!D14*$E972)-MAX(0,(('Business Case'!D11*$C972*'Business Case'!D12*$B972)-'Business Case'!D11*$C972*'Business Case'!D13*$D972-'Business Case'!D14*$E972))*'Business Case'!$B$7-'Business Case'!$B$8*(('Business Case'!D11*$C972*'Business Case'!D12*$B972)-('Business Case'!C11*$C972*'Business Case'!C12*$B972))-'Business Case'!D15*$F972</f>
        <v>167053015.336249</v>
      </c>
      <c r="K972" s="53" t="n">
        <f aca="false">(('Business Case'!E11*$C972*'Business Case'!E12*$B972)-'Business Case'!E11*$C972*'Business Case'!E13*$D972-'Business Case'!E14*$E972)-MAX(0,(('Business Case'!E11*$C972*'Business Case'!E12*$B972)-'Business Case'!E11*$C972*'Business Case'!E13*$D972-'Business Case'!E14*$E972))*'Business Case'!$B$7-'Business Case'!$B$8*(('Business Case'!E11*$C972*'Business Case'!E12*$B972)-('Business Case'!D11*$C972*'Business Case'!D12*$B972))-'Business Case'!E15*$F972</f>
        <v>449049889.027441</v>
      </c>
      <c r="L972" s="53" t="n">
        <f aca="false">(('Business Case'!F11*$C972*'Business Case'!F12*$B972)-'Business Case'!F11*$C972*'Business Case'!F13*$D972-'Business Case'!F14*$E972)-MAX(0,(('Business Case'!F11*$C972*'Business Case'!F12*$B972)-'Business Case'!F11*$C972*'Business Case'!F13*$D972-'Business Case'!F14*$E972))*'Business Case'!$B$7-'Business Case'!$B$8*(('Business Case'!F11*$C972*'Business Case'!F12*$B972)-('Business Case'!E11*$C972*'Business Case'!E12*$B972))-'Business Case'!F15*$F972</f>
        <v>558142779.784536</v>
      </c>
      <c r="M972" s="53" t="n">
        <f aca="false">(('Business Case'!G11*$C972*'Business Case'!G12*$B972)-'Business Case'!G11*$C972*'Business Case'!G13*$D972-'Business Case'!G14*$E972)-MAX(0,(('Business Case'!G11*$C972*'Business Case'!G12*$B972)-'Business Case'!G11*$C972*'Business Case'!G13*$D972-'Business Case'!G14*$E972))*'Business Case'!$B$7-'Business Case'!$B$8*(('Business Case'!G11*$C972*'Business Case'!G12*$B972)-('Business Case'!F11*$C972*'Business Case'!F12*$B972))-'Business Case'!G15*$F972+'Business Case'!$B$8*('Business Case'!G11*$C972*'Business Case'!G12*$B972)</f>
        <v>733979028.445926</v>
      </c>
      <c r="N972" s="53" t="n">
        <f aca="false">IF(COUNT('Business Case'!B11:G11)=0,"",H972+NPV(G972,I972:M972))</f>
        <v>-800636021.296188</v>
      </c>
      <c r="P972" s="54" t="n">
        <f aca="true">RAND()</f>
        <v>0.0756411932163952</v>
      </c>
      <c r="Q972" s="54" t="n">
        <f aca="true">RAND()</f>
        <v>0.44700700338341</v>
      </c>
      <c r="R972" s="54" t="n">
        <f aca="true">RAND()</f>
        <v>0.927088133752392</v>
      </c>
      <c r="S972" s="54" t="n">
        <f aca="true">RAND()</f>
        <v>0.673586732766773</v>
      </c>
      <c r="T972" s="54" t="n">
        <f aca="true">RAND()</f>
        <v>0.297457255600026</v>
      </c>
      <c r="U972" s="54" t="n">
        <f aca="true">RAND()</f>
        <v>0.697461608902787</v>
      </c>
    </row>
    <row r="973" customFormat="false" ht="15" hidden="false" customHeight="false" outlineLevel="0" collapsed="false">
      <c r="A973" s="50" t="n">
        <v>893</v>
      </c>
      <c r="B973" s="51" t="n">
        <f aca="false">1+IF($G$6=$E$6,$F$6,IF(P973&lt;($F$6-$E$6)/($G$6-$E$6),$E$6+SQRT(P973*($G$6-$E$6)*($F$6-$E$6)),$G$6-SQRT((1-P973)*($G$6-$E$6)*($G$6-$F$6))))</f>
        <v>0.949502395229883</v>
      </c>
      <c r="C973" s="51" t="n">
        <f aca="false">1+IF($G$7=$E$7,$F$7,IF(Q973&lt;($F$7-$E$7)/($G$7-$E$7),$E$7+SQRT(Q973*($G$7-$E$7)*($F$7-$E$7)),$G$7-SQRT((1-Q973)*($G$7-$E$7)*($G$7-$F$7))))</f>
        <v>0.990282397601104</v>
      </c>
      <c r="D973" s="51" t="n">
        <f aca="false">1+IF($G$8=$E$8,$F$8,IF(R973&lt;($F$8-$E$8)/($G$8-$E$8),$E$8+SQRT(R973*($G$8-$E$8)*($F$8-$E$8)),$G$8-SQRT((1-R973)*($G$8-$E$8)*($G$8-$F$8))))</f>
        <v>0.99644637313191</v>
      </c>
      <c r="E973" s="51" t="n">
        <f aca="false">1+IF($G$9=$E$9,$F$9,IF(S973&lt;($F$9-$E$9)/($G$9-$E$9),$E$9+SQRT(S973*($G$9-$E$9)*($F$9-$E$9)),$G$9-SQRT((1-S973)*($G$9-$E$9)*($G$9-$F$9))))</f>
        <v>0.982220324075142</v>
      </c>
      <c r="F973" s="51" t="n">
        <f aca="false">1+IF($G$10=$E$10,$F$10,IF(T973&lt;($F$10-$E$10)/($G$10-$E$10),$E$10+SQRT(T973*($G$10-$E$10)*($F$10-$E$10)),$G$10-SQRT((1-T973)*($G$10-$E$10)*($G$10-$F$10))))</f>
        <v>1.01353961145869</v>
      </c>
      <c r="G973" s="52" t="n">
        <f aca="false">IF($G$11=$E$11,$F$11,IF(U973&lt;($F$11-$E$11)/($G$11-$E$11),$E$11+SQRT(U973*($G$11-$E$11)*($F$11-$E$11)),$G$11-SQRT((1-U973)*($G$11-$E$11)*($G$11-$F$11))))</f>
        <v>0.109886447865228</v>
      </c>
      <c r="H973" s="53" t="n">
        <f aca="false">(('Business Case'!B11*$C973*'Business Case'!B12*$B973)-'Business Case'!B11*$C973*'Business Case'!B13*$D973-'Business Case'!B14*$E973)-MAX(0,(('Business Case'!B11*$C973*'Business Case'!B12*$B973)-'Business Case'!B11*$C973*'Business Case'!B13*$D973-'Business Case'!B14*$E973))*'Business Case'!$B$7-'Business Case'!$B$8*('Business Case'!B11*$C973*'Business Case'!B12*$B973)-'Business Case'!B15*$F973</f>
        <v>-2027079222.91738</v>
      </c>
      <c r="I973" s="53" t="n">
        <f aca="false">(('Business Case'!C11*$C973*'Business Case'!C12*$B973)-'Business Case'!C11*$C973*'Business Case'!C13*$D973-'Business Case'!C14*$E973)-MAX(0,(('Business Case'!C11*$C973*'Business Case'!C12*$B973)-'Business Case'!C11*$C973*'Business Case'!C13*$D973-'Business Case'!C14*$E973))*'Business Case'!$B$7-'Business Case'!$B$8*(('Business Case'!C11*$C973*'Business Case'!C12*$B973)-('Business Case'!B11*$C973*'Business Case'!B12*$B973))-'Business Case'!C15*$F973</f>
        <v>-24760102.6204226</v>
      </c>
      <c r="J973" s="53" t="n">
        <f aca="false">(('Business Case'!D11*$C973*'Business Case'!D12*$B973)-'Business Case'!D11*$C973*'Business Case'!D13*$D973-'Business Case'!D14*$E973)-MAX(0,(('Business Case'!D11*$C973*'Business Case'!D12*$B973)-'Business Case'!D11*$C973*'Business Case'!D13*$D973-'Business Case'!D14*$E973))*'Business Case'!$B$7-'Business Case'!$B$8*(('Business Case'!D11*$C973*'Business Case'!D12*$B973)-('Business Case'!C11*$C973*'Business Case'!C12*$B973))-'Business Case'!D15*$F973</f>
        <v>240249368.347917</v>
      </c>
      <c r="K973" s="53" t="n">
        <f aca="false">(('Business Case'!E11*$C973*'Business Case'!E12*$B973)-'Business Case'!E11*$C973*'Business Case'!E13*$D973-'Business Case'!E14*$E973)-MAX(0,(('Business Case'!E11*$C973*'Business Case'!E12*$B973)-'Business Case'!E11*$C973*'Business Case'!E13*$D973-'Business Case'!E14*$E973))*'Business Case'!$B$7-'Business Case'!$B$8*(('Business Case'!E11*$C973*'Business Case'!E12*$B973)-('Business Case'!D11*$C973*'Business Case'!D12*$B973))-'Business Case'!E15*$F973</f>
        <v>555935819.889192</v>
      </c>
      <c r="L973" s="53" t="n">
        <f aca="false">(('Business Case'!F11*$C973*'Business Case'!F12*$B973)-'Business Case'!F11*$C973*'Business Case'!F13*$D973-'Business Case'!F14*$E973)-MAX(0,(('Business Case'!F11*$C973*'Business Case'!F12*$B973)-'Business Case'!F11*$C973*'Business Case'!F13*$D973-'Business Case'!F14*$E973))*'Business Case'!$B$7-'Business Case'!$B$8*(('Business Case'!F11*$C973*'Business Case'!F12*$B973)-('Business Case'!E11*$C973*'Business Case'!E12*$B973))-'Business Case'!F15*$F973</f>
        <v>676768231.784911</v>
      </c>
      <c r="M973" s="53" t="n">
        <f aca="false">(('Business Case'!G11*$C973*'Business Case'!G12*$B973)-'Business Case'!G11*$C973*'Business Case'!G13*$D973-'Business Case'!G14*$E973)-MAX(0,(('Business Case'!G11*$C973*'Business Case'!G12*$B973)-'Business Case'!G11*$C973*'Business Case'!G13*$D973-'Business Case'!G14*$E973))*'Business Case'!$B$7-'Business Case'!$B$8*(('Business Case'!G11*$C973*'Business Case'!G12*$B973)-('Business Case'!F11*$C973*'Business Case'!F12*$B973))-'Business Case'!G15*$F973+'Business Case'!$B$8*('Business Case'!G11*$C973*'Business Case'!G12*$B973)</f>
        <v>855495800.436074</v>
      </c>
      <c r="N973" s="53" t="n">
        <f aca="false">IF(COUNT('Business Case'!B11:G11)=0,"",H973+NPV(G973,I973:M973))</f>
        <v>-493790418.38536</v>
      </c>
      <c r="P973" s="54" t="n">
        <f aca="true">RAND()</f>
        <v>0.0906657629479379</v>
      </c>
      <c r="Q973" s="54" t="n">
        <f aca="true">RAND()</f>
        <v>0.517248440526068</v>
      </c>
      <c r="R973" s="54" t="n">
        <f aca="true">RAND()</f>
        <v>0.331887011862857</v>
      </c>
      <c r="S973" s="54" t="n">
        <f aca="true">RAND()</f>
        <v>0.138419904467619</v>
      </c>
      <c r="T973" s="54" t="n">
        <f aca="true">RAND()</f>
        <v>0.304650470100483</v>
      </c>
      <c r="U973" s="54" t="n">
        <f aca="true">RAND()</f>
        <v>0.829526772028742</v>
      </c>
    </row>
    <row r="974" customFormat="false" ht="15" hidden="false" customHeight="false" outlineLevel="0" collapsed="false">
      <c r="A974" s="50" t="n">
        <v>894</v>
      </c>
      <c r="B974" s="51" t="n">
        <f aca="false">1+IF($G$6=$E$6,$F$6,IF(P974&lt;($F$6-$E$6)/($G$6-$E$6),$E$6+SQRT(P974*($G$6-$E$6)*($F$6-$E$6)),$G$6-SQRT((1-P974)*($G$6-$E$6)*($G$6-$F$6))))</f>
        <v>1.01019740326838</v>
      </c>
      <c r="C974" s="51" t="n">
        <f aca="false">1+IF($G$7=$E$7,$F$7,IF(Q974&lt;($F$7-$E$7)/($G$7-$E$7),$E$7+SQRT(Q974*($G$7-$E$7)*($F$7-$E$7)),$G$7-SQRT((1-Q974)*($G$7-$E$7)*($G$7-$F$7))))</f>
        <v>0.911822598946006</v>
      </c>
      <c r="D974" s="51" t="n">
        <f aca="false">1+IF($G$8=$E$8,$F$8,IF(R974&lt;($F$8-$E$8)/($G$8-$E$8),$E$8+SQRT(R974*($G$8-$E$8)*($F$8-$E$8)),$G$8-SQRT((1-R974)*($G$8-$E$8)*($G$8-$F$8))))</f>
        <v>1.01632821561067</v>
      </c>
      <c r="E974" s="51" t="n">
        <f aca="false">1+IF($G$9=$E$9,$F$9,IF(S974&lt;($F$9-$E$9)/($G$9-$E$9),$E$9+SQRT(S974*($G$9-$E$9)*($F$9-$E$9)),$G$9-SQRT((1-S974)*($G$9-$E$9)*($G$9-$F$9))))</f>
        <v>1.03024675001783</v>
      </c>
      <c r="F974" s="51" t="n">
        <f aca="false">1+IF($G$10=$E$10,$F$10,IF(T974&lt;($F$10-$E$10)/($G$10-$E$10),$E$10+SQRT(T974*($G$10-$E$10)*($F$10-$E$10)),$G$10-SQRT((1-T974)*($G$10-$E$10)*($G$10-$F$10))))</f>
        <v>1.06899395720703</v>
      </c>
      <c r="G974" s="52" t="n">
        <f aca="false">IF($G$11=$E$11,$F$11,IF(U974&lt;($F$11-$E$11)/($G$11-$E$11),$E$11+SQRT(U974*($G$11-$E$11)*($F$11-$E$11)),$G$11-SQRT((1-U974)*($G$11-$E$11)*($G$11-$F$11))))</f>
        <v>0.0952567858377488</v>
      </c>
      <c r="H974" s="53" t="n">
        <f aca="false">(('Business Case'!B11*$C974*'Business Case'!B12*$B974)-'Business Case'!B11*$C974*'Business Case'!B13*$D974-'Business Case'!B14*$E974)-MAX(0,(('Business Case'!B11*$C974*'Business Case'!B12*$B974)-'Business Case'!B11*$C974*'Business Case'!B13*$D974-'Business Case'!B14*$E974))*'Business Case'!$B$7-'Business Case'!$B$8*('Business Case'!B11*$C974*'Business Case'!B12*$B974)-'Business Case'!B15*$F974</f>
        <v>-2137987914.41406</v>
      </c>
      <c r="I974" s="53" t="n">
        <f aca="false">(('Business Case'!C11*$C974*'Business Case'!C12*$B974)-'Business Case'!C11*$C974*'Business Case'!C13*$D974-'Business Case'!C14*$E974)-MAX(0,(('Business Case'!C11*$C974*'Business Case'!C12*$B974)-'Business Case'!C11*$C974*'Business Case'!C13*$D974-'Business Case'!C14*$E974))*'Business Case'!$B$7-'Business Case'!$B$8*(('Business Case'!C11*$C974*'Business Case'!C12*$B974)-('Business Case'!B11*$C974*'Business Case'!B12*$B974))-'Business Case'!C15*$F974</f>
        <v>-21089026.3078782</v>
      </c>
      <c r="J974" s="53" t="n">
        <f aca="false">(('Business Case'!D11*$C974*'Business Case'!D12*$B974)-'Business Case'!D11*$C974*'Business Case'!D13*$D974-'Business Case'!D14*$E974)-MAX(0,(('Business Case'!D11*$C974*'Business Case'!D12*$B974)-'Business Case'!D11*$C974*'Business Case'!D13*$D974-'Business Case'!D14*$E974))*'Business Case'!$B$7-'Business Case'!$B$8*(('Business Case'!D11*$C974*'Business Case'!D12*$B974)-('Business Case'!C11*$C974*'Business Case'!C12*$B974))-'Business Case'!D15*$F974</f>
        <v>258973334.354238</v>
      </c>
      <c r="K974" s="53" t="n">
        <f aca="false">(('Business Case'!E11*$C974*'Business Case'!E12*$B974)-'Business Case'!E11*$C974*'Business Case'!E13*$D974-'Business Case'!E14*$E974)-MAX(0,(('Business Case'!E11*$C974*'Business Case'!E12*$B974)-'Business Case'!E11*$C974*'Business Case'!E13*$D974-'Business Case'!E14*$E974))*'Business Case'!$B$7-'Business Case'!$B$8*(('Business Case'!E11*$C974*'Business Case'!E12*$B974)-('Business Case'!D11*$C974*'Business Case'!D12*$B974))-'Business Case'!E15*$F974</f>
        <v>592485392.876705</v>
      </c>
      <c r="L974" s="53" t="n">
        <f aca="false">(('Business Case'!F11*$C974*'Business Case'!F12*$B974)-'Business Case'!F11*$C974*'Business Case'!F13*$D974-'Business Case'!F14*$E974)-MAX(0,(('Business Case'!F11*$C974*'Business Case'!F12*$B974)-'Business Case'!F11*$C974*'Business Case'!F13*$D974-'Business Case'!F14*$E974))*'Business Case'!$B$7-'Business Case'!$B$8*(('Business Case'!F11*$C974*'Business Case'!F12*$B974)-('Business Case'!E11*$C974*'Business Case'!E12*$B974))-'Business Case'!F15*$F974</f>
        <v>717673448.695248</v>
      </c>
      <c r="M974" s="53" t="n">
        <f aca="false">(('Business Case'!G11*$C974*'Business Case'!G12*$B974)-'Business Case'!G11*$C974*'Business Case'!G13*$D974-'Business Case'!G14*$E974)-MAX(0,(('Business Case'!G11*$C974*'Business Case'!G12*$B974)-'Business Case'!G11*$C974*'Business Case'!G13*$D974-'Business Case'!G14*$E974))*'Business Case'!$B$7-'Business Case'!$B$8*(('Business Case'!G11*$C974*'Business Case'!G12*$B974)-('Business Case'!F11*$C974*'Business Case'!F12*$B974))-'Business Case'!G15*$F974+'Business Case'!$B$8*('Business Case'!G11*$C974*'Business Case'!G12*$B974)</f>
        <v>892760094.483354</v>
      </c>
      <c r="N974" s="53" t="n">
        <f aca="false">IF(COUNT('Business Case'!B11:G11)=0,"",H974+NPV(G974,I974:M974))</f>
        <v>-425237354.873552</v>
      </c>
      <c r="P974" s="54" t="n">
        <f aca="true">RAND()</f>
        <v>0.814959422510948</v>
      </c>
      <c r="Q974" s="54" t="n">
        <f aca="true">RAND()</f>
        <v>0.178632766214847</v>
      </c>
      <c r="R974" s="54" t="n">
        <f aca="true">RAND()</f>
        <v>0.610183064680701</v>
      </c>
      <c r="S974" s="54" t="n">
        <f aca="true">RAND()</f>
        <v>0.675632274461628</v>
      </c>
      <c r="T974" s="54" t="n">
        <f aca="true">RAND()</f>
        <v>0.656748335034538</v>
      </c>
      <c r="U974" s="54" t="n">
        <f aca="true">RAND()</f>
        <v>0.0921126578131886</v>
      </c>
    </row>
    <row r="975" customFormat="false" ht="15" hidden="false" customHeight="false" outlineLevel="0" collapsed="false">
      <c r="A975" s="50" t="n">
        <v>895</v>
      </c>
      <c r="B975" s="51" t="n">
        <f aca="false">1+IF($G$6=$E$6,$F$6,IF(P975&lt;($F$6-$E$6)/($G$6-$E$6),$E$6+SQRT(P975*($G$6-$E$6)*($F$6-$E$6)),$G$6-SQRT((1-P975)*($G$6-$E$6)*($G$6-$F$6))))</f>
        <v>1.0362611938671</v>
      </c>
      <c r="C975" s="51" t="n">
        <f aca="false">1+IF($G$7=$E$7,$F$7,IF(Q975&lt;($F$7-$E$7)/($G$7-$E$7),$E$7+SQRT(Q975*($G$7-$E$7)*($F$7-$E$7)),$G$7-SQRT((1-Q975)*($G$7-$E$7)*($G$7-$F$7))))</f>
        <v>0.954946983682169</v>
      </c>
      <c r="D975" s="51" t="n">
        <f aca="false">1+IF($G$8=$E$8,$F$8,IF(R975&lt;($F$8-$E$8)/($G$8-$E$8),$E$8+SQRT(R975*($G$8-$E$8)*($F$8-$E$8)),$G$8-SQRT((1-R975)*($G$8-$E$8)*($G$8-$F$8))))</f>
        <v>1.00745329095092</v>
      </c>
      <c r="E975" s="51" t="n">
        <f aca="false">1+IF($G$9=$E$9,$F$9,IF(S975&lt;($F$9-$E$9)/($G$9-$E$9),$E$9+SQRT(S975*($G$9-$E$9)*($F$9-$E$9)),$G$9-SQRT((1-S975)*($G$9-$E$9)*($G$9-$F$9))))</f>
        <v>1.02354511275686</v>
      </c>
      <c r="F975" s="51" t="n">
        <f aca="false">1+IF($G$10=$E$10,$F$10,IF(T975&lt;($F$10-$E$10)/($G$10-$E$10),$E$10+SQRT(T975*($G$10-$E$10)*($F$10-$E$10)),$G$10-SQRT((1-T975)*($G$10-$E$10)*($G$10-$F$10))))</f>
        <v>1.03880035650594</v>
      </c>
      <c r="G975" s="52" t="n">
        <f aca="false">IF($G$11=$E$11,$F$11,IF(U975&lt;($F$11-$E$11)/($G$11-$E$11),$E$11+SQRT(U975*($G$11-$E$11)*($F$11-$E$11)),$G$11-SQRT((1-U975)*($G$11-$E$11)*($G$11-$F$11))))</f>
        <v>0.100661746890912</v>
      </c>
      <c r="H975" s="53" t="n">
        <f aca="false">(('Business Case'!B11*$C975*'Business Case'!B12*$B975)-'Business Case'!B11*$C975*'Business Case'!B13*$D975-'Business Case'!B14*$E975)-MAX(0,(('Business Case'!B11*$C975*'Business Case'!B12*$B975)-'Business Case'!B11*$C975*'Business Case'!B13*$D975-'Business Case'!B14*$E975))*'Business Case'!$B$7-'Business Case'!$B$8*('Business Case'!B11*$C975*'Business Case'!B12*$B975)-'Business Case'!B15*$F975</f>
        <v>-2077600713.01188</v>
      </c>
      <c r="I975" s="53" t="n">
        <f aca="false">(('Business Case'!C11*$C975*'Business Case'!C12*$B975)-'Business Case'!C11*$C975*'Business Case'!C13*$D975-'Business Case'!C14*$E975)-MAX(0,(('Business Case'!C11*$C975*'Business Case'!C12*$B975)-'Business Case'!C11*$C975*'Business Case'!C13*$D975-'Business Case'!C14*$E975))*'Business Case'!$B$7-'Business Case'!$B$8*(('Business Case'!C11*$C975*'Business Case'!C12*$B975)-('Business Case'!B11*$C975*'Business Case'!B12*$B975))-'Business Case'!C15*$F975</f>
        <v>17305023.850696</v>
      </c>
      <c r="J975" s="53" t="n">
        <f aca="false">(('Business Case'!D11*$C975*'Business Case'!D12*$B975)-'Business Case'!D11*$C975*'Business Case'!D13*$D975-'Business Case'!D14*$E975)-MAX(0,(('Business Case'!D11*$C975*'Business Case'!D12*$B975)-'Business Case'!D11*$C975*'Business Case'!D13*$D975-'Business Case'!D14*$E975))*'Business Case'!$B$7-'Business Case'!$B$8*(('Business Case'!D11*$C975*'Business Case'!D12*$B975)-('Business Case'!C11*$C975*'Business Case'!C12*$B975))-'Business Case'!D15*$F975</f>
        <v>335337740.538083</v>
      </c>
      <c r="K975" s="53" t="n">
        <f aca="false">(('Business Case'!E11*$C975*'Business Case'!E12*$B975)-'Business Case'!E11*$C975*'Business Case'!E13*$D975-'Business Case'!E14*$E975)-MAX(0,(('Business Case'!E11*$C975*'Business Case'!E12*$B975)-'Business Case'!E11*$C975*'Business Case'!E13*$D975-'Business Case'!E14*$E975))*'Business Case'!$B$7-'Business Case'!$B$8*(('Business Case'!E11*$C975*'Business Case'!E12*$B975)-('Business Case'!D11*$C975*'Business Case'!D12*$B975))-'Business Case'!E15*$F975</f>
        <v>705310475.050767</v>
      </c>
      <c r="L975" s="53" t="n">
        <f aca="false">(('Business Case'!F11*$C975*'Business Case'!F12*$B975)-'Business Case'!F11*$C975*'Business Case'!F13*$D975-'Business Case'!F14*$E975)-MAX(0,(('Business Case'!F11*$C975*'Business Case'!F12*$B975)-'Business Case'!F11*$C975*'Business Case'!F13*$D975-'Business Case'!F14*$E975))*'Business Case'!$B$7-'Business Case'!$B$8*(('Business Case'!F11*$C975*'Business Case'!F12*$B975)-('Business Case'!E11*$C975*'Business Case'!E12*$B975))-'Business Case'!F15*$F975</f>
        <v>845521075.381277</v>
      </c>
      <c r="M975" s="53" t="n">
        <f aca="false">(('Business Case'!G11*$C975*'Business Case'!G12*$B975)-'Business Case'!G11*$C975*'Business Case'!G13*$D975-'Business Case'!G14*$E975)-MAX(0,(('Business Case'!G11*$C975*'Business Case'!G12*$B975)-'Business Case'!G11*$C975*'Business Case'!G13*$D975-'Business Case'!G14*$E975))*'Business Case'!$B$7-'Business Case'!$B$8*(('Business Case'!G11*$C975*'Business Case'!G12*$B975)-('Business Case'!F11*$C975*'Business Case'!F12*$B975))-'Business Case'!G15*$F975+'Business Case'!$B$8*('Business Case'!G11*$C975*'Business Case'!G12*$B975)</f>
        <v>1033619396.60554</v>
      </c>
      <c r="N975" s="53" t="n">
        <f aca="false">IF(COUNT('Business Case'!B11:G11)=0,"",H975+NPV(G975,I975:M975))</f>
        <v>-40133861.0356054</v>
      </c>
      <c r="P975" s="54" t="n">
        <f aca="true">RAND()</f>
        <v>0.997087776812628</v>
      </c>
      <c r="Q975" s="54" t="n">
        <f aca="true">RAND()</f>
        <v>0.342979539317174</v>
      </c>
      <c r="R975" s="54" t="n">
        <f aca="true">RAND()</f>
        <v>0.493939904437305</v>
      </c>
      <c r="S975" s="54" t="n">
        <f aca="true">RAND()</f>
        <v>0.610310014442568</v>
      </c>
      <c r="T975" s="54" t="n">
        <f aca="true">RAND()</f>
        <v>0.480293498747768</v>
      </c>
      <c r="U975" s="54" t="n">
        <f aca="true">RAND()</f>
        <v>0.376719944481406</v>
      </c>
    </row>
    <row r="976" customFormat="false" ht="15" hidden="false" customHeight="false" outlineLevel="0" collapsed="false">
      <c r="A976" s="50" t="n">
        <v>896</v>
      </c>
      <c r="B976" s="51" t="n">
        <f aca="false">1+IF($G$6=$E$6,$F$6,IF(P976&lt;($F$6-$E$6)/($G$6-$E$6),$E$6+SQRT(P976*($G$6-$E$6)*($F$6-$E$6)),$G$6-SQRT((1-P976)*($G$6-$E$6)*($G$6-$F$6))))</f>
        <v>0.942549162703603</v>
      </c>
      <c r="C976" s="51" t="n">
        <f aca="false">1+IF($G$7=$E$7,$F$7,IF(Q976&lt;($F$7-$E$7)/($G$7-$E$7),$E$7+SQRT(Q976*($G$7-$E$7)*($F$7-$E$7)),$G$7-SQRT((1-Q976)*($G$7-$E$7)*($G$7-$F$7))))</f>
        <v>0.986512060389082</v>
      </c>
      <c r="D976" s="51" t="n">
        <f aca="false">1+IF($G$8=$E$8,$F$8,IF(R976&lt;($F$8-$E$8)/($G$8-$E$8),$E$8+SQRT(R976*($G$8-$E$8)*($F$8-$E$8)),$G$8-SQRT((1-R976)*($G$8-$E$8)*($G$8-$F$8))))</f>
        <v>1.05266125699605</v>
      </c>
      <c r="E976" s="51" t="n">
        <f aca="false">1+IF($G$9=$E$9,$F$9,IF(S976&lt;($F$9-$E$9)/($G$9-$E$9),$E$9+SQRT(S976*($G$9-$E$9)*($F$9-$E$9)),$G$9-SQRT((1-S976)*($G$9-$E$9)*($G$9-$F$9))))</f>
        <v>1.02572067624942</v>
      </c>
      <c r="F976" s="51" t="n">
        <f aca="false">1+IF($G$10=$E$10,$F$10,IF(T976&lt;($F$10-$E$10)/($G$10-$E$10),$E$10+SQRT(T976*($G$10-$E$10)*($F$10-$E$10)),$G$10-SQRT((1-T976)*($G$10-$E$10)*($G$10-$F$10))))</f>
        <v>1.0177904255159</v>
      </c>
      <c r="G976" s="52" t="n">
        <f aca="false">IF($G$11=$E$11,$F$11,IF(U976&lt;($F$11-$E$11)/($G$11-$E$11),$E$11+SQRT(U976*($G$11-$E$11)*($F$11-$E$11)),$G$11-SQRT((1-U976)*($G$11-$E$11)*($G$11-$F$11))))</f>
        <v>0.11002345616751</v>
      </c>
      <c r="H976" s="53" t="n">
        <f aca="false">(('Business Case'!B11*$C976*'Business Case'!B12*$B976)-'Business Case'!B11*$C976*'Business Case'!B13*$D976-'Business Case'!B14*$E976)-MAX(0,(('Business Case'!B11*$C976*'Business Case'!B12*$B976)-'Business Case'!B11*$C976*'Business Case'!B13*$D976-'Business Case'!B14*$E976))*'Business Case'!$B$7-'Business Case'!$B$8*('Business Case'!B11*$C976*'Business Case'!B12*$B976)-'Business Case'!B15*$F976</f>
        <v>-2035580851.0318</v>
      </c>
      <c r="I976" s="53" t="n">
        <f aca="false">(('Business Case'!C11*$C976*'Business Case'!C12*$B976)-'Business Case'!C11*$C976*'Business Case'!C13*$D976-'Business Case'!C14*$E976)-MAX(0,(('Business Case'!C11*$C976*'Business Case'!C12*$B976)-'Business Case'!C11*$C976*'Business Case'!C13*$D976-'Business Case'!C14*$E976))*'Business Case'!$B$7-'Business Case'!$B$8*(('Business Case'!C11*$C976*'Business Case'!C12*$B976)-('Business Case'!B11*$C976*'Business Case'!B12*$B976))-'Business Case'!C15*$F976</f>
        <v>-65846491.3966883</v>
      </c>
      <c r="J976" s="53" t="n">
        <f aca="false">(('Business Case'!D11*$C976*'Business Case'!D12*$B976)-'Business Case'!D11*$C976*'Business Case'!D13*$D976-'Business Case'!D14*$E976)-MAX(0,(('Business Case'!D11*$C976*'Business Case'!D12*$B976)-'Business Case'!D11*$C976*'Business Case'!D13*$D976-'Business Case'!D14*$E976))*'Business Case'!$B$7-'Business Case'!$B$8*(('Business Case'!D11*$C976*'Business Case'!D12*$B976)-('Business Case'!C11*$C976*'Business Case'!C12*$B976))-'Business Case'!D15*$F976</f>
        <v>164146244.201109</v>
      </c>
      <c r="K976" s="53" t="n">
        <f aca="false">(('Business Case'!E11*$C976*'Business Case'!E12*$B976)-'Business Case'!E11*$C976*'Business Case'!E13*$D976-'Business Case'!E14*$E976)-MAX(0,(('Business Case'!E11*$C976*'Business Case'!E12*$B976)-'Business Case'!E11*$C976*'Business Case'!E13*$D976-'Business Case'!E14*$E976))*'Business Case'!$B$7-'Business Case'!$B$8*(('Business Case'!E11*$C976*'Business Case'!E12*$B976)-('Business Case'!D11*$C976*'Business Case'!D12*$B976))-'Business Case'!E15*$F976</f>
        <v>445028501.074702</v>
      </c>
      <c r="L976" s="53" t="n">
        <f aca="false">(('Business Case'!F11*$C976*'Business Case'!F12*$B976)-'Business Case'!F11*$C976*'Business Case'!F13*$D976-'Business Case'!F14*$E976)-MAX(0,(('Business Case'!F11*$C976*'Business Case'!F12*$B976)-'Business Case'!F11*$C976*'Business Case'!F13*$D976-'Business Case'!F14*$E976))*'Business Case'!$B$7-'Business Case'!$B$8*(('Business Case'!F11*$C976*'Business Case'!F12*$B976)-('Business Case'!E11*$C976*'Business Case'!E12*$B976))-'Business Case'!F15*$F976</f>
        <v>553827882.460787</v>
      </c>
      <c r="M976" s="53" t="n">
        <f aca="false">(('Business Case'!G11*$C976*'Business Case'!G12*$B976)-'Business Case'!G11*$C976*'Business Case'!G13*$D976-'Business Case'!G14*$E976)-MAX(0,(('Business Case'!G11*$C976*'Business Case'!G12*$B976)-'Business Case'!G11*$C976*'Business Case'!G13*$D976-'Business Case'!G14*$E976))*'Business Case'!$B$7-'Business Case'!$B$8*(('Business Case'!G11*$C976*'Business Case'!G12*$B976)-('Business Case'!F11*$C976*'Business Case'!F12*$B976))-'Business Case'!G15*$F976+'Business Case'!$B$8*('Business Case'!G11*$C976*'Business Case'!G12*$B976)</f>
        <v>730571131.488287</v>
      </c>
      <c r="N976" s="53" t="n">
        <f aca="false">IF(COUNT('Business Case'!B11:G11)=0,"",H976+NPV(G976,I976:M976))</f>
        <v>-837995893.825518</v>
      </c>
      <c r="P976" s="54" t="n">
        <f aca="true">RAND()</f>
        <v>0.0529650769409969</v>
      </c>
      <c r="Q976" s="54" t="n">
        <f aca="true">RAND()</f>
        <v>0.496953552436863</v>
      </c>
      <c r="R976" s="54" t="n">
        <f aca="true">RAND()</f>
        <v>0.928133954900405</v>
      </c>
      <c r="S976" s="54" t="n">
        <f aca="true">RAND()</f>
        <v>0.632172137543816</v>
      </c>
      <c r="T976" s="54" t="n">
        <f aca="true">RAND()</f>
        <v>0.335993419326475</v>
      </c>
      <c r="U976" s="54" t="n">
        <f aca="true">RAND()</f>
        <v>0.834114288597339</v>
      </c>
    </row>
    <row r="977" customFormat="false" ht="15" hidden="false" customHeight="false" outlineLevel="0" collapsed="false">
      <c r="A977" s="50" t="n">
        <v>897</v>
      </c>
      <c r="B977" s="51" t="n">
        <f aca="false">1+IF($G$6=$E$6,$F$6,IF(P977&lt;($F$6-$E$6)/($G$6-$E$6),$E$6+SQRT(P977*($G$6-$E$6)*($F$6-$E$6)),$G$6-SQRT((1-P977)*($G$6-$E$6)*($G$6-$F$6))))</f>
        <v>0.939278300074264</v>
      </c>
      <c r="C977" s="51" t="n">
        <f aca="false">1+IF($G$7=$E$7,$F$7,IF(Q977&lt;($F$7-$E$7)/($G$7-$E$7),$E$7+SQRT(Q977*($G$7-$E$7)*($F$7-$E$7)),$G$7-SQRT((1-Q977)*($G$7-$E$7)*($G$7-$F$7))))</f>
        <v>0.987999024962506</v>
      </c>
      <c r="D977" s="51" t="n">
        <f aca="false">1+IF($G$8=$E$8,$F$8,IF(R977&lt;($F$8-$E$8)/($G$8-$E$8),$E$8+SQRT(R977*($G$8-$E$8)*($F$8-$E$8)),$G$8-SQRT((1-R977)*($G$8-$E$8)*($G$8-$F$8))))</f>
        <v>0.963507813265649</v>
      </c>
      <c r="E977" s="51" t="n">
        <f aca="false">1+IF($G$9=$E$9,$F$9,IF(S977&lt;($F$9-$E$9)/($G$9-$E$9),$E$9+SQRT(S977*($G$9-$E$9)*($F$9-$E$9)),$G$9-SQRT((1-S977)*($G$9-$E$9)*($G$9-$F$9))))</f>
        <v>1.08848836933153</v>
      </c>
      <c r="F977" s="51" t="n">
        <f aca="false">1+IF($G$10=$E$10,$F$10,IF(T977&lt;($F$10-$E$10)/($G$10-$E$10),$E$10+SQRT(T977*($G$10-$E$10)*($F$10-$E$10)),$G$10-SQRT((1-T977)*($G$10-$E$10)*($G$10-$F$10))))</f>
        <v>1.00840411015539</v>
      </c>
      <c r="G977" s="52" t="n">
        <f aca="false">IF($G$11=$E$11,$F$11,IF(U977&lt;($F$11-$E$11)/($G$11-$E$11),$E$11+SQRT(U977*($G$11-$E$11)*($F$11-$E$11)),$G$11-SQRT((1-U977)*($G$11-$E$11)*($G$11-$F$11))))</f>
        <v>0.105024406129973</v>
      </c>
      <c r="H977" s="53" t="n">
        <f aca="false">(('Business Case'!B11*$C977*'Business Case'!B12*$B977)-'Business Case'!B11*$C977*'Business Case'!B13*$D977-'Business Case'!B14*$E977)-MAX(0,(('Business Case'!B11*$C977*'Business Case'!B12*$B977)-'Business Case'!B11*$C977*'Business Case'!B13*$D977-'Business Case'!B14*$E977))*'Business Case'!$B$7-'Business Case'!$B$8*('Business Case'!B11*$C977*'Business Case'!B12*$B977)-'Business Case'!B15*$F977</f>
        <v>-2016808220.31078</v>
      </c>
      <c r="I977" s="53" t="n">
        <f aca="false">(('Business Case'!C11*$C977*'Business Case'!C12*$B977)-'Business Case'!C11*$C977*'Business Case'!C13*$D977-'Business Case'!C14*$E977)-MAX(0,(('Business Case'!C11*$C977*'Business Case'!C12*$B977)-'Business Case'!C11*$C977*'Business Case'!C13*$D977-'Business Case'!C14*$E977))*'Business Case'!$B$7-'Business Case'!$B$8*(('Business Case'!C11*$C977*'Business Case'!C12*$B977)-('Business Case'!B11*$C977*'Business Case'!B12*$B977))-'Business Case'!C15*$F977</f>
        <v>-30947095.2951617</v>
      </c>
      <c r="J977" s="53" t="n">
        <f aca="false">(('Business Case'!D11*$C977*'Business Case'!D12*$B977)-'Business Case'!D11*$C977*'Business Case'!D13*$D977-'Business Case'!D14*$E977)-MAX(0,(('Business Case'!D11*$C977*'Business Case'!D12*$B977)-'Business Case'!D11*$C977*'Business Case'!D13*$D977-'Business Case'!D14*$E977))*'Business Case'!$B$7-'Business Case'!$B$8*(('Business Case'!D11*$C977*'Business Case'!D12*$B977)-('Business Case'!C11*$C977*'Business Case'!C12*$B977))-'Business Case'!D15*$F977</f>
        <v>241837099.89839</v>
      </c>
      <c r="K977" s="53" t="n">
        <f aca="false">(('Business Case'!E11*$C977*'Business Case'!E12*$B977)-'Business Case'!E11*$C977*'Business Case'!E13*$D977-'Business Case'!E14*$E977)-MAX(0,(('Business Case'!E11*$C977*'Business Case'!E12*$B977)-'Business Case'!E11*$C977*'Business Case'!E13*$D977-'Business Case'!E14*$E977))*'Business Case'!$B$7-'Business Case'!$B$8*(('Business Case'!E11*$C977*'Business Case'!E12*$B977)-('Business Case'!D11*$C977*'Business Case'!D12*$B977))-'Business Case'!E15*$F977</f>
        <v>565041500.599712</v>
      </c>
      <c r="L977" s="53" t="n">
        <f aca="false">(('Business Case'!F11*$C977*'Business Case'!F12*$B977)-'Business Case'!F11*$C977*'Business Case'!F13*$D977-'Business Case'!F14*$E977)-MAX(0,(('Business Case'!F11*$C977*'Business Case'!F12*$B977)-'Business Case'!F11*$C977*'Business Case'!F13*$D977-'Business Case'!F14*$E977))*'Business Case'!$B$7-'Business Case'!$B$8*(('Business Case'!F11*$C977*'Business Case'!F12*$B977)-('Business Case'!E11*$C977*'Business Case'!E12*$B977))-'Business Case'!F15*$F977</f>
        <v>688041454.56705</v>
      </c>
      <c r="M977" s="53" t="n">
        <f aca="false">(('Business Case'!G11*$C977*'Business Case'!G12*$B977)-'Business Case'!G11*$C977*'Business Case'!G13*$D977-'Business Case'!G14*$E977)-MAX(0,(('Business Case'!G11*$C977*'Business Case'!G12*$B977)-'Business Case'!G11*$C977*'Business Case'!G13*$D977-'Business Case'!G14*$E977))*'Business Case'!$B$7-'Business Case'!$B$8*(('Business Case'!G11*$C977*'Business Case'!G12*$B977)-('Business Case'!F11*$C977*'Business Case'!F12*$B977))-'Business Case'!G15*$F977+'Business Case'!$B$8*('Business Case'!G11*$C977*'Business Case'!G12*$B977)</f>
        <v>864436843.532566</v>
      </c>
      <c r="N977" s="53" t="n">
        <f aca="false">IF(COUNT('Business Case'!B11:G11)=0,"",H977+NPV(G977,I977:M977))</f>
        <v>-441894730.743615</v>
      </c>
      <c r="P977" s="54" t="n">
        <f aca="true">RAND()</f>
        <v>0.0387138389326436</v>
      </c>
      <c r="Q977" s="54" t="n">
        <f aca="true">RAND()</f>
        <v>0.504909048383614</v>
      </c>
      <c r="R977" s="54" t="n">
        <f aca="true">RAND()</f>
        <v>0.0280709260337904</v>
      </c>
      <c r="S977" s="54" t="n">
        <f aca="true">RAND()</f>
        <v>0.991165490623511</v>
      </c>
      <c r="T977" s="54" t="n">
        <f aca="true">RAND()</f>
        <v>0.265820299893038</v>
      </c>
      <c r="U977" s="54" t="n">
        <f aca="true">RAND()</f>
        <v>0.626219313733355</v>
      </c>
    </row>
    <row r="978" customFormat="false" ht="15" hidden="false" customHeight="false" outlineLevel="0" collapsed="false">
      <c r="A978" s="50" t="n">
        <v>898</v>
      </c>
      <c r="B978" s="51" t="n">
        <f aca="false">1+IF($G$6=$E$6,$F$6,IF(P978&lt;($F$6-$E$6)/($G$6-$E$6),$E$6+SQRT(P978*($G$6-$E$6)*($F$6-$E$6)),$G$6-SQRT((1-P978)*($G$6-$E$6)*($G$6-$F$6))))</f>
        <v>0.985757915828312</v>
      </c>
      <c r="C978" s="51" t="n">
        <f aca="false">1+IF($G$7=$E$7,$F$7,IF(Q978&lt;($F$7-$E$7)/($G$7-$E$7),$E$7+SQRT(Q978*($G$7-$E$7)*($F$7-$E$7)),$G$7-SQRT((1-Q978)*($G$7-$E$7)*($G$7-$F$7))))</f>
        <v>1.0355271120994</v>
      </c>
      <c r="D978" s="51" t="n">
        <f aca="false">1+IF($G$8=$E$8,$F$8,IF(R978&lt;($F$8-$E$8)/($G$8-$E$8),$E$8+SQRT(R978*($G$8-$E$8)*($F$8-$E$8)),$G$8-SQRT((1-R978)*($G$8-$E$8)*($G$8-$F$8))))</f>
        <v>0.987950112927893</v>
      </c>
      <c r="E978" s="51" t="n">
        <f aca="false">1+IF($G$9=$E$9,$F$9,IF(S978&lt;($F$9-$E$9)/($G$9-$E$9),$E$9+SQRT(S978*($G$9-$E$9)*($F$9-$E$9)),$G$9-SQRT((1-S978)*($G$9-$E$9)*($G$9-$F$9))))</f>
        <v>0.985347504185295</v>
      </c>
      <c r="F978" s="51" t="n">
        <f aca="false">1+IF($G$10=$E$10,$F$10,IF(T978&lt;($F$10-$E$10)/($G$10-$E$10),$E$10+SQRT(T978*($G$10-$E$10)*($F$10-$E$10)),$G$10-SQRT((1-T978)*($G$10-$E$10)*($G$10-$F$10))))</f>
        <v>1.0230307227409</v>
      </c>
      <c r="G978" s="52" t="n">
        <f aca="false">IF($G$11=$E$11,$F$11,IF(U978&lt;($F$11-$E$11)/($G$11-$E$11),$E$11+SQRT(U978*($G$11-$E$11)*($F$11-$E$11)),$G$11-SQRT((1-U978)*($G$11-$E$11)*($G$11-$F$11))))</f>
        <v>0.109612710681363</v>
      </c>
      <c r="H978" s="53" t="n">
        <f aca="false">(('Business Case'!B11*$C978*'Business Case'!B12*$B978)-'Business Case'!B11*$C978*'Business Case'!B13*$D978-'Business Case'!B14*$E978)-MAX(0,(('Business Case'!B11*$C978*'Business Case'!B12*$B978)-'Business Case'!B11*$C978*'Business Case'!B13*$D978-'Business Case'!B14*$E978))*'Business Case'!$B$7-'Business Case'!$B$8*('Business Case'!B11*$C978*'Business Case'!B12*$B978)-'Business Case'!B15*$F978</f>
        <v>-2046061445.4818</v>
      </c>
      <c r="I978" s="53" t="n">
        <f aca="false">(('Business Case'!C11*$C978*'Business Case'!C12*$B978)-'Business Case'!C11*$C978*'Business Case'!C13*$D978-'Business Case'!C14*$E978)-MAX(0,(('Business Case'!C11*$C978*'Business Case'!C12*$B978)-'Business Case'!C11*$C978*'Business Case'!C13*$D978-'Business Case'!C14*$E978))*'Business Case'!$B$7-'Business Case'!$B$8*(('Business Case'!C11*$C978*'Business Case'!C12*$B978)-('Business Case'!B11*$C978*'Business Case'!B12*$B978))-'Business Case'!C15*$F978</f>
        <v>17035553.7705561</v>
      </c>
      <c r="J978" s="53" t="n">
        <f aca="false">(('Business Case'!D11*$C978*'Business Case'!D12*$B978)-'Business Case'!D11*$C978*'Business Case'!D13*$D978-'Business Case'!D14*$E978)-MAX(0,(('Business Case'!D11*$C978*'Business Case'!D12*$B978)-'Business Case'!D11*$C978*'Business Case'!D13*$D978-'Business Case'!D14*$E978))*'Business Case'!$B$7-'Business Case'!$B$8*(('Business Case'!D11*$C978*'Business Case'!D12*$B978)-('Business Case'!C11*$C978*'Business Case'!C12*$B978))-'Business Case'!D15*$F978</f>
        <v>329407780.748656</v>
      </c>
      <c r="K978" s="53" t="n">
        <f aca="false">(('Business Case'!E11*$C978*'Business Case'!E12*$B978)-'Business Case'!E11*$C978*'Business Case'!E13*$D978-'Business Case'!E14*$E978)-MAX(0,(('Business Case'!E11*$C978*'Business Case'!E12*$B978)-'Business Case'!E11*$C978*'Business Case'!E13*$D978-'Business Case'!E14*$E978))*'Business Case'!$B$7-'Business Case'!$B$8*(('Business Case'!E11*$C978*'Business Case'!E12*$B978)-('Business Case'!D11*$C978*'Business Case'!D12*$B978))-'Business Case'!E15*$F978</f>
        <v>692931543.863802</v>
      </c>
      <c r="L978" s="53" t="n">
        <f aca="false">(('Business Case'!F11*$C978*'Business Case'!F12*$B978)-'Business Case'!F11*$C978*'Business Case'!F13*$D978-'Business Case'!F14*$E978)-MAX(0,(('Business Case'!F11*$C978*'Business Case'!F12*$B978)-'Business Case'!F11*$C978*'Business Case'!F13*$D978-'Business Case'!F14*$E978))*'Business Case'!$B$7-'Business Case'!$B$8*(('Business Case'!F11*$C978*'Business Case'!F12*$B978)-('Business Case'!E11*$C978*'Business Case'!E12*$B978))-'Business Case'!F15*$F978</f>
        <v>832333743.415372</v>
      </c>
      <c r="M978" s="53" t="n">
        <f aca="false">(('Business Case'!G11*$C978*'Business Case'!G12*$B978)-'Business Case'!G11*$C978*'Business Case'!G13*$D978-'Business Case'!G14*$E978)-MAX(0,(('Business Case'!G11*$C978*'Business Case'!G12*$B978)-'Business Case'!G11*$C978*'Business Case'!G13*$D978-'Business Case'!G14*$E978))*'Business Case'!$B$7-'Business Case'!$B$8*(('Business Case'!G11*$C978*'Business Case'!G12*$B978)-('Business Case'!F11*$C978*'Business Case'!F12*$B978))-'Business Case'!G15*$F978+'Business Case'!$B$8*('Business Case'!G11*$C978*'Business Case'!G12*$B978)</f>
        <v>1026363424.82249</v>
      </c>
      <c r="N978" s="53" t="n">
        <f aca="false">IF(COUNT('Business Case'!B11:G11)=0,"",H978+NPV(G978,I978:M978))</f>
        <v>-96760712.3474159</v>
      </c>
      <c r="P978" s="54" t="n">
        <f aca="true">RAND()</f>
        <v>0.450427447300355</v>
      </c>
      <c r="Q978" s="54" t="n">
        <f aca="true">RAND()</f>
        <v>0.750399198775165</v>
      </c>
      <c r="R978" s="54" t="n">
        <f aca="true">RAND()</f>
        <v>0.221570934036891</v>
      </c>
      <c r="S978" s="54" t="n">
        <f aca="true">RAND()</f>
        <v>0.166592806950592</v>
      </c>
      <c r="T978" s="54" t="n">
        <f aca="true">RAND()</f>
        <v>0.373637498127835</v>
      </c>
      <c r="U978" s="54" t="n">
        <f aca="true">RAND()</f>
        <v>0.820173701018204</v>
      </c>
    </row>
    <row r="979" customFormat="false" ht="15" hidden="false" customHeight="false" outlineLevel="0" collapsed="false">
      <c r="A979" s="50" t="n">
        <v>899</v>
      </c>
      <c r="B979" s="51" t="n">
        <f aca="false">1+IF($G$6=$E$6,$F$6,IF(P979&lt;($F$6-$E$6)/($G$6-$E$6),$E$6+SQRT(P979*($G$6-$E$6)*($F$6-$E$6)),$G$6-SQRT((1-P979)*($G$6-$E$6)*($G$6-$F$6))))</f>
        <v>1.02392836861643</v>
      </c>
      <c r="C979" s="51" t="n">
        <f aca="false">1+IF($G$7=$E$7,$F$7,IF(Q979&lt;($F$7-$E$7)/($G$7-$E$7),$E$7+SQRT(Q979*($G$7-$E$7)*($F$7-$E$7)),$G$7-SQRT((1-Q979)*($G$7-$E$7)*($G$7-$F$7))))</f>
        <v>0.988182721148694</v>
      </c>
      <c r="D979" s="51" t="n">
        <f aca="false">1+IF($G$8=$E$8,$F$8,IF(R979&lt;($F$8-$E$8)/($G$8-$E$8),$E$8+SQRT(R979*($G$8-$E$8)*($F$8-$E$8)),$G$8-SQRT((1-R979)*($G$8-$E$8)*($G$8-$F$8))))</f>
        <v>1.0204111129627</v>
      </c>
      <c r="E979" s="51" t="n">
        <f aca="false">1+IF($G$9=$E$9,$F$9,IF(S979&lt;($F$9-$E$9)/($G$9-$E$9),$E$9+SQRT(S979*($G$9-$E$9)*($F$9-$E$9)),$G$9-SQRT((1-S979)*($G$9-$E$9)*($G$9-$F$9))))</f>
        <v>1.04228720718724</v>
      </c>
      <c r="F979" s="51" t="n">
        <f aca="false">1+IF($G$10=$E$10,$F$10,IF(T979&lt;($F$10-$E$10)/($G$10-$E$10),$E$10+SQRT(T979*($G$10-$E$10)*($F$10-$E$10)),$G$10-SQRT((1-T979)*($G$10-$E$10)*($G$10-$F$10))))</f>
        <v>1.05859673843944</v>
      </c>
      <c r="G979" s="52" t="n">
        <f aca="false">IF($G$11=$E$11,$F$11,IF(U979&lt;($F$11-$E$11)/($G$11-$E$11),$E$11+SQRT(U979*($G$11-$E$11)*($F$11-$E$11)),$G$11-SQRT((1-U979)*($G$11-$E$11)*($G$11-$F$11))))</f>
        <v>0.102689415221747</v>
      </c>
      <c r="H979" s="53" t="n">
        <f aca="false">(('Business Case'!B11*$C979*'Business Case'!B12*$B979)-'Business Case'!B11*$C979*'Business Case'!B13*$D979-'Business Case'!B14*$E979)-MAX(0,(('Business Case'!B11*$C979*'Business Case'!B12*$B979)-'Business Case'!B11*$C979*'Business Case'!B13*$D979-'Business Case'!B14*$E979))*'Business Case'!$B$7-'Business Case'!$B$8*('Business Case'!B11*$C979*'Business Case'!B12*$B979)-'Business Case'!B15*$F979</f>
        <v>-2117193476.87889</v>
      </c>
      <c r="I979" s="53" t="n">
        <f aca="false">(('Business Case'!C11*$C979*'Business Case'!C12*$B979)-'Business Case'!C11*$C979*'Business Case'!C13*$D979-'Business Case'!C14*$E979)-MAX(0,(('Business Case'!C11*$C979*'Business Case'!C12*$B979)-'Business Case'!C11*$C979*'Business Case'!C13*$D979-'Business Case'!C14*$E979))*'Business Case'!$B$7-'Business Case'!$B$8*(('Business Case'!C11*$C979*'Business Case'!C12*$B979)-('Business Case'!B11*$C979*'Business Case'!B12*$B979))-'Business Case'!C15*$F979</f>
        <v>6038273.5996365</v>
      </c>
      <c r="J979" s="53" t="n">
        <f aca="false">(('Business Case'!D11*$C979*'Business Case'!D12*$B979)-'Business Case'!D11*$C979*'Business Case'!D13*$D979-'Business Case'!D14*$E979)-MAX(0,(('Business Case'!D11*$C979*'Business Case'!D12*$B979)-'Business Case'!D11*$C979*'Business Case'!D13*$D979-'Business Case'!D14*$E979))*'Business Case'!$B$7-'Business Case'!$B$8*(('Business Case'!D11*$C979*'Business Case'!D12*$B979)-('Business Case'!C11*$C979*'Business Case'!C12*$B979))-'Business Case'!D15*$F979</f>
        <v>318602642.09495</v>
      </c>
      <c r="K979" s="53" t="n">
        <f aca="false">(('Business Case'!E11*$C979*'Business Case'!E12*$B979)-'Business Case'!E11*$C979*'Business Case'!E13*$D979-'Business Case'!E14*$E979)-MAX(0,(('Business Case'!E11*$C979*'Business Case'!E12*$B979)-'Business Case'!E11*$C979*'Business Case'!E13*$D979-'Business Case'!E14*$E979))*'Business Case'!$B$7-'Business Case'!$B$8*(('Business Case'!E11*$C979*'Business Case'!E12*$B979)-('Business Case'!D11*$C979*'Business Case'!D12*$B979))-'Business Case'!E15*$F979</f>
        <v>684096847.512236</v>
      </c>
      <c r="L979" s="53" t="n">
        <f aca="false">(('Business Case'!F11*$C979*'Business Case'!F12*$B979)-'Business Case'!F11*$C979*'Business Case'!F13*$D979-'Business Case'!F14*$E979)-MAX(0,(('Business Case'!F11*$C979*'Business Case'!F12*$B979)-'Business Case'!F11*$C979*'Business Case'!F13*$D979-'Business Case'!F14*$E979))*'Business Case'!$B$7-'Business Case'!$B$8*(('Business Case'!F11*$C979*'Business Case'!F12*$B979)-('Business Case'!E11*$C979*'Business Case'!E12*$B979))-'Business Case'!F15*$F979</f>
        <v>823253757.137146</v>
      </c>
      <c r="M979" s="53" t="n">
        <f aca="false">(('Business Case'!G11*$C979*'Business Case'!G12*$B979)-'Business Case'!G11*$C979*'Business Case'!G13*$D979-'Business Case'!G14*$E979)-MAX(0,(('Business Case'!G11*$C979*'Business Case'!G12*$B979)-'Business Case'!G11*$C979*'Business Case'!G13*$D979-'Business Case'!G14*$E979))*'Business Case'!$B$7-'Business Case'!$B$8*(('Business Case'!G11*$C979*'Business Case'!G12*$B979)-('Business Case'!F11*$C979*'Business Case'!F12*$B979))-'Business Case'!G15*$F979+'Business Case'!$B$8*('Business Case'!G11*$C979*'Business Case'!G12*$B979)</f>
        <v>1015582084.49941</v>
      </c>
      <c r="N979" s="53" t="n">
        <f aca="false">IF(COUNT('Business Case'!B11:G11)=0,"",H979+NPV(G979,I979:M979))</f>
        <v>-159700027.796274</v>
      </c>
      <c r="P979" s="54" t="n">
        <f aca="true">RAND()</f>
        <v>0.946188055139726</v>
      </c>
      <c r="Q979" s="54" t="n">
        <f aca="true">RAND()</f>
        <v>0.505896236270385</v>
      </c>
      <c r="R979" s="54" t="n">
        <f aca="true">RAND()</f>
        <v>0.658573513620766</v>
      </c>
      <c r="S979" s="54" t="n">
        <f aca="true">RAND()</f>
        <v>0.777948903050058</v>
      </c>
      <c r="T979" s="54" t="n">
        <f aca="true">RAND()</f>
        <v>0.600102352400732</v>
      </c>
      <c r="U979" s="54" t="n">
        <f aca="true">RAND()</f>
        <v>0.500572757724861</v>
      </c>
    </row>
    <row r="980" customFormat="false" ht="15" hidden="false" customHeight="false" outlineLevel="0" collapsed="false">
      <c r="A980" s="50" t="n">
        <v>900</v>
      </c>
      <c r="B980" s="51" t="n">
        <f aca="false">1+IF($G$6=$E$6,$F$6,IF(P980&lt;($F$6-$E$6)/($G$6-$E$6),$E$6+SQRT(P980*($G$6-$E$6)*($F$6-$E$6)),$G$6-SQRT((1-P980)*($G$6-$E$6)*($G$6-$F$6))))</f>
        <v>0.988207228282765</v>
      </c>
      <c r="C980" s="51" t="n">
        <f aca="false">1+IF($G$7=$E$7,$F$7,IF(Q980&lt;($F$7-$E$7)/($G$7-$E$7),$E$7+SQRT(Q980*($G$7-$E$7)*($F$7-$E$7)),$G$7-SQRT((1-Q980)*($G$7-$E$7)*($G$7-$F$7))))</f>
        <v>0.977704254624956</v>
      </c>
      <c r="D980" s="51" t="n">
        <f aca="false">1+IF($G$8=$E$8,$F$8,IF(R980&lt;($F$8-$E$8)/($G$8-$E$8),$E$8+SQRT(R980*($G$8-$E$8)*($F$8-$E$8)),$G$8-SQRT((1-R980)*($G$8-$E$8)*($G$8-$F$8))))</f>
        <v>0.960443743181687</v>
      </c>
      <c r="E980" s="51" t="n">
        <f aca="false">1+IF($G$9=$E$9,$F$9,IF(S980&lt;($F$9-$E$9)/($G$9-$E$9),$E$9+SQRT(S980*($G$9-$E$9)*($F$9-$E$9)),$G$9-SQRT((1-S980)*($G$9-$E$9)*($G$9-$F$9))))</f>
        <v>1.04235051260529</v>
      </c>
      <c r="F980" s="51" t="n">
        <f aca="false">1+IF($G$10=$E$10,$F$10,IF(T980&lt;($F$10-$E$10)/($G$10-$E$10),$E$10+SQRT(T980*($G$10-$E$10)*($F$10-$E$10)),$G$10-SQRT((1-T980)*($G$10-$E$10)*($G$10-$F$10))))</f>
        <v>0.96737444900672</v>
      </c>
      <c r="G980" s="52" t="n">
        <f aca="false">IF($G$11=$E$11,$F$11,IF(U980&lt;($F$11-$E$11)/($G$11-$E$11),$E$11+SQRT(U980*($G$11-$E$11)*($F$11-$E$11)),$G$11-SQRT((1-U980)*($G$11-$E$11)*($G$11-$F$11))))</f>
        <v>0.099903938484895</v>
      </c>
      <c r="H980" s="53" t="n">
        <f aca="false">(('Business Case'!B11*$C980*'Business Case'!B12*$B980)-'Business Case'!B11*$C980*'Business Case'!B13*$D980-'Business Case'!B14*$E980)-MAX(0,(('Business Case'!B11*$C980*'Business Case'!B12*$B980)-'Business Case'!B11*$C980*'Business Case'!B13*$D980-'Business Case'!B14*$E980))*'Business Case'!$B$7-'Business Case'!$B$8*('Business Case'!B11*$C980*'Business Case'!B12*$B980)-'Business Case'!B15*$F980</f>
        <v>-1934748898.01344</v>
      </c>
      <c r="I980" s="53" t="n">
        <f aca="false">(('Business Case'!C11*$C980*'Business Case'!C12*$B980)-'Business Case'!C11*$C980*'Business Case'!C13*$D980-'Business Case'!C14*$E980)-MAX(0,(('Business Case'!C11*$C980*'Business Case'!C12*$B980)-'Business Case'!C11*$C980*'Business Case'!C13*$D980-'Business Case'!C14*$E980))*'Business Case'!$B$7-'Business Case'!$B$8*(('Business Case'!C11*$C980*'Business Case'!C12*$B980)-('Business Case'!B11*$C980*'Business Case'!B12*$B980))-'Business Case'!C15*$F980</f>
        <v>15612034.4919194</v>
      </c>
      <c r="J980" s="53" t="n">
        <f aca="false">(('Business Case'!D11*$C980*'Business Case'!D12*$B980)-'Business Case'!D11*$C980*'Business Case'!D13*$D980-'Business Case'!D14*$E980)-MAX(0,(('Business Case'!D11*$C980*'Business Case'!D12*$B980)-'Business Case'!D11*$C980*'Business Case'!D13*$D980-'Business Case'!D14*$E980))*'Business Case'!$B$7-'Business Case'!$B$8*(('Business Case'!D11*$C980*'Business Case'!D12*$B980)-('Business Case'!C11*$C980*'Business Case'!C12*$B980))-'Business Case'!D15*$F980</f>
        <v>326270238.271383</v>
      </c>
      <c r="K980" s="53" t="n">
        <f aca="false">(('Business Case'!E11*$C980*'Business Case'!E12*$B980)-'Business Case'!E11*$C980*'Business Case'!E13*$D980-'Business Case'!E14*$E980)-MAX(0,(('Business Case'!E11*$C980*'Business Case'!E12*$B980)-'Business Case'!E11*$C980*'Business Case'!E13*$D980-'Business Case'!E14*$E980))*'Business Case'!$B$7-'Business Case'!$B$8*(('Business Case'!E11*$C980*'Business Case'!E12*$B980)-('Business Case'!D11*$C980*'Business Case'!D12*$B980))-'Business Case'!E15*$F980</f>
        <v>685297164.501182</v>
      </c>
      <c r="L980" s="53" t="n">
        <f aca="false">(('Business Case'!F11*$C980*'Business Case'!F12*$B980)-'Business Case'!F11*$C980*'Business Case'!F13*$D980-'Business Case'!F14*$E980)-MAX(0,(('Business Case'!F11*$C980*'Business Case'!F12*$B980)-'Business Case'!F11*$C980*'Business Case'!F13*$D980-'Business Case'!F14*$E980))*'Business Case'!$B$7-'Business Case'!$B$8*(('Business Case'!F11*$C980*'Business Case'!F12*$B980)-('Business Case'!E11*$C980*'Business Case'!E12*$B980))-'Business Case'!F15*$F980</f>
        <v>822240886.75727</v>
      </c>
      <c r="M980" s="53" t="n">
        <f aca="false">(('Business Case'!G11*$C980*'Business Case'!G12*$B980)-'Business Case'!G11*$C980*'Business Case'!G13*$D980-'Business Case'!G14*$E980)-MAX(0,(('Business Case'!G11*$C980*'Business Case'!G12*$B980)-'Business Case'!G11*$C980*'Business Case'!G13*$D980-'Business Case'!G14*$E980))*'Business Case'!$B$7-'Business Case'!$B$8*(('Business Case'!G11*$C980*'Business Case'!G12*$B980)-('Business Case'!F11*$C980*'Business Case'!F12*$B980))-'Business Case'!G15*$F980+'Business Case'!$B$8*('Business Case'!G11*$C980*'Business Case'!G12*$B980)</f>
        <v>1005891318.9034</v>
      </c>
      <c r="N980" s="53" t="n">
        <f aca="false">IF(COUNT('Business Case'!B11:G11)=0,"",H980+NPV(G980,I980:M980))</f>
        <v>50795808.8741281</v>
      </c>
      <c r="P980" s="54" t="n">
        <f aca="true">RAND()</f>
        <v>0.484606873960123</v>
      </c>
      <c r="Q980" s="54" t="n">
        <f aca="true">RAND()</f>
        <v>0.451125744454445</v>
      </c>
      <c r="R980" s="54" t="n">
        <f aca="true">RAND()</f>
        <v>0.016780272560773</v>
      </c>
      <c r="S980" s="54" t="n">
        <f aca="true">RAND()</f>
        <v>0.778435773541848</v>
      </c>
      <c r="T980" s="54" t="n">
        <f aca="true">RAND()</f>
        <v>0.0241497182629678</v>
      </c>
      <c r="U980" s="54" t="n">
        <f aca="true">RAND()</f>
        <v>0.326959991708614</v>
      </c>
    </row>
    <row r="981" customFormat="false" ht="15" hidden="false" customHeight="false" outlineLevel="0" collapsed="false">
      <c r="A981" s="50" t="n">
        <v>901</v>
      </c>
      <c r="B981" s="51" t="n">
        <f aca="false">1+IF($G$6=$E$6,$F$6,IF(P981&lt;($F$6-$E$6)/($G$6-$E$6),$E$6+SQRT(P981*($G$6-$E$6)*($F$6-$E$6)),$G$6-SQRT((1-P981)*($G$6-$E$6)*($G$6-$F$6))))</f>
        <v>0.960467278667891</v>
      </c>
      <c r="C981" s="51" t="n">
        <f aca="false">1+IF($G$7=$E$7,$F$7,IF(Q981&lt;($F$7-$E$7)/($G$7-$E$7),$E$7+SQRT(Q981*($G$7-$E$7)*($F$7-$E$7)),$G$7-SQRT((1-Q981)*($G$7-$E$7)*($G$7-$F$7))))</f>
        <v>1.04284958763902</v>
      </c>
      <c r="D981" s="51" t="n">
        <f aca="false">1+IF($G$8=$E$8,$F$8,IF(R981&lt;($F$8-$E$8)/($G$8-$E$8),$E$8+SQRT(R981*($G$8-$E$8)*($F$8-$E$8)),$G$8-SQRT((1-R981)*($G$8-$E$8)*($G$8-$F$8))))</f>
        <v>1.00362024396024</v>
      </c>
      <c r="E981" s="51" t="n">
        <f aca="false">1+IF($G$9=$E$9,$F$9,IF(S981&lt;($F$9-$E$9)/($G$9-$E$9),$E$9+SQRT(S981*($G$9-$E$9)*($F$9-$E$9)),$G$9-SQRT((1-S981)*($G$9-$E$9)*($G$9-$F$9))))</f>
        <v>1.02010046308883</v>
      </c>
      <c r="F981" s="51" t="n">
        <f aca="false">1+IF($G$10=$E$10,$F$10,IF(T981&lt;($F$10-$E$10)/($G$10-$E$10),$E$10+SQRT(T981*($G$10-$E$10)*($F$10-$E$10)),$G$10-SQRT((1-T981)*($G$10-$E$10)*($G$10-$F$10))))</f>
        <v>1.03230164442605</v>
      </c>
      <c r="G981" s="52" t="n">
        <f aca="false">IF($G$11=$E$11,$F$11,IF(U981&lt;($F$11-$E$11)/($G$11-$E$11),$E$11+SQRT(U981*($G$11-$E$11)*($F$11-$E$11)),$G$11-SQRT((1-U981)*($G$11-$E$11)*($G$11-$F$11))))</f>
        <v>0.108628397417417</v>
      </c>
      <c r="H981" s="53" t="n">
        <f aca="false">(('Business Case'!B11*$C981*'Business Case'!B12*$B981)-'Business Case'!B11*$C981*'Business Case'!B13*$D981-'Business Case'!B14*$E981)-MAX(0,(('Business Case'!B11*$C981*'Business Case'!B12*$B981)-'Business Case'!B11*$C981*'Business Case'!B13*$D981-'Business Case'!B14*$E981))*'Business Case'!$B$7-'Business Case'!$B$8*('Business Case'!B11*$C981*'Business Case'!B12*$B981)-'Business Case'!B15*$F981</f>
        <v>-2064603288.8521</v>
      </c>
      <c r="I981" s="53" t="n">
        <f aca="false">(('Business Case'!C11*$C981*'Business Case'!C12*$B981)-'Business Case'!C11*$C981*'Business Case'!C13*$D981-'Business Case'!C14*$E981)-MAX(0,(('Business Case'!C11*$C981*'Business Case'!C12*$B981)-'Business Case'!C11*$C981*'Business Case'!C13*$D981-'Business Case'!C14*$E981))*'Business Case'!$B$7-'Business Case'!$B$8*(('Business Case'!C11*$C981*'Business Case'!C12*$B981)-('Business Case'!B11*$C981*'Business Case'!B12*$B981))-'Business Case'!C15*$F981</f>
        <v>-15599553.535754</v>
      </c>
      <c r="J981" s="53" t="n">
        <f aca="false">(('Business Case'!D11*$C981*'Business Case'!D12*$B981)-'Business Case'!D11*$C981*'Business Case'!D13*$D981-'Business Case'!D14*$E981)-MAX(0,(('Business Case'!D11*$C981*'Business Case'!D12*$B981)-'Business Case'!D11*$C981*'Business Case'!D13*$D981-'Business Case'!D14*$E981))*'Business Case'!$B$7-'Business Case'!$B$8*(('Business Case'!D11*$C981*'Business Case'!D12*$B981)-('Business Case'!C11*$C981*'Business Case'!C12*$B981))-'Business Case'!D15*$F981</f>
        <v>269013474.643427</v>
      </c>
      <c r="K981" s="53" t="n">
        <f aca="false">(('Business Case'!E11*$C981*'Business Case'!E12*$B981)-'Business Case'!E11*$C981*'Business Case'!E13*$D981-'Business Case'!E14*$E981)-MAX(0,(('Business Case'!E11*$C981*'Business Case'!E12*$B981)-'Business Case'!E11*$C981*'Business Case'!E13*$D981-'Business Case'!E14*$E981))*'Business Case'!$B$7-'Business Case'!$B$8*(('Business Case'!E11*$C981*'Business Case'!E12*$B981)-('Business Case'!D11*$C981*'Business Case'!D12*$B981))-'Business Case'!E15*$F981</f>
        <v>605241585.04391</v>
      </c>
      <c r="L981" s="53" t="n">
        <f aca="false">(('Business Case'!F11*$C981*'Business Case'!F12*$B981)-'Business Case'!F11*$C981*'Business Case'!F13*$D981-'Business Case'!F14*$E981)-MAX(0,(('Business Case'!F11*$C981*'Business Case'!F12*$B981)-'Business Case'!F11*$C981*'Business Case'!F13*$D981-'Business Case'!F14*$E981))*'Business Case'!$B$7-'Business Case'!$B$8*(('Business Case'!F11*$C981*'Business Case'!F12*$B981)-('Business Case'!E11*$C981*'Business Case'!E12*$B981))-'Business Case'!F15*$F981</f>
        <v>734728682.051036</v>
      </c>
      <c r="M981" s="53" t="n">
        <f aca="false">(('Business Case'!G11*$C981*'Business Case'!G12*$B981)-'Business Case'!G11*$C981*'Business Case'!G13*$D981-'Business Case'!G14*$E981)-MAX(0,(('Business Case'!G11*$C981*'Business Case'!G12*$B981)-'Business Case'!G11*$C981*'Business Case'!G13*$D981-'Business Case'!G14*$E981))*'Business Case'!$B$7-'Business Case'!$B$8*(('Business Case'!G11*$C981*'Business Case'!G12*$B981)-('Business Case'!F11*$C981*'Business Case'!F12*$B981))-'Business Case'!G15*$F981+'Business Case'!$B$8*('Business Case'!G11*$C981*'Business Case'!G12*$B981)</f>
        <v>925117163.928396</v>
      </c>
      <c r="N981" s="53" t="n">
        <f aca="false">IF(COUNT('Business Case'!B11:G11)=0,"",H981+NPV(G981,I981:M981))</f>
        <v>-376799538.992577</v>
      </c>
      <c r="P981" s="54" t="n">
        <f aca="true">RAND()</f>
        <v>0.170583400290079</v>
      </c>
      <c r="Q981" s="54" t="n">
        <f aca="true">RAND()</f>
        <v>0.781310269159457</v>
      </c>
      <c r="R981" s="54" t="n">
        <f aca="true">RAND()</f>
        <v>0.43905123724107</v>
      </c>
      <c r="S981" s="54" t="n">
        <f aca="true">RAND()</f>
        <v>0.574404266758715</v>
      </c>
      <c r="T981" s="54" t="n">
        <f aca="true">RAND()</f>
        <v>0.437545230755848</v>
      </c>
      <c r="U981" s="54" t="n">
        <f aca="true">RAND()</f>
        <v>0.784477757839647</v>
      </c>
    </row>
    <row r="982" customFormat="false" ht="15" hidden="false" customHeight="false" outlineLevel="0" collapsed="false">
      <c r="A982" s="50" t="n">
        <v>902</v>
      </c>
      <c r="B982" s="51" t="n">
        <f aca="false">1+IF($G$6=$E$6,$F$6,IF(P982&lt;($F$6-$E$6)/($G$6-$E$6),$E$6+SQRT(P982*($G$6-$E$6)*($F$6-$E$6)),$G$6-SQRT((1-P982)*($G$6-$E$6)*($G$6-$F$6))))</f>
        <v>1.00002752862206</v>
      </c>
      <c r="C982" s="51" t="n">
        <f aca="false">1+IF($G$7=$E$7,$F$7,IF(Q982&lt;($F$7-$E$7)/($G$7-$E$7),$E$7+SQRT(Q982*($G$7-$E$7)*($F$7-$E$7)),$G$7-SQRT((1-Q982)*($G$7-$E$7)*($G$7-$F$7))))</f>
        <v>0.970646881445684</v>
      </c>
      <c r="D982" s="51" t="n">
        <f aca="false">1+IF($G$8=$E$8,$F$8,IF(R982&lt;($F$8-$E$8)/($G$8-$E$8),$E$8+SQRT(R982*($G$8-$E$8)*($F$8-$E$8)),$G$8-SQRT((1-R982)*($G$8-$E$8)*($G$8-$F$8))))</f>
        <v>0.9590684963765</v>
      </c>
      <c r="E982" s="51" t="n">
        <f aca="false">1+IF($G$9=$E$9,$F$9,IF(S982&lt;($F$9-$E$9)/($G$9-$E$9),$E$9+SQRT(S982*($G$9-$E$9)*($F$9-$E$9)),$G$9-SQRT((1-S982)*($G$9-$E$9)*($G$9-$F$9))))</f>
        <v>0.98649874706024</v>
      </c>
      <c r="F982" s="51" t="n">
        <f aca="false">1+IF($G$10=$E$10,$F$10,IF(T982&lt;($F$10-$E$10)/($G$10-$E$10),$E$10+SQRT(T982*($G$10-$E$10)*($F$10-$E$10)),$G$10-SQRT((1-T982)*($G$10-$E$10)*($G$10-$F$10))))</f>
        <v>1.04705713648382</v>
      </c>
      <c r="G982" s="52" t="n">
        <f aca="false">IF($G$11=$E$11,$F$11,IF(U982&lt;($F$11-$E$11)/($G$11-$E$11),$E$11+SQRT(U982*($G$11-$E$11)*($F$11-$E$11)),$G$11-SQRT((1-U982)*($G$11-$E$11)*($G$11-$F$11))))</f>
        <v>0.101823937118313</v>
      </c>
      <c r="H982" s="53" t="n">
        <f aca="false">(('Business Case'!B11*$C982*'Business Case'!B12*$B982)-'Business Case'!B11*$C982*'Business Case'!B13*$D982-'Business Case'!B14*$E982)-MAX(0,(('Business Case'!B11*$C982*'Business Case'!B12*$B982)-'Business Case'!B11*$C982*'Business Case'!B13*$D982-'Business Case'!B14*$E982))*'Business Case'!$B$7-'Business Case'!$B$8*('Business Case'!B11*$C982*'Business Case'!B12*$B982)-'Business Case'!B15*$F982</f>
        <v>-2094114272.96765</v>
      </c>
      <c r="I982" s="53" t="n">
        <f aca="false">(('Business Case'!C11*$C982*'Business Case'!C12*$B982)-'Business Case'!C11*$C982*'Business Case'!C13*$D982-'Business Case'!C14*$E982)-MAX(0,(('Business Case'!C11*$C982*'Business Case'!C12*$B982)-'Business Case'!C11*$C982*'Business Case'!C13*$D982-'Business Case'!C14*$E982))*'Business Case'!$B$7-'Business Case'!$B$8*(('Business Case'!C11*$C982*'Business Case'!C12*$B982)-('Business Case'!B11*$C982*'Business Case'!B12*$B982))-'Business Case'!C15*$F982</f>
        <v>23191062.1983093</v>
      </c>
      <c r="J982" s="53" t="n">
        <f aca="false">(('Business Case'!D11*$C982*'Business Case'!D12*$B982)-'Business Case'!D11*$C982*'Business Case'!D13*$D982-'Business Case'!D14*$E982)-MAX(0,(('Business Case'!D11*$C982*'Business Case'!D12*$B982)-'Business Case'!D11*$C982*'Business Case'!D13*$D982-'Business Case'!D14*$E982))*'Business Case'!$B$7-'Business Case'!$B$8*(('Business Case'!D11*$C982*'Business Case'!D12*$B982)-('Business Case'!C11*$C982*'Business Case'!C12*$B982))-'Business Case'!D15*$F982</f>
        <v>341687679.40552</v>
      </c>
      <c r="K982" s="53" t="n">
        <f aca="false">(('Business Case'!E11*$C982*'Business Case'!E12*$B982)-'Business Case'!E11*$C982*'Business Case'!E13*$D982-'Business Case'!E14*$E982)-MAX(0,(('Business Case'!E11*$C982*'Business Case'!E12*$B982)-'Business Case'!E11*$C982*'Business Case'!E13*$D982-'Business Case'!E14*$E982))*'Business Case'!$B$7-'Business Case'!$B$8*(('Business Case'!E11*$C982*'Business Case'!E12*$B982)-('Business Case'!D11*$C982*'Business Case'!D12*$B982))-'Business Case'!E15*$F982</f>
        <v>712537153.436922</v>
      </c>
      <c r="L982" s="53" t="n">
        <f aca="false">(('Business Case'!F11*$C982*'Business Case'!F12*$B982)-'Business Case'!F11*$C982*'Business Case'!F13*$D982-'Business Case'!F14*$E982)-MAX(0,(('Business Case'!F11*$C982*'Business Case'!F12*$B982)-'Business Case'!F11*$C982*'Business Case'!F13*$D982-'Business Case'!F14*$E982))*'Business Case'!$B$7-'Business Case'!$B$8*(('Business Case'!F11*$C982*'Business Case'!F12*$B982)-('Business Case'!E11*$C982*'Business Case'!E12*$B982))-'Business Case'!F15*$F982</f>
        <v>852249172.191694</v>
      </c>
      <c r="M982" s="53" t="n">
        <f aca="false">(('Business Case'!G11*$C982*'Business Case'!G12*$B982)-'Business Case'!G11*$C982*'Business Case'!G13*$D982-'Business Case'!G14*$E982)-MAX(0,(('Business Case'!G11*$C982*'Business Case'!G12*$B982)-'Business Case'!G11*$C982*'Business Case'!G13*$D982-'Business Case'!G14*$E982))*'Business Case'!$B$7-'Business Case'!$B$8*(('Business Case'!G11*$C982*'Business Case'!G12*$B982)-('Business Case'!F11*$C982*'Business Case'!F12*$B982))-'Business Case'!G15*$F982+'Business Case'!$B$8*('Business Case'!G11*$C982*'Business Case'!G12*$B982)</f>
        <v>1036754810.46305</v>
      </c>
      <c r="N982" s="53" t="n">
        <f aca="false">IF(COUNT('Business Case'!B11:G11)=0,"",H982+NPV(G982,I982:M982))</f>
        <v>-42243057.160439</v>
      </c>
      <c r="P982" s="54" t="n">
        <f aca="true">RAND()</f>
        <v>0.667125319154144</v>
      </c>
      <c r="Q982" s="54" t="n">
        <f aca="true">RAND()</f>
        <v>0.416005116387677</v>
      </c>
      <c r="R982" s="54" t="n">
        <f aca="true">RAND()</f>
        <v>0.0126519425431679</v>
      </c>
      <c r="S982" s="54" t="n">
        <f aca="true">RAND()</f>
        <v>0.17762113826232</v>
      </c>
      <c r="T982" s="54" t="n">
        <f aca="true">RAND()</f>
        <v>0.53216960998945</v>
      </c>
      <c r="U982" s="54" t="n">
        <f aca="true">RAND()</f>
        <v>0.449384563534918</v>
      </c>
    </row>
    <row r="983" customFormat="false" ht="15" hidden="false" customHeight="false" outlineLevel="0" collapsed="false">
      <c r="A983" s="50" t="n">
        <v>903</v>
      </c>
      <c r="B983" s="51" t="n">
        <f aca="false">1+IF($G$6=$E$6,$F$6,IF(P983&lt;($F$6-$E$6)/($G$6-$E$6),$E$6+SQRT(P983*($G$6-$E$6)*($F$6-$E$6)),$G$6-SQRT((1-P983)*($G$6-$E$6)*($G$6-$F$6))))</f>
        <v>0.992420566091223</v>
      </c>
      <c r="C983" s="51" t="n">
        <f aca="false">1+IF($G$7=$E$7,$F$7,IF(Q983&lt;($F$7-$E$7)/($G$7-$E$7),$E$7+SQRT(Q983*($G$7-$E$7)*($F$7-$E$7)),$G$7-SQRT((1-Q983)*($G$7-$E$7)*($G$7-$F$7))))</f>
        <v>0.993428354564217</v>
      </c>
      <c r="D983" s="51" t="n">
        <f aca="false">1+IF($G$8=$E$8,$F$8,IF(R983&lt;($F$8-$E$8)/($G$8-$E$8),$E$8+SQRT(R983*($G$8-$E$8)*($F$8-$E$8)),$G$8-SQRT((1-R983)*($G$8-$E$8)*($G$8-$F$8))))</f>
        <v>1.05220757348798</v>
      </c>
      <c r="E983" s="51" t="n">
        <f aca="false">1+IF($G$9=$E$9,$F$9,IF(S983&lt;($F$9-$E$9)/($G$9-$E$9),$E$9+SQRT(S983*($G$9-$E$9)*($F$9-$E$9)),$G$9-SQRT((1-S983)*($G$9-$E$9)*($G$9-$F$9))))</f>
        <v>1.08499842055698</v>
      </c>
      <c r="F983" s="51" t="n">
        <f aca="false">1+IF($G$10=$E$10,$F$10,IF(T983&lt;($F$10-$E$10)/($G$10-$E$10),$E$10+SQRT(T983*($G$10-$E$10)*($F$10-$E$10)),$G$10-SQRT((1-T983)*($G$10-$E$10)*($G$10-$F$10))))</f>
        <v>1.04351732132814</v>
      </c>
      <c r="G983" s="52" t="n">
        <f aca="false">IF($G$11=$E$11,$F$11,IF(U983&lt;($F$11-$E$11)/($G$11-$E$11),$E$11+SQRT(U983*($G$11-$E$11)*($F$11-$E$11)),$G$11-SQRT((1-U983)*($G$11-$E$11)*($G$11-$F$11))))</f>
        <v>0.1061745820719</v>
      </c>
      <c r="H983" s="53" t="n">
        <f aca="false">(('Business Case'!B11*$C983*'Business Case'!B12*$B983)-'Business Case'!B11*$C983*'Business Case'!B13*$D983-'Business Case'!B14*$E983)-MAX(0,(('Business Case'!B11*$C983*'Business Case'!B12*$B983)-'Business Case'!B11*$C983*'Business Case'!B13*$D983-'Business Case'!B14*$E983))*'Business Case'!$B$7-'Business Case'!$B$8*('Business Case'!B11*$C983*'Business Case'!B12*$B983)-'Business Case'!B15*$F983</f>
        <v>-2087034642.65627</v>
      </c>
      <c r="I983" s="53" t="n">
        <f aca="false">(('Business Case'!C11*$C983*'Business Case'!C12*$B983)-'Business Case'!C11*$C983*'Business Case'!C13*$D983-'Business Case'!C14*$E983)-MAX(0,(('Business Case'!C11*$C983*'Business Case'!C12*$B983)-'Business Case'!C11*$C983*'Business Case'!C13*$D983-'Business Case'!C14*$E983))*'Business Case'!$B$7-'Business Case'!$B$8*(('Business Case'!C11*$C983*'Business Case'!C12*$B983)-('Business Case'!B11*$C983*'Business Case'!B12*$B983))-'Business Case'!C15*$F983</f>
        <v>-37331762.9434526</v>
      </c>
      <c r="J983" s="53" t="n">
        <f aca="false">(('Business Case'!D11*$C983*'Business Case'!D12*$B983)-'Business Case'!D11*$C983*'Business Case'!D13*$D983-'Business Case'!D14*$E983)-MAX(0,(('Business Case'!D11*$C983*'Business Case'!D12*$B983)-'Business Case'!D11*$C983*'Business Case'!D13*$D983-'Business Case'!D14*$E983))*'Business Case'!$B$7-'Business Case'!$B$8*(('Business Case'!D11*$C983*'Business Case'!D12*$B983)-('Business Case'!C11*$C983*'Business Case'!C12*$B983))-'Business Case'!D15*$F983</f>
        <v>235083971.81271</v>
      </c>
      <c r="K983" s="53" t="n">
        <f aca="false">(('Business Case'!E11*$C983*'Business Case'!E12*$B983)-'Business Case'!E11*$C983*'Business Case'!E13*$D983-'Business Case'!E14*$E983)-MAX(0,(('Business Case'!E11*$C983*'Business Case'!E12*$B983)-'Business Case'!E11*$C983*'Business Case'!E13*$D983-'Business Case'!E14*$E983))*'Business Case'!$B$7-'Business Case'!$B$8*(('Business Case'!E11*$C983*'Business Case'!E12*$B983)-('Business Case'!D11*$C983*'Business Case'!D12*$B983))-'Business Case'!E15*$F983</f>
        <v>559675572.63528</v>
      </c>
      <c r="L983" s="53" t="n">
        <f aca="false">(('Business Case'!F11*$C983*'Business Case'!F12*$B983)-'Business Case'!F11*$C983*'Business Case'!F13*$D983-'Business Case'!F14*$E983)-MAX(0,(('Business Case'!F11*$C983*'Business Case'!F12*$B983)-'Business Case'!F11*$C983*'Business Case'!F13*$D983-'Business Case'!F14*$E983))*'Business Case'!$B$7-'Business Case'!$B$8*(('Business Case'!F11*$C983*'Business Case'!F12*$B983)-('Business Case'!E11*$C983*'Business Case'!E12*$B983))-'Business Case'!F15*$F983</f>
        <v>684553477.663067</v>
      </c>
      <c r="M983" s="53" t="n">
        <f aca="false">(('Business Case'!G11*$C983*'Business Case'!G12*$B983)-'Business Case'!G11*$C983*'Business Case'!G13*$D983-'Business Case'!G14*$E983)-MAX(0,(('Business Case'!G11*$C983*'Business Case'!G12*$B983)-'Business Case'!G11*$C983*'Business Case'!G13*$D983-'Business Case'!G14*$E983))*'Business Case'!$B$7-'Business Case'!$B$8*(('Business Case'!G11*$C983*'Business Case'!G12*$B983)-('Business Case'!F11*$C983*'Business Case'!F12*$B983))-'Business Case'!G15*$F983+'Business Case'!$B$8*('Business Case'!G11*$C983*'Business Case'!G12*$B983)</f>
        <v>871953108.262929</v>
      </c>
      <c r="N983" s="53" t="n">
        <f aca="false">IF(COUNT('Business Case'!B11:G11)=0,"",H983+NPV(G983,I983:M983))</f>
        <v>-531493334.293262</v>
      </c>
      <c r="P983" s="54" t="n">
        <f aca="true">RAND()</f>
        <v>0.546326915934706</v>
      </c>
      <c r="Q983" s="54" t="n">
        <f aca="true">RAND()</f>
        <v>0.53449326213458</v>
      </c>
      <c r="R983" s="54" t="n">
        <f aca="true">RAND()</f>
        <v>0.925728945055202</v>
      </c>
      <c r="S983" s="54" t="n">
        <f aca="true">RAND()</f>
        <v>0.984996840947659</v>
      </c>
      <c r="T983" s="54" t="n">
        <f aca="true">RAND()</f>
        <v>0.51026342551356</v>
      </c>
      <c r="U983" s="54" t="n">
        <f aca="true">RAND()</f>
        <v>0.68142969852228</v>
      </c>
    </row>
    <row r="984" customFormat="false" ht="15" hidden="false" customHeight="false" outlineLevel="0" collapsed="false">
      <c r="A984" s="50" t="n">
        <v>904</v>
      </c>
      <c r="B984" s="51" t="n">
        <f aca="false">1+IF($G$6=$E$6,$F$6,IF(P984&lt;($F$6-$E$6)/($G$6-$E$6),$E$6+SQRT(P984*($G$6-$E$6)*($F$6-$E$6)),$G$6-SQRT((1-P984)*($G$6-$E$6)*($G$6-$F$6))))</f>
        <v>1.01516750685986</v>
      </c>
      <c r="C984" s="51" t="n">
        <f aca="false">1+IF($G$7=$E$7,$F$7,IF(Q984&lt;($F$7-$E$7)/($G$7-$E$7),$E$7+SQRT(Q984*($G$7-$E$7)*($F$7-$E$7)),$G$7-SQRT((1-Q984)*($G$7-$E$7)*($G$7-$F$7))))</f>
        <v>1.05035302116948</v>
      </c>
      <c r="D984" s="51" t="n">
        <f aca="false">1+IF($G$8=$E$8,$F$8,IF(R984&lt;($F$8-$E$8)/($G$8-$E$8),$E$8+SQRT(R984*($G$8-$E$8)*($F$8-$E$8)),$G$8-SQRT((1-R984)*($G$8-$E$8)*($G$8-$F$8))))</f>
        <v>0.991150187835982</v>
      </c>
      <c r="E984" s="51" t="n">
        <f aca="false">1+IF($G$9=$E$9,$F$9,IF(S984&lt;($F$9-$E$9)/($G$9-$E$9),$E$9+SQRT(S984*($G$9-$E$9)*($F$9-$E$9)),$G$9-SQRT((1-S984)*($G$9-$E$9)*($G$9-$F$9))))</f>
        <v>0.978337013081774</v>
      </c>
      <c r="F984" s="51" t="n">
        <f aca="false">1+IF($G$10=$E$10,$F$10,IF(T984&lt;($F$10-$E$10)/($G$10-$E$10),$E$10+SQRT(T984*($G$10-$E$10)*($F$10-$E$10)),$G$10-SQRT((1-T984)*($G$10-$E$10)*($G$10-$F$10))))</f>
        <v>0.993560944944645</v>
      </c>
      <c r="G984" s="52" t="n">
        <f aca="false">IF($G$11=$E$11,$F$11,IF(U984&lt;($F$11-$E$11)/($G$11-$E$11),$E$11+SQRT(U984*($G$11-$E$11)*($F$11-$E$11)),$G$11-SQRT((1-U984)*($G$11-$E$11)*($G$11-$F$11))))</f>
        <v>0.0999836106628365</v>
      </c>
      <c r="H984" s="53" t="n">
        <f aca="false">(('Business Case'!B11*$C984*'Business Case'!B12*$B984)-'Business Case'!B11*$C984*'Business Case'!B13*$D984-'Business Case'!B14*$E984)-MAX(0,(('Business Case'!B11*$C984*'Business Case'!B12*$B984)-'Business Case'!B11*$C984*'Business Case'!B13*$D984-'Business Case'!B14*$E984))*'Business Case'!$B$7-'Business Case'!$B$8*('Business Case'!B11*$C984*'Business Case'!B12*$B984)-'Business Case'!B15*$F984</f>
        <v>-1987121889.88929</v>
      </c>
      <c r="I984" s="53" t="n">
        <f aca="false">(('Business Case'!C11*$C984*'Business Case'!C12*$B984)-'Business Case'!C11*$C984*'Business Case'!C13*$D984-'Business Case'!C14*$E984)-MAX(0,(('Business Case'!C11*$C984*'Business Case'!C12*$B984)-'Business Case'!C11*$C984*'Business Case'!C13*$D984-'Business Case'!C14*$E984))*'Business Case'!$B$7-'Business Case'!$B$8*(('Business Case'!C11*$C984*'Business Case'!C12*$B984)-('Business Case'!B11*$C984*'Business Case'!B12*$B984))-'Business Case'!C15*$F984</f>
        <v>46673582.3073431</v>
      </c>
      <c r="J984" s="53" t="n">
        <f aca="false">(('Business Case'!D11*$C984*'Business Case'!D12*$B984)-'Business Case'!D11*$C984*'Business Case'!D13*$D984-'Business Case'!D14*$E984)-MAX(0,(('Business Case'!D11*$C984*'Business Case'!D12*$B984)-'Business Case'!D11*$C984*'Business Case'!D13*$D984-'Business Case'!D14*$E984))*'Business Case'!$B$7-'Business Case'!$B$8*(('Business Case'!D11*$C984*'Business Case'!D12*$B984)-('Business Case'!C11*$C984*'Business Case'!C12*$B984))-'Business Case'!D15*$F984</f>
        <v>387098958.294941</v>
      </c>
      <c r="K984" s="53" t="n">
        <f aca="false">(('Business Case'!E11*$C984*'Business Case'!E12*$B984)-'Business Case'!E11*$C984*'Business Case'!E13*$D984-'Business Case'!E14*$E984)-MAX(0,(('Business Case'!E11*$C984*'Business Case'!E12*$B984)-'Business Case'!E11*$C984*'Business Case'!E13*$D984-'Business Case'!E14*$E984))*'Business Case'!$B$7-'Business Case'!$B$8*(('Business Case'!E11*$C984*'Business Case'!E12*$B984)-('Business Case'!D11*$C984*'Business Case'!D12*$B984))-'Business Case'!E15*$F984</f>
        <v>777202381.529772</v>
      </c>
      <c r="L984" s="53" t="n">
        <f aca="false">(('Business Case'!F11*$C984*'Business Case'!F12*$B984)-'Business Case'!F11*$C984*'Business Case'!F13*$D984-'Business Case'!F14*$E984)-MAX(0,(('Business Case'!F11*$C984*'Business Case'!F12*$B984)-'Business Case'!F11*$C984*'Business Case'!F13*$D984-'Business Case'!F14*$E984))*'Business Case'!$B$7-'Business Case'!$B$8*(('Business Case'!F11*$C984*'Business Case'!F12*$B984)-('Business Case'!E11*$C984*'Business Case'!E12*$B984))-'Business Case'!F15*$F984</f>
        <v>927528290.809346</v>
      </c>
      <c r="M984" s="53" t="n">
        <f aca="false">(('Business Case'!G11*$C984*'Business Case'!G12*$B984)-'Business Case'!G11*$C984*'Business Case'!G13*$D984-'Business Case'!G14*$E984)-MAX(0,(('Business Case'!G11*$C984*'Business Case'!G12*$B984)-'Business Case'!G11*$C984*'Business Case'!G13*$D984-'Business Case'!G14*$E984))*'Business Case'!$B$7-'Business Case'!$B$8*(('Business Case'!G11*$C984*'Business Case'!G12*$B984)-('Business Case'!F11*$C984*'Business Case'!F12*$B984))-'Business Case'!G15*$F984+'Business Case'!$B$8*('Business Case'!G11*$C984*'Business Case'!G12*$B984)</f>
        <v>1130207602.53641</v>
      </c>
      <c r="N984" s="53" t="n">
        <f aca="false">IF(COUNT('Business Case'!B11:G11)=0,"",H984+NPV(G984,I984:M984))</f>
        <v>294559395.29855</v>
      </c>
      <c r="P984" s="54" t="n">
        <f aca="true">RAND()</f>
        <v>0.871530684259399</v>
      </c>
      <c r="Q984" s="54" t="n">
        <f aca="true">RAND()</f>
        <v>0.810866278284766</v>
      </c>
      <c r="R984" s="54" t="n">
        <f aca="true">RAND()</f>
        <v>0.260513532144087</v>
      </c>
      <c r="S984" s="54" t="n">
        <f aca="true">RAND()</f>
        <v>0.107064841386214</v>
      </c>
      <c r="T984" s="54" t="n">
        <f aca="true">RAND()</f>
        <v>0.151804473957629</v>
      </c>
      <c r="U984" s="54" t="n">
        <f aca="true">RAND()</f>
        <v>0.332241606223678</v>
      </c>
    </row>
    <row r="985" customFormat="false" ht="15" hidden="false" customHeight="false" outlineLevel="0" collapsed="false">
      <c r="A985" s="50" t="n">
        <v>905</v>
      </c>
      <c r="B985" s="51" t="n">
        <f aca="false">1+IF($G$6=$E$6,$F$6,IF(P985&lt;($F$6-$E$6)/($G$6-$E$6),$E$6+SQRT(P985*($G$6-$E$6)*($F$6-$E$6)),$G$6-SQRT((1-P985)*($G$6-$E$6)*($G$6-$F$6))))</f>
        <v>1.0028846104682</v>
      </c>
      <c r="C985" s="51" t="n">
        <f aca="false">1+IF($G$7=$E$7,$F$7,IF(Q985&lt;($F$7-$E$7)/($G$7-$E$7),$E$7+SQRT(Q985*($G$7-$E$7)*($F$7-$E$7)),$G$7-SQRT((1-Q985)*($G$7-$E$7)*($G$7-$F$7))))</f>
        <v>0.828117565536686</v>
      </c>
      <c r="D985" s="51" t="n">
        <f aca="false">1+IF($G$8=$E$8,$F$8,IF(R985&lt;($F$8-$E$8)/($G$8-$E$8),$E$8+SQRT(R985*($G$8-$E$8)*($F$8-$E$8)),$G$8-SQRT((1-R985)*($G$8-$E$8)*($G$8-$F$8))))</f>
        <v>1.02147924608771</v>
      </c>
      <c r="E985" s="51" t="n">
        <f aca="false">1+IF($G$9=$E$9,$F$9,IF(S985&lt;($F$9-$E$9)/($G$9-$E$9),$E$9+SQRT(S985*($G$9-$E$9)*($F$9-$E$9)),$G$9-SQRT((1-S985)*($G$9-$E$9)*($G$9-$F$9))))</f>
        <v>1.03572733062657</v>
      </c>
      <c r="F985" s="51" t="n">
        <f aca="false">1+IF($G$10=$E$10,$F$10,IF(T985&lt;($F$10-$E$10)/($G$10-$E$10),$E$10+SQRT(T985*($G$10-$E$10)*($F$10-$E$10)),$G$10-SQRT((1-T985)*($G$10-$E$10)*($G$10-$F$10))))</f>
        <v>0.985110604809403</v>
      </c>
      <c r="G985" s="52" t="n">
        <f aca="false">IF($G$11=$E$11,$F$11,IF(U985&lt;($F$11-$E$11)/($G$11-$E$11),$E$11+SQRT(U985*($G$11-$E$11)*($F$11-$E$11)),$G$11-SQRT((1-U985)*($G$11-$E$11)*($G$11-$F$11))))</f>
        <v>0.102700612119003</v>
      </c>
      <c r="H985" s="53" t="n">
        <f aca="false">(('Business Case'!B11*$C985*'Business Case'!B12*$B985)-'Business Case'!B11*$C985*'Business Case'!B13*$D985-'Business Case'!B14*$E985)-MAX(0,(('Business Case'!B11*$C985*'Business Case'!B12*$B985)-'Business Case'!B11*$C985*'Business Case'!B13*$D985-'Business Case'!B14*$E985))*'Business Case'!$B$7-'Business Case'!$B$8*('Business Case'!B11*$C985*'Business Case'!B12*$B985)-'Business Case'!B15*$F985</f>
        <v>-1970221209.61881</v>
      </c>
      <c r="I985" s="53" t="n">
        <f aca="false">(('Business Case'!C11*$C985*'Business Case'!C12*$B985)-'Business Case'!C11*$C985*'Business Case'!C13*$D985-'Business Case'!C14*$E985)-MAX(0,(('Business Case'!C11*$C985*'Business Case'!C12*$B985)-'Business Case'!C11*$C985*'Business Case'!C13*$D985-'Business Case'!C14*$E985))*'Business Case'!$B$7-'Business Case'!$B$8*(('Business Case'!C11*$C985*'Business Case'!C12*$B985)-('Business Case'!B11*$C985*'Business Case'!B12*$B985))-'Business Case'!C15*$F985</f>
        <v>-41636069.4062551</v>
      </c>
      <c r="J985" s="53" t="n">
        <f aca="false">(('Business Case'!D11*$C985*'Business Case'!D12*$B985)-'Business Case'!D11*$C985*'Business Case'!D13*$D985-'Business Case'!D14*$E985)-MAX(0,(('Business Case'!D11*$C985*'Business Case'!D12*$B985)-'Business Case'!D11*$C985*'Business Case'!D13*$D985-'Business Case'!D14*$E985))*'Business Case'!$B$7-'Business Case'!$B$8*(('Business Case'!D11*$C985*'Business Case'!D12*$B985)-('Business Case'!C11*$C985*'Business Case'!C12*$B985))-'Business Case'!D15*$F985</f>
        <v>205572797.896614</v>
      </c>
      <c r="K985" s="53" t="n">
        <f aca="false">(('Business Case'!E11*$C985*'Business Case'!E12*$B985)-'Business Case'!E11*$C985*'Business Case'!E13*$D985-'Business Case'!E14*$E985)-MAX(0,(('Business Case'!E11*$C985*'Business Case'!E12*$B985)-'Business Case'!E11*$C985*'Business Case'!E13*$D985-'Business Case'!E14*$E985))*'Business Case'!$B$7-'Business Case'!$B$8*(('Business Case'!E11*$C985*'Business Case'!E12*$B985)-('Business Case'!D11*$C985*'Business Case'!D12*$B985))-'Business Case'!E15*$F985</f>
        <v>502037195.439954</v>
      </c>
      <c r="L985" s="53" t="n">
        <f aca="false">(('Business Case'!F11*$C985*'Business Case'!F12*$B985)-'Business Case'!F11*$C985*'Business Case'!F13*$D985-'Business Case'!F14*$E985)-MAX(0,(('Business Case'!F11*$C985*'Business Case'!F12*$B985)-'Business Case'!F11*$C985*'Business Case'!F13*$D985-'Business Case'!F14*$E985))*'Business Case'!$B$7-'Business Case'!$B$8*(('Business Case'!F11*$C985*'Business Case'!F12*$B985)-('Business Case'!E11*$C985*'Business Case'!E12*$B985))-'Business Case'!F15*$F985</f>
        <v>613142451.082967</v>
      </c>
      <c r="M985" s="53" t="n">
        <f aca="false">(('Business Case'!G11*$C985*'Business Case'!G12*$B985)-'Business Case'!G11*$C985*'Business Case'!G13*$D985-'Business Case'!G14*$E985)-MAX(0,(('Business Case'!G11*$C985*'Business Case'!G12*$B985)-'Business Case'!G11*$C985*'Business Case'!G13*$D985-'Business Case'!G14*$E985))*'Business Case'!$B$7-'Business Case'!$B$8*(('Business Case'!G11*$C985*'Business Case'!G12*$B985)-('Business Case'!F11*$C985*'Business Case'!F12*$B985))-'Business Case'!G15*$F985+'Business Case'!$B$8*('Business Case'!G11*$C985*'Business Case'!G12*$B985)</f>
        <v>771005100.397613</v>
      </c>
      <c r="N985" s="53" t="n">
        <f aca="false">IF(COUNT('Business Case'!B11:G11)=0,"",H985+NPV(G985,I985:M985))</f>
        <v>-576895432.957419</v>
      </c>
      <c r="P985" s="54" t="n">
        <f aca="true">RAND()</f>
        <v>0.713009970813008</v>
      </c>
      <c r="Q985" s="54" t="n">
        <f aca="true">RAND()</f>
        <v>0.0112942498815693</v>
      </c>
      <c r="R985" s="54" t="n">
        <f aca="true">RAND()</f>
        <v>0.670703977070845</v>
      </c>
      <c r="S985" s="54" t="n">
        <f aca="true">RAND()</f>
        <v>0.724601598107625</v>
      </c>
      <c r="T985" s="54" t="n">
        <f aca="true">RAND()</f>
        <v>0.0986203656065648</v>
      </c>
      <c r="U985" s="54" t="n">
        <f aca="true">RAND()</f>
        <v>0.501218631571383</v>
      </c>
    </row>
    <row r="986" customFormat="false" ht="15" hidden="false" customHeight="false" outlineLevel="0" collapsed="false">
      <c r="A986" s="50" t="n">
        <v>906</v>
      </c>
      <c r="B986" s="51" t="n">
        <f aca="false">1+IF($G$6=$E$6,$F$6,IF(P986&lt;($F$6-$E$6)/($G$6-$E$6),$E$6+SQRT(P986*($G$6-$E$6)*($F$6-$E$6)),$G$6-SQRT((1-P986)*($G$6-$E$6)*($G$6-$F$6))))</f>
        <v>0.968435613401713</v>
      </c>
      <c r="C986" s="51" t="n">
        <f aca="false">1+IF($G$7=$E$7,$F$7,IF(Q986&lt;($F$7-$E$7)/($G$7-$E$7),$E$7+SQRT(Q986*($G$7-$E$7)*($F$7-$E$7)),$G$7-SQRT((1-Q986)*($G$7-$E$7)*($G$7-$F$7))))</f>
        <v>1.05763977109962</v>
      </c>
      <c r="D986" s="51" t="n">
        <f aca="false">1+IF($G$8=$E$8,$F$8,IF(R986&lt;($F$8-$E$8)/($G$8-$E$8),$E$8+SQRT(R986*($G$8-$E$8)*($F$8-$E$8)),$G$8-SQRT((1-R986)*($G$8-$E$8)*($G$8-$F$8))))</f>
        <v>1.05721767276457</v>
      </c>
      <c r="E986" s="51" t="n">
        <f aca="false">1+IF($G$9=$E$9,$F$9,IF(S986&lt;($F$9-$E$9)/($G$9-$E$9),$E$9+SQRT(S986*($G$9-$E$9)*($F$9-$E$9)),$G$9-SQRT((1-S986)*($G$9-$E$9)*($G$9-$F$9))))</f>
        <v>1.00201302057687</v>
      </c>
      <c r="F986" s="51" t="n">
        <f aca="false">1+IF($G$10=$E$10,$F$10,IF(T986&lt;($F$10-$E$10)/($G$10-$E$10),$E$10+SQRT(T986*($G$10-$E$10)*($F$10-$E$10)),$G$10-SQRT((1-T986)*($G$10-$E$10)*($G$10-$F$10))))</f>
        <v>1.06046292481303</v>
      </c>
      <c r="G986" s="52" t="n">
        <f aca="false">IF($G$11=$E$11,$F$11,IF(U986&lt;($F$11-$E$11)/($G$11-$E$11),$E$11+SQRT(U986*($G$11-$E$11)*($F$11-$E$11)),$G$11-SQRT((1-U986)*($G$11-$E$11)*($G$11-$F$11))))</f>
        <v>0.0914815077162054</v>
      </c>
      <c r="H986" s="53" t="n">
        <f aca="false">(('Business Case'!B11*$C986*'Business Case'!B12*$B986)-'Business Case'!B11*$C986*'Business Case'!B13*$D986-'Business Case'!B14*$E986)-MAX(0,(('Business Case'!B11*$C986*'Business Case'!B12*$B986)-'Business Case'!B11*$C986*'Business Case'!B13*$D986-'Business Case'!B14*$E986))*'Business Case'!$B$7-'Business Case'!$B$8*('Business Case'!B11*$C986*'Business Case'!B12*$B986)-'Business Case'!B15*$F986</f>
        <v>-2120925849.62606</v>
      </c>
      <c r="I986" s="53" t="n">
        <f aca="false">(('Business Case'!C11*$C986*'Business Case'!C12*$B986)-'Business Case'!C11*$C986*'Business Case'!C13*$D986-'Business Case'!C14*$E986)-MAX(0,(('Business Case'!C11*$C986*'Business Case'!C12*$B986)-'Business Case'!C11*$C986*'Business Case'!C13*$D986-'Business Case'!C14*$E986))*'Business Case'!$B$7-'Business Case'!$B$8*(('Business Case'!C11*$C986*'Business Case'!C12*$B986)-('Business Case'!B11*$C986*'Business Case'!B12*$B986))-'Business Case'!C15*$F986</f>
        <v>-35096690.665293</v>
      </c>
      <c r="J986" s="53" t="n">
        <f aca="false">(('Business Case'!D11*$C986*'Business Case'!D12*$B986)-'Business Case'!D11*$C986*'Business Case'!D13*$D986-'Business Case'!D14*$E986)-MAX(0,(('Business Case'!D11*$C986*'Business Case'!D12*$B986)-'Business Case'!D11*$C986*'Business Case'!D13*$D986-'Business Case'!D14*$E986))*'Business Case'!$B$7-'Business Case'!$B$8*(('Business Case'!D11*$C986*'Business Case'!D12*$B986)-('Business Case'!C11*$C986*'Business Case'!C12*$B986))-'Business Case'!D15*$F986</f>
        <v>231436594.778581</v>
      </c>
      <c r="K986" s="53" t="n">
        <f aca="false">(('Business Case'!E11*$C986*'Business Case'!E12*$B986)-'Business Case'!E11*$C986*'Business Case'!E13*$D986-'Business Case'!E14*$E986)-MAX(0,(('Business Case'!E11*$C986*'Business Case'!E12*$B986)-'Business Case'!E11*$C986*'Business Case'!E13*$D986-'Business Case'!E14*$E986))*'Business Case'!$B$7-'Business Case'!$B$8*(('Business Case'!E11*$C986*'Business Case'!E12*$B986)-('Business Case'!D11*$C986*'Business Case'!D12*$B986))-'Business Case'!E15*$F986</f>
        <v>550993026.463107</v>
      </c>
      <c r="L986" s="53" t="n">
        <f aca="false">(('Business Case'!F11*$C986*'Business Case'!F12*$B986)-'Business Case'!F11*$C986*'Business Case'!F13*$D986-'Business Case'!F14*$E986)-MAX(0,(('Business Case'!F11*$C986*'Business Case'!F12*$B986)-'Business Case'!F11*$C986*'Business Case'!F13*$D986-'Business Case'!F14*$E986))*'Business Case'!$B$7-'Business Case'!$B$8*(('Business Case'!F11*$C986*'Business Case'!F12*$B986)-('Business Case'!E11*$C986*'Business Case'!E12*$B986))-'Business Case'!F15*$F986</f>
        <v>675235743.012287</v>
      </c>
      <c r="M986" s="53" t="n">
        <f aca="false">(('Business Case'!G11*$C986*'Business Case'!G12*$B986)-'Business Case'!G11*$C986*'Business Case'!G13*$D986-'Business Case'!G14*$E986)-MAX(0,(('Business Case'!G11*$C986*'Business Case'!G12*$B986)-'Business Case'!G11*$C986*'Business Case'!G13*$D986-'Business Case'!G14*$E986))*'Business Case'!$B$7-'Business Case'!$B$8*(('Business Case'!G11*$C986*'Business Case'!G12*$B986)-('Business Case'!F11*$C986*'Business Case'!F12*$B986))-'Business Case'!G15*$F986+'Business Case'!$B$8*('Business Case'!G11*$C986*'Business Case'!G12*$B986)</f>
        <v>869926327.385678</v>
      </c>
      <c r="N986" s="53" t="n">
        <f aca="false">IF(COUNT('Business Case'!B11:G11)=0,"",H986+NPV(G986,I986:M986))</f>
        <v>-497748440.3322</v>
      </c>
      <c r="P986" s="54" t="n">
        <f aca="true">RAND()</f>
        <v>0.244375900583358</v>
      </c>
      <c r="Q986" s="54" t="n">
        <f aca="true">RAND()</f>
        <v>0.837515964142272</v>
      </c>
      <c r="R986" s="54" t="n">
        <f aca="true">RAND()</f>
        <v>0.950092842859384</v>
      </c>
      <c r="S986" s="54" t="n">
        <f aca="true">RAND()</f>
        <v>0.359903457568673</v>
      </c>
      <c r="T986" s="54" t="n">
        <f aca="true">RAND()</f>
        <v>0.610588092965311</v>
      </c>
      <c r="U986" s="54" t="n">
        <f aca="true">RAND()</f>
        <v>0.00731621704392066</v>
      </c>
    </row>
    <row r="987" customFormat="false" ht="15" hidden="false" customHeight="false" outlineLevel="0" collapsed="false">
      <c r="A987" s="50" t="n">
        <v>907</v>
      </c>
      <c r="B987" s="51" t="n">
        <f aca="false">1+IF($G$6=$E$6,$F$6,IF(P987&lt;($F$6-$E$6)/($G$6-$E$6),$E$6+SQRT(P987*($G$6-$E$6)*($F$6-$E$6)),$G$6-SQRT((1-P987)*($G$6-$E$6)*($G$6-$F$6))))</f>
        <v>0.969385148623276</v>
      </c>
      <c r="C987" s="51" t="n">
        <f aca="false">1+IF($G$7=$E$7,$F$7,IF(Q987&lt;($F$7-$E$7)/($G$7-$E$7),$E$7+SQRT(Q987*($G$7-$E$7)*($F$7-$E$7)),$G$7-SQRT((1-Q987)*($G$7-$E$7)*($G$7-$F$7))))</f>
        <v>0.973227782868999</v>
      </c>
      <c r="D987" s="51" t="n">
        <f aca="false">1+IF($G$8=$E$8,$F$8,IF(R987&lt;($F$8-$E$8)/($G$8-$E$8),$E$8+SQRT(R987*($G$8-$E$8)*($F$8-$E$8)),$G$8-SQRT((1-R987)*($G$8-$E$8)*($G$8-$F$8))))</f>
        <v>0.982933010526126</v>
      </c>
      <c r="E987" s="51" t="n">
        <f aca="false">1+IF($G$9=$E$9,$F$9,IF(S987&lt;($F$9-$E$9)/($G$9-$E$9),$E$9+SQRT(S987*($G$9-$E$9)*($F$9-$E$9)),$G$9-SQRT((1-S987)*($G$9-$E$9)*($G$9-$F$9))))</f>
        <v>1.02972557031796</v>
      </c>
      <c r="F987" s="51" t="n">
        <f aca="false">1+IF($G$10=$E$10,$F$10,IF(T987&lt;($F$10-$E$10)/($G$10-$E$10),$E$10+SQRT(T987*($G$10-$E$10)*($F$10-$E$10)),$G$10-SQRT((1-T987)*($G$10-$E$10)*($G$10-$F$10))))</f>
        <v>1.01784496745144</v>
      </c>
      <c r="G987" s="52" t="n">
        <f aca="false">IF($G$11=$E$11,$F$11,IF(U987&lt;($F$11-$E$11)/($G$11-$E$11),$E$11+SQRT(U987*($G$11-$E$11)*($F$11-$E$11)),$G$11-SQRT((1-U987)*($G$11-$E$11)*($G$11-$F$11))))</f>
        <v>0.108384241676252</v>
      </c>
      <c r="H987" s="53" t="n">
        <f aca="false">(('Business Case'!B11*$C987*'Business Case'!B12*$B987)-'Business Case'!B11*$C987*'Business Case'!B13*$D987-'Business Case'!B14*$E987)-MAX(0,(('Business Case'!B11*$C987*'Business Case'!B12*$B987)-'Business Case'!B11*$C987*'Business Case'!B13*$D987-'Business Case'!B14*$E987))*'Business Case'!$B$7-'Business Case'!$B$8*('Business Case'!B11*$C987*'Business Case'!B12*$B987)-'Business Case'!B15*$F987</f>
        <v>-2035689934.90288</v>
      </c>
      <c r="I987" s="53" t="n">
        <f aca="false">(('Business Case'!C11*$C987*'Business Case'!C12*$B987)-'Business Case'!C11*$C987*'Business Case'!C13*$D987-'Business Case'!C14*$E987)-MAX(0,(('Business Case'!C11*$C987*'Business Case'!C12*$B987)-'Business Case'!C11*$C987*'Business Case'!C13*$D987-'Business Case'!C14*$E987))*'Business Case'!$B$7-'Business Case'!$B$8*(('Business Case'!C11*$C987*'Business Case'!C12*$B987)-('Business Case'!B11*$C987*'Business Case'!B12*$B987))-'Business Case'!C15*$F987</f>
        <v>-14091564.2120167</v>
      </c>
      <c r="J987" s="53" t="n">
        <f aca="false">(('Business Case'!D11*$C987*'Business Case'!D12*$B987)-'Business Case'!D11*$C987*'Business Case'!D13*$D987-'Business Case'!D14*$E987)-MAX(0,(('Business Case'!D11*$C987*'Business Case'!D12*$B987)-'Business Case'!D11*$C987*'Business Case'!D13*$D987-'Business Case'!D14*$E987))*'Business Case'!$B$7-'Business Case'!$B$8*(('Business Case'!D11*$C987*'Business Case'!D12*$B987)-('Business Case'!C11*$C987*'Business Case'!C12*$B987))-'Business Case'!D15*$F987</f>
        <v>268935888.275814</v>
      </c>
      <c r="K987" s="53" t="n">
        <f aca="false">(('Business Case'!E11*$C987*'Business Case'!E12*$B987)-'Business Case'!E11*$C987*'Business Case'!E13*$D987-'Business Case'!E14*$E987)-MAX(0,(('Business Case'!E11*$C987*'Business Case'!E12*$B987)-'Business Case'!E11*$C987*'Business Case'!E13*$D987-'Business Case'!E14*$E987))*'Business Case'!$B$7-'Business Case'!$B$8*(('Business Case'!E11*$C987*'Business Case'!E12*$B987)-('Business Case'!D11*$C987*'Business Case'!D12*$B987))-'Business Case'!E15*$F987</f>
        <v>602855589.136217</v>
      </c>
      <c r="L987" s="53" t="n">
        <f aca="false">(('Business Case'!F11*$C987*'Business Case'!F12*$B987)-'Business Case'!F11*$C987*'Business Case'!F13*$D987-'Business Case'!F14*$E987)-MAX(0,(('Business Case'!F11*$C987*'Business Case'!F12*$B987)-'Business Case'!F11*$C987*'Business Case'!F13*$D987-'Business Case'!F14*$E987))*'Business Case'!$B$7-'Business Case'!$B$8*(('Business Case'!F11*$C987*'Business Case'!F12*$B987)-('Business Case'!E11*$C987*'Business Case'!E12*$B987))-'Business Case'!F15*$F987</f>
        <v>729803102.53582</v>
      </c>
      <c r="M987" s="53" t="n">
        <f aca="false">(('Business Case'!G11*$C987*'Business Case'!G12*$B987)-'Business Case'!G11*$C987*'Business Case'!G13*$D987-'Business Case'!G14*$E987)-MAX(0,(('Business Case'!G11*$C987*'Business Case'!G12*$B987)-'Business Case'!G11*$C987*'Business Case'!G13*$D987-'Business Case'!G14*$E987))*'Business Case'!$B$7-'Business Case'!$B$8*(('Business Case'!G11*$C987*'Business Case'!G12*$B987)-('Business Case'!F11*$C987*'Business Case'!F12*$B987))-'Business Case'!G15*$F987+'Business Case'!$B$8*('Business Case'!G11*$C987*'Business Case'!G12*$B987)</f>
        <v>909130763.339281</v>
      </c>
      <c r="N987" s="53" t="n">
        <f aca="false">IF(COUNT('Business Case'!B11:G11)=0,"",H987+NPV(G987,I987:M987))</f>
        <v>-359736808.772467</v>
      </c>
      <c r="P987" s="54" t="n">
        <f aca="true">RAND()</f>
        <v>0.254051344223232</v>
      </c>
      <c r="Q987" s="54" t="n">
        <f aca="true">RAND()</f>
        <v>0.428683782252986</v>
      </c>
      <c r="R987" s="54" t="n">
        <f aca="true">RAND()</f>
        <v>0.166858951125223</v>
      </c>
      <c r="S987" s="54" t="n">
        <f aca="true">RAND()</f>
        <v>0.67076696885764</v>
      </c>
      <c r="T987" s="54" t="n">
        <f aca="true">RAND()</f>
        <v>0.336390882344645</v>
      </c>
      <c r="U987" s="54" t="n">
        <f aca="true">RAND()</f>
        <v>0.775123597607138</v>
      </c>
    </row>
    <row r="988" customFormat="false" ht="15" hidden="false" customHeight="false" outlineLevel="0" collapsed="false">
      <c r="A988" s="50" t="n">
        <v>908</v>
      </c>
      <c r="B988" s="51" t="n">
        <f aca="false">1+IF($G$6=$E$6,$F$6,IF(P988&lt;($F$6-$E$6)/($G$6-$E$6),$E$6+SQRT(P988*($G$6-$E$6)*($F$6-$E$6)),$G$6-SQRT((1-P988)*($G$6-$E$6)*($G$6-$F$6))))</f>
        <v>1.00768568680809</v>
      </c>
      <c r="C988" s="51" t="n">
        <f aca="false">1+IF($G$7=$E$7,$F$7,IF(Q988&lt;($F$7-$E$7)/($G$7-$E$7),$E$7+SQRT(Q988*($G$7-$E$7)*($F$7-$E$7)),$G$7-SQRT((1-Q988)*($G$7-$E$7)*($G$7-$F$7))))</f>
        <v>0.973562943465085</v>
      </c>
      <c r="D988" s="51" t="n">
        <f aca="false">1+IF($G$8=$E$8,$F$8,IF(R988&lt;($F$8-$E$8)/($G$8-$E$8),$E$8+SQRT(R988*($G$8-$E$8)*($F$8-$E$8)),$G$8-SQRT((1-R988)*($G$8-$E$8)*($G$8-$F$8))))</f>
        <v>1.06651308891362</v>
      </c>
      <c r="E988" s="51" t="n">
        <f aca="false">1+IF($G$9=$E$9,$F$9,IF(S988&lt;($F$9-$E$9)/($G$9-$E$9),$E$9+SQRT(S988*($G$9-$E$9)*($F$9-$E$9)),$G$9-SQRT((1-S988)*($G$9-$E$9)*($G$9-$F$9))))</f>
        <v>1.02078218661622</v>
      </c>
      <c r="F988" s="51" t="n">
        <f aca="false">1+IF($G$10=$E$10,$F$10,IF(T988&lt;($F$10-$E$10)/($G$10-$E$10),$E$10+SQRT(T988*($G$10-$E$10)*($F$10-$E$10)),$G$10-SQRT((1-T988)*($G$10-$E$10)*($G$10-$F$10))))</f>
        <v>1.0063862999268</v>
      </c>
      <c r="G988" s="52" t="n">
        <f aca="false">IF($G$11=$E$11,$F$11,IF(U988&lt;($F$11-$E$11)/($G$11-$E$11),$E$11+SQRT(U988*($G$11-$E$11)*($F$11-$E$11)),$G$11-SQRT((1-U988)*($G$11-$E$11)*($G$11-$F$11))))</f>
        <v>0.112920048610847</v>
      </c>
      <c r="H988" s="53" t="n">
        <f aca="false">(('Business Case'!B11*$C988*'Business Case'!B12*$B988)-'Business Case'!B11*$C988*'Business Case'!B13*$D988-'Business Case'!B14*$E988)-MAX(0,(('Business Case'!B11*$C988*'Business Case'!B12*$B988)-'Business Case'!B11*$C988*'Business Case'!B13*$D988-'Business Case'!B14*$E988))*'Business Case'!$B$7-'Business Case'!$B$8*('Business Case'!B11*$C988*'Business Case'!B12*$B988)-'Business Case'!B15*$F988</f>
        <v>-2012772599.8536</v>
      </c>
      <c r="I988" s="53" t="n">
        <f aca="false">(('Business Case'!C11*$C988*'Business Case'!C12*$B988)-'Business Case'!C11*$C988*'Business Case'!C13*$D988-'Business Case'!C14*$E988)-MAX(0,(('Business Case'!C11*$C988*'Business Case'!C12*$B988)-'Business Case'!C11*$C988*'Business Case'!C13*$D988-'Business Case'!C14*$E988))*'Business Case'!$B$7-'Business Case'!$B$8*(('Business Case'!C11*$C988*'Business Case'!C12*$B988)-('Business Case'!B11*$C988*'Business Case'!B12*$B988))-'Business Case'!C15*$F988</f>
        <v>-24639956.4462091</v>
      </c>
      <c r="J988" s="53" t="n">
        <f aca="false">(('Business Case'!D11*$C988*'Business Case'!D12*$B988)-'Business Case'!D11*$C988*'Business Case'!D13*$D988-'Business Case'!D14*$E988)-MAX(0,(('Business Case'!D11*$C988*'Business Case'!D12*$B988)-'Business Case'!D11*$C988*'Business Case'!D13*$D988-'Business Case'!D14*$E988))*'Business Case'!$B$7-'Business Case'!$B$8*(('Business Case'!D11*$C988*'Business Case'!D12*$B988)-('Business Case'!C11*$C988*'Business Case'!C12*$B988))-'Business Case'!D15*$F988</f>
        <v>247371339.819654</v>
      </c>
      <c r="K988" s="53" t="n">
        <f aca="false">(('Business Case'!E11*$C988*'Business Case'!E12*$B988)-'Business Case'!E11*$C988*'Business Case'!E13*$D988-'Business Case'!E14*$E988)-MAX(0,(('Business Case'!E11*$C988*'Business Case'!E12*$B988)-'Business Case'!E11*$C988*'Business Case'!E13*$D988-'Business Case'!E14*$E988))*'Business Case'!$B$7-'Business Case'!$B$8*(('Business Case'!E11*$C988*'Business Case'!E12*$B988)-('Business Case'!D11*$C988*'Business Case'!D12*$B988))-'Business Case'!E15*$F988</f>
        <v>569701951.081857</v>
      </c>
      <c r="L988" s="53" t="n">
        <f aca="false">(('Business Case'!F11*$C988*'Business Case'!F12*$B988)-'Business Case'!F11*$C988*'Business Case'!F13*$D988-'Business Case'!F14*$E988)-MAX(0,(('Business Case'!F11*$C988*'Business Case'!F12*$B988)-'Business Case'!F11*$C988*'Business Case'!F13*$D988-'Business Case'!F14*$E988))*'Business Case'!$B$7-'Business Case'!$B$8*(('Business Case'!F11*$C988*'Business Case'!F12*$B988)-('Business Case'!E11*$C988*'Business Case'!E12*$B988))-'Business Case'!F15*$F988</f>
        <v>694277313.692188</v>
      </c>
      <c r="M988" s="53" t="n">
        <f aca="false">(('Business Case'!G11*$C988*'Business Case'!G12*$B988)-'Business Case'!G11*$C988*'Business Case'!G13*$D988-'Business Case'!G14*$E988)-MAX(0,(('Business Case'!G11*$C988*'Business Case'!G12*$B988)-'Business Case'!G11*$C988*'Business Case'!G13*$D988-'Business Case'!G14*$E988))*'Business Case'!$B$7-'Business Case'!$B$8*(('Business Case'!G11*$C988*'Business Case'!G12*$B988)-('Business Case'!F11*$C988*'Business Case'!F12*$B988))-'Business Case'!G15*$F988+'Business Case'!$B$8*('Business Case'!G11*$C988*'Business Case'!G12*$B988)</f>
        <v>880754431.561593</v>
      </c>
      <c r="N988" s="53" t="n">
        <f aca="false">IF(COUNT('Business Case'!B11:G11)=0,"",H988+NPV(G988,I988:M988))</f>
        <v>-453476968.84466</v>
      </c>
      <c r="P988" s="54" t="n">
        <f aca="true">RAND()</f>
        <v>0.782455242278148</v>
      </c>
      <c r="Q988" s="54" t="n">
        <f aca="true">RAND()</f>
        <v>0.430344219203776</v>
      </c>
      <c r="R988" s="54" t="n">
        <f aca="true">RAND()</f>
        <v>0.982509925898855</v>
      </c>
      <c r="S988" s="54" t="n">
        <f aca="true">RAND()</f>
        <v>0.58163586951288</v>
      </c>
      <c r="T988" s="54" t="n">
        <f aca="true">RAND()</f>
        <v>0.250274702879298</v>
      </c>
      <c r="U988" s="54" t="n">
        <f aca="true">RAND()</f>
        <v>0.916457147212062</v>
      </c>
    </row>
    <row r="989" customFormat="false" ht="15" hidden="false" customHeight="false" outlineLevel="0" collapsed="false">
      <c r="A989" s="50" t="n">
        <v>909</v>
      </c>
      <c r="B989" s="51" t="n">
        <f aca="false">1+IF($G$6=$E$6,$F$6,IF(P989&lt;($F$6-$E$6)/($G$6-$E$6),$E$6+SQRT(P989*($G$6-$E$6)*($F$6-$E$6)),$G$6-SQRT((1-P989)*($G$6-$E$6)*($G$6-$F$6))))</f>
        <v>1.01599919347804</v>
      </c>
      <c r="C989" s="51" t="n">
        <f aca="false">1+IF($G$7=$E$7,$F$7,IF(Q989&lt;($F$7-$E$7)/($G$7-$E$7),$E$7+SQRT(Q989*($G$7-$E$7)*($F$7-$E$7)),$G$7-SQRT((1-Q989)*($G$7-$E$7)*($G$7-$F$7))))</f>
        <v>1.05137486418257</v>
      </c>
      <c r="D989" s="51" t="n">
        <f aca="false">1+IF($G$8=$E$8,$F$8,IF(R989&lt;($F$8-$E$8)/($G$8-$E$8),$E$8+SQRT(R989*($G$8-$E$8)*($F$8-$E$8)),$G$8-SQRT((1-R989)*($G$8-$E$8)*($G$8-$F$8))))</f>
        <v>0.982953558581154</v>
      </c>
      <c r="E989" s="51" t="n">
        <f aca="false">1+IF($G$9=$E$9,$F$9,IF(S989&lt;($F$9-$E$9)/($G$9-$E$9),$E$9+SQRT(S989*($G$9-$E$9)*($F$9-$E$9)),$G$9-SQRT((1-S989)*($G$9-$E$9)*($G$9-$F$9))))</f>
        <v>1.00087996569268</v>
      </c>
      <c r="F989" s="51" t="n">
        <f aca="false">1+IF($G$10=$E$10,$F$10,IF(T989&lt;($F$10-$E$10)/($G$10-$E$10),$E$10+SQRT(T989*($G$10-$E$10)*($F$10-$E$10)),$G$10-SQRT((1-T989)*($G$10-$E$10)*($G$10-$F$10))))</f>
        <v>1.01168676014468</v>
      </c>
      <c r="G989" s="52" t="n">
        <f aca="false">IF($G$11=$E$11,$F$11,IF(U989&lt;($F$11-$E$11)/($G$11-$E$11),$E$11+SQRT(U989*($G$11-$E$11)*($F$11-$E$11)),$G$11-SQRT((1-U989)*($G$11-$E$11)*($G$11-$F$11))))</f>
        <v>0.10650324316234</v>
      </c>
      <c r="H989" s="53" t="n">
        <f aca="false">(('Business Case'!B11*$C989*'Business Case'!B12*$B989)-'Business Case'!B11*$C989*'Business Case'!B13*$D989-'Business Case'!B14*$E989)-MAX(0,(('Business Case'!B11*$C989*'Business Case'!B12*$B989)-'Business Case'!B11*$C989*'Business Case'!B13*$D989-'Business Case'!B14*$E989))*'Business Case'!$B$7-'Business Case'!$B$8*('Business Case'!B11*$C989*'Business Case'!B12*$B989)-'Business Case'!B15*$F989</f>
        <v>-2023373520.28936</v>
      </c>
      <c r="I989" s="53" t="n">
        <f aca="false">(('Business Case'!C11*$C989*'Business Case'!C12*$B989)-'Business Case'!C11*$C989*'Business Case'!C13*$D989-'Business Case'!C14*$E989)-MAX(0,(('Business Case'!C11*$C989*'Business Case'!C12*$B989)-'Business Case'!C11*$C989*'Business Case'!C13*$D989-'Business Case'!C14*$E989))*'Business Case'!$B$7-'Business Case'!$B$8*(('Business Case'!C11*$C989*'Business Case'!C12*$B989)-('Business Case'!B11*$C989*'Business Case'!B12*$B989))-'Business Case'!C15*$F989</f>
        <v>47015269.2854173</v>
      </c>
      <c r="J989" s="53" t="n">
        <f aca="false">(('Business Case'!D11*$C989*'Business Case'!D12*$B989)-'Business Case'!D11*$C989*'Business Case'!D13*$D989-'Business Case'!D14*$E989)-MAX(0,(('Business Case'!D11*$C989*'Business Case'!D12*$B989)-'Business Case'!D11*$C989*'Business Case'!D13*$D989-'Business Case'!D14*$E989))*'Business Case'!$B$7-'Business Case'!$B$8*(('Business Case'!D11*$C989*'Business Case'!D12*$B989)-('Business Case'!C11*$C989*'Business Case'!C12*$B989))-'Business Case'!D15*$F989</f>
        <v>392899627.075287</v>
      </c>
      <c r="K989" s="53" t="n">
        <f aca="false">(('Business Case'!E11*$C989*'Business Case'!E12*$B989)-'Business Case'!E11*$C989*'Business Case'!E13*$D989-'Business Case'!E14*$E989)-MAX(0,(('Business Case'!E11*$C989*'Business Case'!E12*$B989)-'Business Case'!E11*$C989*'Business Case'!E13*$D989-'Business Case'!E14*$E989))*'Business Case'!$B$7-'Business Case'!$B$8*(('Business Case'!E11*$C989*'Business Case'!E12*$B989)-('Business Case'!D11*$C989*'Business Case'!D12*$B989))-'Business Case'!E15*$F989</f>
        <v>789368322.87239</v>
      </c>
      <c r="L989" s="53" t="n">
        <f aca="false">(('Business Case'!F11*$C989*'Business Case'!F12*$B989)-'Business Case'!F11*$C989*'Business Case'!F13*$D989-'Business Case'!F14*$E989)-MAX(0,(('Business Case'!F11*$C989*'Business Case'!F12*$B989)-'Business Case'!F11*$C989*'Business Case'!F13*$D989-'Business Case'!F14*$E989))*'Business Case'!$B$7-'Business Case'!$B$8*(('Business Case'!F11*$C989*'Business Case'!F12*$B989)-('Business Case'!E11*$C989*'Business Case'!E12*$B989))-'Business Case'!F15*$F989</f>
        <v>941579963.048003</v>
      </c>
      <c r="M989" s="53" t="n">
        <f aca="false">(('Business Case'!G11*$C989*'Business Case'!G12*$B989)-'Business Case'!G11*$C989*'Business Case'!G13*$D989-'Business Case'!G14*$E989)-MAX(0,(('Business Case'!G11*$C989*'Business Case'!G12*$B989)-'Business Case'!G11*$C989*'Business Case'!G13*$D989-'Business Case'!G14*$E989))*'Business Case'!$B$7-'Business Case'!$B$8*(('Business Case'!G11*$C989*'Business Case'!G12*$B989)-('Business Case'!F11*$C989*'Business Case'!F12*$B989))-'Business Case'!G15*$F989+'Business Case'!$B$8*('Business Case'!G11*$C989*'Business Case'!G12*$B989)</f>
        <v>1144622661.39912</v>
      </c>
      <c r="N989" s="53" t="n">
        <f aca="false">IF(COUNT('Business Case'!B11:G11)=0,"",H989+NPV(G989,I989:M989))</f>
        <v>240894497.170251</v>
      </c>
      <c r="P989" s="54" t="n">
        <f aca="true">RAND()</f>
        <v>0.879991934644837</v>
      </c>
      <c r="Q989" s="54" t="n">
        <f aca="true">RAND()</f>
        <v>0.814725382571311</v>
      </c>
      <c r="R989" s="54" t="n">
        <f aca="true">RAND()</f>
        <v>0.16706723433255</v>
      </c>
      <c r="S989" s="54" t="n">
        <f aca="true">RAND()</f>
        <v>0.345014586594344</v>
      </c>
      <c r="T989" s="54" t="n">
        <f aca="true">RAND()</f>
        <v>0.290762473903853</v>
      </c>
      <c r="U989" s="54" t="n">
        <f aca="true">RAND()</f>
        <v>0.696395924775151</v>
      </c>
    </row>
    <row r="990" customFormat="false" ht="15" hidden="false" customHeight="false" outlineLevel="0" collapsed="false">
      <c r="A990" s="50" t="n">
        <v>910</v>
      </c>
      <c r="B990" s="51" t="n">
        <f aca="false">1+IF($G$6=$E$6,$F$6,IF(P990&lt;($F$6-$E$6)/($G$6-$E$6),$E$6+SQRT(P990*($G$6-$E$6)*($F$6-$E$6)),$G$6-SQRT((1-P990)*($G$6-$E$6)*($G$6-$F$6))))</f>
        <v>0.996636655212342</v>
      </c>
      <c r="C990" s="51" t="n">
        <f aca="false">1+IF($G$7=$E$7,$F$7,IF(Q990&lt;($F$7-$E$7)/($G$7-$E$7),$E$7+SQRT(Q990*($G$7-$E$7)*($F$7-$E$7)),$G$7-SQRT((1-Q990)*($G$7-$E$7)*($G$7-$F$7))))</f>
        <v>0.961234326621548</v>
      </c>
      <c r="D990" s="51" t="n">
        <f aca="false">1+IF($G$8=$E$8,$F$8,IF(R990&lt;($F$8-$E$8)/($G$8-$E$8),$E$8+SQRT(R990*($G$8-$E$8)*($F$8-$E$8)),$G$8-SQRT((1-R990)*($G$8-$E$8)*($G$8-$F$8))))</f>
        <v>1.00711324115955</v>
      </c>
      <c r="E990" s="51" t="n">
        <f aca="false">1+IF($G$9=$E$9,$F$9,IF(S990&lt;($F$9-$E$9)/($G$9-$E$9),$E$9+SQRT(S990*($G$9-$E$9)*($F$9-$E$9)),$G$9-SQRT((1-S990)*($G$9-$E$9)*($G$9-$F$9))))</f>
        <v>1.05752335750378</v>
      </c>
      <c r="F990" s="51" t="n">
        <f aca="false">1+IF($G$10=$E$10,$F$10,IF(T990&lt;($F$10-$E$10)/($G$10-$E$10),$E$10+SQRT(T990*($G$10-$E$10)*($F$10-$E$10)),$G$10-SQRT((1-T990)*($G$10-$E$10)*($G$10-$F$10))))</f>
        <v>1.03421922227129</v>
      </c>
      <c r="G990" s="52" t="n">
        <f aca="false">IF($G$11=$E$11,$F$11,IF(U990&lt;($F$11-$E$11)/($G$11-$E$11),$E$11+SQRT(U990*($G$11-$E$11)*($F$11-$E$11)),$G$11-SQRT((1-U990)*($G$11-$E$11)*($G$11-$F$11))))</f>
        <v>0.0998036571432608</v>
      </c>
      <c r="H990" s="53" t="n">
        <f aca="false">(('Business Case'!B11*$C990*'Business Case'!B12*$B990)-'Business Case'!B11*$C990*'Business Case'!B13*$D990-'Business Case'!B14*$E990)-MAX(0,(('Business Case'!B11*$C990*'Business Case'!B12*$B990)-'Business Case'!B11*$C990*'Business Case'!B13*$D990-'Business Case'!B14*$E990))*'Business Case'!$B$7-'Business Case'!$B$8*('Business Case'!B11*$C990*'Business Case'!B12*$B990)-'Business Case'!B15*$F990</f>
        <v>-2068438444.54258</v>
      </c>
      <c r="I990" s="53" t="n">
        <f aca="false">(('Business Case'!C11*$C990*'Business Case'!C12*$B990)-'Business Case'!C11*$C990*'Business Case'!C13*$D990-'Business Case'!C14*$E990)-MAX(0,(('Business Case'!C11*$C990*'Business Case'!C12*$B990)-'Business Case'!C11*$C990*'Business Case'!C13*$D990-'Business Case'!C14*$E990))*'Business Case'!$B$7-'Business Case'!$B$8*(('Business Case'!C11*$C990*'Business Case'!C12*$B990)-('Business Case'!B11*$C990*'Business Case'!B12*$B990))-'Business Case'!C15*$F990</f>
        <v>-14367766.2091688</v>
      </c>
      <c r="J990" s="53" t="n">
        <f aca="false">(('Business Case'!D11*$C990*'Business Case'!D12*$B990)-'Business Case'!D11*$C990*'Business Case'!D13*$D990-'Business Case'!D14*$E990)-MAX(0,(('Business Case'!D11*$C990*'Business Case'!D12*$B990)-'Business Case'!D11*$C990*'Business Case'!D13*$D990-'Business Case'!D14*$E990))*'Business Case'!$B$7-'Business Case'!$B$8*(('Business Case'!D11*$C990*'Business Case'!D12*$B990)-('Business Case'!C11*$C990*'Business Case'!C12*$B990))-'Business Case'!D15*$F990</f>
        <v>274729001.963852</v>
      </c>
      <c r="K990" s="53" t="n">
        <f aca="false">(('Business Case'!E11*$C990*'Business Case'!E12*$B990)-'Business Case'!E11*$C990*'Business Case'!E13*$D990-'Business Case'!E14*$E990)-MAX(0,(('Business Case'!E11*$C990*'Business Case'!E12*$B990)-'Business Case'!E11*$C990*'Business Case'!E13*$D990-'Business Case'!E14*$E990))*'Business Case'!$B$7-'Business Case'!$B$8*(('Business Case'!E11*$C990*'Business Case'!E12*$B990)-('Business Case'!D11*$C990*'Business Case'!D12*$B990))-'Business Case'!E15*$F990</f>
        <v>615536731.250438</v>
      </c>
      <c r="L990" s="53" t="n">
        <f aca="false">(('Business Case'!F11*$C990*'Business Case'!F12*$B990)-'Business Case'!F11*$C990*'Business Case'!F13*$D990-'Business Case'!F14*$E990)-MAX(0,(('Business Case'!F11*$C990*'Business Case'!F12*$B990)-'Business Case'!F11*$C990*'Business Case'!F13*$D990-'Business Case'!F14*$E990))*'Business Case'!$B$7-'Business Case'!$B$8*(('Business Case'!F11*$C990*'Business Case'!F12*$B990)-('Business Case'!E11*$C990*'Business Case'!E12*$B990))-'Business Case'!F15*$F990</f>
        <v>745010847.786793</v>
      </c>
      <c r="M990" s="53" t="n">
        <f aca="false">(('Business Case'!G11*$C990*'Business Case'!G12*$B990)-'Business Case'!G11*$C990*'Business Case'!G13*$D990-'Business Case'!G14*$E990)-MAX(0,(('Business Case'!G11*$C990*'Business Case'!G12*$B990)-'Business Case'!G11*$C990*'Business Case'!G13*$D990-'Business Case'!G14*$E990))*'Business Case'!$B$7-'Business Case'!$B$8*(('Business Case'!G11*$C990*'Business Case'!G12*$B990)-('Business Case'!F11*$C990*'Business Case'!F12*$B990))-'Business Case'!G15*$F990+'Business Case'!$B$8*('Business Case'!G11*$C990*'Business Case'!G12*$B990)</f>
        <v>927107747.086209</v>
      </c>
      <c r="N990" s="53" t="n">
        <f aca="false">IF(COUNT('Business Case'!B11:G11)=0,"",H990+NPV(G990,I990:M990))</f>
        <v>-306272054.549949</v>
      </c>
      <c r="P990" s="54" t="n">
        <f aca="true">RAND()</f>
        <v>0.611789262722433</v>
      </c>
      <c r="Q990" s="54" t="n">
        <f aca="true">RAND()</f>
        <v>0.371378686872914</v>
      </c>
      <c r="R990" s="54" t="n">
        <f aca="true">RAND()</f>
        <v>0.489184652474388</v>
      </c>
      <c r="S990" s="54" t="n">
        <f aca="true">RAND()</f>
        <v>0.879715656149907</v>
      </c>
      <c r="T990" s="54" t="n">
        <f aca="true">RAND()</f>
        <v>0.450334674713276</v>
      </c>
      <c r="U990" s="54" t="n">
        <f aca="true">RAND()</f>
        <v>0.32037231127536</v>
      </c>
    </row>
    <row r="991" customFormat="false" ht="15" hidden="false" customHeight="false" outlineLevel="0" collapsed="false">
      <c r="A991" s="50" t="n">
        <v>911</v>
      </c>
      <c r="B991" s="51" t="n">
        <f aca="false">1+IF($G$6=$E$6,$F$6,IF(P991&lt;($F$6-$E$6)/($G$6-$E$6),$E$6+SQRT(P991*($G$6-$E$6)*($F$6-$E$6)),$G$6-SQRT((1-P991)*($G$6-$E$6)*($G$6-$F$6))))</f>
        <v>0.956419009592875</v>
      </c>
      <c r="C991" s="51" t="n">
        <f aca="false">1+IF($G$7=$E$7,$F$7,IF(Q991&lt;($F$7-$E$7)/($G$7-$E$7),$E$7+SQRT(Q991*($G$7-$E$7)*($F$7-$E$7)),$G$7-SQRT((1-Q991)*($G$7-$E$7)*($G$7-$F$7))))</f>
        <v>1.06250307971313</v>
      </c>
      <c r="D991" s="51" t="n">
        <f aca="false">1+IF($G$8=$E$8,$F$8,IF(R991&lt;($F$8-$E$8)/($G$8-$E$8),$E$8+SQRT(R991*($G$8-$E$8)*($F$8-$E$8)),$G$8-SQRT((1-R991)*($G$8-$E$8)*($G$8-$F$8))))</f>
        <v>1.00190318979285</v>
      </c>
      <c r="E991" s="51" t="n">
        <f aca="false">1+IF($G$9=$E$9,$F$9,IF(S991&lt;($F$9-$E$9)/($G$9-$E$9),$E$9+SQRT(S991*($G$9-$E$9)*($F$9-$E$9)),$G$9-SQRT((1-S991)*($G$9-$E$9)*($G$9-$F$9))))</f>
        <v>0.99831706799268</v>
      </c>
      <c r="F991" s="51" t="n">
        <f aca="false">1+IF($G$10=$E$10,$F$10,IF(T991&lt;($F$10-$E$10)/($G$10-$E$10),$E$10+SQRT(T991*($G$10-$E$10)*($F$10-$E$10)),$G$10-SQRT((1-T991)*($G$10-$E$10)*($G$10-$F$10))))</f>
        <v>1.05498711873885</v>
      </c>
      <c r="G991" s="52" t="n">
        <f aca="false">IF($G$11=$E$11,$F$11,IF(U991&lt;($F$11-$E$11)/($G$11-$E$11),$E$11+SQRT(U991*($G$11-$E$11)*($F$11-$E$11)),$G$11-SQRT((1-U991)*($G$11-$E$11)*($G$11-$F$11))))</f>
        <v>0.105132675884362</v>
      </c>
      <c r="H991" s="53" t="n">
        <f aca="false">(('Business Case'!B11*$C991*'Business Case'!B12*$B991)-'Business Case'!B11*$C991*'Business Case'!B13*$D991-'Business Case'!B14*$E991)-MAX(0,(('Business Case'!B11*$C991*'Business Case'!B12*$B991)-'Business Case'!B11*$C991*'Business Case'!B13*$D991-'Business Case'!B14*$E991))*'Business Case'!$B$7-'Business Case'!$B$8*('Business Case'!B11*$C991*'Business Case'!B12*$B991)-'Business Case'!B15*$F991</f>
        <v>-2109974237.4777</v>
      </c>
      <c r="I991" s="53" t="n">
        <f aca="false">(('Business Case'!C11*$C991*'Business Case'!C12*$B991)-'Business Case'!C11*$C991*'Business Case'!C13*$D991-'Business Case'!C14*$E991)-MAX(0,(('Business Case'!C11*$C991*'Business Case'!C12*$B991)-'Business Case'!C11*$C991*'Business Case'!C13*$D991-'Business Case'!C14*$E991))*'Business Case'!$B$7-'Business Case'!$B$8*(('Business Case'!C11*$C991*'Business Case'!C12*$B991)-('Business Case'!B11*$C991*'Business Case'!B12*$B991))-'Business Case'!C15*$F991</f>
        <v>-12751418.1909862</v>
      </c>
      <c r="J991" s="53" t="n">
        <f aca="false">(('Business Case'!D11*$C991*'Business Case'!D12*$B991)-'Business Case'!D11*$C991*'Business Case'!D13*$D991-'Business Case'!D14*$E991)-MAX(0,(('Business Case'!D11*$C991*'Business Case'!D12*$B991)-'Business Case'!D11*$C991*'Business Case'!D13*$D991-'Business Case'!D14*$E991))*'Business Case'!$B$7-'Business Case'!$B$8*(('Business Case'!D11*$C991*'Business Case'!D12*$B991)-('Business Case'!C11*$C991*'Business Case'!C12*$B991))-'Business Case'!D15*$F991</f>
        <v>274636274.303369</v>
      </c>
      <c r="K991" s="53" t="n">
        <f aca="false">(('Business Case'!E11*$C991*'Business Case'!E12*$B991)-'Business Case'!E11*$C991*'Business Case'!E13*$D991-'Business Case'!E14*$E991)-MAX(0,(('Business Case'!E11*$C991*'Business Case'!E12*$B991)-'Business Case'!E11*$C991*'Business Case'!E13*$D991-'Business Case'!E14*$E991))*'Business Case'!$B$7-'Business Case'!$B$8*(('Business Case'!E11*$C991*'Business Case'!E12*$B991)-('Business Case'!D11*$C991*'Business Case'!D12*$B991))-'Business Case'!E15*$F991</f>
        <v>614773322.734667</v>
      </c>
      <c r="L991" s="53" t="n">
        <f aca="false">(('Business Case'!F11*$C991*'Business Case'!F12*$B991)-'Business Case'!F11*$C991*'Business Case'!F13*$D991-'Business Case'!F14*$E991)-MAX(0,(('Business Case'!F11*$C991*'Business Case'!F12*$B991)-'Business Case'!F11*$C991*'Business Case'!F13*$D991-'Business Case'!F14*$E991))*'Business Case'!$B$7-'Business Case'!$B$8*(('Business Case'!F11*$C991*'Business Case'!F12*$B991)-('Business Case'!E11*$C991*'Business Case'!E12*$B991))-'Business Case'!F15*$F991</f>
        <v>745689028.061384</v>
      </c>
      <c r="M991" s="53" t="n">
        <f aca="false">(('Business Case'!G11*$C991*'Business Case'!G12*$B991)-'Business Case'!G11*$C991*'Business Case'!G13*$D991-'Business Case'!G14*$E991)-MAX(0,(('Business Case'!G11*$C991*'Business Case'!G12*$B991)-'Business Case'!G11*$C991*'Business Case'!G13*$D991-'Business Case'!G14*$E991))*'Business Case'!$B$7-'Business Case'!$B$8*(('Business Case'!G11*$C991*'Business Case'!G12*$B991)-('Business Case'!F11*$C991*'Business Case'!F12*$B991))-'Business Case'!G15*$F991+'Business Case'!$B$8*('Business Case'!G11*$C991*'Business Case'!G12*$B991)</f>
        <v>938847971.118675</v>
      </c>
      <c r="N991" s="53" t="n">
        <f aca="false">IF(COUNT('Business Case'!B11:G11)=0,"",H991+NPV(G991,I991:M991))</f>
        <v>-371703204.897743</v>
      </c>
      <c r="P991" s="54" t="n">
        <f aca="true">RAND()</f>
        <v>0.13816086038812</v>
      </c>
      <c r="Q991" s="54" t="n">
        <f aca="true">RAND()</f>
        <v>0.854176932196434</v>
      </c>
      <c r="R991" s="54" t="n">
        <f aca="true">RAND()</f>
        <v>0.413546945718044</v>
      </c>
      <c r="S991" s="54" t="n">
        <f aca="true">RAND()</f>
        <v>0.311271874587899</v>
      </c>
      <c r="T991" s="54" t="n">
        <f aca="true">RAND()</f>
        <v>0.579425285366796</v>
      </c>
      <c r="U991" s="54" t="n">
        <f aca="true">RAND()</f>
        <v>0.631604456067605</v>
      </c>
    </row>
    <row r="992" customFormat="false" ht="15" hidden="false" customHeight="false" outlineLevel="0" collapsed="false">
      <c r="A992" s="50" t="n">
        <v>912</v>
      </c>
      <c r="B992" s="51" t="n">
        <f aca="false">1+IF($G$6=$E$6,$F$6,IF(P992&lt;($F$6-$E$6)/($G$6-$E$6),$E$6+SQRT(P992*($G$6-$E$6)*($F$6-$E$6)),$G$6-SQRT((1-P992)*($G$6-$E$6)*($G$6-$F$6))))</f>
        <v>1.01033899158114</v>
      </c>
      <c r="C992" s="51" t="n">
        <f aca="false">1+IF($G$7=$E$7,$F$7,IF(Q992&lt;($F$7-$E$7)/($G$7-$E$7),$E$7+SQRT(Q992*($G$7-$E$7)*($F$7-$E$7)),$G$7-SQRT((1-Q992)*($G$7-$E$7)*($G$7-$F$7))))</f>
        <v>0.875854630927304</v>
      </c>
      <c r="D992" s="51" t="n">
        <f aca="false">1+IF($G$8=$E$8,$F$8,IF(R992&lt;($F$8-$E$8)/($G$8-$E$8),$E$8+SQRT(R992*($G$8-$E$8)*($F$8-$E$8)),$G$8-SQRT((1-R992)*($G$8-$E$8)*($G$8-$F$8))))</f>
        <v>0.999819065790807</v>
      </c>
      <c r="E992" s="51" t="n">
        <f aca="false">1+IF($G$9=$E$9,$F$9,IF(S992&lt;($F$9-$E$9)/($G$9-$E$9),$E$9+SQRT(S992*($G$9-$E$9)*($F$9-$E$9)),$G$9-SQRT((1-S992)*($G$9-$E$9)*($G$9-$F$9))))</f>
        <v>0.968900642129704</v>
      </c>
      <c r="F992" s="51" t="n">
        <f aca="false">1+IF($G$10=$E$10,$F$10,IF(T992&lt;($F$10-$E$10)/($G$10-$E$10),$E$10+SQRT(T992*($G$10-$E$10)*($F$10-$E$10)),$G$10-SQRT((1-T992)*($G$10-$E$10)*($G$10-$F$10))))</f>
        <v>1.00511513773243</v>
      </c>
      <c r="G992" s="52" t="n">
        <f aca="false">IF($G$11=$E$11,$F$11,IF(U992&lt;($F$11-$E$11)/($G$11-$E$11),$E$11+SQRT(U992*($G$11-$E$11)*($F$11-$E$11)),$G$11-SQRT((1-U992)*($G$11-$E$11)*($G$11-$F$11))))</f>
        <v>0.0959572611857842</v>
      </c>
      <c r="H992" s="53" t="n">
        <f aca="false">(('Business Case'!B11*$C992*'Business Case'!B12*$B992)-'Business Case'!B11*$C992*'Business Case'!B13*$D992-'Business Case'!B14*$E992)-MAX(0,(('Business Case'!B11*$C992*'Business Case'!B12*$B992)-'Business Case'!B11*$C992*'Business Case'!B13*$D992-'Business Case'!B14*$E992))*'Business Case'!$B$7-'Business Case'!$B$8*('Business Case'!B11*$C992*'Business Case'!B12*$B992)-'Business Case'!B15*$F992</f>
        <v>-2010230275.46486</v>
      </c>
      <c r="I992" s="53" t="n">
        <f aca="false">(('Business Case'!C11*$C992*'Business Case'!C12*$B992)-'Business Case'!C11*$C992*'Business Case'!C13*$D992-'Business Case'!C14*$E992)-MAX(0,(('Business Case'!C11*$C992*'Business Case'!C12*$B992)-'Business Case'!C11*$C992*'Business Case'!C13*$D992-'Business Case'!C14*$E992))*'Business Case'!$B$7-'Business Case'!$B$8*(('Business Case'!C11*$C992*'Business Case'!C12*$B992)-('Business Case'!B11*$C992*'Business Case'!B12*$B992))-'Business Case'!C15*$F992</f>
        <v>-7644228.71426539</v>
      </c>
      <c r="J992" s="53" t="n">
        <f aca="false">(('Business Case'!D11*$C992*'Business Case'!D12*$B992)-'Business Case'!D11*$C992*'Business Case'!D13*$D992-'Business Case'!D14*$E992)-MAX(0,(('Business Case'!D11*$C992*'Business Case'!D12*$B992)-'Business Case'!D11*$C992*'Business Case'!D13*$D992-'Business Case'!D14*$E992))*'Business Case'!$B$7-'Business Case'!$B$8*(('Business Case'!D11*$C992*'Business Case'!D12*$B992)-('Business Case'!C11*$C992*'Business Case'!C12*$B992))-'Business Case'!D15*$F992</f>
        <v>268874466.440327</v>
      </c>
      <c r="K992" s="53" t="n">
        <f aca="false">(('Business Case'!E11*$C992*'Business Case'!E12*$B992)-'Business Case'!E11*$C992*'Business Case'!E13*$D992-'Business Case'!E14*$E992)-MAX(0,(('Business Case'!E11*$C992*'Business Case'!E12*$B992)-'Business Case'!E11*$C992*'Business Case'!E13*$D992-'Business Case'!E14*$E992))*'Business Case'!$B$7-'Business Case'!$B$8*(('Business Case'!E11*$C992*'Business Case'!E12*$B992)-('Business Case'!D11*$C992*'Business Case'!D12*$B992))-'Business Case'!E15*$F992</f>
        <v>595648918.481541</v>
      </c>
      <c r="L992" s="53" t="n">
        <f aca="false">(('Business Case'!F11*$C992*'Business Case'!F12*$B992)-'Business Case'!F11*$C992*'Business Case'!F13*$D992-'Business Case'!F14*$E992)-MAX(0,(('Business Case'!F11*$C992*'Business Case'!F12*$B992)-'Business Case'!F11*$C992*'Business Case'!F13*$D992-'Business Case'!F14*$E992))*'Business Case'!$B$7-'Business Case'!$B$8*(('Business Case'!F11*$C992*'Business Case'!F12*$B992)-('Business Case'!E11*$C992*'Business Case'!E12*$B992))-'Business Case'!F15*$F992</f>
        <v>718404309.389585</v>
      </c>
      <c r="M992" s="53" t="n">
        <f aca="false">(('Business Case'!G11*$C992*'Business Case'!G12*$B992)-'Business Case'!G11*$C992*'Business Case'!G13*$D992-'Business Case'!G14*$E992)-MAX(0,(('Business Case'!G11*$C992*'Business Case'!G12*$B992)-'Business Case'!G11*$C992*'Business Case'!G13*$D992-'Business Case'!G14*$E992))*'Business Case'!$B$7-'Business Case'!$B$8*(('Business Case'!G11*$C992*'Business Case'!G12*$B992)-('Business Case'!F11*$C992*'Business Case'!F12*$B992))-'Business Case'!G15*$F992+'Business Case'!$B$8*('Business Case'!G11*$C992*'Business Case'!G12*$B992)</f>
        <v>886608018.267077</v>
      </c>
      <c r="N992" s="53" t="n">
        <f aca="false">IF(COUNT('Business Case'!B11:G11)=0,"",H992+NPV(G992,I992:M992))</f>
        <v>-282159365.049081</v>
      </c>
      <c r="P992" s="54" t="n">
        <f aca="true">RAND()</f>
        <v>0.816713454078424</v>
      </c>
      <c r="Q992" s="54" t="n">
        <f aca="true">RAND()</f>
        <v>0.0821989290445366</v>
      </c>
      <c r="R992" s="54" t="n">
        <f aca="true">RAND()</f>
        <v>0.381836817887493</v>
      </c>
      <c r="S992" s="54" t="n">
        <f aca="true">RAND()</f>
        <v>0.0476312363886846</v>
      </c>
      <c r="T992" s="54" t="n">
        <f aca="true">RAND()</f>
        <v>0.240397809179022</v>
      </c>
      <c r="U992" s="54" t="n">
        <f aca="true">RAND()</f>
        <v>0.118296536118836</v>
      </c>
    </row>
    <row r="993" customFormat="false" ht="15" hidden="false" customHeight="false" outlineLevel="0" collapsed="false">
      <c r="A993" s="50" t="n">
        <v>913</v>
      </c>
      <c r="B993" s="51" t="n">
        <f aca="false">1+IF($G$6=$E$6,$F$6,IF(P993&lt;($F$6-$E$6)/($G$6-$E$6),$E$6+SQRT(P993*($G$6-$E$6)*($F$6-$E$6)),$G$6-SQRT((1-P993)*($G$6-$E$6)*($G$6-$F$6))))</f>
        <v>0.978644464723445</v>
      </c>
      <c r="C993" s="51" t="n">
        <f aca="false">1+IF($G$7=$E$7,$F$7,IF(Q993&lt;($F$7-$E$7)/($G$7-$E$7),$E$7+SQRT(Q993*($G$7-$E$7)*($F$7-$E$7)),$G$7-SQRT((1-Q993)*($G$7-$E$7)*($G$7-$F$7))))</f>
        <v>1.0216117744537</v>
      </c>
      <c r="D993" s="51" t="n">
        <f aca="false">1+IF($G$8=$E$8,$F$8,IF(R993&lt;($F$8-$E$8)/($G$8-$E$8),$E$8+SQRT(R993*($G$8-$E$8)*($F$8-$E$8)),$G$8-SQRT((1-R993)*($G$8-$E$8)*($G$8-$F$8))))</f>
        <v>1.00112695480621</v>
      </c>
      <c r="E993" s="51" t="n">
        <f aca="false">1+IF($G$9=$E$9,$F$9,IF(S993&lt;($F$9-$E$9)/($G$9-$E$9),$E$9+SQRT(S993*($G$9-$E$9)*($F$9-$E$9)),$G$9-SQRT((1-S993)*($G$9-$E$9)*($G$9-$F$9))))</f>
        <v>1.0231113324013</v>
      </c>
      <c r="F993" s="51" t="n">
        <f aca="false">1+IF($G$10=$E$10,$F$10,IF(T993&lt;($F$10-$E$10)/($G$10-$E$10),$E$10+SQRT(T993*($G$10-$E$10)*($F$10-$E$10)),$G$10-SQRT((1-T993)*($G$10-$E$10)*($G$10-$F$10))))</f>
        <v>1.12786450805525</v>
      </c>
      <c r="G993" s="52" t="n">
        <f aca="false">IF($G$11=$E$11,$F$11,IF(U993&lt;($F$11-$E$11)/($G$11-$E$11),$E$11+SQRT(U993*($G$11-$E$11)*($F$11-$E$11)),$G$11-SQRT((1-U993)*($G$11-$E$11)*($G$11-$F$11))))</f>
        <v>0.100329075515355</v>
      </c>
      <c r="H993" s="53" t="n">
        <f aca="false">(('Business Case'!B11*$C993*'Business Case'!B12*$B993)-'Business Case'!B11*$C993*'Business Case'!B13*$D993-'Business Case'!B14*$E993)-MAX(0,(('Business Case'!B11*$C993*'Business Case'!B12*$B993)-'Business Case'!B11*$C993*'Business Case'!B13*$D993-'Business Case'!B14*$E993))*'Business Case'!$B$7-'Business Case'!$B$8*('Business Case'!B11*$C993*'Business Case'!B12*$B993)-'Business Case'!B15*$F993</f>
        <v>-2255729016.1105</v>
      </c>
      <c r="I993" s="53" t="n">
        <f aca="false">(('Business Case'!C11*$C993*'Business Case'!C12*$B993)-'Business Case'!C11*$C993*'Business Case'!C13*$D993-'Business Case'!C14*$E993)-MAX(0,(('Business Case'!C11*$C993*'Business Case'!C12*$B993)-'Business Case'!C11*$C993*'Business Case'!C13*$D993-'Business Case'!C14*$E993))*'Business Case'!$B$7-'Business Case'!$B$8*(('Business Case'!C11*$C993*'Business Case'!C12*$B993)-('Business Case'!B11*$C993*'Business Case'!B12*$B993))-'Business Case'!C15*$F993</f>
        <v>-14771267.0845854</v>
      </c>
      <c r="J993" s="53" t="n">
        <f aca="false">(('Business Case'!D11*$C993*'Business Case'!D12*$B993)-'Business Case'!D11*$C993*'Business Case'!D13*$D993-'Business Case'!D14*$E993)-MAX(0,(('Business Case'!D11*$C993*'Business Case'!D12*$B993)-'Business Case'!D11*$C993*'Business Case'!D13*$D993-'Business Case'!D14*$E993))*'Business Case'!$B$7-'Business Case'!$B$8*(('Business Case'!D11*$C993*'Business Case'!D12*$B993)-('Business Case'!C11*$C993*'Business Case'!C12*$B993))-'Business Case'!D15*$F993</f>
        <v>280559705.775114</v>
      </c>
      <c r="K993" s="53" t="n">
        <f aca="false">(('Business Case'!E11*$C993*'Business Case'!E12*$B993)-'Business Case'!E11*$C993*'Business Case'!E13*$D993-'Business Case'!E14*$E993)-MAX(0,(('Business Case'!E11*$C993*'Business Case'!E12*$B993)-'Business Case'!E11*$C993*'Business Case'!E13*$D993-'Business Case'!E14*$E993))*'Business Case'!$B$7-'Business Case'!$B$8*(('Business Case'!E11*$C993*'Business Case'!E12*$B993)-('Business Case'!D11*$C993*'Business Case'!D12*$B993))-'Business Case'!E15*$F993</f>
        <v>632283904.037576</v>
      </c>
      <c r="L993" s="53" t="n">
        <f aca="false">(('Business Case'!F11*$C993*'Business Case'!F12*$B993)-'Business Case'!F11*$C993*'Business Case'!F13*$D993-'Business Case'!F14*$E993)-MAX(0,(('Business Case'!F11*$C993*'Business Case'!F12*$B993)-'Business Case'!F11*$C993*'Business Case'!F13*$D993-'Business Case'!F14*$E993))*'Business Case'!$B$7-'Business Case'!$B$8*(('Business Case'!F11*$C993*'Business Case'!F12*$B993)-('Business Case'!E11*$C993*'Business Case'!E12*$B993))-'Business Case'!F15*$F993</f>
        <v>765280466.771673</v>
      </c>
      <c r="M993" s="53" t="n">
        <f aca="false">(('Business Case'!G11*$C993*'Business Case'!G12*$B993)-'Business Case'!G11*$C993*'Business Case'!G13*$D993-'Business Case'!G14*$E993)-MAX(0,(('Business Case'!G11*$C993*'Business Case'!G12*$B993)-'Business Case'!G11*$C993*'Business Case'!G13*$D993-'Business Case'!G14*$E993))*'Business Case'!$B$7-'Business Case'!$B$8*(('Business Case'!G11*$C993*'Business Case'!G12*$B993)-('Business Case'!F11*$C993*'Business Case'!F12*$B993))-'Business Case'!G15*$F993+'Business Case'!$B$8*('Business Case'!G11*$C993*'Business Case'!G12*$B993)</f>
        <v>955321444.899754</v>
      </c>
      <c r="N993" s="53" t="n">
        <f aca="false">IF(COUNT('Business Case'!B11:G11)=0,"",H993+NPV(G993,I993:M993))</f>
        <v>-448441580.30554</v>
      </c>
      <c r="P993" s="54" t="n">
        <f aca="true">RAND()</f>
        <v>0.358247212781183</v>
      </c>
      <c r="Q993" s="54" t="n">
        <f aca="true">RAND()</f>
        <v>0.686027876972804</v>
      </c>
      <c r="R993" s="54" t="n">
        <f aca="true">RAND()</f>
        <v>0.401831032871056</v>
      </c>
      <c r="S993" s="54" t="n">
        <f aca="true">RAND()</f>
        <v>0.605875519659801</v>
      </c>
      <c r="T993" s="54" t="n">
        <f aca="true">RAND()</f>
        <v>0.89592941603778</v>
      </c>
      <c r="U993" s="54" t="n">
        <f aca="true">RAND()</f>
        <v>0.355091216532353</v>
      </c>
    </row>
    <row r="994" customFormat="false" ht="15" hidden="false" customHeight="false" outlineLevel="0" collapsed="false">
      <c r="A994" s="50" t="n">
        <v>914</v>
      </c>
      <c r="B994" s="51" t="n">
        <f aca="false">1+IF($G$6=$E$6,$F$6,IF(P994&lt;($F$6-$E$6)/($G$6-$E$6),$E$6+SQRT(P994*($G$6-$E$6)*($F$6-$E$6)),$G$6-SQRT((1-P994)*($G$6-$E$6)*($G$6-$F$6))))</f>
        <v>0.974415316865074</v>
      </c>
      <c r="C994" s="51" t="n">
        <f aca="false">1+IF($G$7=$E$7,$F$7,IF(Q994&lt;($F$7-$E$7)/($G$7-$E$7),$E$7+SQRT(Q994*($G$7-$E$7)*($F$7-$E$7)),$G$7-SQRT((1-Q994)*($G$7-$E$7)*($G$7-$F$7))))</f>
        <v>1.03061156101126</v>
      </c>
      <c r="D994" s="51" t="n">
        <f aca="false">1+IF($G$8=$E$8,$F$8,IF(R994&lt;($F$8-$E$8)/($G$8-$E$8),$E$8+SQRT(R994*($G$8-$E$8)*($F$8-$E$8)),$G$8-SQRT((1-R994)*($G$8-$E$8)*($G$8-$F$8))))</f>
        <v>1.02177267328774</v>
      </c>
      <c r="E994" s="51" t="n">
        <f aca="false">1+IF($G$9=$E$9,$F$9,IF(S994&lt;($F$9-$E$9)/($G$9-$E$9),$E$9+SQRT(S994*($G$9-$E$9)*($F$9-$E$9)),$G$9-SQRT((1-S994)*($G$9-$E$9)*($G$9-$F$9))))</f>
        <v>0.968838445279916</v>
      </c>
      <c r="F994" s="51" t="n">
        <f aca="false">1+IF($G$10=$E$10,$F$10,IF(T994&lt;($F$10-$E$10)/($G$10-$E$10),$E$10+SQRT(T994*($G$10-$E$10)*($F$10-$E$10)),$G$10-SQRT((1-T994)*($G$10-$E$10)*($G$10-$F$10))))</f>
        <v>1.00407321226648</v>
      </c>
      <c r="G994" s="52" t="n">
        <f aca="false">IF($G$11=$E$11,$F$11,IF(U994&lt;($F$11-$E$11)/($G$11-$E$11),$E$11+SQRT(U994*($G$11-$E$11)*($F$11-$E$11)),$G$11-SQRT((1-U994)*($G$11-$E$11)*($G$11-$F$11))))</f>
        <v>0.099832858710129</v>
      </c>
      <c r="H994" s="53" t="n">
        <f aca="false">(('Business Case'!B11*$C994*'Business Case'!B12*$B994)-'Business Case'!B11*$C994*'Business Case'!B13*$D994-'Business Case'!B14*$E994)-MAX(0,(('Business Case'!B11*$C994*'Business Case'!B12*$B994)-'Business Case'!B11*$C994*'Business Case'!B13*$D994-'Business Case'!B14*$E994))*'Business Case'!$B$7-'Business Case'!$B$8*('Business Case'!B11*$C994*'Business Case'!B12*$B994)-'Business Case'!B15*$F994</f>
        <v>-2008146424.53295</v>
      </c>
      <c r="I994" s="53" t="n">
        <f aca="false">(('Business Case'!C11*$C994*'Business Case'!C12*$B994)-'Business Case'!C11*$C994*'Business Case'!C13*$D994-'Business Case'!C14*$E994)-MAX(0,(('Business Case'!C11*$C994*'Business Case'!C12*$B994)-'Business Case'!C11*$C994*'Business Case'!C13*$D994-'Business Case'!C14*$E994))*'Business Case'!$B$7-'Business Case'!$B$8*(('Business Case'!C11*$C994*'Business Case'!C12*$B994)-('Business Case'!B11*$C994*'Business Case'!B12*$B994))-'Business Case'!C15*$F994</f>
        <v>-6765982.3823701</v>
      </c>
      <c r="J994" s="53" t="n">
        <f aca="false">(('Business Case'!D11*$C994*'Business Case'!D12*$B994)-'Business Case'!D11*$C994*'Business Case'!D13*$D994-'Business Case'!D14*$E994)-MAX(0,(('Business Case'!D11*$C994*'Business Case'!D12*$B994)-'Business Case'!D11*$C994*'Business Case'!D13*$D994-'Business Case'!D14*$E994))*'Business Case'!$B$7-'Business Case'!$B$8*(('Business Case'!D11*$C994*'Business Case'!D12*$B994)-('Business Case'!C11*$C994*'Business Case'!C12*$B994))-'Business Case'!D15*$F994</f>
        <v>276704176.311141</v>
      </c>
      <c r="K994" s="53" t="n">
        <f aca="false">(('Business Case'!E11*$C994*'Business Case'!E12*$B994)-'Business Case'!E11*$C994*'Business Case'!E13*$D994-'Business Case'!E14*$E994)-MAX(0,(('Business Case'!E11*$C994*'Business Case'!E12*$B994)-'Business Case'!E11*$C994*'Business Case'!E13*$D994-'Business Case'!E14*$E994))*'Business Case'!$B$7-'Business Case'!$B$8*(('Business Case'!E11*$C994*'Business Case'!E12*$B994)-('Business Case'!D11*$C994*'Business Case'!D12*$B994))-'Business Case'!E15*$F994</f>
        <v>610377995.617975</v>
      </c>
      <c r="L994" s="53" t="n">
        <f aca="false">(('Business Case'!F11*$C994*'Business Case'!F12*$B994)-'Business Case'!F11*$C994*'Business Case'!F13*$D994-'Business Case'!F14*$E994)-MAX(0,(('Business Case'!F11*$C994*'Business Case'!F12*$B994)-'Business Case'!F11*$C994*'Business Case'!F13*$D994-'Business Case'!F14*$E994))*'Business Case'!$B$7-'Business Case'!$B$8*(('Business Case'!F11*$C994*'Business Case'!F12*$B994)-('Business Case'!E11*$C994*'Business Case'!E12*$B994))-'Business Case'!F15*$F994</f>
        <v>739574710.469431</v>
      </c>
      <c r="M994" s="53" t="n">
        <f aca="false">(('Business Case'!G11*$C994*'Business Case'!G12*$B994)-'Business Case'!G11*$C994*'Business Case'!G13*$D994-'Business Case'!G14*$E994)-MAX(0,(('Business Case'!G11*$C994*'Business Case'!G12*$B994)-'Business Case'!G11*$C994*'Business Case'!G13*$D994-'Business Case'!G14*$E994))*'Business Case'!$B$7-'Business Case'!$B$8*(('Business Case'!G11*$C994*'Business Case'!G12*$B994)-('Business Case'!F11*$C994*'Business Case'!F12*$B994))-'Business Case'!G15*$F994+'Business Case'!$B$8*('Business Case'!G11*$C994*'Business Case'!G12*$B994)</f>
        <v>930461351.214338</v>
      </c>
      <c r="N994" s="53" t="n">
        <f aca="false">IF(COUNT('Business Case'!B11:G11)=0,"",H994+NPV(G994,I994:M994))</f>
        <v>-243123440.572039</v>
      </c>
      <c r="P994" s="54" t="n">
        <f aca="true">RAND()</f>
        <v>0.308440282242334</v>
      </c>
      <c r="Q994" s="54" t="n">
        <f aca="true">RAND()</f>
        <v>0.728502869253958</v>
      </c>
      <c r="R994" s="54" t="n">
        <f aca="true">RAND()</f>
        <v>0.673997925379235</v>
      </c>
      <c r="S994" s="54" t="n">
        <f aca="true">RAND()</f>
        <v>0.0473182694085857</v>
      </c>
      <c r="T994" s="54" t="n">
        <f aca="true">RAND()</f>
        <v>0.232253876968451</v>
      </c>
      <c r="U994" s="54" t="n">
        <f aca="true">RAND()</f>
        <v>0.322283701377865</v>
      </c>
    </row>
    <row r="995" customFormat="false" ht="15" hidden="false" customHeight="false" outlineLevel="0" collapsed="false">
      <c r="A995" s="50" t="n">
        <v>915</v>
      </c>
      <c r="B995" s="51" t="n">
        <f aca="false">1+IF($G$6=$E$6,$F$6,IF(P995&lt;($F$6-$E$6)/($G$6-$E$6),$E$6+SQRT(P995*($G$6-$E$6)*($F$6-$E$6)),$G$6-SQRT((1-P995)*($G$6-$E$6)*($G$6-$F$6))))</f>
        <v>1.01301401779519</v>
      </c>
      <c r="C995" s="51" t="n">
        <f aca="false">1+IF($G$7=$E$7,$F$7,IF(Q995&lt;($F$7-$E$7)/($G$7-$E$7),$E$7+SQRT(Q995*($G$7-$E$7)*($F$7-$E$7)),$G$7-SQRT((1-Q995)*($G$7-$E$7)*($G$7-$F$7))))</f>
        <v>0.981737437761427</v>
      </c>
      <c r="D995" s="51" t="n">
        <f aca="false">1+IF($G$8=$E$8,$F$8,IF(R995&lt;($F$8-$E$8)/($G$8-$E$8),$E$8+SQRT(R995*($G$8-$E$8)*($F$8-$E$8)),$G$8-SQRT((1-R995)*($G$8-$E$8)*($G$8-$F$8))))</f>
        <v>1.03228111329231</v>
      </c>
      <c r="E995" s="51" t="n">
        <f aca="false">1+IF($G$9=$E$9,$F$9,IF(S995&lt;($F$9-$E$9)/($G$9-$E$9),$E$9+SQRT(S995*($G$9-$E$9)*($F$9-$E$9)),$G$9-SQRT((1-S995)*($G$9-$E$9)*($G$9-$F$9))))</f>
        <v>0.993427368809153</v>
      </c>
      <c r="F995" s="51" t="n">
        <f aca="false">1+IF($G$10=$E$10,$F$10,IF(T995&lt;($F$10-$E$10)/($G$10-$E$10),$E$10+SQRT(T995*($G$10-$E$10)*($F$10-$E$10)),$G$10-SQRT((1-T995)*($G$10-$E$10)*($G$10-$F$10))))</f>
        <v>0.986855798737096</v>
      </c>
      <c r="G995" s="52" t="n">
        <f aca="false">IF($G$11=$E$11,$F$11,IF(U995&lt;($F$11-$E$11)/($G$11-$E$11),$E$11+SQRT(U995*($G$11-$E$11)*($F$11-$E$11)),$G$11-SQRT((1-U995)*($G$11-$E$11)*($G$11-$F$11))))</f>
        <v>0.107487082315034</v>
      </c>
      <c r="H995" s="53" t="n">
        <f aca="false">(('Business Case'!B11*$C995*'Business Case'!B12*$B995)-'Business Case'!B11*$C995*'Business Case'!B13*$D995-'Business Case'!B14*$E995)-MAX(0,(('Business Case'!B11*$C995*'Business Case'!B12*$B995)-'Business Case'!B11*$C995*'Business Case'!B13*$D995-'Business Case'!B14*$E995))*'Business Case'!$B$7-'Business Case'!$B$8*('Business Case'!B11*$C995*'Business Case'!B12*$B995)-'Business Case'!B15*$F995</f>
        <v>-1973711597.47419</v>
      </c>
      <c r="I995" s="53" t="n">
        <f aca="false">(('Business Case'!C11*$C995*'Business Case'!C12*$B995)-'Business Case'!C11*$C995*'Business Case'!C13*$D995-'Business Case'!C14*$E995)-MAX(0,(('Business Case'!C11*$C995*'Business Case'!C12*$B995)-'Business Case'!C11*$C995*'Business Case'!C13*$D995-'Business Case'!C14*$E995))*'Business Case'!$B$7-'Business Case'!$B$8*(('Business Case'!C11*$C995*'Business Case'!C12*$B995)-('Business Case'!B11*$C995*'Business Case'!B12*$B995))-'Business Case'!C15*$F995</f>
        <v>4277268.06333403</v>
      </c>
      <c r="J995" s="53" t="n">
        <f aca="false">(('Business Case'!D11*$C995*'Business Case'!D12*$B995)-'Business Case'!D11*$C995*'Business Case'!D13*$D995-'Business Case'!D14*$E995)-MAX(0,(('Business Case'!D11*$C995*'Business Case'!D12*$B995)-'Business Case'!D11*$C995*'Business Case'!D13*$D995-'Business Case'!D14*$E995))*'Business Case'!$B$7-'Business Case'!$B$8*(('Business Case'!D11*$C995*'Business Case'!D12*$B995)-('Business Case'!C11*$C995*'Business Case'!C12*$B995))-'Business Case'!D15*$F995</f>
        <v>300061082.524066</v>
      </c>
      <c r="K995" s="53" t="n">
        <f aca="false">(('Business Case'!E11*$C995*'Business Case'!E12*$B995)-'Business Case'!E11*$C995*'Business Case'!E13*$D995-'Business Case'!E14*$E995)-MAX(0,(('Business Case'!E11*$C995*'Business Case'!E12*$B995)-'Business Case'!E11*$C995*'Business Case'!E13*$D995-'Business Case'!E14*$E995))*'Business Case'!$B$7-'Business Case'!$B$8*(('Business Case'!E11*$C995*'Business Case'!E12*$B995)-('Business Case'!D11*$C995*'Business Case'!D12*$B995))-'Business Case'!E15*$F995</f>
        <v>645187686.921653</v>
      </c>
      <c r="L995" s="53" t="n">
        <f aca="false">(('Business Case'!F11*$C995*'Business Case'!F12*$B995)-'Business Case'!F11*$C995*'Business Case'!F13*$D995-'Business Case'!F14*$E995)-MAX(0,(('Business Case'!F11*$C995*'Business Case'!F12*$B995)-'Business Case'!F11*$C995*'Business Case'!F13*$D995-'Business Case'!F14*$E995))*'Business Case'!$B$7-'Business Case'!$B$8*(('Business Case'!F11*$C995*'Business Case'!F12*$B995)-('Business Case'!E11*$C995*'Business Case'!E12*$B995))-'Business Case'!F15*$F995</f>
        <v>778152688.194581</v>
      </c>
      <c r="M995" s="53" t="n">
        <f aca="false">(('Business Case'!G11*$C995*'Business Case'!G12*$B995)-'Business Case'!G11*$C995*'Business Case'!G13*$D995-'Business Case'!G14*$E995)-MAX(0,(('Business Case'!G11*$C995*'Business Case'!G12*$B995)-'Business Case'!G11*$C995*'Business Case'!G13*$D995-'Business Case'!G14*$E995))*'Business Case'!$B$7-'Business Case'!$B$8*(('Business Case'!G11*$C995*'Business Case'!G12*$B995)-('Business Case'!F11*$C995*'Business Case'!F12*$B995))-'Business Case'!G15*$F995+'Business Case'!$B$8*('Business Case'!G11*$C995*'Business Case'!G12*$B995)</f>
        <v>967189868.684347</v>
      </c>
      <c r="N995" s="53" t="n">
        <f aca="false">IF(COUNT('Business Case'!B11:G11)=0,"",H995+NPV(G995,I995:M995))</f>
        <v>-152449373.103766</v>
      </c>
      <c r="P995" s="54" t="n">
        <f aca="true">RAND()</f>
        <v>0.848282659258712</v>
      </c>
      <c r="Q995" s="54" t="n">
        <f aca="true">RAND()</f>
        <v>0.471835661201263</v>
      </c>
      <c r="R995" s="54" t="n">
        <f aca="true">RAND()</f>
        <v>0.781048831863326</v>
      </c>
      <c r="S995" s="54" t="n">
        <f aca="true">RAND()</f>
        <v>0.251458181558161</v>
      </c>
      <c r="T995" s="54" t="n">
        <f aca="true">RAND()</f>
        <v>0.108667992043946</v>
      </c>
      <c r="U995" s="54" t="n">
        <f aca="true">RAND()</f>
        <v>0.73904481834878</v>
      </c>
    </row>
    <row r="996" customFormat="false" ht="15" hidden="false" customHeight="false" outlineLevel="0" collapsed="false">
      <c r="A996" s="50" t="n">
        <v>916</v>
      </c>
      <c r="B996" s="51" t="n">
        <f aca="false">1+IF($G$6=$E$6,$F$6,IF(P996&lt;($F$6-$E$6)/($G$6-$E$6),$E$6+SQRT(P996*($G$6-$E$6)*($F$6-$E$6)),$G$6-SQRT((1-P996)*($G$6-$E$6)*($G$6-$F$6))))</f>
        <v>0.956226477022432</v>
      </c>
      <c r="C996" s="51" t="n">
        <f aca="false">1+IF($G$7=$E$7,$F$7,IF(Q996&lt;($F$7-$E$7)/($G$7-$E$7),$E$7+SQRT(Q996*($G$7-$E$7)*($F$7-$E$7)),$G$7-SQRT((1-Q996)*($G$7-$E$7)*($G$7-$F$7))))</f>
        <v>0.942313461105976</v>
      </c>
      <c r="D996" s="51" t="n">
        <f aca="false">1+IF($G$8=$E$8,$F$8,IF(R996&lt;($F$8-$E$8)/($G$8-$E$8),$E$8+SQRT(R996*($G$8-$E$8)*($F$8-$E$8)),$G$8-SQRT((1-R996)*($G$8-$E$8)*($G$8-$F$8))))</f>
        <v>1.03139693745939</v>
      </c>
      <c r="E996" s="51" t="n">
        <f aca="false">1+IF($G$9=$E$9,$F$9,IF(S996&lt;($F$9-$E$9)/($G$9-$E$9),$E$9+SQRT(S996*($G$9-$E$9)*($F$9-$E$9)),$G$9-SQRT((1-S996)*($G$9-$E$9)*($G$9-$F$9))))</f>
        <v>1.01518928499636</v>
      </c>
      <c r="F996" s="51" t="n">
        <f aca="false">1+IF($G$10=$E$10,$F$10,IF(T996&lt;($F$10-$E$10)/($G$10-$E$10),$E$10+SQRT(T996*($G$10-$E$10)*($F$10-$E$10)),$G$10-SQRT((1-T996)*($G$10-$E$10)*($G$10-$F$10))))</f>
        <v>1.07953472083907</v>
      </c>
      <c r="G996" s="52" t="n">
        <f aca="false">IF($G$11=$E$11,$F$11,IF(U996&lt;($F$11-$E$11)/($G$11-$E$11),$E$11+SQRT(U996*($G$11-$E$11)*($F$11-$E$11)),$G$11-SQRT((1-U996)*($G$11-$E$11)*($G$11-$F$11))))</f>
        <v>0.0944090446623958</v>
      </c>
      <c r="H996" s="53" t="n">
        <f aca="false">(('Business Case'!B11*$C996*'Business Case'!B12*$B996)-'Business Case'!B11*$C996*'Business Case'!B13*$D996-'Business Case'!B14*$E996)-MAX(0,(('Business Case'!B11*$C996*'Business Case'!B12*$B996)-'Business Case'!B11*$C996*'Business Case'!B13*$D996-'Business Case'!B14*$E996))*'Business Case'!$B$7-'Business Case'!$B$8*('Business Case'!B11*$C996*'Business Case'!B12*$B996)-'Business Case'!B15*$F996</f>
        <v>-2159069441.67813</v>
      </c>
      <c r="I996" s="53" t="n">
        <f aca="false">(('Business Case'!C11*$C996*'Business Case'!C12*$B996)-'Business Case'!C11*$C996*'Business Case'!C13*$D996-'Business Case'!C14*$E996)-MAX(0,(('Business Case'!C11*$C996*'Business Case'!C12*$B996)-'Business Case'!C11*$C996*'Business Case'!C13*$D996-'Business Case'!C14*$E996))*'Business Case'!$B$7-'Business Case'!$B$8*(('Business Case'!C11*$C996*'Business Case'!C12*$B996)-('Business Case'!B11*$C996*'Business Case'!B12*$B996))-'Business Case'!C15*$F996</f>
        <v>-58522071.6918652</v>
      </c>
      <c r="J996" s="53" t="n">
        <f aca="false">(('Business Case'!D11*$C996*'Business Case'!D12*$B996)-'Business Case'!D11*$C996*'Business Case'!D13*$D996-'Business Case'!D14*$E996)-MAX(0,(('Business Case'!D11*$C996*'Business Case'!D12*$B996)-'Business Case'!D11*$C996*'Business Case'!D13*$D996-'Business Case'!D14*$E996))*'Business Case'!$B$7-'Business Case'!$B$8*(('Business Case'!D11*$C996*'Business Case'!D12*$B996)-('Business Case'!C11*$C996*'Business Case'!C12*$B996))-'Business Case'!D15*$F996</f>
        <v>181980458.834209</v>
      </c>
      <c r="K996" s="53" t="n">
        <f aca="false">(('Business Case'!E11*$C996*'Business Case'!E12*$B996)-'Business Case'!E11*$C996*'Business Case'!E13*$D996-'Business Case'!E14*$E996)-MAX(0,(('Business Case'!E11*$C996*'Business Case'!E12*$B996)-'Business Case'!E11*$C996*'Business Case'!E13*$D996-'Business Case'!E14*$E996))*'Business Case'!$B$7-'Business Case'!$B$8*(('Business Case'!E11*$C996*'Business Case'!E12*$B996)-('Business Case'!D11*$C996*'Business Case'!D12*$B996))-'Business Case'!E15*$F996</f>
        <v>476459725.402237</v>
      </c>
      <c r="L996" s="53" t="n">
        <f aca="false">(('Business Case'!F11*$C996*'Business Case'!F12*$B996)-'Business Case'!F11*$C996*'Business Case'!F13*$D996-'Business Case'!F14*$E996)-MAX(0,(('Business Case'!F11*$C996*'Business Case'!F12*$B996)-'Business Case'!F11*$C996*'Business Case'!F13*$D996-'Business Case'!F14*$E996))*'Business Case'!$B$7-'Business Case'!$B$8*(('Business Case'!F11*$C996*'Business Case'!F12*$B996)-('Business Case'!E11*$C996*'Business Case'!E12*$B996))-'Business Case'!F15*$F996</f>
        <v>587768044.782629</v>
      </c>
      <c r="M996" s="53" t="n">
        <f aca="false">(('Business Case'!G11*$C996*'Business Case'!G12*$B996)-'Business Case'!G11*$C996*'Business Case'!G13*$D996-'Business Case'!G14*$E996)-MAX(0,(('Business Case'!G11*$C996*'Business Case'!G12*$B996)-'Business Case'!G11*$C996*'Business Case'!G13*$D996-'Business Case'!G14*$E996))*'Business Case'!$B$7-'Business Case'!$B$8*(('Business Case'!G11*$C996*'Business Case'!G12*$B996)-('Business Case'!F11*$C996*'Business Case'!F12*$B996))-'Business Case'!G15*$F996+'Business Case'!$B$8*('Business Case'!G11*$C996*'Business Case'!G12*$B996)</f>
        <v>759042495.410316</v>
      </c>
      <c r="N996" s="53" t="n">
        <f aca="false">IF(COUNT('Business Case'!B11:G11)=0,"",H996+NPV(G996,I996:M996))</f>
        <v>-803931799.184097</v>
      </c>
      <c r="P996" s="54" t="n">
        <f aca="true">RAND()</f>
        <v>0.136703920568412</v>
      </c>
      <c r="Q996" s="54" t="n">
        <f aca="true">RAND()</f>
        <v>0.289330303028029</v>
      </c>
      <c r="R996" s="54" t="n">
        <f aca="true">RAND()</f>
        <v>0.772859837660889</v>
      </c>
      <c r="S996" s="54" t="n">
        <f aca="true">RAND()</f>
        <v>0.520476174704706</v>
      </c>
      <c r="T996" s="54" t="n">
        <f aca="true">RAND()</f>
        <v>0.709762330333564</v>
      </c>
      <c r="U996" s="54" t="n">
        <f aca="true">RAND()</f>
        <v>0.0647989161166705</v>
      </c>
    </row>
    <row r="997" customFormat="false" ht="15" hidden="false" customHeight="false" outlineLevel="0" collapsed="false">
      <c r="A997" s="50" t="n">
        <v>917</v>
      </c>
      <c r="B997" s="51" t="n">
        <f aca="false">1+IF($G$6=$E$6,$F$6,IF(P997&lt;($F$6-$E$6)/($G$6-$E$6),$E$6+SQRT(P997*($G$6-$E$6)*($F$6-$E$6)),$G$6-SQRT((1-P997)*($G$6-$E$6)*($G$6-$F$6))))</f>
        <v>1.01663920859495</v>
      </c>
      <c r="C997" s="51" t="n">
        <f aca="false">1+IF($G$7=$E$7,$F$7,IF(Q997&lt;($F$7-$E$7)/($G$7-$E$7),$E$7+SQRT(Q997*($G$7-$E$7)*($F$7-$E$7)),$G$7-SQRT((1-Q997)*($G$7-$E$7)*($G$7-$F$7))))</f>
        <v>1.02999440126085</v>
      </c>
      <c r="D997" s="51" t="n">
        <f aca="false">1+IF($G$8=$E$8,$F$8,IF(R997&lt;($F$8-$E$8)/($G$8-$E$8),$E$8+SQRT(R997*($G$8-$E$8)*($F$8-$E$8)),$G$8-SQRT((1-R997)*($G$8-$E$8)*($G$8-$F$8))))</f>
        <v>1.0327153125099</v>
      </c>
      <c r="E997" s="51" t="n">
        <f aca="false">1+IF($G$9=$E$9,$F$9,IF(S997&lt;($F$9-$E$9)/($G$9-$E$9),$E$9+SQRT(S997*($G$9-$E$9)*($F$9-$E$9)),$G$9-SQRT((1-S997)*($G$9-$E$9)*($G$9-$F$9))))</f>
        <v>1.02565469860306</v>
      </c>
      <c r="F997" s="51" t="n">
        <f aca="false">1+IF($G$10=$E$10,$F$10,IF(T997&lt;($F$10-$E$10)/($G$10-$E$10),$E$10+SQRT(T997*($G$10-$E$10)*($F$10-$E$10)),$G$10-SQRT((1-T997)*($G$10-$E$10)*($G$10-$F$10))))</f>
        <v>1.05178437260839</v>
      </c>
      <c r="G997" s="52" t="n">
        <f aca="false">IF($G$11=$E$11,$F$11,IF(U997&lt;($F$11-$E$11)/($G$11-$E$11),$E$11+SQRT(U997*($G$11-$E$11)*($F$11-$E$11)),$G$11-SQRT((1-U997)*($G$11-$E$11)*($G$11-$F$11))))</f>
        <v>0.0966112854452575</v>
      </c>
      <c r="H997" s="53" t="n">
        <f aca="false">(('Business Case'!B11*$C997*'Business Case'!B12*$B997)-'Business Case'!B11*$C997*'Business Case'!B13*$D997-'Business Case'!B14*$E997)-MAX(0,(('Business Case'!B11*$C997*'Business Case'!B12*$B997)-'Business Case'!B11*$C997*'Business Case'!B13*$D997-'Business Case'!B14*$E997))*'Business Case'!$B$7-'Business Case'!$B$8*('Business Case'!B11*$C997*'Business Case'!B12*$B997)-'Business Case'!B15*$F997</f>
        <v>-2103568745.21679</v>
      </c>
      <c r="I997" s="53" t="n">
        <f aca="false">(('Business Case'!C11*$C997*'Business Case'!C12*$B997)-'Business Case'!C11*$C997*'Business Case'!C13*$D997-'Business Case'!C14*$E997)-MAX(0,(('Business Case'!C11*$C997*'Business Case'!C12*$B997)-'Business Case'!C11*$C997*'Business Case'!C13*$D997-'Business Case'!C14*$E997))*'Business Case'!$B$7-'Business Case'!$B$8*(('Business Case'!C11*$C997*'Business Case'!C12*$B997)-('Business Case'!B11*$C997*'Business Case'!B12*$B997))-'Business Case'!C15*$F997</f>
        <v>7842483.28774817</v>
      </c>
      <c r="J997" s="53" t="n">
        <f aca="false">(('Business Case'!D11*$C997*'Business Case'!D12*$B997)-'Business Case'!D11*$C997*'Business Case'!D13*$D997-'Business Case'!D14*$E997)-MAX(0,(('Business Case'!D11*$C997*'Business Case'!D12*$B997)-'Business Case'!D11*$C997*'Business Case'!D13*$D997-'Business Case'!D14*$E997))*'Business Case'!$B$7-'Business Case'!$B$8*(('Business Case'!D11*$C997*'Business Case'!D12*$B997)-('Business Case'!C11*$C997*'Business Case'!C12*$B997))-'Business Case'!D15*$F997</f>
        <v>320994860.780482</v>
      </c>
      <c r="K997" s="53" t="n">
        <f aca="false">(('Business Case'!E11*$C997*'Business Case'!E12*$B997)-'Business Case'!E11*$C997*'Business Case'!E13*$D997-'Business Case'!E14*$E997)-MAX(0,(('Business Case'!E11*$C997*'Business Case'!E12*$B997)-'Business Case'!E11*$C997*'Business Case'!E13*$D997-'Business Case'!E14*$E997))*'Business Case'!$B$7-'Business Case'!$B$8*(('Business Case'!E11*$C997*'Business Case'!E12*$B997)-('Business Case'!D11*$C997*'Business Case'!D12*$B997))-'Business Case'!E15*$F997</f>
        <v>686736456.903635</v>
      </c>
      <c r="L997" s="53" t="n">
        <f aca="false">(('Business Case'!F11*$C997*'Business Case'!F12*$B997)-'Business Case'!F11*$C997*'Business Case'!F13*$D997-'Business Case'!F14*$E997)-MAX(0,(('Business Case'!F11*$C997*'Business Case'!F12*$B997)-'Business Case'!F11*$C997*'Business Case'!F13*$D997-'Business Case'!F14*$E997))*'Business Case'!$B$7-'Business Case'!$B$8*(('Business Case'!F11*$C997*'Business Case'!F12*$B997)-('Business Case'!E11*$C997*'Business Case'!E12*$B997))-'Business Case'!F15*$F997</f>
        <v>827309488.603073</v>
      </c>
      <c r="M997" s="53" t="n">
        <f aca="false">(('Business Case'!G11*$C997*'Business Case'!G12*$B997)-'Business Case'!G11*$C997*'Business Case'!G13*$D997-'Business Case'!G14*$E997)-MAX(0,(('Business Case'!G11*$C997*'Business Case'!G12*$B997)-'Business Case'!G11*$C997*'Business Case'!G13*$D997-'Business Case'!G14*$E997))*'Business Case'!$B$7-'Business Case'!$B$8*(('Business Case'!G11*$C997*'Business Case'!G12*$B997)-('Business Case'!F11*$C997*'Business Case'!F12*$B997))-'Business Case'!G15*$F997+'Business Case'!$B$8*('Business Case'!G11*$C997*'Business Case'!G12*$B997)</f>
        <v>1026348470.87997</v>
      </c>
      <c r="N997" s="53" t="n">
        <f aca="false">IF(COUNT('Business Case'!B11:G11)=0,"",H997+NPV(G997,I997:M997))</f>
        <v>-89467105.3617053</v>
      </c>
      <c r="P997" s="54" t="n">
        <f aca="true">RAND()</f>
        <v>0.886306963527013</v>
      </c>
      <c r="Q997" s="54" t="n">
        <f aca="true">RAND()</f>
        <v>0.725688690881096</v>
      </c>
      <c r="R997" s="54" t="n">
        <f aca="true">RAND()</f>
        <v>0.785015223938774</v>
      </c>
      <c r="S997" s="54" t="n">
        <f aca="true">RAND()</f>
        <v>0.631518410679925</v>
      </c>
      <c r="T997" s="54" t="n">
        <f aca="true">RAND()</f>
        <v>0.560642555938249</v>
      </c>
      <c r="U997" s="54" t="n">
        <f aca="true">RAND()</f>
        <v>0.145696984128913</v>
      </c>
    </row>
    <row r="998" customFormat="false" ht="15" hidden="false" customHeight="false" outlineLevel="0" collapsed="false">
      <c r="A998" s="50" t="n">
        <v>918</v>
      </c>
      <c r="B998" s="51" t="n">
        <f aca="false">1+IF($G$6=$E$6,$F$6,IF(P998&lt;($F$6-$E$6)/($G$6-$E$6),$E$6+SQRT(P998*($G$6-$E$6)*($F$6-$E$6)),$G$6-SQRT((1-P998)*($G$6-$E$6)*($G$6-$F$6))))</f>
        <v>1.00611300265754</v>
      </c>
      <c r="C998" s="51" t="n">
        <f aca="false">1+IF($G$7=$E$7,$F$7,IF(Q998&lt;($F$7-$E$7)/($G$7-$E$7),$E$7+SQRT(Q998*($G$7-$E$7)*($F$7-$E$7)),$G$7-SQRT((1-Q998)*($G$7-$E$7)*($G$7-$F$7))))</f>
        <v>1.09395505116649</v>
      </c>
      <c r="D998" s="51" t="n">
        <f aca="false">1+IF($G$8=$E$8,$F$8,IF(R998&lt;($F$8-$E$8)/($G$8-$E$8),$E$8+SQRT(R998*($G$8-$E$8)*($F$8-$E$8)),$G$8-SQRT((1-R998)*($G$8-$E$8)*($G$8-$F$8))))</f>
        <v>0.988461177383572</v>
      </c>
      <c r="E998" s="51" t="n">
        <f aca="false">1+IF($G$9=$E$9,$F$9,IF(S998&lt;($F$9-$E$9)/($G$9-$E$9),$E$9+SQRT(S998*($G$9-$E$9)*($F$9-$E$9)),$G$9-SQRT((1-S998)*($G$9-$E$9)*($G$9-$F$9))))</f>
        <v>1.00294583870324</v>
      </c>
      <c r="F998" s="51" t="n">
        <f aca="false">1+IF($G$10=$E$10,$F$10,IF(T998&lt;($F$10-$E$10)/($G$10-$E$10),$E$10+SQRT(T998*($G$10-$E$10)*($F$10-$E$10)),$G$10-SQRT((1-T998)*($G$10-$E$10)*($G$10-$F$10))))</f>
        <v>0.970318802789897</v>
      </c>
      <c r="G998" s="52" t="n">
        <f aca="false">IF($G$11=$E$11,$F$11,IF(U998&lt;($F$11-$E$11)/($G$11-$E$11),$E$11+SQRT(U998*($G$11-$E$11)*($F$11-$E$11)),$G$11-SQRT((1-U998)*($G$11-$E$11)*($G$11-$F$11))))</f>
        <v>0.10160122148181</v>
      </c>
      <c r="H998" s="53" t="n">
        <f aca="false">(('Business Case'!B11*$C998*'Business Case'!B12*$B998)-'Business Case'!B11*$C998*'Business Case'!B13*$D998-'Business Case'!B14*$E998)-MAX(0,(('Business Case'!B11*$C998*'Business Case'!B12*$B998)-'Business Case'!B11*$C998*'Business Case'!B13*$D998-'Business Case'!B14*$E998))*'Business Case'!$B$7-'Business Case'!$B$8*('Business Case'!B11*$C998*'Business Case'!B12*$B998)-'Business Case'!B15*$F998</f>
        <v>-1940637605.57979</v>
      </c>
      <c r="I998" s="53" t="n">
        <f aca="false">(('Business Case'!C11*$C998*'Business Case'!C12*$B998)-'Business Case'!C11*$C998*'Business Case'!C13*$D998-'Business Case'!C14*$E998)-MAX(0,(('Business Case'!C11*$C998*'Business Case'!C12*$B998)-'Business Case'!C11*$C998*'Business Case'!C13*$D998-'Business Case'!C14*$E998))*'Business Case'!$B$7-'Business Case'!$B$8*(('Business Case'!C11*$C998*'Business Case'!C12*$B998)-('Business Case'!B11*$C998*'Business Case'!B12*$B998))-'Business Case'!C15*$F998</f>
        <v>51241764.7456531</v>
      </c>
      <c r="J998" s="53" t="n">
        <f aca="false">(('Business Case'!D11*$C998*'Business Case'!D12*$B998)-'Business Case'!D11*$C998*'Business Case'!D13*$D998-'Business Case'!D14*$E998)-MAX(0,(('Business Case'!D11*$C998*'Business Case'!D12*$B998)-'Business Case'!D11*$C998*'Business Case'!D13*$D998-'Business Case'!D14*$E998))*'Business Case'!$B$7-'Business Case'!$B$8*(('Business Case'!D11*$C998*'Business Case'!D12*$B998)-('Business Case'!C11*$C998*'Business Case'!C12*$B998))-'Business Case'!D15*$F998</f>
        <v>399191610.117367</v>
      </c>
      <c r="K998" s="53" t="n">
        <f aca="false">(('Business Case'!E11*$C998*'Business Case'!E12*$B998)-'Business Case'!E11*$C998*'Business Case'!E13*$D998-'Business Case'!E14*$E998)-MAX(0,(('Business Case'!E11*$C998*'Business Case'!E12*$B998)-'Business Case'!E11*$C998*'Business Case'!E13*$D998-'Business Case'!E14*$E998))*'Business Case'!$B$7-'Business Case'!$B$8*(('Business Case'!E11*$C998*'Business Case'!E12*$B998)-('Business Case'!D11*$C998*'Business Case'!D12*$B998))-'Business Case'!E15*$F998</f>
        <v>795657395.628575</v>
      </c>
      <c r="L998" s="53" t="n">
        <f aca="false">(('Business Case'!F11*$C998*'Business Case'!F12*$B998)-'Business Case'!F11*$C998*'Business Case'!F13*$D998-'Business Case'!F14*$E998)-MAX(0,(('Business Case'!F11*$C998*'Business Case'!F12*$B998)-'Business Case'!F11*$C998*'Business Case'!F13*$D998-'Business Case'!F14*$E998))*'Business Case'!$B$7-'Business Case'!$B$8*(('Business Case'!F11*$C998*'Business Case'!F12*$B998)-('Business Case'!E11*$C998*'Business Case'!E12*$B998))-'Business Case'!F15*$F998</f>
        <v>949678878.808126</v>
      </c>
      <c r="M998" s="53" t="n">
        <f aca="false">(('Business Case'!G11*$C998*'Business Case'!G12*$B998)-'Business Case'!G11*$C998*'Business Case'!G13*$D998-'Business Case'!G14*$E998)-MAX(0,(('Business Case'!G11*$C998*'Business Case'!G12*$B998)-'Business Case'!G11*$C998*'Business Case'!G13*$D998-'Business Case'!G14*$E998))*'Business Case'!$B$7-'Business Case'!$B$8*(('Business Case'!G11*$C998*'Business Case'!G12*$B998)-('Business Case'!F11*$C998*'Business Case'!F12*$B998))-'Business Case'!G15*$F998+'Business Case'!$B$8*('Business Case'!G11*$C998*'Business Case'!G12*$B998)</f>
        <v>1158888986.44751</v>
      </c>
      <c r="N998" s="53" t="n">
        <f aca="false">IF(COUNT('Business Case'!B11:G11)=0,"",H998+NPV(G998,I998:M998))</f>
        <v>389261112.514653</v>
      </c>
      <c r="P998" s="54" t="n">
        <f aca="true">RAND()</f>
        <v>0.760764877314961</v>
      </c>
      <c r="Q998" s="54" t="n">
        <f aca="true">RAND()</f>
        <v>0.940170737338087</v>
      </c>
      <c r="R998" s="54" t="n">
        <f aca="true">RAND()</f>
        <v>0.227578794727782</v>
      </c>
      <c r="S998" s="54" t="n">
        <f aca="true">RAND()</f>
        <v>0.372032651665557</v>
      </c>
      <c r="T998" s="54" t="n">
        <f aca="true">RAND()</f>
        <v>0.0330282997451789</v>
      </c>
      <c r="U998" s="54" t="n">
        <f aca="true">RAND()</f>
        <v>0.435808248397646</v>
      </c>
    </row>
    <row r="999" customFormat="false" ht="15" hidden="false" customHeight="false" outlineLevel="0" collapsed="false">
      <c r="A999" s="50" t="n">
        <v>919</v>
      </c>
      <c r="B999" s="51" t="n">
        <f aca="false">1+IF($G$6=$E$6,$F$6,IF(P999&lt;($F$6-$E$6)/($G$6-$E$6),$E$6+SQRT(P999*($G$6-$E$6)*($F$6-$E$6)),$G$6-SQRT((1-P999)*($G$6-$E$6)*($G$6-$F$6))))</f>
        <v>0.982595845241077</v>
      </c>
      <c r="C999" s="51" t="n">
        <f aca="false">1+IF($G$7=$E$7,$F$7,IF(Q999&lt;($F$7-$E$7)/($G$7-$E$7),$E$7+SQRT(Q999*($G$7-$E$7)*($F$7-$E$7)),$G$7-SQRT((1-Q999)*($G$7-$E$7)*($G$7-$F$7))))</f>
        <v>0.995106334149513</v>
      </c>
      <c r="D999" s="51" t="n">
        <f aca="false">1+IF($G$8=$E$8,$F$8,IF(R999&lt;($F$8-$E$8)/($G$8-$E$8),$E$8+SQRT(R999*($G$8-$E$8)*($F$8-$E$8)),$G$8-SQRT((1-R999)*($G$8-$E$8)*($G$8-$F$8))))</f>
        <v>0.992941817084397</v>
      </c>
      <c r="E999" s="51" t="n">
        <f aca="false">1+IF($G$9=$E$9,$F$9,IF(S999&lt;($F$9-$E$9)/($G$9-$E$9),$E$9+SQRT(S999*($G$9-$E$9)*($F$9-$E$9)),$G$9-SQRT((1-S999)*($G$9-$E$9)*($G$9-$F$9))))</f>
        <v>1.015032079821</v>
      </c>
      <c r="F999" s="51" t="n">
        <f aca="false">1+IF($G$10=$E$10,$F$10,IF(T999&lt;($F$10-$E$10)/($G$10-$E$10),$E$10+SQRT(T999*($G$10-$E$10)*($F$10-$E$10)),$G$10-SQRT((1-T999)*($G$10-$E$10)*($G$10-$F$10))))</f>
        <v>0.982855031205142</v>
      </c>
      <c r="G999" s="52" t="n">
        <f aca="false">IF($G$11=$E$11,$F$11,IF(U999&lt;($F$11-$E$11)/($G$11-$E$11),$E$11+SQRT(U999*($G$11-$E$11)*($F$11-$E$11)),$G$11-SQRT((1-U999)*($G$11-$E$11)*($G$11-$F$11))))</f>
        <v>0.0986448807820872</v>
      </c>
      <c r="H999" s="53" t="n">
        <f aca="false">(('Business Case'!B11*$C999*'Business Case'!B12*$B999)-'Business Case'!B11*$C999*'Business Case'!B13*$D999-'Business Case'!B14*$E999)-MAX(0,(('Business Case'!B11*$C999*'Business Case'!B12*$B999)-'Business Case'!B11*$C999*'Business Case'!B13*$D999-'Business Case'!B14*$E999))*'Business Case'!$B$7-'Business Case'!$B$8*('Business Case'!B11*$C999*'Business Case'!B12*$B999)-'Business Case'!B15*$F999</f>
        <v>-1965710062.41028</v>
      </c>
      <c r="I999" s="53" t="n">
        <f aca="false">(('Business Case'!C11*$C999*'Business Case'!C12*$B999)-'Business Case'!C11*$C999*'Business Case'!C13*$D999-'Business Case'!C14*$E999)-MAX(0,(('Business Case'!C11*$C999*'Business Case'!C12*$B999)-'Business Case'!C11*$C999*'Business Case'!C13*$D999-'Business Case'!C14*$E999))*'Business Case'!$B$7-'Business Case'!$B$8*(('Business Case'!C11*$C999*'Business Case'!C12*$B999)-('Business Case'!B11*$C999*'Business Case'!B12*$B999))-'Business Case'!C15*$F999</f>
        <v>1747387.37151375</v>
      </c>
      <c r="J999" s="53" t="n">
        <f aca="false">(('Business Case'!D11*$C999*'Business Case'!D12*$B999)-'Business Case'!D11*$C999*'Business Case'!D13*$D999-'Business Case'!D14*$E999)-MAX(0,(('Business Case'!D11*$C999*'Business Case'!D12*$B999)-'Business Case'!D11*$C999*'Business Case'!D13*$D999-'Business Case'!D14*$E999))*'Business Case'!$B$7-'Business Case'!$B$8*(('Business Case'!D11*$C999*'Business Case'!D12*$B999)-('Business Case'!C11*$C999*'Business Case'!C12*$B999))-'Business Case'!D15*$F999</f>
        <v>296806335.812603</v>
      </c>
      <c r="K999" s="53" t="n">
        <f aca="false">(('Business Case'!E11*$C999*'Business Case'!E12*$B999)-'Business Case'!E11*$C999*'Business Case'!E13*$D999-'Business Case'!E14*$E999)-MAX(0,(('Business Case'!E11*$C999*'Business Case'!E12*$B999)-'Business Case'!E11*$C999*'Business Case'!E13*$D999-'Business Case'!E14*$E999))*'Business Case'!$B$7-'Business Case'!$B$8*(('Business Case'!E11*$C999*'Business Case'!E12*$B999)-('Business Case'!D11*$C999*'Business Case'!D12*$B999))-'Business Case'!E15*$F999</f>
        <v>641008035.81395</v>
      </c>
      <c r="L999" s="53" t="n">
        <f aca="false">(('Business Case'!F11*$C999*'Business Case'!F12*$B999)-'Business Case'!F11*$C999*'Business Case'!F13*$D999-'Business Case'!F14*$E999)-MAX(0,(('Business Case'!F11*$C999*'Business Case'!F12*$B999)-'Business Case'!F11*$C999*'Business Case'!F13*$D999-'Business Case'!F14*$E999))*'Business Case'!$B$7-'Business Case'!$B$8*(('Business Case'!F11*$C999*'Business Case'!F12*$B999)-('Business Case'!E11*$C999*'Business Case'!E12*$B999))-'Business Case'!F15*$F999</f>
        <v>773153349.426657</v>
      </c>
      <c r="M999" s="53" t="n">
        <f aca="false">(('Business Case'!G11*$C999*'Business Case'!G12*$B999)-'Business Case'!G11*$C999*'Business Case'!G13*$D999-'Business Case'!G14*$E999)-MAX(0,(('Business Case'!G11*$C999*'Business Case'!G12*$B999)-'Business Case'!G11*$C999*'Business Case'!G13*$D999-'Business Case'!G14*$E999))*'Business Case'!$B$7-'Business Case'!$B$8*(('Business Case'!G11*$C999*'Business Case'!G12*$B999)-('Business Case'!F11*$C999*'Business Case'!F12*$B999))-'Business Case'!G15*$F999+'Business Case'!$B$8*('Business Case'!G11*$C999*'Business Case'!G12*$B999)</f>
        <v>959011168.821212</v>
      </c>
      <c r="N999" s="53" t="n">
        <f aca="false">IF(COUNT('Business Case'!B11:G11)=0,"",H999+NPV(G999,I999:M999))</f>
        <v>-105000158.994389</v>
      </c>
      <c r="P999" s="54" t="n">
        <f aca="true">RAND()</f>
        <v>0.40814998348384</v>
      </c>
      <c r="Q999" s="54" t="n">
        <f aca="true">RAND()</f>
        <v>0.543806880360879</v>
      </c>
      <c r="R999" s="54" t="n">
        <f aca="true">RAND()</f>
        <v>0.283692254539969</v>
      </c>
      <c r="S999" s="54" t="n">
        <f aca="true">RAND()</f>
        <v>0.518696836030379</v>
      </c>
      <c r="T999" s="54" t="n">
        <f aca="true">RAND()</f>
        <v>0.0863562460392705</v>
      </c>
      <c r="U999" s="54" t="n">
        <f aca="true">RAND()</f>
        <v>0.249113212455003</v>
      </c>
    </row>
    <row r="1000" customFormat="false" ht="15" hidden="false" customHeight="false" outlineLevel="0" collapsed="false">
      <c r="A1000" s="50" t="n">
        <v>920</v>
      </c>
      <c r="B1000" s="51" t="n">
        <f aca="false">1+IF($G$6=$E$6,$F$6,IF(P1000&lt;($F$6-$E$6)/($G$6-$E$6),$E$6+SQRT(P1000*($G$6-$E$6)*($F$6-$E$6)),$G$6-SQRT((1-P1000)*($G$6-$E$6)*($G$6-$F$6))))</f>
        <v>1.03335282708045</v>
      </c>
      <c r="C1000" s="51" t="n">
        <f aca="false">1+IF($G$7=$E$7,$F$7,IF(Q1000&lt;($F$7-$E$7)/($G$7-$E$7),$E$7+SQRT(Q1000*($G$7-$E$7)*($F$7-$E$7)),$G$7-SQRT((1-Q1000)*($G$7-$E$7)*($G$7-$F$7))))</f>
        <v>0.93135677721234</v>
      </c>
      <c r="D1000" s="51" t="n">
        <f aca="false">1+IF($G$8=$E$8,$F$8,IF(R1000&lt;($F$8-$E$8)/($G$8-$E$8),$E$8+SQRT(R1000*($G$8-$E$8)*($F$8-$E$8)),$G$8-SQRT((1-R1000)*($G$8-$E$8)*($G$8-$F$8))))</f>
        <v>0.992113746085893</v>
      </c>
      <c r="E1000" s="51" t="n">
        <f aca="false">1+IF($G$9=$E$9,$F$9,IF(S1000&lt;($F$9-$E$9)/($G$9-$E$9),$E$9+SQRT(S1000*($G$9-$E$9)*($F$9-$E$9)),$G$9-SQRT((1-S1000)*($G$9-$E$9)*($G$9-$F$9))))</f>
        <v>0.980065777659184</v>
      </c>
      <c r="F1000" s="51" t="n">
        <f aca="false">1+IF($G$10=$E$10,$F$10,IF(T1000&lt;($F$10-$E$10)/($G$10-$E$10),$E$10+SQRT(T1000*($G$10-$E$10)*($F$10-$E$10)),$G$10-SQRT((1-T1000)*($G$10-$E$10)*($G$10-$F$10))))</f>
        <v>1.00051717829631</v>
      </c>
      <c r="G1000" s="52" t="n">
        <f aca="false">IF($G$11=$E$11,$F$11,IF(U1000&lt;($F$11-$E$11)/($G$11-$E$11),$E$11+SQRT(U1000*($G$11-$E$11)*($F$11-$E$11)),$G$11-SQRT((1-U1000)*($G$11-$E$11)*($G$11-$F$11))))</f>
        <v>0.104594241235391</v>
      </c>
      <c r="H1000" s="53" t="n">
        <f aca="false">(('Business Case'!B11*$C1000*'Business Case'!B12*$B1000)-'Business Case'!B11*$C1000*'Business Case'!B13*$D1000-'Business Case'!B14*$E1000)-MAX(0,(('Business Case'!B11*$C1000*'Business Case'!B12*$B1000)-'Business Case'!B11*$C1000*'Business Case'!B13*$D1000-'Business Case'!B14*$E1000))*'Business Case'!$B$7-'Business Case'!$B$8*('Business Case'!B11*$C1000*'Business Case'!B12*$B1000)-'Business Case'!B15*$F1000</f>
        <v>-2001034356.59261</v>
      </c>
      <c r="I1000" s="53" t="n">
        <f aca="false">(('Business Case'!C11*$C1000*'Business Case'!C12*$B1000)-'Business Case'!C11*$C1000*'Business Case'!C13*$D1000-'Business Case'!C14*$E1000)-MAX(0,(('Business Case'!C11*$C1000*'Business Case'!C12*$B1000)-'Business Case'!C11*$C1000*'Business Case'!C13*$D1000-'Business Case'!C14*$E1000))*'Business Case'!$B$7-'Business Case'!$B$8*(('Business Case'!C11*$C1000*'Business Case'!C12*$B1000)-('Business Case'!B11*$C1000*'Business Case'!B12*$B1000))-'Business Case'!C15*$F1000</f>
        <v>25962319.8509396</v>
      </c>
      <c r="J1000" s="53" t="n">
        <f aca="false">(('Business Case'!D11*$C1000*'Business Case'!D12*$B1000)-'Business Case'!D11*$C1000*'Business Case'!D13*$D1000-'Business Case'!D14*$E1000)-MAX(0,(('Business Case'!D11*$C1000*'Business Case'!D12*$B1000)-'Business Case'!D11*$C1000*'Business Case'!D13*$D1000-'Business Case'!D14*$E1000))*'Business Case'!$B$7-'Business Case'!$B$8*(('Business Case'!D11*$C1000*'Business Case'!D12*$B1000)-('Business Case'!C11*$C1000*'Business Case'!C12*$B1000))-'Business Case'!D15*$F1000</f>
        <v>341233572.144397</v>
      </c>
      <c r="K1000" s="53" t="n">
        <f aca="false">(('Business Case'!E11*$C1000*'Business Case'!E12*$B1000)-'Business Case'!E11*$C1000*'Business Case'!E13*$D1000-'Business Case'!E14*$E1000)-MAX(0,(('Business Case'!E11*$C1000*'Business Case'!E12*$B1000)-'Business Case'!E11*$C1000*'Business Case'!E13*$D1000-'Business Case'!E14*$E1000))*'Business Case'!$B$7-'Business Case'!$B$8*(('Business Case'!E11*$C1000*'Business Case'!E12*$B1000)-('Business Case'!D11*$C1000*'Business Case'!D12*$B1000))-'Business Case'!E15*$F1000</f>
        <v>706530683.352669</v>
      </c>
      <c r="L1000" s="53" t="n">
        <f aca="false">(('Business Case'!F11*$C1000*'Business Case'!F12*$B1000)-'Business Case'!F11*$C1000*'Business Case'!F13*$D1000-'Business Case'!F14*$E1000)-MAX(0,(('Business Case'!F11*$C1000*'Business Case'!F12*$B1000)-'Business Case'!F11*$C1000*'Business Case'!F13*$D1000-'Business Case'!F14*$E1000))*'Business Case'!$B$7-'Business Case'!$B$8*(('Business Case'!F11*$C1000*'Business Case'!F12*$B1000)-('Business Case'!E11*$C1000*'Business Case'!E12*$B1000))-'Business Case'!F15*$F1000</f>
        <v>844882341.470322</v>
      </c>
      <c r="M1000" s="53" t="n">
        <f aca="false">(('Business Case'!G11*$C1000*'Business Case'!G12*$B1000)-'Business Case'!G11*$C1000*'Business Case'!G13*$D1000-'Business Case'!G14*$E1000)-MAX(0,(('Business Case'!G11*$C1000*'Business Case'!G12*$B1000)-'Business Case'!G11*$C1000*'Business Case'!G13*$D1000-'Business Case'!G14*$E1000))*'Business Case'!$B$7-'Business Case'!$B$8*(('Business Case'!G11*$C1000*'Business Case'!G12*$B1000)-('Business Case'!F11*$C1000*'Business Case'!F12*$B1000))-'Business Case'!G15*$F1000+'Business Case'!$B$8*('Business Case'!G11*$C1000*'Business Case'!G12*$B1000)</f>
        <v>1027819165.24607</v>
      </c>
      <c r="N1000" s="53" t="n">
        <f aca="false">IF(COUNT('Business Case'!B11:G11)=0,"",H1000+NPV(G1000,I1000:M1000))</f>
        <v>18928818.9041066</v>
      </c>
      <c r="P1000" s="54" t="n">
        <f aca="true">RAND()</f>
        <v>0.990794810870337</v>
      </c>
      <c r="Q1000" s="54" t="n">
        <f aca="true">RAND()</f>
        <v>0.246494327423035</v>
      </c>
      <c r="R1000" s="54" t="n">
        <f aca="true">RAND()</f>
        <v>0.272856555290315</v>
      </c>
      <c r="S1000" s="54" t="n">
        <f aca="true">RAND()</f>
        <v>0.120526798166867</v>
      </c>
      <c r="T1000" s="54" t="n">
        <f aca="true">RAND()</f>
        <v>0.204132076902647</v>
      </c>
      <c r="U1000" s="54" t="n">
        <f aca="true">RAND()</f>
        <v>0.604437661477797</v>
      </c>
    </row>
    <row r="1001" customFormat="false" ht="15" hidden="false" customHeight="false" outlineLevel="0" collapsed="false">
      <c r="A1001" s="50" t="n">
        <v>921</v>
      </c>
      <c r="B1001" s="51" t="n">
        <f aca="false">1+IF($G$6=$E$6,$F$6,IF(P1001&lt;($F$6-$E$6)/($G$6-$E$6),$E$6+SQRT(P1001*($G$6-$E$6)*($F$6-$E$6)),$G$6-SQRT((1-P1001)*($G$6-$E$6)*($G$6-$F$6))))</f>
        <v>1.02040928893055</v>
      </c>
      <c r="C1001" s="51" t="n">
        <f aca="false">1+IF($G$7=$E$7,$F$7,IF(Q1001&lt;($F$7-$E$7)/($G$7-$E$7),$E$7+SQRT(Q1001*($G$7-$E$7)*($F$7-$E$7)),$G$7-SQRT((1-Q1001)*($G$7-$E$7)*($G$7-$F$7))))</f>
        <v>0.944483823908252</v>
      </c>
      <c r="D1001" s="51" t="n">
        <f aca="false">1+IF($G$8=$E$8,$F$8,IF(R1001&lt;($F$8-$E$8)/($G$8-$E$8),$E$8+SQRT(R1001*($G$8-$E$8)*($F$8-$E$8)),$G$8-SQRT((1-R1001)*($G$8-$E$8)*($G$8-$F$8))))</f>
        <v>1.02489571535535</v>
      </c>
      <c r="E1001" s="51" t="n">
        <f aca="false">1+IF($G$9=$E$9,$F$9,IF(S1001&lt;($F$9-$E$9)/($G$9-$E$9),$E$9+SQRT(S1001*($G$9-$E$9)*($F$9-$E$9)),$G$9-SQRT((1-S1001)*($G$9-$E$9)*($G$9-$F$9))))</f>
        <v>1.03192606326973</v>
      </c>
      <c r="F1001" s="51" t="n">
        <f aca="false">1+IF($G$10=$E$10,$F$10,IF(T1001&lt;($F$10-$E$10)/($G$10-$E$10),$E$10+SQRT(T1001*($G$10-$E$10)*($F$10-$E$10)),$G$10-SQRT((1-T1001)*($G$10-$E$10)*($G$10-$F$10))))</f>
        <v>0.972564133999309</v>
      </c>
      <c r="G1001" s="52" t="n">
        <f aca="false">IF($G$11=$E$11,$F$11,IF(U1001&lt;($F$11-$E$11)/($G$11-$E$11),$E$11+SQRT(U1001*($G$11-$E$11)*($F$11-$E$11)),$G$11-SQRT((1-U1001)*($G$11-$E$11)*($G$11-$F$11))))</f>
        <v>0.103439750288151</v>
      </c>
      <c r="H1001" s="53" t="n">
        <f aca="false">(('Business Case'!B11*$C1001*'Business Case'!B12*$B1001)-'Business Case'!B11*$C1001*'Business Case'!B13*$D1001-'Business Case'!B14*$E1001)-MAX(0,(('Business Case'!B11*$C1001*'Business Case'!B12*$B1001)-'Business Case'!B11*$C1001*'Business Case'!B13*$D1001-'Business Case'!B14*$E1001))*'Business Case'!$B$7-'Business Case'!$B$8*('Business Case'!B11*$C1001*'Business Case'!B12*$B1001)-'Business Case'!B15*$F1001</f>
        <v>-1945128267.99862</v>
      </c>
      <c r="I1001" s="53" t="n">
        <f aca="false">(('Business Case'!C11*$C1001*'Business Case'!C12*$B1001)-'Business Case'!C11*$C1001*'Business Case'!C13*$D1001-'Business Case'!C14*$E1001)-MAX(0,(('Business Case'!C11*$C1001*'Business Case'!C12*$B1001)-'Business Case'!C11*$C1001*'Business Case'!C13*$D1001-'Business Case'!C14*$E1001))*'Business Case'!$B$7-'Business Case'!$B$8*(('Business Case'!C11*$C1001*'Business Case'!C12*$B1001)-('Business Case'!B11*$C1001*'Business Case'!B12*$B1001))-'Business Case'!C15*$F1001</f>
        <v>-105977.220315069</v>
      </c>
      <c r="J1001" s="53" t="n">
        <f aca="false">(('Business Case'!D11*$C1001*'Business Case'!D12*$B1001)-'Business Case'!D11*$C1001*'Business Case'!D13*$D1001-'Business Case'!D14*$E1001)-MAX(0,(('Business Case'!D11*$C1001*'Business Case'!D12*$B1001)-'Business Case'!D11*$C1001*'Business Case'!D13*$D1001-'Business Case'!D14*$E1001))*'Business Case'!$B$7-'Business Case'!$B$8*(('Business Case'!D11*$C1001*'Business Case'!D12*$B1001)-('Business Case'!C11*$C1001*'Business Case'!C12*$B1001))-'Business Case'!D15*$F1001</f>
        <v>293745667.037863</v>
      </c>
      <c r="K1001" s="53" t="n">
        <f aca="false">(('Business Case'!E11*$C1001*'Business Case'!E12*$B1001)-'Business Case'!E11*$C1001*'Business Case'!E13*$D1001-'Business Case'!E14*$E1001)-MAX(0,(('Business Case'!E11*$C1001*'Business Case'!E12*$B1001)-'Business Case'!E11*$C1001*'Business Case'!E13*$D1001-'Business Case'!E14*$E1001))*'Business Case'!$B$7-'Business Case'!$B$8*(('Business Case'!E11*$C1001*'Business Case'!E12*$B1001)-('Business Case'!D11*$C1001*'Business Case'!D12*$B1001))-'Business Case'!E15*$F1001</f>
        <v>636225517.996005</v>
      </c>
      <c r="L1001" s="53" t="n">
        <f aca="false">(('Business Case'!F11*$C1001*'Business Case'!F12*$B1001)-'Business Case'!F11*$C1001*'Business Case'!F13*$D1001-'Business Case'!F14*$E1001)-MAX(0,(('Business Case'!F11*$C1001*'Business Case'!F12*$B1001)-'Business Case'!F11*$C1001*'Business Case'!F13*$D1001-'Business Case'!F14*$E1001))*'Business Case'!$B$7-'Business Case'!$B$8*(('Business Case'!F11*$C1001*'Business Case'!F12*$B1001)-('Business Case'!E11*$C1001*'Business Case'!E12*$B1001))-'Business Case'!F15*$F1001</f>
        <v>767483614.003136</v>
      </c>
      <c r="M1001" s="53" t="n">
        <f aca="false">(('Business Case'!G11*$C1001*'Business Case'!G12*$B1001)-'Business Case'!G11*$C1001*'Business Case'!G13*$D1001-'Business Case'!G14*$E1001)-MAX(0,(('Business Case'!G11*$C1001*'Business Case'!G12*$B1001)-'Business Case'!G11*$C1001*'Business Case'!G13*$D1001-'Business Case'!G14*$E1001))*'Business Case'!$B$7-'Business Case'!$B$8*(('Business Case'!G11*$C1001*'Business Case'!G12*$B1001)-('Business Case'!F11*$C1001*'Business Case'!F12*$B1001))-'Business Case'!G15*$F1001+'Business Case'!$B$8*('Business Case'!G11*$C1001*'Business Case'!G12*$B1001)</f>
        <v>950675127.569027</v>
      </c>
      <c r="N1001" s="53" t="n">
        <f aca="false">IF(COUNT('Business Case'!B11:G11)=0,"",H1001+NPV(G1001,I1001:M1001))</f>
        <v>-131574379.352209</v>
      </c>
      <c r="P1001" s="54" t="n">
        <f aca="true">RAND()</f>
        <v>0.920042508290247</v>
      </c>
      <c r="Q1001" s="54" t="n">
        <f aca="true">RAND()</f>
        <v>0.298222505302153</v>
      </c>
      <c r="R1001" s="54" t="n">
        <f aca="true">RAND()</f>
        <v>0.708030559019394</v>
      </c>
      <c r="S1001" s="54" t="n">
        <f aca="true">RAND()</f>
        <v>0.691062609202853</v>
      </c>
      <c r="T1001" s="54" t="n">
        <f aca="true">RAND()</f>
        <v>0.0407312114511018</v>
      </c>
      <c r="U1001" s="54" t="n">
        <f aca="true">RAND()</f>
        <v>0.542930215801995</v>
      </c>
    </row>
    <row r="1002" customFormat="false" ht="15" hidden="false" customHeight="false" outlineLevel="0" collapsed="false">
      <c r="A1002" s="50" t="n">
        <v>922</v>
      </c>
      <c r="B1002" s="51" t="n">
        <f aca="false">1+IF($G$6=$E$6,$F$6,IF(P1002&lt;($F$6-$E$6)/($G$6-$E$6),$E$6+SQRT(P1002*($G$6-$E$6)*($F$6-$E$6)),$G$6-SQRT((1-P1002)*($G$6-$E$6)*($G$6-$F$6))))</f>
        <v>0.996589187319847</v>
      </c>
      <c r="C1002" s="51" t="n">
        <f aca="false">1+IF($G$7=$E$7,$F$7,IF(Q1002&lt;($F$7-$E$7)/($G$7-$E$7),$E$7+SQRT(Q1002*($G$7-$E$7)*($F$7-$E$7)),$G$7-SQRT((1-Q1002)*($G$7-$E$7)*($G$7-$F$7))))</f>
        <v>0.842033761469838</v>
      </c>
      <c r="D1002" s="51" t="n">
        <f aca="false">1+IF($G$8=$E$8,$F$8,IF(R1002&lt;($F$8-$E$8)/($G$8-$E$8),$E$8+SQRT(R1002*($G$8-$E$8)*($F$8-$E$8)),$G$8-SQRT((1-R1002)*($G$8-$E$8)*($G$8-$F$8))))</f>
        <v>0.954443711980647</v>
      </c>
      <c r="E1002" s="51" t="n">
        <f aca="false">1+IF($G$9=$E$9,$F$9,IF(S1002&lt;($F$9-$E$9)/($G$9-$E$9),$E$9+SQRT(S1002*($G$9-$E$9)*($F$9-$E$9)),$G$9-SQRT((1-S1002)*($G$9-$E$9)*($G$9-$F$9))))</f>
        <v>1.00432877677483</v>
      </c>
      <c r="F1002" s="51" t="n">
        <f aca="false">1+IF($G$10=$E$10,$F$10,IF(T1002&lt;($F$10-$E$10)/($G$10-$E$10),$E$10+SQRT(T1002*($G$10-$E$10)*($F$10-$E$10)),$G$10-SQRT((1-T1002)*($G$10-$E$10)*($G$10-$F$10))))</f>
        <v>1.13360564428002</v>
      </c>
      <c r="G1002" s="52" t="n">
        <f aca="false">IF($G$11=$E$11,$F$11,IF(U1002&lt;($F$11-$E$11)/($G$11-$E$11),$E$11+SQRT(U1002*($G$11-$E$11)*($F$11-$E$11)),$G$11-SQRT((1-U1002)*($G$11-$E$11)*($G$11-$F$11))))</f>
        <v>0.106694700690532</v>
      </c>
      <c r="H1002" s="53" t="n">
        <f aca="false">(('Business Case'!B11*$C1002*'Business Case'!B12*$B1002)-'Business Case'!B11*$C1002*'Business Case'!B13*$D1002-'Business Case'!B14*$E1002)-MAX(0,(('Business Case'!B11*$C1002*'Business Case'!B12*$B1002)-'Business Case'!B11*$C1002*'Business Case'!B13*$D1002-'Business Case'!B14*$E1002))*'Business Case'!$B$7-'Business Case'!$B$8*('Business Case'!B11*$C1002*'Business Case'!B12*$B1002)-'Business Case'!B15*$F1002</f>
        <v>-2267211288.56003</v>
      </c>
      <c r="I1002" s="53" t="n">
        <f aca="false">(('Business Case'!C11*$C1002*'Business Case'!C12*$B1002)-'Business Case'!C11*$C1002*'Business Case'!C13*$D1002-'Business Case'!C14*$E1002)-MAX(0,(('Business Case'!C11*$C1002*'Business Case'!C12*$B1002)-'Business Case'!C11*$C1002*'Business Case'!C13*$D1002-'Business Case'!C14*$E1002))*'Business Case'!$B$7-'Business Case'!$B$8*(('Business Case'!C11*$C1002*'Business Case'!C12*$B1002)-('Business Case'!B11*$C1002*'Business Case'!B12*$B1002))-'Business Case'!C15*$F1002</f>
        <v>-23761081.3129998</v>
      </c>
      <c r="J1002" s="53" t="n">
        <f aca="false">(('Business Case'!D11*$C1002*'Business Case'!D12*$B1002)-'Business Case'!D11*$C1002*'Business Case'!D13*$D1002-'Business Case'!D14*$E1002)-MAX(0,(('Business Case'!D11*$C1002*'Business Case'!D12*$B1002)-'Business Case'!D11*$C1002*'Business Case'!D13*$D1002-'Business Case'!D14*$E1002))*'Business Case'!$B$7-'Business Case'!$B$8*(('Business Case'!D11*$C1002*'Business Case'!D12*$B1002)-('Business Case'!C11*$C1002*'Business Case'!C12*$B1002))-'Business Case'!D15*$F1002</f>
        <v>252156098.566689</v>
      </c>
      <c r="K1002" s="53" t="n">
        <f aca="false">(('Business Case'!E11*$C1002*'Business Case'!E12*$B1002)-'Business Case'!E11*$C1002*'Business Case'!E13*$D1002-'Business Case'!E14*$E1002)-MAX(0,(('Business Case'!E11*$C1002*'Business Case'!E12*$B1002)-'Business Case'!E11*$C1002*'Business Case'!E13*$D1002-'Business Case'!E14*$E1002))*'Business Case'!$B$7-'Business Case'!$B$8*(('Business Case'!E11*$C1002*'Business Case'!E12*$B1002)-('Business Case'!D11*$C1002*'Business Case'!D12*$B1002))-'Business Case'!E15*$F1002</f>
        <v>584753560.660379</v>
      </c>
      <c r="L1002" s="53" t="n">
        <f aca="false">(('Business Case'!F11*$C1002*'Business Case'!F12*$B1002)-'Business Case'!F11*$C1002*'Business Case'!F13*$D1002-'Business Case'!F14*$E1002)-MAX(0,(('Business Case'!F11*$C1002*'Business Case'!F12*$B1002)-'Business Case'!F11*$C1002*'Business Case'!F13*$D1002-'Business Case'!F14*$E1002))*'Business Case'!$B$7-'Business Case'!$B$8*(('Business Case'!F11*$C1002*'Business Case'!F12*$B1002)-('Business Case'!E11*$C1002*'Business Case'!E12*$B1002))-'Business Case'!F15*$F1002</f>
        <v>705727383.75848</v>
      </c>
      <c r="M1002" s="53" t="n">
        <f aca="false">(('Business Case'!G11*$C1002*'Business Case'!G12*$B1002)-'Business Case'!G11*$C1002*'Business Case'!G13*$D1002-'Business Case'!G14*$E1002)-MAX(0,(('Business Case'!G11*$C1002*'Business Case'!G12*$B1002)-'Business Case'!G11*$C1002*'Business Case'!G13*$D1002-'Business Case'!G14*$E1002))*'Business Case'!$B$7-'Business Case'!$B$8*(('Business Case'!G11*$C1002*'Business Case'!G12*$B1002)-('Business Case'!F11*$C1002*'Business Case'!F12*$B1002))-'Business Case'!G15*$F1002+'Business Case'!$B$8*('Business Case'!G11*$C1002*'Business Case'!G12*$B1002)</f>
        <v>865235247.685272</v>
      </c>
      <c r="N1002" s="53" t="n">
        <f aca="false">IF(COUNT('Business Case'!B11:G11)=0,"",H1002+NPV(G1002,I1002:M1002))</f>
        <v>-659740621.631742</v>
      </c>
      <c r="P1002" s="54" t="n">
        <f aca="true">RAND()</f>
        <v>0.611031626491101</v>
      </c>
      <c r="Q1002" s="54" t="n">
        <f aca="true">RAND()</f>
        <v>0.0252405300471895</v>
      </c>
      <c r="R1002" s="54" t="n">
        <f aca="true">RAND()</f>
        <v>0.00303793479491526</v>
      </c>
      <c r="S1002" s="54" t="n">
        <f aca="true">RAND()</f>
        <v>0.389801136439939</v>
      </c>
      <c r="T1002" s="54" t="n">
        <f aca="true">RAND()</f>
        <v>0.911835790570563</v>
      </c>
      <c r="U1002" s="54" t="n">
        <f aca="true">RAND()</f>
        <v>0.704948350475803</v>
      </c>
    </row>
    <row r="1003" customFormat="false" ht="15" hidden="false" customHeight="false" outlineLevel="0" collapsed="false">
      <c r="A1003" s="50" t="n">
        <v>923</v>
      </c>
      <c r="B1003" s="51" t="n">
        <f aca="false">1+IF($G$6=$E$6,$F$6,IF(P1003&lt;($F$6-$E$6)/($G$6-$E$6),$E$6+SQRT(P1003*($G$6-$E$6)*($F$6-$E$6)),$G$6-SQRT((1-P1003)*($G$6-$E$6)*($G$6-$F$6))))</f>
        <v>0.991539597225425</v>
      </c>
      <c r="C1003" s="51" t="n">
        <f aca="false">1+IF($G$7=$E$7,$F$7,IF(Q1003&lt;($F$7-$E$7)/($G$7-$E$7),$E$7+SQRT(Q1003*($G$7-$E$7)*($F$7-$E$7)),$G$7-SQRT((1-Q1003)*($G$7-$E$7)*($G$7-$F$7))))</f>
        <v>0.854468665383376</v>
      </c>
      <c r="D1003" s="51" t="n">
        <f aca="false">1+IF($G$8=$E$8,$F$8,IF(R1003&lt;($F$8-$E$8)/($G$8-$E$8),$E$8+SQRT(R1003*($G$8-$E$8)*($F$8-$E$8)),$G$8-SQRT((1-R1003)*($G$8-$E$8)*($G$8-$F$8))))</f>
        <v>1.05522316213606</v>
      </c>
      <c r="E1003" s="51" t="n">
        <f aca="false">1+IF($G$9=$E$9,$F$9,IF(S1003&lt;($F$9-$E$9)/($G$9-$E$9),$E$9+SQRT(S1003*($G$9-$E$9)*($F$9-$E$9)),$G$9-SQRT((1-S1003)*($G$9-$E$9)*($G$9-$F$9))))</f>
        <v>0.997447080189525</v>
      </c>
      <c r="F1003" s="51" t="n">
        <f aca="false">1+IF($G$10=$E$10,$F$10,IF(T1003&lt;($F$10-$E$10)/($G$10-$E$10),$E$10+SQRT(T1003*($G$10-$E$10)*($F$10-$E$10)),$G$10-SQRT((1-T1003)*($G$10-$E$10)*($G$10-$F$10))))</f>
        <v>1.05801912406186</v>
      </c>
      <c r="G1003" s="52" t="n">
        <f aca="false">IF($G$11=$E$11,$F$11,IF(U1003&lt;($F$11-$E$11)/($G$11-$E$11),$E$11+SQRT(U1003*($G$11-$E$11)*($F$11-$E$11)),$G$11-SQRT((1-U1003)*($G$11-$E$11)*($G$11-$F$11))))</f>
        <v>0.114484721786466</v>
      </c>
      <c r="H1003" s="53" t="n">
        <f aca="false">(('Business Case'!B11*$C1003*'Business Case'!B12*$B1003)-'Business Case'!B11*$C1003*'Business Case'!B13*$D1003-'Business Case'!B14*$E1003)-MAX(0,(('Business Case'!B11*$C1003*'Business Case'!B12*$B1003)-'Business Case'!B11*$C1003*'Business Case'!B13*$D1003-'Business Case'!B14*$E1003))*'Business Case'!$B$7-'Business Case'!$B$8*('Business Case'!B11*$C1003*'Business Case'!B12*$B1003)-'Business Case'!B15*$F1003</f>
        <v>-2116038248.12372</v>
      </c>
      <c r="I1003" s="53" t="n">
        <f aca="false">(('Business Case'!C11*$C1003*'Business Case'!C12*$B1003)-'Business Case'!C11*$C1003*'Business Case'!C13*$D1003-'Business Case'!C14*$E1003)-MAX(0,(('Business Case'!C11*$C1003*'Business Case'!C12*$B1003)-'Business Case'!C11*$C1003*'Business Case'!C13*$D1003-'Business Case'!C14*$E1003))*'Business Case'!$B$7-'Business Case'!$B$8*(('Business Case'!C11*$C1003*'Business Case'!C12*$B1003)-('Business Case'!B11*$C1003*'Business Case'!B12*$B1003))-'Business Case'!C15*$F1003</f>
        <v>-59184911.2572308</v>
      </c>
      <c r="J1003" s="53" t="n">
        <f aca="false">(('Business Case'!D11*$C1003*'Business Case'!D12*$B1003)-'Business Case'!D11*$C1003*'Business Case'!D13*$D1003-'Business Case'!D14*$E1003)-MAX(0,(('Business Case'!D11*$C1003*'Business Case'!D12*$B1003)-'Business Case'!D11*$C1003*'Business Case'!D13*$D1003-'Business Case'!D14*$E1003))*'Business Case'!$B$7-'Business Case'!$B$8*(('Business Case'!D11*$C1003*'Business Case'!D12*$B1003)-('Business Case'!C11*$C1003*'Business Case'!C12*$B1003))-'Business Case'!D15*$F1003</f>
        <v>173189961.220495</v>
      </c>
      <c r="K1003" s="53" t="n">
        <f aca="false">(('Business Case'!E11*$C1003*'Business Case'!E12*$B1003)-'Business Case'!E11*$C1003*'Business Case'!E13*$D1003-'Business Case'!E14*$E1003)-MAX(0,(('Business Case'!E11*$C1003*'Business Case'!E12*$B1003)-'Business Case'!E11*$C1003*'Business Case'!E13*$D1003-'Business Case'!E14*$E1003))*'Business Case'!$B$7-'Business Case'!$B$8*(('Business Case'!E11*$C1003*'Business Case'!E12*$B1003)-('Business Case'!D11*$C1003*'Business Case'!D12*$B1003))-'Business Case'!E15*$F1003</f>
        <v>458465789.901314</v>
      </c>
      <c r="L1003" s="53" t="n">
        <f aca="false">(('Business Case'!F11*$C1003*'Business Case'!F12*$B1003)-'Business Case'!F11*$C1003*'Business Case'!F13*$D1003-'Business Case'!F14*$E1003)-MAX(0,(('Business Case'!F11*$C1003*'Business Case'!F12*$B1003)-'Business Case'!F11*$C1003*'Business Case'!F13*$D1003-'Business Case'!F14*$E1003))*'Business Case'!$B$7-'Business Case'!$B$8*(('Business Case'!F11*$C1003*'Business Case'!F12*$B1003)-('Business Case'!E11*$C1003*'Business Case'!E12*$B1003))-'Business Case'!F15*$F1003</f>
        <v>565204678.411103</v>
      </c>
      <c r="M1003" s="53" t="n">
        <f aca="false">(('Business Case'!G11*$C1003*'Business Case'!G12*$B1003)-'Business Case'!G11*$C1003*'Business Case'!G13*$D1003-'Business Case'!G14*$E1003)-MAX(0,(('Business Case'!G11*$C1003*'Business Case'!G12*$B1003)-'Business Case'!G11*$C1003*'Business Case'!G13*$D1003-'Business Case'!G14*$E1003))*'Business Case'!$B$7-'Business Case'!$B$8*(('Business Case'!G11*$C1003*'Business Case'!G12*$B1003)-('Business Case'!F11*$C1003*'Business Case'!F12*$B1003))-'Business Case'!G15*$F1003+'Business Case'!$B$8*('Business Case'!G11*$C1003*'Business Case'!G12*$B1003)</f>
        <v>726247965.672444</v>
      </c>
      <c r="N1003" s="53" t="n">
        <f aca="false">IF(COUNT('Business Case'!B11:G11)=0,"",H1003+NPV(G1003,I1003:M1003))</f>
        <v>-909760238.933983</v>
      </c>
      <c r="P1003" s="54" t="n">
        <f aca="true">RAND()</f>
        <v>0.533116038664171</v>
      </c>
      <c r="Q1003" s="54" t="n">
        <f aca="true">RAND()</f>
        <v>0.0423833644092314</v>
      </c>
      <c r="R1003" s="54" t="n">
        <f aca="true">RAND()</f>
        <v>0.940971952448482</v>
      </c>
      <c r="S1003" s="54" t="n">
        <f aca="true">RAND()</f>
        <v>0.300163389134829</v>
      </c>
      <c r="T1003" s="54" t="n">
        <f aca="true">RAND()</f>
        <v>0.596828617356756</v>
      </c>
      <c r="U1003" s="54" t="n">
        <f aca="true">RAND()</f>
        <v>0.94930284371219</v>
      </c>
    </row>
    <row r="1004" customFormat="false" ht="15" hidden="false" customHeight="false" outlineLevel="0" collapsed="false">
      <c r="A1004" s="50" t="n">
        <v>924</v>
      </c>
      <c r="B1004" s="51" t="n">
        <f aca="false">1+IF($G$6=$E$6,$F$6,IF(P1004&lt;($F$6-$E$6)/($G$6-$E$6),$E$6+SQRT(P1004*($G$6-$E$6)*($F$6-$E$6)),$G$6-SQRT((1-P1004)*($G$6-$E$6)*($G$6-$F$6))))</f>
        <v>1.01001591855883</v>
      </c>
      <c r="C1004" s="51" t="n">
        <f aca="false">1+IF($G$7=$E$7,$F$7,IF(Q1004&lt;($F$7-$E$7)/($G$7-$E$7),$E$7+SQRT(Q1004*($G$7-$E$7)*($F$7-$E$7)),$G$7-SQRT((1-Q1004)*($G$7-$E$7)*($G$7-$F$7))))</f>
        <v>0.988691679906305</v>
      </c>
      <c r="D1004" s="51" t="n">
        <f aca="false">1+IF($G$8=$E$8,$F$8,IF(R1004&lt;($F$8-$E$8)/($G$8-$E$8),$E$8+SQRT(R1004*($G$8-$E$8)*($F$8-$E$8)),$G$8-SQRT((1-R1004)*($G$8-$E$8)*($G$8-$F$8))))</f>
        <v>0.959681810696197</v>
      </c>
      <c r="E1004" s="51" t="n">
        <f aca="false">1+IF($G$9=$E$9,$F$9,IF(S1004&lt;($F$9-$E$9)/($G$9-$E$9),$E$9+SQRT(S1004*($G$9-$E$9)*($F$9-$E$9)),$G$9-SQRT((1-S1004)*($G$9-$E$9)*($G$9-$F$9))))</f>
        <v>1.04521537010924</v>
      </c>
      <c r="F1004" s="51" t="n">
        <f aca="false">1+IF($G$10=$E$10,$F$10,IF(T1004&lt;($F$10-$E$10)/($G$10-$E$10),$E$10+SQRT(T1004*($G$10-$E$10)*($F$10-$E$10)),$G$10-SQRT((1-T1004)*($G$10-$E$10)*($G$10-$F$10))))</f>
        <v>1.00460549954021</v>
      </c>
      <c r="G1004" s="52" t="n">
        <f aca="false">IF($G$11=$E$11,$F$11,IF(U1004&lt;($F$11-$E$11)/($G$11-$E$11),$E$11+SQRT(U1004*($G$11-$E$11)*($F$11-$E$11)),$G$11-SQRT((1-U1004)*($G$11-$E$11)*($G$11-$F$11))))</f>
        <v>0.0953642743113989</v>
      </c>
      <c r="H1004" s="53" t="n">
        <f aca="false">(('Business Case'!B11*$C1004*'Business Case'!B12*$B1004)-'Business Case'!B11*$C1004*'Business Case'!B13*$D1004-'Business Case'!B14*$E1004)-MAX(0,(('Business Case'!B11*$C1004*'Business Case'!B12*$B1004)-'Business Case'!B11*$C1004*'Business Case'!B13*$D1004-'Business Case'!B14*$E1004))*'Business Case'!$B$7-'Business Case'!$B$8*('Business Case'!B11*$C1004*'Business Case'!B12*$B1004)-'Business Case'!B15*$F1004</f>
        <v>-2009210999.08042</v>
      </c>
      <c r="I1004" s="53" t="n">
        <f aca="false">(('Business Case'!C11*$C1004*'Business Case'!C12*$B1004)-'Business Case'!C11*$C1004*'Business Case'!C13*$D1004-'Business Case'!C14*$E1004)-MAX(0,(('Business Case'!C11*$C1004*'Business Case'!C12*$B1004)-'Business Case'!C11*$C1004*'Business Case'!C13*$D1004-'Business Case'!C14*$E1004))*'Business Case'!$B$7-'Business Case'!$B$8*(('Business Case'!C11*$C1004*'Business Case'!C12*$B1004)-('Business Case'!B11*$C1004*'Business Case'!B12*$B1004))-'Business Case'!C15*$F1004</f>
        <v>31338595.9387818</v>
      </c>
      <c r="J1004" s="53" t="n">
        <f aca="false">(('Business Case'!D11*$C1004*'Business Case'!D12*$B1004)-'Business Case'!D11*$C1004*'Business Case'!D13*$D1004-'Business Case'!D14*$E1004)-MAX(0,(('Business Case'!D11*$C1004*'Business Case'!D12*$B1004)-'Business Case'!D11*$C1004*'Business Case'!D13*$D1004-'Business Case'!D14*$E1004))*'Business Case'!$B$7-'Business Case'!$B$8*(('Business Case'!D11*$C1004*'Business Case'!D12*$B1004)-('Business Case'!C11*$C1004*'Business Case'!C12*$B1004))-'Business Case'!D15*$F1004</f>
        <v>363534497.800584</v>
      </c>
      <c r="K1004" s="53" t="n">
        <f aca="false">(('Business Case'!E11*$C1004*'Business Case'!E12*$B1004)-'Business Case'!E11*$C1004*'Business Case'!E13*$D1004-'Business Case'!E14*$E1004)-MAX(0,(('Business Case'!E11*$C1004*'Business Case'!E12*$B1004)-'Business Case'!E11*$C1004*'Business Case'!E13*$D1004-'Business Case'!E14*$E1004))*'Business Case'!$B$7-'Business Case'!$B$8*(('Business Case'!E11*$C1004*'Business Case'!E12*$B1004)-('Business Case'!D11*$C1004*'Business Case'!D12*$B1004))-'Business Case'!E15*$F1004</f>
        <v>745960674.639397</v>
      </c>
      <c r="L1004" s="53" t="n">
        <f aca="false">(('Business Case'!F11*$C1004*'Business Case'!F12*$B1004)-'Business Case'!F11*$C1004*'Business Case'!F13*$D1004-'Business Case'!F14*$E1004)-MAX(0,(('Business Case'!F11*$C1004*'Business Case'!F12*$B1004)-'Business Case'!F11*$C1004*'Business Case'!F13*$D1004-'Business Case'!F14*$E1004))*'Business Case'!$B$7-'Business Case'!$B$8*(('Business Case'!F11*$C1004*'Business Case'!F12*$B1004)-('Business Case'!E11*$C1004*'Business Case'!E12*$B1004))-'Business Case'!F15*$F1004</f>
        <v>891204062.152975</v>
      </c>
      <c r="M1004" s="53" t="n">
        <f aca="false">(('Business Case'!G11*$C1004*'Business Case'!G12*$B1004)-'Business Case'!G11*$C1004*'Business Case'!G13*$D1004-'Business Case'!G14*$E1004)-MAX(0,(('Business Case'!G11*$C1004*'Business Case'!G12*$B1004)-'Business Case'!G11*$C1004*'Business Case'!G13*$D1004-'Business Case'!G14*$E1004))*'Business Case'!$B$7-'Business Case'!$B$8*(('Business Case'!G11*$C1004*'Business Case'!G12*$B1004)-('Business Case'!F11*$C1004*'Business Case'!F12*$B1004))-'Business Case'!G15*$F1004+'Business Case'!$B$8*('Business Case'!G11*$C1004*'Business Case'!G12*$B1004)</f>
        <v>1081016873.39768</v>
      </c>
      <c r="N1004" s="53" t="n">
        <f aca="false">IF(COUNT('Business Case'!B11:G11)=0,"",H1004+NPV(G1004,I1004:M1004))</f>
        <v>194611687.91734</v>
      </c>
      <c r="P1004" s="54" t="n">
        <f aca="true">RAND()</f>
        <v>0.81269892919365</v>
      </c>
      <c r="Q1004" s="54" t="n">
        <f aca="true">RAND()</f>
        <v>0.508636429512333</v>
      </c>
      <c r="R1004" s="54" t="n">
        <f aca="true">RAND()</f>
        <v>0.0144211474395366</v>
      </c>
      <c r="S1004" s="54" t="n">
        <f aca="true">RAND()</f>
        <v>0.799909621848822</v>
      </c>
      <c r="T1004" s="54" t="n">
        <f aca="true">RAND()</f>
        <v>0.236419783801375</v>
      </c>
      <c r="U1004" s="54" t="n">
        <f aca="true">RAND()</f>
        <v>0.0959181296264455</v>
      </c>
    </row>
    <row r="1005" customFormat="false" ht="15" hidden="false" customHeight="false" outlineLevel="0" collapsed="false">
      <c r="A1005" s="50" t="n">
        <v>925</v>
      </c>
      <c r="B1005" s="51" t="n">
        <f aca="false">1+IF($G$6=$E$6,$F$6,IF(P1005&lt;($F$6-$E$6)/($G$6-$E$6),$E$6+SQRT(P1005*($G$6-$E$6)*($F$6-$E$6)),$G$6-SQRT((1-P1005)*($G$6-$E$6)*($G$6-$F$6))))</f>
        <v>1.00432545645468</v>
      </c>
      <c r="C1005" s="51" t="n">
        <f aca="false">1+IF($G$7=$E$7,$F$7,IF(Q1005&lt;($F$7-$E$7)/($G$7-$E$7),$E$7+SQRT(Q1005*($G$7-$E$7)*($F$7-$E$7)),$G$7-SQRT((1-Q1005)*($G$7-$E$7)*($G$7-$F$7))))</f>
        <v>0.909637505733093</v>
      </c>
      <c r="D1005" s="51" t="n">
        <f aca="false">1+IF($G$8=$E$8,$F$8,IF(R1005&lt;($F$8-$E$8)/($G$8-$E$8),$E$8+SQRT(R1005*($G$8-$E$8)*($F$8-$E$8)),$G$8-SQRT((1-R1005)*($G$8-$E$8)*($G$8-$F$8))))</f>
        <v>0.972898206787307</v>
      </c>
      <c r="E1005" s="51" t="n">
        <f aca="false">1+IF($G$9=$E$9,$F$9,IF(S1005&lt;($F$9-$E$9)/($G$9-$E$9),$E$9+SQRT(S1005*($G$9-$E$9)*($F$9-$E$9)),$G$9-SQRT((1-S1005)*($G$9-$E$9)*($G$9-$F$9))))</f>
        <v>1.02679085794592</v>
      </c>
      <c r="F1005" s="51" t="n">
        <f aca="false">1+IF($G$10=$E$10,$F$10,IF(T1005&lt;($F$10-$E$10)/($G$10-$E$10),$E$10+SQRT(T1005*($G$10-$E$10)*($F$10-$E$10)),$G$10-SQRT((1-T1005)*($G$10-$E$10)*($G$10-$F$10))))</f>
        <v>1.05550742746843</v>
      </c>
      <c r="G1005" s="52" t="n">
        <f aca="false">IF($G$11=$E$11,$F$11,IF(U1005&lt;($F$11-$E$11)/($G$11-$E$11),$E$11+SQRT(U1005*($G$11-$E$11)*($F$11-$E$11)),$G$11-SQRT((1-U1005)*($G$11-$E$11)*($G$11-$F$11))))</f>
        <v>0.109106305239605</v>
      </c>
      <c r="H1005" s="53" t="n">
        <f aca="false">(('Business Case'!B11*$C1005*'Business Case'!B12*$B1005)-'Business Case'!B11*$C1005*'Business Case'!B13*$D1005-'Business Case'!B14*$E1005)-MAX(0,(('Business Case'!B11*$C1005*'Business Case'!B12*$B1005)-'Business Case'!B11*$C1005*'Business Case'!B13*$D1005-'Business Case'!B14*$E1005))*'Business Case'!$B$7-'Business Case'!$B$8*('Business Case'!B11*$C1005*'Business Case'!B12*$B1005)-'Business Case'!B15*$F1005</f>
        <v>-2111014854.93686</v>
      </c>
      <c r="I1005" s="53" t="n">
        <f aca="false">(('Business Case'!C11*$C1005*'Business Case'!C12*$B1005)-'Business Case'!C11*$C1005*'Business Case'!C13*$D1005-'Business Case'!C14*$E1005)-MAX(0,(('Business Case'!C11*$C1005*'Business Case'!C12*$B1005)-'Business Case'!C11*$C1005*'Business Case'!C13*$D1005-'Business Case'!C14*$E1005))*'Business Case'!$B$7-'Business Case'!$B$8*(('Business Case'!C11*$C1005*'Business Case'!C12*$B1005)-('Business Case'!B11*$C1005*'Business Case'!B12*$B1005))-'Business Case'!C15*$F1005</f>
        <v>-3680017.57904632</v>
      </c>
      <c r="J1005" s="53" t="n">
        <f aca="false">(('Business Case'!D11*$C1005*'Business Case'!D12*$B1005)-'Business Case'!D11*$C1005*'Business Case'!D13*$D1005-'Business Case'!D14*$E1005)-MAX(0,(('Business Case'!D11*$C1005*'Business Case'!D12*$B1005)-'Business Case'!D11*$C1005*'Business Case'!D13*$D1005-'Business Case'!D14*$E1005))*'Business Case'!$B$7-'Business Case'!$B$8*(('Business Case'!D11*$C1005*'Business Case'!D12*$B1005)-('Business Case'!C11*$C1005*'Business Case'!C12*$B1005))-'Business Case'!D15*$F1005</f>
        <v>291559945.416148</v>
      </c>
      <c r="K1005" s="53" t="n">
        <f aca="false">(('Business Case'!E11*$C1005*'Business Case'!E12*$B1005)-'Business Case'!E11*$C1005*'Business Case'!E13*$D1005-'Business Case'!E14*$E1005)-MAX(0,(('Business Case'!E11*$C1005*'Business Case'!E12*$B1005)-'Business Case'!E11*$C1005*'Business Case'!E13*$D1005-'Business Case'!E14*$E1005))*'Business Case'!$B$7-'Business Case'!$B$8*(('Business Case'!E11*$C1005*'Business Case'!E12*$B1005)-('Business Case'!D11*$C1005*'Business Case'!D12*$B1005))-'Business Case'!E15*$F1005</f>
        <v>639575279.784763</v>
      </c>
      <c r="L1005" s="53" t="n">
        <f aca="false">(('Business Case'!F11*$C1005*'Business Case'!F12*$B1005)-'Business Case'!F11*$C1005*'Business Case'!F13*$D1005-'Business Case'!F14*$E1005)-MAX(0,(('Business Case'!F11*$C1005*'Business Case'!F12*$B1005)-'Business Case'!F11*$C1005*'Business Case'!F13*$D1005-'Business Case'!F14*$E1005))*'Business Case'!$B$7-'Business Case'!$B$8*(('Business Case'!F11*$C1005*'Business Case'!F12*$B1005)-('Business Case'!E11*$C1005*'Business Case'!E12*$B1005))-'Business Case'!F15*$F1005</f>
        <v>769561652.668152</v>
      </c>
      <c r="M1005" s="53" t="n">
        <f aca="false">(('Business Case'!G11*$C1005*'Business Case'!G12*$B1005)-'Business Case'!G11*$C1005*'Business Case'!G13*$D1005-'Business Case'!G14*$E1005)-MAX(0,(('Business Case'!G11*$C1005*'Business Case'!G12*$B1005)-'Business Case'!G11*$C1005*'Business Case'!G13*$D1005-'Business Case'!G14*$E1005))*'Business Case'!$B$7-'Business Case'!$B$8*(('Business Case'!G11*$C1005*'Business Case'!G12*$B1005)-('Business Case'!F11*$C1005*'Business Case'!F12*$B1005))-'Business Case'!G15*$F1005+'Business Case'!$B$8*('Business Case'!G11*$C1005*'Business Case'!G12*$B1005)</f>
        <v>943213438.035605</v>
      </c>
      <c r="N1005" s="53" t="n">
        <f aca="false">IF(COUNT('Business Case'!B11:G11)=0,"",H1005+NPV(G1005,I1005:M1005))</f>
        <v>-337951376.790637</v>
      </c>
      <c r="P1005" s="54" t="n">
        <f aca="true">RAND()</f>
        <v>0.734859779756872</v>
      </c>
      <c r="Q1005" s="54" t="n">
        <f aca="true">RAND()</f>
        <v>0.171719752333913</v>
      </c>
      <c r="R1005" s="54" t="n">
        <f aca="true">RAND()</f>
        <v>0.080665826780654</v>
      </c>
      <c r="S1005" s="54" t="n">
        <f aca="true">RAND()</f>
        <v>0.642694767980391</v>
      </c>
      <c r="T1005" s="54" t="n">
        <f aca="true">RAND()</f>
        <v>0.582437929664189</v>
      </c>
      <c r="U1005" s="54" t="n">
        <f aca="true">RAND()</f>
        <v>0.802212357445578</v>
      </c>
    </row>
    <row r="1006" customFormat="false" ht="15" hidden="false" customHeight="false" outlineLevel="0" collapsed="false">
      <c r="A1006" s="50" t="n">
        <v>926</v>
      </c>
      <c r="B1006" s="51" t="n">
        <f aca="false">1+IF($G$6=$E$6,$F$6,IF(P1006&lt;($F$6-$E$6)/($G$6-$E$6),$E$6+SQRT(P1006*($G$6-$E$6)*($F$6-$E$6)),$G$6-SQRT((1-P1006)*($G$6-$E$6)*($G$6-$F$6))))</f>
        <v>1.00727443207358</v>
      </c>
      <c r="C1006" s="51" t="n">
        <f aca="false">1+IF($G$7=$E$7,$F$7,IF(Q1006&lt;($F$7-$E$7)/($G$7-$E$7),$E$7+SQRT(Q1006*($G$7-$E$7)*($F$7-$E$7)),$G$7-SQRT((1-Q1006)*($G$7-$E$7)*($G$7-$F$7))))</f>
        <v>0.936969768883966</v>
      </c>
      <c r="D1006" s="51" t="n">
        <f aca="false">1+IF($G$8=$E$8,$F$8,IF(R1006&lt;($F$8-$E$8)/($G$8-$E$8),$E$8+SQRT(R1006*($G$8-$E$8)*($F$8-$E$8)),$G$8-SQRT((1-R1006)*($G$8-$E$8)*($G$8-$F$8))))</f>
        <v>1.00507316439617</v>
      </c>
      <c r="E1006" s="51" t="n">
        <f aca="false">1+IF($G$9=$E$9,$F$9,IF(S1006&lt;($F$9-$E$9)/($G$9-$E$9),$E$9+SQRT(S1006*($G$9-$E$9)*($F$9-$E$9)),$G$9-SQRT((1-S1006)*($G$9-$E$9)*($G$9-$F$9))))</f>
        <v>1.03706032971253</v>
      </c>
      <c r="F1006" s="51" t="n">
        <f aca="false">1+IF($G$10=$E$10,$F$10,IF(T1006&lt;($F$10-$E$10)/($G$10-$E$10),$E$10+SQRT(T1006*($G$10-$E$10)*($F$10-$E$10)),$G$10-SQRT((1-T1006)*($G$10-$E$10)*($G$10-$F$10))))</f>
        <v>1.07183742218499</v>
      </c>
      <c r="G1006" s="52" t="n">
        <f aca="false">IF($G$11=$E$11,$F$11,IF(U1006&lt;($F$11-$E$11)/($G$11-$E$11),$E$11+SQRT(U1006*($G$11-$E$11)*($F$11-$E$11)),$G$11-SQRT((1-U1006)*($G$11-$E$11)*($G$11-$F$11))))</f>
        <v>0.099065877154579</v>
      </c>
      <c r="H1006" s="53" t="n">
        <f aca="false">(('Business Case'!B11*$C1006*'Business Case'!B12*$B1006)-'Business Case'!B11*$C1006*'Business Case'!B13*$D1006-'Business Case'!B14*$E1006)-MAX(0,(('Business Case'!B11*$C1006*'Business Case'!B12*$B1006)-'Business Case'!B11*$C1006*'Business Case'!B13*$D1006-'Business Case'!B14*$E1006))*'Business Case'!$B$7-'Business Case'!$B$8*('Business Case'!B11*$C1006*'Business Case'!B12*$B1006)-'Business Case'!B15*$F1006</f>
        <v>-2143674844.36998</v>
      </c>
      <c r="I1006" s="53" t="n">
        <f aca="false">(('Business Case'!C11*$C1006*'Business Case'!C12*$B1006)-'Business Case'!C11*$C1006*'Business Case'!C13*$D1006-'Business Case'!C14*$E1006)-MAX(0,(('Business Case'!C11*$C1006*'Business Case'!C12*$B1006)-'Business Case'!C11*$C1006*'Business Case'!C13*$D1006-'Business Case'!C14*$E1006))*'Business Case'!$B$7-'Business Case'!$B$8*(('Business Case'!C11*$C1006*'Business Case'!C12*$B1006)-('Business Case'!B11*$C1006*'Business Case'!B12*$B1006))-'Business Case'!C15*$F1006</f>
        <v>-12638062.6660038</v>
      </c>
      <c r="J1006" s="53" t="n">
        <f aca="false">(('Business Case'!D11*$C1006*'Business Case'!D12*$B1006)-'Business Case'!D11*$C1006*'Business Case'!D13*$D1006-'Business Case'!D14*$E1006)-MAX(0,(('Business Case'!D11*$C1006*'Business Case'!D12*$B1006)-'Business Case'!D11*$C1006*'Business Case'!D13*$D1006-'Business Case'!D14*$E1006))*'Business Case'!$B$7-'Business Case'!$B$8*(('Business Case'!D11*$C1006*'Business Case'!D12*$B1006)-('Business Case'!C11*$C1006*'Business Case'!C12*$B1006))-'Business Case'!D15*$F1006</f>
        <v>278303446.035702</v>
      </c>
      <c r="K1006" s="53" t="n">
        <f aca="false">(('Business Case'!E11*$C1006*'Business Case'!E12*$B1006)-'Business Case'!E11*$C1006*'Business Case'!E13*$D1006-'Business Case'!E14*$E1006)-MAX(0,(('Business Case'!E11*$C1006*'Business Case'!E12*$B1006)-'Business Case'!E11*$C1006*'Business Case'!E13*$D1006-'Business Case'!E14*$E1006))*'Business Case'!$B$7-'Business Case'!$B$8*(('Business Case'!E11*$C1006*'Business Case'!E12*$B1006)-('Business Case'!D11*$C1006*'Business Case'!D12*$B1006))-'Business Case'!E15*$F1006</f>
        <v>622836825.846658</v>
      </c>
      <c r="L1006" s="53" t="n">
        <f aca="false">(('Business Case'!F11*$C1006*'Business Case'!F12*$B1006)-'Business Case'!F11*$C1006*'Business Case'!F13*$D1006-'Business Case'!F14*$E1006)-MAX(0,(('Business Case'!F11*$C1006*'Business Case'!F12*$B1006)-'Business Case'!F11*$C1006*'Business Case'!F13*$D1006-'Business Case'!F14*$E1006))*'Business Case'!$B$7-'Business Case'!$B$8*(('Business Case'!F11*$C1006*'Business Case'!F12*$B1006)-('Business Case'!E11*$C1006*'Business Case'!E12*$B1006))-'Business Case'!F15*$F1006</f>
        <v>752434562.256619</v>
      </c>
      <c r="M1006" s="53" t="n">
        <f aca="false">(('Business Case'!G11*$C1006*'Business Case'!G12*$B1006)-'Business Case'!G11*$C1006*'Business Case'!G13*$D1006-'Business Case'!G14*$E1006)-MAX(0,(('Business Case'!G11*$C1006*'Business Case'!G12*$B1006)-'Business Case'!G11*$C1006*'Business Case'!G13*$D1006-'Business Case'!G14*$E1006))*'Business Case'!$B$7-'Business Case'!$B$8*(('Business Case'!G11*$C1006*'Business Case'!G12*$B1006)-('Business Case'!F11*$C1006*'Business Case'!F12*$B1006))-'Business Case'!G15*$F1006+'Business Case'!$B$8*('Business Case'!G11*$C1006*'Business Case'!G12*$B1006)</f>
        <v>931829346.558279</v>
      </c>
      <c r="N1006" s="53" t="n">
        <f aca="false">IF(COUNT('Business Case'!B11:G11)=0,"",H1006+NPV(G1006,I1006:M1006))</f>
        <v>-358911039.896496</v>
      </c>
      <c r="P1006" s="54" t="n">
        <f aca="true">RAND()</f>
        <v>0.77688275081103</v>
      </c>
      <c r="Q1006" s="54" t="n">
        <f aca="true">RAND()</f>
        <v>0.26801025125896</v>
      </c>
      <c r="R1006" s="54" t="n">
        <f aca="true">RAND()</f>
        <v>0.460189356384255</v>
      </c>
      <c r="S1006" s="54" t="n">
        <f aca="true">RAND()</f>
        <v>0.7359065269403</v>
      </c>
      <c r="T1006" s="54" t="n">
        <f aca="true">RAND()</f>
        <v>0.671487072956234</v>
      </c>
      <c r="U1006" s="54" t="n">
        <f aca="true">RAND()</f>
        <v>0.273967095273056</v>
      </c>
    </row>
    <row r="1007" customFormat="false" ht="15" hidden="false" customHeight="false" outlineLevel="0" collapsed="false">
      <c r="A1007" s="50" t="n">
        <v>927</v>
      </c>
      <c r="B1007" s="51" t="n">
        <f aca="false">1+IF($G$6=$E$6,$F$6,IF(P1007&lt;($F$6-$E$6)/($G$6-$E$6),$E$6+SQRT(P1007*($G$6-$E$6)*($F$6-$E$6)),$G$6-SQRT((1-P1007)*($G$6-$E$6)*($G$6-$F$6))))</f>
        <v>0.990627604016939</v>
      </c>
      <c r="C1007" s="51" t="n">
        <f aca="false">1+IF($G$7=$E$7,$F$7,IF(Q1007&lt;($F$7-$E$7)/($G$7-$E$7),$E$7+SQRT(Q1007*($G$7-$E$7)*($F$7-$E$7)),$G$7-SQRT((1-Q1007)*($G$7-$E$7)*($G$7-$F$7))))</f>
        <v>0.966300938669444</v>
      </c>
      <c r="D1007" s="51" t="n">
        <f aca="false">1+IF($G$8=$E$8,$F$8,IF(R1007&lt;($F$8-$E$8)/($G$8-$E$8),$E$8+SQRT(R1007*($G$8-$E$8)*($F$8-$E$8)),$G$8-SQRT((1-R1007)*($G$8-$E$8)*($G$8-$F$8))))</f>
        <v>0.97871755529648</v>
      </c>
      <c r="E1007" s="51" t="n">
        <f aca="false">1+IF($G$9=$E$9,$F$9,IF(S1007&lt;($F$9-$E$9)/($G$9-$E$9),$E$9+SQRT(S1007*($G$9-$E$9)*($F$9-$E$9)),$G$9-SQRT((1-S1007)*($G$9-$E$9)*($G$9-$F$9))))</f>
        <v>1.08274755446449</v>
      </c>
      <c r="F1007" s="51" t="n">
        <f aca="false">1+IF($G$10=$E$10,$F$10,IF(T1007&lt;($F$10-$E$10)/($G$10-$E$10),$E$10+SQRT(T1007*($G$10-$E$10)*($F$10-$E$10)),$G$10-SQRT((1-T1007)*($G$10-$E$10)*($G$10-$F$10))))</f>
        <v>1.10093877816502</v>
      </c>
      <c r="G1007" s="52" t="n">
        <f aca="false">IF($G$11=$E$11,$F$11,IF(U1007&lt;($F$11-$E$11)/($G$11-$E$11),$E$11+SQRT(U1007*($G$11-$E$11)*($F$11-$E$11)),$G$11-SQRT((1-U1007)*($G$11-$E$11)*($G$11-$F$11))))</f>
        <v>0.0978811079285692</v>
      </c>
      <c r="H1007" s="53" t="n">
        <f aca="false">(('Business Case'!B11*$C1007*'Business Case'!B12*$B1007)-'Business Case'!B11*$C1007*'Business Case'!B13*$D1007-'Business Case'!B14*$E1007)-MAX(0,(('Business Case'!B11*$C1007*'Business Case'!B12*$B1007)-'Business Case'!B11*$C1007*'Business Case'!B13*$D1007-'Business Case'!B14*$E1007))*'Business Case'!$B$7-'Business Case'!$B$8*('Business Case'!B11*$C1007*'Business Case'!B12*$B1007)-'Business Case'!B15*$F1007</f>
        <v>-2201877556.33004</v>
      </c>
      <c r="I1007" s="53" t="n">
        <f aca="false">(('Business Case'!C11*$C1007*'Business Case'!C12*$B1007)-'Business Case'!C11*$C1007*'Business Case'!C13*$D1007-'Business Case'!C14*$E1007)-MAX(0,(('Business Case'!C11*$C1007*'Business Case'!C12*$B1007)-'Business Case'!C11*$C1007*'Business Case'!C13*$D1007-'Business Case'!C14*$E1007))*'Business Case'!$B$7-'Business Case'!$B$8*(('Business Case'!C11*$C1007*'Business Case'!C12*$B1007)-('Business Case'!B11*$C1007*'Business Case'!B12*$B1007))-'Business Case'!C15*$F1007</f>
        <v>-13773072.758248</v>
      </c>
      <c r="J1007" s="53" t="n">
        <f aca="false">(('Business Case'!D11*$C1007*'Business Case'!D12*$B1007)-'Business Case'!D11*$C1007*'Business Case'!D13*$D1007-'Business Case'!D14*$E1007)-MAX(0,(('Business Case'!D11*$C1007*'Business Case'!D12*$B1007)-'Business Case'!D11*$C1007*'Business Case'!D13*$D1007-'Business Case'!D14*$E1007))*'Business Case'!$B$7-'Business Case'!$B$8*(('Business Case'!D11*$C1007*'Business Case'!D12*$B1007)-('Business Case'!C11*$C1007*'Business Case'!C12*$B1007))-'Business Case'!D15*$F1007</f>
        <v>286137983.392414</v>
      </c>
      <c r="K1007" s="53" t="n">
        <f aca="false">(('Business Case'!E11*$C1007*'Business Case'!E12*$B1007)-'Business Case'!E11*$C1007*'Business Case'!E13*$D1007-'Business Case'!E14*$E1007)-MAX(0,(('Business Case'!E11*$C1007*'Business Case'!E12*$B1007)-'Business Case'!E11*$C1007*'Business Case'!E13*$D1007-'Business Case'!E14*$E1007))*'Business Case'!$B$7-'Business Case'!$B$8*(('Business Case'!E11*$C1007*'Business Case'!E12*$B1007)-('Business Case'!D11*$C1007*'Business Case'!D12*$B1007))-'Business Case'!E15*$F1007</f>
        <v>641095978.451326</v>
      </c>
      <c r="L1007" s="53" t="n">
        <f aca="false">(('Business Case'!F11*$C1007*'Business Case'!F12*$B1007)-'Business Case'!F11*$C1007*'Business Case'!F13*$D1007-'Business Case'!F14*$E1007)-MAX(0,(('Business Case'!F11*$C1007*'Business Case'!F12*$B1007)-'Business Case'!F11*$C1007*'Business Case'!F13*$D1007-'Business Case'!F14*$E1007))*'Business Case'!$B$7-'Business Case'!$B$8*(('Business Case'!F11*$C1007*'Business Case'!F12*$B1007)-('Business Case'!E11*$C1007*'Business Case'!E12*$B1007))-'Business Case'!F15*$F1007</f>
        <v>774148696.399918</v>
      </c>
      <c r="M1007" s="53" t="n">
        <f aca="false">(('Business Case'!G11*$C1007*'Business Case'!G12*$B1007)-'Business Case'!G11*$C1007*'Business Case'!G13*$D1007-'Business Case'!G14*$E1007)-MAX(0,(('Business Case'!G11*$C1007*'Business Case'!G12*$B1007)-'Business Case'!G11*$C1007*'Business Case'!G13*$D1007-'Business Case'!G14*$E1007))*'Business Case'!$B$7-'Business Case'!$B$8*(('Business Case'!G11*$C1007*'Business Case'!G12*$B1007)-('Business Case'!F11*$C1007*'Business Case'!F12*$B1007))-'Business Case'!G15*$F1007+'Business Case'!$B$8*('Business Case'!G11*$C1007*'Business Case'!G12*$B1007)</f>
        <v>956101708.840961</v>
      </c>
      <c r="N1007" s="53" t="n">
        <f aca="false">IF(COUNT('Business Case'!B11:G11)=0,"",H1007+NPV(G1007,I1007:M1007))</f>
        <v>-360309594.840407</v>
      </c>
      <c r="P1007" s="54" t="n">
        <f aca="true">RAND()</f>
        <v>0.519610255122243</v>
      </c>
      <c r="Q1007" s="54" t="n">
        <f aca="true">RAND()</f>
        <v>0.395085745747686</v>
      </c>
      <c r="R1007" s="54" t="n">
        <f aca="true">RAND()</f>
        <v>0.126876612647139</v>
      </c>
      <c r="S1007" s="54" t="n">
        <f aca="true">RAND()</f>
        <v>0.980156874869625</v>
      </c>
      <c r="T1007" s="54" t="n">
        <f aca="true">RAND()</f>
        <v>0.803737486571208</v>
      </c>
      <c r="U1007" s="54" t="n">
        <f aca="true">RAND()</f>
        <v>0.207039540605852</v>
      </c>
    </row>
    <row r="1008" customFormat="false" ht="15" hidden="false" customHeight="false" outlineLevel="0" collapsed="false">
      <c r="A1008" s="50" t="n">
        <v>928</v>
      </c>
      <c r="B1008" s="51" t="n">
        <f aca="false">1+IF($G$6=$E$6,$F$6,IF(P1008&lt;($F$6-$E$6)/($G$6-$E$6),$E$6+SQRT(P1008*($G$6-$E$6)*($F$6-$E$6)),$G$6-SQRT((1-P1008)*($G$6-$E$6)*($G$6-$F$6))))</f>
        <v>1.01115531861788</v>
      </c>
      <c r="C1008" s="51" t="n">
        <f aca="false">1+IF($G$7=$E$7,$F$7,IF(Q1008&lt;($F$7-$E$7)/($G$7-$E$7),$E$7+SQRT(Q1008*($G$7-$E$7)*($F$7-$E$7)),$G$7-SQRT((1-Q1008)*($G$7-$E$7)*($G$7-$F$7))))</f>
        <v>1.00223395230097</v>
      </c>
      <c r="D1008" s="51" t="n">
        <f aca="false">1+IF($G$8=$E$8,$F$8,IF(R1008&lt;($F$8-$E$8)/($G$8-$E$8),$E$8+SQRT(R1008*($G$8-$E$8)*($F$8-$E$8)),$G$8-SQRT((1-R1008)*($G$8-$E$8)*($G$8-$F$8))))</f>
        <v>1.02818067356612</v>
      </c>
      <c r="E1008" s="51" t="n">
        <f aca="false">1+IF($G$9=$E$9,$F$9,IF(S1008&lt;($F$9-$E$9)/($G$9-$E$9),$E$9+SQRT(S1008*($G$9-$E$9)*($F$9-$E$9)),$G$9-SQRT((1-S1008)*($G$9-$E$9)*($G$9-$F$9))))</f>
        <v>1.01132701242759</v>
      </c>
      <c r="F1008" s="51" t="n">
        <f aca="false">1+IF($G$10=$E$10,$F$10,IF(T1008&lt;($F$10-$E$10)/($G$10-$E$10),$E$10+SQRT(T1008*($G$10-$E$10)*($F$10-$E$10)),$G$10-SQRT((1-T1008)*($G$10-$E$10)*($G$10-$F$10))))</f>
        <v>1.08071588545399</v>
      </c>
      <c r="G1008" s="52" t="n">
        <f aca="false">IF($G$11=$E$11,$F$11,IF(U1008&lt;($F$11-$E$11)/($G$11-$E$11),$E$11+SQRT(U1008*($G$11-$E$11)*($F$11-$E$11)),$G$11-SQRT((1-U1008)*($G$11-$E$11)*($G$11-$F$11))))</f>
        <v>0.112271608771442</v>
      </c>
      <c r="H1008" s="53" t="n">
        <f aca="false">(('Business Case'!B11*$C1008*'Business Case'!B12*$B1008)-'Business Case'!B11*$C1008*'Business Case'!B13*$D1008-'Business Case'!B14*$E1008)-MAX(0,(('Business Case'!B11*$C1008*'Business Case'!B12*$B1008)-'Business Case'!B11*$C1008*'Business Case'!B13*$D1008-'Business Case'!B14*$E1008))*'Business Case'!$B$7-'Business Case'!$B$8*('Business Case'!B11*$C1008*'Business Case'!B12*$B1008)-'Business Case'!B15*$F1008</f>
        <v>-2161431770.90797</v>
      </c>
      <c r="I1008" s="53" t="n">
        <f aca="false">(('Business Case'!C11*$C1008*'Business Case'!C12*$B1008)-'Business Case'!C11*$C1008*'Business Case'!C13*$D1008-'Business Case'!C14*$E1008)-MAX(0,(('Business Case'!C11*$C1008*'Business Case'!C12*$B1008)-'Business Case'!C11*$C1008*'Business Case'!C13*$D1008-'Business Case'!C14*$E1008))*'Business Case'!$B$7-'Business Case'!$B$8*(('Business Case'!C11*$C1008*'Business Case'!C12*$B1008)-('Business Case'!B11*$C1008*'Business Case'!B12*$B1008))-'Business Case'!C15*$F1008</f>
        <v>-1880575.66971251</v>
      </c>
      <c r="J1008" s="53" t="n">
        <f aca="false">(('Business Case'!D11*$C1008*'Business Case'!D12*$B1008)-'Business Case'!D11*$C1008*'Business Case'!D13*$D1008-'Business Case'!D14*$E1008)-MAX(0,(('Business Case'!D11*$C1008*'Business Case'!D12*$B1008)-'Business Case'!D11*$C1008*'Business Case'!D13*$D1008-'Business Case'!D14*$E1008))*'Business Case'!$B$7-'Business Case'!$B$8*(('Business Case'!D11*$C1008*'Business Case'!D12*$B1008)-('Business Case'!C11*$C1008*'Business Case'!C12*$B1008))-'Business Case'!D15*$F1008</f>
        <v>300656530.053722</v>
      </c>
      <c r="K1008" s="53" t="n">
        <f aca="false">(('Business Case'!E11*$C1008*'Business Case'!E12*$B1008)-'Business Case'!E11*$C1008*'Business Case'!E13*$D1008-'Business Case'!E14*$E1008)-MAX(0,(('Business Case'!E11*$C1008*'Business Case'!E12*$B1008)-'Business Case'!E11*$C1008*'Business Case'!E13*$D1008-'Business Case'!E14*$E1008))*'Business Case'!$B$7-'Business Case'!$B$8*(('Business Case'!E11*$C1008*'Business Case'!E12*$B1008)-('Business Case'!D11*$C1008*'Business Case'!D12*$B1008))-'Business Case'!E15*$F1008</f>
        <v>657229430.049856</v>
      </c>
      <c r="L1008" s="53" t="n">
        <f aca="false">(('Business Case'!F11*$C1008*'Business Case'!F12*$B1008)-'Business Case'!F11*$C1008*'Business Case'!F13*$D1008-'Business Case'!F14*$E1008)-MAX(0,(('Business Case'!F11*$C1008*'Business Case'!F12*$B1008)-'Business Case'!F11*$C1008*'Business Case'!F13*$D1008-'Business Case'!F14*$E1008))*'Business Case'!$B$7-'Business Case'!$B$8*(('Business Case'!F11*$C1008*'Business Case'!F12*$B1008)-('Business Case'!E11*$C1008*'Business Case'!E12*$B1008))-'Business Case'!F15*$F1008</f>
        <v>793098726.411364</v>
      </c>
      <c r="M1008" s="53" t="n">
        <f aca="false">(('Business Case'!G11*$C1008*'Business Case'!G12*$B1008)-'Business Case'!G11*$C1008*'Business Case'!G13*$D1008-'Business Case'!G14*$E1008)-MAX(0,(('Business Case'!G11*$C1008*'Business Case'!G12*$B1008)-'Business Case'!G11*$C1008*'Business Case'!G13*$D1008-'Business Case'!G14*$E1008))*'Business Case'!$B$7-'Business Case'!$B$8*(('Business Case'!G11*$C1008*'Business Case'!G12*$B1008)-('Business Case'!F11*$C1008*'Business Case'!F12*$B1008))-'Business Case'!G15*$F1008+'Business Case'!$B$8*('Business Case'!G11*$C1008*'Business Case'!G12*$B1008)</f>
        <v>985728495.906696</v>
      </c>
      <c r="N1008" s="53" t="n">
        <f aca="false">IF(COUNT('Business Case'!B11:G11)=0,"",H1008+NPV(G1008,I1008:M1008))</f>
        <v>-345260048.1215</v>
      </c>
      <c r="P1008" s="54" t="n">
        <f aca="true">RAND()</f>
        <v>0.826663407492485</v>
      </c>
      <c r="Q1008" s="54" t="n">
        <f aca="true">RAND()</f>
        <v>0.584098955188709</v>
      </c>
      <c r="R1008" s="54" t="n">
        <f aca="true">RAND()</f>
        <v>0.741803596917166</v>
      </c>
      <c r="S1008" s="54" t="n">
        <f aca="true">RAND()</f>
        <v>0.47580675166552</v>
      </c>
      <c r="T1008" s="54" t="n">
        <f aca="true">RAND()</f>
        <v>0.715426000339474</v>
      </c>
      <c r="U1008" s="54" t="n">
        <f aca="true">RAND()</f>
        <v>0.90045328169724</v>
      </c>
    </row>
    <row r="1009" customFormat="false" ht="15" hidden="false" customHeight="false" outlineLevel="0" collapsed="false">
      <c r="A1009" s="50" t="n">
        <v>929</v>
      </c>
      <c r="B1009" s="51" t="n">
        <f aca="false">1+IF($G$6=$E$6,$F$6,IF(P1009&lt;($F$6-$E$6)/($G$6-$E$6),$E$6+SQRT(P1009*($G$6-$E$6)*($F$6-$E$6)),$G$6-SQRT((1-P1009)*($G$6-$E$6)*($G$6-$F$6))))</f>
        <v>0.991890438473166</v>
      </c>
      <c r="C1009" s="51" t="n">
        <f aca="false">1+IF($G$7=$E$7,$F$7,IF(Q1009&lt;($F$7-$E$7)/($G$7-$E$7),$E$7+SQRT(Q1009*($G$7-$E$7)*($F$7-$E$7)),$G$7-SQRT((1-Q1009)*($G$7-$E$7)*($G$7-$F$7))))</f>
        <v>0.889651544703853</v>
      </c>
      <c r="D1009" s="51" t="n">
        <f aca="false">1+IF($G$8=$E$8,$F$8,IF(R1009&lt;($F$8-$E$8)/($G$8-$E$8),$E$8+SQRT(R1009*($G$8-$E$8)*($F$8-$E$8)),$G$8-SQRT((1-R1009)*($G$8-$E$8)*($G$8-$F$8))))</f>
        <v>0.976608143530869</v>
      </c>
      <c r="E1009" s="51" t="n">
        <f aca="false">1+IF($G$9=$E$9,$F$9,IF(S1009&lt;($F$9-$E$9)/($G$9-$E$9),$E$9+SQRT(S1009*($G$9-$E$9)*($F$9-$E$9)),$G$9-SQRT((1-S1009)*($G$9-$E$9)*($G$9-$F$9))))</f>
        <v>0.993603273794709</v>
      </c>
      <c r="F1009" s="51" t="n">
        <f aca="false">1+IF($G$10=$E$10,$F$10,IF(T1009&lt;($F$10-$E$10)/($G$10-$E$10),$E$10+SQRT(T1009*($G$10-$E$10)*($F$10-$E$10)),$G$10-SQRT((1-T1009)*($G$10-$E$10)*($G$10-$F$10))))</f>
        <v>0.958085937296451</v>
      </c>
      <c r="G1009" s="52" t="n">
        <f aca="false">IF($G$11=$E$11,$F$11,IF(U1009&lt;($F$11-$E$11)/($G$11-$E$11),$E$11+SQRT(U1009*($G$11-$E$11)*($F$11-$E$11)),$G$11-SQRT((1-U1009)*($G$11-$E$11)*($G$11-$F$11))))</f>
        <v>0.0989978788269085</v>
      </c>
      <c r="H1009" s="53" t="n">
        <f aca="false">(('Business Case'!B11*$C1009*'Business Case'!B12*$B1009)-'Business Case'!B11*$C1009*'Business Case'!B13*$D1009-'Business Case'!B14*$E1009)-MAX(0,(('Business Case'!B11*$C1009*'Business Case'!B12*$B1009)-'Business Case'!B11*$C1009*'Business Case'!B13*$D1009-'Business Case'!B14*$E1009))*'Business Case'!$B$7-'Business Case'!$B$8*('Business Case'!B11*$C1009*'Business Case'!B12*$B1009)-'Business Case'!B15*$F1009</f>
        <v>-1916171874.5929</v>
      </c>
      <c r="I1009" s="53" t="n">
        <f aca="false">(('Business Case'!C11*$C1009*'Business Case'!C12*$B1009)-'Business Case'!C11*$C1009*'Business Case'!C13*$D1009-'Business Case'!C14*$E1009)-MAX(0,(('Business Case'!C11*$C1009*'Business Case'!C12*$B1009)-'Business Case'!C11*$C1009*'Business Case'!C13*$D1009-'Business Case'!C14*$E1009))*'Business Case'!$B$7-'Business Case'!$B$8*(('Business Case'!C11*$C1009*'Business Case'!C12*$B1009)-('Business Case'!B11*$C1009*'Business Case'!B12*$B1009))-'Business Case'!C15*$F1009</f>
        <v>-4842237.48245522</v>
      </c>
      <c r="J1009" s="53" t="n">
        <f aca="false">(('Business Case'!D11*$C1009*'Business Case'!D12*$B1009)-'Business Case'!D11*$C1009*'Business Case'!D13*$D1009-'Business Case'!D14*$E1009)-MAX(0,(('Business Case'!D11*$C1009*'Business Case'!D12*$B1009)-'Business Case'!D11*$C1009*'Business Case'!D13*$D1009-'Business Case'!D14*$E1009))*'Business Case'!$B$7-'Business Case'!$B$8*(('Business Case'!D11*$C1009*'Business Case'!D12*$B1009)-('Business Case'!C11*$C1009*'Business Case'!C12*$B1009))-'Business Case'!D15*$F1009</f>
        <v>273160031.160381</v>
      </c>
      <c r="K1009" s="53" t="n">
        <f aca="false">(('Business Case'!E11*$C1009*'Business Case'!E12*$B1009)-'Business Case'!E11*$C1009*'Business Case'!E13*$D1009-'Business Case'!E14*$E1009)-MAX(0,(('Business Case'!E11*$C1009*'Business Case'!E12*$B1009)-'Business Case'!E11*$C1009*'Business Case'!E13*$D1009-'Business Case'!E14*$E1009))*'Business Case'!$B$7-'Business Case'!$B$8*(('Business Case'!E11*$C1009*'Business Case'!E12*$B1009)-('Business Case'!D11*$C1009*'Business Case'!D12*$B1009))-'Business Case'!E15*$F1009</f>
        <v>599066596.66804</v>
      </c>
      <c r="L1009" s="53" t="n">
        <f aca="false">(('Business Case'!F11*$C1009*'Business Case'!F12*$B1009)-'Business Case'!F11*$C1009*'Business Case'!F13*$D1009-'Business Case'!F14*$E1009)-MAX(0,(('Business Case'!F11*$C1009*'Business Case'!F12*$B1009)-'Business Case'!F11*$C1009*'Business Case'!F13*$D1009-'Business Case'!F14*$E1009))*'Business Case'!$B$7-'Business Case'!$B$8*(('Business Case'!F11*$C1009*'Business Case'!F12*$B1009)-('Business Case'!E11*$C1009*'Business Case'!E12*$B1009))-'Business Case'!F15*$F1009</f>
        <v>722231037.457011</v>
      </c>
      <c r="M1009" s="53" t="n">
        <f aca="false">(('Business Case'!G11*$C1009*'Business Case'!G12*$B1009)-'Business Case'!G11*$C1009*'Business Case'!G13*$D1009-'Business Case'!G14*$E1009)-MAX(0,(('Business Case'!G11*$C1009*'Business Case'!G12*$B1009)-'Business Case'!G11*$C1009*'Business Case'!G13*$D1009-'Business Case'!G14*$E1009))*'Business Case'!$B$7-'Business Case'!$B$8*(('Business Case'!G11*$C1009*'Business Case'!G12*$B1009)-('Business Case'!F11*$C1009*'Business Case'!F12*$B1009))-'Business Case'!G15*$F1009+'Business Case'!$B$8*('Business Case'!G11*$C1009*'Business Case'!G12*$B1009)</f>
        <v>889964635.951152</v>
      </c>
      <c r="N1009" s="53" t="n">
        <f aca="false">IF(COUNT('Business Case'!B11:G11)=0,"",H1009+NPV(G1009,I1009:M1009))</f>
        <v>-192876709.951427</v>
      </c>
      <c r="P1009" s="54" t="n">
        <f aca="true">RAND()</f>
        <v>0.538357827485839</v>
      </c>
      <c r="Q1009" s="54" t="n">
        <f aca="true">RAND()</f>
        <v>0.114819992396957</v>
      </c>
      <c r="R1009" s="54" t="n">
        <f aca="true">RAND()</f>
        <v>0.108922046486054</v>
      </c>
      <c r="S1009" s="54" t="n">
        <f aca="true">RAND()</f>
        <v>0.253499398082183</v>
      </c>
      <c r="T1009" s="54" t="n">
        <f aca="true">RAND()</f>
        <v>0.00523059055697139</v>
      </c>
      <c r="U1009" s="54" t="n">
        <f aca="true">RAND()</f>
        <v>0.269872744612429</v>
      </c>
    </row>
    <row r="1010" customFormat="false" ht="15" hidden="false" customHeight="false" outlineLevel="0" collapsed="false">
      <c r="A1010" s="50" t="n">
        <v>930</v>
      </c>
      <c r="B1010" s="51" t="n">
        <f aca="false">1+IF($G$6=$E$6,$F$6,IF(P1010&lt;($F$6-$E$6)/($G$6-$E$6),$E$6+SQRT(P1010*($G$6-$E$6)*($F$6-$E$6)),$G$6-SQRT((1-P1010)*($G$6-$E$6)*($G$6-$F$6))))</f>
        <v>0.968952236300329</v>
      </c>
      <c r="C1010" s="51" t="n">
        <f aca="false">1+IF($G$7=$E$7,$F$7,IF(Q1010&lt;($F$7-$E$7)/($G$7-$E$7),$E$7+SQRT(Q1010*($G$7-$E$7)*($F$7-$E$7)),$G$7-SQRT((1-Q1010)*($G$7-$E$7)*($G$7-$F$7))))</f>
        <v>1.08795313871707</v>
      </c>
      <c r="D1010" s="51" t="n">
        <f aca="false">1+IF($G$8=$E$8,$F$8,IF(R1010&lt;($F$8-$E$8)/($G$8-$E$8),$E$8+SQRT(R1010*($G$8-$E$8)*($F$8-$E$8)),$G$8-SQRT((1-R1010)*($G$8-$E$8)*($G$8-$F$8))))</f>
        <v>1.00426251459155</v>
      </c>
      <c r="E1010" s="51" t="n">
        <f aca="false">1+IF($G$9=$E$9,$F$9,IF(S1010&lt;($F$9-$E$9)/($G$9-$E$9),$E$9+SQRT(S1010*($G$9-$E$9)*($F$9-$E$9)),$G$9-SQRT((1-S1010)*($G$9-$E$9)*($G$9-$F$9))))</f>
        <v>1.08216144348164</v>
      </c>
      <c r="F1010" s="51" t="n">
        <f aca="false">1+IF($G$10=$E$10,$F$10,IF(T1010&lt;($F$10-$E$10)/($G$10-$E$10),$E$10+SQRT(T1010*($G$10-$E$10)*($F$10-$E$10)),$G$10-SQRT((1-T1010)*($G$10-$E$10)*($G$10-$F$10))))</f>
        <v>0.999831251063375</v>
      </c>
      <c r="G1010" s="52" t="n">
        <f aca="false">IF($G$11=$E$11,$F$11,IF(U1010&lt;($F$11-$E$11)/($G$11-$E$11),$E$11+SQRT(U1010*($G$11-$E$11)*($F$11-$E$11)),$G$11-SQRT((1-U1010)*($G$11-$E$11)*($G$11-$F$11))))</f>
        <v>0.11718560204832</v>
      </c>
      <c r="H1010" s="53" t="n">
        <f aca="false">(('Business Case'!B11*$C1010*'Business Case'!B12*$B1010)-'Business Case'!B11*$C1010*'Business Case'!B13*$D1010-'Business Case'!B14*$E1010)-MAX(0,(('Business Case'!B11*$C1010*'Business Case'!B12*$B1010)-'Business Case'!B11*$C1010*'Business Case'!B13*$D1010-'Business Case'!B14*$E1010))*'Business Case'!$B$7-'Business Case'!$B$8*('Business Case'!B11*$C1010*'Business Case'!B12*$B1010)-'Business Case'!B15*$F1010</f>
        <v>-1999662502.12675</v>
      </c>
      <c r="I1010" s="53" t="n">
        <f aca="false">(('Business Case'!C11*$C1010*'Business Case'!C12*$B1010)-'Business Case'!C11*$C1010*'Business Case'!C13*$D1010-'Business Case'!C14*$E1010)-MAX(0,(('Business Case'!C11*$C1010*'Business Case'!C12*$B1010)-'Business Case'!C11*$C1010*'Business Case'!C13*$D1010-'Business Case'!C14*$E1010))*'Business Case'!$B$7-'Business Case'!$B$8*(('Business Case'!C11*$C1010*'Business Case'!C12*$B1010)-('Business Case'!B11*$C1010*'Business Case'!B12*$B1010))-'Business Case'!C15*$F1010</f>
        <v>-4388931.97552411</v>
      </c>
      <c r="J1010" s="53" t="n">
        <f aca="false">(('Business Case'!D11*$C1010*'Business Case'!D12*$B1010)-'Business Case'!D11*$C1010*'Business Case'!D13*$D1010-'Business Case'!D14*$E1010)-MAX(0,(('Business Case'!D11*$C1010*'Business Case'!D12*$B1010)-'Business Case'!D11*$C1010*'Business Case'!D13*$D1010-'Business Case'!D14*$E1010))*'Business Case'!$B$7-'Business Case'!$B$8*(('Business Case'!D11*$C1010*'Business Case'!D12*$B1010)-('Business Case'!C11*$C1010*'Business Case'!C12*$B1010))-'Business Case'!D15*$F1010</f>
        <v>299737031.069092</v>
      </c>
      <c r="K1010" s="53" t="n">
        <f aca="false">(('Business Case'!E11*$C1010*'Business Case'!E12*$B1010)-'Business Case'!E11*$C1010*'Business Case'!E13*$D1010-'Business Case'!E14*$E1010)-MAX(0,(('Business Case'!E11*$C1010*'Business Case'!E12*$B1010)-'Business Case'!E11*$C1010*'Business Case'!E13*$D1010-'Business Case'!E14*$E1010))*'Business Case'!$B$7-'Business Case'!$B$8*(('Business Case'!E11*$C1010*'Business Case'!E12*$B1010)-('Business Case'!D11*$C1010*'Business Case'!D12*$B1010))-'Business Case'!E15*$F1010</f>
        <v>653854556.666877</v>
      </c>
      <c r="L1010" s="53" t="n">
        <f aca="false">(('Business Case'!F11*$C1010*'Business Case'!F12*$B1010)-'Business Case'!F11*$C1010*'Business Case'!F13*$D1010-'Business Case'!F14*$E1010)-MAX(0,(('Business Case'!F11*$C1010*'Business Case'!F12*$B1010)-'Business Case'!F11*$C1010*'Business Case'!F13*$D1010-'Business Case'!F14*$E1010))*'Business Case'!$B$7-'Business Case'!$B$8*(('Business Case'!F11*$C1010*'Business Case'!F12*$B1010)-('Business Case'!E11*$C1010*'Business Case'!E12*$B1010))-'Business Case'!F15*$F1010</f>
        <v>791662152.782225</v>
      </c>
      <c r="M1010" s="53" t="n">
        <f aca="false">(('Business Case'!G11*$C1010*'Business Case'!G12*$B1010)-'Business Case'!G11*$C1010*'Business Case'!G13*$D1010-'Business Case'!G14*$E1010)-MAX(0,(('Business Case'!G11*$C1010*'Business Case'!G12*$B1010)-'Business Case'!G11*$C1010*'Business Case'!G13*$D1010-'Business Case'!G14*$E1010))*'Business Case'!$B$7-'Business Case'!$B$8*(('Business Case'!G11*$C1010*'Business Case'!G12*$B1010)-('Business Case'!F11*$C1010*'Business Case'!F12*$B1010))-'Business Case'!G15*$F1010+'Business Case'!$B$8*('Business Case'!G11*$C1010*'Business Case'!G12*$B1010)</f>
        <v>992039665.834839</v>
      </c>
      <c r="N1010" s="53" t="n">
        <f aca="false">IF(COUNT('Business Case'!B11:G11)=0,"",H1010+NPV(G1010,I1010:M1010))</f>
        <v>-216269488.065118</v>
      </c>
      <c r="P1010" s="54" t="n">
        <f aca="true">RAND()</f>
        <v>0.249616816542005</v>
      </c>
      <c r="Q1010" s="54" t="n">
        <f aca="true">RAND()</f>
        <v>0.926670228665461</v>
      </c>
      <c r="R1010" s="54" t="n">
        <f aca="true">RAND()</f>
        <v>0.448445510000509</v>
      </c>
      <c r="S1010" s="54" t="n">
        <f aca="true">RAND()</f>
        <v>0.978785726756096</v>
      </c>
      <c r="T1010" s="54" t="n">
        <f aca="true">RAND()</f>
        <v>0.198652286603285</v>
      </c>
      <c r="U1010" s="54" t="n">
        <f aca="true">RAND()</f>
        <v>0.986798606949299</v>
      </c>
    </row>
    <row r="1011" customFormat="false" ht="15" hidden="false" customHeight="false" outlineLevel="0" collapsed="false">
      <c r="A1011" s="50" t="n">
        <v>931</v>
      </c>
      <c r="B1011" s="51" t="n">
        <f aca="false">1+IF($G$6=$E$6,$F$6,IF(P1011&lt;($F$6-$E$6)/($G$6-$E$6),$E$6+SQRT(P1011*($G$6-$E$6)*($F$6-$E$6)),$G$6-SQRT((1-P1011)*($G$6-$E$6)*($G$6-$F$6))))</f>
        <v>0.974359333933937</v>
      </c>
      <c r="C1011" s="51" t="n">
        <f aca="false">1+IF($G$7=$E$7,$F$7,IF(Q1011&lt;($F$7-$E$7)/($G$7-$E$7),$E$7+SQRT(Q1011*($G$7-$E$7)*($F$7-$E$7)),$G$7-SQRT((1-Q1011)*($G$7-$E$7)*($G$7-$F$7))))</f>
        <v>1.01816951516528</v>
      </c>
      <c r="D1011" s="51" t="n">
        <f aca="false">1+IF($G$8=$E$8,$F$8,IF(R1011&lt;($F$8-$E$8)/($G$8-$E$8),$E$8+SQRT(R1011*($G$8-$E$8)*($F$8-$E$8)),$G$8-SQRT((1-R1011)*($G$8-$E$8)*($G$8-$F$8))))</f>
        <v>1.01322895892265</v>
      </c>
      <c r="E1011" s="51" t="n">
        <f aca="false">1+IF($G$9=$E$9,$F$9,IF(S1011&lt;($F$9-$E$9)/($G$9-$E$9),$E$9+SQRT(S1011*($G$9-$E$9)*($F$9-$E$9)),$G$9-SQRT((1-S1011)*($G$9-$E$9)*($G$9-$F$9))))</f>
        <v>1.00517311891001</v>
      </c>
      <c r="F1011" s="51" t="n">
        <f aca="false">1+IF($G$10=$E$10,$F$10,IF(T1011&lt;($F$10-$E$10)/($G$10-$E$10),$E$10+SQRT(T1011*($G$10-$E$10)*($F$10-$E$10)),$G$10-SQRT((1-T1011)*($G$10-$E$10)*($G$10-$F$10))))</f>
        <v>1.0504707431614</v>
      </c>
      <c r="G1011" s="52" t="n">
        <f aca="false">IF($G$11=$E$11,$F$11,IF(U1011&lt;($F$11-$E$11)/($G$11-$E$11),$E$11+SQRT(U1011*($G$11-$E$11)*($F$11-$E$11)),$G$11-SQRT((1-U1011)*($G$11-$E$11)*($G$11-$F$11))))</f>
        <v>0.100009082694736</v>
      </c>
      <c r="H1011" s="53" t="n">
        <f aca="false">(('Business Case'!B11*$C1011*'Business Case'!B12*$B1011)-'Business Case'!B11*$C1011*'Business Case'!B13*$D1011-'Business Case'!B14*$E1011)-MAX(0,(('Business Case'!B11*$C1011*'Business Case'!B12*$B1011)-'Business Case'!B11*$C1011*'Business Case'!B13*$D1011-'Business Case'!B14*$E1011))*'Business Case'!$B$7-'Business Case'!$B$8*('Business Case'!B11*$C1011*'Business Case'!B12*$B1011)-'Business Case'!B15*$F1011</f>
        <v>-2100941486.3228</v>
      </c>
      <c r="I1011" s="53" t="n">
        <f aca="false">(('Business Case'!C11*$C1011*'Business Case'!C12*$B1011)-'Business Case'!C11*$C1011*'Business Case'!C13*$D1011-'Business Case'!C14*$E1011)-MAX(0,(('Business Case'!C11*$C1011*'Business Case'!C12*$B1011)-'Business Case'!C11*$C1011*'Business Case'!C13*$D1011-'Business Case'!C14*$E1011))*'Business Case'!$B$7-'Business Case'!$B$8*(('Business Case'!C11*$C1011*'Business Case'!C12*$B1011)-('Business Case'!B11*$C1011*'Business Case'!B12*$B1011))-'Business Case'!C15*$F1011</f>
        <v>-14956788.6201786</v>
      </c>
      <c r="J1011" s="53" t="n">
        <f aca="false">(('Business Case'!D11*$C1011*'Business Case'!D12*$B1011)-'Business Case'!D11*$C1011*'Business Case'!D13*$D1011-'Business Case'!D14*$E1011)-MAX(0,(('Business Case'!D11*$C1011*'Business Case'!D12*$B1011)-'Business Case'!D11*$C1011*'Business Case'!D13*$D1011-'Business Case'!D14*$E1011))*'Business Case'!$B$7-'Business Case'!$B$8*(('Business Case'!D11*$C1011*'Business Case'!D12*$B1011)-('Business Case'!C11*$C1011*'Business Case'!C12*$B1011))-'Business Case'!D15*$F1011</f>
        <v>269497658.982157</v>
      </c>
      <c r="K1011" s="53" t="n">
        <f aca="false">(('Business Case'!E11*$C1011*'Business Case'!E12*$B1011)-'Business Case'!E11*$C1011*'Business Case'!E13*$D1011-'Business Case'!E14*$E1011)-MAX(0,(('Business Case'!E11*$C1011*'Business Case'!E12*$B1011)-'Business Case'!E11*$C1011*'Business Case'!E13*$D1011-'Business Case'!E14*$E1011))*'Business Case'!$B$7-'Business Case'!$B$8*(('Business Case'!E11*$C1011*'Business Case'!E12*$B1011)-('Business Case'!D11*$C1011*'Business Case'!D12*$B1011))-'Business Case'!E15*$F1011</f>
        <v>606475643.742562</v>
      </c>
      <c r="L1011" s="53" t="n">
        <f aca="false">(('Business Case'!F11*$C1011*'Business Case'!F12*$B1011)-'Business Case'!F11*$C1011*'Business Case'!F13*$D1011-'Business Case'!F14*$E1011)-MAX(0,(('Business Case'!F11*$C1011*'Business Case'!F12*$B1011)-'Business Case'!F11*$C1011*'Business Case'!F13*$D1011-'Business Case'!F14*$E1011))*'Business Case'!$B$7-'Business Case'!$B$8*(('Business Case'!F11*$C1011*'Business Case'!F12*$B1011)-('Business Case'!E11*$C1011*'Business Case'!E12*$B1011))-'Business Case'!F15*$F1011</f>
        <v>735579489.208254</v>
      </c>
      <c r="M1011" s="53" t="n">
        <f aca="false">(('Business Case'!G11*$C1011*'Business Case'!G12*$B1011)-'Business Case'!G11*$C1011*'Business Case'!G13*$D1011-'Business Case'!G14*$E1011)-MAX(0,(('Business Case'!G11*$C1011*'Business Case'!G12*$B1011)-'Business Case'!G11*$C1011*'Business Case'!G13*$D1011-'Business Case'!G14*$E1011))*'Business Case'!$B$7-'Business Case'!$B$8*(('Business Case'!G11*$C1011*'Business Case'!G12*$B1011)-('Business Case'!F11*$C1011*'Business Case'!F12*$B1011))-'Business Case'!G15*$F1011+'Business Case'!$B$8*('Business Case'!G11*$C1011*'Business Case'!G12*$B1011)</f>
        <v>924150818.665277</v>
      </c>
      <c r="N1011" s="53" t="n">
        <f aca="false">IF(COUNT('Business Case'!B11:G11)=0,"",H1011+NPV(G1011,I1011:M1011))</f>
        <v>-359978599.317521</v>
      </c>
      <c r="P1011" s="54" t="n">
        <f aca="true">RAND()</f>
        <v>0.30780595684805</v>
      </c>
      <c r="Q1011" s="54" t="n">
        <f aca="true">RAND()</f>
        <v>0.668966157490327</v>
      </c>
      <c r="R1011" s="54" t="n">
        <f aca="true">RAND()</f>
        <v>0.571310391677597</v>
      </c>
      <c r="S1011" s="54" t="n">
        <f aca="true">RAND()</f>
        <v>0.400524174849688</v>
      </c>
      <c r="T1011" s="54" t="n">
        <f aca="true">RAND()</f>
        <v>0.552820026985915</v>
      </c>
      <c r="U1011" s="54" t="n">
        <f aca="true">RAND()</f>
        <v>0.333938708823506</v>
      </c>
    </row>
    <row r="1012" customFormat="false" ht="15" hidden="false" customHeight="false" outlineLevel="0" collapsed="false">
      <c r="A1012" s="50" t="n">
        <v>932</v>
      </c>
      <c r="B1012" s="51" t="n">
        <f aca="false">1+IF($G$6=$E$6,$F$6,IF(P1012&lt;($F$6-$E$6)/($G$6-$E$6),$E$6+SQRT(P1012*($G$6-$E$6)*($F$6-$E$6)),$G$6-SQRT((1-P1012)*($G$6-$E$6)*($G$6-$F$6))))</f>
        <v>1.00736026463922</v>
      </c>
      <c r="C1012" s="51" t="n">
        <f aca="false">1+IF($G$7=$E$7,$F$7,IF(Q1012&lt;($F$7-$E$7)/($G$7-$E$7),$E$7+SQRT(Q1012*($G$7-$E$7)*($F$7-$E$7)),$G$7-SQRT((1-Q1012)*($G$7-$E$7)*($G$7-$F$7))))</f>
        <v>0.880838922195341</v>
      </c>
      <c r="D1012" s="51" t="n">
        <f aca="false">1+IF($G$8=$E$8,$F$8,IF(R1012&lt;($F$8-$E$8)/($G$8-$E$8),$E$8+SQRT(R1012*($G$8-$E$8)*($F$8-$E$8)),$G$8-SQRT((1-R1012)*($G$8-$E$8)*($G$8-$F$8))))</f>
        <v>0.966138370098657</v>
      </c>
      <c r="E1012" s="51" t="n">
        <f aca="false">1+IF($G$9=$E$9,$F$9,IF(S1012&lt;($F$9-$E$9)/($G$9-$E$9),$E$9+SQRT(S1012*($G$9-$E$9)*($F$9-$E$9)),$G$9-SQRT((1-S1012)*($G$9-$E$9)*($G$9-$F$9))))</f>
        <v>1.02308287168681</v>
      </c>
      <c r="F1012" s="51" t="n">
        <f aca="false">1+IF($G$10=$E$10,$F$10,IF(T1012&lt;($F$10-$E$10)/($G$10-$E$10),$E$10+SQRT(T1012*($G$10-$E$10)*($F$10-$E$10)),$G$10-SQRT((1-T1012)*($G$10-$E$10)*($G$10-$F$10))))</f>
        <v>1.19661632296112</v>
      </c>
      <c r="G1012" s="52" t="n">
        <f aca="false">IF($G$11=$E$11,$F$11,IF(U1012&lt;($F$11-$E$11)/($G$11-$E$11),$E$11+SQRT(U1012*($G$11-$E$11)*($F$11-$E$11)),$G$11-SQRT((1-U1012)*($G$11-$E$11)*($G$11-$F$11))))</f>
        <v>0.0983636032842039</v>
      </c>
      <c r="H1012" s="53" t="n">
        <f aca="false">(('Business Case'!B11*$C1012*'Business Case'!B12*$B1012)-'Business Case'!B11*$C1012*'Business Case'!B13*$D1012-'Business Case'!B14*$E1012)-MAX(0,(('Business Case'!B11*$C1012*'Business Case'!B12*$B1012)-'Business Case'!B11*$C1012*'Business Case'!B13*$D1012-'Business Case'!B14*$E1012))*'Business Case'!$B$7-'Business Case'!$B$8*('Business Case'!B11*$C1012*'Business Case'!B12*$B1012)-'Business Case'!B15*$F1012</f>
        <v>-2393232645.92224</v>
      </c>
      <c r="I1012" s="53" t="n">
        <f aca="false">(('Business Case'!C11*$C1012*'Business Case'!C12*$B1012)-'Business Case'!C11*$C1012*'Business Case'!C13*$D1012-'Business Case'!C14*$E1012)-MAX(0,(('Business Case'!C11*$C1012*'Business Case'!C12*$B1012)-'Business Case'!C11*$C1012*'Business Case'!C13*$D1012-'Business Case'!C14*$E1012))*'Business Case'!$B$7-'Business Case'!$B$8*(('Business Case'!C11*$C1012*'Business Case'!C12*$B1012)-('Business Case'!B11*$C1012*'Business Case'!B12*$B1012))-'Business Case'!C15*$F1012</f>
        <v>-20012291.0739033</v>
      </c>
      <c r="J1012" s="53" t="n">
        <f aca="false">(('Business Case'!D11*$C1012*'Business Case'!D12*$B1012)-'Business Case'!D11*$C1012*'Business Case'!D13*$D1012-'Business Case'!D14*$E1012)-MAX(0,(('Business Case'!D11*$C1012*'Business Case'!D12*$B1012)-'Business Case'!D11*$C1012*'Business Case'!D13*$D1012-'Business Case'!D14*$E1012))*'Business Case'!$B$7-'Business Case'!$B$8*(('Business Case'!D11*$C1012*'Business Case'!D12*$B1012)-('Business Case'!C11*$C1012*'Business Case'!C12*$B1012))-'Business Case'!D15*$F1012</f>
        <v>271118213.709302</v>
      </c>
      <c r="K1012" s="53" t="n">
        <f aca="false">(('Business Case'!E11*$C1012*'Business Case'!E12*$B1012)-'Business Case'!E11*$C1012*'Business Case'!E13*$D1012-'Business Case'!E14*$E1012)-MAX(0,(('Business Case'!E11*$C1012*'Business Case'!E12*$B1012)-'Business Case'!E11*$C1012*'Business Case'!E13*$D1012-'Business Case'!E14*$E1012))*'Business Case'!$B$7-'Business Case'!$B$8*(('Business Case'!E11*$C1012*'Business Case'!E12*$B1012)-('Business Case'!D11*$C1012*'Business Case'!D12*$B1012))-'Business Case'!E15*$F1012</f>
        <v>622079534.640564</v>
      </c>
      <c r="L1012" s="53" t="n">
        <f aca="false">(('Business Case'!F11*$C1012*'Business Case'!F12*$B1012)-'Business Case'!F11*$C1012*'Business Case'!F13*$D1012-'Business Case'!F14*$E1012)-MAX(0,(('Business Case'!F11*$C1012*'Business Case'!F12*$B1012)-'Business Case'!F11*$C1012*'Business Case'!F13*$D1012-'Business Case'!F14*$E1012))*'Business Case'!$B$7-'Business Case'!$B$8*(('Business Case'!F11*$C1012*'Business Case'!F12*$B1012)-('Business Case'!E11*$C1012*'Business Case'!E12*$B1012))-'Business Case'!F15*$F1012</f>
        <v>749788889.039721</v>
      </c>
      <c r="M1012" s="53" t="n">
        <f aca="false">(('Business Case'!G11*$C1012*'Business Case'!G12*$B1012)-'Business Case'!G11*$C1012*'Business Case'!G13*$D1012-'Business Case'!G14*$E1012)-MAX(0,(('Business Case'!G11*$C1012*'Business Case'!G12*$B1012)-'Business Case'!G11*$C1012*'Business Case'!G13*$D1012-'Business Case'!G14*$E1012))*'Business Case'!$B$7-'Business Case'!$B$8*(('Business Case'!G11*$C1012*'Business Case'!G12*$B1012)-('Business Case'!F11*$C1012*'Business Case'!F12*$B1012))-'Business Case'!G15*$F1012+'Business Case'!$B$8*('Business Case'!G11*$C1012*'Business Case'!G12*$B1012)</f>
        <v>918451079.465875</v>
      </c>
      <c r="N1012" s="53" t="n">
        <f aca="false">IF(COUNT('Business Case'!B11:G11)=0,"",H1012+NPV(G1012,I1012:M1012))</f>
        <v>-627528950.314466</v>
      </c>
      <c r="P1012" s="54" t="n">
        <f aca="true">RAND()</f>
        <v>0.778051599078808</v>
      </c>
      <c r="Q1012" s="54" t="n">
        <f aca="true">RAND()</f>
        <v>0.0933561620243479</v>
      </c>
      <c r="R1012" s="54" t="n">
        <f aca="true">RAND()</f>
        <v>0.0400687676063415</v>
      </c>
      <c r="S1012" s="54" t="n">
        <f aca="true">RAND()</f>
        <v>0.605583691470108</v>
      </c>
      <c r="T1012" s="54" t="n">
        <f aca="true">RAND()</f>
        <v>0.999771014593931</v>
      </c>
      <c r="U1012" s="54" t="n">
        <f aca="true">RAND()</f>
        <v>0.233166199651822</v>
      </c>
    </row>
    <row r="1013" customFormat="false" ht="15" hidden="false" customHeight="false" outlineLevel="0" collapsed="false">
      <c r="A1013" s="50" t="n">
        <v>933</v>
      </c>
      <c r="B1013" s="51" t="n">
        <f aca="false">1+IF($G$6=$E$6,$F$6,IF(P1013&lt;($F$6-$E$6)/($G$6-$E$6),$E$6+SQRT(P1013*($G$6-$E$6)*($F$6-$E$6)),$G$6-SQRT((1-P1013)*($G$6-$E$6)*($G$6-$F$6))))</f>
        <v>0.996422116900198</v>
      </c>
      <c r="C1013" s="51" t="n">
        <f aca="false">1+IF($G$7=$E$7,$F$7,IF(Q1013&lt;($F$7-$E$7)/($G$7-$E$7),$E$7+SQRT(Q1013*($G$7-$E$7)*($F$7-$E$7)),$G$7-SQRT((1-Q1013)*($G$7-$E$7)*($G$7-$F$7))))</f>
        <v>0.935918675387005</v>
      </c>
      <c r="D1013" s="51" t="n">
        <f aca="false">1+IF($G$8=$E$8,$F$8,IF(R1013&lt;($F$8-$E$8)/($G$8-$E$8),$E$8+SQRT(R1013*($G$8-$E$8)*($F$8-$E$8)),$G$8-SQRT((1-R1013)*($G$8-$E$8)*($G$8-$F$8))))</f>
        <v>0.990429443793545</v>
      </c>
      <c r="E1013" s="51" t="n">
        <f aca="false">1+IF($G$9=$E$9,$F$9,IF(S1013&lt;($F$9-$E$9)/($G$9-$E$9),$E$9+SQRT(S1013*($G$9-$E$9)*($F$9-$E$9)),$G$9-SQRT((1-S1013)*($G$9-$E$9)*($G$9-$F$9))))</f>
        <v>1.00456418046795</v>
      </c>
      <c r="F1013" s="51" t="n">
        <f aca="false">1+IF($G$10=$E$10,$F$10,IF(T1013&lt;($F$10-$E$10)/($G$10-$E$10),$E$10+SQRT(T1013*($G$10-$E$10)*($F$10-$E$10)),$G$10-SQRT((1-T1013)*($G$10-$E$10)*($G$10-$F$10))))</f>
        <v>1.08582021504694</v>
      </c>
      <c r="G1013" s="52" t="n">
        <f aca="false">IF($G$11=$E$11,$F$11,IF(U1013&lt;($F$11-$E$11)/($G$11-$E$11),$E$11+SQRT(U1013*($G$11-$E$11)*($F$11-$E$11)),$G$11-SQRT((1-U1013)*($G$11-$E$11)*($G$11-$F$11))))</f>
        <v>0.0937946368884524</v>
      </c>
      <c r="H1013" s="53" t="n">
        <f aca="false">(('Business Case'!B11*$C1013*'Business Case'!B12*$B1013)-'Business Case'!B11*$C1013*'Business Case'!B13*$D1013-'Business Case'!B14*$E1013)-MAX(0,(('Business Case'!B11*$C1013*'Business Case'!B12*$B1013)-'Business Case'!B11*$C1013*'Business Case'!B13*$D1013-'Business Case'!B14*$E1013))*'Business Case'!$B$7-'Business Case'!$B$8*('Business Case'!B11*$C1013*'Business Case'!B12*$B1013)-'Business Case'!B15*$F1013</f>
        <v>-2171640430.09388</v>
      </c>
      <c r="I1013" s="53" t="n">
        <f aca="false">(('Business Case'!C11*$C1013*'Business Case'!C12*$B1013)-'Business Case'!C11*$C1013*'Business Case'!C13*$D1013-'Business Case'!C14*$E1013)-MAX(0,(('Business Case'!C11*$C1013*'Business Case'!C12*$B1013)-'Business Case'!C11*$C1013*'Business Case'!C13*$D1013-'Business Case'!C14*$E1013))*'Business Case'!$B$7-'Business Case'!$B$8*(('Business Case'!C11*$C1013*'Business Case'!C12*$B1013)-('Business Case'!B11*$C1013*'Business Case'!B12*$B1013))-'Business Case'!C15*$F1013</f>
        <v>-10463536.3215852</v>
      </c>
      <c r="J1013" s="53" t="n">
        <f aca="false">(('Business Case'!D11*$C1013*'Business Case'!D12*$B1013)-'Business Case'!D11*$C1013*'Business Case'!D13*$D1013-'Business Case'!D14*$E1013)-MAX(0,(('Business Case'!D11*$C1013*'Business Case'!D12*$B1013)-'Business Case'!D11*$C1013*'Business Case'!D13*$D1013-'Business Case'!D14*$E1013))*'Business Case'!$B$7-'Business Case'!$B$8*(('Business Case'!D11*$C1013*'Business Case'!D12*$B1013)-('Business Case'!C11*$C1013*'Business Case'!C12*$B1013))-'Business Case'!D15*$F1013</f>
        <v>278848407.637551</v>
      </c>
      <c r="K1013" s="53" t="n">
        <f aca="false">(('Business Case'!E11*$C1013*'Business Case'!E12*$B1013)-'Business Case'!E11*$C1013*'Business Case'!E13*$D1013-'Business Case'!E14*$E1013)-MAX(0,(('Business Case'!E11*$C1013*'Business Case'!E12*$B1013)-'Business Case'!E11*$C1013*'Business Case'!E13*$D1013-'Business Case'!E14*$E1013))*'Business Case'!$B$7-'Business Case'!$B$8*(('Business Case'!E11*$C1013*'Business Case'!E12*$B1013)-('Business Case'!D11*$C1013*'Business Case'!D12*$B1013))-'Business Case'!E15*$F1013</f>
        <v>622451362.349035</v>
      </c>
      <c r="L1013" s="53" t="n">
        <f aca="false">(('Business Case'!F11*$C1013*'Business Case'!F12*$B1013)-'Business Case'!F11*$C1013*'Business Case'!F13*$D1013-'Business Case'!F14*$E1013)-MAX(0,(('Business Case'!F11*$C1013*'Business Case'!F12*$B1013)-'Business Case'!F11*$C1013*'Business Case'!F13*$D1013-'Business Case'!F14*$E1013))*'Business Case'!$B$7-'Business Case'!$B$8*(('Business Case'!F11*$C1013*'Business Case'!F12*$B1013)-('Business Case'!E11*$C1013*'Business Case'!E12*$B1013))-'Business Case'!F15*$F1013</f>
        <v>751118298.544402</v>
      </c>
      <c r="M1013" s="53" t="n">
        <f aca="false">(('Business Case'!G11*$C1013*'Business Case'!G12*$B1013)-'Business Case'!G11*$C1013*'Business Case'!G13*$D1013-'Business Case'!G14*$E1013)-MAX(0,(('Business Case'!G11*$C1013*'Business Case'!G12*$B1013)-'Business Case'!G11*$C1013*'Business Case'!G13*$D1013-'Business Case'!G14*$E1013))*'Business Case'!$B$7-'Business Case'!$B$8*(('Business Case'!G11*$C1013*'Business Case'!G12*$B1013)-('Business Case'!F11*$C1013*'Business Case'!F12*$B1013))-'Business Case'!G15*$F1013+'Business Case'!$B$8*('Business Case'!G11*$C1013*'Business Case'!G12*$B1013)</f>
        <v>928381217.027178</v>
      </c>
      <c r="N1013" s="53" t="n">
        <f aca="false">IF(COUNT('Business Case'!B11:G11)=0,"",H1013+NPV(G1013,I1013:M1013))</f>
        <v>-354714236.050977</v>
      </c>
      <c r="P1013" s="54" t="n">
        <f aca="true">RAND()</f>
        <v>0.608368744948699</v>
      </c>
      <c r="Q1013" s="54" t="n">
        <f aca="true">RAND()</f>
        <v>0.263912661699402</v>
      </c>
      <c r="R1013" s="54" t="n">
        <f aca="true">RAND()</f>
        <v>0.251467680839299</v>
      </c>
      <c r="S1013" s="54" t="n">
        <f aca="true">RAND()</f>
        <v>0.392800290016436</v>
      </c>
      <c r="T1013" s="54" t="n">
        <f aca="true">RAND()</f>
        <v>0.739259534161457</v>
      </c>
      <c r="U1013" s="54" t="n">
        <f aca="true">RAND()</f>
        <v>0.0479975637173448</v>
      </c>
    </row>
    <row r="1014" customFormat="false" ht="15" hidden="false" customHeight="false" outlineLevel="0" collapsed="false">
      <c r="A1014" s="50" t="n">
        <v>934</v>
      </c>
      <c r="B1014" s="51" t="n">
        <f aca="false">1+IF($G$6=$E$6,$F$6,IF(P1014&lt;($F$6-$E$6)/($G$6-$E$6),$E$6+SQRT(P1014*($G$6-$E$6)*($F$6-$E$6)),$G$6-SQRT((1-P1014)*($G$6-$E$6)*($G$6-$F$6))))</f>
        <v>0.963768326923797</v>
      </c>
      <c r="C1014" s="51" t="n">
        <f aca="false">1+IF($G$7=$E$7,$F$7,IF(Q1014&lt;($F$7-$E$7)/($G$7-$E$7),$E$7+SQRT(Q1014*($G$7-$E$7)*($F$7-$E$7)),$G$7-SQRT((1-Q1014)*($G$7-$E$7)*($G$7-$F$7))))</f>
        <v>0.935627434326672</v>
      </c>
      <c r="D1014" s="51" t="n">
        <f aca="false">1+IF($G$8=$E$8,$F$8,IF(R1014&lt;($F$8-$E$8)/($G$8-$E$8),$E$8+SQRT(R1014*($G$8-$E$8)*($F$8-$E$8)),$G$8-SQRT((1-R1014)*($G$8-$E$8)*($G$8-$F$8))))</f>
        <v>1.07664034428001</v>
      </c>
      <c r="E1014" s="51" t="n">
        <f aca="false">1+IF($G$9=$E$9,$F$9,IF(S1014&lt;($F$9-$E$9)/($G$9-$E$9),$E$9+SQRT(S1014*($G$9-$E$9)*($F$9-$E$9)),$G$9-SQRT((1-S1014)*($G$9-$E$9)*($G$9-$F$9))))</f>
        <v>1.00347718182141</v>
      </c>
      <c r="F1014" s="51" t="n">
        <f aca="false">1+IF($G$10=$E$10,$F$10,IF(T1014&lt;($F$10-$E$10)/($G$10-$E$10),$E$10+SQRT(T1014*($G$10-$E$10)*($F$10-$E$10)),$G$10-SQRT((1-T1014)*($G$10-$E$10)*($G$10-$F$10))))</f>
        <v>0.97590563306792</v>
      </c>
      <c r="G1014" s="52" t="n">
        <f aca="false">IF($G$11=$E$11,$F$11,IF(U1014&lt;($F$11-$E$11)/($G$11-$E$11),$E$11+SQRT(U1014*($G$11-$E$11)*($F$11-$E$11)),$G$11-SQRT((1-U1014)*($G$11-$E$11)*($G$11-$F$11))))</f>
        <v>0.0998406586971686</v>
      </c>
      <c r="H1014" s="53" t="n">
        <f aca="false">(('Business Case'!B11*$C1014*'Business Case'!B12*$B1014)-'Business Case'!B11*$C1014*'Business Case'!B13*$D1014-'Business Case'!B14*$E1014)-MAX(0,(('Business Case'!B11*$C1014*'Business Case'!B12*$B1014)-'Business Case'!B11*$C1014*'Business Case'!B13*$D1014-'Business Case'!B14*$E1014))*'Business Case'!$B$7-'Business Case'!$B$8*('Business Case'!B11*$C1014*'Business Case'!B12*$B1014)-'Business Case'!B15*$F1014</f>
        <v>-1951811266.13584</v>
      </c>
      <c r="I1014" s="53" t="n">
        <f aca="false">(('Business Case'!C11*$C1014*'Business Case'!C12*$B1014)-'Business Case'!C11*$C1014*'Business Case'!C13*$D1014-'Business Case'!C14*$E1014)-MAX(0,(('Business Case'!C11*$C1014*'Business Case'!C12*$B1014)-'Business Case'!C11*$C1014*'Business Case'!C13*$D1014-'Business Case'!C14*$E1014))*'Business Case'!$B$7-'Business Case'!$B$8*(('Business Case'!C11*$C1014*'Business Case'!C12*$B1014)-('Business Case'!B11*$C1014*'Business Case'!B12*$B1014))-'Business Case'!C15*$F1014</f>
        <v>-64124920.5950988</v>
      </c>
      <c r="J1014" s="53" t="n">
        <f aca="false">(('Business Case'!D11*$C1014*'Business Case'!D12*$B1014)-'Business Case'!D11*$C1014*'Business Case'!D13*$D1014-'Business Case'!D14*$E1014)-MAX(0,(('Business Case'!D11*$C1014*'Business Case'!D12*$B1014)-'Business Case'!D11*$C1014*'Business Case'!D13*$D1014-'Business Case'!D14*$E1014))*'Business Case'!$B$7-'Business Case'!$B$8*(('Business Case'!D11*$C1014*'Business Case'!D12*$B1014)-('Business Case'!C11*$C1014*'Business Case'!C12*$B1014))-'Business Case'!D15*$F1014</f>
        <v>158780761.401939</v>
      </c>
      <c r="K1014" s="53" t="n">
        <f aca="false">(('Business Case'!E11*$C1014*'Business Case'!E12*$B1014)-'Business Case'!E11*$C1014*'Business Case'!E13*$D1014-'Business Case'!E14*$E1014)-MAX(0,(('Business Case'!E11*$C1014*'Business Case'!E12*$B1014)-'Business Case'!E11*$C1014*'Business Case'!E13*$D1014-'Business Case'!E14*$E1014))*'Business Case'!$B$7-'Business Case'!$B$8*(('Business Case'!E11*$C1014*'Business Case'!E12*$B1014)-('Business Case'!D11*$C1014*'Business Case'!D12*$B1014))-'Business Case'!E15*$F1014</f>
        <v>430481725.052373</v>
      </c>
      <c r="L1014" s="53" t="n">
        <f aca="false">(('Business Case'!F11*$C1014*'Business Case'!F12*$B1014)-'Business Case'!F11*$C1014*'Business Case'!F13*$D1014-'Business Case'!F14*$E1014)-MAX(0,(('Business Case'!F11*$C1014*'Business Case'!F12*$B1014)-'Business Case'!F11*$C1014*'Business Case'!F13*$D1014-'Business Case'!F14*$E1014))*'Business Case'!$B$7-'Business Case'!$B$8*(('Business Case'!F11*$C1014*'Business Case'!F12*$B1014)-('Business Case'!E11*$C1014*'Business Case'!E12*$B1014))-'Business Case'!F15*$F1014</f>
        <v>535947341.738279</v>
      </c>
      <c r="M1014" s="53" t="n">
        <f aca="false">(('Business Case'!G11*$C1014*'Business Case'!G12*$B1014)-'Business Case'!G11*$C1014*'Business Case'!G13*$D1014-'Business Case'!G14*$E1014)-MAX(0,(('Business Case'!G11*$C1014*'Business Case'!G12*$B1014)-'Business Case'!G11*$C1014*'Business Case'!G13*$D1014-'Business Case'!G14*$E1014))*'Business Case'!$B$7-'Business Case'!$B$8*(('Business Case'!G11*$C1014*'Business Case'!G12*$B1014)-('Business Case'!F11*$C1014*'Business Case'!F12*$B1014))-'Business Case'!G15*$F1014+'Business Case'!$B$8*('Business Case'!G11*$C1014*'Business Case'!G12*$B1014)</f>
        <v>707347816.516193</v>
      </c>
      <c r="N1014" s="53" t="n">
        <f aca="false">IF(COUNT('Business Case'!B11:G11)=0,"",H1014+NPV(G1014,I1014:M1014))</f>
        <v>-749488401.319981</v>
      </c>
      <c r="P1014" s="54" t="n">
        <f aca="true">RAND()</f>
        <v>0.199548587677953</v>
      </c>
      <c r="Q1014" s="54" t="n">
        <f aca="true">RAND()</f>
        <v>0.262782870600509</v>
      </c>
      <c r="R1014" s="54" t="n">
        <f aca="true">RAND()</f>
        <v>0.998914683984916</v>
      </c>
      <c r="S1014" s="54" t="n">
        <f aca="true">RAND()</f>
        <v>0.378889704724166</v>
      </c>
      <c r="T1014" s="54" t="n">
        <f aca="true">RAND()</f>
        <v>0.0536881459719769</v>
      </c>
      <c r="U1014" s="54" t="n">
        <f aca="true">RAND()</f>
        <v>0.322795211980535</v>
      </c>
    </row>
    <row r="1015" customFormat="false" ht="15" hidden="false" customHeight="false" outlineLevel="0" collapsed="false">
      <c r="A1015" s="50" t="n">
        <v>935</v>
      </c>
      <c r="B1015" s="51" t="n">
        <f aca="false">1+IF($G$6=$E$6,$F$6,IF(P1015&lt;($F$6-$E$6)/($G$6-$E$6),$E$6+SQRT(P1015*($G$6-$E$6)*($F$6-$E$6)),$G$6-SQRT((1-P1015)*($G$6-$E$6)*($G$6-$F$6))))</f>
        <v>0.979315695721552</v>
      </c>
      <c r="C1015" s="51" t="n">
        <f aca="false">1+IF($G$7=$E$7,$F$7,IF(Q1015&lt;($F$7-$E$7)/($G$7-$E$7),$E$7+SQRT(Q1015*($G$7-$E$7)*($F$7-$E$7)),$G$7-SQRT((1-Q1015)*($G$7-$E$7)*($G$7-$F$7))))</f>
        <v>0.824945301363615</v>
      </c>
      <c r="D1015" s="51" t="n">
        <f aca="false">1+IF($G$8=$E$8,$F$8,IF(R1015&lt;($F$8-$E$8)/($G$8-$E$8),$E$8+SQRT(R1015*($G$8-$E$8)*($F$8-$E$8)),$G$8-SQRT((1-R1015)*($G$8-$E$8)*($G$8-$F$8))))</f>
        <v>1.00987022870109</v>
      </c>
      <c r="E1015" s="51" t="n">
        <f aca="false">1+IF($G$9=$E$9,$F$9,IF(S1015&lt;($F$9-$E$9)/($G$9-$E$9),$E$9+SQRT(S1015*($G$9-$E$9)*($F$9-$E$9)),$G$9-SQRT((1-S1015)*($G$9-$E$9)*($G$9-$F$9))))</f>
        <v>0.986027200449848</v>
      </c>
      <c r="F1015" s="51" t="n">
        <f aca="false">1+IF($G$10=$E$10,$F$10,IF(T1015&lt;($F$10-$E$10)/($G$10-$E$10),$E$10+SQRT(T1015*($G$10-$E$10)*($F$10-$E$10)),$G$10-SQRT((1-T1015)*($G$10-$E$10)*($G$10-$F$10))))</f>
        <v>1.00429577595986</v>
      </c>
      <c r="G1015" s="52" t="n">
        <f aca="false">IF($G$11=$E$11,$F$11,IF(U1015&lt;($F$11-$E$11)/($G$11-$E$11),$E$11+SQRT(U1015*($G$11-$E$11)*($F$11-$E$11)),$G$11-SQRT((1-U1015)*($G$11-$E$11)*($G$11-$F$11))))</f>
        <v>0.0968551505818248</v>
      </c>
      <c r="H1015" s="53" t="n">
        <f aca="false">(('Business Case'!B11*$C1015*'Business Case'!B12*$B1015)-'Business Case'!B11*$C1015*'Business Case'!B13*$D1015-'Business Case'!B14*$E1015)-MAX(0,(('Business Case'!B11*$C1015*'Business Case'!B12*$B1015)-'Business Case'!B11*$C1015*'Business Case'!B13*$D1015-'Business Case'!B14*$E1015))*'Business Case'!$B$7-'Business Case'!$B$8*('Business Case'!B11*$C1015*'Business Case'!B12*$B1015)-'Business Case'!B15*$F1015</f>
        <v>-2008591551.91972</v>
      </c>
      <c r="I1015" s="53" t="n">
        <f aca="false">(('Business Case'!C11*$C1015*'Business Case'!C12*$B1015)-'Business Case'!C11*$C1015*'Business Case'!C13*$D1015-'Business Case'!C14*$E1015)-MAX(0,(('Business Case'!C11*$C1015*'Business Case'!C12*$B1015)-'Business Case'!C11*$C1015*'Business Case'!C13*$D1015-'Business Case'!C14*$E1015))*'Business Case'!$B$7-'Business Case'!$B$8*(('Business Case'!C11*$C1015*'Business Case'!C12*$B1015)-('Business Case'!B11*$C1015*'Business Case'!B12*$B1015))-'Business Case'!C15*$F1015</f>
        <v>-47284069.0738245</v>
      </c>
      <c r="J1015" s="53" t="n">
        <f aca="false">(('Business Case'!D11*$C1015*'Business Case'!D12*$B1015)-'Business Case'!D11*$C1015*'Business Case'!D13*$D1015-'Business Case'!D14*$E1015)-MAX(0,(('Business Case'!D11*$C1015*'Business Case'!D12*$B1015)-'Business Case'!D11*$C1015*'Business Case'!D13*$D1015-'Business Case'!D14*$E1015))*'Business Case'!$B$7-'Business Case'!$B$8*(('Business Case'!D11*$C1015*'Business Case'!D12*$B1015)-('Business Case'!C11*$C1015*'Business Case'!C12*$B1015))-'Business Case'!D15*$F1015</f>
        <v>187955104.101558</v>
      </c>
      <c r="K1015" s="53" t="n">
        <f aca="false">(('Business Case'!E11*$C1015*'Business Case'!E12*$B1015)-'Business Case'!E11*$C1015*'Business Case'!E13*$D1015-'Business Case'!E14*$E1015)-MAX(0,(('Business Case'!E11*$C1015*'Business Case'!E12*$B1015)-'Business Case'!E11*$C1015*'Business Case'!E13*$D1015-'Business Case'!E14*$E1015))*'Business Case'!$B$7-'Business Case'!$B$8*(('Business Case'!E11*$C1015*'Business Case'!E12*$B1015)-('Business Case'!D11*$C1015*'Business Case'!D12*$B1015))-'Business Case'!E15*$F1015</f>
        <v>473409066.074934</v>
      </c>
      <c r="L1015" s="53" t="n">
        <f aca="false">(('Business Case'!F11*$C1015*'Business Case'!F12*$B1015)-'Business Case'!F11*$C1015*'Business Case'!F13*$D1015-'Business Case'!F14*$E1015)-MAX(0,(('Business Case'!F11*$C1015*'Business Case'!F12*$B1015)-'Business Case'!F11*$C1015*'Business Case'!F13*$D1015-'Business Case'!F14*$E1015))*'Business Case'!$B$7-'Business Case'!$B$8*(('Business Case'!F11*$C1015*'Business Case'!F12*$B1015)-('Business Case'!E11*$C1015*'Business Case'!E12*$B1015))-'Business Case'!F15*$F1015</f>
        <v>579742521.632897</v>
      </c>
      <c r="M1015" s="53" t="n">
        <f aca="false">(('Business Case'!G11*$C1015*'Business Case'!G12*$B1015)-'Business Case'!G11*$C1015*'Business Case'!G13*$D1015-'Business Case'!G14*$E1015)-MAX(0,(('Business Case'!G11*$C1015*'Business Case'!G12*$B1015)-'Business Case'!G11*$C1015*'Business Case'!G13*$D1015-'Business Case'!G14*$E1015))*'Business Case'!$B$7-'Business Case'!$B$8*(('Business Case'!G11*$C1015*'Business Case'!G12*$B1015)-('Business Case'!F11*$C1015*'Business Case'!F12*$B1015))-'Business Case'!G15*$F1015+'Business Case'!$B$8*('Business Case'!G11*$C1015*'Business Case'!G12*$B1015)</f>
        <v>733304709.713491</v>
      </c>
      <c r="N1015" s="53" t="n">
        <f aca="false">IF(COUNT('Business Case'!B11:G11)=0,"",H1015+NPV(G1015,I1015:M1015))</f>
        <v>-674303882.517535</v>
      </c>
      <c r="P1015" s="54" t="n">
        <f aca="true">RAND()</f>
        <v>0.366494974888722</v>
      </c>
      <c r="Q1015" s="54" t="n">
        <f aca="true">RAND()</f>
        <v>0.00888954371602277</v>
      </c>
      <c r="R1015" s="54" t="n">
        <f aca="true">RAND()</f>
        <v>0.527097613227112</v>
      </c>
      <c r="S1015" s="54" t="n">
        <f aca="true">RAND()</f>
        <v>0.173061222967138</v>
      </c>
      <c r="T1015" s="54" t="n">
        <f aca="true">RAND()</f>
        <v>0.233997133856914</v>
      </c>
      <c r="U1015" s="54" t="n">
        <f aca="true">RAND()</f>
        <v>0.156643631664976</v>
      </c>
    </row>
    <row r="1016" customFormat="false" ht="15" hidden="false" customHeight="false" outlineLevel="0" collapsed="false">
      <c r="A1016" s="50" t="n">
        <v>936</v>
      </c>
      <c r="B1016" s="51" t="n">
        <f aca="false">1+IF($G$6=$E$6,$F$6,IF(P1016&lt;($F$6-$E$6)/($G$6-$E$6),$E$6+SQRT(P1016*($G$6-$E$6)*($F$6-$E$6)),$G$6-SQRT((1-P1016)*($G$6-$E$6)*($G$6-$F$6))))</f>
        <v>1.03696062423769</v>
      </c>
      <c r="C1016" s="51" t="n">
        <f aca="false">1+IF($G$7=$E$7,$F$7,IF(Q1016&lt;($F$7-$E$7)/($G$7-$E$7),$E$7+SQRT(Q1016*($G$7-$E$7)*($F$7-$E$7)),$G$7-SQRT((1-Q1016)*($G$7-$E$7)*($G$7-$F$7))))</f>
        <v>0.904514193930046</v>
      </c>
      <c r="D1016" s="51" t="n">
        <f aca="false">1+IF($G$8=$E$8,$F$8,IF(R1016&lt;($F$8-$E$8)/($G$8-$E$8),$E$8+SQRT(R1016*($G$8-$E$8)*($F$8-$E$8)),$G$8-SQRT((1-R1016)*($G$8-$E$8)*($G$8-$F$8))))</f>
        <v>1.0166533642327</v>
      </c>
      <c r="E1016" s="51" t="n">
        <f aca="false">1+IF($G$9=$E$9,$F$9,IF(S1016&lt;($F$9-$E$9)/($G$9-$E$9),$E$9+SQRT(S1016*($G$9-$E$9)*($F$9-$E$9)),$G$9-SQRT((1-S1016)*($G$9-$E$9)*($G$9-$F$9))))</f>
        <v>0.964441845323437</v>
      </c>
      <c r="F1016" s="51" t="n">
        <f aca="false">1+IF($G$10=$E$10,$F$10,IF(T1016&lt;($F$10-$E$10)/($G$10-$E$10),$E$10+SQRT(T1016*($G$10-$E$10)*($F$10-$E$10)),$G$10-SQRT((1-T1016)*($G$10-$E$10)*($G$10-$F$10))))</f>
        <v>1.00209330369759</v>
      </c>
      <c r="G1016" s="52" t="n">
        <f aca="false">IF($G$11=$E$11,$F$11,IF(U1016&lt;($F$11-$E$11)/($G$11-$E$11),$E$11+SQRT(U1016*($G$11-$E$11)*($F$11-$E$11)),$G$11-SQRT((1-U1016)*($G$11-$E$11)*($G$11-$F$11))))</f>
        <v>0.0954957406478757</v>
      </c>
      <c r="H1016" s="53" t="n">
        <f aca="false">(('Business Case'!B11*$C1016*'Business Case'!B12*$B1016)-'Business Case'!B11*$C1016*'Business Case'!B13*$D1016-'Business Case'!B14*$E1016)-MAX(0,(('Business Case'!B11*$C1016*'Business Case'!B12*$B1016)-'Business Case'!B11*$C1016*'Business Case'!B13*$D1016-'Business Case'!B14*$E1016))*'Business Case'!$B$7-'Business Case'!$B$8*('Business Case'!B11*$C1016*'Business Case'!B12*$B1016)-'Business Case'!B15*$F1016</f>
        <v>-2004186607.39517</v>
      </c>
      <c r="I1016" s="53" t="n">
        <f aca="false">(('Business Case'!C11*$C1016*'Business Case'!C12*$B1016)-'Business Case'!C11*$C1016*'Business Case'!C13*$D1016-'Business Case'!C14*$E1016)-MAX(0,(('Business Case'!C11*$C1016*'Business Case'!C12*$B1016)-'Business Case'!C11*$C1016*'Business Case'!C13*$D1016-'Business Case'!C14*$E1016))*'Business Case'!$B$7-'Business Case'!$B$8*(('Business Case'!C11*$C1016*'Business Case'!C12*$B1016)-('Business Case'!B11*$C1016*'Business Case'!B12*$B1016))-'Business Case'!C15*$F1016</f>
        <v>11518858.5214276</v>
      </c>
      <c r="J1016" s="53" t="n">
        <f aca="false">(('Business Case'!D11*$C1016*'Business Case'!D12*$B1016)-'Business Case'!D11*$C1016*'Business Case'!D13*$D1016-'Business Case'!D14*$E1016)-MAX(0,(('Business Case'!D11*$C1016*'Business Case'!D12*$B1016)-'Business Case'!D11*$C1016*'Business Case'!D13*$D1016-'Business Case'!D14*$E1016))*'Business Case'!$B$7-'Business Case'!$B$8*(('Business Case'!D11*$C1016*'Business Case'!D12*$B1016)-('Business Case'!C11*$C1016*'Business Case'!C12*$B1016))-'Business Case'!D15*$F1016</f>
        <v>309013777.885916</v>
      </c>
      <c r="K1016" s="53" t="n">
        <f aca="false">(('Business Case'!E11*$C1016*'Business Case'!E12*$B1016)-'Business Case'!E11*$C1016*'Business Case'!E13*$D1016-'Business Case'!E14*$E1016)-MAX(0,(('Business Case'!E11*$C1016*'Business Case'!E12*$B1016)-'Business Case'!E11*$C1016*'Business Case'!E13*$D1016-'Business Case'!E14*$E1016))*'Business Case'!$B$7-'Business Case'!$B$8*(('Business Case'!E11*$C1016*'Business Case'!E12*$B1016)-('Business Case'!D11*$C1016*'Business Case'!D12*$B1016))-'Business Case'!E15*$F1016</f>
        <v>656613362.435284</v>
      </c>
      <c r="L1016" s="53" t="n">
        <f aca="false">(('Business Case'!F11*$C1016*'Business Case'!F12*$B1016)-'Business Case'!F11*$C1016*'Business Case'!F13*$D1016-'Business Case'!F14*$E1016)-MAX(0,(('Business Case'!F11*$C1016*'Business Case'!F12*$B1016)-'Business Case'!F11*$C1016*'Business Case'!F13*$D1016-'Business Case'!F14*$E1016))*'Business Case'!$B$7-'Business Case'!$B$8*(('Business Case'!F11*$C1016*'Business Case'!F12*$B1016)-('Business Case'!E11*$C1016*'Business Case'!E12*$B1016))-'Business Case'!F15*$F1016</f>
        <v>788193735.60232</v>
      </c>
      <c r="M1016" s="53" t="n">
        <f aca="false">(('Business Case'!G11*$C1016*'Business Case'!G12*$B1016)-'Business Case'!G11*$C1016*'Business Case'!G13*$D1016-'Business Case'!G14*$E1016)-MAX(0,(('Business Case'!G11*$C1016*'Business Case'!G12*$B1016)-'Business Case'!G11*$C1016*'Business Case'!G13*$D1016-'Business Case'!G14*$E1016))*'Business Case'!$B$7-'Business Case'!$B$8*(('Business Case'!G11*$C1016*'Business Case'!G12*$B1016)-('Business Case'!F11*$C1016*'Business Case'!F12*$B1016))-'Business Case'!G15*$F1016+'Business Case'!$B$8*('Business Case'!G11*$C1016*'Business Case'!G12*$B1016)</f>
        <v>966478435.852789</v>
      </c>
      <c r="N1016" s="53" t="n">
        <f aca="false">IF(COUNT('Business Case'!B11:G11)=0,"",H1016+NPV(G1016,I1016:M1016))</f>
        <v>-76949138.962163</v>
      </c>
      <c r="P1016" s="54" t="n">
        <f aca="true">RAND()</f>
        <v>0.998075457286564</v>
      </c>
      <c r="Q1016" s="54" t="n">
        <f aca="true">RAND()</f>
        <v>0.156045953326389</v>
      </c>
      <c r="R1016" s="54" t="n">
        <f aca="true">RAND()</f>
        <v>0.614154205477352</v>
      </c>
      <c r="S1016" s="54" t="n">
        <f aca="true">RAND()</f>
        <v>0.0278089195128108</v>
      </c>
      <c r="T1016" s="54" t="n">
        <f aca="true">RAND()</f>
        <v>0.216658791173274</v>
      </c>
      <c r="U1016" s="54" t="n">
        <f aca="true">RAND()</f>
        <v>0.100677217562379</v>
      </c>
    </row>
    <row r="1017" customFormat="false" ht="15" hidden="false" customHeight="false" outlineLevel="0" collapsed="false">
      <c r="A1017" s="50" t="n">
        <v>937</v>
      </c>
      <c r="B1017" s="51" t="n">
        <f aca="false">1+IF($G$6=$E$6,$F$6,IF(P1017&lt;($F$6-$E$6)/($G$6-$E$6),$E$6+SQRT(P1017*($G$6-$E$6)*($F$6-$E$6)),$G$6-SQRT((1-P1017)*($G$6-$E$6)*($G$6-$F$6))))</f>
        <v>0.998391472652937</v>
      </c>
      <c r="C1017" s="51" t="n">
        <f aca="false">1+IF($G$7=$E$7,$F$7,IF(Q1017&lt;($F$7-$E$7)/($G$7-$E$7),$E$7+SQRT(Q1017*($G$7-$E$7)*($F$7-$E$7)),$G$7-SQRT((1-Q1017)*($G$7-$E$7)*($G$7-$F$7))))</f>
        <v>1.06761914434281</v>
      </c>
      <c r="D1017" s="51" t="n">
        <f aca="false">1+IF($G$8=$E$8,$F$8,IF(R1017&lt;($F$8-$E$8)/($G$8-$E$8),$E$8+SQRT(R1017*($G$8-$E$8)*($F$8-$E$8)),$G$8-SQRT((1-R1017)*($G$8-$E$8)*($G$8-$F$8))))</f>
        <v>1.02175845645318</v>
      </c>
      <c r="E1017" s="51" t="n">
        <f aca="false">1+IF($G$9=$E$9,$F$9,IF(S1017&lt;($F$9-$E$9)/($G$9-$E$9),$E$9+SQRT(S1017*($G$9-$E$9)*($F$9-$E$9)),$G$9-SQRT((1-S1017)*($G$9-$E$9)*($G$9-$F$9))))</f>
        <v>1.01347932454832</v>
      </c>
      <c r="F1017" s="51" t="n">
        <f aca="false">1+IF($G$10=$E$10,$F$10,IF(T1017&lt;($F$10-$E$10)/($G$10-$E$10),$E$10+SQRT(T1017*($G$10-$E$10)*($F$10-$E$10)),$G$10-SQRT((1-T1017)*($G$10-$E$10)*($G$10-$F$10))))</f>
        <v>1.00262789525671</v>
      </c>
      <c r="G1017" s="52" t="n">
        <f aca="false">IF($G$11=$E$11,$F$11,IF(U1017&lt;($F$11-$E$11)/($G$11-$E$11),$E$11+SQRT(U1017*($G$11-$E$11)*($F$11-$E$11)),$G$11-SQRT((1-U1017)*($G$11-$E$11)*($G$11-$F$11))))</f>
        <v>0.100574303313078</v>
      </c>
      <c r="H1017" s="53" t="n">
        <f aca="false">(('Business Case'!B11*$C1017*'Business Case'!B12*$B1017)-'Business Case'!B11*$C1017*'Business Case'!B13*$D1017-'Business Case'!B14*$E1017)-MAX(0,(('Business Case'!B11*$C1017*'Business Case'!B12*$B1017)-'Business Case'!B11*$C1017*'Business Case'!B13*$D1017-'Business Case'!B14*$E1017))*'Business Case'!$B$7-'Business Case'!$B$8*('Business Case'!B11*$C1017*'Business Case'!B12*$B1017)-'Business Case'!B15*$F1017</f>
        <v>-2005255790.51342</v>
      </c>
      <c r="I1017" s="53" t="n">
        <f aca="false">(('Business Case'!C11*$C1017*'Business Case'!C12*$B1017)-'Business Case'!C11*$C1017*'Business Case'!C13*$D1017-'Business Case'!C14*$E1017)-MAX(0,(('Business Case'!C11*$C1017*'Business Case'!C12*$B1017)-'Business Case'!C11*$C1017*'Business Case'!C13*$D1017-'Business Case'!C14*$E1017))*'Business Case'!$B$7-'Business Case'!$B$8*(('Business Case'!C11*$C1017*'Business Case'!C12*$B1017)-('Business Case'!B11*$C1017*'Business Case'!B12*$B1017))-'Business Case'!C15*$F1017</f>
        <v>14987095.2544587</v>
      </c>
      <c r="J1017" s="53" t="n">
        <f aca="false">(('Business Case'!D11*$C1017*'Business Case'!D12*$B1017)-'Business Case'!D11*$C1017*'Business Case'!D13*$D1017-'Business Case'!D14*$E1017)-MAX(0,(('Business Case'!D11*$C1017*'Business Case'!D12*$B1017)-'Business Case'!D11*$C1017*'Business Case'!D13*$D1017-'Business Case'!D14*$E1017))*'Business Case'!$B$7-'Business Case'!$B$8*(('Business Case'!D11*$C1017*'Business Case'!D12*$B1017)-('Business Case'!C11*$C1017*'Business Case'!C12*$B1017))-'Business Case'!D15*$F1017</f>
        <v>329610091.876549</v>
      </c>
      <c r="K1017" s="53" t="n">
        <f aca="false">(('Business Case'!E11*$C1017*'Business Case'!E12*$B1017)-'Business Case'!E11*$C1017*'Business Case'!E13*$D1017-'Business Case'!E14*$E1017)-MAX(0,(('Business Case'!E11*$C1017*'Business Case'!E12*$B1017)-'Business Case'!E11*$C1017*'Business Case'!E13*$D1017-'Business Case'!E14*$E1017))*'Business Case'!$B$7-'Business Case'!$B$8*(('Business Case'!E11*$C1017*'Business Case'!E12*$B1017)-('Business Case'!D11*$C1017*'Business Case'!D12*$B1017))-'Business Case'!E15*$F1017</f>
        <v>694364483.261475</v>
      </c>
      <c r="L1017" s="53" t="n">
        <f aca="false">(('Business Case'!F11*$C1017*'Business Case'!F12*$B1017)-'Business Case'!F11*$C1017*'Business Case'!F13*$D1017-'Business Case'!F14*$E1017)-MAX(0,(('Business Case'!F11*$C1017*'Business Case'!F12*$B1017)-'Business Case'!F11*$C1017*'Business Case'!F13*$D1017-'Business Case'!F14*$E1017))*'Business Case'!$B$7-'Business Case'!$B$8*(('Business Case'!F11*$C1017*'Business Case'!F12*$B1017)-('Business Case'!E11*$C1017*'Business Case'!E12*$B1017))-'Business Case'!F15*$F1017</f>
        <v>836076383.396298</v>
      </c>
      <c r="M1017" s="53" t="n">
        <f aca="false">(('Business Case'!G11*$C1017*'Business Case'!G12*$B1017)-'Business Case'!G11*$C1017*'Business Case'!G13*$D1017-'Business Case'!G14*$E1017)-MAX(0,(('Business Case'!G11*$C1017*'Business Case'!G12*$B1017)-'Business Case'!G11*$C1017*'Business Case'!G13*$D1017-'Business Case'!G14*$E1017))*'Business Case'!$B$7-'Business Case'!$B$8*(('Business Case'!G11*$C1017*'Business Case'!G12*$B1017)-('Business Case'!F11*$C1017*'Business Case'!F12*$B1017))-'Business Case'!G15*$F1017+'Business Case'!$B$8*('Business Case'!G11*$C1017*'Business Case'!G12*$B1017)</f>
        <v>1038683006.99733</v>
      </c>
      <c r="N1017" s="53" t="n">
        <f aca="false">IF(COUNT('Business Case'!B11:G11)=0,"",H1017+NPV(G1017,I1017:M1017))</f>
        <v>14472473.279897</v>
      </c>
      <c r="P1017" s="54" t="n">
        <f aca="true">RAND()</f>
        <v>0.64012739423919</v>
      </c>
      <c r="Q1017" s="54" t="n">
        <f aca="true">RAND()</f>
        <v>0.870731326117905</v>
      </c>
      <c r="R1017" s="54" t="n">
        <f aca="true">RAND()</f>
        <v>0.673838712046485</v>
      </c>
      <c r="S1017" s="54" t="n">
        <f aca="true">RAND()</f>
        <v>0.50094484795897</v>
      </c>
      <c r="T1017" s="54" t="n">
        <f aca="true">RAND()</f>
        <v>0.220885045384063</v>
      </c>
      <c r="U1017" s="54" t="n">
        <f aca="true">RAND()</f>
        <v>0.371070513712826</v>
      </c>
    </row>
    <row r="1018" customFormat="false" ht="15" hidden="false" customHeight="false" outlineLevel="0" collapsed="false">
      <c r="A1018" s="50" t="n">
        <v>938</v>
      </c>
      <c r="B1018" s="51" t="n">
        <f aca="false">1+IF($G$6=$E$6,$F$6,IF(P1018&lt;($F$6-$E$6)/($G$6-$E$6),$E$6+SQRT(P1018*($G$6-$E$6)*($F$6-$E$6)),$G$6-SQRT((1-P1018)*($G$6-$E$6)*($G$6-$F$6))))</f>
        <v>0.986308612647581</v>
      </c>
      <c r="C1018" s="51" t="n">
        <f aca="false">1+IF($G$7=$E$7,$F$7,IF(Q1018&lt;($F$7-$E$7)/($G$7-$E$7),$E$7+SQRT(Q1018*($G$7-$E$7)*($F$7-$E$7)),$G$7-SQRT((1-Q1018)*($G$7-$E$7)*($G$7-$F$7))))</f>
        <v>0.956252514462204</v>
      </c>
      <c r="D1018" s="51" t="n">
        <f aca="false">1+IF($G$8=$E$8,$F$8,IF(R1018&lt;($F$8-$E$8)/($G$8-$E$8),$E$8+SQRT(R1018*($G$8-$E$8)*($F$8-$E$8)),$G$8-SQRT((1-R1018)*($G$8-$E$8)*($G$8-$F$8))))</f>
        <v>1.03534960889203</v>
      </c>
      <c r="E1018" s="51" t="n">
        <f aca="false">1+IF($G$9=$E$9,$F$9,IF(S1018&lt;($F$9-$E$9)/($G$9-$E$9),$E$9+SQRT(S1018*($G$9-$E$9)*($F$9-$E$9)),$G$9-SQRT((1-S1018)*($G$9-$E$9)*($G$9-$F$9))))</f>
        <v>0.983675536174287</v>
      </c>
      <c r="F1018" s="51" t="n">
        <f aca="false">1+IF($G$10=$E$10,$F$10,IF(T1018&lt;($F$10-$E$10)/($G$10-$E$10),$E$10+SQRT(T1018*($G$10-$E$10)*($F$10-$E$10)),$G$10-SQRT((1-T1018)*($G$10-$E$10)*($G$10-$F$10))))</f>
        <v>1.07524435880476</v>
      </c>
      <c r="G1018" s="52" t="n">
        <f aca="false">IF($G$11=$E$11,$F$11,IF(U1018&lt;($F$11-$E$11)/($G$11-$E$11),$E$11+SQRT(U1018*($G$11-$E$11)*($F$11-$E$11)),$G$11-SQRT((1-U1018)*($G$11-$E$11)*($G$11-$F$11))))</f>
        <v>0.0995763083702788</v>
      </c>
      <c r="H1018" s="53" t="n">
        <f aca="false">(('Business Case'!B11*$C1018*'Business Case'!B12*$B1018)-'Business Case'!B11*$C1018*'Business Case'!B13*$D1018-'Business Case'!B14*$E1018)-MAX(0,(('Business Case'!B11*$C1018*'Business Case'!B12*$B1018)-'Business Case'!B11*$C1018*'Business Case'!B13*$D1018-'Business Case'!B14*$E1018))*'Business Case'!$B$7-'Business Case'!$B$8*('Business Case'!B11*$C1018*'Business Case'!B12*$B1018)-'Business Case'!B15*$F1018</f>
        <v>-2150488717.60952</v>
      </c>
      <c r="I1018" s="53" t="n">
        <f aca="false">(('Business Case'!C11*$C1018*'Business Case'!C12*$B1018)-'Business Case'!C11*$C1018*'Business Case'!C13*$D1018-'Business Case'!C14*$E1018)-MAX(0,(('Business Case'!C11*$C1018*'Business Case'!C12*$B1018)-'Business Case'!C11*$C1018*'Business Case'!C13*$D1018-'Business Case'!C14*$E1018))*'Business Case'!$B$7-'Business Case'!$B$8*(('Business Case'!C11*$C1018*'Business Case'!C12*$B1018)-('Business Case'!B11*$C1018*'Business Case'!B12*$B1018))-'Business Case'!C15*$F1018</f>
        <v>-30609791.2525224</v>
      </c>
      <c r="J1018" s="53" t="n">
        <f aca="false">(('Business Case'!D11*$C1018*'Business Case'!D12*$B1018)-'Business Case'!D11*$C1018*'Business Case'!D13*$D1018-'Business Case'!D14*$E1018)-MAX(0,(('Business Case'!D11*$C1018*'Business Case'!D12*$B1018)-'Business Case'!D11*$C1018*'Business Case'!D13*$D1018-'Business Case'!D14*$E1018))*'Business Case'!$B$7-'Business Case'!$B$8*(('Business Case'!D11*$C1018*'Business Case'!D12*$B1018)-('Business Case'!C11*$C1018*'Business Case'!C12*$B1018))-'Business Case'!D15*$F1018</f>
        <v>235076933.730633</v>
      </c>
      <c r="K1018" s="53" t="n">
        <f aca="false">(('Business Case'!E11*$C1018*'Business Case'!E12*$B1018)-'Business Case'!E11*$C1018*'Business Case'!E13*$D1018-'Business Case'!E14*$E1018)-MAX(0,(('Business Case'!E11*$C1018*'Business Case'!E12*$B1018)-'Business Case'!E11*$C1018*'Business Case'!E13*$D1018-'Business Case'!E14*$E1018))*'Business Case'!$B$7-'Business Case'!$B$8*(('Business Case'!E11*$C1018*'Business Case'!E12*$B1018)-('Business Case'!D11*$C1018*'Business Case'!D12*$B1018))-'Business Case'!E15*$F1018</f>
        <v>554525876.654027</v>
      </c>
      <c r="L1018" s="53" t="n">
        <f aca="false">(('Business Case'!F11*$C1018*'Business Case'!F12*$B1018)-'Business Case'!F11*$C1018*'Business Case'!F13*$D1018-'Business Case'!F14*$E1018)-MAX(0,(('Business Case'!F11*$C1018*'Business Case'!F12*$B1018)-'Business Case'!F11*$C1018*'Business Case'!F13*$D1018-'Business Case'!F14*$E1018))*'Business Case'!$B$7-'Business Case'!$B$8*(('Business Case'!F11*$C1018*'Business Case'!F12*$B1018)-('Business Case'!E11*$C1018*'Business Case'!E12*$B1018))-'Business Case'!F15*$F1018</f>
        <v>675683731.05589</v>
      </c>
      <c r="M1018" s="53" t="n">
        <f aca="false">(('Business Case'!G11*$C1018*'Business Case'!G12*$B1018)-'Business Case'!G11*$C1018*'Business Case'!G13*$D1018-'Business Case'!G14*$E1018)-MAX(0,(('Business Case'!G11*$C1018*'Business Case'!G12*$B1018)-'Business Case'!G11*$C1018*'Business Case'!G13*$D1018-'Business Case'!G14*$E1018))*'Business Case'!$B$7-'Business Case'!$B$8*(('Business Case'!G11*$C1018*'Business Case'!G12*$B1018)-('Business Case'!F11*$C1018*'Business Case'!F12*$B1018))-'Business Case'!G15*$F1018+'Business Case'!$B$8*('Business Case'!G11*$C1018*'Business Case'!G12*$B1018)</f>
        <v>854959601.130356</v>
      </c>
      <c r="N1018" s="53" t="n">
        <f aca="false">IF(COUNT('Business Case'!B11:G11)=0,"",H1018+NPV(G1018,I1018:M1018))</f>
        <v>-572694028.660267</v>
      </c>
      <c r="P1018" s="54" t="n">
        <f aca="true">RAND()</f>
        <v>0.458003344921554</v>
      </c>
      <c r="Q1018" s="54" t="n">
        <f aca="true">RAND()</f>
        <v>0.348783546796589</v>
      </c>
      <c r="R1018" s="54" t="n">
        <f aca="true">RAND()</f>
        <v>0.808302170567822</v>
      </c>
      <c r="S1018" s="54" t="n">
        <f aca="true">RAND()</f>
        <v>0.15120556488343</v>
      </c>
      <c r="T1018" s="54" t="n">
        <f aca="true">RAND()</f>
        <v>0.68872059979929</v>
      </c>
      <c r="U1018" s="54" t="n">
        <f aca="true">RAND()</f>
        <v>0.305685606675575</v>
      </c>
    </row>
    <row r="1019" customFormat="false" ht="15" hidden="false" customHeight="false" outlineLevel="0" collapsed="false">
      <c r="A1019" s="50" t="n">
        <v>939</v>
      </c>
      <c r="B1019" s="51" t="n">
        <f aca="false">1+IF($G$6=$E$6,$F$6,IF(P1019&lt;($F$6-$E$6)/($G$6-$E$6),$E$6+SQRT(P1019*($G$6-$E$6)*($F$6-$E$6)),$G$6-SQRT((1-P1019)*($G$6-$E$6)*($G$6-$F$6))))</f>
        <v>1.00362983689925</v>
      </c>
      <c r="C1019" s="51" t="n">
        <f aca="false">1+IF($G$7=$E$7,$F$7,IF(Q1019&lt;($F$7-$E$7)/($G$7-$E$7),$E$7+SQRT(Q1019*($G$7-$E$7)*($F$7-$E$7)),$G$7-SQRT((1-Q1019)*($G$7-$E$7)*($G$7-$F$7))))</f>
        <v>0.999921994236373</v>
      </c>
      <c r="D1019" s="51" t="n">
        <f aca="false">1+IF($G$8=$E$8,$F$8,IF(R1019&lt;($F$8-$E$8)/($G$8-$E$8),$E$8+SQRT(R1019*($G$8-$E$8)*($F$8-$E$8)),$G$8-SQRT((1-R1019)*($G$8-$E$8)*($G$8-$F$8))))</f>
        <v>0.965544573170685</v>
      </c>
      <c r="E1019" s="51" t="n">
        <f aca="false">1+IF($G$9=$E$9,$F$9,IF(S1019&lt;($F$9-$E$9)/($G$9-$E$9),$E$9+SQRT(S1019*($G$9-$E$9)*($F$9-$E$9)),$G$9-SQRT((1-S1019)*($G$9-$E$9)*($G$9-$F$9))))</f>
        <v>1.00348119417935</v>
      </c>
      <c r="F1019" s="51" t="n">
        <f aca="false">1+IF($G$10=$E$10,$F$10,IF(T1019&lt;($F$10-$E$10)/($G$10-$E$10),$E$10+SQRT(T1019*($G$10-$E$10)*($F$10-$E$10)),$G$10-SQRT((1-T1019)*($G$10-$E$10)*($G$10-$F$10))))</f>
        <v>0.953269676684773</v>
      </c>
      <c r="G1019" s="52" t="n">
        <f aca="false">IF($G$11=$E$11,$F$11,IF(U1019&lt;($F$11-$E$11)/($G$11-$E$11),$E$11+SQRT(U1019*($G$11-$E$11)*($F$11-$E$11)),$G$11-SQRT((1-U1019)*($G$11-$E$11)*($G$11-$F$11))))</f>
        <v>0.107552717679615</v>
      </c>
      <c r="H1019" s="53" t="n">
        <f aca="false">(('Business Case'!B11*$C1019*'Business Case'!B12*$B1019)-'Business Case'!B11*$C1019*'Business Case'!B13*$D1019-'Business Case'!B14*$E1019)-MAX(0,(('Business Case'!B11*$C1019*'Business Case'!B12*$B1019)-'Business Case'!B11*$C1019*'Business Case'!B13*$D1019-'Business Case'!B14*$E1019))*'Business Case'!$B$7-'Business Case'!$B$8*('Business Case'!B11*$C1019*'Business Case'!B12*$B1019)-'Business Case'!B15*$F1019</f>
        <v>-1906539353.36955</v>
      </c>
      <c r="I1019" s="53" t="n">
        <f aca="false">(('Business Case'!C11*$C1019*'Business Case'!C12*$B1019)-'Business Case'!C11*$C1019*'Business Case'!C13*$D1019-'Business Case'!C14*$E1019)-MAX(0,(('Business Case'!C11*$C1019*'Business Case'!C12*$B1019)-'Business Case'!C11*$C1019*'Business Case'!C13*$D1019-'Business Case'!C14*$E1019))*'Business Case'!$B$7-'Business Case'!$B$8*(('Business Case'!C11*$C1019*'Business Case'!C12*$B1019)-('Business Case'!B11*$C1019*'Business Case'!B12*$B1019))-'Business Case'!C15*$F1019</f>
        <v>37691846.6991019</v>
      </c>
      <c r="J1019" s="53" t="n">
        <f aca="false">(('Business Case'!D11*$C1019*'Business Case'!D12*$B1019)-'Business Case'!D11*$C1019*'Business Case'!D13*$D1019-'Business Case'!D14*$E1019)-MAX(0,(('Business Case'!D11*$C1019*'Business Case'!D12*$B1019)-'Business Case'!D11*$C1019*'Business Case'!D13*$D1019-'Business Case'!D14*$E1019))*'Business Case'!$B$7-'Business Case'!$B$8*(('Business Case'!D11*$C1019*'Business Case'!D12*$B1019)-('Business Case'!C11*$C1019*'Business Case'!C12*$B1019))-'Business Case'!D15*$F1019</f>
        <v>365429799.126652</v>
      </c>
      <c r="K1019" s="53" t="n">
        <f aca="false">(('Business Case'!E11*$C1019*'Business Case'!E12*$B1019)-'Business Case'!E11*$C1019*'Business Case'!E13*$D1019-'Business Case'!E14*$E1019)-MAX(0,(('Business Case'!E11*$C1019*'Business Case'!E12*$B1019)-'Business Case'!E11*$C1019*'Business Case'!E13*$D1019-'Business Case'!E14*$E1019))*'Business Case'!$B$7-'Business Case'!$B$8*(('Business Case'!E11*$C1019*'Business Case'!E12*$B1019)-('Business Case'!D11*$C1019*'Business Case'!D12*$B1019))-'Business Case'!E15*$F1019</f>
        <v>740831235.388441</v>
      </c>
      <c r="L1019" s="53" t="n">
        <f aca="false">(('Business Case'!F11*$C1019*'Business Case'!F12*$B1019)-'Business Case'!F11*$C1019*'Business Case'!F13*$D1019-'Business Case'!F14*$E1019)-MAX(0,(('Business Case'!F11*$C1019*'Business Case'!F12*$B1019)-'Business Case'!F11*$C1019*'Business Case'!F13*$D1019-'Business Case'!F14*$E1019))*'Business Case'!$B$7-'Business Case'!$B$8*(('Business Case'!F11*$C1019*'Business Case'!F12*$B1019)-('Business Case'!E11*$C1019*'Business Case'!E12*$B1019))-'Business Case'!F15*$F1019</f>
        <v>884759961.029403</v>
      </c>
      <c r="M1019" s="53" t="n">
        <f aca="false">(('Business Case'!G11*$C1019*'Business Case'!G12*$B1019)-'Business Case'!G11*$C1019*'Business Case'!G13*$D1019-'Business Case'!G14*$E1019)-MAX(0,(('Business Case'!G11*$C1019*'Business Case'!G12*$B1019)-'Business Case'!G11*$C1019*'Business Case'!G13*$D1019-'Business Case'!G14*$E1019))*'Business Case'!$B$7-'Business Case'!$B$8*(('Business Case'!G11*$C1019*'Business Case'!G12*$B1019)-('Business Case'!F11*$C1019*'Business Case'!F12*$B1019))-'Business Case'!G15*$F1019+'Business Case'!$B$8*('Business Case'!G11*$C1019*'Business Case'!G12*$B1019)</f>
        <v>1075515039.27085</v>
      </c>
      <c r="N1019" s="53" t="n">
        <f aca="false">IF(COUNT('Business Case'!B11:G11)=0,"",H1019+NPV(G1019,I1019:M1019))</f>
        <v>204019501.193509</v>
      </c>
      <c r="P1019" s="54" t="n">
        <f aca="true">RAND()</f>
        <v>0.7244190075052</v>
      </c>
      <c r="Q1019" s="54" t="n">
        <f aca="true">RAND()</f>
        <v>0.570982911134974</v>
      </c>
      <c r="R1019" s="54" t="n">
        <f aca="true">RAND()</f>
        <v>0.0371744238551947</v>
      </c>
      <c r="S1019" s="54" t="n">
        <f aca="true">RAND()</f>
        <v>0.378941341530312</v>
      </c>
      <c r="T1019" s="54" t="n">
        <f aca="true">RAND()</f>
        <v>0.00085526284983576</v>
      </c>
      <c r="U1019" s="54" t="n">
        <f aca="true">RAND()</f>
        <v>0.741775271394383</v>
      </c>
    </row>
    <row r="1020" customFormat="false" ht="15" hidden="false" customHeight="false" outlineLevel="0" collapsed="false">
      <c r="A1020" s="50" t="n">
        <v>940</v>
      </c>
      <c r="B1020" s="51" t="n">
        <f aca="false">1+IF($G$6=$E$6,$F$6,IF(P1020&lt;($F$6-$E$6)/($G$6-$E$6),$E$6+SQRT(P1020*($G$6-$E$6)*($F$6-$E$6)),$G$6-SQRT((1-P1020)*($G$6-$E$6)*($G$6-$F$6))))</f>
        <v>1.01744810062223</v>
      </c>
      <c r="C1020" s="51" t="n">
        <f aca="false">1+IF($G$7=$E$7,$F$7,IF(Q1020&lt;($F$7-$E$7)/($G$7-$E$7),$E$7+SQRT(Q1020*($G$7-$E$7)*($F$7-$E$7)),$G$7-SQRT((1-Q1020)*($G$7-$E$7)*($G$7-$F$7))))</f>
        <v>1.08259672672014</v>
      </c>
      <c r="D1020" s="51" t="n">
        <f aca="false">1+IF($G$8=$E$8,$F$8,IF(R1020&lt;($F$8-$E$8)/($G$8-$E$8),$E$8+SQRT(R1020*($G$8-$E$8)*($F$8-$E$8)),$G$8-SQRT((1-R1020)*($G$8-$E$8)*($G$8-$F$8))))</f>
        <v>1.03138677215155</v>
      </c>
      <c r="E1020" s="51" t="n">
        <f aca="false">1+IF($G$9=$E$9,$F$9,IF(S1020&lt;($F$9-$E$9)/($G$9-$E$9),$E$9+SQRT(S1020*($G$9-$E$9)*($F$9-$E$9)),$G$9-SQRT((1-S1020)*($G$9-$E$9)*($G$9-$F$9))))</f>
        <v>0.99522169129616</v>
      </c>
      <c r="F1020" s="51" t="n">
        <f aca="false">1+IF($G$10=$E$10,$F$10,IF(T1020&lt;($F$10-$E$10)/($G$10-$E$10),$E$10+SQRT(T1020*($G$10-$E$10)*($F$10-$E$10)),$G$10-SQRT((1-T1020)*($G$10-$E$10)*($G$10-$F$10))))</f>
        <v>1.0542627475785</v>
      </c>
      <c r="G1020" s="52" t="n">
        <f aca="false">IF($G$11=$E$11,$F$11,IF(U1020&lt;($F$11-$E$11)/($G$11-$E$11),$E$11+SQRT(U1020*($G$11-$E$11)*($F$11-$E$11)),$G$11-SQRT((1-U1020)*($G$11-$E$11)*($G$11-$F$11))))</f>
        <v>0.104258130010651</v>
      </c>
      <c r="H1020" s="53" t="n">
        <f aca="false">(('Business Case'!B11*$C1020*'Business Case'!B12*$B1020)-'Business Case'!B11*$C1020*'Business Case'!B13*$D1020-'Business Case'!B14*$E1020)-MAX(0,(('Business Case'!B11*$C1020*'Business Case'!B12*$B1020)-'Business Case'!B11*$C1020*'Business Case'!B13*$D1020-'Business Case'!B14*$E1020))*'Business Case'!$B$7-'Business Case'!$B$8*('Business Case'!B11*$C1020*'Business Case'!B12*$B1020)-'Business Case'!B15*$F1020</f>
        <v>-2108525495.15701</v>
      </c>
      <c r="I1020" s="53" t="n">
        <f aca="false">(('Business Case'!C11*$C1020*'Business Case'!C12*$B1020)-'Business Case'!C11*$C1020*'Business Case'!C13*$D1020-'Business Case'!C14*$E1020)-MAX(0,(('Business Case'!C11*$C1020*'Business Case'!C12*$B1020)-'Business Case'!C11*$C1020*'Business Case'!C13*$D1020-'Business Case'!C14*$E1020))*'Business Case'!$B$7-'Business Case'!$B$8*(('Business Case'!C11*$C1020*'Business Case'!C12*$B1020)-('Business Case'!B11*$C1020*'Business Case'!B12*$B1020))-'Business Case'!C15*$F1020</f>
        <v>26550937.7071695</v>
      </c>
      <c r="J1020" s="53" t="n">
        <f aca="false">(('Business Case'!D11*$C1020*'Business Case'!D12*$B1020)-'Business Case'!D11*$C1020*'Business Case'!D13*$D1020-'Business Case'!D14*$E1020)-MAX(0,(('Business Case'!D11*$C1020*'Business Case'!D12*$B1020)-'Business Case'!D11*$C1020*'Business Case'!D13*$D1020-'Business Case'!D14*$E1020))*'Business Case'!$B$7-'Business Case'!$B$8*(('Business Case'!D11*$C1020*'Business Case'!D12*$B1020)-('Business Case'!C11*$C1020*'Business Case'!C12*$B1020))-'Business Case'!D15*$F1020</f>
        <v>357149708.050914</v>
      </c>
      <c r="K1020" s="53" t="n">
        <f aca="false">(('Business Case'!E11*$C1020*'Business Case'!E12*$B1020)-'Business Case'!E11*$C1020*'Business Case'!E13*$D1020-'Business Case'!E14*$E1020)-MAX(0,(('Business Case'!E11*$C1020*'Business Case'!E12*$B1020)-'Business Case'!E11*$C1020*'Business Case'!E13*$D1020-'Business Case'!E14*$E1020))*'Business Case'!$B$7-'Business Case'!$B$8*(('Business Case'!E11*$C1020*'Business Case'!E12*$B1020)-('Business Case'!D11*$C1020*'Business Case'!D12*$B1020))-'Business Case'!E15*$F1020</f>
        <v>740461615.773583</v>
      </c>
      <c r="L1020" s="53" t="n">
        <f aca="false">(('Business Case'!F11*$C1020*'Business Case'!F12*$B1020)-'Business Case'!F11*$C1020*'Business Case'!F13*$D1020-'Business Case'!F14*$E1020)-MAX(0,(('Business Case'!F11*$C1020*'Business Case'!F12*$B1020)-'Business Case'!F11*$C1020*'Business Case'!F13*$D1020-'Business Case'!F14*$E1020))*'Business Case'!$B$7-'Business Case'!$B$8*(('Business Case'!F11*$C1020*'Business Case'!F12*$B1020)-('Business Case'!E11*$C1020*'Business Case'!E12*$B1020))-'Business Case'!F15*$F1020</f>
        <v>888728561.472438</v>
      </c>
      <c r="M1020" s="53" t="n">
        <f aca="false">(('Business Case'!G11*$C1020*'Business Case'!G12*$B1020)-'Business Case'!G11*$C1020*'Business Case'!G13*$D1020-'Business Case'!G14*$E1020)-MAX(0,(('Business Case'!G11*$C1020*'Business Case'!G12*$B1020)-'Business Case'!G11*$C1020*'Business Case'!G13*$D1020-'Business Case'!G14*$E1020))*'Business Case'!$B$7-'Business Case'!$B$8*(('Business Case'!G11*$C1020*'Business Case'!G12*$B1020)-('Business Case'!F11*$C1020*'Business Case'!F12*$B1020))-'Business Case'!G15*$F1020+'Business Case'!$B$8*('Business Case'!G11*$C1020*'Business Case'!G12*$B1020)</f>
        <v>1098099017.18594</v>
      </c>
      <c r="N1020" s="53" t="n">
        <f aca="false">IF(COUNT('Business Case'!B11:G11)=0,"",H1020+NPV(G1020,I1020:M1020))</f>
        <v>24813360.007545</v>
      </c>
      <c r="P1020" s="54" t="n">
        <f aca="true">RAND()</f>
        <v>0.894044132178137</v>
      </c>
      <c r="Q1020" s="54" t="n">
        <f aca="true">RAND()</f>
        <v>0.913462833355436</v>
      </c>
      <c r="R1020" s="54" t="n">
        <f aca="true">RAND()</f>
        <v>0.772764815207166</v>
      </c>
      <c r="S1020" s="54" t="n">
        <f aca="true">RAND()</f>
        <v>0.272666848491355</v>
      </c>
      <c r="T1020" s="54" t="n">
        <f aca="true">RAND()</f>
        <v>0.575213065132657</v>
      </c>
      <c r="U1020" s="54" t="n">
        <f aca="true">RAND()</f>
        <v>0.586989215397378</v>
      </c>
    </row>
    <row r="1021" customFormat="false" ht="15" hidden="false" customHeight="false" outlineLevel="0" collapsed="false">
      <c r="A1021" s="50" t="n">
        <v>941</v>
      </c>
      <c r="B1021" s="51" t="n">
        <f aca="false">1+IF($G$6=$E$6,$F$6,IF(P1021&lt;($F$6-$E$6)/($G$6-$E$6),$E$6+SQRT(P1021*($G$6-$E$6)*($F$6-$E$6)),$G$6-SQRT((1-P1021)*($G$6-$E$6)*($G$6-$F$6))))</f>
        <v>0.98654304094809</v>
      </c>
      <c r="C1021" s="51" t="n">
        <f aca="false">1+IF($G$7=$E$7,$F$7,IF(Q1021&lt;($F$7-$E$7)/($G$7-$E$7),$E$7+SQRT(Q1021*($G$7-$E$7)*($F$7-$E$7)),$G$7-SQRT((1-Q1021)*($G$7-$E$7)*($G$7-$F$7))))</f>
        <v>1.02229522487427</v>
      </c>
      <c r="D1021" s="51" t="n">
        <f aca="false">1+IF($G$8=$E$8,$F$8,IF(R1021&lt;($F$8-$E$8)/($G$8-$E$8),$E$8+SQRT(R1021*($G$8-$E$8)*($F$8-$E$8)),$G$8-SQRT((1-R1021)*($G$8-$E$8)*($G$8-$F$8))))</f>
        <v>1.0327331052459</v>
      </c>
      <c r="E1021" s="51" t="n">
        <f aca="false">1+IF($G$9=$E$9,$F$9,IF(S1021&lt;($F$9-$E$9)/($G$9-$E$9),$E$9+SQRT(S1021*($G$9-$E$9)*($F$9-$E$9)),$G$9-SQRT((1-S1021)*($G$9-$E$9)*($G$9-$F$9))))</f>
        <v>0.994414392195295</v>
      </c>
      <c r="F1021" s="51" t="n">
        <f aca="false">1+IF($G$10=$E$10,$F$10,IF(T1021&lt;($F$10-$E$10)/($G$10-$E$10),$E$10+SQRT(T1021*($G$10-$E$10)*($F$10-$E$10)),$G$10-SQRT((1-T1021)*($G$10-$E$10)*($G$10-$F$10))))</f>
        <v>1.07103416722781</v>
      </c>
      <c r="G1021" s="52" t="n">
        <f aca="false">IF($G$11=$E$11,$F$11,IF(U1021&lt;($F$11-$E$11)/($G$11-$E$11),$E$11+SQRT(U1021*($G$11-$E$11)*($F$11-$E$11)),$G$11-SQRT((1-U1021)*($G$11-$E$11)*($G$11-$F$11))))</f>
        <v>0.107454918479385</v>
      </c>
      <c r="H1021" s="53" t="n">
        <f aca="false">(('Business Case'!B11*$C1021*'Business Case'!B12*$B1021)-'Business Case'!B11*$C1021*'Business Case'!B13*$D1021-'Business Case'!B14*$E1021)-MAX(0,(('Business Case'!B11*$C1021*'Business Case'!B12*$B1021)-'Business Case'!B11*$C1021*'Business Case'!B13*$D1021-'Business Case'!B14*$E1021))*'Business Case'!$B$7-'Business Case'!$B$8*('Business Case'!B11*$C1021*'Business Case'!B12*$B1021)-'Business Case'!B15*$F1021</f>
        <v>-2142068334.45563</v>
      </c>
      <c r="I1021" s="53" t="n">
        <f aca="false">(('Business Case'!C11*$C1021*'Business Case'!C12*$B1021)-'Business Case'!C11*$C1021*'Business Case'!C13*$D1021-'Business Case'!C14*$E1021)-MAX(0,(('Business Case'!C11*$C1021*'Business Case'!C12*$B1021)-'Business Case'!C11*$C1021*'Business Case'!C13*$D1021-'Business Case'!C14*$E1021))*'Business Case'!$B$7-'Business Case'!$B$8*(('Business Case'!C11*$C1021*'Business Case'!C12*$B1021)-('Business Case'!B11*$C1021*'Business Case'!B12*$B1021))-'Business Case'!C15*$F1021</f>
        <v>-15190030.2686785</v>
      </c>
      <c r="J1021" s="53" t="n">
        <f aca="false">(('Business Case'!D11*$C1021*'Business Case'!D12*$B1021)-'Business Case'!D11*$C1021*'Business Case'!D13*$D1021-'Business Case'!D14*$E1021)-MAX(0,(('Business Case'!D11*$C1021*'Business Case'!D12*$B1021)-'Business Case'!D11*$C1021*'Business Case'!D13*$D1021-'Business Case'!D14*$E1021))*'Business Case'!$B$7-'Business Case'!$B$8*(('Business Case'!D11*$C1021*'Business Case'!D12*$B1021)-('Business Case'!C11*$C1021*'Business Case'!C12*$B1021))-'Business Case'!D15*$F1021</f>
        <v>270411705.11171</v>
      </c>
      <c r="K1021" s="53" t="n">
        <f aca="false">(('Business Case'!E11*$C1021*'Business Case'!E12*$B1021)-'Business Case'!E11*$C1021*'Business Case'!E13*$D1021-'Business Case'!E14*$E1021)-MAX(0,(('Business Case'!E11*$C1021*'Business Case'!E12*$B1021)-'Business Case'!E11*$C1021*'Business Case'!E13*$D1021-'Business Case'!E14*$E1021))*'Business Case'!$B$7-'Business Case'!$B$8*(('Business Case'!E11*$C1021*'Business Case'!E12*$B1021)-('Business Case'!D11*$C1021*'Business Case'!D12*$B1021))-'Business Case'!E15*$F1021</f>
        <v>609565148.853488</v>
      </c>
      <c r="L1021" s="53" t="n">
        <f aca="false">(('Business Case'!F11*$C1021*'Business Case'!F12*$B1021)-'Business Case'!F11*$C1021*'Business Case'!F13*$D1021-'Business Case'!F14*$E1021)-MAX(0,(('Business Case'!F11*$C1021*'Business Case'!F12*$B1021)-'Business Case'!F11*$C1021*'Business Case'!F13*$D1021-'Business Case'!F14*$E1021))*'Business Case'!$B$7-'Business Case'!$B$8*(('Business Case'!F11*$C1021*'Business Case'!F12*$B1021)-('Business Case'!E11*$C1021*'Business Case'!E12*$B1021))-'Business Case'!F15*$F1021</f>
        <v>739620808.88436</v>
      </c>
      <c r="M1021" s="53" t="n">
        <f aca="false">(('Business Case'!G11*$C1021*'Business Case'!G12*$B1021)-'Business Case'!G11*$C1021*'Business Case'!G13*$D1021-'Business Case'!G14*$E1021)-MAX(0,(('Business Case'!G11*$C1021*'Business Case'!G12*$B1021)-'Business Case'!G11*$C1021*'Business Case'!G13*$D1021-'Business Case'!G14*$E1021))*'Business Case'!$B$7-'Business Case'!$B$8*(('Business Case'!G11*$C1021*'Business Case'!G12*$B1021)-('Business Case'!F11*$C1021*'Business Case'!F12*$B1021))-'Business Case'!G15*$F1021+'Business Case'!$B$8*('Business Case'!G11*$C1021*'Business Case'!G12*$B1021)</f>
        <v>931323757.523445</v>
      </c>
      <c r="N1021" s="53" t="n">
        <f aca="false">IF(COUNT('Business Case'!B11:G11)=0,"",H1021+NPV(G1021,I1021:M1021))</f>
        <v>-435732899.13718</v>
      </c>
      <c r="P1021" s="54" t="n">
        <f aca="true">RAND()</f>
        <v>0.461247531106158</v>
      </c>
      <c r="Q1021" s="54" t="n">
        <f aca="true">RAND()</f>
        <v>0.689361722096899</v>
      </c>
      <c r="R1021" s="54" t="n">
        <f aca="true">RAND()</f>
        <v>0.785176986567742</v>
      </c>
      <c r="S1021" s="54" t="n">
        <f aca="true">RAND()</f>
        <v>0.263018431210334</v>
      </c>
      <c r="T1021" s="54" t="n">
        <f aca="true">RAND()</f>
        <v>0.667356279547534</v>
      </c>
      <c r="U1021" s="54" t="n">
        <f aca="true">RAND()</f>
        <v>0.737701549401858</v>
      </c>
    </row>
    <row r="1022" customFormat="false" ht="15" hidden="false" customHeight="false" outlineLevel="0" collapsed="false">
      <c r="A1022" s="50" t="n">
        <v>942</v>
      </c>
      <c r="B1022" s="51" t="n">
        <f aca="false">1+IF($G$6=$E$6,$F$6,IF(P1022&lt;($F$6-$E$6)/($G$6-$E$6),$E$6+SQRT(P1022*($G$6-$E$6)*($F$6-$E$6)),$G$6-SQRT((1-P1022)*($G$6-$E$6)*($G$6-$F$6))))</f>
        <v>0.96431377943923</v>
      </c>
      <c r="C1022" s="51" t="n">
        <f aca="false">1+IF($G$7=$E$7,$F$7,IF(Q1022&lt;($F$7-$E$7)/($G$7-$E$7),$E$7+SQRT(Q1022*($G$7-$E$7)*($F$7-$E$7)),$G$7-SQRT((1-Q1022)*($G$7-$E$7)*($G$7-$F$7))))</f>
        <v>0.897257030245814</v>
      </c>
      <c r="D1022" s="51" t="n">
        <f aca="false">1+IF($G$8=$E$8,$F$8,IF(R1022&lt;($F$8-$E$8)/($G$8-$E$8),$E$8+SQRT(R1022*($G$8-$E$8)*($F$8-$E$8)),$G$8-SQRT((1-R1022)*($G$8-$E$8)*($G$8-$F$8))))</f>
        <v>0.989423846193193</v>
      </c>
      <c r="E1022" s="51" t="n">
        <f aca="false">1+IF($G$9=$E$9,$F$9,IF(S1022&lt;($F$9-$E$9)/($G$9-$E$9),$E$9+SQRT(S1022*($G$9-$E$9)*($F$9-$E$9)),$G$9-SQRT((1-S1022)*($G$9-$E$9)*($G$9-$F$9))))</f>
        <v>1.01441380280436</v>
      </c>
      <c r="F1022" s="51" t="n">
        <f aca="false">1+IF($G$10=$E$10,$F$10,IF(T1022&lt;($F$10-$E$10)/($G$10-$E$10),$E$10+SQRT(T1022*($G$10-$E$10)*($F$10-$E$10)),$G$10-SQRT((1-T1022)*($G$10-$E$10)*($G$10-$F$10))))</f>
        <v>0.98955602218273</v>
      </c>
      <c r="G1022" s="52" t="n">
        <f aca="false">IF($G$11=$E$11,$F$11,IF(U1022&lt;($F$11-$E$11)/($G$11-$E$11),$E$11+SQRT(U1022*($G$11-$E$11)*($F$11-$E$11)),$G$11-SQRT((1-U1022)*($G$11-$E$11)*($G$11-$F$11))))</f>
        <v>0.108203848033008</v>
      </c>
      <c r="H1022" s="53" t="n">
        <f aca="false">(('Business Case'!B11*$C1022*'Business Case'!B12*$B1022)-'Business Case'!B11*$C1022*'Business Case'!B13*$D1022-'Business Case'!B14*$E1022)-MAX(0,(('Business Case'!B11*$C1022*'Business Case'!B12*$B1022)-'Business Case'!B11*$C1022*'Business Case'!B13*$D1022-'Business Case'!B14*$E1022))*'Business Case'!$B$7-'Business Case'!$B$8*('Business Case'!B11*$C1022*'Business Case'!B12*$B1022)-'Business Case'!B15*$F1022</f>
        <v>-1979112044.36546</v>
      </c>
      <c r="I1022" s="53" t="n">
        <f aca="false">(('Business Case'!C11*$C1022*'Business Case'!C12*$B1022)-'Business Case'!C11*$C1022*'Business Case'!C13*$D1022-'Business Case'!C14*$E1022)-MAX(0,(('Business Case'!C11*$C1022*'Business Case'!C12*$B1022)-'Business Case'!C11*$C1022*'Business Case'!C13*$D1022-'Business Case'!C14*$E1022))*'Business Case'!$B$7-'Business Case'!$B$8*(('Business Case'!C11*$C1022*'Business Case'!C12*$B1022)-('Business Case'!B11*$C1022*'Business Case'!B12*$B1022))-'Business Case'!C15*$F1022</f>
        <v>-33833426.6076865</v>
      </c>
      <c r="J1022" s="53" t="n">
        <f aca="false">(('Business Case'!D11*$C1022*'Business Case'!D12*$B1022)-'Business Case'!D11*$C1022*'Business Case'!D13*$D1022-'Business Case'!D14*$E1022)-MAX(0,(('Business Case'!D11*$C1022*'Business Case'!D12*$B1022)-'Business Case'!D11*$C1022*'Business Case'!D13*$D1022-'Business Case'!D14*$E1022))*'Business Case'!$B$7-'Business Case'!$B$8*(('Business Case'!D11*$C1022*'Business Case'!D12*$B1022)-('Business Case'!C11*$C1022*'Business Case'!C12*$B1022))-'Business Case'!D15*$F1022</f>
        <v>220392294.324973</v>
      </c>
      <c r="K1022" s="53" t="n">
        <f aca="false">(('Business Case'!E11*$C1022*'Business Case'!E12*$B1022)-'Business Case'!E11*$C1022*'Business Case'!E13*$D1022-'Business Case'!E14*$E1022)-MAX(0,(('Business Case'!E11*$C1022*'Business Case'!E12*$B1022)-'Business Case'!E11*$C1022*'Business Case'!E13*$D1022-'Business Case'!E14*$E1022))*'Business Case'!$B$7-'Business Case'!$B$8*(('Business Case'!E11*$C1022*'Business Case'!E12*$B1022)-('Business Case'!D11*$C1022*'Business Case'!D12*$B1022))-'Business Case'!E15*$F1022</f>
        <v>524095816.366769</v>
      </c>
      <c r="L1022" s="53" t="n">
        <f aca="false">(('Business Case'!F11*$C1022*'Business Case'!F12*$B1022)-'Business Case'!F11*$C1022*'Business Case'!F13*$D1022-'Business Case'!F14*$E1022)-MAX(0,(('Business Case'!F11*$C1022*'Business Case'!F12*$B1022)-'Business Case'!F11*$C1022*'Business Case'!F13*$D1022-'Business Case'!F14*$E1022))*'Business Case'!$B$7-'Business Case'!$B$8*(('Business Case'!F11*$C1022*'Business Case'!F12*$B1022)-('Business Case'!E11*$C1022*'Business Case'!E12*$B1022))-'Business Case'!F15*$F1022</f>
        <v>638740325.053185</v>
      </c>
      <c r="M1022" s="53" t="n">
        <f aca="false">(('Business Case'!G11*$C1022*'Business Case'!G12*$B1022)-'Business Case'!G11*$C1022*'Business Case'!G13*$D1022-'Business Case'!G14*$E1022)-MAX(0,(('Business Case'!G11*$C1022*'Business Case'!G12*$B1022)-'Business Case'!G11*$C1022*'Business Case'!G13*$D1022-'Business Case'!G14*$E1022))*'Business Case'!$B$7-'Business Case'!$B$8*(('Business Case'!G11*$C1022*'Business Case'!G12*$B1022)-('Business Case'!F11*$C1022*'Business Case'!F12*$B1022))-'Business Case'!G15*$F1022+'Business Case'!$B$8*('Business Case'!G11*$C1022*'Business Case'!G12*$B1022)</f>
        <v>803204634.451927</v>
      </c>
      <c r="N1022" s="53" t="n">
        <f aca="false">IF(COUNT('Business Case'!B11:G11)=0,"",H1022+NPV(G1022,I1022:M1022))</f>
        <v>-541074977.964737</v>
      </c>
      <c r="P1022" s="54" t="n">
        <f aca="true">RAND()</f>
        <v>0.204553234186329</v>
      </c>
      <c r="Q1022" s="54" t="n">
        <f aca="true">RAND()</f>
        <v>0.135127570460502</v>
      </c>
      <c r="R1022" s="54" t="n">
        <f aca="true">RAND()</f>
        <v>0.23911379210223</v>
      </c>
      <c r="S1022" s="54" t="n">
        <f aca="true">RAND()</f>
        <v>0.511666856639279</v>
      </c>
      <c r="T1022" s="54" t="n">
        <f aca="true">RAND()</f>
        <v>0.125174311273653</v>
      </c>
      <c r="U1022" s="54" t="n">
        <f aca="true">RAND()</f>
        <v>0.768084664619397</v>
      </c>
    </row>
    <row r="1023" customFormat="false" ht="15" hidden="false" customHeight="false" outlineLevel="0" collapsed="false">
      <c r="A1023" s="50" t="n">
        <v>943</v>
      </c>
      <c r="B1023" s="51" t="n">
        <f aca="false">1+IF($G$6=$E$6,$F$6,IF(P1023&lt;($F$6-$E$6)/($G$6-$E$6),$E$6+SQRT(P1023*($G$6-$E$6)*($F$6-$E$6)),$G$6-SQRT((1-P1023)*($G$6-$E$6)*($G$6-$F$6))))</f>
        <v>0.950059915109086</v>
      </c>
      <c r="C1023" s="51" t="n">
        <f aca="false">1+IF($G$7=$E$7,$F$7,IF(Q1023&lt;($F$7-$E$7)/($G$7-$E$7),$E$7+SQRT(Q1023*($G$7-$E$7)*($F$7-$E$7)),$G$7-SQRT((1-Q1023)*($G$7-$E$7)*($G$7-$F$7))))</f>
        <v>1.07415951608702</v>
      </c>
      <c r="D1023" s="51" t="n">
        <f aca="false">1+IF($G$8=$E$8,$F$8,IF(R1023&lt;($F$8-$E$8)/($G$8-$E$8),$E$8+SQRT(R1023*($G$8-$E$8)*($F$8-$E$8)),$G$8-SQRT((1-R1023)*($G$8-$E$8)*($G$8-$F$8))))</f>
        <v>0.96987638425917</v>
      </c>
      <c r="E1023" s="51" t="n">
        <f aca="false">1+IF($G$9=$E$9,$F$9,IF(S1023&lt;($F$9-$E$9)/($G$9-$E$9),$E$9+SQRT(S1023*($G$9-$E$9)*($F$9-$E$9)),$G$9-SQRT((1-S1023)*($G$9-$E$9)*($G$9-$F$9))))</f>
        <v>1.00856748248176</v>
      </c>
      <c r="F1023" s="51" t="n">
        <f aca="false">1+IF($G$10=$E$10,$F$10,IF(T1023&lt;($F$10-$E$10)/($G$10-$E$10),$E$10+SQRT(T1023*($G$10-$E$10)*($F$10-$E$10)),$G$10-SQRT((1-T1023)*($G$10-$E$10)*($G$10-$F$10))))</f>
        <v>1.00572057948249</v>
      </c>
      <c r="G1023" s="52" t="n">
        <f aca="false">IF($G$11=$E$11,$F$11,IF(U1023&lt;($F$11-$E$11)/($G$11-$E$11),$E$11+SQRT(U1023*($G$11-$E$11)*($F$11-$E$11)),$G$11-SQRT((1-U1023)*($G$11-$E$11)*($G$11-$F$11))))</f>
        <v>0.097921422114489</v>
      </c>
      <c r="H1023" s="53" t="n">
        <f aca="false">(('Business Case'!B11*$C1023*'Business Case'!B12*$B1023)-'Business Case'!B11*$C1023*'Business Case'!B13*$D1023-'Business Case'!B14*$E1023)-MAX(0,(('Business Case'!B11*$C1023*'Business Case'!B12*$B1023)-'Business Case'!B11*$C1023*'Business Case'!B13*$D1023-'Business Case'!B14*$E1023))*'Business Case'!$B$7-'Business Case'!$B$8*('Business Case'!B11*$C1023*'Business Case'!B12*$B1023)-'Business Case'!B15*$F1023</f>
        <v>-2011441158.96497</v>
      </c>
      <c r="I1023" s="53" t="n">
        <f aca="false">(('Business Case'!C11*$C1023*'Business Case'!C12*$B1023)-'Business Case'!C11*$C1023*'Business Case'!C13*$D1023-'Business Case'!C14*$E1023)-MAX(0,(('Business Case'!C11*$C1023*'Business Case'!C12*$B1023)-'Business Case'!C11*$C1023*'Business Case'!C13*$D1023-'Business Case'!C14*$E1023))*'Business Case'!$B$7-'Business Case'!$B$8*(('Business Case'!C11*$C1023*'Business Case'!C12*$B1023)-('Business Case'!B11*$C1023*'Business Case'!B12*$B1023))-'Business Case'!C15*$F1023</f>
        <v>5662847.00393266</v>
      </c>
      <c r="J1023" s="53" t="n">
        <f aca="false">(('Business Case'!D11*$C1023*'Business Case'!D12*$B1023)-'Business Case'!D11*$C1023*'Business Case'!D13*$D1023-'Business Case'!D14*$E1023)-MAX(0,(('Business Case'!D11*$C1023*'Business Case'!D12*$B1023)-'Business Case'!D11*$C1023*'Business Case'!D13*$D1023-'Business Case'!D14*$E1023))*'Business Case'!$B$7-'Business Case'!$B$8*(('Business Case'!D11*$C1023*'Business Case'!D12*$B1023)-('Business Case'!C11*$C1023*'Business Case'!C12*$B1023))-'Business Case'!D15*$F1023</f>
        <v>308219592.15193</v>
      </c>
      <c r="K1023" s="53" t="n">
        <f aca="false">(('Business Case'!E11*$C1023*'Business Case'!E12*$B1023)-'Business Case'!E11*$C1023*'Business Case'!E13*$D1023-'Business Case'!E14*$E1023)-MAX(0,(('Business Case'!E11*$C1023*'Business Case'!E12*$B1023)-'Business Case'!E11*$C1023*'Business Case'!E13*$D1023-'Business Case'!E14*$E1023))*'Business Case'!$B$7-'Business Case'!$B$8*(('Business Case'!E11*$C1023*'Business Case'!E12*$B1023)-('Business Case'!D11*$C1023*'Business Case'!D12*$B1023))-'Business Case'!E15*$F1023</f>
        <v>661062366.274052</v>
      </c>
      <c r="L1023" s="53" t="n">
        <f aca="false">(('Business Case'!F11*$C1023*'Business Case'!F12*$B1023)-'Business Case'!F11*$C1023*'Business Case'!F13*$D1023-'Business Case'!F14*$E1023)-MAX(0,(('Business Case'!F11*$C1023*'Business Case'!F12*$B1023)-'Business Case'!F11*$C1023*'Business Case'!F13*$D1023-'Business Case'!F14*$E1023))*'Business Case'!$B$7-'Business Case'!$B$8*(('Business Case'!F11*$C1023*'Business Case'!F12*$B1023)-('Business Case'!E11*$C1023*'Business Case'!E12*$B1023))-'Business Case'!F15*$F1023</f>
        <v>797183644.114658</v>
      </c>
      <c r="M1023" s="53" t="n">
        <f aca="false">(('Business Case'!G11*$C1023*'Business Case'!G12*$B1023)-'Business Case'!G11*$C1023*'Business Case'!G13*$D1023-'Business Case'!G14*$E1023)-MAX(0,(('Business Case'!G11*$C1023*'Business Case'!G12*$B1023)-'Business Case'!G11*$C1023*'Business Case'!G13*$D1023-'Business Case'!G14*$E1023))*'Business Case'!$B$7-'Business Case'!$B$8*(('Business Case'!G11*$C1023*'Business Case'!G12*$B1023)-('Business Case'!F11*$C1023*'Business Case'!F12*$B1023))-'Business Case'!G15*$F1023+'Business Case'!$B$8*('Business Case'!G11*$C1023*'Business Case'!G12*$B1023)</f>
        <v>991163306.133329</v>
      </c>
      <c r="N1023" s="53" t="n">
        <f aca="false">IF(COUNT('Business Case'!B11:G11)=0,"",H1023+NPV(G1023,I1023:M1023))</f>
        <v>-81194515.9108579</v>
      </c>
      <c r="P1023" s="54" t="n">
        <f aca="true">RAND()</f>
        <v>0.0941248433714032</v>
      </c>
      <c r="Q1023" s="54" t="n">
        <f aca="true">RAND()</f>
        <v>0.890442304758939</v>
      </c>
      <c r="R1023" s="54" t="n">
        <f aca="true">RAND()</f>
        <v>0.0607801001874154</v>
      </c>
      <c r="S1023" s="54" t="n">
        <f aca="true">RAND()</f>
        <v>0.442672982685128</v>
      </c>
      <c r="T1023" s="54" t="n">
        <f aca="true">RAND()</f>
        <v>0.245110135267576</v>
      </c>
      <c r="U1023" s="54" t="n">
        <f aca="true">RAND()</f>
        <v>0.209163094386387</v>
      </c>
    </row>
    <row r="1024" customFormat="false" ht="15" hidden="false" customHeight="false" outlineLevel="0" collapsed="false">
      <c r="A1024" s="50" t="n">
        <v>944</v>
      </c>
      <c r="B1024" s="51" t="n">
        <f aca="false">1+IF($G$6=$E$6,$F$6,IF(P1024&lt;($F$6-$E$6)/($G$6-$E$6),$E$6+SQRT(P1024*($G$6-$E$6)*($F$6-$E$6)),$G$6-SQRT((1-P1024)*($G$6-$E$6)*($G$6-$F$6))))</f>
        <v>1.01915897173754</v>
      </c>
      <c r="C1024" s="51" t="n">
        <f aca="false">1+IF($G$7=$E$7,$F$7,IF(Q1024&lt;($F$7-$E$7)/($G$7-$E$7),$E$7+SQRT(Q1024*($G$7-$E$7)*($F$7-$E$7)),$G$7-SQRT((1-Q1024)*($G$7-$E$7)*($G$7-$F$7))))</f>
        <v>1.02343477569025</v>
      </c>
      <c r="D1024" s="51" t="n">
        <f aca="false">1+IF($G$8=$E$8,$F$8,IF(R1024&lt;($F$8-$E$8)/($G$8-$E$8),$E$8+SQRT(R1024*($G$8-$E$8)*($F$8-$E$8)),$G$8-SQRT((1-R1024)*($G$8-$E$8)*($G$8-$F$8))))</f>
        <v>1.00257003751529</v>
      </c>
      <c r="E1024" s="51" t="n">
        <f aca="false">1+IF($G$9=$E$9,$F$9,IF(S1024&lt;($F$9-$E$9)/($G$9-$E$9),$E$9+SQRT(S1024*($G$9-$E$9)*($F$9-$E$9)),$G$9-SQRT((1-S1024)*($G$9-$E$9)*($G$9-$F$9))))</f>
        <v>1.0448356131572</v>
      </c>
      <c r="F1024" s="51" t="n">
        <f aca="false">1+IF($G$10=$E$10,$F$10,IF(T1024&lt;($F$10-$E$10)/($G$10-$E$10),$E$10+SQRT(T1024*($G$10-$E$10)*($F$10-$E$10)),$G$10-SQRT((1-T1024)*($G$10-$E$10)*($G$10-$F$10))))</f>
        <v>1.01162170187665</v>
      </c>
      <c r="G1024" s="52" t="n">
        <f aca="false">IF($G$11=$E$11,$F$11,IF(U1024&lt;($F$11-$E$11)/($G$11-$E$11),$E$11+SQRT(U1024*($G$11-$E$11)*($F$11-$E$11)),$G$11-SQRT((1-U1024)*($G$11-$E$11)*($G$11-$F$11))))</f>
        <v>0.116889743324752</v>
      </c>
      <c r="H1024" s="53" t="n">
        <f aca="false">(('Business Case'!B11*$C1024*'Business Case'!B12*$B1024)-'Business Case'!B11*$C1024*'Business Case'!B13*$D1024-'Business Case'!B14*$E1024)-MAX(0,(('Business Case'!B11*$C1024*'Business Case'!B12*$B1024)-'Business Case'!B11*$C1024*'Business Case'!B13*$D1024-'Business Case'!B14*$E1024))*'Business Case'!$B$7-'Business Case'!$B$8*('Business Case'!B11*$C1024*'Business Case'!B12*$B1024)-'Business Case'!B15*$F1024</f>
        <v>-2023243403.7533</v>
      </c>
      <c r="I1024" s="53" t="n">
        <f aca="false">(('Business Case'!C11*$C1024*'Business Case'!C12*$B1024)-'Business Case'!C11*$C1024*'Business Case'!C13*$D1024-'Business Case'!C14*$E1024)-MAX(0,(('Business Case'!C11*$C1024*'Business Case'!C12*$B1024)-'Business Case'!C11*$C1024*'Business Case'!C13*$D1024-'Business Case'!C14*$E1024))*'Business Case'!$B$7-'Business Case'!$B$8*(('Business Case'!C11*$C1024*'Business Case'!C12*$B1024)-('Business Case'!B11*$C1024*'Business Case'!B12*$B1024))-'Business Case'!C15*$F1024</f>
        <v>25254752.2087311</v>
      </c>
      <c r="J1024" s="53" t="n">
        <f aca="false">(('Business Case'!D11*$C1024*'Business Case'!D12*$B1024)-'Business Case'!D11*$C1024*'Business Case'!D13*$D1024-'Business Case'!D14*$E1024)-MAX(0,(('Business Case'!D11*$C1024*'Business Case'!D12*$B1024)-'Business Case'!D11*$C1024*'Business Case'!D13*$D1024-'Business Case'!D14*$E1024))*'Business Case'!$B$7-'Business Case'!$B$8*(('Business Case'!D11*$C1024*'Business Case'!D12*$B1024)-('Business Case'!C11*$C1024*'Business Case'!C12*$B1024))-'Business Case'!D15*$F1024</f>
        <v>354318634.107611</v>
      </c>
      <c r="K1024" s="53" t="n">
        <f aca="false">(('Business Case'!E11*$C1024*'Business Case'!E12*$B1024)-'Business Case'!E11*$C1024*'Business Case'!E13*$D1024-'Business Case'!E14*$E1024)-MAX(0,(('Business Case'!E11*$C1024*'Business Case'!E12*$B1024)-'Business Case'!E11*$C1024*'Business Case'!E13*$D1024-'Business Case'!E14*$E1024))*'Business Case'!$B$7-'Business Case'!$B$8*(('Business Case'!E11*$C1024*'Business Case'!E12*$B1024)-('Business Case'!D11*$C1024*'Business Case'!D12*$B1024))-'Business Case'!E15*$F1024</f>
        <v>733963601.100323</v>
      </c>
      <c r="L1024" s="53" t="n">
        <f aca="false">(('Business Case'!F11*$C1024*'Business Case'!F12*$B1024)-'Business Case'!F11*$C1024*'Business Case'!F13*$D1024-'Business Case'!F14*$E1024)-MAX(0,(('Business Case'!F11*$C1024*'Business Case'!F12*$B1024)-'Business Case'!F11*$C1024*'Business Case'!F13*$D1024-'Business Case'!F14*$E1024))*'Business Case'!$B$7-'Business Case'!$B$8*(('Business Case'!F11*$C1024*'Business Case'!F12*$B1024)-('Business Case'!E11*$C1024*'Business Case'!E12*$B1024))-'Business Case'!F15*$F1024</f>
        <v>879699118.607637</v>
      </c>
      <c r="M1024" s="53" t="n">
        <f aca="false">(('Business Case'!G11*$C1024*'Business Case'!G12*$B1024)-'Business Case'!G11*$C1024*'Business Case'!G13*$D1024-'Business Case'!G14*$E1024)-MAX(0,(('Business Case'!G11*$C1024*'Business Case'!G12*$B1024)-'Business Case'!G11*$C1024*'Business Case'!G13*$D1024-'Business Case'!G14*$E1024))*'Business Case'!$B$7-'Business Case'!$B$8*(('Business Case'!G11*$C1024*'Business Case'!G12*$B1024)-('Business Case'!F11*$C1024*'Business Case'!F12*$B1024))-'Business Case'!G15*$F1024+'Business Case'!$B$8*('Business Case'!G11*$C1024*'Business Case'!G12*$B1024)</f>
        <v>1077960681.41658</v>
      </c>
      <c r="N1024" s="53" t="n">
        <f aca="false">IF(COUNT('Business Case'!B11:G11)=0,"",H1024+NPV(G1024,I1024:M1024))</f>
        <v>-4252108.48375225</v>
      </c>
      <c r="P1024" s="54" t="n">
        <f aca="true">RAND()</f>
        <v>0.909510737700668</v>
      </c>
      <c r="Q1024" s="54" t="n">
        <f aca="true">RAND()</f>
        <v>0.694880838008057</v>
      </c>
      <c r="R1024" s="54" t="n">
        <f aca="true">RAND()</f>
        <v>0.423519318232392</v>
      </c>
      <c r="S1024" s="54" t="n">
        <f aca="true">RAND()</f>
        <v>0.797126028283851</v>
      </c>
      <c r="T1024" s="54" t="n">
        <f aca="true">RAND()</f>
        <v>0.290272335922995</v>
      </c>
      <c r="U1024" s="54" t="n">
        <f aca="true">RAND()</f>
        <v>0.983877172356787</v>
      </c>
    </row>
    <row r="1025" customFormat="false" ht="15" hidden="false" customHeight="false" outlineLevel="0" collapsed="false">
      <c r="A1025" s="50" t="n">
        <v>945</v>
      </c>
      <c r="B1025" s="51" t="n">
        <f aca="false">1+IF($G$6=$E$6,$F$6,IF(P1025&lt;($F$6-$E$6)/($G$6-$E$6),$E$6+SQRT(P1025*($G$6-$E$6)*($F$6-$E$6)),$G$6-SQRT((1-P1025)*($G$6-$E$6)*($G$6-$F$6))))</f>
        <v>0.968784164350965</v>
      </c>
      <c r="C1025" s="51" t="n">
        <f aca="false">1+IF($G$7=$E$7,$F$7,IF(Q1025&lt;($F$7-$E$7)/($G$7-$E$7),$E$7+SQRT(Q1025*($G$7-$E$7)*($F$7-$E$7)),$G$7-SQRT((1-Q1025)*($G$7-$E$7)*($G$7-$F$7))))</f>
        <v>1.03999775111244</v>
      </c>
      <c r="D1025" s="51" t="n">
        <f aca="false">1+IF($G$8=$E$8,$F$8,IF(R1025&lt;($F$8-$E$8)/($G$8-$E$8),$E$8+SQRT(R1025*($G$8-$E$8)*($F$8-$E$8)),$G$8-SQRT((1-R1025)*($G$8-$E$8)*($G$8-$F$8))))</f>
        <v>0.976631616454668</v>
      </c>
      <c r="E1025" s="51" t="n">
        <f aca="false">1+IF($G$9=$E$9,$F$9,IF(S1025&lt;($F$9-$E$9)/($G$9-$E$9),$E$9+SQRT(S1025*($G$9-$E$9)*($F$9-$E$9)),$G$9-SQRT((1-S1025)*($G$9-$E$9)*($G$9-$F$9))))</f>
        <v>1.01062805341586</v>
      </c>
      <c r="F1025" s="51" t="n">
        <f aca="false">1+IF($G$10=$E$10,$F$10,IF(T1025&lt;($F$10-$E$10)/($G$10-$E$10),$E$10+SQRT(T1025*($G$10-$E$10)*($F$10-$E$10)),$G$10-SQRT((1-T1025)*($G$10-$E$10)*($G$10-$F$10))))</f>
        <v>1.03716364870385</v>
      </c>
      <c r="G1025" s="52" t="n">
        <f aca="false">IF($G$11=$E$11,$F$11,IF(U1025&lt;($F$11-$E$11)/($G$11-$E$11),$E$11+SQRT(U1025*($G$11-$E$11)*($F$11-$E$11)),$G$11-SQRT((1-U1025)*($G$11-$E$11)*($G$11-$F$11))))</f>
        <v>0.101122825260241</v>
      </c>
      <c r="H1025" s="53" t="n">
        <f aca="false">(('Business Case'!B11*$C1025*'Business Case'!B12*$B1025)-'Business Case'!B11*$C1025*'Business Case'!B13*$D1025-'Business Case'!B14*$E1025)-MAX(0,(('Business Case'!B11*$C1025*'Business Case'!B12*$B1025)-'Business Case'!B11*$C1025*'Business Case'!B13*$D1025-'Business Case'!B14*$E1025))*'Business Case'!$B$7-'Business Case'!$B$8*('Business Case'!B11*$C1025*'Business Case'!B12*$B1025)-'Business Case'!B15*$F1025</f>
        <v>-2074327297.4077</v>
      </c>
      <c r="I1025" s="53" t="n">
        <f aca="false">(('Business Case'!C11*$C1025*'Business Case'!C12*$B1025)-'Business Case'!C11*$C1025*'Business Case'!C13*$D1025-'Business Case'!C14*$E1025)-MAX(0,(('Business Case'!C11*$C1025*'Business Case'!C12*$B1025)-'Business Case'!C11*$C1025*'Business Case'!C13*$D1025-'Business Case'!C14*$E1025))*'Business Case'!$B$7-'Business Case'!$B$8*(('Business Case'!C11*$C1025*'Business Case'!C12*$B1025)-('Business Case'!B11*$C1025*'Business Case'!B12*$B1025))-'Business Case'!C15*$F1025</f>
        <v>5629731.8067773</v>
      </c>
      <c r="J1025" s="53" t="n">
        <f aca="false">(('Business Case'!D11*$C1025*'Business Case'!D12*$B1025)-'Business Case'!D11*$C1025*'Business Case'!D13*$D1025-'Business Case'!D14*$E1025)-MAX(0,(('Business Case'!D11*$C1025*'Business Case'!D12*$B1025)-'Business Case'!D11*$C1025*'Business Case'!D13*$D1025-'Business Case'!D14*$E1025))*'Business Case'!$B$7-'Business Case'!$B$8*(('Business Case'!D11*$C1025*'Business Case'!D12*$B1025)-('Business Case'!C11*$C1025*'Business Case'!C12*$B1025))-'Business Case'!D15*$F1025</f>
        <v>310917666.659711</v>
      </c>
      <c r="K1025" s="53" t="n">
        <f aca="false">(('Business Case'!E11*$C1025*'Business Case'!E12*$B1025)-'Business Case'!E11*$C1025*'Business Case'!E13*$D1025-'Business Case'!E14*$E1025)-MAX(0,(('Business Case'!E11*$C1025*'Business Case'!E12*$B1025)-'Business Case'!E11*$C1025*'Business Case'!E13*$D1025-'Business Case'!E14*$E1025))*'Business Case'!$B$7-'Business Case'!$B$8*(('Business Case'!E11*$C1025*'Business Case'!E12*$B1025)-('Business Case'!D11*$C1025*'Business Case'!D12*$B1025))-'Business Case'!E15*$F1025</f>
        <v>668063783.947836</v>
      </c>
      <c r="L1025" s="53" t="n">
        <f aca="false">(('Business Case'!F11*$C1025*'Business Case'!F12*$B1025)-'Business Case'!F11*$C1025*'Business Case'!F13*$D1025-'Business Case'!F14*$E1025)-MAX(0,(('Business Case'!F11*$C1025*'Business Case'!F12*$B1025)-'Business Case'!F11*$C1025*'Business Case'!F13*$D1025-'Business Case'!F14*$E1025))*'Business Case'!$B$7-'Business Case'!$B$8*(('Business Case'!F11*$C1025*'Business Case'!F12*$B1025)-('Business Case'!E11*$C1025*'Business Case'!E12*$B1025))-'Business Case'!F15*$F1025</f>
        <v>804646781.552171</v>
      </c>
      <c r="M1025" s="53" t="n">
        <f aca="false">(('Business Case'!G11*$C1025*'Business Case'!G12*$B1025)-'Business Case'!G11*$C1025*'Business Case'!G13*$D1025-'Business Case'!G14*$E1025)-MAX(0,(('Business Case'!G11*$C1025*'Business Case'!G12*$B1025)-'Business Case'!G11*$C1025*'Business Case'!G13*$D1025-'Business Case'!G14*$E1025))*'Business Case'!$B$7-'Business Case'!$B$8*(('Business Case'!G11*$C1025*'Business Case'!G12*$B1025)-('Business Case'!F11*$C1025*'Business Case'!F12*$B1025))-'Business Case'!G15*$F1025+'Business Case'!$B$8*('Business Case'!G11*$C1025*'Business Case'!G12*$B1025)</f>
        <v>996158721.145637</v>
      </c>
      <c r="N1025" s="53" t="n">
        <f aca="false">IF(COUNT('Business Case'!B11:G11)=0,"",H1025+NPV(G1025,I1025:M1025))</f>
        <v>-149653967.405131</v>
      </c>
      <c r="P1025" s="54" t="n">
        <f aca="true">RAND()</f>
        <v>0.247905697023124</v>
      </c>
      <c r="Q1025" s="54" t="n">
        <f aca="true">RAND()</f>
        <v>0.769514385517718</v>
      </c>
      <c r="R1025" s="54" t="n">
        <f aca="true">RAND()</f>
        <v>0.109114306921313</v>
      </c>
      <c r="S1025" s="54" t="n">
        <f aca="true">RAND()</f>
        <v>0.467510344250727</v>
      </c>
      <c r="T1025" s="54" t="n">
        <f aca="true">RAND()</f>
        <v>0.469686453931134</v>
      </c>
      <c r="U1025" s="54" t="n">
        <f aca="true">RAND()</f>
        <v>0.406087123074364</v>
      </c>
    </row>
    <row r="1026" customFormat="false" ht="15" hidden="false" customHeight="false" outlineLevel="0" collapsed="false">
      <c r="A1026" s="50" t="n">
        <v>946</v>
      </c>
      <c r="B1026" s="51" t="n">
        <f aca="false">1+IF($G$6=$E$6,$F$6,IF(P1026&lt;($F$6-$E$6)/($G$6-$E$6),$E$6+SQRT(P1026*($G$6-$E$6)*($F$6-$E$6)),$G$6-SQRT((1-P1026)*($G$6-$E$6)*($G$6-$F$6))))</f>
        <v>0.942173579334949</v>
      </c>
      <c r="C1026" s="51" t="n">
        <f aca="false">1+IF($G$7=$E$7,$F$7,IF(Q1026&lt;($F$7-$E$7)/($G$7-$E$7),$E$7+SQRT(Q1026*($G$7-$E$7)*($F$7-$E$7)),$G$7-SQRT((1-Q1026)*($G$7-$E$7)*($G$7-$F$7))))</f>
        <v>0.980062422031867</v>
      </c>
      <c r="D1026" s="51" t="n">
        <f aca="false">1+IF($G$8=$E$8,$F$8,IF(R1026&lt;($F$8-$E$8)/($G$8-$E$8),$E$8+SQRT(R1026*($G$8-$E$8)*($F$8-$E$8)),$G$8-SQRT((1-R1026)*($G$8-$E$8)*($G$8-$F$8))))</f>
        <v>0.993020630055449</v>
      </c>
      <c r="E1026" s="51" t="n">
        <f aca="false">1+IF($G$9=$E$9,$F$9,IF(S1026&lt;($F$9-$E$9)/($G$9-$E$9),$E$9+SQRT(S1026*($G$9-$E$9)*($F$9-$E$9)),$G$9-SQRT((1-S1026)*($G$9-$E$9)*($G$9-$F$9))))</f>
        <v>0.999768847370915</v>
      </c>
      <c r="F1026" s="51" t="n">
        <f aca="false">1+IF($G$10=$E$10,$F$10,IF(T1026&lt;($F$10-$E$10)/($G$10-$E$10),$E$10+SQRT(T1026*($G$10-$E$10)*($F$10-$E$10)),$G$10-SQRT((1-T1026)*($G$10-$E$10)*($G$10-$F$10))))</f>
        <v>1.00032874438339</v>
      </c>
      <c r="G1026" s="52" t="n">
        <f aca="false">IF($G$11=$E$11,$F$11,IF(U1026&lt;($F$11-$E$11)/($G$11-$E$11),$E$11+SQRT(U1026*($G$11-$E$11)*($F$11-$E$11)),$G$11-SQRT((1-U1026)*($G$11-$E$11)*($G$11-$F$11))))</f>
        <v>0.0959781887950062</v>
      </c>
      <c r="H1026" s="53" t="n">
        <f aca="false">(('Business Case'!B11*$C1026*'Business Case'!B12*$B1026)-'Business Case'!B11*$C1026*'Business Case'!B13*$D1026-'Business Case'!B14*$E1026)-MAX(0,(('Business Case'!B11*$C1026*'Business Case'!B12*$B1026)-'Business Case'!B11*$C1026*'Business Case'!B13*$D1026-'Business Case'!B14*$E1026))*'Business Case'!$B$7-'Business Case'!$B$8*('Business Case'!B11*$C1026*'Business Case'!B12*$B1026)-'Business Case'!B15*$F1026</f>
        <v>-2000657488.76677</v>
      </c>
      <c r="I1026" s="53" t="n">
        <f aca="false">(('Business Case'!C11*$C1026*'Business Case'!C12*$B1026)-'Business Case'!C11*$C1026*'Business Case'!C13*$D1026-'Business Case'!C14*$E1026)-MAX(0,(('Business Case'!C11*$C1026*'Business Case'!C12*$B1026)-'Business Case'!C11*$C1026*'Business Case'!C13*$D1026-'Business Case'!C14*$E1026))*'Business Case'!$B$7-'Business Case'!$B$8*(('Business Case'!C11*$C1026*'Business Case'!C12*$B1026)-('Business Case'!B11*$C1026*'Business Case'!B12*$B1026))-'Business Case'!C15*$F1026</f>
        <v>-31958387.1390003</v>
      </c>
      <c r="J1026" s="53" t="n">
        <f aca="false">(('Business Case'!D11*$C1026*'Business Case'!D12*$B1026)-'Business Case'!D11*$C1026*'Business Case'!D13*$D1026-'Business Case'!D14*$E1026)-MAX(0,(('Business Case'!D11*$C1026*'Business Case'!D12*$B1026)-'Business Case'!D11*$C1026*'Business Case'!D13*$D1026-'Business Case'!D14*$E1026))*'Business Case'!$B$7-'Business Case'!$B$8*(('Business Case'!D11*$C1026*'Business Case'!D12*$B1026)-('Business Case'!C11*$C1026*'Business Case'!C12*$B1026))-'Business Case'!D15*$F1026</f>
        <v>226151711.876407</v>
      </c>
      <c r="K1026" s="53" t="n">
        <f aca="false">(('Business Case'!E11*$C1026*'Business Case'!E12*$B1026)-'Business Case'!E11*$C1026*'Business Case'!E13*$D1026-'Business Case'!E14*$E1026)-MAX(0,(('Business Case'!E11*$C1026*'Business Case'!E12*$B1026)-'Business Case'!E11*$C1026*'Business Case'!E13*$D1026-'Business Case'!E14*$E1026))*'Business Case'!$B$7-'Business Case'!$B$8*(('Business Case'!E11*$C1026*'Business Case'!E12*$B1026)-('Business Case'!D11*$C1026*'Business Case'!D12*$B1026))-'Business Case'!E15*$F1026</f>
        <v>534278248.110984</v>
      </c>
      <c r="L1026" s="53" t="n">
        <f aca="false">(('Business Case'!F11*$C1026*'Business Case'!F12*$B1026)-'Business Case'!F11*$C1026*'Business Case'!F13*$D1026-'Business Case'!F14*$E1026)-MAX(0,(('Business Case'!F11*$C1026*'Business Case'!F12*$B1026)-'Business Case'!F11*$C1026*'Business Case'!F13*$D1026-'Business Case'!F14*$E1026))*'Business Case'!$B$7-'Business Case'!$B$8*(('Business Case'!F11*$C1026*'Business Case'!F12*$B1026)-('Business Case'!E11*$C1026*'Business Case'!E12*$B1026))-'Business Case'!F15*$F1026</f>
        <v>652227268.862737</v>
      </c>
      <c r="M1026" s="53" t="n">
        <f aca="false">(('Business Case'!G11*$C1026*'Business Case'!G12*$B1026)-'Business Case'!G11*$C1026*'Business Case'!G13*$D1026-'Business Case'!G14*$E1026)-MAX(0,(('Business Case'!G11*$C1026*'Business Case'!G12*$B1026)-'Business Case'!G11*$C1026*'Business Case'!G13*$D1026-'Business Case'!G14*$E1026))*'Business Case'!$B$7-'Business Case'!$B$8*(('Business Case'!G11*$C1026*'Business Case'!G12*$B1026)-('Business Case'!F11*$C1026*'Business Case'!F12*$B1026))-'Business Case'!G15*$F1026+'Business Case'!$B$8*('Business Case'!G11*$C1026*'Business Case'!G12*$B1026)</f>
        <v>827745034.802462</v>
      </c>
      <c r="N1026" s="53" t="n">
        <f aca="false">IF(COUNT('Business Case'!B11:G11)=0,"",H1026+NPV(G1026,I1026:M1026))</f>
        <v>-460174967.366893</v>
      </c>
      <c r="P1026" s="54" t="n">
        <f aca="true">RAND()</f>
        <v>0.0512153771378416</v>
      </c>
      <c r="Q1026" s="54" t="n">
        <f aca="true">RAND()</f>
        <v>0.463178226114029</v>
      </c>
      <c r="R1026" s="54" t="n">
        <f aca="true">RAND()</f>
        <v>0.284734555441206</v>
      </c>
      <c r="S1026" s="54" t="n">
        <f aca="true">RAND()</f>
        <v>0.330258422483924</v>
      </c>
      <c r="T1026" s="54" t="n">
        <f aca="true">RAND()</f>
        <v>0.202627793609691</v>
      </c>
      <c r="U1026" s="54" t="n">
        <f aca="true">RAND()</f>
        <v>0.119129137562458</v>
      </c>
    </row>
    <row r="1027" customFormat="false" ht="15" hidden="false" customHeight="false" outlineLevel="0" collapsed="false">
      <c r="A1027" s="50" t="n">
        <v>947</v>
      </c>
      <c r="B1027" s="51" t="n">
        <f aca="false">1+IF($G$6=$E$6,$F$6,IF(P1027&lt;($F$6-$E$6)/($G$6-$E$6),$E$6+SQRT(P1027*($G$6-$E$6)*($F$6-$E$6)),$G$6-SQRT((1-P1027)*($G$6-$E$6)*($G$6-$F$6))))</f>
        <v>1.007691513738</v>
      </c>
      <c r="C1027" s="51" t="n">
        <f aca="false">1+IF($G$7=$E$7,$F$7,IF(Q1027&lt;($F$7-$E$7)/($G$7-$E$7),$E$7+SQRT(Q1027*($G$7-$E$7)*($F$7-$E$7)),$G$7-SQRT((1-Q1027)*($G$7-$E$7)*($G$7-$F$7))))</f>
        <v>0.863915723342422</v>
      </c>
      <c r="D1027" s="51" t="n">
        <f aca="false">1+IF($G$8=$E$8,$F$8,IF(R1027&lt;($F$8-$E$8)/($G$8-$E$8),$E$8+SQRT(R1027*($G$8-$E$8)*($F$8-$E$8)),$G$8-SQRT((1-R1027)*($G$8-$E$8)*($G$8-$F$8))))</f>
        <v>1.0104120718948</v>
      </c>
      <c r="E1027" s="51" t="n">
        <f aca="false">1+IF($G$9=$E$9,$F$9,IF(S1027&lt;($F$9-$E$9)/($G$9-$E$9),$E$9+SQRT(S1027*($G$9-$E$9)*($F$9-$E$9)),$G$9-SQRT((1-S1027)*($G$9-$E$9)*($G$9-$F$9))))</f>
        <v>1.04977896460527</v>
      </c>
      <c r="F1027" s="51" t="n">
        <f aca="false">1+IF($G$10=$E$10,$F$10,IF(T1027&lt;($F$10-$E$10)/($G$10-$E$10),$E$10+SQRT(T1027*($G$10-$E$10)*($F$10-$E$10)),$G$10-SQRT((1-T1027)*($G$10-$E$10)*($G$10-$F$10))))</f>
        <v>1.01816088756456</v>
      </c>
      <c r="G1027" s="52" t="n">
        <f aca="false">IF($G$11=$E$11,$F$11,IF(U1027&lt;($F$11-$E$11)/($G$11-$E$11),$E$11+SQRT(U1027*($G$11-$E$11)*($F$11-$E$11)),$G$11-SQRT((1-U1027)*($G$11-$E$11)*($G$11-$F$11))))</f>
        <v>0.100935376537229</v>
      </c>
      <c r="H1027" s="53" t="n">
        <f aca="false">(('Business Case'!B11*$C1027*'Business Case'!B12*$B1027)-'Business Case'!B11*$C1027*'Business Case'!B13*$D1027-'Business Case'!B14*$E1027)-MAX(0,(('Business Case'!B11*$C1027*'Business Case'!B12*$B1027)-'Business Case'!B11*$C1027*'Business Case'!B13*$D1027-'Business Case'!B14*$E1027))*'Business Case'!$B$7-'Business Case'!$B$8*('Business Case'!B11*$C1027*'Business Case'!B12*$B1027)-'Business Case'!B15*$F1027</f>
        <v>-2036321775.12913</v>
      </c>
      <c r="I1027" s="53" t="n">
        <f aca="false">(('Business Case'!C11*$C1027*'Business Case'!C12*$B1027)-'Business Case'!C11*$C1027*'Business Case'!C13*$D1027-'Business Case'!C14*$E1027)-MAX(0,(('Business Case'!C11*$C1027*'Business Case'!C12*$B1027)-'Business Case'!C11*$C1027*'Business Case'!C13*$D1027-'Business Case'!C14*$E1027))*'Business Case'!$B$7-'Business Case'!$B$8*(('Business Case'!C11*$C1027*'Business Case'!C12*$B1027)-('Business Case'!B11*$C1027*'Business Case'!B12*$B1027))-'Business Case'!C15*$F1027</f>
        <v>-30033286.6226253</v>
      </c>
      <c r="J1027" s="53" t="n">
        <f aca="false">(('Business Case'!D11*$C1027*'Business Case'!D12*$B1027)-'Business Case'!D11*$C1027*'Business Case'!D13*$D1027-'Business Case'!D14*$E1027)-MAX(0,(('Business Case'!D11*$C1027*'Business Case'!D12*$B1027)-'Business Case'!D11*$C1027*'Business Case'!D13*$D1027-'Business Case'!D14*$E1027))*'Business Case'!$B$7-'Business Case'!$B$8*(('Business Case'!D11*$C1027*'Business Case'!D12*$B1027)-('Business Case'!C11*$C1027*'Business Case'!C12*$B1027))-'Business Case'!D15*$F1027</f>
        <v>236157942.827038</v>
      </c>
      <c r="K1027" s="53" t="n">
        <f aca="false">(('Business Case'!E11*$C1027*'Business Case'!E12*$B1027)-'Business Case'!E11*$C1027*'Business Case'!E13*$D1027-'Business Case'!E14*$E1027)-MAX(0,(('Business Case'!E11*$C1027*'Business Case'!E12*$B1027)-'Business Case'!E11*$C1027*'Business Case'!E13*$D1027-'Business Case'!E14*$E1027))*'Business Case'!$B$7-'Business Case'!$B$8*(('Business Case'!E11*$C1027*'Business Case'!E12*$B1027)-('Business Case'!D11*$C1027*'Business Case'!D12*$B1027))-'Business Case'!E15*$F1027</f>
        <v>553257216.65493</v>
      </c>
      <c r="L1027" s="53" t="n">
        <f aca="false">(('Business Case'!F11*$C1027*'Business Case'!F12*$B1027)-'Business Case'!F11*$C1027*'Business Case'!F13*$D1027-'Business Case'!F14*$E1027)-MAX(0,(('Business Case'!F11*$C1027*'Business Case'!F12*$B1027)-'Business Case'!F11*$C1027*'Business Case'!F13*$D1027-'Business Case'!F14*$E1027))*'Business Case'!$B$7-'Business Case'!$B$8*(('Business Case'!F11*$C1027*'Business Case'!F12*$B1027)-('Business Case'!E11*$C1027*'Business Case'!E12*$B1027))-'Business Case'!F15*$F1027</f>
        <v>672074198.837461</v>
      </c>
      <c r="M1027" s="53" t="n">
        <f aca="false">(('Business Case'!G11*$C1027*'Business Case'!G12*$B1027)-'Business Case'!G11*$C1027*'Business Case'!G13*$D1027-'Business Case'!G14*$E1027)-MAX(0,(('Business Case'!G11*$C1027*'Business Case'!G12*$B1027)-'Business Case'!G11*$C1027*'Business Case'!G13*$D1027-'Business Case'!G14*$E1027))*'Business Case'!$B$7-'Business Case'!$B$8*(('Business Case'!G11*$C1027*'Business Case'!G12*$B1027)-('Business Case'!F11*$C1027*'Business Case'!F12*$B1027))-'Business Case'!G15*$F1027+'Business Case'!$B$8*('Business Case'!G11*$C1027*'Business Case'!G12*$B1027)</f>
        <v>837550346.850327</v>
      </c>
      <c r="N1027" s="53" t="n">
        <f aca="false">IF(COUNT('Business Case'!B11:G11)=0,"",H1027+NPV(G1027,I1027:M1027))</f>
        <v>-478824396.354953</v>
      </c>
      <c r="P1027" s="54" t="n">
        <f aca="true">RAND()</f>
        <v>0.782533690720384</v>
      </c>
      <c r="Q1027" s="54" t="n">
        <f aca="true">RAND()</f>
        <v>0.058360281291215</v>
      </c>
      <c r="R1027" s="54" t="n">
        <f aca="true">RAND()</f>
        <v>0.534376948271729</v>
      </c>
      <c r="S1027" s="54" t="n">
        <f aca="true">RAND()</f>
        <v>0.831856506925409</v>
      </c>
      <c r="T1027" s="54" t="n">
        <f aca="true">RAND()</f>
        <v>0.338690743773855</v>
      </c>
      <c r="U1027" s="54" t="n">
        <f aca="true">RAND()</f>
        <v>0.394233553704572</v>
      </c>
    </row>
    <row r="1028" customFormat="false" ht="15" hidden="false" customHeight="false" outlineLevel="0" collapsed="false">
      <c r="A1028" s="50" t="n">
        <v>948</v>
      </c>
      <c r="B1028" s="51" t="n">
        <f aca="false">1+IF($G$6=$E$6,$F$6,IF(P1028&lt;($F$6-$E$6)/($G$6-$E$6),$E$6+SQRT(P1028*($G$6-$E$6)*($F$6-$E$6)),$G$6-SQRT((1-P1028)*($G$6-$E$6)*($G$6-$F$6))))</f>
        <v>0.994771078922039</v>
      </c>
      <c r="C1028" s="51" t="n">
        <f aca="false">1+IF($G$7=$E$7,$F$7,IF(Q1028&lt;($F$7-$E$7)/($G$7-$E$7),$E$7+SQRT(Q1028*($G$7-$E$7)*($F$7-$E$7)),$G$7-SQRT((1-Q1028)*($G$7-$E$7)*($G$7-$F$7))))</f>
        <v>0.951558637630861</v>
      </c>
      <c r="D1028" s="51" t="n">
        <f aca="false">1+IF($G$8=$E$8,$F$8,IF(R1028&lt;($F$8-$E$8)/($G$8-$E$8),$E$8+SQRT(R1028*($G$8-$E$8)*($F$8-$E$8)),$G$8-SQRT((1-R1028)*($G$8-$E$8)*($G$8-$F$8))))</f>
        <v>0.972051897505835</v>
      </c>
      <c r="E1028" s="51" t="n">
        <f aca="false">1+IF($G$9=$E$9,$F$9,IF(S1028&lt;($F$9-$E$9)/($G$9-$E$9),$E$9+SQRT(S1028*($G$9-$E$9)*($F$9-$E$9)),$G$9-SQRT((1-S1028)*($G$9-$E$9)*($G$9-$F$9))))</f>
        <v>1.06115127961131</v>
      </c>
      <c r="F1028" s="51" t="n">
        <f aca="false">1+IF($G$10=$E$10,$F$10,IF(T1028&lt;($F$10-$E$10)/($G$10-$E$10),$E$10+SQRT(T1028*($G$10-$E$10)*($F$10-$E$10)),$G$10-SQRT((1-T1028)*($G$10-$E$10)*($G$10-$F$10))))</f>
        <v>1.04947010983522</v>
      </c>
      <c r="G1028" s="52" t="n">
        <f aca="false">IF($G$11=$E$11,$F$11,IF(U1028&lt;($F$11-$E$11)/($G$11-$E$11),$E$11+SQRT(U1028*($G$11-$E$11)*($F$11-$E$11)),$G$11-SQRT((1-U1028)*($G$11-$E$11)*($G$11-$F$11))))</f>
        <v>0.0943580334550415</v>
      </c>
      <c r="H1028" s="53" t="n">
        <f aca="false">(('Business Case'!B11*$C1028*'Business Case'!B12*$B1028)-'Business Case'!B11*$C1028*'Business Case'!B13*$D1028-'Business Case'!B14*$E1028)-MAX(0,(('Business Case'!B11*$C1028*'Business Case'!B12*$B1028)-'Business Case'!B11*$C1028*'Business Case'!B13*$D1028-'Business Case'!B14*$E1028))*'Business Case'!$B$7-'Business Case'!$B$8*('Business Case'!B11*$C1028*'Business Case'!B12*$B1028)-'Business Case'!B15*$F1028</f>
        <v>-2098940219.67044</v>
      </c>
      <c r="I1028" s="53" t="n">
        <f aca="false">(('Business Case'!C11*$C1028*'Business Case'!C12*$B1028)-'Business Case'!C11*$C1028*'Business Case'!C13*$D1028-'Business Case'!C14*$E1028)-MAX(0,(('Business Case'!C11*$C1028*'Business Case'!C12*$B1028)-'Business Case'!C11*$C1028*'Business Case'!C13*$D1028-'Business Case'!C14*$E1028))*'Business Case'!$B$7-'Business Case'!$B$8*(('Business Case'!C11*$C1028*'Business Case'!C12*$B1028)-('Business Case'!B11*$C1028*'Business Case'!B12*$B1028))-'Business Case'!C15*$F1028</f>
        <v>-3101710.06045966</v>
      </c>
      <c r="J1028" s="53" t="n">
        <f aca="false">(('Business Case'!D11*$C1028*'Business Case'!D12*$B1028)-'Business Case'!D11*$C1028*'Business Case'!D13*$D1028-'Business Case'!D14*$E1028)-MAX(0,(('Business Case'!D11*$C1028*'Business Case'!D12*$B1028)-'Business Case'!D11*$C1028*'Business Case'!D13*$D1028-'Business Case'!D14*$E1028))*'Business Case'!$B$7-'Business Case'!$B$8*(('Business Case'!D11*$C1028*'Business Case'!D12*$B1028)-('Business Case'!C11*$C1028*'Business Case'!C12*$B1028))-'Business Case'!D15*$F1028</f>
        <v>298710166.197222</v>
      </c>
      <c r="K1028" s="53" t="n">
        <f aca="false">(('Business Case'!E11*$C1028*'Business Case'!E12*$B1028)-'Business Case'!E11*$C1028*'Business Case'!E13*$D1028-'Business Case'!E14*$E1028)-MAX(0,(('Business Case'!E11*$C1028*'Business Case'!E12*$B1028)-'Business Case'!E11*$C1028*'Business Case'!E13*$D1028-'Business Case'!E14*$E1028))*'Business Case'!$B$7-'Business Case'!$B$8*(('Business Case'!E11*$C1028*'Business Case'!E12*$B1028)-('Business Case'!D11*$C1028*'Business Case'!D12*$B1028))-'Business Case'!E15*$F1028</f>
        <v>652995547.946665</v>
      </c>
      <c r="L1028" s="53" t="n">
        <f aca="false">(('Business Case'!F11*$C1028*'Business Case'!F12*$B1028)-'Business Case'!F11*$C1028*'Business Case'!F13*$D1028-'Business Case'!F14*$E1028)-MAX(0,(('Business Case'!F11*$C1028*'Business Case'!F12*$B1028)-'Business Case'!F11*$C1028*'Business Case'!F13*$D1028-'Business Case'!F14*$E1028))*'Business Case'!$B$7-'Business Case'!$B$8*(('Business Case'!F11*$C1028*'Business Case'!F12*$B1028)-('Business Case'!E11*$C1028*'Business Case'!E12*$B1028))-'Business Case'!F15*$F1028</f>
        <v>786313415.615153</v>
      </c>
      <c r="M1028" s="53" t="n">
        <f aca="false">(('Business Case'!G11*$C1028*'Business Case'!G12*$B1028)-'Business Case'!G11*$C1028*'Business Case'!G13*$D1028-'Business Case'!G14*$E1028)-MAX(0,(('Business Case'!G11*$C1028*'Business Case'!G12*$B1028)-'Business Case'!G11*$C1028*'Business Case'!G13*$D1028-'Business Case'!G14*$E1028))*'Business Case'!$B$7-'Business Case'!$B$8*(('Business Case'!G11*$C1028*'Business Case'!G12*$B1028)-('Business Case'!F11*$C1028*'Business Case'!F12*$B1028))-'Business Case'!G15*$F1028+'Business Case'!$B$8*('Business Case'!G11*$C1028*'Business Case'!G12*$B1028)</f>
        <v>966239914.652753</v>
      </c>
      <c r="N1028" s="53" t="n">
        <f aca="false">IF(COUNT('Business Case'!B11:G11)=0,"",H1028+NPV(G1028,I1028:M1028))</f>
        <v>-190313605.158688</v>
      </c>
      <c r="P1028" s="54" t="n">
        <f aca="true">RAND()</f>
        <v>0.582366066996434</v>
      </c>
      <c r="Q1028" s="54" t="n">
        <f aca="true">RAND()</f>
        <v>0.328143152007464</v>
      </c>
      <c r="R1028" s="54" t="n">
        <f aca="true">RAND()</f>
        <v>0.074813259016594</v>
      </c>
      <c r="S1028" s="54" t="n">
        <f aca="true">RAND()</f>
        <v>0.899385128277444</v>
      </c>
      <c r="T1028" s="54" t="n">
        <f aca="true">RAND()</f>
        <v>0.546815043339571</v>
      </c>
      <c r="U1028" s="54" t="n">
        <f aca="true">RAND()</f>
        <v>0.0633081853175359</v>
      </c>
    </row>
    <row r="1029" customFormat="false" ht="15" hidden="false" customHeight="false" outlineLevel="0" collapsed="false">
      <c r="A1029" s="50" t="n">
        <v>949</v>
      </c>
      <c r="B1029" s="51" t="n">
        <f aca="false">1+IF($G$6=$E$6,$F$6,IF(P1029&lt;($F$6-$E$6)/($G$6-$E$6),$E$6+SQRT(P1029*($G$6-$E$6)*($F$6-$E$6)),$G$6-SQRT((1-P1029)*($G$6-$E$6)*($G$6-$F$6))))</f>
        <v>0.962053615578084</v>
      </c>
      <c r="C1029" s="51" t="n">
        <f aca="false">1+IF($G$7=$E$7,$F$7,IF(Q1029&lt;($F$7-$E$7)/($G$7-$E$7),$E$7+SQRT(Q1029*($G$7-$E$7)*($F$7-$E$7)),$G$7-SQRT((1-Q1029)*($G$7-$E$7)*($G$7-$F$7))))</f>
        <v>0.939390790876254</v>
      </c>
      <c r="D1029" s="51" t="n">
        <f aca="false">1+IF($G$8=$E$8,$F$8,IF(R1029&lt;($F$8-$E$8)/($G$8-$E$8),$E$8+SQRT(R1029*($G$8-$E$8)*($F$8-$E$8)),$G$8-SQRT((1-R1029)*($G$8-$E$8)*($G$8-$F$8))))</f>
        <v>0.960456177519216</v>
      </c>
      <c r="E1029" s="51" t="n">
        <f aca="false">1+IF($G$9=$E$9,$F$9,IF(S1029&lt;($F$9-$E$9)/($G$9-$E$9),$E$9+SQRT(S1029*($G$9-$E$9)*($F$9-$E$9)),$G$9-SQRT((1-S1029)*($G$9-$E$9)*($G$9-$F$9))))</f>
        <v>0.981084599105897</v>
      </c>
      <c r="F1029" s="51" t="n">
        <f aca="false">1+IF($G$10=$E$10,$F$10,IF(T1029&lt;($F$10-$E$10)/($G$10-$E$10),$E$10+SQRT(T1029*($G$10-$E$10)*($F$10-$E$10)),$G$10-SQRT((1-T1029)*($G$10-$E$10)*($G$10-$F$10))))</f>
        <v>1.06375945333018</v>
      </c>
      <c r="G1029" s="52" t="n">
        <f aca="false">IF($G$11=$E$11,$F$11,IF(U1029&lt;($F$11-$E$11)/($G$11-$E$11),$E$11+SQRT(U1029*($G$11-$E$11)*($F$11-$E$11)),$G$11-SQRT((1-U1029)*($G$11-$E$11)*($G$11-$F$11))))</f>
        <v>0.1059330505605</v>
      </c>
      <c r="H1029" s="53" t="n">
        <f aca="false">(('Business Case'!B11*$C1029*'Business Case'!B12*$B1029)-'Business Case'!B11*$C1029*'Business Case'!B13*$D1029-'Business Case'!B14*$E1029)-MAX(0,(('Business Case'!B11*$C1029*'Business Case'!B12*$B1029)-'Business Case'!B11*$C1029*'Business Case'!B13*$D1029-'Business Case'!B14*$E1029))*'Business Case'!$B$7-'Business Case'!$B$8*('Business Case'!B11*$C1029*'Business Case'!B12*$B1029)-'Business Case'!B15*$F1029</f>
        <v>-2127518906.66036</v>
      </c>
      <c r="I1029" s="53" t="n">
        <f aca="false">(('Business Case'!C11*$C1029*'Business Case'!C12*$B1029)-'Business Case'!C11*$C1029*'Business Case'!C13*$D1029-'Business Case'!C14*$E1029)-MAX(0,(('Business Case'!C11*$C1029*'Business Case'!C12*$B1029)-'Business Case'!C11*$C1029*'Business Case'!C13*$D1029-'Business Case'!C14*$E1029))*'Business Case'!$B$7-'Business Case'!$B$8*(('Business Case'!C11*$C1029*'Business Case'!C12*$B1029)-('Business Case'!B11*$C1029*'Business Case'!B12*$B1029))-'Business Case'!C15*$F1029</f>
        <v>-14381212.1928459</v>
      </c>
      <c r="J1029" s="53" t="n">
        <f aca="false">(('Business Case'!D11*$C1029*'Business Case'!D12*$B1029)-'Business Case'!D11*$C1029*'Business Case'!D13*$D1029-'Business Case'!D14*$E1029)-MAX(0,(('Business Case'!D11*$C1029*'Business Case'!D12*$B1029)-'Business Case'!D11*$C1029*'Business Case'!D13*$D1029-'Business Case'!D14*$E1029))*'Business Case'!$B$7-'Business Case'!$B$8*(('Business Case'!D11*$C1029*'Business Case'!D12*$B1029)-('Business Case'!C11*$C1029*'Business Case'!C12*$B1029))-'Business Case'!D15*$F1029</f>
        <v>263973855.804865</v>
      </c>
      <c r="K1029" s="53" t="n">
        <f aca="false">(('Business Case'!E11*$C1029*'Business Case'!E12*$B1029)-'Business Case'!E11*$C1029*'Business Case'!E13*$D1029-'Business Case'!E14*$E1029)-MAX(0,(('Business Case'!E11*$C1029*'Business Case'!E12*$B1029)-'Business Case'!E11*$C1029*'Business Case'!E13*$D1029-'Business Case'!E14*$E1029))*'Business Case'!$B$7-'Business Case'!$B$8*(('Business Case'!E11*$C1029*'Business Case'!E12*$B1029)-('Business Case'!D11*$C1029*'Business Case'!D12*$B1029))-'Business Case'!E15*$F1029</f>
        <v>595516896.469086</v>
      </c>
      <c r="L1029" s="53" t="n">
        <f aca="false">(('Business Case'!F11*$C1029*'Business Case'!F12*$B1029)-'Business Case'!F11*$C1029*'Business Case'!F13*$D1029-'Business Case'!F14*$E1029)-MAX(0,(('Business Case'!F11*$C1029*'Business Case'!F12*$B1029)-'Business Case'!F11*$C1029*'Business Case'!F13*$D1029-'Business Case'!F14*$E1029))*'Business Case'!$B$7-'Business Case'!$B$8*(('Business Case'!F11*$C1029*'Business Case'!F12*$B1029)-('Business Case'!E11*$C1029*'Business Case'!E12*$B1029))-'Business Case'!F15*$F1029</f>
        <v>719535322.37811</v>
      </c>
      <c r="M1029" s="53" t="n">
        <f aca="false">(('Business Case'!G11*$C1029*'Business Case'!G12*$B1029)-'Business Case'!G11*$C1029*'Business Case'!G13*$D1029-'Business Case'!G14*$E1029)-MAX(0,(('Business Case'!G11*$C1029*'Business Case'!G12*$B1029)-'Business Case'!G11*$C1029*'Business Case'!G13*$D1029-'Business Case'!G14*$E1029))*'Business Case'!$B$7-'Business Case'!$B$8*(('Business Case'!G11*$C1029*'Business Case'!G12*$B1029)-('Business Case'!F11*$C1029*'Business Case'!F12*$B1029))-'Business Case'!G15*$F1029+'Business Case'!$B$8*('Business Case'!G11*$C1029*'Business Case'!G12*$B1029)</f>
        <v>891319040.215273</v>
      </c>
      <c r="N1029" s="53" t="n">
        <f aca="false">IF(COUNT('Business Case'!B11:G11)=0,"",H1029+NPV(G1029,I1029:M1029))</f>
        <v>-464695602.452188</v>
      </c>
      <c r="P1029" s="54" t="n">
        <f aca="true">RAND()</f>
        <v>0.184219435748884</v>
      </c>
      <c r="Q1029" s="54" t="n">
        <f aca="true">RAND()</f>
        <v>0.277568465444392</v>
      </c>
      <c r="R1029" s="54" t="n">
        <f aca="true">RAND()</f>
        <v>0.0168202535866719</v>
      </c>
      <c r="S1029" s="54" t="n">
        <f aca="true">RAND()</f>
        <v>0.128833640209914</v>
      </c>
      <c r="T1029" s="54" t="n">
        <f aca="true">RAND()</f>
        <v>0.628770268862165</v>
      </c>
      <c r="U1029" s="54" t="n">
        <f aca="true">RAND()</f>
        <v>0.670201555777594</v>
      </c>
    </row>
    <row r="1030" customFormat="false" ht="15" hidden="false" customHeight="false" outlineLevel="0" collapsed="false">
      <c r="A1030" s="50" t="n">
        <v>950</v>
      </c>
      <c r="B1030" s="51" t="n">
        <f aca="false">1+IF($G$6=$E$6,$F$6,IF(P1030&lt;($F$6-$E$6)/($G$6-$E$6),$E$6+SQRT(P1030*($G$6-$E$6)*($F$6-$E$6)),$G$6-SQRT((1-P1030)*($G$6-$E$6)*($G$6-$F$6))))</f>
        <v>0.967956611301671</v>
      </c>
      <c r="C1030" s="51" t="n">
        <f aca="false">1+IF($G$7=$E$7,$F$7,IF(Q1030&lt;($F$7-$E$7)/($G$7-$E$7),$E$7+SQRT(Q1030*($G$7-$E$7)*($F$7-$E$7)),$G$7-SQRT((1-Q1030)*($G$7-$E$7)*($G$7-$F$7))))</f>
        <v>0.880981533751695</v>
      </c>
      <c r="D1030" s="51" t="n">
        <f aca="false">1+IF($G$8=$E$8,$F$8,IF(R1030&lt;($F$8-$E$8)/($G$8-$E$8),$E$8+SQRT(R1030*($G$8-$E$8)*($F$8-$E$8)),$G$8-SQRT((1-R1030)*($G$8-$E$8)*($G$8-$F$8))))</f>
        <v>1.04799058706194</v>
      </c>
      <c r="E1030" s="51" t="n">
        <f aca="false">1+IF($G$9=$E$9,$F$9,IF(S1030&lt;($F$9-$E$9)/($G$9-$E$9),$E$9+SQRT(S1030*($G$9-$E$9)*($F$9-$E$9)),$G$9-SQRT((1-S1030)*($G$9-$E$9)*($G$9-$F$9))))</f>
        <v>1.02495951100393</v>
      </c>
      <c r="F1030" s="51" t="n">
        <f aca="false">1+IF($G$10=$E$10,$F$10,IF(T1030&lt;($F$10-$E$10)/($G$10-$E$10),$E$10+SQRT(T1030*($G$10-$E$10)*($F$10-$E$10)),$G$10-SQRT((1-T1030)*($G$10-$E$10)*($G$10-$F$10))))</f>
        <v>1.02883999821456</v>
      </c>
      <c r="G1030" s="52" t="n">
        <f aca="false">IF($G$11=$E$11,$F$11,IF(U1030&lt;($F$11-$E$11)/($G$11-$E$11),$E$11+SQRT(U1030*($G$11-$E$11)*($F$11-$E$11)),$G$11-SQRT((1-U1030)*($G$11-$E$11)*($G$11-$F$11))))</f>
        <v>0.112148798594438</v>
      </c>
      <c r="H1030" s="53" t="n">
        <f aca="false">(('Business Case'!B11*$C1030*'Business Case'!B12*$B1030)-'Business Case'!B11*$C1030*'Business Case'!B13*$D1030-'Business Case'!B14*$E1030)-MAX(0,(('Business Case'!B11*$C1030*'Business Case'!B12*$B1030)-'Business Case'!B11*$C1030*'Business Case'!B13*$D1030-'Business Case'!B14*$E1030))*'Business Case'!$B$7-'Business Case'!$B$8*('Business Case'!B11*$C1030*'Business Case'!B12*$B1030)-'Business Case'!B15*$F1030</f>
        <v>-2057679996.42912</v>
      </c>
      <c r="I1030" s="53" t="n">
        <f aca="false">(('Business Case'!C11*$C1030*'Business Case'!C12*$B1030)-'Business Case'!C11*$C1030*'Business Case'!C13*$D1030-'Business Case'!C14*$E1030)-MAX(0,(('Business Case'!C11*$C1030*'Business Case'!C12*$B1030)-'Business Case'!C11*$C1030*'Business Case'!C13*$D1030-'Business Case'!C14*$E1030))*'Business Case'!$B$7-'Business Case'!$B$8*(('Business Case'!C11*$C1030*'Business Case'!C12*$B1030)-('Business Case'!B11*$C1030*'Business Case'!B12*$B1030))-'Business Case'!C15*$F1030</f>
        <v>-67010137.3248452</v>
      </c>
      <c r="J1030" s="53" t="n">
        <f aca="false">(('Business Case'!D11*$C1030*'Business Case'!D12*$B1030)-'Business Case'!D11*$C1030*'Business Case'!D13*$D1030-'Business Case'!D14*$E1030)-MAX(0,(('Business Case'!D11*$C1030*'Business Case'!D12*$B1030)-'Business Case'!D11*$C1030*'Business Case'!D13*$D1030-'Business Case'!D14*$E1030))*'Business Case'!$B$7-'Business Case'!$B$8*(('Business Case'!D11*$C1030*'Business Case'!D12*$B1030)-('Business Case'!C11*$C1030*'Business Case'!C12*$B1030))-'Business Case'!D15*$F1030</f>
        <v>158819626.134061</v>
      </c>
      <c r="K1030" s="53" t="n">
        <f aca="false">(('Business Case'!E11*$C1030*'Business Case'!E12*$B1030)-'Business Case'!E11*$C1030*'Business Case'!E13*$D1030-'Business Case'!E14*$E1030)-MAX(0,(('Business Case'!E11*$C1030*'Business Case'!E12*$B1030)-'Business Case'!E11*$C1030*'Business Case'!E13*$D1030-'Business Case'!E14*$E1030))*'Business Case'!$B$7-'Business Case'!$B$8*(('Business Case'!E11*$C1030*'Business Case'!E12*$B1030)-('Business Case'!D11*$C1030*'Business Case'!D12*$B1030))-'Business Case'!E15*$F1030</f>
        <v>436091389.503696</v>
      </c>
      <c r="L1030" s="53" t="n">
        <f aca="false">(('Business Case'!F11*$C1030*'Business Case'!F12*$B1030)-'Business Case'!F11*$C1030*'Business Case'!F13*$D1030-'Business Case'!F14*$E1030)-MAX(0,(('Business Case'!F11*$C1030*'Business Case'!F12*$B1030)-'Business Case'!F11*$C1030*'Business Case'!F13*$D1030-'Business Case'!F14*$E1030))*'Business Case'!$B$7-'Business Case'!$B$8*(('Business Case'!F11*$C1030*'Business Case'!F12*$B1030)-('Business Case'!E11*$C1030*'Business Case'!E12*$B1030))-'Business Case'!F15*$F1030</f>
        <v>540839082.988356</v>
      </c>
      <c r="M1030" s="53" t="n">
        <f aca="false">(('Business Case'!G11*$C1030*'Business Case'!G12*$B1030)-'Business Case'!G11*$C1030*'Business Case'!G13*$D1030-'Business Case'!G14*$E1030)-MAX(0,(('Business Case'!G11*$C1030*'Business Case'!G12*$B1030)-'Business Case'!G11*$C1030*'Business Case'!G13*$D1030-'Business Case'!G14*$E1030))*'Business Case'!$B$7-'Business Case'!$B$8*(('Business Case'!G11*$C1030*'Business Case'!G12*$B1030)-('Business Case'!F11*$C1030*'Business Case'!F12*$B1030))-'Business Case'!G15*$F1030+'Business Case'!$B$8*('Business Case'!G11*$C1030*'Business Case'!G12*$B1030)</f>
        <v>702930164.14599</v>
      </c>
      <c r="N1030" s="53" t="n">
        <f aca="false">IF(COUNT('Business Case'!B11:G11)=0,"",H1030+NPV(G1030,I1030:M1030))</f>
        <v>-905844869.625674</v>
      </c>
      <c r="P1030" s="54" t="n">
        <f aca="true">RAND()</f>
        <v>0.239566309118702</v>
      </c>
      <c r="Q1030" s="54" t="n">
        <f aca="true">RAND()</f>
        <v>0.0936858401253848</v>
      </c>
      <c r="R1030" s="54" t="n">
        <f aca="true">RAND()</f>
        <v>0.901480527246228</v>
      </c>
      <c r="S1030" s="54" t="n">
        <f aca="true">RAND()</f>
        <v>0.624595000748736</v>
      </c>
      <c r="T1030" s="54" t="n">
        <f aca="true">RAND()</f>
        <v>0.414085075776178</v>
      </c>
      <c r="U1030" s="54" t="n">
        <f aca="true">RAND()</f>
        <v>0.897264394148846</v>
      </c>
    </row>
    <row r="1031" customFormat="false" ht="15" hidden="false" customHeight="false" outlineLevel="0" collapsed="false">
      <c r="A1031" s="50" t="n">
        <v>951</v>
      </c>
      <c r="B1031" s="51" t="n">
        <f aca="false">1+IF($G$6=$E$6,$F$6,IF(P1031&lt;($F$6-$E$6)/($G$6-$E$6),$E$6+SQRT(P1031*($G$6-$E$6)*($F$6-$E$6)),$G$6-SQRT((1-P1031)*($G$6-$E$6)*($G$6-$F$6))))</f>
        <v>0.983415139123232</v>
      </c>
      <c r="C1031" s="51" t="n">
        <f aca="false">1+IF($G$7=$E$7,$F$7,IF(Q1031&lt;($F$7-$E$7)/($G$7-$E$7),$E$7+SQRT(Q1031*($G$7-$E$7)*($F$7-$E$7)),$G$7-SQRT((1-Q1031)*($G$7-$E$7)*($G$7-$F$7))))</f>
        <v>1.00870584413781</v>
      </c>
      <c r="D1031" s="51" t="n">
        <f aca="false">1+IF($G$8=$E$8,$F$8,IF(R1031&lt;($F$8-$E$8)/($G$8-$E$8),$E$8+SQRT(R1031*($G$8-$E$8)*($F$8-$E$8)),$G$8-SQRT((1-R1031)*($G$8-$E$8)*($G$8-$F$8))))</f>
        <v>1.01268155238374</v>
      </c>
      <c r="E1031" s="51" t="n">
        <f aca="false">1+IF($G$9=$E$9,$F$9,IF(S1031&lt;($F$9-$E$9)/($G$9-$E$9),$E$9+SQRT(S1031*($G$9-$E$9)*($F$9-$E$9)),$G$9-SQRT((1-S1031)*($G$9-$E$9)*($G$9-$F$9))))</f>
        <v>1.01002244988454</v>
      </c>
      <c r="F1031" s="51" t="n">
        <f aca="false">1+IF($G$10=$E$10,$F$10,IF(T1031&lt;($F$10-$E$10)/($G$10-$E$10),$E$10+SQRT(T1031*($G$10-$E$10)*($F$10-$E$10)),$G$10-SQRT((1-T1031)*($G$10-$E$10)*($G$10-$F$10))))</f>
        <v>1.05013316765008</v>
      </c>
      <c r="G1031" s="52" t="n">
        <f aca="false">IF($G$11=$E$11,$F$11,IF(U1031&lt;($F$11-$E$11)/($G$11-$E$11),$E$11+SQRT(U1031*($G$11-$E$11)*($F$11-$E$11)),$G$11-SQRT((1-U1031)*($G$11-$E$11)*($G$11-$F$11))))</f>
        <v>0.108394899987386</v>
      </c>
      <c r="H1031" s="53" t="n">
        <f aca="false">(('Business Case'!B11*$C1031*'Business Case'!B12*$B1031)-'Business Case'!B11*$C1031*'Business Case'!B13*$D1031-'Business Case'!B14*$E1031)-MAX(0,(('Business Case'!B11*$C1031*'Business Case'!B12*$B1031)-'Business Case'!B11*$C1031*'Business Case'!B13*$D1031-'Business Case'!B14*$E1031))*'Business Case'!$B$7-'Business Case'!$B$8*('Business Case'!B11*$C1031*'Business Case'!B12*$B1031)-'Business Case'!B15*$F1031</f>
        <v>-2100266335.30017</v>
      </c>
      <c r="I1031" s="53" t="n">
        <f aca="false">(('Business Case'!C11*$C1031*'Business Case'!C12*$B1031)-'Business Case'!C11*$C1031*'Business Case'!C13*$D1031-'Business Case'!C14*$E1031)-MAX(0,(('Business Case'!C11*$C1031*'Business Case'!C12*$B1031)-'Business Case'!C11*$C1031*'Business Case'!C13*$D1031-'Business Case'!C14*$E1031))*'Business Case'!$B$7-'Business Case'!$B$8*(('Business Case'!C11*$C1031*'Business Case'!C12*$B1031)-('Business Case'!B11*$C1031*'Business Case'!B12*$B1031))-'Business Case'!C15*$F1031</f>
        <v>-10487473.7133227</v>
      </c>
      <c r="J1031" s="53" t="n">
        <f aca="false">(('Business Case'!D11*$C1031*'Business Case'!D12*$B1031)-'Business Case'!D11*$C1031*'Business Case'!D13*$D1031-'Business Case'!D14*$E1031)-MAX(0,(('Business Case'!D11*$C1031*'Business Case'!D12*$B1031)-'Business Case'!D11*$C1031*'Business Case'!D13*$D1031-'Business Case'!D14*$E1031))*'Business Case'!$B$7-'Business Case'!$B$8*(('Business Case'!D11*$C1031*'Business Case'!D12*$B1031)-('Business Case'!C11*$C1031*'Business Case'!C12*$B1031))-'Business Case'!D15*$F1031</f>
        <v>279087628.554712</v>
      </c>
      <c r="K1031" s="53" t="n">
        <f aca="false">(('Business Case'!E11*$C1031*'Business Case'!E12*$B1031)-'Business Case'!E11*$C1031*'Business Case'!E13*$D1031-'Business Case'!E14*$E1031)-MAX(0,(('Business Case'!E11*$C1031*'Business Case'!E12*$B1031)-'Business Case'!E11*$C1031*'Business Case'!E13*$D1031-'Business Case'!E14*$E1031))*'Business Case'!$B$7-'Business Case'!$B$8*(('Business Case'!E11*$C1031*'Business Case'!E12*$B1031)-('Business Case'!D11*$C1031*'Business Case'!D12*$B1031))-'Business Case'!E15*$F1031</f>
        <v>621169389.205251</v>
      </c>
      <c r="L1031" s="53" t="n">
        <f aca="false">(('Business Case'!F11*$C1031*'Business Case'!F12*$B1031)-'Business Case'!F11*$C1031*'Business Case'!F13*$D1031-'Business Case'!F14*$E1031)-MAX(0,(('Business Case'!F11*$C1031*'Business Case'!F12*$B1031)-'Business Case'!F11*$C1031*'Business Case'!F13*$D1031-'Business Case'!F14*$E1031))*'Business Case'!$B$7-'Business Case'!$B$8*(('Business Case'!F11*$C1031*'Business Case'!F12*$B1031)-('Business Case'!E11*$C1031*'Business Case'!E12*$B1031))-'Business Case'!F15*$F1031</f>
        <v>751977134.523108</v>
      </c>
      <c r="M1031" s="53" t="n">
        <f aca="false">(('Business Case'!G11*$C1031*'Business Case'!G12*$B1031)-'Business Case'!G11*$C1031*'Business Case'!G13*$D1031-'Business Case'!G14*$E1031)-MAX(0,(('Business Case'!G11*$C1031*'Business Case'!G12*$B1031)-'Business Case'!G11*$C1031*'Business Case'!G13*$D1031-'Business Case'!G14*$E1031))*'Business Case'!$B$7-'Business Case'!$B$8*(('Business Case'!G11*$C1031*'Business Case'!G12*$B1031)-('Business Case'!F11*$C1031*'Business Case'!F12*$B1031))-'Business Case'!G15*$F1031+'Business Case'!$B$8*('Business Case'!G11*$C1031*'Business Case'!G12*$B1031)</f>
        <v>940532046.279921</v>
      </c>
      <c r="N1031" s="53" t="n">
        <f aca="false">IF(COUNT('Business Case'!B11:G11)=0,"",H1031+NPV(G1031,I1031:M1031))</f>
        <v>-365948783.581713</v>
      </c>
      <c r="P1031" s="54" t="n">
        <f aca="true">RAND()</f>
        <v>0.418904153126968</v>
      </c>
      <c r="Q1031" s="54" t="n">
        <f aca="true">RAND()</f>
        <v>0.619732600365565</v>
      </c>
      <c r="R1031" s="54" t="n">
        <f aca="true">RAND()</f>
        <v>0.564252558705479</v>
      </c>
      <c r="S1031" s="54" t="n">
        <f aca="true">RAND()</f>
        <v>0.460269365014713</v>
      </c>
      <c r="T1031" s="54" t="n">
        <f aca="true">RAND()</f>
        <v>0.55079865122804</v>
      </c>
      <c r="U1031" s="54" t="n">
        <f aca="true">RAND()</f>
        <v>0.775536089495396</v>
      </c>
    </row>
    <row r="1032" customFormat="false" ht="15" hidden="false" customHeight="false" outlineLevel="0" collapsed="false">
      <c r="A1032" s="50" t="n">
        <v>952</v>
      </c>
      <c r="B1032" s="51" t="n">
        <f aca="false">1+IF($G$6=$E$6,$F$6,IF(P1032&lt;($F$6-$E$6)/($G$6-$E$6),$E$6+SQRT(P1032*($G$6-$E$6)*($F$6-$E$6)),$G$6-SQRT((1-P1032)*($G$6-$E$6)*($G$6-$F$6))))</f>
        <v>0.977145055225357</v>
      </c>
      <c r="C1032" s="51" t="n">
        <f aca="false">1+IF($G$7=$E$7,$F$7,IF(Q1032&lt;($F$7-$E$7)/($G$7-$E$7),$E$7+SQRT(Q1032*($G$7-$E$7)*($F$7-$E$7)),$G$7-SQRT((1-Q1032)*($G$7-$E$7)*($G$7-$F$7))))</f>
        <v>0.981534901579088</v>
      </c>
      <c r="D1032" s="51" t="n">
        <f aca="false">1+IF($G$8=$E$8,$F$8,IF(R1032&lt;($F$8-$E$8)/($G$8-$E$8),$E$8+SQRT(R1032*($G$8-$E$8)*($F$8-$E$8)),$G$8-SQRT((1-R1032)*($G$8-$E$8)*($G$8-$F$8))))</f>
        <v>0.984446380378635</v>
      </c>
      <c r="E1032" s="51" t="n">
        <f aca="false">1+IF($G$9=$E$9,$F$9,IF(S1032&lt;($F$9-$E$9)/($G$9-$E$9),$E$9+SQRT(S1032*($G$9-$E$9)*($F$9-$E$9)),$G$9-SQRT((1-S1032)*($G$9-$E$9)*($G$9-$F$9))))</f>
        <v>0.974084918915853</v>
      </c>
      <c r="F1032" s="51" t="n">
        <f aca="false">1+IF($G$10=$E$10,$F$10,IF(T1032&lt;($F$10-$E$10)/($G$10-$E$10),$E$10+SQRT(T1032*($G$10-$E$10)*($F$10-$E$10)),$G$10-SQRT((1-T1032)*($G$10-$E$10)*($G$10-$F$10))))</f>
        <v>1.11391559714264</v>
      </c>
      <c r="G1032" s="52" t="n">
        <f aca="false">IF($G$11=$E$11,$F$11,IF(U1032&lt;($F$11-$E$11)/($G$11-$E$11),$E$11+SQRT(U1032*($G$11-$E$11)*($F$11-$E$11)),$G$11-SQRT((1-U1032)*($G$11-$E$11)*($G$11-$F$11))))</f>
        <v>0.0961475890066123</v>
      </c>
      <c r="H1032" s="53" t="n">
        <f aca="false">(('Business Case'!B11*$C1032*'Business Case'!B12*$B1032)-'Business Case'!B11*$C1032*'Business Case'!B13*$D1032-'Business Case'!B14*$E1032)-MAX(0,(('Business Case'!B11*$C1032*'Business Case'!B12*$B1032)-'Business Case'!B11*$C1032*'Business Case'!B13*$D1032-'Business Case'!B14*$E1032))*'Business Case'!$B$7-'Business Case'!$B$8*('Business Case'!B11*$C1032*'Business Case'!B12*$B1032)-'Business Case'!B15*$F1032</f>
        <v>-2227831194.28529</v>
      </c>
      <c r="I1032" s="53" t="n">
        <f aca="false">(('Business Case'!C11*$C1032*'Business Case'!C12*$B1032)-'Business Case'!C11*$C1032*'Business Case'!C13*$D1032-'Business Case'!C14*$E1032)-MAX(0,(('Business Case'!C11*$C1032*'Business Case'!C12*$B1032)-'Business Case'!C11*$C1032*'Business Case'!C13*$D1032-'Business Case'!C14*$E1032))*'Business Case'!$B$7-'Business Case'!$B$8*(('Business Case'!C11*$C1032*'Business Case'!C12*$B1032)-('Business Case'!B11*$C1032*'Business Case'!B12*$B1032))-'Business Case'!C15*$F1032</f>
        <v>-8704869.06539615</v>
      </c>
      <c r="J1032" s="53" t="n">
        <f aca="false">(('Business Case'!D11*$C1032*'Business Case'!D12*$B1032)-'Business Case'!D11*$C1032*'Business Case'!D13*$D1032-'Business Case'!D14*$E1032)-MAX(0,(('Business Case'!D11*$C1032*'Business Case'!D12*$B1032)-'Business Case'!D11*$C1032*'Business Case'!D13*$D1032-'Business Case'!D14*$E1032))*'Business Case'!$B$7-'Business Case'!$B$8*(('Business Case'!D11*$C1032*'Business Case'!D12*$B1032)-('Business Case'!C11*$C1032*'Business Case'!C12*$B1032))-'Business Case'!D15*$F1032</f>
        <v>282216543.468883</v>
      </c>
      <c r="K1032" s="53" t="n">
        <f aca="false">(('Business Case'!E11*$C1032*'Business Case'!E12*$B1032)-'Business Case'!E11*$C1032*'Business Case'!E13*$D1032-'Business Case'!E14*$E1032)-MAX(0,(('Business Case'!E11*$C1032*'Business Case'!E12*$B1032)-'Business Case'!E11*$C1032*'Business Case'!E13*$D1032-'Business Case'!E14*$E1032))*'Business Case'!$B$7-'Business Case'!$B$8*(('Business Case'!E11*$C1032*'Business Case'!E12*$B1032)-('Business Case'!D11*$C1032*'Business Case'!D12*$B1032))-'Business Case'!E15*$F1032</f>
        <v>628833735.860294</v>
      </c>
      <c r="L1032" s="53" t="n">
        <f aca="false">(('Business Case'!F11*$C1032*'Business Case'!F12*$B1032)-'Business Case'!F11*$C1032*'Business Case'!F13*$D1032-'Business Case'!F14*$E1032)-MAX(0,(('Business Case'!F11*$C1032*'Business Case'!F12*$B1032)-'Business Case'!F11*$C1032*'Business Case'!F13*$D1032-'Business Case'!F14*$E1032))*'Business Case'!$B$7-'Business Case'!$B$8*(('Business Case'!F11*$C1032*'Business Case'!F12*$B1032)-('Business Case'!E11*$C1032*'Business Case'!E12*$B1032))-'Business Case'!F15*$F1032</f>
        <v>758954104.315438</v>
      </c>
      <c r="M1032" s="53" t="n">
        <f aca="false">(('Business Case'!G11*$C1032*'Business Case'!G12*$B1032)-'Business Case'!G11*$C1032*'Business Case'!G13*$D1032-'Business Case'!G14*$E1032)-MAX(0,(('Business Case'!G11*$C1032*'Business Case'!G12*$B1032)-'Business Case'!G11*$C1032*'Business Case'!G13*$D1032-'Business Case'!G14*$E1032))*'Business Case'!$B$7-'Business Case'!$B$8*(('Business Case'!G11*$C1032*'Business Case'!G12*$B1032)-('Business Case'!F11*$C1032*'Business Case'!F12*$B1032))-'Business Case'!G15*$F1032+'Business Case'!$B$8*('Business Case'!G11*$C1032*'Business Case'!G12*$B1032)</f>
        <v>941260207.839218</v>
      </c>
      <c r="N1032" s="53" t="n">
        <f aca="false">IF(COUNT('Business Case'!B11:G11)=0,"",H1032+NPV(G1032,I1032:M1032))</f>
        <v>-402949588.402577</v>
      </c>
      <c r="P1032" s="54" t="n">
        <f aca="true">RAND()</f>
        <v>0.340162222573861</v>
      </c>
      <c r="Q1032" s="54" t="n">
        <f aca="true">RAND()</f>
        <v>0.470784578447561</v>
      </c>
      <c r="R1032" s="54" t="n">
        <f aca="true">RAND()</f>
        <v>0.18254663402917</v>
      </c>
      <c r="S1032" s="54" t="n">
        <f aca="true">RAND()</f>
        <v>0.0773444425577593</v>
      </c>
      <c r="T1032" s="54" t="n">
        <f aca="true">RAND()</f>
        <v>0.851789511693851</v>
      </c>
      <c r="U1032" s="54" t="n">
        <f aca="true">RAND()</f>
        <v>0.125976168647401</v>
      </c>
    </row>
    <row r="1033" customFormat="false" ht="15" hidden="false" customHeight="false" outlineLevel="0" collapsed="false">
      <c r="A1033" s="50" t="n">
        <v>953</v>
      </c>
      <c r="B1033" s="51" t="n">
        <f aca="false">1+IF($G$6=$E$6,$F$6,IF(P1033&lt;($F$6-$E$6)/($G$6-$E$6),$E$6+SQRT(P1033*($G$6-$E$6)*($F$6-$E$6)),$G$6-SQRT((1-P1033)*($G$6-$E$6)*($G$6-$F$6))))</f>
        <v>1.03473365155285</v>
      </c>
      <c r="C1033" s="51" t="n">
        <f aca="false">1+IF($G$7=$E$7,$F$7,IF(Q1033&lt;($F$7-$E$7)/($G$7-$E$7),$E$7+SQRT(Q1033*($G$7-$E$7)*($F$7-$E$7)),$G$7-SQRT((1-Q1033)*($G$7-$E$7)*($G$7-$F$7))))</f>
        <v>0.94392114810411</v>
      </c>
      <c r="D1033" s="51" t="n">
        <f aca="false">1+IF($G$8=$E$8,$F$8,IF(R1033&lt;($F$8-$E$8)/($G$8-$E$8),$E$8+SQRT(R1033*($G$8-$E$8)*($F$8-$E$8)),$G$8-SQRT((1-R1033)*($G$8-$E$8)*($G$8-$F$8))))</f>
        <v>1.02839229751989</v>
      </c>
      <c r="E1033" s="51" t="n">
        <f aca="false">1+IF($G$9=$E$9,$F$9,IF(S1033&lt;($F$9-$E$9)/($G$9-$E$9),$E$9+SQRT(S1033*($G$9-$E$9)*($F$9-$E$9)),$G$9-SQRT((1-S1033)*($G$9-$E$9)*($G$9-$F$9))))</f>
        <v>0.987396312972627</v>
      </c>
      <c r="F1033" s="51" t="n">
        <f aca="false">1+IF($G$10=$E$10,$F$10,IF(T1033&lt;($F$10-$E$10)/($G$10-$E$10),$E$10+SQRT(T1033*($G$10-$E$10)*($F$10-$E$10)),$G$10-SQRT((1-T1033)*($G$10-$E$10)*($G$10-$F$10))))</f>
        <v>1.06008212719183</v>
      </c>
      <c r="G1033" s="52" t="n">
        <f aca="false">IF($G$11=$E$11,$F$11,IF(U1033&lt;($F$11-$E$11)/($G$11-$E$11),$E$11+SQRT(U1033*($G$11-$E$11)*($F$11-$E$11)),$G$11-SQRT((1-U1033)*($G$11-$E$11)*($G$11-$F$11))))</f>
        <v>0.097983253061597</v>
      </c>
      <c r="H1033" s="53" t="n">
        <f aca="false">(('Business Case'!B11*$C1033*'Business Case'!B12*$B1033)-'Business Case'!B11*$C1033*'Business Case'!B13*$D1033-'Business Case'!B14*$E1033)-MAX(0,(('Business Case'!B11*$C1033*'Business Case'!B12*$B1033)-'Business Case'!B11*$C1033*'Business Case'!B13*$D1033-'Business Case'!B14*$E1033))*'Business Case'!$B$7-'Business Case'!$B$8*('Business Case'!B11*$C1033*'Business Case'!B12*$B1033)-'Business Case'!B15*$F1033</f>
        <v>-2120164254.38367</v>
      </c>
      <c r="I1033" s="53" t="n">
        <f aca="false">(('Business Case'!C11*$C1033*'Business Case'!C12*$B1033)-'Business Case'!C11*$C1033*'Business Case'!C13*$D1033-'Business Case'!C14*$E1033)-MAX(0,(('Business Case'!C11*$C1033*'Business Case'!C12*$B1033)-'Business Case'!C11*$C1033*'Business Case'!C13*$D1033-'Business Case'!C14*$E1033))*'Business Case'!$B$7-'Business Case'!$B$8*(('Business Case'!C11*$C1033*'Business Case'!C12*$B1033)-('Business Case'!B11*$C1033*'Business Case'!B12*$B1033))-'Business Case'!C15*$F1033</f>
        <v>6013262.21219984</v>
      </c>
      <c r="J1033" s="53" t="n">
        <f aca="false">(('Business Case'!D11*$C1033*'Business Case'!D12*$B1033)-'Business Case'!D11*$C1033*'Business Case'!D13*$D1033-'Business Case'!D14*$E1033)-MAX(0,(('Business Case'!D11*$C1033*'Business Case'!D12*$B1033)-'Business Case'!D11*$C1033*'Business Case'!D13*$D1033-'Business Case'!D14*$E1033))*'Business Case'!$B$7-'Business Case'!$B$8*(('Business Case'!D11*$C1033*'Business Case'!D12*$B1033)-('Business Case'!C11*$C1033*'Business Case'!C12*$B1033))-'Business Case'!D15*$F1033</f>
        <v>309074982.502571</v>
      </c>
      <c r="K1033" s="53" t="n">
        <f aca="false">(('Business Case'!E11*$C1033*'Business Case'!E12*$B1033)-'Business Case'!E11*$C1033*'Business Case'!E13*$D1033-'Business Case'!E14*$E1033)-MAX(0,(('Business Case'!E11*$C1033*'Business Case'!E12*$B1033)-'Business Case'!E11*$C1033*'Business Case'!E13*$D1033-'Business Case'!E14*$E1033))*'Business Case'!$B$7-'Business Case'!$B$8*(('Business Case'!E11*$C1033*'Business Case'!E12*$B1033)-('Business Case'!D11*$C1033*'Business Case'!D12*$B1033))-'Business Case'!E15*$F1033</f>
        <v>665140809.152534</v>
      </c>
      <c r="L1033" s="53" t="n">
        <f aca="false">(('Business Case'!F11*$C1033*'Business Case'!F12*$B1033)-'Business Case'!F11*$C1033*'Business Case'!F13*$D1033-'Business Case'!F14*$E1033)-MAX(0,(('Business Case'!F11*$C1033*'Business Case'!F12*$B1033)-'Business Case'!F11*$C1033*'Business Case'!F13*$D1033-'Business Case'!F14*$E1033))*'Business Case'!$B$7-'Business Case'!$B$8*(('Business Case'!F11*$C1033*'Business Case'!F12*$B1033)-('Business Case'!E11*$C1033*'Business Case'!E12*$B1033))-'Business Case'!F15*$F1033</f>
        <v>799916375.685511</v>
      </c>
      <c r="M1033" s="53" t="n">
        <f aca="false">(('Business Case'!G11*$C1033*'Business Case'!G12*$B1033)-'Business Case'!G11*$C1033*'Business Case'!G13*$D1033-'Business Case'!G14*$E1033)-MAX(0,(('Business Case'!G11*$C1033*'Business Case'!G12*$B1033)-'Business Case'!G11*$C1033*'Business Case'!G13*$D1033-'Business Case'!G14*$E1033))*'Business Case'!$B$7-'Business Case'!$B$8*(('Business Case'!G11*$C1033*'Business Case'!G12*$B1033)-('Business Case'!F11*$C1033*'Business Case'!F12*$B1033))-'Business Case'!G15*$F1033+'Business Case'!$B$8*('Business Case'!G11*$C1033*'Business Case'!G12*$B1033)</f>
        <v>985568837.751207</v>
      </c>
      <c r="N1033" s="53" t="n">
        <f aca="false">IF(COUNT('Business Case'!B11:G11)=0,"",H1033+NPV(G1033,I1033:M1033))</f>
        <v>-187845271.0399</v>
      </c>
      <c r="P1033" s="54" t="n">
        <f aca="true">RAND()</f>
        <v>0.994221994590241</v>
      </c>
      <c r="Q1033" s="54" t="n">
        <f aca="true">RAND()</f>
        <v>0.295904241022929</v>
      </c>
      <c r="R1033" s="54" t="n">
        <f aca="true">RAND()</f>
        <v>0.743908177377336</v>
      </c>
      <c r="S1033" s="54" t="n">
        <f aca="true">RAND()</f>
        <v>0.186464563192891</v>
      </c>
      <c r="T1033" s="54" t="n">
        <f aca="true">RAND()</f>
        <v>0.608459777376759</v>
      </c>
      <c r="U1033" s="54" t="n">
        <f aca="true">RAND()</f>
        <v>0.212441098151659</v>
      </c>
    </row>
    <row r="1034" customFormat="false" ht="15" hidden="false" customHeight="false" outlineLevel="0" collapsed="false">
      <c r="A1034" s="50" t="n">
        <v>954</v>
      </c>
      <c r="B1034" s="51" t="n">
        <f aca="false">1+IF($G$6=$E$6,$F$6,IF(P1034&lt;($F$6-$E$6)/($G$6-$E$6),$E$6+SQRT(P1034*($G$6-$E$6)*($F$6-$E$6)),$G$6-SQRT((1-P1034)*($G$6-$E$6)*($G$6-$F$6))))</f>
        <v>1.03192514137609</v>
      </c>
      <c r="C1034" s="51" t="n">
        <f aca="false">1+IF($G$7=$E$7,$F$7,IF(Q1034&lt;($F$7-$E$7)/($G$7-$E$7),$E$7+SQRT(Q1034*($G$7-$E$7)*($F$7-$E$7)),$G$7-SQRT((1-Q1034)*($G$7-$E$7)*($G$7-$F$7))))</f>
        <v>0.926915150478324</v>
      </c>
      <c r="D1034" s="51" t="n">
        <f aca="false">1+IF($G$8=$E$8,$F$8,IF(R1034&lt;($F$8-$E$8)/($G$8-$E$8),$E$8+SQRT(R1034*($G$8-$E$8)*($F$8-$E$8)),$G$8-SQRT((1-R1034)*($G$8-$E$8)*($G$8-$F$8))))</f>
        <v>1.02138301361901</v>
      </c>
      <c r="E1034" s="51" t="n">
        <f aca="false">1+IF($G$9=$E$9,$F$9,IF(S1034&lt;($F$9-$E$9)/($G$9-$E$9),$E$9+SQRT(S1034*($G$9-$E$9)*($F$9-$E$9)),$G$9-SQRT((1-S1034)*($G$9-$E$9)*($G$9-$F$9))))</f>
        <v>1.00511746510339</v>
      </c>
      <c r="F1034" s="51" t="n">
        <f aca="false">1+IF($G$10=$E$10,$F$10,IF(T1034&lt;($F$10-$E$10)/($G$10-$E$10),$E$10+SQRT(T1034*($G$10-$E$10)*($F$10-$E$10)),$G$10-SQRT((1-T1034)*($G$10-$E$10)*($G$10-$F$10))))</f>
        <v>1.06910748438992</v>
      </c>
      <c r="G1034" s="52" t="n">
        <f aca="false">IF($G$11=$E$11,$F$11,IF(U1034&lt;($F$11-$E$11)/($G$11-$E$11),$E$11+SQRT(U1034*($G$11-$E$11)*($F$11-$E$11)),$G$11-SQRT((1-U1034)*($G$11-$E$11)*($G$11-$F$11))))</f>
        <v>0.0964356671975044</v>
      </c>
      <c r="H1034" s="53" t="n">
        <f aca="false">(('Business Case'!B11*$C1034*'Business Case'!B12*$B1034)-'Business Case'!B11*$C1034*'Business Case'!B13*$D1034-'Business Case'!B14*$E1034)-MAX(0,(('Business Case'!B11*$C1034*'Business Case'!B12*$B1034)-'Business Case'!B11*$C1034*'Business Case'!B13*$D1034-'Business Case'!B14*$E1034))*'Business Case'!$B$7-'Business Case'!$B$8*('Business Case'!B11*$C1034*'Business Case'!B12*$B1034)-'Business Case'!B15*$F1034</f>
        <v>-2138214968.77984</v>
      </c>
      <c r="I1034" s="53" t="n">
        <f aca="false">(('Business Case'!C11*$C1034*'Business Case'!C12*$B1034)-'Business Case'!C11*$C1034*'Business Case'!C13*$D1034-'Business Case'!C14*$E1034)-MAX(0,(('Business Case'!C11*$C1034*'Business Case'!C12*$B1034)-'Business Case'!C11*$C1034*'Business Case'!C13*$D1034-'Business Case'!C14*$E1034))*'Business Case'!$B$7-'Business Case'!$B$8*(('Business Case'!C11*$C1034*'Business Case'!C12*$B1034)-('Business Case'!B11*$C1034*'Business Case'!B12*$B1034))-'Business Case'!C15*$F1034</f>
        <v>-628417.483300418</v>
      </c>
      <c r="J1034" s="53" t="n">
        <f aca="false">(('Business Case'!D11*$C1034*'Business Case'!D12*$B1034)-'Business Case'!D11*$C1034*'Business Case'!D13*$D1034-'Business Case'!D14*$E1034)-MAX(0,(('Business Case'!D11*$C1034*'Business Case'!D12*$B1034)-'Business Case'!D11*$C1034*'Business Case'!D13*$D1034-'Business Case'!D14*$E1034))*'Business Case'!$B$7-'Business Case'!$B$8*(('Business Case'!D11*$C1034*'Business Case'!D12*$B1034)-('Business Case'!C11*$C1034*'Business Case'!C12*$B1034))-'Business Case'!D15*$F1034</f>
        <v>298166942.362912</v>
      </c>
      <c r="K1034" s="53" t="n">
        <f aca="false">(('Business Case'!E11*$C1034*'Business Case'!E12*$B1034)-'Business Case'!E11*$C1034*'Business Case'!E13*$D1034-'Business Case'!E14*$E1034)-MAX(0,(('Business Case'!E11*$C1034*'Business Case'!E12*$B1034)-'Business Case'!E11*$C1034*'Business Case'!E13*$D1034-'Business Case'!E14*$E1034))*'Business Case'!$B$7-'Business Case'!$B$8*(('Business Case'!E11*$C1034*'Business Case'!E12*$B1034)-('Business Case'!D11*$C1034*'Business Case'!D12*$B1034))-'Business Case'!E15*$F1034</f>
        <v>650417676.428621</v>
      </c>
      <c r="L1034" s="53" t="n">
        <f aca="false">(('Business Case'!F11*$C1034*'Business Case'!F12*$B1034)-'Business Case'!F11*$C1034*'Business Case'!F13*$D1034-'Business Case'!F14*$E1034)-MAX(0,(('Business Case'!F11*$C1034*'Business Case'!F12*$B1034)-'Business Case'!F11*$C1034*'Business Case'!F13*$D1034-'Business Case'!F14*$E1034))*'Business Case'!$B$7-'Business Case'!$B$8*(('Business Case'!F11*$C1034*'Business Case'!F12*$B1034)-('Business Case'!E11*$C1034*'Business Case'!E12*$B1034))-'Business Case'!F15*$F1034</f>
        <v>783073013.279238</v>
      </c>
      <c r="M1034" s="53" t="n">
        <f aca="false">(('Business Case'!G11*$C1034*'Business Case'!G12*$B1034)-'Business Case'!G11*$C1034*'Business Case'!G13*$D1034-'Business Case'!G14*$E1034)-MAX(0,(('Business Case'!G11*$C1034*'Business Case'!G12*$B1034)-'Business Case'!G11*$C1034*'Business Case'!G13*$D1034-'Business Case'!G14*$E1034))*'Business Case'!$B$7-'Business Case'!$B$8*(('Business Case'!G11*$C1034*'Business Case'!G12*$B1034)-('Business Case'!F11*$C1034*'Business Case'!F12*$B1034))-'Business Case'!G15*$F1034+'Business Case'!$B$8*('Business Case'!G11*$C1034*'Business Case'!G12*$B1034)</f>
        <v>964885872.906241</v>
      </c>
      <c r="N1034" s="53" t="n">
        <f aca="false">IF(COUNT('Business Case'!B11:G11)=0,"",H1034+NPV(G1034,I1034:M1034))</f>
        <v>-246556602.428468</v>
      </c>
      <c r="P1034" s="54" t="n">
        <f aca="true">RAND()</f>
        <v>0.986415970459145</v>
      </c>
      <c r="Q1034" s="54" t="n">
        <f aca="true">RAND()</f>
        <v>0.230106506013368</v>
      </c>
      <c r="R1034" s="54" t="n">
        <f aca="true">RAND()</f>
        <v>0.669620087270275</v>
      </c>
      <c r="S1034" s="54" t="n">
        <f aca="true">RAND()</f>
        <v>0.399820304772913</v>
      </c>
      <c r="T1034" s="54" t="n">
        <f aca="true">RAND()</f>
        <v>0.657342987145292</v>
      </c>
      <c r="U1034" s="54" t="n">
        <f aca="true">RAND()</f>
        <v>0.138059374256781</v>
      </c>
    </row>
    <row r="1035" customFormat="false" ht="15" hidden="false" customHeight="false" outlineLevel="0" collapsed="false">
      <c r="A1035" s="50" t="n">
        <v>955</v>
      </c>
      <c r="B1035" s="51" t="n">
        <f aca="false">1+IF($G$6=$E$6,$F$6,IF(P1035&lt;($F$6-$E$6)/($G$6-$E$6),$E$6+SQRT(P1035*($G$6-$E$6)*($F$6-$E$6)),$G$6-SQRT((1-P1035)*($G$6-$E$6)*($G$6-$F$6))))</f>
        <v>0.95919103922373</v>
      </c>
      <c r="C1035" s="51" t="n">
        <f aca="false">1+IF($G$7=$E$7,$F$7,IF(Q1035&lt;($F$7-$E$7)/($G$7-$E$7),$E$7+SQRT(Q1035*($G$7-$E$7)*($F$7-$E$7)),$G$7-SQRT((1-Q1035)*($G$7-$E$7)*($G$7-$F$7))))</f>
        <v>0.955181727225646</v>
      </c>
      <c r="D1035" s="51" t="n">
        <f aca="false">1+IF($G$8=$E$8,$F$8,IF(R1035&lt;($F$8-$E$8)/($G$8-$E$8),$E$8+SQRT(R1035*($G$8-$E$8)*($F$8-$E$8)),$G$8-SQRT((1-R1035)*($G$8-$E$8)*($G$8-$F$8))))</f>
        <v>1.01952283955574</v>
      </c>
      <c r="E1035" s="51" t="n">
        <f aca="false">1+IF($G$9=$E$9,$F$9,IF(S1035&lt;($F$9-$E$9)/($G$9-$E$9),$E$9+SQRT(S1035*($G$9-$E$9)*($F$9-$E$9)),$G$9-SQRT((1-S1035)*($G$9-$E$9)*($G$9-$F$9))))</f>
        <v>1.00517593950056</v>
      </c>
      <c r="F1035" s="51" t="n">
        <f aca="false">1+IF($G$10=$E$10,$F$10,IF(T1035&lt;($F$10-$E$10)/($G$10-$E$10),$E$10+SQRT(T1035*($G$10-$E$10)*($F$10-$E$10)),$G$10-SQRT((1-T1035)*($G$10-$E$10)*($G$10-$F$10))))</f>
        <v>1.06126343443454</v>
      </c>
      <c r="G1035" s="52" t="n">
        <f aca="false">IF($G$11=$E$11,$F$11,IF(U1035&lt;($F$11-$E$11)/($G$11-$E$11),$E$11+SQRT(U1035*($G$11-$E$11)*($F$11-$E$11)),$G$11-SQRT((1-U1035)*($G$11-$E$11)*($G$11-$F$11))))</f>
        <v>0.0966854873113551</v>
      </c>
      <c r="H1035" s="53" t="n">
        <f aca="false">(('Business Case'!B11*$C1035*'Business Case'!B12*$B1035)-'Business Case'!B11*$C1035*'Business Case'!B13*$D1035-'Business Case'!B14*$E1035)-MAX(0,(('Business Case'!B11*$C1035*'Business Case'!B12*$B1035)-'Business Case'!B11*$C1035*'Business Case'!B13*$D1035-'Business Case'!B14*$E1035))*'Business Case'!$B$7-'Business Case'!$B$8*('Business Case'!B11*$C1035*'Business Case'!B12*$B1035)-'Business Case'!B15*$F1035</f>
        <v>-2122526868.86908</v>
      </c>
      <c r="I1035" s="53" t="n">
        <f aca="false">(('Business Case'!C11*$C1035*'Business Case'!C12*$B1035)-'Business Case'!C11*$C1035*'Business Case'!C13*$D1035-'Business Case'!C14*$E1035)-MAX(0,(('Business Case'!C11*$C1035*'Business Case'!C12*$B1035)-'Business Case'!C11*$C1035*'Business Case'!C13*$D1035-'Business Case'!C14*$E1035))*'Business Case'!$B$7-'Business Case'!$B$8*(('Business Case'!C11*$C1035*'Business Case'!C12*$B1035)-('Business Case'!B11*$C1035*'Business Case'!B12*$B1035))-'Business Case'!C15*$F1035</f>
        <v>-44645900.3253156</v>
      </c>
      <c r="J1035" s="53" t="n">
        <f aca="false">(('Business Case'!D11*$C1035*'Business Case'!D12*$B1035)-'Business Case'!D11*$C1035*'Business Case'!D13*$D1035-'Business Case'!D14*$E1035)-MAX(0,(('Business Case'!D11*$C1035*'Business Case'!D12*$B1035)-'Business Case'!D11*$C1035*'Business Case'!D13*$D1035-'Business Case'!D14*$E1035))*'Business Case'!$B$7-'Business Case'!$B$8*(('Business Case'!D11*$C1035*'Business Case'!D12*$B1035)-('Business Case'!C11*$C1035*'Business Case'!C12*$B1035))-'Business Case'!D15*$F1035</f>
        <v>207266460.295654</v>
      </c>
      <c r="K1035" s="53" t="n">
        <f aca="false">(('Business Case'!E11*$C1035*'Business Case'!E12*$B1035)-'Business Case'!E11*$C1035*'Business Case'!E13*$D1035-'Business Case'!E14*$E1035)-MAX(0,(('Business Case'!E11*$C1035*'Business Case'!E12*$B1035)-'Business Case'!E11*$C1035*'Business Case'!E13*$D1035-'Business Case'!E14*$E1035))*'Business Case'!$B$7-'Business Case'!$B$8*(('Business Case'!E11*$C1035*'Business Case'!E12*$B1035)-('Business Case'!D11*$C1035*'Business Case'!D12*$B1035))-'Business Case'!E15*$F1035</f>
        <v>512241992.638349</v>
      </c>
      <c r="L1035" s="53" t="n">
        <f aca="false">(('Business Case'!F11*$C1035*'Business Case'!F12*$B1035)-'Business Case'!F11*$C1035*'Business Case'!F13*$D1035-'Business Case'!F14*$E1035)-MAX(0,(('Business Case'!F11*$C1035*'Business Case'!F12*$B1035)-'Business Case'!F11*$C1035*'Business Case'!F13*$D1035-'Business Case'!F14*$E1035))*'Business Case'!$B$7-'Business Case'!$B$8*(('Business Case'!F11*$C1035*'Business Case'!F12*$B1035)-('Business Case'!E11*$C1035*'Business Case'!E12*$B1035))-'Business Case'!F15*$F1035</f>
        <v>627876712.115906</v>
      </c>
      <c r="M1035" s="53" t="n">
        <f aca="false">(('Business Case'!G11*$C1035*'Business Case'!G12*$B1035)-'Business Case'!G11*$C1035*'Business Case'!G13*$D1035-'Business Case'!G14*$E1035)-MAX(0,(('Business Case'!G11*$C1035*'Business Case'!G12*$B1035)-'Business Case'!G11*$C1035*'Business Case'!G13*$D1035-'Business Case'!G14*$E1035))*'Business Case'!$B$7-'Business Case'!$B$8*(('Business Case'!G11*$C1035*'Business Case'!G12*$B1035)-('Business Case'!F11*$C1035*'Business Case'!F12*$B1035))-'Business Case'!G15*$F1035+'Business Case'!$B$8*('Business Case'!G11*$C1035*'Business Case'!G12*$B1035)</f>
        <v>802028341.437359</v>
      </c>
      <c r="N1035" s="53" t="n">
        <f aca="false">IF(COUNT('Business Case'!B11:G11)=0,"",H1035+NPV(G1035,I1035:M1035))</f>
        <v>-662926335.67323</v>
      </c>
      <c r="P1035" s="54" t="n">
        <f aca="true">RAND()</f>
        <v>0.15999349535791</v>
      </c>
      <c r="Q1035" s="54" t="n">
        <f aca="true">RAND()</f>
        <v>0.34401954949621</v>
      </c>
      <c r="R1035" s="54" t="n">
        <f aca="true">RAND()</f>
        <v>0.648318563903829</v>
      </c>
      <c r="S1035" s="54" t="n">
        <f aca="true">RAND()</f>
        <v>0.40055983669329</v>
      </c>
      <c r="T1035" s="54" t="n">
        <f aca="true">RAND()</f>
        <v>0.615043307502004</v>
      </c>
      <c r="U1035" s="54" t="n">
        <f aca="true">RAND()</f>
        <v>0.148985801967635</v>
      </c>
    </row>
    <row r="1036" customFormat="false" ht="15" hidden="false" customHeight="false" outlineLevel="0" collapsed="false">
      <c r="A1036" s="50" t="n">
        <v>956</v>
      </c>
      <c r="B1036" s="51" t="n">
        <f aca="false">1+IF($G$6=$E$6,$F$6,IF(P1036&lt;($F$6-$E$6)/($G$6-$E$6),$E$6+SQRT(P1036*($G$6-$E$6)*($F$6-$E$6)),$G$6-SQRT((1-P1036)*($G$6-$E$6)*($G$6-$F$6))))</f>
        <v>0.979237213755966</v>
      </c>
      <c r="C1036" s="51" t="n">
        <f aca="false">1+IF($G$7=$E$7,$F$7,IF(Q1036&lt;($F$7-$E$7)/($G$7-$E$7),$E$7+SQRT(Q1036*($G$7-$E$7)*($F$7-$E$7)),$G$7-SQRT((1-Q1036)*($G$7-$E$7)*($G$7-$F$7))))</f>
        <v>1.13647658179692</v>
      </c>
      <c r="D1036" s="51" t="n">
        <f aca="false">1+IF($G$8=$E$8,$F$8,IF(R1036&lt;($F$8-$E$8)/($G$8-$E$8),$E$8+SQRT(R1036*($G$8-$E$8)*($F$8-$E$8)),$G$8-SQRT((1-R1036)*($G$8-$E$8)*($G$8-$F$8))))</f>
        <v>1.03138354349523</v>
      </c>
      <c r="E1036" s="51" t="n">
        <f aca="false">1+IF($G$9=$E$9,$F$9,IF(S1036&lt;($F$9-$E$9)/($G$9-$E$9),$E$9+SQRT(S1036*($G$9-$E$9)*($F$9-$E$9)),$G$9-SQRT((1-S1036)*($G$9-$E$9)*($G$9-$F$9))))</f>
        <v>1.00269776555689</v>
      </c>
      <c r="F1036" s="51" t="n">
        <f aca="false">1+IF($G$10=$E$10,$F$10,IF(T1036&lt;($F$10-$E$10)/($G$10-$E$10),$E$10+SQRT(T1036*($G$10-$E$10)*($F$10-$E$10)),$G$10-SQRT((1-T1036)*($G$10-$E$10)*($G$10-$F$10))))</f>
        <v>1.07838747158543</v>
      </c>
      <c r="G1036" s="52" t="n">
        <f aca="false">IF($G$11=$E$11,$F$11,IF(U1036&lt;($F$11-$E$11)/($G$11-$E$11),$E$11+SQRT(U1036*($G$11-$E$11)*($F$11-$E$11)),$G$11-SQRT((1-U1036)*($G$11-$E$11)*($G$11-$F$11))))</f>
        <v>0.107762709207904</v>
      </c>
      <c r="H1036" s="53" t="n">
        <f aca="false">(('Business Case'!B11*$C1036*'Business Case'!B12*$B1036)-'Business Case'!B11*$C1036*'Business Case'!B13*$D1036-'Business Case'!B14*$E1036)-MAX(0,(('Business Case'!B11*$C1036*'Business Case'!B12*$B1036)-'Business Case'!B11*$C1036*'Business Case'!B13*$D1036-'Business Case'!B14*$E1036))*'Business Case'!$B$7-'Business Case'!$B$8*('Business Case'!B11*$C1036*'Business Case'!B12*$B1036)-'Business Case'!B15*$F1036</f>
        <v>-2156774943.17085</v>
      </c>
      <c r="I1036" s="53" t="n">
        <f aca="false">(('Business Case'!C11*$C1036*'Business Case'!C12*$B1036)-'Business Case'!C11*$C1036*'Business Case'!C13*$D1036-'Business Case'!C14*$E1036)-MAX(0,(('Business Case'!C11*$C1036*'Business Case'!C12*$B1036)-'Business Case'!C11*$C1036*'Business Case'!C13*$D1036-'Business Case'!C14*$E1036))*'Business Case'!$B$7-'Business Case'!$B$8*(('Business Case'!C11*$C1036*'Business Case'!C12*$B1036)-('Business Case'!B11*$C1036*'Business Case'!B12*$B1036))-'Business Case'!C15*$F1036</f>
        <v>3371333.12939452</v>
      </c>
      <c r="J1036" s="53" t="n">
        <f aca="false">(('Business Case'!D11*$C1036*'Business Case'!D12*$B1036)-'Business Case'!D11*$C1036*'Business Case'!D13*$D1036-'Business Case'!D14*$E1036)-MAX(0,(('Business Case'!D11*$C1036*'Business Case'!D12*$B1036)-'Business Case'!D11*$C1036*'Business Case'!D13*$D1036-'Business Case'!D14*$E1036))*'Business Case'!$B$7-'Business Case'!$B$8*(('Business Case'!D11*$C1036*'Business Case'!D12*$B1036)-('Business Case'!C11*$C1036*'Business Case'!C12*$B1036))-'Business Case'!D15*$F1036</f>
        <v>314856743.24949</v>
      </c>
      <c r="K1036" s="53" t="n">
        <f aca="false">(('Business Case'!E11*$C1036*'Business Case'!E12*$B1036)-'Business Case'!E11*$C1036*'Business Case'!E13*$D1036-'Business Case'!E14*$E1036)-MAX(0,(('Business Case'!E11*$C1036*'Business Case'!E12*$B1036)-'Business Case'!E11*$C1036*'Business Case'!E13*$D1036-'Business Case'!E14*$E1036))*'Business Case'!$B$7-'Business Case'!$B$8*(('Business Case'!E11*$C1036*'Business Case'!E12*$B1036)-('Business Case'!D11*$C1036*'Business Case'!D12*$B1036))-'Business Case'!E15*$F1036</f>
        <v>680261526.948856</v>
      </c>
      <c r="L1036" s="53" t="n">
        <f aca="false">(('Business Case'!F11*$C1036*'Business Case'!F12*$B1036)-'Business Case'!F11*$C1036*'Business Case'!F13*$D1036-'Business Case'!F14*$E1036)-MAX(0,(('Business Case'!F11*$C1036*'Business Case'!F12*$B1036)-'Business Case'!F11*$C1036*'Business Case'!F13*$D1036-'Business Case'!F14*$E1036))*'Business Case'!$B$7-'Business Case'!$B$8*(('Business Case'!F11*$C1036*'Business Case'!F12*$B1036)-('Business Case'!E11*$C1036*'Business Case'!E12*$B1036))-'Business Case'!F15*$F1036</f>
        <v>822551135.368867</v>
      </c>
      <c r="M1036" s="53" t="n">
        <f aca="false">(('Business Case'!G11*$C1036*'Business Case'!G12*$B1036)-'Business Case'!G11*$C1036*'Business Case'!G13*$D1036-'Business Case'!G14*$E1036)-MAX(0,(('Business Case'!G11*$C1036*'Business Case'!G12*$B1036)-'Business Case'!G11*$C1036*'Business Case'!G13*$D1036-'Business Case'!G14*$E1036))*'Business Case'!$B$7-'Business Case'!$B$8*(('Business Case'!G11*$C1036*'Business Case'!G12*$B1036)-('Business Case'!F11*$C1036*'Business Case'!F12*$B1036))-'Business Case'!G15*$F1036+'Business Case'!$B$8*('Business Case'!G11*$C1036*'Business Case'!G12*$B1036)</f>
        <v>1034087396.45875</v>
      </c>
      <c r="N1036" s="53" t="n">
        <f aca="false">IF(COUNT('Business Case'!B11:G11)=0,"",H1036+NPV(G1036,I1036:M1036))</f>
        <v>-230599121.133952</v>
      </c>
      <c r="P1036" s="54" t="n">
        <f aca="true">RAND()</f>
        <v>0.365525780580212</v>
      </c>
      <c r="Q1036" s="54" t="n">
        <f aca="true">RAND()</f>
        <v>0.996516517335323</v>
      </c>
      <c r="R1036" s="54" t="n">
        <f aca="true">RAND()</f>
        <v>0.772734630473064</v>
      </c>
      <c r="S1036" s="54" t="n">
        <f aca="true">RAND()</f>
        <v>0.368818344825225</v>
      </c>
      <c r="T1036" s="54" t="n">
        <f aca="true">RAND()</f>
        <v>0.704207858652295</v>
      </c>
      <c r="U1036" s="54" t="n">
        <f aca="true">RAND()</f>
        <v>0.750414523449464</v>
      </c>
    </row>
    <row r="1037" customFormat="false" ht="15" hidden="false" customHeight="false" outlineLevel="0" collapsed="false">
      <c r="A1037" s="50" t="n">
        <v>957</v>
      </c>
      <c r="B1037" s="51" t="n">
        <f aca="false">1+IF($G$6=$E$6,$F$6,IF(P1037&lt;($F$6-$E$6)/($G$6-$E$6),$E$6+SQRT(P1037*($G$6-$E$6)*($F$6-$E$6)),$G$6-SQRT((1-P1037)*($G$6-$E$6)*($G$6-$F$6))))</f>
        <v>0.989244831895156</v>
      </c>
      <c r="C1037" s="51" t="n">
        <f aca="false">1+IF($G$7=$E$7,$F$7,IF(Q1037&lt;($F$7-$E$7)/($G$7-$E$7),$E$7+SQRT(Q1037*($G$7-$E$7)*($F$7-$E$7)),$G$7-SQRT((1-Q1037)*($G$7-$E$7)*($G$7-$F$7))))</f>
        <v>1.11780123485589</v>
      </c>
      <c r="D1037" s="51" t="n">
        <f aca="false">1+IF($G$8=$E$8,$F$8,IF(R1037&lt;($F$8-$E$8)/($G$8-$E$8),$E$8+SQRT(R1037*($G$8-$E$8)*($F$8-$E$8)),$G$8-SQRT((1-R1037)*($G$8-$E$8)*($G$8-$F$8))))</f>
        <v>0.995204831638608</v>
      </c>
      <c r="E1037" s="51" t="n">
        <f aca="false">1+IF($G$9=$E$9,$F$9,IF(S1037&lt;($F$9-$E$9)/($G$9-$E$9),$E$9+SQRT(S1037*($G$9-$E$9)*($F$9-$E$9)),$G$9-SQRT((1-S1037)*($G$9-$E$9)*($G$9-$F$9))))</f>
        <v>1.03155637583125</v>
      </c>
      <c r="F1037" s="51" t="n">
        <f aca="false">1+IF($G$10=$E$10,$F$10,IF(T1037&lt;($F$10-$E$10)/($G$10-$E$10),$E$10+SQRT(T1037*($G$10-$E$10)*($F$10-$E$10)),$G$10-SQRT((1-T1037)*($G$10-$E$10)*($G$10-$F$10))))</f>
        <v>1.03075516619243</v>
      </c>
      <c r="G1037" s="52" t="n">
        <f aca="false">IF($G$11=$E$11,$F$11,IF(U1037&lt;($F$11-$E$11)/($G$11-$E$11),$E$11+SQRT(U1037*($G$11-$E$11)*($F$11-$E$11)),$G$11-SQRT((1-U1037)*($G$11-$E$11)*($G$11-$F$11))))</f>
        <v>0.102366904825245</v>
      </c>
      <c r="H1037" s="53" t="n">
        <f aca="false">(('Business Case'!B11*$C1037*'Business Case'!B12*$B1037)-'Business Case'!B11*$C1037*'Business Case'!B13*$D1037-'Business Case'!B14*$E1037)-MAX(0,(('Business Case'!B11*$C1037*'Business Case'!B12*$B1037)-'Business Case'!B11*$C1037*'Business Case'!B13*$D1037-'Business Case'!B14*$E1037))*'Business Case'!$B$7-'Business Case'!$B$8*('Business Case'!B11*$C1037*'Business Case'!B12*$B1037)-'Business Case'!B15*$F1037</f>
        <v>-2061510332.38487</v>
      </c>
      <c r="I1037" s="53" t="n">
        <f aca="false">(('Business Case'!C11*$C1037*'Business Case'!C12*$B1037)-'Business Case'!C11*$C1037*'Business Case'!C13*$D1037-'Business Case'!C14*$E1037)-MAX(0,(('Business Case'!C11*$C1037*'Business Case'!C12*$B1037)-'Business Case'!C11*$C1037*'Business Case'!C13*$D1037-'Business Case'!C14*$E1037))*'Business Case'!$B$7-'Business Case'!$B$8*(('Business Case'!C11*$C1037*'Business Case'!C12*$B1037)-('Business Case'!B11*$C1037*'Business Case'!B12*$B1037))-'Business Case'!C15*$F1037</f>
        <v>29145379.245473</v>
      </c>
      <c r="J1037" s="53" t="n">
        <f aca="false">(('Business Case'!D11*$C1037*'Business Case'!D12*$B1037)-'Business Case'!D11*$C1037*'Business Case'!D13*$D1037-'Business Case'!D14*$E1037)-MAX(0,(('Business Case'!D11*$C1037*'Business Case'!D12*$B1037)-'Business Case'!D11*$C1037*'Business Case'!D13*$D1037-'Business Case'!D14*$E1037))*'Business Case'!$B$7-'Business Case'!$B$8*(('Business Case'!D11*$C1037*'Business Case'!D12*$B1037)-('Business Case'!C11*$C1037*'Business Case'!C12*$B1037))-'Business Case'!D15*$F1037</f>
        <v>365377180.020941</v>
      </c>
      <c r="K1037" s="53" t="n">
        <f aca="false">(('Business Case'!E11*$C1037*'Business Case'!E12*$B1037)-'Business Case'!E11*$C1037*'Business Case'!E13*$D1037-'Business Case'!E14*$E1037)-MAX(0,(('Business Case'!E11*$C1037*'Business Case'!E12*$B1037)-'Business Case'!E11*$C1037*'Business Case'!E13*$D1037-'Business Case'!E14*$E1037))*'Business Case'!$B$7-'Business Case'!$B$8*(('Business Case'!E11*$C1037*'Business Case'!E12*$B1037)-('Business Case'!D11*$C1037*'Business Case'!D12*$B1037))-'Business Case'!E15*$F1037</f>
        <v>753146739.10603</v>
      </c>
      <c r="L1037" s="53" t="n">
        <f aca="false">(('Business Case'!F11*$C1037*'Business Case'!F12*$B1037)-'Business Case'!F11*$C1037*'Business Case'!F13*$D1037-'Business Case'!F14*$E1037)-MAX(0,(('Business Case'!F11*$C1037*'Business Case'!F12*$B1037)-'Business Case'!F11*$C1037*'Business Case'!F13*$D1037-'Business Case'!F14*$E1037))*'Business Case'!$B$7-'Business Case'!$B$8*(('Business Case'!F11*$C1037*'Business Case'!F12*$B1037)-('Business Case'!E11*$C1037*'Business Case'!E12*$B1037))-'Business Case'!F15*$F1037</f>
        <v>903439731.542885</v>
      </c>
      <c r="M1037" s="53" t="n">
        <f aca="false">(('Business Case'!G11*$C1037*'Business Case'!G12*$B1037)-'Business Case'!G11*$C1037*'Business Case'!G13*$D1037-'Business Case'!G14*$E1037)-MAX(0,(('Business Case'!G11*$C1037*'Business Case'!G12*$B1037)-'Business Case'!G11*$C1037*'Business Case'!G13*$D1037-'Business Case'!G14*$E1037))*'Business Case'!$B$7-'Business Case'!$B$8*(('Business Case'!G11*$C1037*'Business Case'!G12*$B1037)-('Business Case'!F11*$C1037*'Business Case'!F12*$B1037))-'Business Case'!G15*$F1037+'Business Case'!$B$8*('Business Case'!G11*$C1037*'Business Case'!G12*$B1037)</f>
        <v>1113626221.85723</v>
      </c>
      <c r="N1037" s="53" t="n">
        <f aca="false">IF(COUNT('Business Case'!B11:G11)=0,"",H1037+NPV(G1037,I1037:M1037))</f>
        <v>123672809.921525</v>
      </c>
      <c r="P1037" s="54" t="n">
        <f aca="true">RAND()</f>
        <v>0.499463202519621</v>
      </c>
      <c r="Q1037" s="54" t="n">
        <f aca="true">RAND()</f>
        <v>0.98025218139418</v>
      </c>
      <c r="R1037" s="54" t="n">
        <f aca="true">RAND()</f>
        <v>0.314381046688445</v>
      </c>
      <c r="S1037" s="54" t="n">
        <f aca="true">RAND()</f>
        <v>0.687698020709763</v>
      </c>
      <c r="T1037" s="54" t="n">
        <f aca="true">RAND()</f>
        <v>0.427123724588985</v>
      </c>
      <c r="U1037" s="54" t="n">
        <f aca="true">RAND()</f>
        <v>0.481789924263369</v>
      </c>
    </row>
    <row r="1038" customFormat="false" ht="15" hidden="false" customHeight="false" outlineLevel="0" collapsed="false">
      <c r="A1038" s="50" t="n">
        <v>958</v>
      </c>
      <c r="B1038" s="51" t="n">
        <f aca="false">1+IF($G$6=$E$6,$F$6,IF(P1038&lt;($F$6-$E$6)/($G$6-$E$6),$E$6+SQRT(P1038*($G$6-$E$6)*($F$6-$E$6)),$G$6-SQRT((1-P1038)*($G$6-$E$6)*($G$6-$F$6))))</f>
        <v>1.00030944060554</v>
      </c>
      <c r="C1038" s="51" t="n">
        <f aca="false">1+IF($G$7=$E$7,$F$7,IF(Q1038&lt;($F$7-$E$7)/($G$7-$E$7),$E$7+SQRT(Q1038*($G$7-$E$7)*($F$7-$E$7)),$G$7-SQRT((1-Q1038)*($G$7-$E$7)*($G$7-$F$7))))</f>
        <v>1.0182781328679</v>
      </c>
      <c r="D1038" s="51" t="n">
        <f aca="false">1+IF($G$8=$E$8,$F$8,IF(R1038&lt;($F$8-$E$8)/($G$8-$E$8),$E$8+SQRT(R1038*($G$8-$E$8)*($F$8-$E$8)),$G$8-SQRT((1-R1038)*($G$8-$E$8)*($G$8-$F$8))))</f>
        <v>1.02669997563811</v>
      </c>
      <c r="E1038" s="51" t="n">
        <f aca="false">1+IF($G$9=$E$9,$F$9,IF(S1038&lt;($F$9-$E$9)/($G$9-$E$9),$E$9+SQRT(S1038*($G$9-$E$9)*($F$9-$E$9)),$G$9-SQRT((1-S1038)*($G$9-$E$9)*($G$9-$F$9))))</f>
        <v>0.988037694954396</v>
      </c>
      <c r="F1038" s="51" t="n">
        <f aca="false">1+IF($G$10=$E$10,$F$10,IF(T1038&lt;($F$10-$E$10)/($G$10-$E$10),$E$10+SQRT(T1038*($G$10-$E$10)*($F$10-$E$10)),$G$10-SQRT((1-T1038)*($G$10-$E$10)*($G$10-$F$10))))</f>
        <v>1.09662301350613</v>
      </c>
      <c r="G1038" s="52" t="n">
        <f aca="false">IF($G$11=$E$11,$F$11,IF(U1038&lt;($F$11-$E$11)/($G$11-$E$11),$E$11+SQRT(U1038*($G$11-$E$11)*($F$11-$E$11)),$G$11-SQRT((1-U1038)*($G$11-$E$11)*($G$11-$F$11))))</f>
        <v>0.108666946066573</v>
      </c>
      <c r="H1038" s="53" t="n">
        <f aca="false">(('Business Case'!B11*$C1038*'Business Case'!B12*$B1038)-'Business Case'!B11*$C1038*'Business Case'!B13*$D1038-'Business Case'!B14*$E1038)-MAX(0,(('Business Case'!B11*$C1038*'Business Case'!B12*$B1038)-'Business Case'!B11*$C1038*'Business Case'!B13*$D1038-'Business Case'!B14*$E1038))*'Business Case'!$B$7-'Business Case'!$B$8*('Business Case'!B11*$C1038*'Business Case'!B12*$B1038)-'Business Case'!B15*$F1038</f>
        <v>-2193246027.01226</v>
      </c>
      <c r="I1038" s="53" t="n">
        <f aca="false">(('Business Case'!C11*$C1038*'Business Case'!C12*$B1038)-'Business Case'!C11*$C1038*'Business Case'!C13*$D1038-'Business Case'!C14*$E1038)-MAX(0,(('Business Case'!C11*$C1038*'Business Case'!C12*$B1038)-'Business Case'!C11*$C1038*'Business Case'!C13*$D1038-'Business Case'!C14*$E1038))*'Business Case'!$B$7-'Business Case'!$B$8*(('Business Case'!C11*$C1038*'Business Case'!C12*$B1038)-('Business Case'!B11*$C1038*'Business Case'!B12*$B1038))-'Business Case'!C15*$F1038</f>
        <v>-3858964.36435582</v>
      </c>
      <c r="J1038" s="53" t="n">
        <f aca="false">(('Business Case'!D11*$C1038*'Business Case'!D12*$B1038)-'Business Case'!D11*$C1038*'Business Case'!D13*$D1038-'Business Case'!D14*$E1038)-MAX(0,(('Business Case'!D11*$C1038*'Business Case'!D12*$B1038)-'Business Case'!D11*$C1038*'Business Case'!D13*$D1038-'Business Case'!D14*$E1038))*'Business Case'!$B$7-'Business Case'!$B$8*(('Business Case'!D11*$C1038*'Business Case'!D12*$B1038)-('Business Case'!C11*$C1038*'Business Case'!C12*$B1038))-'Business Case'!D15*$F1038</f>
        <v>295247205.860138</v>
      </c>
      <c r="K1038" s="53" t="n">
        <f aca="false">(('Business Case'!E11*$C1038*'Business Case'!E12*$B1038)-'Business Case'!E11*$C1038*'Business Case'!E13*$D1038-'Business Case'!E14*$E1038)-MAX(0,(('Business Case'!E11*$C1038*'Business Case'!E12*$B1038)-'Business Case'!E11*$C1038*'Business Case'!E13*$D1038-'Business Case'!E14*$E1038))*'Business Case'!$B$7-'Business Case'!$B$8*(('Business Case'!E11*$C1038*'Business Case'!E12*$B1038)-('Business Case'!D11*$C1038*'Business Case'!D12*$B1038))-'Business Case'!E15*$F1038</f>
        <v>649184526.759939</v>
      </c>
      <c r="L1038" s="53" t="n">
        <f aca="false">(('Business Case'!F11*$C1038*'Business Case'!F12*$B1038)-'Business Case'!F11*$C1038*'Business Case'!F13*$D1038-'Business Case'!F14*$E1038)-MAX(0,(('Business Case'!F11*$C1038*'Business Case'!F12*$B1038)-'Business Case'!F11*$C1038*'Business Case'!F13*$D1038-'Business Case'!F14*$E1038))*'Business Case'!$B$7-'Business Case'!$B$8*(('Business Case'!F11*$C1038*'Business Case'!F12*$B1038)-('Business Case'!E11*$C1038*'Business Case'!E12*$B1038))-'Business Case'!F15*$F1038</f>
        <v>784089165.511917</v>
      </c>
      <c r="M1038" s="53" t="n">
        <f aca="false">(('Business Case'!G11*$C1038*'Business Case'!G12*$B1038)-'Business Case'!G11*$C1038*'Business Case'!G13*$D1038-'Business Case'!G14*$E1038)-MAX(0,(('Business Case'!G11*$C1038*'Business Case'!G12*$B1038)-'Business Case'!G11*$C1038*'Business Case'!G13*$D1038-'Business Case'!G14*$E1038))*'Business Case'!$B$7-'Business Case'!$B$8*(('Business Case'!G11*$C1038*'Business Case'!G12*$B1038)-('Business Case'!F11*$C1038*'Business Case'!F12*$B1038))-'Business Case'!G15*$F1038+'Business Case'!$B$8*('Business Case'!G11*$C1038*'Business Case'!G12*$B1038)</f>
        <v>977703366.569563</v>
      </c>
      <c r="N1038" s="53" t="n">
        <f aca="false">IF(COUNT('Business Case'!B11:G11)=0,"",H1038+NPV(G1038,I1038:M1038))</f>
        <v>-377419965.024692</v>
      </c>
      <c r="P1038" s="54" t="n">
        <f aca="true">RAND()</f>
        <v>0.671804061448899</v>
      </c>
      <c r="Q1038" s="54" t="n">
        <f aca="true">RAND()</f>
        <v>0.66951142322347</v>
      </c>
      <c r="R1038" s="54" t="n">
        <f aca="true">RAND()</f>
        <v>0.726837250290552</v>
      </c>
      <c r="S1038" s="54" t="n">
        <f aca="true">RAND()</f>
        <v>0.192915498325826</v>
      </c>
      <c r="T1038" s="54" t="n">
        <f aca="true">RAND()</f>
        <v>0.786263973268927</v>
      </c>
      <c r="U1038" s="54" t="n">
        <f aca="true">RAND()</f>
        <v>0.785936480903393</v>
      </c>
    </row>
    <row r="1039" customFormat="false" ht="15" hidden="false" customHeight="false" outlineLevel="0" collapsed="false">
      <c r="A1039" s="50" t="n">
        <v>959</v>
      </c>
      <c r="B1039" s="51" t="n">
        <f aca="false">1+IF($G$6=$E$6,$F$6,IF(P1039&lt;($F$6-$E$6)/($G$6-$E$6),$E$6+SQRT(P1039*($G$6-$E$6)*($F$6-$E$6)),$G$6-SQRT((1-P1039)*($G$6-$E$6)*($G$6-$F$6))))</f>
        <v>1.0106174828584</v>
      </c>
      <c r="C1039" s="51" t="n">
        <f aca="false">1+IF($G$7=$E$7,$F$7,IF(Q1039&lt;($F$7-$E$7)/($G$7-$E$7),$E$7+SQRT(Q1039*($G$7-$E$7)*($F$7-$E$7)),$G$7-SQRT((1-Q1039)*($G$7-$E$7)*($G$7-$F$7))))</f>
        <v>0.975458535846968</v>
      </c>
      <c r="D1039" s="51" t="n">
        <f aca="false">1+IF($G$8=$E$8,$F$8,IF(R1039&lt;($F$8-$E$8)/($G$8-$E$8),$E$8+SQRT(R1039*($G$8-$E$8)*($F$8-$E$8)),$G$8-SQRT((1-R1039)*($G$8-$E$8)*($G$8-$F$8))))</f>
        <v>1.00352905476193</v>
      </c>
      <c r="E1039" s="51" t="n">
        <f aca="false">1+IF($G$9=$E$9,$F$9,IF(S1039&lt;($F$9-$E$9)/($G$9-$E$9),$E$9+SQRT(S1039*($G$9-$E$9)*($F$9-$E$9)),$G$9-SQRT((1-S1039)*($G$9-$E$9)*($G$9-$F$9))))</f>
        <v>0.975188589032257</v>
      </c>
      <c r="F1039" s="51" t="n">
        <f aca="false">1+IF($G$10=$E$10,$F$10,IF(T1039&lt;($F$10-$E$10)/($G$10-$E$10),$E$10+SQRT(T1039*($G$10-$E$10)*($F$10-$E$10)),$G$10-SQRT((1-T1039)*($G$10-$E$10)*($G$10-$F$10))))</f>
        <v>1.09204612533308</v>
      </c>
      <c r="G1039" s="52" t="n">
        <f aca="false">IF($G$11=$E$11,$F$11,IF(U1039&lt;($F$11-$E$11)/($G$11-$E$11),$E$11+SQRT(U1039*($G$11-$E$11)*($F$11-$E$11)),$G$11-SQRT((1-U1039)*($G$11-$E$11)*($G$11-$F$11))))</f>
        <v>0.101087420718444</v>
      </c>
      <c r="H1039" s="53" t="n">
        <f aca="false">(('Business Case'!B11*$C1039*'Business Case'!B12*$B1039)-'Business Case'!B11*$C1039*'Business Case'!B13*$D1039-'Business Case'!B14*$E1039)-MAX(0,(('Business Case'!B11*$C1039*'Business Case'!B12*$B1039)-'Business Case'!B11*$C1039*'Business Case'!B13*$D1039-'Business Case'!B14*$E1039))*'Business Case'!$B$7-'Business Case'!$B$8*('Business Case'!B11*$C1039*'Business Case'!B12*$B1039)-'Business Case'!B15*$F1039</f>
        <v>-2184092250.66617</v>
      </c>
      <c r="I1039" s="53" t="n">
        <f aca="false">(('Business Case'!C11*$C1039*'Business Case'!C12*$B1039)-'Business Case'!C11*$C1039*'Business Case'!C13*$D1039-'Business Case'!C14*$E1039)-MAX(0,(('Business Case'!C11*$C1039*'Business Case'!C12*$B1039)-'Business Case'!C11*$C1039*'Business Case'!C13*$D1039-'Business Case'!C14*$E1039))*'Business Case'!$B$7-'Business Case'!$B$8*(('Business Case'!C11*$C1039*'Business Case'!C12*$B1039)-('Business Case'!B11*$C1039*'Business Case'!B12*$B1039))-'Business Case'!C15*$F1039</f>
        <v>7353738.61111066</v>
      </c>
      <c r="J1039" s="53" t="n">
        <f aca="false">(('Business Case'!D11*$C1039*'Business Case'!D12*$B1039)-'Business Case'!D11*$C1039*'Business Case'!D13*$D1039-'Business Case'!D14*$E1039)-MAX(0,(('Business Case'!D11*$C1039*'Business Case'!D12*$B1039)-'Business Case'!D11*$C1039*'Business Case'!D13*$D1039-'Business Case'!D14*$E1039))*'Business Case'!$B$7-'Business Case'!$B$8*(('Business Case'!D11*$C1039*'Business Case'!D12*$B1039)-('Business Case'!C11*$C1039*'Business Case'!C12*$B1039))-'Business Case'!D15*$F1039</f>
        <v>313688580.050677</v>
      </c>
      <c r="K1039" s="53" t="n">
        <f aca="false">(('Business Case'!E11*$C1039*'Business Case'!E12*$B1039)-'Business Case'!E11*$C1039*'Business Case'!E13*$D1039-'Business Case'!E14*$E1039)-MAX(0,(('Business Case'!E11*$C1039*'Business Case'!E12*$B1039)-'Business Case'!E11*$C1039*'Business Case'!E13*$D1039-'Business Case'!E14*$E1039))*'Business Case'!$B$7-'Business Case'!$B$8*(('Business Case'!E11*$C1039*'Business Case'!E12*$B1039)-('Business Case'!D11*$C1039*'Business Case'!D12*$B1039))-'Business Case'!E15*$F1039</f>
        <v>674625727.756897</v>
      </c>
      <c r="L1039" s="53" t="n">
        <f aca="false">(('Business Case'!F11*$C1039*'Business Case'!F12*$B1039)-'Business Case'!F11*$C1039*'Business Case'!F13*$D1039-'Business Case'!F14*$E1039)-MAX(0,(('Business Case'!F11*$C1039*'Business Case'!F12*$B1039)-'Business Case'!F11*$C1039*'Business Case'!F13*$D1039-'Business Case'!F14*$E1039))*'Business Case'!$B$7-'Business Case'!$B$8*(('Business Case'!F11*$C1039*'Business Case'!F12*$B1039)-('Business Case'!E11*$C1039*'Business Case'!E12*$B1039))-'Business Case'!F15*$F1039</f>
        <v>810807123.526593</v>
      </c>
      <c r="M1039" s="53" t="n">
        <f aca="false">(('Business Case'!G11*$C1039*'Business Case'!G12*$B1039)-'Business Case'!G11*$C1039*'Business Case'!G13*$D1039-'Business Case'!G14*$E1039)-MAX(0,(('Business Case'!G11*$C1039*'Business Case'!G12*$B1039)-'Business Case'!G11*$C1039*'Business Case'!G13*$D1039-'Business Case'!G14*$E1039))*'Business Case'!$B$7-'Business Case'!$B$8*(('Business Case'!G11*$C1039*'Business Case'!G12*$B1039)-('Business Case'!F11*$C1039*'Business Case'!F12*$B1039))-'Business Case'!G15*$F1039+'Business Case'!$B$8*('Business Case'!G11*$C1039*'Business Case'!G12*$B1039)</f>
        <v>998190924.28738</v>
      </c>
      <c r="N1039" s="53" t="n">
        <f aca="false">IF(COUNT('Business Case'!B11:G11)=0,"",H1039+NPV(G1039,I1039:M1039))</f>
        <v>-244971316.690525</v>
      </c>
      <c r="P1039" s="54" t="n">
        <f aca="true">RAND()</f>
        <v>0.820139101338267</v>
      </c>
      <c r="Q1039" s="54" t="n">
        <f aca="true">RAND()</f>
        <v>0.439795682879454</v>
      </c>
      <c r="R1039" s="54" t="n">
        <f aca="true">RAND()</f>
        <v>0.437711012922773</v>
      </c>
      <c r="S1039" s="54" t="n">
        <f aca="true">RAND()</f>
        <v>0.0845953356581222</v>
      </c>
      <c r="T1039" s="54" t="n">
        <f aca="true">RAND()</f>
        <v>0.766919218887994</v>
      </c>
      <c r="U1039" s="54" t="n">
        <f aca="true">RAND()</f>
        <v>0.403857241531412</v>
      </c>
    </row>
    <row r="1040" customFormat="false" ht="15" hidden="false" customHeight="false" outlineLevel="0" collapsed="false">
      <c r="A1040" s="50" t="n">
        <v>960</v>
      </c>
      <c r="B1040" s="51" t="n">
        <f aca="false">1+IF($G$6=$E$6,$F$6,IF(P1040&lt;($F$6-$E$6)/($G$6-$E$6),$E$6+SQRT(P1040*($G$6-$E$6)*($F$6-$E$6)),$G$6-SQRT((1-P1040)*($G$6-$E$6)*($G$6-$F$6))))</f>
        <v>0.949235946442143</v>
      </c>
      <c r="C1040" s="51" t="n">
        <f aca="false">1+IF($G$7=$E$7,$F$7,IF(Q1040&lt;($F$7-$E$7)/($G$7-$E$7),$E$7+SQRT(Q1040*($G$7-$E$7)*($F$7-$E$7)),$G$7-SQRT((1-Q1040)*($G$7-$E$7)*($G$7-$F$7))))</f>
        <v>0.997104948181104</v>
      </c>
      <c r="D1040" s="51" t="n">
        <f aca="false">1+IF($G$8=$E$8,$F$8,IF(R1040&lt;($F$8-$E$8)/($G$8-$E$8),$E$8+SQRT(R1040*($G$8-$E$8)*($F$8-$E$8)),$G$8-SQRT((1-R1040)*($G$8-$E$8)*($G$8-$F$8))))</f>
        <v>0.997633890402343</v>
      </c>
      <c r="E1040" s="51" t="n">
        <f aca="false">1+IF($G$9=$E$9,$F$9,IF(S1040&lt;($F$9-$E$9)/($G$9-$E$9),$E$9+SQRT(S1040*($G$9-$E$9)*($F$9-$E$9)),$G$9-SQRT((1-S1040)*($G$9-$E$9)*($G$9-$F$9))))</f>
        <v>1.04378890713758</v>
      </c>
      <c r="F1040" s="51" t="n">
        <f aca="false">1+IF($G$10=$E$10,$F$10,IF(T1040&lt;($F$10-$E$10)/($G$10-$E$10),$E$10+SQRT(T1040*($G$10-$E$10)*($F$10-$E$10)),$G$10-SQRT((1-T1040)*($G$10-$E$10)*($G$10-$F$10))))</f>
        <v>1.08297888957558</v>
      </c>
      <c r="G1040" s="52" t="n">
        <f aca="false">IF($G$11=$E$11,$F$11,IF(U1040&lt;($F$11-$E$11)/($G$11-$E$11),$E$11+SQRT(U1040*($G$11-$E$11)*($F$11-$E$11)),$G$11-SQRT((1-U1040)*($G$11-$E$11)*($G$11-$F$11))))</f>
        <v>0.109013598430279</v>
      </c>
      <c r="H1040" s="53" t="n">
        <f aca="false">(('Business Case'!B11*$C1040*'Business Case'!B12*$B1040)-'Business Case'!B11*$C1040*'Business Case'!B13*$D1040-'Business Case'!B14*$E1040)-MAX(0,(('Business Case'!B11*$C1040*'Business Case'!B12*$B1040)-'Business Case'!B11*$C1040*'Business Case'!B13*$D1040-'Business Case'!B14*$E1040))*'Business Case'!$B$7-'Business Case'!$B$8*('Business Case'!B11*$C1040*'Business Case'!B12*$B1040)-'Business Case'!B15*$F1040</f>
        <v>-2165957779.15116</v>
      </c>
      <c r="I1040" s="53" t="n">
        <f aca="false">(('Business Case'!C11*$C1040*'Business Case'!C12*$B1040)-'Business Case'!C11*$C1040*'Business Case'!C13*$D1040-'Business Case'!C14*$E1040)-MAX(0,(('Business Case'!C11*$C1040*'Business Case'!C12*$B1040)-'Business Case'!C11*$C1040*'Business Case'!C13*$D1040-'Business Case'!C14*$E1040))*'Business Case'!$B$7-'Business Case'!$B$8*(('Business Case'!C11*$C1040*'Business Case'!C12*$B1040)-('Business Case'!B11*$C1040*'Business Case'!B12*$B1040))-'Business Case'!C15*$F1040</f>
        <v>-39779111.2760576</v>
      </c>
      <c r="J1040" s="53" t="n">
        <f aca="false">(('Business Case'!D11*$C1040*'Business Case'!D12*$B1040)-'Business Case'!D11*$C1040*'Business Case'!D13*$D1040-'Business Case'!D14*$E1040)-MAX(0,(('Business Case'!D11*$C1040*'Business Case'!D12*$B1040)-'Business Case'!D11*$C1040*'Business Case'!D13*$D1040-'Business Case'!D14*$E1040))*'Business Case'!$B$7-'Business Case'!$B$8*(('Business Case'!D11*$C1040*'Business Case'!D12*$B1040)-('Business Case'!C11*$C1040*'Business Case'!C12*$B1040))-'Business Case'!D15*$F1040</f>
        <v>226232379.620756</v>
      </c>
      <c r="K1040" s="53" t="n">
        <f aca="false">(('Business Case'!E11*$C1040*'Business Case'!E12*$B1040)-'Business Case'!E11*$C1040*'Business Case'!E13*$D1040-'Business Case'!E14*$E1040)-MAX(0,(('Business Case'!E11*$C1040*'Business Case'!E12*$B1040)-'Business Case'!E11*$C1040*'Business Case'!E13*$D1040-'Business Case'!E14*$E1040))*'Business Case'!$B$7-'Business Case'!$B$8*(('Business Case'!E11*$C1040*'Business Case'!E12*$B1040)-('Business Case'!D11*$C1040*'Business Case'!D12*$B1040))-'Business Case'!E15*$F1040</f>
        <v>546392814.996349</v>
      </c>
      <c r="L1040" s="53" t="n">
        <f aca="false">(('Business Case'!F11*$C1040*'Business Case'!F12*$B1040)-'Business Case'!F11*$C1040*'Business Case'!F13*$D1040-'Business Case'!F14*$E1040)-MAX(0,(('Business Case'!F11*$C1040*'Business Case'!F12*$B1040)-'Business Case'!F11*$C1040*'Business Case'!F13*$D1040-'Business Case'!F14*$E1040))*'Business Case'!$B$7-'Business Case'!$B$8*(('Business Case'!F11*$C1040*'Business Case'!F12*$B1040)-('Business Case'!E11*$C1040*'Business Case'!E12*$B1040))-'Business Case'!F15*$F1040</f>
        <v>667773932.37552</v>
      </c>
      <c r="M1040" s="53" t="n">
        <f aca="false">(('Business Case'!G11*$C1040*'Business Case'!G12*$B1040)-'Business Case'!G11*$C1040*'Business Case'!G13*$D1040-'Business Case'!G14*$E1040)-MAX(0,(('Business Case'!G11*$C1040*'Business Case'!G12*$B1040)-'Business Case'!G11*$C1040*'Business Case'!G13*$D1040-'Business Case'!G14*$E1040))*'Business Case'!$B$7-'Business Case'!$B$8*(('Business Case'!G11*$C1040*'Business Case'!G12*$B1040)-('Business Case'!F11*$C1040*'Business Case'!F12*$B1040))-'Business Case'!G15*$F1040+'Business Case'!$B$8*('Business Case'!G11*$C1040*'Business Case'!G12*$B1040)</f>
        <v>847682344.650133</v>
      </c>
      <c r="N1040" s="53" t="n">
        <f aca="false">IF(COUNT('Business Case'!B11:G11)=0,"",H1040+NPV(G1040,I1040:M1040))</f>
        <v>-670550074.007087</v>
      </c>
      <c r="P1040" s="54" t="n">
        <f aca="true">RAND()</f>
        <v>0.0890354754549858</v>
      </c>
      <c r="Q1040" s="54" t="n">
        <f aca="true">RAND()</f>
        <v>0.555005151392509</v>
      </c>
      <c r="R1040" s="54" t="n">
        <f aca="true">RAND()</f>
        <v>0.34907500228652</v>
      </c>
      <c r="S1040" s="54" t="n">
        <f aca="true">RAND()</f>
        <v>0.789354202614179</v>
      </c>
      <c r="T1040" s="54" t="n">
        <f aca="true">RAND()</f>
        <v>0.726121194300715</v>
      </c>
      <c r="U1040" s="54" t="n">
        <f aca="true">RAND()</f>
        <v>0.798831634248043</v>
      </c>
    </row>
    <row r="1041" customFormat="false" ht="15" hidden="false" customHeight="false" outlineLevel="0" collapsed="false">
      <c r="A1041" s="50" t="n">
        <v>961</v>
      </c>
      <c r="B1041" s="51" t="n">
        <f aca="false">1+IF($G$6=$E$6,$F$6,IF(P1041&lt;($F$6-$E$6)/($G$6-$E$6),$E$6+SQRT(P1041*($G$6-$E$6)*($F$6-$E$6)),$G$6-SQRT((1-P1041)*($G$6-$E$6)*($G$6-$F$6))))</f>
        <v>1.03359676843414</v>
      </c>
      <c r="C1041" s="51" t="n">
        <f aca="false">1+IF($G$7=$E$7,$F$7,IF(Q1041&lt;($F$7-$E$7)/($G$7-$E$7),$E$7+SQRT(Q1041*($G$7-$E$7)*($F$7-$E$7)),$G$7-SQRT((1-Q1041)*($G$7-$E$7)*($G$7-$F$7))))</f>
        <v>1.0575023704852</v>
      </c>
      <c r="D1041" s="51" t="n">
        <f aca="false">1+IF($G$8=$E$8,$F$8,IF(R1041&lt;($F$8-$E$8)/($G$8-$E$8),$E$8+SQRT(R1041*($G$8-$E$8)*($F$8-$E$8)),$G$8-SQRT((1-R1041)*($G$8-$E$8)*($G$8-$F$8))))</f>
        <v>0.998833681543505</v>
      </c>
      <c r="E1041" s="51" t="n">
        <f aca="false">1+IF($G$9=$E$9,$F$9,IF(S1041&lt;($F$9-$E$9)/($G$9-$E$9),$E$9+SQRT(S1041*($G$9-$E$9)*($F$9-$E$9)),$G$9-SQRT((1-S1041)*($G$9-$E$9)*($G$9-$F$9))))</f>
        <v>1.05795960166154</v>
      </c>
      <c r="F1041" s="51" t="n">
        <f aca="false">1+IF($G$10=$E$10,$F$10,IF(T1041&lt;($F$10-$E$10)/($G$10-$E$10),$E$10+SQRT(T1041*($G$10-$E$10)*($F$10-$E$10)),$G$10-SQRT((1-T1041)*($G$10-$E$10)*($G$10-$F$10))))</f>
        <v>1.07746503170369</v>
      </c>
      <c r="G1041" s="52" t="n">
        <f aca="false">IF($G$11=$E$11,$F$11,IF(U1041&lt;($F$11-$E$11)/($G$11-$E$11),$E$11+SQRT(U1041*($G$11-$E$11)*($F$11-$E$11)),$G$11-SQRT((1-U1041)*($G$11-$E$11)*($G$11-$F$11))))</f>
        <v>0.100289310223557</v>
      </c>
      <c r="H1041" s="53" t="n">
        <f aca="false">(('Business Case'!B11*$C1041*'Business Case'!B12*$B1041)-'Business Case'!B11*$C1041*'Business Case'!B13*$D1041-'Business Case'!B14*$E1041)-MAX(0,(('Business Case'!B11*$C1041*'Business Case'!B12*$B1041)-'Business Case'!B11*$C1041*'Business Case'!B13*$D1041-'Business Case'!B14*$E1041))*'Business Case'!$B$7-'Business Case'!$B$8*('Business Case'!B11*$C1041*'Business Case'!B12*$B1041)-'Business Case'!B15*$F1041</f>
        <v>-2154930063.40738</v>
      </c>
      <c r="I1041" s="53" t="n">
        <f aca="false">(('Business Case'!C11*$C1041*'Business Case'!C12*$B1041)-'Business Case'!C11*$C1041*'Business Case'!C13*$D1041-'Business Case'!C14*$E1041)-MAX(0,(('Business Case'!C11*$C1041*'Business Case'!C12*$B1041)-'Business Case'!C11*$C1041*'Business Case'!C13*$D1041-'Business Case'!C14*$E1041))*'Business Case'!$B$7-'Business Case'!$B$8*(('Business Case'!C11*$C1041*'Business Case'!C12*$B1041)-('Business Case'!B11*$C1041*'Business Case'!B12*$B1041))-'Business Case'!C15*$F1041</f>
        <v>39694807.4994131</v>
      </c>
      <c r="J1041" s="53" t="n">
        <f aca="false">(('Business Case'!D11*$C1041*'Business Case'!D12*$B1041)-'Business Case'!D11*$C1041*'Business Case'!D13*$D1041-'Business Case'!D14*$E1041)-MAX(0,(('Business Case'!D11*$C1041*'Business Case'!D12*$B1041)-'Business Case'!D11*$C1041*'Business Case'!D13*$D1041-'Business Case'!D14*$E1041))*'Business Case'!$B$7-'Business Case'!$B$8*(('Business Case'!D11*$C1041*'Business Case'!D12*$B1041)-('Business Case'!C11*$C1041*'Business Case'!C12*$B1041))-'Business Case'!D15*$F1041</f>
        <v>394240702.262964</v>
      </c>
      <c r="K1041" s="53" t="n">
        <f aca="false">(('Business Case'!E11*$C1041*'Business Case'!E12*$B1041)-'Business Case'!E11*$C1041*'Business Case'!E13*$D1041-'Business Case'!E14*$E1041)-MAX(0,(('Business Case'!E11*$C1041*'Business Case'!E12*$B1041)-'Business Case'!E11*$C1041*'Business Case'!E13*$D1041-'Business Case'!E14*$E1041))*'Business Case'!$B$7-'Business Case'!$B$8*(('Business Case'!E11*$C1041*'Business Case'!E12*$B1041)-('Business Case'!D11*$C1041*'Business Case'!D12*$B1041))-'Business Case'!E15*$F1041</f>
        <v>802659848.6117</v>
      </c>
      <c r="L1041" s="53" t="n">
        <f aca="false">(('Business Case'!F11*$C1041*'Business Case'!F12*$B1041)-'Business Case'!F11*$C1041*'Business Case'!F13*$D1041-'Business Case'!F14*$E1041)-MAX(0,(('Business Case'!F11*$C1041*'Business Case'!F12*$B1041)-'Business Case'!F11*$C1041*'Business Case'!F13*$D1041-'Business Case'!F14*$E1041))*'Business Case'!$B$7-'Business Case'!$B$8*(('Business Case'!F11*$C1041*'Business Case'!F12*$B1041)-('Business Case'!E11*$C1041*'Business Case'!E12*$B1041))-'Business Case'!F15*$F1041</f>
        <v>958616966.024549</v>
      </c>
      <c r="M1041" s="53" t="n">
        <f aca="false">(('Business Case'!G11*$C1041*'Business Case'!G12*$B1041)-'Business Case'!G11*$C1041*'Business Case'!G13*$D1041-'Business Case'!G14*$E1041)-MAX(0,(('Business Case'!G11*$C1041*'Business Case'!G12*$B1041)-'Business Case'!G11*$C1041*'Business Case'!G13*$D1041-'Business Case'!G14*$E1041))*'Business Case'!$B$7-'Business Case'!$B$8*(('Business Case'!G11*$C1041*'Business Case'!G12*$B1041)-('Business Case'!F11*$C1041*'Business Case'!F12*$B1041))-'Business Case'!G15*$F1041+'Business Case'!$B$8*('Business Case'!G11*$C1041*'Business Case'!G12*$B1041)</f>
        <v>1166380304.72871</v>
      </c>
      <c r="N1041" s="53" t="n">
        <f aca="false">IF(COUNT('Business Case'!B11:G11)=0,"",H1041+NPV(G1041,I1041:M1041))</f>
        <v>186707406.728347</v>
      </c>
      <c r="P1041" s="54" t="n">
        <f aca="true">RAND()</f>
        <v>0.991458046982076</v>
      </c>
      <c r="Q1041" s="54" t="n">
        <f aca="true">RAND()</f>
        <v>0.837032162555084</v>
      </c>
      <c r="R1041" s="54" t="n">
        <f aca="true">RAND()</f>
        <v>0.366881300475766</v>
      </c>
      <c r="S1041" s="54" t="n">
        <f aca="true">RAND()</f>
        <v>0.882173660502933</v>
      </c>
      <c r="T1041" s="54" t="n">
        <f aca="true">RAND()</f>
        <v>0.699703630892435</v>
      </c>
      <c r="U1041" s="54" t="n">
        <f aca="true">RAND()</f>
        <v>0.352481180894679</v>
      </c>
    </row>
    <row r="1042" customFormat="false" ht="15" hidden="false" customHeight="false" outlineLevel="0" collapsed="false">
      <c r="A1042" s="50" t="n">
        <v>962</v>
      </c>
      <c r="B1042" s="51" t="n">
        <f aca="false">1+IF($G$6=$E$6,$F$6,IF(P1042&lt;($F$6-$E$6)/($G$6-$E$6),$E$6+SQRT(P1042*($G$6-$E$6)*($F$6-$E$6)),$G$6-SQRT((1-P1042)*($G$6-$E$6)*($G$6-$F$6))))</f>
        <v>0.974258171867261</v>
      </c>
      <c r="C1042" s="51" t="n">
        <f aca="false">1+IF($G$7=$E$7,$F$7,IF(Q1042&lt;($F$7-$E$7)/($G$7-$E$7),$E$7+SQRT(Q1042*($G$7-$E$7)*($F$7-$E$7)),$G$7-SQRT((1-Q1042)*($G$7-$E$7)*($G$7-$F$7))))</f>
        <v>0.987789948058783</v>
      </c>
      <c r="D1042" s="51" t="n">
        <f aca="false">1+IF($G$8=$E$8,$F$8,IF(R1042&lt;($F$8-$E$8)/($G$8-$E$8),$E$8+SQRT(R1042*($G$8-$E$8)*($F$8-$E$8)),$G$8-SQRT((1-R1042)*($G$8-$E$8)*($G$8-$F$8))))</f>
        <v>0.986074864685808</v>
      </c>
      <c r="E1042" s="51" t="n">
        <f aca="false">1+IF($G$9=$E$9,$F$9,IF(S1042&lt;($F$9-$E$9)/($G$9-$E$9),$E$9+SQRT(S1042*($G$9-$E$9)*($F$9-$E$9)),$G$9-SQRT((1-S1042)*($G$9-$E$9)*($G$9-$F$9))))</f>
        <v>0.981464001493074</v>
      </c>
      <c r="F1042" s="51" t="n">
        <f aca="false">1+IF($G$10=$E$10,$F$10,IF(T1042&lt;($F$10-$E$10)/($G$10-$E$10),$E$10+SQRT(T1042*($G$10-$E$10)*($F$10-$E$10)),$G$10-SQRT((1-T1042)*($G$10-$E$10)*($G$10-$F$10))))</f>
        <v>1.08660643602006</v>
      </c>
      <c r="G1042" s="52" t="n">
        <f aca="false">IF($G$11=$E$11,$F$11,IF(U1042&lt;($F$11-$E$11)/($G$11-$E$11),$E$11+SQRT(U1042*($G$11-$E$11)*($F$11-$E$11)),$G$11-SQRT((1-U1042)*($G$11-$E$11)*($G$11-$F$11))))</f>
        <v>0.108054778480766</v>
      </c>
      <c r="H1042" s="53" t="n">
        <f aca="false">(('Business Case'!B11*$C1042*'Business Case'!B12*$B1042)-'Business Case'!B11*$C1042*'Business Case'!B13*$D1042-'Business Case'!B14*$E1042)-MAX(0,(('Business Case'!B11*$C1042*'Business Case'!B12*$B1042)-'Business Case'!B11*$C1042*'Business Case'!B13*$D1042-'Business Case'!B14*$E1042))*'Business Case'!$B$7-'Business Case'!$B$8*('Business Case'!B11*$C1042*'Business Case'!B12*$B1042)-'Business Case'!B15*$F1042</f>
        <v>-2173212872.04013</v>
      </c>
      <c r="I1042" s="53" t="n">
        <f aca="false">(('Business Case'!C11*$C1042*'Business Case'!C12*$B1042)-'Business Case'!C11*$C1042*'Business Case'!C13*$D1042-'Business Case'!C14*$E1042)-MAX(0,(('Business Case'!C11*$C1042*'Business Case'!C12*$B1042)-'Business Case'!C11*$C1042*'Business Case'!C13*$D1042-'Business Case'!C14*$E1042))*'Business Case'!$B$7-'Business Case'!$B$8*(('Business Case'!C11*$C1042*'Business Case'!C12*$B1042)-('Business Case'!B11*$C1042*'Business Case'!B12*$B1042))-'Business Case'!C15*$F1042</f>
        <v>-8497488.46992767</v>
      </c>
      <c r="J1042" s="53" t="n">
        <f aca="false">(('Business Case'!D11*$C1042*'Business Case'!D12*$B1042)-'Business Case'!D11*$C1042*'Business Case'!D13*$D1042-'Business Case'!D14*$E1042)-MAX(0,(('Business Case'!D11*$C1042*'Business Case'!D12*$B1042)-'Business Case'!D11*$C1042*'Business Case'!D13*$D1042-'Business Case'!D14*$E1042))*'Business Case'!$B$7-'Business Case'!$B$8*(('Business Case'!D11*$C1042*'Business Case'!D12*$B1042)-('Business Case'!C11*$C1042*'Business Case'!C12*$B1042))-'Business Case'!D15*$F1042</f>
        <v>281118715.993028</v>
      </c>
      <c r="K1042" s="53" t="n">
        <f aca="false">(('Business Case'!E11*$C1042*'Business Case'!E12*$B1042)-'Business Case'!E11*$C1042*'Business Case'!E13*$D1042-'Business Case'!E14*$E1042)-MAX(0,(('Business Case'!E11*$C1042*'Business Case'!E12*$B1042)-'Business Case'!E11*$C1042*'Business Case'!E13*$D1042-'Business Case'!E14*$E1042))*'Business Case'!$B$7-'Business Case'!$B$8*(('Business Case'!E11*$C1042*'Business Case'!E12*$B1042)-('Business Case'!D11*$C1042*'Business Case'!D12*$B1042))-'Business Case'!E15*$F1042</f>
        <v>625065242.256987</v>
      </c>
      <c r="L1042" s="53" t="n">
        <f aca="false">(('Business Case'!F11*$C1042*'Business Case'!F12*$B1042)-'Business Case'!F11*$C1042*'Business Case'!F13*$D1042-'Business Case'!F14*$E1042)-MAX(0,(('Business Case'!F11*$C1042*'Business Case'!F12*$B1042)-'Business Case'!F11*$C1042*'Business Case'!F13*$D1042-'Business Case'!F14*$E1042))*'Business Case'!$B$7-'Business Case'!$B$8*(('Business Case'!F11*$C1042*'Business Case'!F12*$B1042)-('Business Case'!E11*$C1042*'Business Case'!E12*$B1042))-'Business Case'!F15*$F1042</f>
        <v>754863222.623681</v>
      </c>
      <c r="M1042" s="53" t="n">
        <f aca="false">(('Business Case'!G11*$C1042*'Business Case'!G12*$B1042)-'Business Case'!G11*$C1042*'Business Case'!G13*$D1042-'Business Case'!G14*$E1042)-MAX(0,(('Business Case'!G11*$C1042*'Business Case'!G12*$B1042)-'Business Case'!G11*$C1042*'Business Case'!G13*$D1042-'Business Case'!G14*$E1042))*'Business Case'!$B$7-'Business Case'!$B$8*(('Business Case'!G11*$C1042*'Business Case'!G12*$B1042)-('Business Case'!F11*$C1042*'Business Case'!F12*$B1042))-'Business Case'!G15*$F1042+'Business Case'!$B$8*('Business Case'!G11*$C1042*'Business Case'!G12*$B1042)</f>
        <v>937789073.125075</v>
      </c>
      <c r="N1042" s="53" t="n">
        <f aca="false">IF(COUNT('Business Case'!B11:G11)=0,"",H1042+NPV(G1042,I1042:M1042))</f>
        <v>-430276915.63113</v>
      </c>
      <c r="P1042" s="54" t="n">
        <f aca="true">RAND()</f>
        <v>0.306661376497632</v>
      </c>
      <c r="Q1042" s="54" t="n">
        <f aca="true">RAND()</f>
        <v>0.503786637027434</v>
      </c>
      <c r="R1042" s="54" t="n">
        <f aca="true">RAND()</f>
        <v>0.200214748015287</v>
      </c>
      <c r="S1042" s="54" t="n">
        <f aca="true">RAND()</f>
        <v>0.131997785327488</v>
      </c>
      <c r="T1042" s="54" t="n">
        <f aca="true">RAND()</f>
        <v>0.742837992958556</v>
      </c>
      <c r="U1042" s="54" t="n">
        <f aca="true">RAND()</f>
        <v>0.762186138094062</v>
      </c>
    </row>
    <row r="1043" customFormat="false" ht="15" hidden="false" customHeight="false" outlineLevel="0" collapsed="false">
      <c r="A1043" s="50" t="n">
        <v>963</v>
      </c>
      <c r="B1043" s="51" t="n">
        <f aca="false">1+IF($G$6=$E$6,$F$6,IF(P1043&lt;($F$6-$E$6)/($G$6-$E$6),$E$6+SQRT(P1043*($G$6-$E$6)*($F$6-$E$6)),$G$6-SQRT((1-P1043)*($G$6-$E$6)*($G$6-$F$6))))</f>
        <v>0.950052390876507</v>
      </c>
      <c r="C1043" s="51" t="n">
        <f aca="false">1+IF($G$7=$E$7,$F$7,IF(Q1043&lt;($F$7-$E$7)/($G$7-$E$7),$E$7+SQRT(Q1043*($G$7-$E$7)*($F$7-$E$7)),$G$7-SQRT((1-Q1043)*($G$7-$E$7)*($G$7-$F$7))))</f>
        <v>1.02716953563815</v>
      </c>
      <c r="D1043" s="51" t="n">
        <f aca="false">1+IF($G$8=$E$8,$F$8,IF(R1043&lt;($F$8-$E$8)/($G$8-$E$8),$E$8+SQRT(R1043*($G$8-$E$8)*($F$8-$E$8)),$G$8-SQRT((1-R1043)*($G$8-$E$8)*($G$8-$F$8))))</f>
        <v>1.00135799089516</v>
      </c>
      <c r="E1043" s="51" t="n">
        <f aca="false">1+IF($G$9=$E$9,$F$9,IF(S1043&lt;($F$9-$E$9)/($G$9-$E$9),$E$9+SQRT(S1043*($G$9-$E$9)*($F$9-$E$9)),$G$9-SQRT((1-S1043)*($G$9-$E$9)*($G$9-$F$9))))</f>
        <v>1.04260226866848</v>
      </c>
      <c r="F1043" s="51" t="n">
        <f aca="false">1+IF($G$10=$E$10,$F$10,IF(T1043&lt;($F$10-$E$10)/($G$10-$E$10),$E$10+SQRT(T1043*($G$10-$E$10)*($F$10-$E$10)),$G$10-SQRT((1-T1043)*($G$10-$E$10)*($G$10-$F$10))))</f>
        <v>1.05572163659037</v>
      </c>
      <c r="G1043" s="52" t="n">
        <f aca="false">IF($G$11=$E$11,$F$11,IF(U1043&lt;($F$11-$E$11)/($G$11-$E$11),$E$11+SQRT(U1043*($G$11-$E$11)*($F$11-$E$11)),$G$11-SQRT((1-U1043)*($G$11-$E$11)*($G$11-$F$11))))</f>
        <v>0.102988553237774</v>
      </c>
      <c r="H1043" s="53" t="n">
        <f aca="false">(('Business Case'!B11*$C1043*'Business Case'!B12*$B1043)-'Business Case'!B11*$C1043*'Business Case'!B13*$D1043-'Business Case'!B14*$E1043)-MAX(0,(('Business Case'!B11*$C1043*'Business Case'!B12*$B1043)-'Business Case'!B11*$C1043*'Business Case'!B13*$D1043-'Business Case'!B14*$E1043))*'Business Case'!$B$7-'Business Case'!$B$8*('Business Case'!B11*$C1043*'Business Case'!B12*$B1043)-'Business Case'!B15*$F1043</f>
        <v>-2111443273.18073</v>
      </c>
      <c r="I1043" s="53" t="n">
        <f aca="false">(('Business Case'!C11*$C1043*'Business Case'!C12*$B1043)-'Business Case'!C11*$C1043*'Business Case'!C13*$D1043-'Business Case'!C14*$E1043)-MAX(0,(('Business Case'!C11*$C1043*'Business Case'!C12*$B1043)-'Business Case'!C11*$C1043*'Business Case'!C13*$D1043-'Business Case'!C14*$E1043))*'Business Case'!$B$7-'Business Case'!$B$8*(('Business Case'!C11*$C1043*'Business Case'!C12*$B1043)-('Business Case'!B11*$C1043*'Business Case'!B12*$B1043))-'Business Case'!C15*$F1043</f>
        <v>-31658147.0669015</v>
      </c>
      <c r="J1043" s="53" t="n">
        <f aca="false">(('Business Case'!D11*$C1043*'Business Case'!D12*$B1043)-'Business Case'!D11*$C1043*'Business Case'!D13*$D1043-'Business Case'!D14*$E1043)-MAX(0,(('Business Case'!D11*$C1043*'Business Case'!D12*$B1043)-'Business Case'!D11*$C1043*'Business Case'!D13*$D1043-'Business Case'!D14*$E1043))*'Business Case'!$B$7-'Business Case'!$B$8*(('Business Case'!D11*$C1043*'Business Case'!D12*$B1043)-('Business Case'!C11*$C1043*'Business Case'!C12*$B1043))-'Business Case'!D15*$F1043</f>
        <v>241102747.154948</v>
      </c>
      <c r="K1043" s="53" t="n">
        <f aca="false">(('Business Case'!E11*$C1043*'Business Case'!E12*$B1043)-'Business Case'!E11*$C1043*'Business Case'!E13*$D1043-'Business Case'!E14*$E1043)-MAX(0,(('Business Case'!E11*$C1043*'Business Case'!E12*$B1043)-'Business Case'!E11*$C1043*'Business Case'!E13*$D1043-'Business Case'!E14*$E1043))*'Business Case'!$B$7-'Business Case'!$B$8*(('Business Case'!E11*$C1043*'Business Case'!E12*$B1043)-('Business Case'!D11*$C1043*'Business Case'!D12*$B1043))-'Business Case'!E15*$F1043</f>
        <v>566649723.206316</v>
      </c>
      <c r="L1043" s="53" t="n">
        <f aca="false">(('Business Case'!F11*$C1043*'Business Case'!F12*$B1043)-'Business Case'!F11*$C1043*'Business Case'!F13*$D1043-'Business Case'!F14*$E1043)-MAX(0,(('Business Case'!F11*$C1043*'Business Case'!F12*$B1043)-'Business Case'!F11*$C1043*'Business Case'!F13*$D1043-'Business Case'!F14*$E1043))*'Business Case'!$B$7-'Business Case'!$B$8*(('Business Case'!F11*$C1043*'Business Case'!F12*$B1043)-('Business Case'!E11*$C1043*'Business Case'!E12*$B1043))-'Business Case'!F15*$F1043</f>
        <v>691295911.29697</v>
      </c>
      <c r="M1043" s="53" t="n">
        <f aca="false">(('Business Case'!G11*$C1043*'Business Case'!G12*$B1043)-'Business Case'!G11*$C1043*'Business Case'!G13*$D1043-'Business Case'!G14*$E1043)-MAX(0,(('Business Case'!G11*$C1043*'Business Case'!G12*$B1043)-'Business Case'!G11*$C1043*'Business Case'!G13*$D1043-'Business Case'!G14*$E1043))*'Business Case'!$B$7-'Business Case'!$B$8*(('Business Case'!G11*$C1043*'Business Case'!G12*$B1043)-('Business Case'!F11*$C1043*'Business Case'!F12*$B1043))-'Business Case'!G15*$F1043+'Business Case'!$B$8*('Business Case'!G11*$C1043*'Business Case'!G12*$B1043)</f>
        <v>876788306.388844</v>
      </c>
      <c r="N1043" s="53" t="n">
        <f aca="false">IF(COUNT('Business Case'!B11:G11)=0,"",H1043+NPV(G1043,I1043:M1043))</f>
        <v>-515535399.576868</v>
      </c>
      <c r="P1043" s="54" t="n">
        <f aca="true">RAND()</f>
        <v>0.0940777288952457</v>
      </c>
      <c r="Q1043" s="54" t="n">
        <f aca="true">RAND()</f>
        <v>0.712622419517167</v>
      </c>
      <c r="R1043" s="54" t="n">
        <f aca="true">RAND()</f>
        <v>0.405330231149434</v>
      </c>
      <c r="S1043" s="54" t="n">
        <f aca="true">RAND()</f>
        <v>0.78036669586631</v>
      </c>
      <c r="T1043" s="54" t="n">
        <f aca="true">RAND()</f>
        <v>0.583675077036747</v>
      </c>
      <c r="U1043" s="54" t="n">
        <f aca="true">RAND()</f>
        <v>0.517684465093233</v>
      </c>
    </row>
    <row r="1044" customFormat="false" ht="15" hidden="false" customHeight="false" outlineLevel="0" collapsed="false">
      <c r="A1044" s="50" t="n">
        <v>964</v>
      </c>
      <c r="B1044" s="51" t="n">
        <f aca="false">1+IF($G$6=$E$6,$F$6,IF(P1044&lt;($F$6-$E$6)/($G$6-$E$6),$E$6+SQRT(P1044*($G$6-$E$6)*($F$6-$E$6)),$G$6-SQRT((1-P1044)*($G$6-$E$6)*($G$6-$F$6))))</f>
        <v>0.966470919528048</v>
      </c>
      <c r="C1044" s="51" t="n">
        <f aca="false">1+IF($G$7=$E$7,$F$7,IF(Q1044&lt;($F$7-$E$7)/($G$7-$E$7),$E$7+SQRT(Q1044*($G$7-$E$7)*($F$7-$E$7)),$G$7-SQRT((1-Q1044)*($G$7-$E$7)*($G$7-$F$7))))</f>
        <v>1.07138633092975</v>
      </c>
      <c r="D1044" s="51" t="n">
        <f aca="false">1+IF($G$8=$E$8,$F$8,IF(R1044&lt;($F$8-$E$8)/($G$8-$E$8),$E$8+SQRT(R1044*($G$8-$E$8)*($F$8-$E$8)),$G$8-SQRT((1-R1044)*($G$8-$E$8)*($G$8-$F$8))))</f>
        <v>1.00045894488815</v>
      </c>
      <c r="E1044" s="51" t="n">
        <f aca="false">1+IF($G$9=$E$9,$F$9,IF(S1044&lt;($F$9-$E$9)/($G$9-$E$9),$E$9+SQRT(S1044*($G$9-$E$9)*($F$9-$E$9)),$G$9-SQRT((1-S1044)*($G$9-$E$9)*($G$9-$F$9))))</f>
        <v>1.01655812100154</v>
      </c>
      <c r="F1044" s="51" t="n">
        <f aca="false">1+IF($G$10=$E$10,$F$10,IF(T1044&lt;($F$10-$E$10)/($G$10-$E$10),$E$10+SQRT(T1044*($G$10-$E$10)*($F$10-$E$10)),$G$10-SQRT((1-T1044)*($G$10-$E$10)*($G$10-$F$10))))</f>
        <v>1.01939944405766</v>
      </c>
      <c r="G1044" s="52" t="n">
        <f aca="false">IF($G$11=$E$11,$F$11,IF(U1044&lt;($F$11-$E$11)/($G$11-$E$11),$E$11+SQRT(U1044*($G$11-$E$11)*($F$11-$E$11)),$G$11-SQRT((1-U1044)*($G$11-$E$11)*($G$11-$F$11))))</f>
        <v>0.115560533656532</v>
      </c>
      <c r="H1044" s="53" t="n">
        <f aca="false">(('Business Case'!B11*$C1044*'Business Case'!B12*$B1044)-'Business Case'!B11*$C1044*'Business Case'!B13*$D1044-'Business Case'!B14*$E1044)-MAX(0,(('Business Case'!B11*$C1044*'Business Case'!B12*$B1044)-'Business Case'!B11*$C1044*'Business Case'!B13*$D1044-'Business Case'!B14*$E1044))*'Business Case'!$B$7-'Business Case'!$B$8*('Business Case'!B11*$C1044*'Business Case'!B12*$B1044)-'Business Case'!B15*$F1044</f>
        <v>-2038798888.11533</v>
      </c>
      <c r="I1044" s="53" t="n">
        <f aca="false">(('Business Case'!C11*$C1044*'Business Case'!C12*$B1044)-'Business Case'!C11*$C1044*'Business Case'!C13*$D1044-'Business Case'!C14*$E1044)-MAX(0,(('Business Case'!C11*$C1044*'Business Case'!C12*$B1044)-'Business Case'!C11*$C1044*'Business Case'!C13*$D1044-'Business Case'!C14*$E1044))*'Business Case'!$B$7-'Business Case'!$B$8*(('Business Case'!C11*$C1044*'Business Case'!C12*$B1044)-('Business Case'!B11*$C1044*'Business Case'!B12*$B1044))-'Business Case'!C15*$F1044</f>
        <v>-769404.1777132</v>
      </c>
      <c r="J1044" s="53" t="n">
        <f aca="false">(('Business Case'!D11*$C1044*'Business Case'!D12*$B1044)-'Business Case'!D11*$C1044*'Business Case'!D13*$D1044-'Business Case'!D14*$E1044)-MAX(0,(('Business Case'!D11*$C1044*'Business Case'!D12*$B1044)-'Business Case'!D11*$C1044*'Business Case'!D13*$D1044-'Business Case'!D14*$E1044))*'Business Case'!$B$7-'Business Case'!$B$8*(('Business Case'!D11*$C1044*'Business Case'!D12*$B1044)-('Business Case'!C11*$C1044*'Business Case'!C12*$B1044))-'Business Case'!D15*$F1044</f>
        <v>298634140.745591</v>
      </c>
      <c r="K1044" s="53" t="n">
        <f aca="false">(('Business Case'!E11*$C1044*'Business Case'!E12*$B1044)-'Business Case'!E11*$C1044*'Business Case'!E13*$D1044-'Business Case'!E14*$E1044)-MAX(0,(('Business Case'!E11*$C1044*'Business Case'!E12*$B1044)-'Business Case'!E11*$C1044*'Business Case'!E13*$D1044-'Business Case'!E14*$E1044))*'Business Case'!$B$7-'Business Case'!$B$8*(('Business Case'!E11*$C1044*'Business Case'!E12*$B1044)-('Business Case'!D11*$C1044*'Business Case'!D12*$B1044))-'Business Case'!E15*$F1044</f>
        <v>649007657.871779</v>
      </c>
      <c r="L1044" s="53" t="n">
        <f aca="false">(('Business Case'!F11*$C1044*'Business Case'!F12*$B1044)-'Business Case'!F11*$C1044*'Business Case'!F13*$D1044-'Business Case'!F14*$E1044)-MAX(0,(('Business Case'!F11*$C1044*'Business Case'!F12*$B1044)-'Business Case'!F11*$C1044*'Business Case'!F13*$D1044-'Business Case'!F14*$E1044))*'Business Case'!$B$7-'Business Case'!$B$8*(('Business Case'!F11*$C1044*'Business Case'!F12*$B1044)-('Business Case'!E11*$C1044*'Business Case'!E12*$B1044))-'Business Case'!F15*$F1044</f>
        <v>784594466.105436</v>
      </c>
      <c r="M1044" s="53" t="n">
        <f aca="false">(('Business Case'!G11*$C1044*'Business Case'!G12*$B1044)-'Business Case'!G11*$C1044*'Business Case'!G13*$D1044-'Business Case'!G14*$E1044)-MAX(0,(('Business Case'!G11*$C1044*'Business Case'!G12*$B1044)-'Business Case'!G11*$C1044*'Business Case'!G13*$D1044-'Business Case'!G14*$E1044))*'Business Case'!$B$7-'Business Case'!$B$8*(('Business Case'!G11*$C1044*'Business Case'!G12*$B1044)-('Business Case'!F11*$C1044*'Business Case'!F12*$B1044))-'Business Case'!G15*$F1044+'Business Case'!$B$8*('Business Case'!G11*$C1044*'Business Case'!G12*$B1044)</f>
        <v>981415412.364487</v>
      </c>
      <c r="N1044" s="53" t="n">
        <f aca="false">IF(COUNT('Business Case'!B11:G11)=0,"",H1044+NPV(G1044,I1044:M1044))</f>
        <v>-257373228.039117</v>
      </c>
      <c r="P1044" s="54" t="n">
        <f aca="true">RAND()</f>
        <v>0.224952746018991</v>
      </c>
      <c r="Q1044" s="54" t="n">
        <f aca="true">RAND()</f>
        <v>0.882283638767882</v>
      </c>
      <c r="R1044" s="54" t="n">
        <f aca="true">RAND()</f>
        <v>0.391655822278298</v>
      </c>
      <c r="S1044" s="54" t="n">
        <f aca="true">RAND()</f>
        <v>0.535830188613779</v>
      </c>
      <c r="T1044" s="54" t="n">
        <f aca="true">RAND()</f>
        <v>0.347668783866374</v>
      </c>
      <c r="U1044" s="54" t="n">
        <f aca="true">RAND()</f>
        <v>0.967151897642029</v>
      </c>
    </row>
    <row r="1045" customFormat="false" ht="15" hidden="false" customHeight="false" outlineLevel="0" collapsed="false">
      <c r="A1045" s="50" t="n">
        <v>965</v>
      </c>
      <c r="B1045" s="51" t="n">
        <f aca="false">1+IF($G$6=$E$6,$F$6,IF(P1045&lt;($F$6-$E$6)/($G$6-$E$6),$E$6+SQRT(P1045*($G$6-$E$6)*($F$6-$E$6)),$G$6-SQRT((1-P1045)*($G$6-$E$6)*($G$6-$F$6))))</f>
        <v>1.0079828163192</v>
      </c>
      <c r="C1045" s="51" t="n">
        <f aca="false">1+IF($G$7=$E$7,$F$7,IF(Q1045&lt;($F$7-$E$7)/($G$7-$E$7),$E$7+SQRT(Q1045*($G$7-$E$7)*($F$7-$E$7)),$G$7-SQRT((1-Q1045)*($G$7-$E$7)*($G$7-$F$7))))</f>
        <v>1.08219581603163</v>
      </c>
      <c r="D1045" s="51" t="n">
        <f aca="false">1+IF($G$8=$E$8,$F$8,IF(R1045&lt;($F$8-$E$8)/($G$8-$E$8),$E$8+SQRT(R1045*($G$8-$E$8)*($F$8-$E$8)),$G$8-SQRT((1-R1045)*($G$8-$E$8)*($G$8-$F$8))))</f>
        <v>1.03807634472883</v>
      </c>
      <c r="E1045" s="51" t="n">
        <f aca="false">1+IF($G$9=$E$9,$F$9,IF(S1045&lt;($F$9-$E$9)/($G$9-$E$9),$E$9+SQRT(S1045*($G$9-$E$9)*($F$9-$E$9)),$G$9-SQRT((1-S1045)*($G$9-$E$9)*($G$9-$F$9))))</f>
        <v>0.994806609930487</v>
      </c>
      <c r="F1045" s="51" t="n">
        <f aca="false">1+IF($G$10=$E$10,$F$10,IF(T1045&lt;($F$10-$E$10)/($G$10-$E$10),$E$10+SQRT(T1045*($G$10-$E$10)*($F$10-$E$10)),$G$10-SQRT((1-T1045)*($G$10-$E$10)*($G$10-$F$10))))</f>
        <v>1.06239598819549</v>
      </c>
      <c r="G1045" s="52" t="n">
        <f aca="false">IF($G$11=$E$11,$F$11,IF(U1045&lt;($F$11-$E$11)/($G$11-$E$11),$E$11+SQRT(U1045*($G$11-$E$11)*($F$11-$E$11)),$G$11-SQRT((1-U1045)*($G$11-$E$11)*($G$11-$F$11))))</f>
        <v>0.114532715201411</v>
      </c>
      <c r="H1045" s="53" t="n">
        <f aca="false">(('Business Case'!B11*$C1045*'Business Case'!B12*$B1045)-'Business Case'!B11*$C1045*'Business Case'!B13*$D1045-'Business Case'!B14*$E1045)-MAX(0,(('Business Case'!B11*$C1045*'Business Case'!B12*$B1045)-'Business Case'!B11*$C1045*'Business Case'!B13*$D1045-'Business Case'!B14*$E1045))*'Business Case'!$B$7-'Business Case'!$B$8*('Business Case'!B11*$C1045*'Business Case'!B12*$B1045)-'Business Case'!B15*$F1045</f>
        <v>-2124791976.39098</v>
      </c>
      <c r="I1045" s="53" t="n">
        <f aca="false">(('Business Case'!C11*$C1045*'Business Case'!C12*$B1045)-'Business Case'!C11*$C1045*'Business Case'!C13*$D1045-'Business Case'!C14*$E1045)-MAX(0,(('Business Case'!C11*$C1045*'Business Case'!C12*$B1045)-'Business Case'!C11*$C1045*'Business Case'!C13*$D1045-'Business Case'!C14*$E1045))*'Business Case'!$B$7-'Business Case'!$B$8*(('Business Case'!C11*$C1045*'Business Case'!C12*$B1045)-('Business Case'!B11*$C1045*'Business Case'!B12*$B1045))-'Business Case'!C15*$F1045</f>
        <v>14130367.2606399</v>
      </c>
      <c r="J1045" s="53" t="n">
        <f aca="false">(('Business Case'!D11*$C1045*'Business Case'!D12*$B1045)-'Business Case'!D11*$C1045*'Business Case'!D13*$D1045-'Business Case'!D14*$E1045)-MAX(0,(('Business Case'!D11*$C1045*'Business Case'!D12*$B1045)-'Business Case'!D11*$C1045*'Business Case'!D13*$D1045-'Business Case'!D14*$E1045))*'Business Case'!$B$7-'Business Case'!$B$8*(('Business Case'!D11*$C1045*'Business Case'!D12*$B1045)-('Business Case'!C11*$C1045*'Business Case'!C12*$B1045))-'Business Case'!D15*$F1045</f>
        <v>332510708.602638</v>
      </c>
      <c r="K1045" s="53" t="n">
        <f aca="false">(('Business Case'!E11*$C1045*'Business Case'!E12*$B1045)-'Business Case'!E11*$C1045*'Business Case'!E13*$D1045-'Business Case'!E14*$E1045)-MAX(0,(('Business Case'!E11*$C1045*'Business Case'!E12*$B1045)-'Business Case'!E11*$C1045*'Business Case'!E13*$D1045-'Business Case'!E14*$E1045))*'Business Case'!$B$7-'Business Case'!$B$8*(('Business Case'!E11*$C1045*'Business Case'!E12*$B1045)-('Business Case'!D11*$C1045*'Business Case'!D12*$B1045))-'Business Case'!E15*$F1045</f>
        <v>704010849.354411</v>
      </c>
      <c r="L1045" s="53" t="n">
        <f aca="false">(('Business Case'!F11*$C1045*'Business Case'!F12*$B1045)-'Business Case'!F11*$C1045*'Business Case'!F13*$D1045-'Business Case'!F14*$E1045)-MAX(0,(('Business Case'!F11*$C1045*'Business Case'!F12*$B1045)-'Business Case'!F11*$C1045*'Business Case'!F13*$D1045-'Business Case'!F14*$E1045))*'Business Case'!$B$7-'Business Case'!$B$8*(('Business Case'!F11*$C1045*'Business Case'!F12*$B1045)-('Business Case'!E11*$C1045*'Business Case'!E12*$B1045))-'Business Case'!F15*$F1045</f>
        <v>847836880.02154</v>
      </c>
      <c r="M1045" s="53" t="n">
        <f aca="false">(('Business Case'!G11*$C1045*'Business Case'!G12*$B1045)-'Business Case'!G11*$C1045*'Business Case'!G13*$D1045-'Business Case'!G14*$E1045)-MAX(0,(('Business Case'!G11*$C1045*'Business Case'!G12*$B1045)-'Business Case'!G11*$C1045*'Business Case'!G13*$D1045-'Business Case'!G14*$E1045))*'Business Case'!$B$7-'Business Case'!$B$8*(('Business Case'!G11*$C1045*'Business Case'!G12*$B1045)-('Business Case'!F11*$C1045*'Business Case'!F12*$B1045))-'Business Case'!G15*$F1045+'Business Case'!$B$8*('Business Case'!G11*$C1045*'Business Case'!G12*$B1045)</f>
        <v>1055182756.23042</v>
      </c>
      <c r="N1045" s="53" t="n">
        <f aca="false">IF(COUNT('Business Case'!B11:G11)=0,"",H1045+NPV(G1045,I1045:M1045))</f>
        <v>-172884059.970836</v>
      </c>
      <c r="P1045" s="54" t="n">
        <f aca="true">RAND()</f>
        <v>0.786437489406292</v>
      </c>
      <c r="Q1045" s="54" t="n">
        <f aca="true">RAND()</f>
        <v>0.912430335931121</v>
      </c>
      <c r="R1045" s="54" t="n">
        <f aca="true">RAND()</f>
        <v>0.831000685452354</v>
      </c>
      <c r="S1045" s="54" t="n">
        <f aca="true">RAND()</f>
        <v>0.267684305795039</v>
      </c>
      <c r="T1045" s="54" t="n">
        <f aca="true">RAND()</f>
        <v>0.621302718706097</v>
      </c>
      <c r="U1045" s="54" t="n">
        <f aca="true">RAND()</f>
        <v>0.950181328218533</v>
      </c>
    </row>
    <row r="1046" customFormat="false" ht="15" hidden="false" customHeight="false" outlineLevel="0" collapsed="false">
      <c r="A1046" s="50" t="n">
        <v>966</v>
      </c>
      <c r="B1046" s="51" t="n">
        <f aca="false">1+IF($G$6=$E$6,$F$6,IF(P1046&lt;($F$6-$E$6)/($G$6-$E$6),$E$6+SQRT(P1046*($G$6-$E$6)*($F$6-$E$6)),$G$6-SQRT((1-P1046)*($G$6-$E$6)*($G$6-$F$6))))</f>
        <v>0.966829256527823</v>
      </c>
      <c r="C1046" s="51" t="n">
        <f aca="false">1+IF($G$7=$E$7,$F$7,IF(Q1046&lt;($F$7-$E$7)/($G$7-$E$7),$E$7+SQRT(Q1046*($G$7-$E$7)*($F$7-$E$7)),$G$7-SQRT((1-Q1046)*($G$7-$E$7)*($G$7-$F$7))))</f>
        <v>0.968443384633571</v>
      </c>
      <c r="D1046" s="51" t="n">
        <f aca="false">1+IF($G$8=$E$8,$F$8,IF(R1046&lt;($F$8-$E$8)/($G$8-$E$8),$E$8+SQRT(R1046*($G$8-$E$8)*($F$8-$E$8)),$G$8-SQRT((1-R1046)*($G$8-$E$8)*($G$8-$F$8))))</f>
        <v>0.98260266966966</v>
      </c>
      <c r="E1046" s="51" t="n">
        <f aca="false">1+IF($G$9=$E$9,$F$9,IF(S1046&lt;($F$9-$E$9)/($G$9-$E$9),$E$9+SQRT(S1046*($G$9-$E$9)*($F$9-$E$9)),$G$9-SQRT((1-S1046)*($G$9-$E$9)*($G$9-$F$9))))</f>
        <v>1.06940647206284</v>
      </c>
      <c r="F1046" s="51" t="n">
        <f aca="false">1+IF($G$10=$E$10,$F$10,IF(T1046&lt;($F$10-$E$10)/($G$10-$E$10),$E$10+SQRT(T1046*($G$10-$E$10)*($F$10-$E$10)),$G$10-SQRT((1-T1046)*($G$10-$E$10)*($G$10-$F$10))))</f>
        <v>1.01888701538052</v>
      </c>
      <c r="G1046" s="52" t="n">
        <f aca="false">IF($G$11=$E$11,$F$11,IF(U1046&lt;($F$11-$E$11)/($G$11-$E$11),$E$11+SQRT(U1046*($G$11-$E$11)*($F$11-$E$11)),$G$11-SQRT((1-U1046)*($G$11-$E$11)*($G$11-$F$11))))</f>
        <v>0.106164739198774</v>
      </c>
      <c r="H1046" s="53" t="n">
        <f aca="false">(('Business Case'!B11*$C1046*'Business Case'!B12*$B1046)-'Business Case'!B11*$C1046*'Business Case'!B13*$D1046-'Business Case'!B14*$E1046)-MAX(0,(('Business Case'!B11*$C1046*'Business Case'!B12*$B1046)-'Business Case'!B11*$C1046*'Business Case'!B13*$D1046-'Business Case'!B14*$E1046))*'Business Case'!$B$7-'Business Case'!$B$8*('Business Case'!B11*$C1046*'Business Case'!B12*$B1046)-'Business Case'!B15*$F1046</f>
        <v>-2037774030.76104</v>
      </c>
      <c r="I1046" s="53" t="n">
        <f aca="false">(('Business Case'!C11*$C1046*'Business Case'!C12*$B1046)-'Business Case'!C11*$C1046*'Business Case'!C13*$D1046-'Business Case'!C14*$E1046)-MAX(0,(('Business Case'!C11*$C1046*'Business Case'!C12*$B1046)-'Business Case'!C11*$C1046*'Business Case'!C13*$D1046-'Business Case'!C14*$E1046))*'Business Case'!$B$7-'Business Case'!$B$8*(('Business Case'!C11*$C1046*'Business Case'!C12*$B1046)-('Business Case'!B11*$C1046*'Business Case'!B12*$B1046))-'Business Case'!C15*$F1046</f>
        <v>-22724638.4808048</v>
      </c>
      <c r="J1046" s="53" t="n">
        <f aca="false">(('Business Case'!D11*$C1046*'Business Case'!D12*$B1046)-'Business Case'!D11*$C1046*'Business Case'!D13*$D1046-'Business Case'!D14*$E1046)-MAX(0,(('Business Case'!D11*$C1046*'Business Case'!D12*$B1046)-'Business Case'!D11*$C1046*'Business Case'!D13*$D1046-'Business Case'!D14*$E1046))*'Business Case'!$B$7-'Business Case'!$B$8*(('Business Case'!D11*$C1046*'Business Case'!D12*$B1046)-('Business Case'!C11*$C1046*'Business Case'!C12*$B1046))-'Business Case'!D15*$F1046</f>
        <v>257047822.473008</v>
      </c>
      <c r="K1046" s="53" t="n">
        <f aca="false">(('Business Case'!E11*$C1046*'Business Case'!E12*$B1046)-'Business Case'!E11*$C1046*'Business Case'!E13*$D1046-'Business Case'!E14*$E1046)-MAX(0,(('Business Case'!E11*$C1046*'Business Case'!E12*$B1046)-'Business Case'!E11*$C1046*'Business Case'!E13*$D1046-'Business Case'!E14*$E1046))*'Business Case'!$B$7-'Business Case'!$B$8*(('Business Case'!E11*$C1046*'Business Case'!E12*$B1046)-('Business Case'!D11*$C1046*'Business Case'!D12*$B1046))-'Business Case'!E15*$F1046</f>
        <v>587764634.195846</v>
      </c>
      <c r="L1046" s="53" t="n">
        <f aca="false">(('Business Case'!F11*$C1046*'Business Case'!F12*$B1046)-'Business Case'!F11*$C1046*'Business Case'!F13*$D1046-'Business Case'!F14*$E1046)-MAX(0,(('Business Case'!F11*$C1046*'Business Case'!F12*$B1046)-'Business Case'!F11*$C1046*'Business Case'!F13*$D1046-'Business Case'!F14*$E1046))*'Business Case'!$B$7-'Business Case'!$B$8*(('Business Case'!F11*$C1046*'Business Case'!F12*$B1046)-('Business Case'!E11*$C1046*'Business Case'!E12*$B1046))-'Business Case'!F15*$F1046</f>
        <v>713381319.559936</v>
      </c>
      <c r="M1046" s="53" t="n">
        <f aca="false">(('Business Case'!G11*$C1046*'Business Case'!G12*$B1046)-'Business Case'!G11*$C1046*'Business Case'!G13*$D1046-'Business Case'!G14*$E1046)-MAX(0,(('Business Case'!G11*$C1046*'Business Case'!G12*$B1046)-'Business Case'!G11*$C1046*'Business Case'!G13*$D1046-'Business Case'!G14*$E1046))*'Business Case'!$B$7-'Business Case'!$B$8*(('Business Case'!G11*$C1046*'Business Case'!G12*$B1046)-('Business Case'!F11*$C1046*'Business Case'!F12*$B1046))-'Business Case'!G15*$F1046+'Business Case'!$B$8*('Business Case'!G11*$C1046*'Business Case'!G12*$B1046)</f>
        <v>891356910.647108</v>
      </c>
      <c r="N1046" s="53" t="n">
        <f aca="false">IF(COUNT('Business Case'!B11:G11)=0,"",H1046+NPV(G1046,I1046:M1046))</f>
        <v>-399299879.814225</v>
      </c>
      <c r="P1046" s="54" t="n">
        <f aca="true">RAND()</f>
        <v>0.228435340307152</v>
      </c>
      <c r="Q1046" s="54" t="n">
        <f aca="true">RAND()</f>
        <v>0.40533105466876</v>
      </c>
      <c r="R1046" s="54" t="n">
        <f aca="true">RAND()</f>
        <v>0.163528318398304</v>
      </c>
      <c r="S1046" s="54" t="n">
        <f aca="true">RAND()</f>
        <v>0.937602403223899</v>
      </c>
      <c r="T1046" s="54" t="n">
        <f aca="true">RAND()</f>
        <v>0.343961736044492</v>
      </c>
      <c r="U1046" s="54" t="n">
        <f aca="true">RAND()</f>
        <v>0.680975930936778</v>
      </c>
    </row>
    <row r="1047" customFormat="false" ht="15" hidden="false" customHeight="false" outlineLevel="0" collapsed="false">
      <c r="A1047" s="50" t="n">
        <v>967</v>
      </c>
      <c r="B1047" s="51" t="n">
        <f aca="false">1+IF($G$6=$E$6,$F$6,IF(P1047&lt;($F$6-$E$6)/($G$6-$E$6),$E$6+SQRT(P1047*($G$6-$E$6)*($F$6-$E$6)),$G$6-SQRT((1-P1047)*($G$6-$E$6)*($G$6-$F$6))))</f>
        <v>1.01181920727078</v>
      </c>
      <c r="C1047" s="51" t="n">
        <f aca="false">1+IF($G$7=$E$7,$F$7,IF(Q1047&lt;($F$7-$E$7)/($G$7-$E$7),$E$7+SQRT(Q1047*($G$7-$E$7)*($F$7-$E$7)),$G$7-SQRT((1-Q1047)*($G$7-$E$7)*($G$7-$F$7))))</f>
        <v>1.09709304739772</v>
      </c>
      <c r="D1047" s="51" t="n">
        <f aca="false">1+IF($G$8=$E$8,$F$8,IF(R1047&lt;($F$8-$E$8)/($G$8-$E$8),$E$8+SQRT(R1047*($G$8-$E$8)*($F$8-$E$8)),$G$8-SQRT((1-R1047)*($G$8-$E$8)*($G$8-$F$8))))</f>
        <v>0.995525917038156</v>
      </c>
      <c r="E1047" s="51" t="n">
        <f aca="false">1+IF($G$9=$E$9,$F$9,IF(S1047&lt;($F$9-$E$9)/($G$9-$E$9),$E$9+SQRT(S1047*($G$9-$E$9)*($F$9-$E$9)),$G$9-SQRT((1-S1047)*($G$9-$E$9)*($G$9-$F$9))))</f>
        <v>1.04272147716442</v>
      </c>
      <c r="F1047" s="51" t="n">
        <f aca="false">1+IF($G$10=$E$10,$F$10,IF(T1047&lt;($F$10-$E$10)/($G$10-$E$10),$E$10+SQRT(T1047*($G$10-$E$10)*($F$10-$E$10)),$G$10-SQRT((1-T1047)*($G$10-$E$10)*($G$10-$F$10))))</f>
        <v>1.12001831132761</v>
      </c>
      <c r="G1047" s="52" t="n">
        <f aca="false">IF($G$11=$E$11,$F$11,IF(U1047&lt;($F$11-$E$11)/($G$11-$E$11),$E$11+SQRT(U1047*($G$11-$E$11)*($F$11-$E$11)),$G$11-SQRT((1-U1047)*($G$11-$E$11)*($G$11-$F$11))))</f>
        <v>0.0954686883189965</v>
      </c>
      <c r="H1047" s="53" t="n">
        <f aca="false">(('Business Case'!B11*$C1047*'Business Case'!B12*$B1047)-'Business Case'!B11*$C1047*'Business Case'!B13*$D1047-'Business Case'!B14*$E1047)-MAX(0,(('Business Case'!B11*$C1047*'Business Case'!B12*$B1047)-'Business Case'!B11*$C1047*'Business Case'!B13*$D1047-'Business Case'!B14*$E1047))*'Business Case'!$B$7-'Business Case'!$B$8*('Business Case'!B11*$C1047*'Business Case'!B12*$B1047)-'Business Case'!B15*$F1047</f>
        <v>-2240036622.65521</v>
      </c>
      <c r="I1047" s="53" t="n">
        <f aca="false">(('Business Case'!C11*$C1047*'Business Case'!C12*$B1047)-'Business Case'!C11*$C1047*'Business Case'!C13*$D1047-'Business Case'!C14*$E1047)-MAX(0,(('Business Case'!C11*$C1047*'Business Case'!C12*$B1047)-'Business Case'!C11*$C1047*'Business Case'!C13*$D1047-'Business Case'!C14*$E1047))*'Business Case'!$B$7-'Business Case'!$B$8*(('Business Case'!C11*$C1047*'Business Case'!C12*$B1047)-('Business Case'!B11*$C1047*'Business Case'!B12*$B1047))-'Business Case'!C15*$F1047</f>
        <v>32285467.7066738</v>
      </c>
      <c r="J1047" s="53" t="n">
        <f aca="false">(('Business Case'!D11*$C1047*'Business Case'!D12*$B1047)-'Business Case'!D11*$C1047*'Business Case'!D13*$D1047-'Business Case'!D14*$E1047)-MAX(0,(('Business Case'!D11*$C1047*'Business Case'!D12*$B1047)-'Business Case'!D11*$C1047*'Business Case'!D13*$D1047-'Business Case'!D14*$E1047))*'Business Case'!$B$7-'Business Case'!$B$8*(('Business Case'!D11*$C1047*'Business Case'!D12*$B1047)-('Business Case'!C11*$C1047*'Business Case'!C12*$B1047))-'Business Case'!D15*$F1047</f>
        <v>382393261.539138</v>
      </c>
      <c r="K1047" s="53" t="n">
        <f aca="false">(('Business Case'!E11*$C1047*'Business Case'!E12*$B1047)-'Business Case'!E11*$C1047*'Business Case'!E13*$D1047-'Business Case'!E14*$E1047)-MAX(0,(('Business Case'!E11*$C1047*'Business Case'!E12*$B1047)-'Business Case'!E11*$C1047*'Business Case'!E13*$D1047-'Business Case'!E14*$E1047))*'Business Case'!$B$7-'Business Case'!$B$8*(('Business Case'!E11*$C1047*'Business Case'!E12*$B1047)-('Business Case'!D11*$C1047*'Business Case'!D12*$B1047))-'Business Case'!E15*$F1047</f>
        <v>788501970.937984</v>
      </c>
      <c r="L1047" s="53" t="n">
        <f aca="false">(('Business Case'!F11*$C1047*'Business Case'!F12*$B1047)-'Business Case'!F11*$C1047*'Business Case'!F13*$D1047-'Business Case'!F14*$E1047)-MAX(0,(('Business Case'!F11*$C1047*'Business Case'!F12*$B1047)-'Business Case'!F11*$C1047*'Business Case'!F13*$D1047-'Business Case'!F14*$E1047))*'Business Case'!$B$7-'Business Case'!$B$8*(('Business Case'!F11*$C1047*'Business Case'!F12*$B1047)-('Business Case'!E11*$C1047*'Business Case'!E12*$B1047))-'Business Case'!F15*$F1047</f>
        <v>943568236.175638</v>
      </c>
      <c r="M1047" s="53" t="n">
        <f aca="false">(('Business Case'!G11*$C1047*'Business Case'!G12*$B1047)-'Business Case'!G11*$C1047*'Business Case'!G13*$D1047-'Business Case'!G14*$E1047)-MAX(0,(('Business Case'!G11*$C1047*'Business Case'!G12*$B1047)-'Business Case'!G11*$C1047*'Business Case'!G13*$D1047-'Business Case'!G14*$E1047))*'Business Case'!$B$7-'Business Case'!$B$8*(('Business Case'!G11*$C1047*'Business Case'!G12*$B1047)-('Business Case'!F11*$C1047*'Business Case'!F12*$B1047))-'Business Case'!G15*$F1047+'Business Case'!$B$8*('Business Case'!G11*$C1047*'Business Case'!G12*$B1047)</f>
        <v>1154568406.28988</v>
      </c>
      <c r="N1047" s="53" t="n">
        <f aca="false">IF(COUNT('Business Case'!B11:G11)=0,"",H1047+NPV(G1047,I1047:M1047))</f>
        <v>94923120.914628</v>
      </c>
      <c r="P1047" s="54" t="n">
        <f aca="true">RAND()</f>
        <v>0.83455060857346</v>
      </c>
      <c r="Q1047" s="54" t="n">
        <f aca="true">RAND()</f>
        <v>0.946682940311234</v>
      </c>
      <c r="R1047" s="54" t="n">
        <f aca="true">RAND()</f>
        <v>0.318862941871545</v>
      </c>
      <c r="S1047" s="54" t="n">
        <f aca="true">RAND()</f>
        <v>0.781278054784947</v>
      </c>
      <c r="T1047" s="54" t="n">
        <f aca="true">RAND()</f>
        <v>0.872058589542246</v>
      </c>
      <c r="U1047" s="54" t="n">
        <f aca="true">RAND()</f>
        <v>0.0996885064344295</v>
      </c>
    </row>
    <row r="1048" customFormat="false" ht="15" hidden="false" customHeight="false" outlineLevel="0" collapsed="false">
      <c r="A1048" s="50" t="n">
        <v>968</v>
      </c>
      <c r="B1048" s="51" t="n">
        <f aca="false">1+IF($G$6=$E$6,$F$6,IF(P1048&lt;($F$6-$E$6)/($G$6-$E$6),$E$6+SQRT(P1048*($G$6-$E$6)*($F$6-$E$6)),$G$6-SQRT((1-P1048)*($G$6-$E$6)*($G$6-$F$6))))</f>
        <v>0.981789477220935</v>
      </c>
      <c r="C1048" s="51" t="n">
        <f aca="false">1+IF($G$7=$E$7,$F$7,IF(Q1048&lt;($F$7-$E$7)/($G$7-$E$7),$E$7+SQRT(Q1048*($G$7-$E$7)*($F$7-$E$7)),$G$7-SQRT((1-Q1048)*($G$7-$E$7)*($G$7-$F$7))))</f>
        <v>0.937234456712374</v>
      </c>
      <c r="D1048" s="51" t="n">
        <f aca="false">1+IF($G$8=$E$8,$F$8,IF(R1048&lt;($F$8-$E$8)/($G$8-$E$8),$E$8+SQRT(R1048*($G$8-$E$8)*($F$8-$E$8)),$G$8-SQRT((1-R1048)*($G$8-$E$8)*($G$8-$F$8))))</f>
        <v>1.0059987599116</v>
      </c>
      <c r="E1048" s="51" t="n">
        <f aca="false">1+IF($G$9=$E$9,$F$9,IF(S1048&lt;($F$9-$E$9)/($G$9-$E$9),$E$9+SQRT(S1048*($G$9-$E$9)*($F$9-$E$9)),$G$9-SQRT((1-S1048)*($G$9-$E$9)*($G$9-$F$9))))</f>
        <v>1.04117888653512</v>
      </c>
      <c r="F1048" s="51" t="n">
        <f aca="false">1+IF($G$10=$E$10,$F$10,IF(T1048&lt;($F$10-$E$10)/($G$10-$E$10),$E$10+SQRT(T1048*($G$10-$E$10)*($F$10-$E$10)),$G$10-SQRT((1-T1048)*($G$10-$E$10)*($G$10-$F$10))))</f>
        <v>1.03135361454021</v>
      </c>
      <c r="G1048" s="52" t="n">
        <f aca="false">IF($G$11=$E$11,$F$11,IF(U1048&lt;($F$11-$E$11)/($G$11-$E$11),$E$11+SQRT(U1048*($G$11-$E$11)*($F$11-$E$11)),$G$11-SQRT((1-U1048)*($G$11-$E$11)*($G$11-$F$11))))</f>
        <v>0.101731147231306</v>
      </c>
      <c r="H1048" s="53" t="n">
        <f aca="false">(('Business Case'!B11*$C1048*'Business Case'!B12*$B1048)-'Business Case'!B11*$C1048*'Business Case'!B13*$D1048-'Business Case'!B14*$E1048)-MAX(0,(('Business Case'!B11*$C1048*'Business Case'!B12*$B1048)-'Business Case'!B11*$C1048*'Business Case'!B13*$D1048-'Business Case'!B14*$E1048))*'Business Case'!$B$7-'Business Case'!$B$8*('Business Case'!B11*$C1048*'Business Case'!B12*$B1048)-'Business Case'!B15*$F1048</f>
        <v>-2062707229.08042</v>
      </c>
      <c r="I1048" s="53" t="n">
        <f aca="false">(('Business Case'!C11*$C1048*'Business Case'!C12*$B1048)-'Business Case'!C11*$C1048*'Business Case'!C13*$D1048-'Business Case'!C14*$E1048)-MAX(0,(('Business Case'!C11*$C1048*'Business Case'!C12*$B1048)-'Business Case'!C11*$C1048*'Business Case'!C13*$D1048-'Business Case'!C14*$E1048))*'Business Case'!$B$7-'Business Case'!$B$8*(('Business Case'!C11*$C1048*'Business Case'!C12*$B1048)-('Business Case'!B11*$C1048*'Business Case'!B12*$B1048))-'Business Case'!C15*$F1048</f>
        <v>-27876689.6392833</v>
      </c>
      <c r="J1048" s="53" t="n">
        <f aca="false">(('Business Case'!D11*$C1048*'Business Case'!D12*$B1048)-'Business Case'!D11*$C1048*'Business Case'!D13*$D1048-'Business Case'!D14*$E1048)-MAX(0,(('Business Case'!D11*$C1048*'Business Case'!D12*$B1048)-'Business Case'!D11*$C1048*'Business Case'!D13*$D1048-'Business Case'!D14*$E1048))*'Business Case'!$B$7-'Business Case'!$B$8*(('Business Case'!D11*$C1048*'Business Case'!D12*$B1048)-('Business Case'!C11*$C1048*'Business Case'!C12*$B1048))-'Business Case'!D15*$F1048</f>
        <v>243139073.351415</v>
      </c>
      <c r="K1048" s="53" t="n">
        <f aca="false">(('Business Case'!E11*$C1048*'Business Case'!E12*$B1048)-'Business Case'!E11*$C1048*'Business Case'!E13*$D1048-'Business Case'!E14*$E1048)-MAX(0,(('Business Case'!E11*$C1048*'Business Case'!E12*$B1048)-'Business Case'!E11*$C1048*'Business Case'!E13*$D1048-'Business Case'!E14*$E1048))*'Business Case'!$B$7-'Business Case'!$B$8*(('Business Case'!E11*$C1048*'Business Case'!E12*$B1048)-('Business Case'!D11*$C1048*'Business Case'!D12*$B1048))-'Business Case'!E15*$F1048</f>
        <v>565722517.069124</v>
      </c>
      <c r="L1048" s="53" t="n">
        <f aca="false">(('Business Case'!F11*$C1048*'Business Case'!F12*$B1048)-'Business Case'!F11*$C1048*'Business Case'!F13*$D1048-'Business Case'!F14*$E1048)-MAX(0,(('Business Case'!F11*$C1048*'Business Case'!F12*$B1048)-'Business Case'!F11*$C1048*'Business Case'!F13*$D1048-'Business Case'!F14*$E1048))*'Business Case'!$B$7-'Business Case'!$B$8*(('Business Case'!F11*$C1048*'Business Case'!F12*$B1048)-('Business Case'!E11*$C1048*'Business Case'!E12*$B1048))-'Business Case'!F15*$F1048</f>
        <v>687862073.739801</v>
      </c>
      <c r="M1048" s="53" t="n">
        <f aca="false">(('Business Case'!G11*$C1048*'Business Case'!G12*$B1048)-'Business Case'!G11*$C1048*'Business Case'!G13*$D1048-'Business Case'!G14*$E1048)-MAX(0,(('Business Case'!G11*$C1048*'Business Case'!G12*$B1048)-'Business Case'!G11*$C1048*'Business Case'!G13*$D1048-'Business Case'!G14*$E1048))*'Business Case'!$B$7-'Business Case'!$B$8*(('Business Case'!G11*$C1048*'Business Case'!G12*$B1048)-('Business Case'!F11*$C1048*'Business Case'!F12*$B1048))-'Business Case'!G15*$F1048+'Business Case'!$B$8*('Business Case'!G11*$C1048*'Business Case'!G12*$B1048)</f>
        <v>862767403.278911</v>
      </c>
      <c r="N1048" s="53" t="n">
        <f aca="false">IF(COUNT('Business Case'!B11:G11)=0,"",H1048+NPV(G1048,I1048:M1048))</f>
        <v>-466275995.416711</v>
      </c>
      <c r="P1048" s="54" t="n">
        <f aca="true">RAND()</f>
        <v>0.397702030753796</v>
      </c>
      <c r="Q1048" s="54" t="n">
        <f aca="true">RAND()</f>
        <v>0.269047087273436</v>
      </c>
      <c r="R1048" s="54" t="n">
        <f aca="true">RAND()</f>
        <v>0.473443890901885</v>
      </c>
      <c r="S1048" s="54" t="n">
        <f aca="true">RAND()</f>
        <v>0.769338440716803</v>
      </c>
      <c r="T1048" s="54" t="n">
        <f aca="true">RAND()</f>
        <v>0.431167933426947</v>
      </c>
      <c r="U1048" s="54" t="n">
        <f aca="true">RAND()</f>
        <v>0.443748364192977</v>
      </c>
    </row>
    <row r="1049" customFormat="false" ht="15" hidden="false" customHeight="false" outlineLevel="0" collapsed="false">
      <c r="A1049" s="50" t="n">
        <v>969</v>
      </c>
      <c r="B1049" s="51" t="n">
        <f aca="false">1+IF($G$6=$E$6,$F$6,IF(P1049&lt;($F$6-$E$6)/($G$6-$E$6),$E$6+SQRT(P1049*($G$6-$E$6)*($F$6-$E$6)),$G$6-SQRT((1-P1049)*($G$6-$E$6)*($G$6-$F$6))))</f>
        <v>0.965316993074836</v>
      </c>
      <c r="C1049" s="51" t="n">
        <f aca="false">1+IF($G$7=$E$7,$F$7,IF(Q1049&lt;($F$7-$E$7)/($G$7-$E$7),$E$7+SQRT(Q1049*($G$7-$E$7)*($F$7-$E$7)),$G$7-SQRT((1-Q1049)*($G$7-$E$7)*($G$7-$F$7))))</f>
        <v>1.08440049276115</v>
      </c>
      <c r="D1049" s="51" t="n">
        <f aca="false">1+IF($G$8=$E$8,$F$8,IF(R1049&lt;($F$8-$E$8)/($G$8-$E$8),$E$8+SQRT(R1049*($G$8-$E$8)*($F$8-$E$8)),$G$8-SQRT((1-R1049)*($G$8-$E$8)*($G$8-$F$8))))</f>
        <v>1.01427014981783</v>
      </c>
      <c r="E1049" s="51" t="n">
        <f aca="false">1+IF($G$9=$E$9,$F$9,IF(S1049&lt;($F$9-$E$9)/($G$9-$E$9),$E$9+SQRT(S1049*($G$9-$E$9)*($F$9-$E$9)),$G$9-SQRT((1-S1049)*($G$9-$E$9)*($G$9-$F$9))))</f>
        <v>1.01607269885054</v>
      </c>
      <c r="F1049" s="51" t="n">
        <f aca="false">1+IF($G$10=$E$10,$F$10,IF(T1049&lt;($F$10-$E$10)/($G$10-$E$10),$E$10+SQRT(T1049*($G$10-$E$10)*($F$10-$E$10)),$G$10-SQRT((1-T1049)*($G$10-$E$10)*($G$10-$F$10))))</f>
        <v>0.994897840377585</v>
      </c>
      <c r="G1049" s="52" t="n">
        <f aca="false">IF($G$11=$E$11,$F$11,IF(U1049&lt;($F$11-$E$11)/($G$11-$E$11),$E$11+SQRT(U1049*($G$11-$E$11)*($F$11-$E$11)),$G$11-SQRT((1-U1049)*($G$11-$E$11)*($G$11-$F$11))))</f>
        <v>0.102748742657568</v>
      </c>
      <c r="H1049" s="53" t="n">
        <f aca="false">(('Business Case'!B11*$C1049*'Business Case'!B12*$B1049)-'Business Case'!B11*$C1049*'Business Case'!B13*$D1049-'Business Case'!B14*$E1049)-MAX(0,(('Business Case'!B11*$C1049*'Business Case'!B12*$B1049)-'Business Case'!B11*$C1049*'Business Case'!B13*$D1049-'Business Case'!B14*$E1049))*'Business Case'!$B$7-'Business Case'!$B$8*('Business Case'!B11*$C1049*'Business Case'!B12*$B1049)-'Business Case'!B15*$F1049</f>
        <v>-1989795680.75517</v>
      </c>
      <c r="I1049" s="53" t="n">
        <f aca="false">(('Business Case'!C11*$C1049*'Business Case'!C12*$B1049)-'Business Case'!C11*$C1049*'Business Case'!C13*$D1049-'Business Case'!C14*$E1049)-MAX(0,(('Business Case'!C11*$C1049*'Business Case'!C12*$B1049)-'Business Case'!C11*$C1049*'Business Case'!C13*$D1049-'Business Case'!C14*$E1049))*'Business Case'!$B$7-'Business Case'!$B$8*(('Business Case'!C11*$C1049*'Business Case'!C12*$B1049)-('Business Case'!B11*$C1049*'Business Case'!B12*$B1049))-'Business Case'!C15*$F1049</f>
        <v>-3892401.19817519</v>
      </c>
      <c r="J1049" s="53" t="n">
        <f aca="false">(('Business Case'!D11*$C1049*'Business Case'!D12*$B1049)-'Business Case'!D11*$C1049*'Business Case'!D13*$D1049-'Business Case'!D14*$E1049)-MAX(0,(('Business Case'!D11*$C1049*'Business Case'!D12*$B1049)-'Business Case'!D11*$C1049*'Business Case'!D13*$D1049-'Business Case'!D14*$E1049))*'Business Case'!$B$7-'Business Case'!$B$8*(('Business Case'!D11*$C1049*'Business Case'!D12*$B1049)-('Business Case'!C11*$C1049*'Business Case'!C12*$B1049))-'Business Case'!D15*$F1049</f>
        <v>290456124.576256</v>
      </c>
      <c r="K1049" s="53" t="n">
        <f aca="false">(('Business Case'!E11*$C1049*'Business Case'!E12*$B1049)-'Business Case'!E11*$C1049*'Business Case'!E13*$D1049-'Business Case'!E14*$E1049)-MAX(0,(('Business Case'!E11*$C1049*'Business Case'!E12*$B1049)-'Business Case'!E11*$C1049*'Business Case'!E13*$D1049-'Business Case'!E14*$E1049))*'Business Case'!$B$7-'Business Case'!$B$8*(('Business Case'!E11*$C1049*'Business Case'!E12*$B1049)-('Business Case'!D11*$C1049*'Business Case'!D12*$B1049))-'Business Case'!E15*$F1049</f>
        <v>634549542.369567</v>
      </c>
      <c r="L1049" s="53" t="n">
        <f aca="false">(('Business Case'!F11*$C1049*'Business Case'!F12*$B1049)-'Business Case'!F11*$C1049*'Business Case'!F13*$D1049-'Business Case'!F14*$E1049)-MAX(0,(('Business Case'!F11*$C1049*'Business Case'!F12*$B1049)-'Business Case'!F11*$C1049*'Business Case'!F13*$D1049-'Business Case'!F14*$E1049))*'Business Case'!$B$7-'Business Case'!$B$8*(('Business Case'!F11*$C1049*'Business Case'!F12*$B1049)-('Business Case'!E11*$C1049*'Business Case'!E12*$B1049))-'Business Case'!F15*$F1049</f>
        <v>768842787.733245</v>
      </c>
      <c r="M1049" s="53" t="n">
        <f aca="false">(('Business Case'!G11*$C1049*'Business Case'!G12*$B1049)-'Business Case'!G11*$C1049*'Business Case'!G13*$D1049-'Business Case'!G14*$E1049)-MAX(0,(('Business Case'!G11*$C1049*'Business Case'!G12*$B1049)-'Business Case'!G11*$C1049*'Business Case'!G13*$D1049-'Business Case'!G14*$E1049))*'Business Case'!$B$7-'Business Case'!$B$8*(('Business Case'!G11*$C1049*'Business Case'!G12*$B1049)-('Business Case'!F11*$C1049*'Business Case'!F12*$B1049))-'Business Case'!G15*$F1049+'Business Case'!$B$8*('Business Case'!G11*$C1049*'Business Case'!G12*$B1049)</f>
        <v>967816673.313684</v>
      </c>
      <c r="N1049" s="53" t="n">
        <f aca="false">IF(COUNT('Business Case'!B11:G11)=0,"",H1049+NPV(G1049,I1049:M1049))</f>
        <v>-167884561.105257</v>
      </c>
      <c r="P1049" s="54" t="n">
        <f aca="true">RAND()</f>
        <v>0.213919777223407</v>
      </c>
      <c r="Q1049" s="54" t="n">
        <f aca="true">RAND()</f>
        <v>0.918032469524197</v>
      </c>
      <c r="R1049" s="54" t="n">
        <f aca="true">RAND()</f>
        <v>0.584575653368202</v>
      </c>
      <c r="S1049" s="54" t="n">
        <f aca="true">RAND()</f>
        <v>0.530413874784491</v>
      </c>
      <c r="T1049" s="54" t="n">
        <f aca="true">RAND()</f>
        <v>0.16126528564569</v>
      </c>
      <c r="U1049" s="54" t="n">
        <f aca="true">RAND()</f>
        <v>0.503990200175306</v>
      </c>
    </row>
    <row r="1050" customFormat="false" ht="15" hidden="false" customHeight="false" outlineLevel="0" collapsed="false">
      <c r="A1050" s="50" t="n">
        <v>970</v>
      </c>
      <c r="B1050" s="51" t="n">
        <f aca="false">1+IF($G$6=$E$6,$F$6,IF(P1050&lt;($F$6-$E$6)/($G$6-$E$6),$E$6+SQRT(P1050*($G$6-$E$6)*($F$6-$E$6)),$G$6-SQRT((1-P1050)*($G$6-$E$6)*($G$6-$F$6))))</f>
        <v>1.0103001278459</v>
      </c>
      <c r="C1050" s="51" t="n">
        <f aca="false">1+IF($G$7=$E$7,$F$7,IF(Q1050&lt;($F$7-$E$7)/($G$7-$E$7),$E$7+SQRT(Q1050*($G$7-$E$7)*($F$7-$E$7)),$G$7-SQRT((1-Q1050)*($G$7-$E$7)*($G$7-$F$7))))</f>
        <v>0.942311172978832</v>
      </c>
      <c r="D1050" s="51" t="n">
        <f aca="false">1+IF($G$8=$E$8,$F$8,IF(R1050&lt;($F$8-$E$8)/($G$8-$E$8),$E$8+SQRT(R1050*($G$8-$E$8)*($F$8-$E$8)),$G$8-SQRT((1-R1050)*($G$8-$E$8)*($G$8-$F$8))))</f>
        <v>1.01101078605253</v>
      </c>
      <c r="E1050" s="51" t="n">
        <f aca="false">1+IF($G$9=$E$9,$F$9,IF(S1050&lt;($F$9-$E$9)/($G$9-$E$9),$E$9+SQRT(S1050*($G$9-$E$9)*($F$9-$E$9)),$G$9-SQRT((1-S1050)*($G$9-$E$9)*($G$9-$F$9))))</f>
        <v>0.990082310424807</v>
      </c>
      <c r="F1050" s="51" t="n">
        <f aca="false">1+IF($G$10=$E$10,$F$10,IF(T1050&lt;($F$10-$E$10)/($G$10-$E$10),$E$10+SQRT(T1050*($G$10-$E$10)*($F$10-$E$10)),$G$10-SQRT((1-T1050)*($G$10-$E$10)*($G$10-$F$10))))</f>
        <v>1.16449715245221</v>
      </c>
      <c r="G1050" s="52" t="n">
        <f aca="false">IF($G$11=$E$11,$F$11,IF(U1050&lt;($F$11-$E$11)/($G$11-$E$11),$E$11+SQRT(U1050*($G$11-$E$11)*($F$11-$E$11)),$G$11-SQRT((1-U1050)*($G$11-$E$11)*($G$11-$F$11))))</f>
        <v>0.0936332474464687</v>
      </c>
      <c r="H1050" s="53" t="n">
        <f aca="false">(('Business Case'!B11*$C1050*'Business Case'!B12*$B1050)-'Business Case'!B11*$C1050*'Business Case'!B13*$D1050-'Business Case'!B14*$E1050)-MAX(0,(('Business Case'!B11*$C1050*'Business Case'!B12*$B1050)-'Business Case'!B11*$C1050*'Business Case'!B13*$D1050-'Business Case'!B14*$E1050))*'Business Case'!$B$7-'Business Case'!$B$8*('Business Case'!B11*$C1050*'Business Case'!B12*$B1050)-'Business Case'!B15*$F1050</f>
        <v>-2328994304.90442</v>
      </c>
      <c r="I1050" s="53" t="n">
        <f aca="false">(('Business Case'!C11*$C1050*'Business Case'!C12*$B1050)-'Business Case'!C11*$C1050*'Business Case'!C13*$D1050-'Business Case'!C14*$E1050)-MAX(0,(('Business Case'!C11*$C1050*'Business Case'!C12*$B1050)-'Business Case'!C11*$C1050*'Business Case'!C13*$D1050-'Business Case'!C14*$E1050))*'Business Case'!$B$7-'Business Case'!$B$8*(('Business Case'!C11*$C1050*'Business Case'!C12*$B1050)-('Business Case'!B11*$C1050*'Business Case'!B12*$B1050))-'Business Case'!C15*$F1050</f>
        <v>-14520843.2727131</v>
      </c>
      <c r="J1050" s="53" t="n">
        <f aca="false">(('Business Case'!D11*$C1050*'Business Case'!D12*$B1050)-'Business Case'!D11*$C1050*'Business Case'!D13*$D1050-'Business Case'!D14*$E1050)-MAX(0,(('Business Case'!D11*$C1050*'Business Case'!D12*$B1050)-'Business Case'!D11*$C1050*'Business Case'!D13*$D1050-'Business Case'!D14*$E1050))*'Business Case'!$B$7-'Business Case'!$B$8*(('Business Case'!D11*$C1050*'Business Case'!D12*$B1050)-('Business Case'!C11*$C1050*'Business Case'!C12*$B1050))-'Business Case'!D15*$F1050</f>
        <v>277550299.630056</v>
      </c>
      <c r="K1050" s="53" t="n">
        <f aca="false">(('Business Case'!E11*$C1050*'Business Case'!E12*$B1050)-'Business Case'!E11*$C1050*'Business Case'!E13*$D1050-'Business Case'!E14*$E1050)-MAX(0,(('Business Case'!E11*$C1050*'Business Case'!E12*$B1050)-'Business Case'!E11*$C1050*'Business Case'!E13*$D1050-'Business Case'!E14*$E1050))*'Business Case'!$B$7-'Business Case'!$B$8*(('Business Case'!E11*$C1050*'Business Case'!E12*$B1050)-('Business Case'!D11*$C1050*'Business Case'!D12*$B1050))-'Business Case'!E15*$F1050</f>
        <v>627846300.155436</v>
      </c>
      <c r="L1050" s="53" t="n">
        <f aca="false">(('Business Case'!F11*$C1050*'Business Case'!F12*$B1050)-'Business Case'!F11*$C1050*'Business Case'!F13*$D1050-'Business Case'!F14*$E1050)-MAX(0,(('Business Case'!F11*$C1050*'Business Case'!F12*$B1050)-'Business Case'!F11*$C1050*'Business Case'!F13*$D1050-'Business Case'!F14*$E1050))*'Business Case'!$B$7-'Business Case'!$B$8*(('Business Case'!F11*$C1050*'Business Case'!F12*$B1050)-('Business Case'!E11*$C1050*'Business Case'!E12*$B1050))-'Business Case'!F15*$F1050</f>
        <v>758105058.714928</v>
      </c>
      <c r="M1050" s="53" t="n">
        <f aca="false">(('Business Case'!G11*$C1050*'Business Case'!G12*$B1050)-'Business Case'!G11*$C1050*'Business Case'!G13*$D1050-'Business Case'!G14*$E1050)-MAX(0,(('Business Case'!G11*$C1050*'Business Case'!G12*$B1050)-'Business Case'!G11*$C1050*'Business Case'!G13*$D1050-'Business Case'!G14*$E1050))*'Business Case'!$B$7-'Business Case'!$B$8*(('Business Case'!G11*$C1050*'Business Case'!G12*$B1050)-('Business Case'!F11*$C1050*'Business Case'!F12*$B1050))-'Business Case'!G15*$F1050+'Business Case'!$B$8*('Business Case'!G11*$C1050*'Business Case'!G12*$B1050)</f>
        <v>939064468.803726</v>
      </c>
      <c r="N1050" s="53" t="n">
        <f aca="false">IF(COUNT('Business Case'!B11:G11)=0,"",H1050+NPV(G1050,I1050:M1050))</f>
        <v>-500000428.599712</v>
      </c>
      <c r="P1050" s="54" t="n">
        <f aca="true">RAND()</f>
        <v>0.81623283208957</v>
      </c>
      <c r="Q1050" s="54" t="n">
        <f aca="true">RAND()</f>
        <v>0.289320999351584</v>
      </c>
      <c r="R1050" s="54" t="n">
        <f aca="true">RAND()</f>
        <v>0.542354649895182</v>
      </c>
      <c r="S1050" s="54" t="n">
        <f aca="true">RAND()</f>
        <v>0.214212214532083</v>
      </c>
      <c r="T1050" s="54" t="n">
        <f aca="true">RAND()</f>
        <v>0.974790956319969</v>
      </c>
      <c r="U1050" s="54" t="n">
        <f aca="true">RAND()</f>
        <v>0.0440016233575702</v>
      </c>
    </row>
    <row r="1051" customFormat="false" ht="15" hidden="false" customHeight="false" outlineLevel="0" collapsed="false">
      <c r="A1051" s="50" t="n">
        <v>971</v>
      </c>
      <c r="B1051" s="51" t="n">
        <f aca="false">1+IF($G$6=$E$6,$F$6,IF(P1051&lt;($F$6-$E$6)/($G$6-$E$6),$E$6+SQRT(P1051*($G$6-$E$6)*($F$6-$E$6)),$G$6-SQRT((1-P1051)*($G$6-$E$6)*($G$6-$F$6))))</f>
        <v>0.981109677594603</v>
      </c>
      <c r="C1051" s="51" t="n">
        <f aca="false">1+IF($G$7=$E$7,$F$7,IF(Q1051&lt;($F$7-$E$7)/($G$7-$E$7),$E$7+SQRT(Q1051*($G$7-$E$7)*($F$7-$E$7)),$G$7-SQRT((1-Q1051)*($G$7-$E$7)*($G$7-$F$7))))</f>
        <v>0.947672445632422</v>
      </c>
      <c r="D1051" s="51" t="n">
        <f aca="false">1+IF($G$8=$E$8,$F$8,IF(R1051&lt;($F$8-$E$8)/($G$8-$E$8),$E$8+SQRT(R1051*($G$8-$E$8)*($F$8-$E$8)),$G$8-SQRT((1-R1051)*($G$8-$E$8)*($G$8-$F$8))))</f>
        <v>1.00837375489919</v>
      </c>
      <c r="E1051" s="51" t="n">
        <f aca="false">1+IF($G$9=$E$9,$F$9,IF(S1051&lt;($F$9-$E$9)/($G$9-$E$9),$E$9+SQRT(S1051*($G$9-$E$9)*($F$9-$E$9)),$G$9-SQRT((1-S1051)*($G$9-$E$9)*($G$9-$F$9))))</f>
        <v>1.00489863781559</v>
      </c>
      <c r="F1051" s="51" t="n">
        <f aca="false">1+IF($G$10=$E$10,$F$10,IF(T1051&lt;($F$10-$E$10)/($G$10-$E$10),$E$10+SQRT(T1051*($G$10-$E$10)*($F$10-$E$10)),$G$10-SQRT((1-T1051)*($G$10-$E$10)*($G$10-$F$10))))</f>
        <v>1.07728137907764</v>
      </c>
      <c r="G1051" s="52" t="n">
        <f aca="false">IF($G$11=$E$11,$F$11,IF(U1051&lt;($F$11-$E$11)/($G$11-$E$11),$E$11+SQRT(U1051*($G$11-$E$11)*($F$11-$E$11)),$G$11-SQRT((1-U1051)*($G$11-$E$11)*($G$11-$F$11))))</f>
        <v>0.0941769223789761</v>
      </c>
      <c r="H1051" s="53" t="n">
        <f aca="false">(('Business Case'!B11*$C1051*'Business Case'!B12*$B1051)-'Business Case'!B11*$C1051*'Business Case'!B13*$D1051-'Business Case'!B14*$E1051)-MAX(0,(('Business Case'!B11*$C1051*'Business Case'!B12*$B1051)-'Business Case'!B11*$C1051*'Business Case'!B13*$D1051-'Business Case'!B14*$E1051))*'Business Case'!$B$7-'Business Case'!$B$8*('Business Case'!B11*$C1051*'Business Case'!B12*$B1051)-'Business Case'!B15*$F1051</f>
        <v>-2154562758.15528</v>
      </c>
      <c r="I1051" s="53" t="n">
        <f aca="false">(('Business Case'!C11*$C1051*'Business Case'!C12*$B1051)-'Business Case'!C11*$C1051*'Business Case'!C13*$D1051-'Business Case'!C14*$E1051)-MAX(0,(('Business Case'!C11*$C1051*'Business Case'!C12*$B1051)-'Business Case'!C11*$C1051*'Business Case'!C13*$D1051-'Business Case'!C14*$E1051))*'Business Case'!$B$7-'Business Case'!$B$8*(('Business Case'!C11*$C1051*'Business Case'!C12*$B1051)-('Business Case'!B11*$C1051*'Business Case'!B12*$B1051))-'Business Case'!C15*$F1051</f>
        <v>-26469820.23084</v>
      </c>
      <c r="J1051" s="53" t="n">
        <f aca="false">(('Business Case'!D11*$C1051*'Business Case'!D12*$B1051)-'Business Case'!D11*$C1051*'Business Case'!D13*$D1051-'Business Case'!D14*$E1051)-MAX(0,(('Business Case'!D11*$C1051*'Business Case'!D12*$B1051)-'Business Case'!D11*$C1051*'Business Case'!D13*$D1051-'Business Case'!D14*$E1051))*'Business Case'!$B$7-'Business Case'!$B$8*(('Business Case'!D11*$C1051*'Business Case'!D12*$B1051)-('Business Case'!C11*$C1051*'Business Case'!C12*$B1051))-'Business Case'!D15*$F1051</f>
        <v>245884392.04143</v>
      </c>
      <c r="K1051" s="53" t="n">
        <f aca="false">(('Business Case'!E11*$C1051*'Business Case'!E12*$B1051)-'Business Case'!E11*$C1051*'Business Case'!E13*$D1051-'Business Case'!E14*$E1051)-MAX(0,(('Business Case'!E11*$C1051*'Business Case'!E12*$B1051)-'Business Case'!E11*$C1051*'Business Case'!E13*$D1051-'Business Case'!E14*$E1051))*'Business Case'!$B$7-'Business Case'!$B$8*(('Business Case'!E11*$C1051*'Business Case'!E12*$B1051)-('Business Case'!D11*$C1051*'Business Case'!D12*$B1051))-'Business Case'!E15*$F1051</f>
        <v>572102673.267582</v>
      </c>
      <c r="L1051" s="53" t="n">
        <f aca="false">(('Business Case'!F11*$C1051*'Business Case'!F12*$B1051)-'Business Case'!F11*$C1051*'Business Case'!F13*$D1051-'Business Case'!F14*$E1051)-MAX(0,(('Business Case'!F11*$C1051*'Business Case'!F12*$B1051)-'Business Case'!F11*$C1051*'Business Case'!F13*$D1051-'Business Case'!F14*$E1051))*'Business Case'!$B$7-'Business Case'!$B$8*(('Business Case'!F11*$C1051*'Business Case'!F12*$B1051)-('Business Case'!E11*$C1051*'Business Case'!E12*$B1051))-'Business Case'!F15*$F1051</f>
        <v>695020282.890318</v>
      </c>
      <c r="M1051" s="53" t="n">
        <f aca="false">(('Business Case'!G11*$C1051*'Business Case'!G12*$B1051)-'Business Case'!G11*$C1051*'Business Case'!G13*$D1051-'Business Case'!G14*$E1051)-MAX(0,(('Business Case'!G11*$C1051*'Business Case'!G12*$B1051)-'Business Case'!G11*$C1051*'Business Case'!G13*$D1051-'Business Case'!G14*$E1051))*'Business Case'!$B$7-'Business Case'!$B$8*(('Business Case'!G11*$C1051*'Business Case'!G12*$B1051)-('Business Case'!F11*$C1051*'Business Case'!F12*$B1051))-'Business Case'!G15*$F1051+'Business Case'!$B$8*('Business Case'!G11*$C1051*'Business Case'!G12*$B1051)</f>
        <v>871751079.982871</v>
      </c>
      <c r="N1051" s="53" t="n">
        <f aca="false">IF(COUNT('Business Case'!B11:G11)=0,"",H1051+NPV(G1051,I1051:M1051))</f>
        <v>-495906239.07441</v>
      </c>
      <c r="P1051" s="54" t="n">
        <f aca="true">RAND()</f>
        <v>0.388999239137111</v>
      </c>
      <c r="Q1051" s="54" t="n">
        <f aca="true">RAND()</f>
        <v>0.311530731415151</v>
      </c>
      <c r="R1051" s="54" t="n">
        <f aca="true">RAND()</f>
        <v>0.506700097380704</v>
      </c>
      <c r="S1051" s="54" t="n">
        <f aca="true">RAND()</f>
        <v>0.397048727377973</v>
      </c>
      <c r="T1051" s="54" t="n">
        <f aca="true">RAND()</f>
        <v>0.698802801578273</v>
      </c>
      <c r="U1051" s="54" t="n">
        <f aca="true">RAND()</f>
        <v>0.0581556018666369</v>
      </c>
    </row>
    <row r="1052" customFormat="false" ht="15" hidden="false" customHeight="false" outlineLevel="0" collapsed="false">
      <c r="A1052" s="50" t="n">
        <v>972</v>
      </c>
      <c r="B1052" s="51" t="n">
        <f aca="false">1+IF($G$6=$E$6,$F$6,IF(P1052&lt;($F$6-$E$6)/($G$6-$E$6),$E$6+SQRT(P1052*($G$6-$E$6)*($F$6-$E$6)),$G$6-SQRT((1-P1052)*($G$6-$E$6)*($G$6-$F$6))))</f>
        <v>1.00390150798345</v>
      </c>
      <c r="C1052" s="51" t="n">
        <f aca="false">1+IF($G$7=$E$7,$F$7,IF(Q1052&lt;($F$7-$E$7)/($G$7-$E$7),$E$7+SQRT(Q1052*($G$7-$E$7)*($F$7-$E$7)),$G$7-SQRT((1-Q1052)*($G$7-$E$7)*($G$7-$F$7))))</f>
        <v>0.929748458318122</v>
      </c>
      <c r="D1052" s="51" t="n">
        <f aca="false">1+IF($G$8=$E$8,$F$8,IF(R1052&lt;($F$8-$E$8)/($G$8-$E$8),$E$8+SQRT(R1052*($G$8-$E$8)*($F$8-$E$8)),$G$8-SQRT((1-R1052)*($G$8-$E$8)*($G$8-$F$8))))</f>
        <v>0.992941220148959</v>
      </c>
      <c r="E1052" s="51" t="n">
        <f aca="false">1+IF($G$9=$E$9,$F$9,IF(S1052&lt;($F$9-$E$9)/($G$9-$E$9),$E$9+SQRT(S1052*($G$9-$E$9)*($F$9-$E$9)),$G$9-SQRT((1-S1052)*($G$9-$E$9)*($G$9-$F$9))))</f>
        <v>1.01690411365854</v>
      </c>
      <c r="F1052" s="51" t="n">
        <f aca="false">1+IF($G$10=$E$10,$F$10,IF(T1052&lt;($F$10-$E$10)/($G$10-$E$10),$E$10+SQRT(T1052*($G$10-$E$10)*($F$10-$E$10)),$G$10-SQRT((1-T1052)*($G$10-$E$10)*($G$10-$F$10))))</f>
        <v>1.07793315479814</v>
      </c>
      <c r="G1052" s="52" t="n">
        <f aca="false">IF($G$11=$E$11,$F$11,IF(U1052&lt;($F$11-$E$11)/($G$11-$E$11),$E$11+SQRT(U1052*($G$11-$E$11)*($F$11-$E$11)),$G$11-SQRT((1-U1052)*($G$11-$E$11)*($G$11-$F$11))))</f>
        <v>0.116148748638883</v>
      </c>
      <c r="H1052" s="53" t="n">
        <f aca="false">(('Business Case'!B11*$C1052*'Business Case'!B12*$B1052)-'Business Case'!B11*$C1052*'Business Case'!B13*$D1052-'Business Case'!B14*$E1052)-MAX(0,(('Business Case'!B11*$C1052*'Business Case'!B12*$B1052)-'Business Case'!B11*$C1052*'Business Case'!B13*$D1052-'Business Case'!B14*$E1052))*'Business Case'!$B$7-'Business Case'!$B$8*('Business Case'!B11*$C1052*'Business Case'!B12*$B1052)-'Business Case'!B15*$F1052</f>
        <v>-2155866309.59629</v>
      </c>
      <c r="I1052" s="53" t="n">
        <f aca="false">(('Business Case'!C11*$C1052*'Business Case'!C12*$B1052)-'Business Case'!C11*$C1052*'Business Case'!C13*$D1052-'Business Case'!C14*$E1052)-MAX(0,(('Business Case'!C11*$C1052*'Business Case'!C12*$B1052)-'Business Case'!C11*$C1052*'Business Case'!C13*$D1052-'Business Case'!C14*$E1052))*'Business Case'!$B$7-'Business Case'!$B$8*(('Business Case'!C11*$C1052*'Business Case'!C12*$B1052)-('Business Case'!B11*$C1052*'Business Case'!B12*$B1052))-'Business Case'!C15*$F1052</f>
        <v>-8878394.07106616</v>
      </c>
      <c r="J1052" s="53" t="n">
        <f aca="false">(('Business Case'!D11*$C1052*'Business Case'!D12*$B1052)-'Business Case'!D11*$C1052*'Business Case'!D13*$D1052-'Business Case'!D14*$E1052)-MAX(0,(('Business Case'!D11*$C1052*'Business Case'!D12*$B1052)-'Business Case'!D11*$C1052*'Business Case'!D13*$D1052-'Business Case'!D14*$E1052))*'Business Case'!$B$7-'Business Case'!$B$8*(('Business Case'!D11*$C1052*'Business Case'!D12*$B1052)-('Business Case'!C11*$C1052*'Business Case'!C12*$B1052))-'Business Case'!D15*$F1052</f>
        <v>283026497.885474</v>
      </c>
      <c r="K1052" s="53" t="n">
        <f aca="false">(('Business Case'!E11*$C1052*'Business Case'!E12*$B1052)-'Business Case'!E11*$C1052*'Business Case'!E13*$D1052-'Business Case'!E14*$E1052)-MAX(0,(('Business Case'!E11*$C1052*'Business Case'!E12*$B1052)-'Business Case'!E11*$C1052*'Business Case'!E13*$D1052-'Business Case'!E14*$E1052))*'Business Case'!$B$7-'Business Case'!$B$8*(('Business Case'!E11*$C1052*'Business Case'!E12*$B1052)-('Business Case'!D11*$C1052*'Business Case'!D12*$B1052))-'Business Case'!E15*$F1052</f>
        <v>628828047.581922</v>
      </c>
      <c r="L1052" s="53" t="n">
        <f aca="false">(('Business Case'!F11*$C1052*'Business Case'!F12*$B1052)-'Business Case'!F11*$C1052*'Business Case'!F13*$D1052-'Business Case'!F14*$E1052)-MAX(0,(('Business Case'!F11*$C1052*'Business Case'!F12*$B1052)-'Business Case'!F11*$C1052*'Business Case'!F13*$D1052-'Business Case'!F14*$E1052))*'Business Case'!$B$7-'Business Case'!$B$8*(('Business Case'!F11*$C1052*'Business Case'!F12*$B1052)-('Business Case'!E11*$C1052*'Business Case'!E12*$B1052))-'Business Case'!F15*$F1052</f>
        <v>758387148.624467</v>
      </c>
      <c r="M1052" s="53" t="n">
        <f aca="false">(('Business Case'!G11*$C1052*'Business Case'!G12*$B1052)-'Business Case'!G11*$C1052*'Business Case'!G13*$D1052-'Business Case'!G14*$E1052)-MAX(0,(('Business Case'!G11*$C1052*'Business Case'!G12*$B1052)-'Business Case'!G11*$C1052*'Business Case'!G13*$D1052-'Business Case'!G14*$E1052))*'Business Case'!$B$7-'Business Case'!$B$8*(('Business Case'!G11*$C1052*'Business Case'!G12*$B1052)-('Business Case'!F11*$C1052*'Business Case'!F12*$B1052))-'Business Case'!G15*$F1052+'Business Case'!$B$8*('Business Case'!G11*$C1052*'Business Case'!G12*$B1052)</f>
        <v>935803235.771477</v>
      </c>
      <c r="N1052" s="53" t="n">
        <f aca="false">IF(COUNT('Business Case'!B11:G11)=0,"",H1052+NPV(G1052,I1052:M1052))</f>
        <v>-455517808.099468</v>
      </c>
      <c r="P1052" s="54" t="n">
        <f aca="true">RAND()</f>
        <v>0.728520598777363</v>
      </c>
      <c r="Q1052" s="54" t="n">
        <f aca="true">RAND()</f>
        <v>0.240495177656133</v>
      </c>
      <c r="R1052" s="54" t="n">
        <f aca="true">RAND()</f>
        <v>0.283684367366364</v>
      </c>
      <c r="S1052" s="54" t="n">
        <f aca="true">RAND()</f>
        <v>0.539671578208437</v>
      </c>
      <c r="T1052" s="54" t="n">
        <f aca="true">RAND()</f>
        <v>0.701993706049314</v>
      </c>
      <c r="U1052" s="54" t="n">
        <f aca="true">RAND()</f>
        <v>0.975279771589151</v>
      </c>
    </row>
    <row r="1053" customFormat="false" ht="15" hidden="false" customHeight="false" outlineLevel="0" collapsed="false">
      <c r="A1053" s="50" t="n">
        <v>973</v>
      </c>
      <c r="B1053" s="51" t="n">
        <f aca="false">1+IF($G$6=$E$6,$F$6,IF(P1053&lt;($F$6-$E$6)/($G$6-$E$6),$E$6+SQRT(P1053*($G$6-$E$6)*($F$6-$E$6)),$G$6-SQRT((1-P1053)*($G$6-$E$6)*($G$6-$F$6))))</f>
        <v>1.00583417955974</v>
      </c>
      <c r="C1053" s="51" t="n">
        <f aca="false">1+IF($G$7=$E$7,$F$7,IF(Q1053&lt;($F$7-$E$7)/($G$7-$E$7),$E$7+SQRT(Q1053*($G$7-$E$7)*($F$7-$E$7)),$G$7-SQRT((1-Q1053)*($G$7-$E$7)*($G$7-$F$7))))</f>
        <v>0.934500424170663</v>
      </c>
      <c r="D1053" s="51" t="n">
        <f aca="false">1+IF($G$8=$E$8,$F$8,IF(R1053&lt;($F$8-$E$8)/($G$8-$E$8),$E$8+SQRT(R1053*($G$8-$E$8)*($F$8-$E$8)),$G$8-SQRT((1-R1053)*($G$8-$E$8)*($G$8-$F$8))))</f>
        <v>1.02337914148478</v>
      </c>
      <c r="E1053" s="51" t="n">
        <f aca="false">1+IF($G$9=$E$9,$F$9,IF(S1053&lt;($F$9-$E$9)/($G$9-$E$9),$E$9+SQRT(S1053*($G$9-$E$9)*($F$9-$E$9)),$G$9-SQRT((1-S1053)*($G$9-$E$9)*($G$9-$F$9))))</f>
        <v>1.04552048070729</v>
      </c>
      <c r="F1053" s="51" t="n">
        <f aca="false">1+IF($G$10=$E$10,$F$10,IF(T1053&lt;($F$10-$E$10)/($G$10-$E$10),$E$10+SQRT(T1053*($G$10-$E$10)*($F$10-$E$10)),$G$10-SQRT((1-T1053)*($G$10-$E$10)*($G$10-$F$10))))</f>
        <v>1.10829001449114</v>
      </c>
      <c r="G1053" s="52" t="n">
        <f aca="false">IF($G$11=$E$11,$F$11,IF(U1053&lt;($F$11-$E$11)/($G$11-$E$11),$E$11+SQRT(U1053*($G$11-$E$11)*($F$11-$E$11)),$G$11-SQRT((1-U1053)*($G$11-$E$11)*($G$11-$F$11))))</f>
        <v>0.103610631449497</v>
      </c>
      <c r="H1053" s="53" t="n">
        <f aca="false">(('Business Case'!B11*$C1053*'Business Case'!B12*$B1053)-'Business Case'!B11*$C1053*'Business Case'!B13*$D1053-'Business Case'!B14*$E1053)-MAX(0,(('Business Case'!B11*$C1053*'Business Case'!B12*$B1053)-'Business Case'!B11*$C1053*'Business Case'!B13*$D1053-'Business Case'!B14*$E1053))*'Business Case'!$B$7-'Business Case'!$B$8*('Business Case'!B11*$C1053*'Business Case'!B12*$B1053)-'Business Case'!B15*$F1053</f>
        <v>-2216580028.98229</v>
      </c>
      <c r="I1053" s="53" t="n">
        <f aca="false">(('Business Case'!C11*$C1053*'Business Case'!C12*$B1053)-'Business Case'!C11*$C1053*'Business Case'!C13*$D1053-'Business Case'!C14*$E1053)-MAX(0,(('Business Case'!C11*$C1053*'Business Case'!C12*$B1053)-'Business Case'!C11*$C1053*'Business Case'!C13*$D1053-'Business Case'!C14*$E1053))*'Business Case'!$B$7-'Business Case'!$B$8*(('Business Case'!C11*$C1053*'Business Case'!C12*$B1053)-('Business Case'!B11*$C1053*'Business Case'!B12*$B1053))-'Business Case'!C15*$F1053</f>
        <v>-27914194.2485293</v>
      </c>
      <c r="J1053" s="53" t="n">
        <f aca="false">(('Business Case'!D11*$C1053*'Business Case'!D12*$B1053)-'Business Case'!D11*$C1053*'Business Case'!D13*$D1053-'Business Case'!D14*$E1053)-MAX(0,(('Business Case'!D11*$C1053*'Business Case'!D12*$B1053)-'Business Case'!D11*$C1053*'Business Case'!D13*$D1053-'Business Case'!D14*$E1053))*'Business Case'!$B$7-'Business Case'!$B$8*(('Business Case'!D11*$C1053*'Business Case'!D12*$B1053)-('Business Case'!C11*$C1053*'Business Case'!C12*$B1053))-'Business Case'!D15*$F1053</f>
        <v>252400761.220925</v>
      </c>
      <c r="K1053" s="53" t="n">
        <f aca="false">(('Business Case'!E11*$C1053*'Business Case'!E12*$B1053)-'Business Case'!E11*$C1053*'Business Case'!E13*$D1053-'Business Case'!E14*$E1053)-MAX(0,(('Business Case'!E11*$C1053*'Business Case'!E12*$B1053)-'Business Case'!E11*$C1053*'Business Case'!E13*$D1053-'Business Case'!E14*$E1053))*'Business Case'!$B$7-'Business Case'!$B$8*(('Business Case'!E11*$C1053*'Business Case'!E12*$B1053)-('Business Case'!D11*$C1053*'Business Case'!D12*$B1053))-'Business Case'!E15*$F1053</f>
        <v>588130217.414937</v>
      </c>
      <c r="L1053" s="53" t="n">
        <f aca="false">(('Business Case'!F11*$C1053*'Business Case'!F12*$B1053)-'Business Case'!F11*$C1053*'Business Case'!F13*$D1053-'Business Case'!F14*$E1053)-MAX(0,(('Business Case'!F11*$C1053*'Business Case'!F12*$B1053)-'Business Case'!F11*$C1053*'Business Case'!F13*$D1053-'Business Case'!F14*$E1053))*'Business Case'!$B$7-'Business Case'!$B$8*(('Business Case'!F11*$C1053*'Business Case'!F12*$B1053)-('Business Case'!E11*$C1053*'Business Case'!E12*$B1053))-'Business Case'!F15*$F1053</f>
        <v>714053293.179617</v>
      </c>
      <c r="M1053" s="53" t="n">
        <f aca="false">(('Business Case'!G11*$C1053*'Business Case'!G12*$B1053)-'Business Case'!G11*$C1053*'Business Case'!G13*$D1053-'Business Case'!G14*$E1053)-MAX(0,(('Business Case'!G11*$C1053*'Business Case'!G12*$B1053)-'Business Case'!G11*$C1053*'Business Case'!G13*$D1053-'Business Case'!G14*$E1053))*'Business Case'!$B$7-'Business Case'!$B$8*(('Business Case'!G11*$C1053*'Business Case'!G12*$B1053)-('Business Case'!F11*$C1053*'Business Case'!F12*$B1053))-'Business Case'!G15*$F1053+'Business Case'!$B$8*('Business Case'!G11*$C1053*'Business Case'!G12*$B1053)</f>
        <v>892719458.19136</v>
      </c>
      <c r="N1053" s="53" t="n">
        <f aca="false">IF(COUNT('Business Case'!B11:G11)=0,"",H1053+NPV(G1053,I1053:M1053))</f>
        <v>-570435411.036679</v>
      </c>
      <c r="P1053" s="54" t="n">
        <f aca="true">RAND()</f>
        <v>0.756811815342535</v>
      </c>
      <c r="Q1053" s="54" t="n">
        <f aca="true">RAND()</f>
        <v>0.258433772886974</v>
      </c>
      <c r="R1053" s="54" t="n">
        <f aca="true">RAND()</f>
        <v>0.691738305865292</v>
      </c>
      <c r="S1053" s="54" t="n">
        <f aca="true">RAND()</f>
        <v>0.802132131842323</v>
      </c>
      <c r="T1053" s="54" t="n">
        <f aca="true">RAND()</f>
        <v>0.831785571159306</v>
      </c>
      <c r="U1053" s="54" t="n">
        <f aca="true">RAND()</f>
        <v>0.552314330859655</v>
      </c>
    </row>
    <row r="1054" customFormat="false" ht="15" hidden="false" customHeight="false" outlineLevel="0" collapsed="false">
      <c r="A1054" s="50" t="n">
        <v>974</v>
      </c>
      <c r="B1054" s="51" t="n">
        <f aca="false">1+IF($G$6=$E$6,$F$6,IF(P1054&lt;($F$6-$E$6)/($G$6-$E$6),$E$6+SQRT(P1054*($G$6-$E$6)*($F$6-$E$6)),$G$6-SQRT((1-P1054)*($G$6-$E$6)*($G$6-$F$6))))</f>
        <v>0.97311347704777</v>
      </c>
      <c r="C1054" s="51" t="n">
        <f aca="false">1+IF($G$7=$E$7,$F$7,IF(Q1054&lt;($F$7-$E$7)/($G$7-$E$7),$E$7+SQRT(Q1054*($G$7-$E$7)*($F$7-$E$7)),$G$7-SQRT((1-Q1054)*($G$7-$E$7)*($G$7-$F$7))))</f>
        <v>1.00575821963116</v>
      </c>
      <c r="D1054" s="51" t="n">
        <f aca="false">1+IF($G$8=$E$8,$F$8,IF(R1054&lt;($F$8-$E$8)/($G$8-$E$8),$E$8+SQRT(R1054*($G$8-$E$8)*($F$8-$E$8)),$G$8-SQRT((1-R1054)*($G$8-$E$8)*($G$8-$F$8))))</f>
        <v>1.01558326715279</v>
      </c>
      <c r="E1054" s="51" t="n">
        <f aca="false">1+IF($G$9=$E$9,$F$9,IF(S1054&lt;($F$9-$E$9)/($G$9-$E$9),$E$9+SQRT(S1054*($G$9-$E$9)*($F$9-$E$9)),$G$9-SQRT((1-S1054)*($G$9-$E$9)*($G$9-$F$9))))</f>
        <v>0.992229990402824</v>
      </c>
      <c r="F1054" s="51" t="n">
        <f aca="false">1+IF($G$10=$E$10,$F$10,IF(T1054&lt;($F$10-$E$10)/($G$10-$E$10),$E$10+SQRT(T1054*($G$10-$E$10)*($F$10-$E$10)),$G$10-SQRT((1-T1054)*($G$10-$E$10)*($G$10-$F$10))))</f>
        <v>1.0171113548369</v>
      </c>
      <c r="G1054" s="52" t="n">
        <f aca="false">IF($G$11=$E$11,$F$11,IF(U1054&lt;($F$11-$E$11)/($G$11-$E$11),$E$11+SQRT(U1054*($G$11-$E$11)*($F$11-$E$11)),$G$11-SQRT((1-U1054)*($G$11-$E$11)*($G$11-$F$11))))</f>
        <v>0.109887464154587</v>
      </c>
      <c r="H1054" s="53" t="n">
        <f aca="false">(('Business Case'!B11*$C1054*'Business Case'!B12*$B1054)-'Business Case'!B11*$C1054*'Business Case'!B13*$D1054-'Business Case'!B14*$E1054)-MAX(0,(('Business Case'!B11*$C1054*'Business Case'!B12*$B1054)-'Business Case'!B11*$C1054*'Business Case'!B13*$D1054-'Business Case'!B14*$E1054))*'Business Case'!$B$7-'Business Case'!$B$8*('Business Case'!B11*$C1054*'Business Case'!B12*$B1054)-'Business Case'!B15*$F1054</f>
        <v>-2034222709.6738</v>
      </c>
      <c r="I1054" s="53" t="n">
        <f aca="false">(('Business Case'!C11*$C1054*'Business Case'!C12*$B1054)-'Business Case'!C11*$C1054*'Business Case'!C13*$D1054-'Business Case'!C14*$E1054)-MAX(0,(('Business Case'!C11*$C1054*'Business Case'!C12*$B1054)-'Business Case'!C11*$C1054*'Business Case'!C13*$D1054-'Business Case'!C14*$E1054))*'Business Case'!$B$7-'Business Case'!$B$8*(('Business Case'!C11*$C1054*'Business Case'!C12*$B1054)-('Business Case'!B11*$C1054*'Business Case'!B12*$B1054))-'Business Case'!C15*$F1054</f>
        <v>-14794401.6990843</v>
      </c>
      <c r="J1054" s="53" t="n">
        <f aca="false">(('Business Case'!D11*$C1054*'Business Case'!D12*$B1054)-'Business Case'!D11*$C1054*'Business Case'!D13*$D1054-'Business Case'!D14*$E1054)-MAX(0,(('Business Case'!D11*$C1054*'Business Case'!D12*$B1054)-'Business Case'!D11*$C1054*'Business Case'!D13*$D1054-'Business Case'!D14*$E1054))*'Business Case'!$B$7-'Business Case'!$B$8*(('Business Case'!D11*$C1054*'Business Case'!D12*$B1054)-('Business Case'!C11*$C1054*'Business Case'!C12*$B1054))-'Business Case'!D15*$F1054</f>
        <v>263954119.685377</v>
      </c>
      <c r="K1054" s="53" t="n">
        <f aca="false">(('Business Case'!E11*$C1054*'Business Case'!E12*$B1054)-'Business Case'!E11*$C1054*'Business Case'!E13*$D1054-'Business Case'!E14*$E1054)-MAX(0,(('Business Case'!E11*$C1054*'Business Case'!E12*$B1054)-'Business Case'!E11*$C1054*'Business Case'!E13*$D1054-'Business Case'!E14*$E1054))*'Business Case'!$B$7-'Business Case'!$B$8*(('Business Case'!E11*$C1054*'Business Case'!E12*$B1054)-('Business Case'!D11*$C1054*'Business Case'!D12*$B1054))-'Business Case'!E15*$F1054</f>
        <v>593558208.811683</v>
      </c>
      <c r="L1054" s="53" t="n">
        <f aca="false">(('Business Case'!F11*$C1054*'Business Case'!F12*$B1054)-'Business Case'!F11*$C1054*'Business Case'!F13*$D1054-'Business Case'!F14*$E1054)-MAX(0,(('Business Case'!F11*$C1054*'Business Case'!F12*$B1054)-'Business Case'!F11*$C1054*'Business Case'!F13*$D1054-'Business Case'!F14*$E1054))*'Business Case'!$B$7-'Business Case'!$B$8*(('Business Case'!F11*$C1054*'Business Case'!F12*$B1054)-('Business Case'!E11*$C1054*'Business Case'!E12*$B1054))-'Business Case'!F15*$F1054</f>
        <v>720298837.91622</v>
      </c>
      <c r="M1054" s="53" t="n">
        <f aca="false">(('Business Case'!G11*$C1054*'Business Case'!G12*$B1054)-'Business Case'!G11*$C1054*'Business Case'!G13*$D1054-'Business Case'!G14*$E1054)-MAX(0,(('Business Case'!G11*$C1054*'Business Case'!G12*$B1054)-'Business Case'!G11*$C1054*'Business Case'!G13*$D1054-'Business Case'!G14*$E1054))*'Business Case'!$B$7-'Business Case'!$B$8*(('Business Case'!G11*$C1054*'Business Case'!G12*$B1054)-('Business Case'!F11*$C1054*'Business Case'!F12*$B1054))-'Business Case'!G15*$F1054+'Business Case'!$B$8*('Business Case'!G11*$C1054*'Business Case'!G12*$B1054)</f>
        <v>906333342.119658</v>
      </c>
      <c r="N1054" s="53" t="n">
        <f aca="false">IF(COUNT('Business Case'!B11:G11)=0,"",H1054+NPV(G1054,I1054:M1054))</f>
        <v>-386328058.875735</v>
      </c>
      <c r="P1054" s="54" t="n">
        <f aca="true">RAND()</f>
        <v>0.293858483760829</v>
      </c>
      <c r="Q1054" s="54" t="n">
        <f aca="true">RAND()</f>
        <v>0.603701119924326</v>
      </c>
      <c r="R1054" s="54" t="n">
        <f aca="true">RAND()</f>
        <v>0.60100812781649</v>
      </c>
      <c r="S1054" s="54" t="n">
        <f aca="true">RAND()</f>
        <v>0.23778294525635</v>
      </c>
      <c r="T1054" s="54" t="n">
        <f aca="true">RAND()</f>
        <v>0.331034869408117</v>
      </c>
      <c r="U1054" s="54" t="n">
        <f aca="true">RAND()</f>
        <v>0.829561031292065</v>
      </c>
    </row>
    <row r="1055" customFormat="false" ht="15" hidden="false" customHeight="false" outlineLevel="0" collapsed="false">
      <c r="A1055" s="50" t="n">
        <v>975</v>
      </c>
      <c r="B1055" s="51" t="n">
        <f aca="false">1+IF($G$6=$E$6,$F$6,IF(P1055&lt;($F$6-$E$6)/($G$6-$E$6),$E$6+SQRT(P1055*($G$6-$E$6)*($F$6-$E$6)),$G$6-SQRT((1-P1055)*($G$6-$E$6)*($G$6-$F$6))))</f>
        <v>1.01358110013166</v>
      </c>
      <c r="C1055" s="51" t="n">
        <f aca="false">1+IF($G$7=$E$7,$F$7,IF(Q1055&lt;($F$7-$E$7)/($G$7-$E$7),$E$7+SQRT(Q1055*($G$7-$E$7)*($F$7-$E$7)),$G$7-SQRT((1-Q1055)*($G$7-$E$7)*($G$7-$F$7))))</f>
        <v>0.967873807295722</v>
      </c>
      <c r="D1055" s="51" t="n">
        <f aca="false">1+IF($G$8=$E$8,$F$8,IF(R1055&lt;($F$8-$E$8)/($G$8-$E$8),$E$8+SQRT(R1055*($G$8-$E$8)*($F$8-$E$8)),$G$8-SQRT((1-R1055)*($G$8-$E$8)*($G$8-$F$8))))</f>
        <v>1.01305895122357</v>
      </c>
      <c r="E1055" s="51" t="n">
        <f aca="false">1+IF($G$9=$E$9,$F$9,IF(S1055&lt;($F$9-$E$9)/($G$9-$E$9),$E$9+SQRT(S1055*($G$9-$E$9)*($F$9-$E$9)),$G$9-SQRT((1-S1055)*($G$9-$E$9)*($G$9-$F$9))))</f>
        <v>1.07094617449972</v>
      </c>
      <c r="F1055" s="51" t="n">
        <f aca="false">1+IF($G$10=$E$10,$F$10,IF(T1055&lt;($F$10-$E$10)/($G$10-$E$10),$E$10+SQRT(T1055*($G$10-$E$10)*($F$10-$E$10)),$G$10-SQRT((1-T1055)*($G$10-$E$10)*($G$10-$F$10))))</f>
        <v>1.03119774443303</v>
      </c>
      <c r="G1055" s="52" t="n">
        <f aca="false">IF($G$11=$E$11,$F$11,IF(U1055&lt;($F$11-$E$11)/($G$11-$E$11),$E$11+SQRT(U1055*($G$11-$E$11)*($F$11-$E$11)),$G$11-SQRT((1-U1055)*($G$11-$E$11)*($G$11-$F$11))))</f>
        <v>0.109755512711891</v>
      </c>
      <c r="H1055" s="53" t="n">
        <f aca="false">(('Business Case'!B11*$C1055*'Business Case'!B12*$B1055)-'Business Case'!B11*$C1055*'Business Case'!B13*$D1055-'Business Case'!B14*$E1055)-MAX(0,(('Business Case'!B11*$C1055*'Business Case'!B12*$B1055)-'Business Case'!B11*$C1055*'Business Case'!B13*$D1055-'Business Case'!B14*$E1055))*'Business Case'!$B$7-'Business Case'!$B$8*('Business Case'!B11*$C1055*'Business Case'!B12*$B1055)-'Business Case'!B15*$F1055</f>
        <v>-2062395488.86607</v>
      </c>
      <c r="I1055" s="53" t="n">
        <f aca="false">(('Business Case'!C11*$C1055*'Business Case'!C12*$B1055)-'Business Case'!C11*$C1055*'Business Case'!C13*$D1055-'Business Case'!C14*$E1055)-MAX(0,(('Business Case'!C11*$C1055*'Business Case'!C12*$B1055)-'Business Case'!C11*$C1055*'Business Case'!C13*$D1055-'Business Case'!C14*$E1055))*'Business Case'!$B$7-'Business Case'!$B$8*(('Business Case'!C11*$C1055*'Business Case'!C12*$B1055)-('Business Case'!B11*$C1055*'Business Case'!B12*$B1055))-'Business Case'!C15*$F1055</f>
        <v>-4683788.8787718</v>
      </c>
      <c r="J1055" s="53" t="n">
        <f aca="false">(('Business Case'!D11*$C1055*'Business Case'!D12*$B1055)-'Business Case'!D11*$C1055*'Business Case'!D13*$D1055-'Business Case'!D14*$E1055)-MAX(0,(('Business Case'!D11*$C1055*'Business Case'!D12*$B1055)-'Business Case'!D11*$C1055*'Business Case'!D13*$D1055-'Business Case'!D14*$E1055))*'Business Case'!$B$7-'Business Case'!$B$8*(('Business Case'!D11*$C1055*'Business Case'!D12*$B1055)-('Business Case'!C11*$C1055*'Business Case'!C12*$B1055))-'Business Case'!D15*$F1055</f>
        <v>296896746.840023</v>
      </c>
      <c r="K1055" s="53" t="n">
        <f aca="false">(('Business Case'!E11*$C1055*'Business Case'!E12*$B1055)-'Business Case'!E11*$C1055*'Business Case'!E13*$D1055-'Business Case'!E14*$E1055)-MAX(0,(('Business Case'!E11*$C1055*'Business Case'!E12*$B1055)-'Business Case'!E11*$C1055*'Business Case'!E13*$D1055-'Business Case'!E14*$E1055))*'Business Case'!$B$7-'Business Case'!$B$8*(('Business Case'!E11*$C1055*'Business Case'!E12*$B1055)-('Business Case'!D11*$C1055*'Business Case'!D12*$B1055))-'Business Case'!E15*$F1055</f>
        <v>650037169.780469</v>
      </c>
      <c r="L1055" s="53" t="n">
        <f aca="false">(('Business Case'!F11*$C1055*'Business Case'!F12*$B1055)-'Business Case'!F11*$C1055*'Business Case'!F13*$D1055-'Business Case'!F14*$E1055)-MAX(0,(('Business Case'!F11*$C1055*'Business Case'!F12*$B1055)-'Business Case'!F11*$C1055*'Business Case'!F13*$D1055-'Business Case'!F14*$E1055))*'Business Case'!$B$7-'Business Case'!$B$8*(('Business Case'!F11*$C1055*'Business Case'!F12*$B1055)-('Business Case'!E11*$C1055*'Business Case'!E12*$B1055))-'Business Case'!F15*$F1055</f>
        <v>784468017.780337</v>
      </c>
      <c r="M1055" s="53" t="n">
        <f aca="false">(('Business Case'!G11*$C1055*'Business Case'!G12*$B1055)-'Business Case'!G11*$C1055*'Business Case'!G13*$D1055-'Business Case'!G14*$E1055)-MAX(0,(('Business Case'!G11*$C1055*'Business Case'!G12*$B1055)-'Business Case'!G11*$C1055*'Business Case'!G13*$D1055-'Business Case'!G14*$E1055))*'Business Case'!$B$7-'Business Case'!$B$8*(('Business Case'!G11*$C1055*'Business Case'!G12*$B1055)-('Business Case'!F11*$C1055*'Business Case'!F12*$B1055))-'Business Case'!G15*$F1055+'Business Case'!$B$8*('Business Case'!G11*$C1055*'Business Case'!G12*$B1055)</f>
        <v>970940032.961816</v>
      </c>
      <c r="N1055" s="53" t="n">
        <f aca="false">IF(COUNT('Business Case'!B11:G11)=0,"",H1055+NPV(G1055,I1055:M1055))</f>
        <v>-255876465.951711</v>
      </c>
      <c r="P1055" s="54" t="n">
        <f aca="true">RAND()</f>
        <v>0.854592027030517</v>
      </c>
      <c r="Q1055" s="54" t="n">
        <f aca="true">RAND()</f>
        <v>0.402594502513731</v>
      </c>
      <c r="R1055" s="54" t="n">
        <f aca="true">RAND()</f>
        <v>0.569124614299159</v>
      </c>
      <c r="S1055" s="54" t="n">
        <f aca="true">RAND()</f>
        <v>0.943725014919937</v>
      </c>
      <c r="T1055" s="54" t="n">
        <f aca="true">RAND()</f>
        <v>0.430115970310093</v>
      </c>
      <c r="U1055" s="54" t="n">
        <f aca="true">RAND()</f>
        <v>0.825084133672946</v>
      </c>
    </row>
    <row r="1056" customFormat="false" ht="15" hidden="false" customHeight="false" outlineLevel="0" collapsed="false">
      <c r="A1056" s="50" t="n">
        <v>976</v>
      </c>
      <c r="B1056" s="51" t="n">
        <f aca="false">1+IF($G$6=$E$6,$F$6,IF(P1056&lt;($F$6-$E$6)/($G$6-$E$6),$E$6+SQRT(P1056*($G$6-$E$6)*($F$6-$E$6)),$G$6-SQRT((1-P1056)*($G$6-$E$6)*($G$6-$F$6))))</f>
        <v>0.999022502864173</v>
      </c>
      <c r="C1056" s="51" t="n">
        <f aca="false">1+IF($G$7=$E$7,$F$7,IF(Q1056&lt;($F$7-$E$7)/($G$7-$E$7),$E$7+SQRT(Q1056*($G$7-$E$7)*($F$7-$E$7)),$G$7-SQRT((1-Q1056)*($G$7-$E$7)*($G$7-$F$7))))</f>
        <v>1.03979018821759</v>
      </c>
      <c r="D1056" s="51" t="n">
        <f aca="false">1+IF($G$8=$E$8,$F$8,IF(R1056&lt;($F$8-$E$8)/($G$8-$E$8),$E$8+SQRT(R1056*($G$8-$E$8)*($F$8-$E$8)),$G$8-SQRT((1-R1056)*($G$8-$E$8)*($G$8-$F$8))))</f>
        <v>0.959132671979155</v>
      </c>
      <c r="E1056" s="51" t="n">
        <f aca="false">1+IF($G$9=$E$9,$F$9,IF(S1056&lt;($F$9-$E$9)/($G$9-$E$9),$E$9+SQRT(S1056*($G$9-$E$9)*($F$9-$E$9)),$G$9-SQRT((1-S1056)*($G$9-$E$9)*($G$9-$F$9))))</f>
        <v>1.01031633953696</v>
      </c>
      <c r="F1056" s="51" t="n">
        <f aca="false">1+IF($G$10=$E$10,$F$10,IF(T1056&lt;($F$10-$E$10)/($G$10-$E$10),$E$10+SQRT(T1056*($G$10-$E$10)*($F$10-$E$10)),$G$10-SQRT((1-T1056)*($G$10-$E$10)*($G$10-$F$10))))</f>
        <v>0.993621766871208</v>
      </c>
      <c r="G1056" s="52" t="n">
        <f aca="false">IF($G$11=$E$11,$F$11,IF(U1056&lt;($F$11-$E$11)/($G$11-$E$11),$E$11+SQRT(U1056*($G$11-$E$11)*($F$11-$E$11)),$G$11-SQRT((1-U1056)*($G$11-$E$11)*($G$11-$F$11))))</f>
        <v>0.10569195396415</v>
      </c>
      <c r="H1056" s="53" t="n">
        <f aca="false">(('Business Case'!B11*$C1056*'Business Case'!B12*$B1056)-'Business Case'!B11*$C1056*'Business Case'!B13*$D1056-'Business Case'!B14*$E1056)-MAX(0,(('Business Case'!B11*$C1056*'Business Case'!B12*$B1056)-'Business Case'!B11*$C1056*'Business Case'!B13*$D1056-'Business Case'!B14*$E1056))*'Business Case'!$B$7-'Business Case'!$B$8*('Business Case'!B11*$C1056*'Business Case'!B12*$B1056)-'Business Case'!B15*$F1056</f>
        <v>-1987243533.74242</v>
      </c>
      <c r="I1056" s="53" t="n">
        <f aca="false">(('Business Case'!C11*$C1056*'Business Case'!C12*$B1056)-'Business Case'!C11*$C1056*'Business Case'!C13*$D1056-'Business Case'!C14*$E1056)-MAX(0,(('Business Case'!C11*$C1056*'Business Case'!C12*$B1056)-'Business Case'!C11*$C1056*'Business Case'!C13*$D1056-'Business Case'!C14*$E1056))*'Business Case'!$B$7-'Business Case'!$B$8*(('Business Case'!C11*$C1056*'Business Case'!C12*$B1056)-('Business Case'!B11*$C1056*'Business Case'!B12*$B1056))-'Business Case'!C15*$F1056</f>
        <v>43415189.1830222</v>
      </c>
      <c r="J1056" s="53" t="n">
        <f aca="false">(('Business Case'!D11*$C1056*'Business Case'!D12*$B1056)-'Business Case'!D11*$C1056*'Business Case'!D13*$D1056-'Business Case'!D14*$E1056)-MAX(0,(('Business Case'!D11*$C1056*'Business Case'!D12*$B1056)-'Business Case'!D11*$C1056*'Business Case'!D13*$D1056-'Business Case'!D14*$E1056))*'Business Case'!$B$7-'Business Case'!$B$8*(('Business Case'!D11*$C1056*'Business Case'!D12*$B1056)-('Business Case'!C11*$C1056*'Business Case'!C12*$B1056))-'Business Case'!D15*$F1056</f>
        <v>383709572.134827</v>
      </c>
      <c r="K1056" s="53" t="n">
        <f aca="false">(('Business Case'!E11*$C1056*'Business Case'!E12*$B1056)-'Business Case'!E11*$C1056*'Business Case'!E13*$D1056-'Business Case'!E14*$E1056)-MAX(0,(('Business Case'!E11*$C1056*'Business Case'!E12*$B1056)-'Business Case'!E11*$C1056*'Business Case'!E13*$D1056-'Business Case'!E14*$E1056))*'Business Case'!$B$7-'Business Case'!$B$8*(('Business Case'!E11*$C1056*'Business Case'!E12*$B1056)-('Business Case'!D11*$C1056*'Business Case'!D12*$B1056))-'Business Case'!E15*$F1056</f>
        <v>773685043.430191</v>
      </c>
      <c r="L1056" s="53" t="n">
        <f aca="false">(('Business Case'!F11*$C1056*'Business Case'!F12*$B1056)-'Business Case'!F11*$C1056*'Business Case'!F13*$D1056-'Business Case'!F14*$E1056)-MAX(0,(('Business Case'!F11*$C1056*'Business Case'!F12*$B1056)-'Business Case'!F11*$C1056*'Business Case'!F13*$D1056-'Business Case'!F14*$E1056))*'Business Case'!$B$7-'Business Case'!$B$8*(('Business Case'!F11*$C1056*'Business Case'!F12*$B1056)-('Business Case'!E11*$C1056*'Business Case'!E12*$B1056))-'Business Case'!F15*$F1056</f>
        <v>923016526.813796</v>
      </c>
      <c r="M1056" s="53" t="n">
        <f aca="false">(('Business Case'!G11*$C1056*'Business Case'!G12*$B1056)-'Business Case'!G11*$C1056*'Business Case'!G13*$D1056-'Business Case'!G14*$E1056)-MAX(0,(('Business Case'!G11*$C1056*'Business Case'!G12*$B1056)-'Business Case'!G11*$C1056*'Business Case'!G13*$D1056-'Business Case'!G14*$E1056))*'Business Case'!$B$7-'Business Case'!$B$8*(('Business Case'!G11*$C1056*'Business Case'!G12*$B1056)-('Business Case'!F11*$C1056*'Business Case'!F12*$B1056))-'Business Case'!G15*$F1056+'Business Case'!$B$8*('Business Case'!G11*$C1056*'Business Case'!G12*$B1056)</f>
        <v>1120466650.01198</v>
      </c>
      <c r="N1056" s="53" t="n">
        <f aca="false">IF(COUNT('Business Case'!B11:G11)=0,"",H1056+NPV(G1056,I1056:M1056))</f>
        <v>233779269.344607</v>
      </c>
      <c r="P1056" s="54" t="n">
        <f aca="true">RAND()</f>
        <v>0.650474579053986</v>
      </c>
      <c r="Q1056" s="54" t="n">
        <f aca="true">RAND()</f>
        <v>0.768643759750225</v>
      </c>
      <c r="R1056" s="54" t="n">
        <f aca="true">RAND()</f>
        <v>0.0128316457659759</v>
      </c>
      <c r="S1056" s="54" t="n">
        <f aca="true">RAND()</f>
        <v>0.463789403063396</v>
      </c>
      <c r="T1056" s="54" t="n">
        <f aca="true">RAND()</f>
        <v>0.152228683597282</v>
      </c>
      <c r="U1056" s="54" t="n">
        <f aca="true">RAND()</f>
        <v>0.658799697726665</v>
      </c>
    </row>
    <row r="1057" customFormat="false" ht="15" hidden="false" customHeight="false" outlineLevel="0" collapsed="false">
      <c r="A1057" s="50" t="n">
        <v>977</v>
      </c>
      <c r="B1057" s="51" t="n">
        <f aca="false">1+IF($G$6=$E$6,$F$6,IF(P1057&lt;($F$6-$E$6)/($G$6-$E$6),$E$6+SQRT(P1057*($G$6-$E$6)*($F$6-$E$6)),$G$6-SQRT((1-P1057)*($G$6-$E$6)*($G$6-$F$6))))</f>
        <v>1.0338765827799</v>
      </c>
      <c r="C1057" s="51" t="n">
        <f aca="false">1+IF($G$7=$E$7,$F$7,IF(Q1057&lt;($F$7-$E$7)/($G$7-$E$7),$E$7+SQRT(Q1057*($G$7-$E$7)*($F$7-$E$7)),$G$7-SQRT((1-Q1057)*($G$7-$E$7)*($G$7-$F$7))))</f>
        <v>1.03152063474822</v>
      </c>
      <c r="D1057" s="51" t="n">
        <f aca="false">1+IF($G$8=$E$8,$F$8,IF(R1057&lt;($F$8-$E$8)/($G$8-$E$8),$E$8+SQRT(R1057*($G$8-$E$8)*($F$8-$E$8)),$G$8-SQRT((1-R1057)*($G$8-$E$8)*($G$8-$F$8))))</f>
        <v>1.05472533891808</v>
      </c>
      <c r="E1057" s="51" t="n">
        <f aca="false">1+IF($G$9=$E$9,$F$9,IF(S1057&lt;($F$9-$E$9)/($G$9-$E$9),$E$9+SQRT(S1057*($G$9-$E$9)*($F$9-$E$9)),$G$9-SQRT((1-S1057)*($G$9-$E$9)*($G$9-$F$9))))</f>
        <v>0.955025069718597</v>
      </c>
      <c r="F1057" s="51" t="n">
        <f aca="false">1+IF($G$10=$E$10,$F$10,IF(T1057&lt;($F$10-$E$10)/($G$10-$E$10),$E$10+SQRT(T1057*($G$10-$E$10)*($F$10-$E$10)),$G$10-SQRT((1-T1057)*($G$10-$E$10)*($G$10-$F$10))))</f>
        <v>1.05833646314339</v>
      </c>
      <c r="G1057" s="52" t="n">
        <f aca="false">IF($G$11=$E$11,$F$11,IF(U1057&lt;($F$11-$E$11)/($G$11-$E$11),$E$11+SQRT(U1057*($G$11-$E$11)*($F$11-$E$11)),$G$11-SQRT((1-U1057)*($G$11-$E$11)*($G$11-$F$11))))</f>
        <v>0.104583666397932</v>
      </c>
      <c r="H1057" s="53" t="n">
        <f aca="false">(('Business Case'!B11*$C1057*'Business Case'!B12*$B1057)-'Business Case'!B11*$C1057*'Business Case'!B13*$D1057-'Business Case'!B14*$E1057)-MAX(0,(('Business Case'!B11*$C1057*'Business Case'!B12*$B1057)-'Business Case'!B11*$C1057*'Business Case'!B13*$D1057-'Business Case'!B14*$E1057))*'Business Case'!$B$7-'Business Case'!$B$8*('Business Case'!B11*$C1057*'Business Case'!B12*$B1057)-'Business Case'!B15*$F1057</f>
        <v>-2116672926.28677</v>
      </c>
      <c r="I1057" s="53" t="n">
        <f aca="false">(('Business Case'!C11*$C1057*'Business Case'!C12*$B1057)-'Business Case'!C11*$C1057*'Business Case'!C13*$D1057-'Business Case'!C14*$E1057)-MAX(0,(('Business Case'!C11*$C1057*'Business Case'!C12*$B1057)-'Business Case'!C11*$C1057*'Business Case'!C13*$D1057-'Business Case'!C14*$E1057))*'Business Case'!$B$7-'Business Case'!$B$8*(('Business Case'!C11*$C1057*'Business Case'!C12*$B1057)-('Business Case'!B11*$C1057*'Business Case'!B12*$B1057))-'Business Case'!C15*$F1057</f>
        <v>19633796.5605138</v>
      </c>
      <c r="J1057" s="53" t="n">
        <f aca="false">(('Business Case'!D11*$C1057*'Business Case'!D12*$B1057)-'Business Case'!D11*$C1057*'Business Case'!D13*$D1057-'Business Case'!D14*$E1057)-MAX(0,(('Business Case'!D11*$C1057*'Business Case'!D12*$B1057)-'Business Case'!D11*$C1057*'Business Case'!D13*$D1057-'Business Case'!D14*$E1057))*'Business Case'!$B$7-'Business Case'!$B$8*(('Business Case'!D11*$C1057*'Business Case'!D12*$B1057)-('Business Case'!C11*$C1057*'Business Case'!C12*$B1057))-'Business Case'!D15*$F1057</f>
        <v>336191351.448586</v>
      </c>
      <c r="K1057" s="53" t="n">
        <f aca="false">(('Business Case'!E11*$C1057*'Business Case'!E12*$B1057)-'Business Case'!E11*$C1057*'Business Case'!E13*$D1057-'Business Case'!E14*$E1057)-MAX(0,(('Business Case'!E11*$C1057*'Business Case'!E12*$B1057)-'Business Case'!E11*$C1057*'Business Case'!E13*$D1057-'Business Case'!E14*$E1057))*'Business Case'!$B$7-'Business Case'!$B$8*(('Business Case'!E11*$C1057*'Business Case'!E12*$B1057)-('Business Case'!D11*$C1057*'Business Case'!D12*$B1057))-'Business Case'!E15*$F1057</f>
        <v>705665729.493829</v>
      </c>
      <c r="L1057" s="53" t="n">
        <f aca="false">(('Business Case'!F11*$C1057*'Business Case'!F12*$B1057)-'Business Case'!F11*$C1057*'Business Case'!F13*$D1057-'Business Case'!F14*$E1057)-MAX(0,(('Business Case'!F11*$C1057*'Business Case'!F12*$B1057)-'Business Case'!F11*$C1057*'Business Case'!F13*$D1057-'Business Case'!F14*$E1057))*'Business Case'!$B$7-'Business Case'!$B$8*(('Business Case'!F11*$C1057*'Business Case'!F12*$B1057)-('Business Case'!E11*$C1057*'Business Case'!E12*$B1057))-'Business Case'!F15*$F1057</f>
        <v>848041945.85601</v>
      </c>
      <c r="M1057" s="53" t="n">
        <f aca="false">(('Business Case'!G11*$C1057*'Business Case'!G12*$B1057)-'Business Case'!G11*$C1057*'Business Case'!G13*$D1057-'Business Case'!G14*$E1057)-MAX(0,(('Business Case'!G11*$C1057*'Business Case'!G12*$B1057)-'Business Case'!G11*$C1057*'Business Case'!G13*$D1057-'Business Case'!G14*$E1057))*'Business Case'!$B$7-'Business Case'!$B$8*(('Business Case'!G11*$C1057*'Business Case'!G12*$B1057)-('Business Case'!F11*$C1057*'Business Case'!F12*$B1057))-'Business Case'!G15*$F1057+'Business Case'!$B$8*('Business Case'!G11*$C1057*'Business Case'!G12*$B1057)</f>
        <v>1050755618.55321</v>
      </c>
      <c r="N1057" s="53" t="n">
        <f aca="false">IF(COUNT('Business Case'!B11:G11)=0,"",H1057+NPV(G1057,I1057:M1057))</f>
        <v>-91070062.4998636</v>
      </c>
      <c r="P1057" s="54" t="n">
        <f aca="true">RAND()</f>
        <v>0.992188283655947</v>
      </c>
      <c r="Q1057" s="54" t="n">
        <f aca="true">RAND()</f>
        <v>0.732621714467325</v>
      </c>
      <c r="R1057" s="54" t="n">
        <f aca="true">RAND()</f>
        <v>0.938576106460982</v>
      </c>
      <c r="S1057" s="54" t="n">
        <f aca="true">RAND()</f>
        <v>0.00336684342356775</v>
      </c>
      <c r="T1057" s="54" t="n">
        <f aca="true">RAND()</f>
        <v>0.598628846505504</v>
      </c>
      <c r="U1057" s="54" t="n">
        <f aca="true">RAND()</f>
        <v>0.603894430449569</v>
      </c>
    </row>
    <row r="1058" customFormat="false" ht="15" hidden="false" customHeight="false" outlineLevel="0" collapsed="false">
      <c r="A1058" s="50" t="n">
        <v>978</v>
      </c>
      <c r="B1058" s="51" t="n">
        <f aca="false">1+IF($G$6=$E$6,$F$6,IF(P1058&lt;($F$6-$E$6)/($G$6-$E$6),$E$6+SQRT(P1058*($G$6-$E$6)*($F$6-$E$6)),$G$6-SQRT((1-P1058)*($G$6-$E$6)*($G$6-$F$6))))</f>
        <v>1.00451161978926</v>
      </c>
      <c r="C1058" s="51" t="n">
        <f aca="false">1+IF($G$7=$E$7,$F$7,IF(Q1058&lt;($F$7-$E$7)/($G$7-$E$7),$E$7+SQRT(Q1058*($G$7-$E$7)*($F$7-$E$7)),$G$7-SQRT((1-Q1058)*($G$7-$E$7)*($G$7-$F$7))))</f>
        <v>1.06836172912116</v>
      </c>
      <c r="D1058" s="51" t="n">
        <f aca="false">1+IF($G$8=$E$8,$F$8,IF(R1058&lt;($F$8-$E$8)/($G$8-$E$8),$E$8+SQRT(R1058*($G$8-$E$8)*($F$8-$E$8)),$G$8-SQRT((1-R1058)*($G$8-$E$8)*($G$8-$F$8))))</f>
        <v>1.01319374796502</v>
      </c>
      <c r="E1058" s="51" t="n">
        <f aca="false">1+IF($G$9=$E$9,$F$9,IF(S1058&lt;($F$9-$E$9)/($G$9-$E$9),$E$9+SQRT(S1058*($G$9-$E$9)*($F$9-$E$9)),$G$9-SQRT((1-S1058)*($G$9-$E$9)*($G$9-$F$9))))</f>
        <v>1.00081661672229</v>
      </c>
      <c r="F1058" s="51" t="n">
        <f aca="false">1+IF($G$10=$E$10,$F$10,IF(T1058&lt;($F$10-$E$10)/($G$10-$E$10),$E$10+SQRT(T1058*($G$10-$E$10)*($F$10-$E$10)),$G$10-SQRT((1-T1058)*($G$10-$E$10)*($G$10-$F$10))))</f>
        <v>1.09641894403827</v>
      </c>
      <c r="G1058" s="52" t="n">
        <f aca="false">IF($G$11=$E$11,$F$11,IF(U1058&lt;($F$11-$E$11)/($G$11-$E$11),$E$11+SQRT(U1058*($G$11-$E$11)*($F$11-$E$11)),$G$11-SQRT((1-U1058)*($G$11-$E$11)*($G$11-$F$11))))</f>
        <v>0.11968089744302</v>
      </c>
      <c r="H1058" s="53" t="n">
        <f aca="false">(('Business Case'!B11*$C1058*'Business Case'!B12*$B1058)-'Business Case'!B11*$C1058*'Business Case'!B13*$D1058-'Business Case'!B14*$E1058)-MAX(0,(('Business Case'!B11*$C1058*'Business Case'!B12*$B1058)-'Business Case'!B11*$C1058*'Business Case'!B13*$D1058-'Business Case'!B14*$E1058))*'Business Case'!$B$7-'Business Case'!$B$8*('Business Case'!B11*$C1058*'Business Case'!B12*$B1058)-'Business Case'!B15*$F1058</f>
        <v>-2192837888.07654</v>
      </c>
      <c r="I1058" s="53" t="n">
        <f aca="false">(('Business Case'!C11*$C1058*'Business Case'!C12*$B1058)-'Business Case'!C11*$C1058*'Business Case'!C13*$D1058-'Business Case'!C14*$E1058)-MAX(0,(('Business Case'!C11*$C1058*'Business Case'!C12*$B1058)-'Business Case'!C11*$C1058*'Business Case'!C13*$D1058-'Business Case'!C14*$E1058))*'Business Case'!$B$7-'Business Case'!$B$8*(('Business Case'!C11*$C1058*'Business Case'!C12*$B1058)-('Business Case'!B11*$C1058*'Business Case'!B12*$B1058))-'Business Case'!C15*$F1058</f>
        <v>17289774.5015948</v>
      </c>
      <c r="J1058" s="53" t="n">
        <f aca="false">(('Business Case'!D11*$C1058*'Business Case'!D12*$B1058)-'Business Case'!D11*$C1058*'Business Case'!D13*$D1058-'Business Case'!D14*$E1058)-MAX(0,(('Business Case'!D11*$C1058*'Business Case'!D12*$B1058)-'Business Case'!D11*$C1058*'Business Case'!D13*$D1058-'Business Case'!D14*$E1058))*'Business Case'!$B$7-'Business Case'!$B$8*(('Business Case'!D11*$C1058*'Business Case'!D12*$B1058)-('Business Case'!C11*$C1058*'Business Case'!C12*$B1058))-'Business Case'!D15*$F1058</f>
        <v>342171309.315658</v>
      </c>
      <c r="K1058" s="53" t="n">
        <f aca="false">(('Business Case'!E11*$C1058*'Business Case'!E12*$B1058)-'Business Case'!E11*$C1058*'Business Case'!E13*$D1058-'Business Case'!E14*$E1058)-MAX(0,(('Business Case'!E11*$C1058*'Business Case'!E12*$B1058)-'Business Case'!E11*$C1058*'Business Case'!E13*$D1058-'Business Case'!E14*$E1058))*'Business Case'!$B$7-'Business Case'!$B$8*(('Business Case'!E11*$C1058*'Business Case'!E12*$B1058)-('Business Case'!D11*$C1058*'Business Case'!D12*$B1058))-'Business Case'!E15*$F1058</f>
        <v>721873791.331635</v>
      </c>
      <c r="L1058" s="53" t="n">
        <f aca="false">(('Business Case'!F11*$C1058*'Business Case'!F12*$B1058)-'Business Case'!F11*$C1058*'Business Case'!F13*$D1058-'Business Case'!F14*$E1058)-MAX(0,(('Business Case'!F11*$C1058*'Business Case'!F12*$B1058)-'Business Case'!F11*$C1058*'Business Case'!F13*$D1058-'Business Case'!F14*$E1058))*'Business Case'!$B$7-'Business Case'!$B$8*(('Business Case'!F11*$C1058*'Business Case'!F12*$B1058)-('Business Case'!E11*$C1058*'Business Case'!E12*$B1058))-'Business Case'!F15*$F1058</f>
        <v>867256798.276811</v>
      </c>
      <c r="M1058" s="53" t="n">
        <f aca="false">(('Business Case'!G11*$C1058*'Business Case'!G12*$B1058)-'Business Case'!G11*$C1058*'Business Case'!G13*$D1058-'Business Case'!G14*$E1058)-MAX(0,(('Business Case'!G11*$C1058*'Business Case'!G12*$B1058)-'Business Case'!G11*$C1058*'Business Case'!G13*$D1058-'Business Case'!G14*$E1058))*'Business Case'!$B$7-'Business Case'!$B$8*(('Business Case'!G11*$C1058*'Business Case'!G12*$B1058)-('Business Case'!F11*$C1058*'Business Case'!F12*$B1058))-'Business Case'!G15*$F1058+'Business Case'!$B$8*('Business Case'!G11*$C1058*'Business Case'!G12*$B1058)</f>
        <v>1071247189.31616</v>
      </c>
      <c r="N1058" s="53" t="n">
        <f aca="false">IF(COUNT('Business Case'!B11:G11)=0,"",H1058+NPV(G1058,I1058:M1058))</f>
        <v>-229701838.324575</v>
      </c>
      <c r="P1058" s="54" t="n">
        <f aca="true">RAND()</f>
        <v>0.73761976458701</v>
      </c>
      <c r="Q1058" s="54" t="n">
        <f aca="true">RAND()</f>
        <v>0.873051290055474</v>
      </c>
      <c r="R1058" s="54" t="n">
        <f aca="true">RAND()</f>
        <v>0.570858143176754</v>
      </c>
      <c r="S1058" s="54" t="n">
        <f aca="true">RAND()</f>
        <v>0.344177098772503</v>
      </c>
      <c r="T1058" s="54" t="n">
        <f aca="true">RAND()</f>
        <v>0.785419296917067</v>
      </c>
      <c r="U1058" s="54" t="n">
        <f aca="true">RAND()</f>
        <v>0.999830289263548</v>
      </c>
    </row>
    <row r="1059" customFormat="false" ht="15" hidden="false" customHeight="false" outlineLevel="0" collapsed="false">
      <c r="A1059" s="50" t="n">
        <v>979</v>
      </c>
      <c r="B1059" s="51" t="n">
        <f aca="false">1+IF($G$6=$E$6,$F$6,IF(P1059&lt;($F$6-$E$6)/($G$6-$E$6),$E$6+SQRT(P1059*($G$6-$E$6)*($F$6-$E$6)),$G$6-SQRT((1-P1059)*($G$6-$E$6)*($G$6-$F$6))))</f>
        <v>0.939746749369426</v>
      </c>
      <c r="C1059" s="51" t="n">
        <f aca="false">1+IF($G$7=$E$7,$F$7,IF(Q1059&lt;($F$7-$E$7)/($G$7-$E$7),$E$7+SQRT(Q1059*($G$7-$E$7)*($F$7-$E$7)),$G$7-SQRT((1-Q1059)*($G$7-$E$7)*($G$7-$F$7))))</f>
        <v>1.06117153085533</v>
      </c>
      <c r="D1059" s="51" t="n">
        <f aca="false">1+IF($G$8=$E$8,$F$8,IF(R1059&lt;($F$8-$E$8)/($G$8-$E$8),$E$8+SQRT(R1059*($G$8-$E$8)*($F$8-$E$8)),$G$8-SQRT((1-R1059)*($G$8-$E$8)*($G$8-$F$8))))</f>
        <v>1.03091185273663</v>
      </c>
      <c r="E1059" s="51" t="n">
        <f aca="false">1+IF($G$9=$E$9,$F$9,IF(S1059&lt;($F$9-$E$9)/($G$9-$E$9),$E$9+SQRT(S1059*($G$9-$E$9)*($F$9-$E$9)),$G$9-SQRT((1-S1059)*($G$9-$E$9)*($G$9-$F$9))))</f>
        <v>1.04375516211326</v>
      </c>
      <c r="F1059" s="51" t="n">
        <f aca="false">1+IF($G$10=$E$10,$F$10,IF(T1059&lt;($F$10-$E$10)/($G$10-$E$10),$E$10+SQRT(T1059*($G$10-$E$10)*($F$10-$E$10)),$G$10-SQRT((1-T1059)*($G$10-$E$10)*($G$10-$F$10))))</f>
        <v>0.995716389874559</v>
      </c>
      <c r="G1059" s="52" t="n">
        <f aca="false">IF($G$11=$E$11,$F$11,IF(U1059&lt;($F$11-$E$11)/($G$11-$E$11),$E$11+SQRT(U1059*($G$11-$E$11)*($F$11-$E$11)),$G$11-SQRT((1-U1059)*($G$11-$E$11)*($G$11-$F$11))))</f>
        <v>0.0997911849240202</v>
      </c>
      <c r="H1059" s="53" t="n">
        <f aca="false">(('Business Case'!B11*$C1059*'Business Case'!B12*$B1059)-'Business Case'!B11*$C1059*'Business Case'!B13*$D1059-'Business Case'!B14*$E1059)-MAX(0,(('Business Case'!B11*$C1059*'Business Case'!B12*$B1059)-'Business Case'!B11*$C1059*'Business Case'!B13*$D1059-'Business Case'!B14*$E1059))*'Business Case'!$B$7-'Business Case'!$B$8*('Business Case'!B11*$C1059*'Business Case'!B12*$B1059)-'Business Case'!B15*$F1059</f>
        <v>-1991432779.74912</v>
      </c>
      <c r="I1059" s="53" t="n">
        <f aca="false">(('Business Case'!C11*$C1059*'Business Case'!C12*$B1059)-'Business Case'!C11*$C1059*'Business Case'!C13*$D1059-'Business Case'!C14*$E1059)-MAX(0,(('Business Case'!C11*$C1059*'Business Case'!C12*$B1059)-'Business Case'!C11*$C1059*'Business Case'!C13*$D1059-'Business Case'!C14*$E1059))*'Business Case'!$B$7-'Business Case'!$B$8*(('Business Case'!C11*$C1059*'Business Case'!C12*$B1059)-('Business Case'!B11*$C1059*'Business Case'!B12*$B1059))-'Business Case'!C15*$F1059</f>
        <v>-42912268.4096204</v>
      </c>
      <c r="J1059" s="53" t="n">
        <f aca="false">(('Business Case'!D11*$C1059*'Business Case'!D12*$B1059)-'Business Case'!D11*$C1059*'Business Case'!D13*$D1059-'Business Case'!D14*$E1059)-MAX(0,(('Business Case'!D11*$C1059*'Business Case'!D12*$B1059)-'Business Case'!D11*$C1059*'Business Case'!D13*$D1059-'Business Case'!D14*$E1059))*'Business Case'!$B$7-'Business Case'!$B$8*(('Business Case'!D11*$C1059*'Business Case'!D12*$B1059)-('Business Case'!C11*$C1059*'Business Case'!C12*$B1059))-'Business Case'!D15*$F1059</f>
        <v>213865618.846781</v>
      </c>
      <c r="K1059" s="53" t="n">
        <f aca="false">(('Business Case'!E11*$C1059*'Business Case'!E12*$B1059)-'Business Case'!E11*$C1059*'Business Case'!E13*$D1059-'Business Case'!E14*$E1059)-MAX(0,(('Business Case'!E11*$C1059*'Business Case'!E12*$B1059)-'Business Case'!E11*$C1059*'Business Case'!E13*$D1059-'Business Case'!E14*$E1059))*'Business Case'!$B$7-'Business Case'!$B$8*(('Business Case'!E11*$C1059*'Business Case'!E12*$B1059)-('Business Case'!D11*$C1059*'Business Case'!D12*$B1059))-'Business Case'!E15*$F1059</f>
        <v>520429325.59691</v>
      </c>
      <c r="L1059" s="53" t="n">
        <f aca="false">(('Business Case'!F11*$C1059*'Business Case'!F12*$B1059)-'Business Case'!F11*$C1059*'Business Case'!F13*$D1059-'Business Case'!F14*$E1059)-MAX(0,(('Business Case'!F11*$C1059*'Business Case'!F12*$B1059)-'Business Case'!F11*$C1059*'Business Case'!F13*$D1059-'Business Case'!F14*$E1059))*'Business Case'!$B$7-'Business Case'!$B$8*(('Business Case'!F11*$C1059*'Business Case'!F12*$B1059)-('Business Case'!E11*$C1059*'Business Case'!E12*$B1059))-'Business Case'!F15*$F1059</f>
        <v>640486309.766417</v>
      </c>
      <c r="M1059" s="53" t="n">
        <f aca="false">(('Business Case'!G11*$C1059*'Business Case'!G12*$B1059)-'Business Case'!G11*$C1059*'Business Case'!G13*$D1059-'Business Case'!G14*$E1059)-MAX(0,(('Business Case'!G11*$C1059*'Business Case'!G12*$B1059)-'Business Case'!G11*$C1059*'Business Case'!G13*$D1059-'Business Case'!G14*$E1059))*'Business Case'!$B$7-'Business Case'!$B$8*(('Business Case'!G11*$C1059*'Business Case'!G12*$B1059)-('Business Case'!F11*$C1059*'Business Case'!F12*$B1059))-'Business Case'!G15*$F1059+'Business Case'!$B$8*('Business Case'!G11*$C1059*'Business Case'!G12*$B1059)</f>
        <v>830040262.728637</v>
      </c>
      <c r="N1059" s="53" t="n">
        <f aca="false">IF(COUNT('Business Case'!B11:G11)=0,"",H1059+NPV(G1059,I1059:M1059))</f>
        <v>-508734489.215554</v>
      </c>
      <c r="P1059" s="54" t="n">
        <f aca="true">RAND()</f>
        <v>0.0406181365269722</v>
      </c>
      <c r="Q1059" s="54" t="n">
        <f aca="true">RAND()</f>
        <v>0.849704820369797</v>
      </c>
      <c r="R1059" s="54" t="n">
        <f aca="true">RAND()</f>
        <v>0.768303249831674</v>
      </c>
      <c r="S1059" s="54" t="n">
        <f aca="true">RAND()</f>
        <v>0.789101214072981</v>
      </c>
      <c r="T1059" s="54" t="n">
        <f aca="true">RAND()</f>
        <v>0.167199064253012</v>
      </c>
      <c r="U1059" s="54" t="n">
        <f aca="true">RAND()</f>
        <v>0.319557674054533</v>
      </c>
    </row>
    <row r="1060" customFormat="false" ht="15" hidden="false" customHeight="false" outlineLevel="0" collapsed="false">
      <c r="A1060" s="50" t="n">
        <v>980</v>
      </c>
      <c r="B1060" s="51" t="n">
        <f aca="false">1+IF($G$6=$E$6,$F$6,IF(P1060&lt;($F$6-$E$6)/($G$6-$E$6),$E$6+SQRT(P1060*($G$6-$E$6)*($F$6-$E$6)),$G$6-SQRT((1-P1060)*($G$6-$E$6)*($G$6-$F$6))))</f>
        <v>1.00335586471481</v>
      </c>
      <c r="C1060" s="51" t="n">
        <f aca="false">1+IF($G$7=$E$7,$F$7,IF(Q1060&lt;($F$7-$E$7)/($G$7-$E$7),$E$7+SQRT(Q1060*($G$7-$E$7)*($F$7-$E$7)),$G$7-SQRT((1-Q1060)*($G$7-$E$7)*($G$7-$F$7))))</f>
        <v>1.0291938176066</v>
      </c>
      <c r="D1060" s="51" t="n">
        <f aca="false">1+IF($G$8=$E$8,$F$8,IF(R1060&lt;($F$8-$E$8)/($G$8-$E$8),$E$8+SQRT(R1060*($G$8-$E$8)*($F$8-$E$8)),$G$8-SQRT((1-R1060)*($G$8-$E$8)*($G$8-$F$8))))</f>
        <v>0.989552460200057</v>
      </c>
      <c r="E1060" s="51" t="n">
        <f aca="false">1+IF($G$9=$E$9,$F$9,IF(S1060&lt;($F$9-$E$9)/($G$9-$E$9),$E$9+SQRT(S1060*($G$9-$E$9)*($F$9-$E$9)),$G$9-SQRT((1-S1060)*($G$9-$E$9)*($G$9-$F$9))))</f>
        <v>1.02357698838485</v>
      </c>
      <c r="F1060" s="51" t="n">
        <f aca="false">1+IF($G$10=$E$10,$F$10,IF(T1060&lt;($F$10-$E$10)/($G$10-$E$10),$E$10+SQRT(T1060*($G$10-$E$10)*($F$10-$E$10)),$G$10-SQRT((1-T1060)*($G$10-$E$10)*($G$10-$F$10))))</f>
        <v>1.15008026533905</v>
      </c>
      <c r="G1060" s="52" t="n">
        <f aca="false">IF($G$11=$E$11,$F$11,IF(U1060&lt;($F$11-$E$11)/($G$11-$E$11),$E$11+SQRT(U1060*($G$11-$E$11)*($F$11-$E$11)),$G$11-SQRT((1-U1060)*($G$11-$E$11)*($G$11-$F$11))))</f>
        <v>0.0963125789207225</v>
      </c>
      <c r="H1060" s="53" t="n">
        <f aca="false">(('Business Case'!B11*$C1060*'Business Case'!B12*$B1060)-'Business Case'!B11*$C1060*'Business Case'!B13*$D1060-'Business Case'!B14*$E1060)-MAX(0,(('Business Case'!B11*$C1060*'Business Case'!B12*$B1060)-'Business Case'!B11*$C1060*'Business Case'!B13*$D1060-'Business Case'!B14*$E1060))*'Business Case'!$B$7-'Business Case'!$B$8*('Business Case'!B11*$C1060*'Business Case'!B12*$B1060)-'Business Case'!B15*$F1060</f>
        <v>-2300160530.67809</v>
      </c>
      <c r="I1060" s="53" t="n">
        <f aca="false">(('Business Case'!C11*$C1060*'Business Case'!C12*$B1060)-'Business Case'!C11*$C1060*'Business Case'!C13*$D1060-'Business Case'!C14*$E1060)-MAX(0,(('Business Case'!C11*$C1060*'Business Case'!C12*$B1060)-'Business Case'!C11*$C1060*'Business Case'!C13*$D1060-'Business Case'!C14*$E1060))*'Business Case'!$B$7-'Business Case'!$B$8*(('Business Case'!C11*$C1060*'Business Case'!C12*$B1060)-('Business Case'!B11*$C1060*'Business Case'!B12*$B1060))-'Business Case'!C15*$F1060</f>
        <v>10359192.5825497</v>
      </c>
      <c r="J1060" s="53" t="n">
        <f aca="false">(('Business Case'!D11*$C1060*'Business Case'!D12*$B1060)-'Business Case'!D11*$C1060*'Business Case'!D13*$D1060-'Business Case'!D14*$E1060)-MAX(0,(('Business Case'!D11*$C1060*'Business Case'!D12*$B1060)-'Business Case'!D11*$C1060*'Business Case'!D13*$D1060-'Business Case'!D14*$E1060))*'Business Case'!$B$7-'Business Case'!$B$8*(('Business Case'!D11*$C1060*'Business Case'!D12*$B1060)-('Business Case'!C11*$C1060*'Business Case'!C12*$B1060))-'Business Case'!D15*$F1060</f>
        <v>334811513.769716</v>
      </c>
      <c r="K1060" s="53" t="n">
        <f aca="false">(('Business Case'!E11*$C1060*'Business Case'!E12*$B1060)-'Business Case'!E11*$C1060*'Business Case'!E13*$D1060-'Business Case'!E14*$E1060)-MAX(0,(('Business Case'!E11*$C1060*'Business Case'!E12*$B1060)-'Business Case'!E11*$C1060*'Business Case'!E13*$D1060-'Business Case'!E14*$E1060))*'Business Case'!$B$7-'Business Case'!$B$8*(('Business Case'!E11*$C1060*'Business Case'!E12*$B1060)-('Business Case'!D11*$C1060*'Business Case'!D12*$B1060))-'Business Case'!E15*$F1060</f>
        <v>716767848.223835</v>
      </c>
      <c r="L1060" s="53" t="n">
        <f aca="false">(('Business Case'!F11*$C1060*'Business Case'!F12*$B1060)-'Business Case'!F11*$C1060*'Business Case'!F13*$D1060-'Business Case'!F14*$E1060)-MAX(0,(('Business Case'!F11*$C1060*'Business Case'!F12*$B1060)-'Business Case'!F11*$C1060*'Business Case'!F13*$D1060-'Business Case'!F14*$E1060))*'Business Case'!$B$7-'Business Case'!$B$8*(('Business Case'!F11*$C1060*'Business Case'!F12*$B1060)-('Business Case'!E11*$C1060*'Business Case'!E12*$B1060))-'Business Case'!F15*$F1060</f>
        <v>860606924.834481</v>
      </c>
      <c r="M1060" s="53" t="n">
        <f aca="false">(('Business Case'!G11*$C1060*'Business Case'!G12*$B1060)-'Business Case'!G11*$C1060*'Business Case'!G13*$D1060-'Business Case'!G14*$E1060)-MAX(0,(('Business Case'!G11*$C1060*'Business Case'!G12*$B1060)-'Business Case'!G11*$C1060*'Business Case'!G13*$D1060-'Business Case'!G14*$E1060))*'Business Case'!$B$7-'Business Case'!$B$8*(('Business Case'!G11*$C1060*'Business Case'!G12*$B1060)-('Business Case'!F11*$C1060*'Business Case'!F12*$B1060))-'Business Case'!G15*$F1060+'Business Case'!$B$8*('Business Case'!G11*$C1060*'Business Case'!G12*$B1060)</f>
        <v>1056892590.68323</v>
      </c>
      <c r="N1060" s="53" t="n">
        <f aca="false">IF(COUNT('Business Case'!B11:G11)=0,"",H1060+NPV(G1060,I1060:M1060))</f>
        <v>-205060323.89619</v>
      </c>
      <c r="P1060" s="54" t="n">
        <f aca="true">RAND()</f>
        <v>0.720251531083505</v>
      </c>
      <c r="Q1060" s="54" t="n">
        <f aca="true">RAND()</f>
        <v>0.72201650086727</v>
      </c>
      <c r="R1060" s="54" t="n">
        <f aca="true">RAND()</f>
        <v>0.240676478134938</v>
      </c>
      <c r="S1060" s="54" t="n">
        <f aca="true">RAND()</f>
        <v>0.610634886378077</v>
      </c>
      <c r="T1060" s="54" t="n">
        <f aca="true">RAND()</f>
        <v>0.950160401827599</v>
      </c>
      <c r="U1060" s="54" t="n">
        <f aca="true">RAND()</f>
        <v>0.132828842101167</v>
      </c>
    </row>
    <row r="1061" customFormat="false" ht="15" hidden="false" customHeight="false" outlineLevel="0" collapsed="false">
      <c r="A1061" s="50" t="n">
        <v>981</v>
      </c>
      <c r="B1061" s="51" t="n">
        <f aca="false">1+IF($G$6=$E$6,$F$6,IF(P1061&lt;($F$6-$E$6)/($G$6-$E$6),$E$6+SQRT(P1061*($G$6-$E$6)*($F$6-$E$6)),$G$6-SQRT((1-P1061)*($G$6-$E$6)*($G$6-$F$6))))</f>
        <v>1.00463391581715</v>
      </c>
      <c r="C1061" s="51" t="n">
        <f aca="false">1+IF($G$7=$E$7,$F$7,IF(Q1061&lt;($F$7-$E$7)/($G$7-$E$7),$E$7+SQRT(Q1061*($G$7-$E$7)*($F$7-$E$7)),$G$7-SQRT((1-Q1061)*($G$7-$E$7)*($G$7-$F$7))))</f>
        <v>1.0386445954021</v>
      </c>
      <c r="D1061" s="51" t="n">
        <f aca="false">1+IF($G$8=$E$8,$F$8,IF(R1061&lt;($F$8-$E$8)/($G$8-$E$8),$E$8+SQRT(R1061*($G$8-$E$8)*($F$8-$E$8)),$G$8-SQRT((1-R1061)*($G$8-$E$8)*($G$8-$F$8))))</f>
        <v>1.03185321927751</v>
      </c>
      <c r="E1061" s="51" t="n">
        <f aca="false">1+IF($G$9=$E$9,$F$9,IF(S1061&lt;($F$9-$E$9)/($G$9-$E$9),$E$9+SQRT(S1061*($G$9-$E$9)*($F$9-$E$9)),$G$9-SQRT((1-S1061)*($G$9-$E$9)*($G$9-$F$9))))</f>
        <v>0.959729914302567</v>
      </c>
      <c r="F1061" s="51" t="n">
        <f aca="false">1+IF($G$10=$E$10,$F$10,IF(T1061&lt;($F$10-$E$10)/($G$10-$E$10),$E$10+SQRT(T1061*($G$10-$E$10)*($F$10-$E$10)),$G$10-SQRT((1-T1061)*($G$10-$E$10)*($G$10-$F$10))))</f>
        <v>1.10308420981934</v>
      </c>
      <c r="G1061" s="52" t="n">
        <f aca="false">IF($G$11=$E$11,$F$11,IF(U1061&lt;($F$11-$E$11)/($G$11-$E$11),$E$11+SQRT(U1061*($G$11-$E$11)*($F$11-$E$11)),$G$11-SQRT((1-U1061)*($G$11-$E$11)*($G$11-$F$11))))</f>
        <v>0.0995664393243447</v>
      </c>
      <c r="H1061" s="53" t="n">
        <f aca="false">(('Business Case'!B11*$C1061*'Business Case'!B12*$B1061)-'Business Case'!B11*$C1061*'Business Case'!B13*$D1061-'Business Case'!B14*$E1061)-MAX(0,(('Business Case'!B11*$C1061*'Business Case'!B12*$B1061)-'Business Case'!B11*$C1061*'Business Case'!B13*$D1061-'Business Case'!B14*$E1061))*'Business Case'!$B$7-'Business Case'!$B$8*('Business Case'!B11*$C1061*'Business Case'!B12*$B1061)-'Business Case'!B15*$F1061</f>
        <v>-2206168419.63867</v>
      </c>
      <c r="I1061" s="53" t="n">
        <f aca="false">(('Business Case'!C11*$C1061*'Business Case'!C12*$B1061)-'Business Case'!C11*$C1061*'Business Case'!C13*$D1061-'Business Case'!C14*$E1061)-MAX(0,(('Business Case'!C11*$C1061*'Business Case'!C12*$B1061)-'Business Case'!C11*$C1061*'Business Case'!C13*$D1061-'Business Case'!C14*$E1061))*'Business Case'!$B$7-'Business Case'!$B$8*(('Business Case'!C11*$C1061*'Business Case'!C12*$B1061)-('Business Case'!B11*$C1061*'Business Case'!B12*$B1061))-'Business Case'!C15*$F1061</f>
        <v>5152644.95235963</v>
      </c>
      <c r="J1061" s="53" t="n">
        <f aca="false">(('Business Case'!D11*$C1061*'Business Case'!D12*$B1061)-'Business Case'!D11*$C1061*'Business Case'!D13*$D1061-'Business Case'!D14*$E1061)-MAX(0,(('Business Case'!D11*$C1061*'Business Case'!D12*$B1061)-'Business Case'!D11*$C1061*'Business Case'!D13*$D1061-'Business Case'!D14*$E1061))*'Business Case'!$B$7-'Business Case'!$B$8*(('Business Case'!D11*$C1061*'Business Case'!D12*$B1061)-('Business Case'!C11*$C1061*'Business Case'!C12*$B1061))-'Business Case'!D15*$F1061</f>
        <v>311180146.011653</v>
      </c>
      <c r="K1061" s="53" t="n">
        <f aca="false">(('Business Case'!E11*$C1061*'Business Case'!E12*$B1061)-'Business Case'!E11*$C1061*'Business Case'!E13*$D1061-'Business Case'!E14*$E1061)-MAX(0,(('Business Case'!E11*$C1061*'Business Case'!E12*$B1061)-'Business Case'!E11*$C1061*'Business Case'!E13*$D1061-'Business Case'!E14*$E1061))*'Business Case'!$B$7-'Business Case'!$B$8*(('Business Case'!E11*$C1061*'Business Case'!E12*$B1061)-('Business Case'!D11*$C1061*'Business Case'!D12*$B1061))-'Business Case'!E15*$F1061</f>
        <v>672361857.561913</v>
      </c>
      <c r="L1061" s="53" t="n">
        <f aca="false">(('Business Case'!F11*$C1061*'Business Case'!F12*$B1061)-'Business Case'!F11*$C1061*'Business Case'!F13*$D1061-'Business Case'!F14*$E1061)-MAX(0,(('Business Case'!F11*$C1061*'Business Case'!F12*$B1061)-'Business Case'!F11*$C1061*'Business Case'!F13*$D1061-'Business Case'!F14*$E1061))*'Business Case'!$B$7-'Business Case'!$B$8*(('Business Case'!F11*$C1061*'Business Case'!F12*$B1061)-('Business Case'!E11*$C1061*'Business Case'!E12*$B1061))-'Business Case'!F15*$F1061</f>
        <v>810432918.789127</v>
      </c>
      <c r="M1061" s="53" t="n">
        <f aca="false">(('Business Case'!G11*$C1061*'Business Case'!G12*$B1061)-'Business Case'!G11*$C1061*'Business Case'!G13*$D1061-'Business Case'!G14*$E1061)-MAX(0,(('Business Case'!G11*$C1061*'Business Case'!G12*$B1061)-'Business Case'!G11*$C1061*'Business Case'!G13*$D1061-'Business Case'!G14*$E1061))*'Business Case'!$B$7-'Business Case'!$B$8*(('Business Case'!G11*$C1061*'Business Case'!G12*$B1061)-('Business Case'!F11*$C1061*'Business Case'!F12*$B1061))-'Business Case'!G15*$F1061+'Business Case'!$B$8*('Business Case'!G11*$C1061*'Business Case'!G12*$B1061)</f>
        <v>1008773336.9301</v>
      </c>
      <c r="N1061" s="53" t="n">
        <f aca="false">IF(COUNT('Business Case'!B11:G11)=0,"",H1061+NPV(G1061,I1061:M1061))</f>
        <v>-256337740.26452</v>
      </c>
      <c r="P1061" s="54" t="n">
        <f aca="true">RAND()</f>
        <v>0.739425018660717</v>
      </c>
      <c r="Q1061" s="54" t="n">
        <f aca="true">RAND()</f>
        <v>0.763809026034994</v>
      </c>
      <c r="R1061" s="54" t="n">
        <f aca="true">RAND()</f>
        <v>0.777104567890434</v>
      </c>
      <c r="S1061" s="54" t="n">
        <f aca="true">RAND()</f>
        <v>0.0126228309780386</v>
      </c>
      <c r="T1061" s="54" t="n">
        <f aca="true">RAND()</f>
        <v>0.812146592273149</v>
      </c>
      <c r="U1061" s="54" t="n">
        <f aca="true">RAND()</f>
        <v>0.305055871154562</v>
      </c>
    </row>
    <row r="1062" customFormat="false" ht="15" hidden="false" customHeight="false" outlineLevel="0" collapsed="false">
      <c r="A1062" s="50" t="n">
        <v>982</v>
      </c>
      <c r="B1062" s="51" t="n">
        <f aca="false">1+IF($G$6=$E$6,$F$6,IF(P1062&lt;($F$6-$E$6)/($G$6-$E$6),$E$6+SQRT(P1062*($G$6-$E$6)*($F$6-$E$6)),$G$6-SQRT((1-P1062)*($G$6-$E$6)*($G$6-$F$6))))</f>
        <v>0.987441194273916</v>
      </c>
      <c r="C1062" s="51" t="n">
        <f aca="false">1+IF($G$7=$E$7,$F$7,IF(Q1062&lt;($F$7-$E$7)/($G$7-$E$7),$E$7+SQRT(Q1062*($G$7-$E$7)*($F$7-$E$7)),$G$7-SQRT((1-Q1062)*($G$7-$E$7)*($G$7-$F$7))))</f>
        <v>1.06554514693648</v>
      </c>
      <c r="D1062" s="51" t="n">
        <f aca="false">1+IF($G$8=$E$8,$F$8,IF(R1062&lt;($F$8-$E$8)/($G$8-$E$8),$E$8+SQRT(R1062*($G$8-$E$8)*($F$8-$E$8)),$G$8-SQRT((1-R1062)*($G$8-$E$8)*($G$8-$F$8))))</f>
        <v>0.990548496384197</v>
      </c>
      <c r="E1062" s="51" t="n">
        <f aca="false">1+IF($G$9=$E$9,$F$9,IF(S1062&lt;($F$9-$E$9)/($G$9-$E$9),$E$9+SQRT(S1062*($G$9-$E$9)*($F$9-$E$9)),$G$9-SQRT((1-S1062)*($G$9-$E$9)*($G$9-$F$9))))</f>
        <v>0.971728702608297</v>
      </c>
      <c r="F1062" s="51" t="n">
        <f aca="false">1+IF($G$10=$E$10,$F$10,IF(T1062&lt;($F$10-$E$10)/($G$10-$E$10),$E$10+SQRT(T1062*($G$10-$E$10)*($F$10-$E$10)),$G$10-SQRT((1-T1062)*($G$10-$E$10)*($G$10-$F$10))))</f>
        <v>1.12574561374414</v>
      </c>
      <c r="G1062" s="52" t="n">
        <f aca="false">IF($G$11=$E$11,$F$11,IF(U1062&lt;($F$11-$E$11)/($G$11-$E$11),$E$11+SQRT(U1062*($G$11-$E$11)*($F$11-$E$11)),$G$11-SQRT((1-U1062)*($G$11-$E$11)*($G$11-$F$11))))</f>
        <v>0.10662264047302</v>
      </c>
      <c r="H1062" s="53" t="n">
        <f aca="false">(('Business Case'!B11*$C1062*'Business Case'!B12*$B1062)-'Business Case'!B11*$C1062*'Business Case'!B13*$D1062-'Business Case'!B14*$E1062)-MAX(0,(('Business Case'!B11*$C1062*'Business Case'!B12*$B1062)-'Business Case'!B11*$C1062*'Business Case'!B13*$D1062-'Business Case'!B14*$E1062))*'Business Case'!$B$7-'Business Case'!$B$8*('Business Case'!B11*$C1062*'Business Case'!B12*$B1062)-'Business Case'!B15*$F1062</f>
        <v>-2251491227.48827</v>
      </c>
      <c r="I1062" s="53" t="n">
        <f aca="false">(('Business Case'!C11*$C1062*'Business Case'!C12*$B1062)-'Business Case'!C11*$C1062*'Business Case'!C13*$D1062-'Business Case'!C14*$E1062)-MAX(0,(('Business Case'!C11*$C1062*'Business Case'!C12*$B1062)-'Business Case'!C11*$C1062*'Business Case'!C13*$D1062-'Business Case'!C14*$E1062))*'Business Case'!$B$7-'Business Case'!$B$8*(('Business Case'!C11*$C1062*'Business Case'!C12*$B1062)-('Business Case'!B11*$C1062*'Business Case'!B12*$B1062))-'Business Case'!C15*$F1062</f>
        <v>16180548.8852544</v>
      </c>
      <c r="J1062" s="53" t="n">
        <f aca="false">(('Business Case'!D11*$C1062*'Business Case'!D12*$B1062)-'Business Case'!D11*$C1062*'Business Case'!D13*$D1062-'Business Case'!D14*$E1062)-MAX(0,(('Business Case'!D11*$C1062*'Business Case'!D12*$B1062)-'Business Case'!D11*$C1062*'Business Case'!D13*$D1062-'Business Case'!D14*$E1062))*'Business Case'!$B$7-'Business Case'!$B$8*(('Business Case'!D11*$C1062*'Business Case'!D12*$B1062)-('Business Case'!C11*$C1062*'Business Case'!C12*$B1062))-'Business Case'!D15*$F1062</f>
        <v>337659619.515305</v>
      </c>
      <c r="K1062" s="53" t="n">
        <f aca="false">(('Business Case'!E11*$C1062*'Business Case'!E12*$B1062)-'Business Case'!E11*$C1062*'Business Case'!E13*$D1062-'Business Case'!E14*$E1062)-MAX(0,(('Business Case'!E11*$C1062*'Business Case'!E12*$B1062)-'Business Case'!E11*$C1062*'Business Case'!E13*$D1062-'Business Case'!E14*$E1062))*'Business Case'!$B$7-'Business Case'!$B$8*(('Business Case'!E11*$C1062*'Business Case'!E12*$B1062)-('Business Case'!D11*$C1062*'Business Case'!D12*$B1062))-'Business Case'!E15*$F1062</f>
        <v>715425970.832563</v>
      </c>
      <c r="L1062" s="53" t="n">
        <f aca="false">(('Business Case'!F11*$C1062*'Business Case'!F12*$B1062)-'Business Case'!F11*$C1062*'Business Case'!F13*$D1062-'Business Case'!F14*$E1062)-MAX(0,(('Business Case'!F11*$C1062*'Business Case'!F12*$B1062)-'Business Case'!F11*$C1062*'Business Case'!F13*$D1062-'Business Case'!F14*$E1062))*'Business Case'!$B$7-'Business Case'!$B$8*(('Business Case'!F11*$C1062*'Business Case'!F12*$B1062)-('Business Case'!E11*$C1062*'Business Case'!E12*$B1062))-'Business Case'!F15*$F1062</f>
        <v>858948420.282236</v>
      </c>
      <c r="M1062" s="53" t="n">
        <f aca="false">(('Business Case'!G11*$C1062*'Business Case'!G12*$B1062)-'Business Case'!G11*$C1062*'Business Case'!G13*$D1062-'Business Case'!G14*$E1062)-MAX(0,(('Business Case'!G11*$C1062*'Business Case'!G12*$B1062)-'Business Case'!G11*$C1062*'Business Case'!G13*$D1062-'Business Case'!G14*$E1062))*'Business Case'!$B$7-'Business Case'!$B$8*(('Business Case'!G11*$C1062*'Business Case'!G12*$B1062)-('Business Case'!F11*$C1062*'Business Case'!F12*$B1062))-'Business Case'!G15*$F1062+'Business Case'!$B$8*('Business Case'!G11*$C1062*'Business Case'!G12*$B1062)</f>
        <v>1058943596.10034</v>
      </c>
      <c r="N1062" s="53" t="n">
        <f aca="false">IF(COUNT('Business Case'!B11:G11)=0,"",H1062+NPV(G1062,I1062:M1062))</f>
        <v>-222389818.408857</v>
      </c>
      <c r="P1062" s="54" t="n">
        <f aca="true">RAND()</f>
        <v>0.47378277969709</v>
      </c>
      <c r="Q1062" s="54" t="n">
        <f aca="true">RAND()</f>
        <v>0.864140529409897</v>
      </c>
      <c r="R1062" s="54" t="n">
        <f aca="true">RAND()</f>
        <v>0.252950855233727</v>
      </c>
      <c r="S1062" s="54" t="n">
        <f aca="true">RAND()</f>
        <v>0.0629515356053072</v>
      </c>
      <c r="T1062" s="54" t="n">
        <f aca="true">RAND()</f>
        <v>0.8897257224353</v>
      </c>
      <c r="U1062" s="54" t="n">
        <f aca="true">RAND()</f>
        <v>0.701743753476519</v>
      </c>
    </row>
    <row r="1063" customFormat="false" ht="15" hidden="false" customHeight="false" outlineLevel="0" collapsed="false">
      <c r="A1063" s="50" t="n">
        <v>983</v>
      </c>
      <c r="B1063" s="51" t="n">
        <f aca="false">1+IF($G$6=$E$6,$F$6,IF(P1063&lt;($F$6-$E$6)/($G$6-$E$6),$E$6+SQRT(P1063*($G$6-$E$6)*($F$6-$E$6)),$G$6-SQRT((1-P1063)*($G$6-$E$6)*($G$6-$F$6))))</f>
        <v>0.986946034990825</v>
      </c>
      <c r="C1063" s="51" t="n">
        <f aca="false">1+IF($G$7=$E$7,$F$7,IF(Q1063&lt;($F$7-$E$7)/($G$7-$E$7),$E$7+SQRT(Q1063*($G$7-$E$7)*($F$7-$E$7)),$G$7-SQRT((1-Q1063)*($G$7-$E$7)*($G$7-$F$7))))</f>
        <v>0.848606389236933</v>
      </c>
      <c r="D1063" s="51" t="n">
        <f aca="false">1+IF($G$8=$E$8,$F$8,IF(R1063&lt;($F$8-$E$8)/($G$8-$E$8),$E$8+SQRT(R1063*($G$8-$E$8)*($F$8-$E$8)),$G$8-SQRT((1-R1063)*($G$8-$E$8)*($G$8-$F$8))))</f>
        <v>0.974874102009762</v>
      </c>
      <c r="E1063" s="51" t="n">
        <f aca="false">1+IF($G$9=$E$9,$F$9,IF(S1063&lt;($F$9-$E$9)/($G$9-$E$9),$E$9+SQRT(S1063*($G$9-$E$9)*($F$9-$E$9)),$G$9-SQRT((1-S1063)*($G$9-$E$9)*($G$9-$F$9))))</f>
        <v>1.02970265147755</v>
      </c>
      <c r="F1063" s="51" t="n">
        <f aca="false">1+IF($G$10=$E$10,$F$10,IF(T1063&lt;($F$10-$E$10)/($G$10-$E$10),$E$10+SQRT(T1063*($G$10-$E$10)*($F$10-$E$10)),$G$10-SQRT((1-T1063)*($G$10-$E$10)*($G$10-$F$10))))</f>
        <v>1.06960726779663</v>
      </c>
      <c r="G1063" s="52" t="n">
        <f aca="false">IF($G$11=$E$11,$F$11,IF(U1063&lt;($F$11-$E$11)/($G$11-$E$11),$E$11+SQRT(U1063*($G$11-$E$11)*($F$11-$E$11)),$G$11-SQRT((1-U1063)*($G$11-$E$11)*($G$11-$F$11))))</f>
        <v>0.103593875146859</v>
      </c>
      <c r="H1063" s="53" t="n">
        <f aca="false">(('Business Case'!B11*$C1063*'Business Case'!B12*$B1063)-'Business Case'!B11*$C1063*'Business Case'!B13*$D1063-'Business Case'!B14*$E1063)-MAX(0,(('Business Case'!B11*$C1063*'Business Case'!B12*$B1063)-'Business Case'!B11*$C1063*'Business Case'!B13*$D1063-'Business Case'!B14*$E1063))*'Business Case'!$B$7-'Business Case'!$B$8*('Business Case'!B11*$C1063*'Business Case'!B12*$B1063)-'Business Case'!B15*$F1063</f>
        <v>-2139214535.59326</v>
      </c>
      <c r="I1063" s="53" t="n">
        <f aca="false">(('Business Case'!C11*$C1063*'Business Case'!C12*$B1063)-'Business Case'!C11*$C1063*'Business Case'!C13*$D1063-'Business Case'!C14*$E1063)-MAX(0,(('Business Case'!C11*$C1063*'Business Case'!C12*$B1063)-'Business Case'!C11*$C1063*'Business Case'!C13*$D1063-'Business Case'!C14*$E1063))*'Business Case'!$B$7-'Business Case'!$B$8*(('Business Case'!C11*$C1063*'Business Case'!C12*$B1063)-('Business Case'!B11*$C1063*'Business Case'!B12*$B1063))-'Business Case'!C15*$F1063</f>
        <v>-34309041.5079277</v>
      </c>
      <c r="J1063" s="53" t="n">
        <f aca="false">(('Business Case'!D11*$C1063*'Business Case'!D12*$B1063)-'Business Case'!D11*$C1063*'Business Case'!D13*$D1063-'Business Case'!D14*$E1063)-MAX(0,(('Business Case'!D11*$C1063*'Business Case'!D12*$B1063)-'Business Case'!D11*$C1063*'Business Case'!D13*$D1063-'Business Case'!D14*$E1063))*'Business Case'!$B$7-'Business Case'!$B$8*(('Business Case'!D11*$C1063*'Business Case'!D12*$B1063)-('Business Case'!C11*$C1063*'Business Case'!C12*$B1063))-'Business Case'!D15*$F1063</f>
        <v>228183849.188649</v>
      </c>
      <c r="K1063" s="53" t="n">
        <f aca="false">(('Business Case'!E11*$C1063*'Business Case'!E12*$B1063)-'Business Case'!E11*$C1063*'Business Case'!E13*$D1063-'Business Case'!E14*$E1063)-MAX(0,(('Business Case'!E11*$C1063*'Business Case'!E12*$B1063)-'Business Case'!E11*$C1063*'Business Case'!E13*$D1063-'Business Case'!E14*$E1063))*'Business Case'!$B$7-'Business Case'!$B$8*(('Business Case'!E11*$C1063*'Business Case'!E12*$B1063)-('Business Case'!D11*$C1063*'Business Case'!D12*$B1063))-'Business Case'!E15*$F1063</f>
        <v>544157103.275057</v>
      </c>
      <c r="L1063" s="53" t="n">
        <f aca="false">(('Business Case'!F11*$C1063*'Business Case'!F12*$B1063)-'Business Case'!F11*$C1063*'Business Case'!F13*$D1063-'Business Case'!F14*$E1063)-MAX(0,(('Business Case'!F11*$C1063*'Business Case'!F12*$B1063)-'Business Case'!F11*$C1063*'Business Case'!F13*$D1063-'Business Case'!F14*$E1063))*'Business Case'!$B$7-'Business Case'!$B$8*(('Business Case'!F11*$C1063*'Business Case'!F12*$B1063)-('Business Case'!E11*$C1063*'Business Case'!E12*$B1063))-'Business Case'!F15*$F1063</f>
        <v>660599725.763738</v>
      </c>
      <c r="M1063" s="53" t="n">
        <f aca="false">(('Business Case'!G11*$C1063*'Business Case'!G12*$B1063)-'Business Case'!G11*$C1063*'Business Case'!G13*$D1063-'Business Case'!G14*$E1063)-MAX(0,(('Business Case'!G11*$C1063*'Business Case'!G12*$B1063)-'Business Case'!G11*$C1063*'Business Case'!G13*$D1063-'Business Case'!G14*$E1063))*'Business Case'!$B$7-'Business Case'!$B$8*(('Business Case'!G11*$C1063*'Business Case'!G12*$B1063)-('Business Case'!F11*$C1063*'Business Case'!F12*$B1063))-'Business Case'!G15*$F1063+'Business Case'!$B$8*('Business Case'!G11*$C1063*'Business Case'!G12*$B1063)</f>
        <v>819797183.17443</v>
      </c>
      <c r="N1063" s="53" t="n">
        <f aca="false">IF(COUNT('Business Case'!B11:G11)=0,"",H1063+NPV(G1063,I1063:M1063))</f>
        <v>-631950555.26957</v>
      </c>
      <c r="P1063" s="54" t="n">
        <f aca="true">RAND()</f>
        <v>0.466851208436752</v>
      </c>
      <c r="Q1063" s="54" t="n">
        <f aca="true">RAND()</f>
        <v>0.0337511582093183</v>
      </c>
      <c r="R1063" s="54" t="n">
        <f aca="true">RAND()</f>
        <v>0.095187838583389</v>
      </c>
      <c r="S1063" s="54" t="n">
        <f aca="true">RAND()</f>
        <v>0.670552186047517</v>
      </c>
      <c r="T1063" s="54" t="n">
        <f aca="true">RAND()</f>
        <v>0.659954707770803</v>
      </c>
      <c r="U1063" s="54" t="n">
        <f aca="true">RAND()</f>
        <v>0.551398445505224</v>
      </c>
    </row>
    <row r="1064" customFormat="false" ht="15" hidden="false" customHeight="false" outlineLevel="0" collapsed="false">
      <c r="A1064" s="50" t="n">
        <v>984</v>
      </c>
      <c r="B1064" s="51" t="n">
        <f aca="false">1+IF($G$6=$E$6,$F$6,IF(P1064&lt;($F$6-$E$6)/($G$6-$E$6),$E$6+SQRT(P1064*($G$6-$E$6)*($F$6-$E$6)),$G$6-SQRT((1-P1064)*($G$6-$E$6)*($G$6-$F$6))))</f>
        <v>0.972413226202556</v>
      </c>
      <c r="C1064" s="51" t="n">
        <f aca="false">1+IF($G$7=$E$7,$F$7,IF(Q1064&lt;($F$7-$E$7)/($G$7-$E$7),$E$7+SQRT(Q1064*($G$7-$E$7)*($F$7-$E$7)),$G$7-SQRT((1-Q1064)*($G$7-$E$7)*($G$7-$F$7))))</f>
        <v>0.979501729521461</v>
      </c>
      <c r="D1064" s="51" t="n">
        <f aca="false">1+IF($G$8=$E$8,$F$8,IF(R1064&lt;($F$8-$E$8)/($G$8-$E$8),$E$8+SQRT(R1064*($G$8-$E$8)*($F$8-$E$8)),$G$8-SQRT((1-R1064)*($G$8-$E$8)*($G$8-$F$8))))</f>
        <v>1.00542677286134</v>
      </c>
      <c r="E1064" s="51" t="n">
        <f aca="false">1+IF($G$9=$E$9,$F$9,IF(S1064&lt;($F$9-$E$9)/($G$9-$E$9),$E$9+SQRT(S1064*($G$9-$E$9)*($F$9-$E$9)),$G$9-SQRT((1-S1064)*($G$9-$E$9)*($G$9-$F$9))))</f>
        <v>1.04054708346955</v>
      </c>
      <c r="F1064" s="51" t="n">
        <f aca="false">1+IF($G$10=$E$10,$F$10,IF(T1064&lt;($F$10-$E$10)/($G$10-$E$10),$E$10+SQRT(T1064*($G$10-$E$10)*($F$10-$E$10)),$G$10-SQRT((1-T1064)*($G$10-$E$10)*($G$10-$F$10))))</f>
        <v>1.05233720204769</v>
      </c>
      <c r="G1064" s="52" t="n">
        <f aca="false">IF($G$11=$E$11,$F$11,IF(U1064&lt;($F$11-$E$11)/($G$11-$E$11),$E$11+SQRT(U1064*($G$11-$E$11)*($F$11-$E$11)),$G$11-SQRT((1-U1064)*($G$11-$E$11)*($G$11-$F$11))))</f>
        <v>0.0981719504404366</v>
      </c>
      <c r="H1064" s="53" t="n">
        <f aca="false">(('Business Case'!B11*$C1064*'Business Case'!B12*$B1064)-'Business Case'!B11*$C1064*'Business Case'!B13*$D1064-'Business Case'!B14*$E1064)-MAX(0,(('Business Case'!B11*$C1064*'Business Case'!B12*$B1064)-'Business Case'!B11*$C1064*'Business Case'!B13*$D1064-'Business Case'!B14*$E1064))*'Business Case'!$B$7-'Business Case'!$B$8*('Business Case'!B11*$C1064*'Business Case'!B12*$B1064)-'Business Case'!B15*$F1064</f>
        <v>-2104674404.09538</v>
      </c>
      <c r="I1064" s="53" t="n">
        <f aca="false">(('Business Case'!C11*$C1064*'Business Case'!C12*$B1064)-'Business Case'!C11*$C1064*'Business Case'!C13*$D1064-'Business Case'!C14*$E1064)-MAX(0,(('Business Case'!C11*$C1064*'Business Case'!C12*$B1064)-'Business Case'!C11*$C1064*'Business Case'!C13*$D1064-'Business Case'!C14*$E1064))*'Business Case'!$B$7-'Business Case'!$B$8*(('Business Case'!C11*$C1064*'Business Case'!C12*$B1064)-('Business Case'!B11*$C1064*'Business Case'!B12*$B1064))-'Business Case'!C15*$F1064</f>
        <v>-26573698.166195</v>
      </c>
      <c r="J1064" s="53" t="n">
        <f aca="false">(('Business Case'!D11*$C1064*'Business Case'!D12*$B1064)-'Business Case'!D11*$C1064*'Business Case'!D13*$D1064-'Business Case'!D14*$E1064)-MAX(0,(('Business Case'!D11*$C1064*'Business Case'!D12*$B1064)-'Business Case'!D11*$C1064*'Business Case'!D13*$D1064-'Business Case'!D14*$E1064))*'Business Case'!$B$7-'Business Case'!$B$8*(('Business Case'!D11*$C1064*'Business Case'!D12*$B1064)-('Business Case'!C11*$C1064*'Business Case'!C12*$B1064))-'Business Case'!D15*$F1064</f>
        <v>249428704.989346</v>
      </c>
      <c r="K1064" s="53" t="n">
        <f aca="false">(('Business Case'!E11*$C1064*'Business Case'!E12*$B1064)-'Business Case'!E11*$C1064*'Business Case'!E13*$D1064-'Business Case'!E14*$E1064)-MAX(0,(('Business Case'!E11*$C1064*'Business Case'!E12*$B1064)-'Business Case'!E11*$C1064*'Business Case'!E13*$D1064-'Business Case'!E14*$E1064))*'Business Case'!$B$7-'Business Case'!$B$8*(('Business Case'!E11*$C1064*'Business Case'!E12*$B1064)-('Business Case'!D11*$C1064*'Business Case'!D12*$B1064))-'Business Case'!E15*$F1064</f>
        <v>578047968.247271</v>
      </c>
      <c r="L1064" s="53" t="n">
        <f aca="false">(('Business Case'!F11*$C1064*'Business Case'!F12*$B1064)-'Business Case'!F11*$C1064*'Business Case'!F13*$D1064-'Business Case'!F14*$E1064)-MAX(0,(('Business Case'!F11*$C1064*'Business Case'!F12*$B1064)-'Business Case'!F11*$C1064*'Business Case'!F13*$D1064-'Business Case'!F14*$E1064))*'Business Case'!$B$7-'Business Case'!$B$8*(('Business Case'!F11*$C1064*'Business Case'!F12*$B1064)-('Business Case'!E11*$C1064*'Business Case'!E12*$B1064))-'Business Case'!F15*$F1064</f>
        <v>702966493.197516</v>
      </c>
      <c r="M1064" s="53" t="n">
        <f aca="false">(('Business Case'!G11*$C1064*'Business Case'!G12*$B1064)-'Business Case'!G11*$C1064*'Business Case'!G13*$D1064-'Business Case'!G14*$E1064)-MAX(0,(('Business Case'!G11*$C1064*'Business Case'!G12*$B1064)-'Business Case'!G11*$C1064*'Business Case'!G13*$D1064-'Business Case'!G14*$E1064))*'Business Case'!$B$7-'Business Case'!$B$8*(('Business Case'!G11*$C1064*'Business Case'!G12*$B1064)-('Business Case'!F11*$C1064*'Business Case'!F12*$B1064))-'Business Case'!G15*$F1064+'Business Case'!$B$8*('Business Case'!G11*$C1064*'Business Case'!G12*$B1064)</f>
        <v>884013974.638706</v>
      </c>
      <c r="N1064" s="53" t="n">
        <f aca="false">IF(COUNT('Business Case'!B11:G11)=0,"",H1064+NPV(G1064,I1064:M1064))</f>
        <v>-448750283.823887</v>
      </c>
      <c r="P1064" s="54" t="n">
        <f aca="true">RAND()</f>
        <v>0.286161070933365</v>
      </c>
      <c r="Q1064" s="54" t="n">
        <f aca="true">RAND()</f>
        <v>0.460298155731368</v>
      </c>
      <c r="R1064" s="54" t="n">
        <f aca="true">RAND()</f>
        <v>0.465272480204403</v>
      </c>
      <c r="S1064" s="54" t="n">
        <f aca="true">RAND()</f>
        <v>0.764356714401522</v>
      </c>
      <c r="T1064" s="54" t="n">
        <f aca="true">RAND()</f>
        <v>0.563913962017907</v>
      </c>
      <c r="U1064" s="54" t="n">
        <f aca="true">RAND()</f>
        <v>0.222602580003174</v>
      </c>
    </row>
    <row r="1065" customFormat="false" ht="15" hidden="false" customHeight="false" outlineLevel="0" collapsed="false">
      <c r="A1065" s="50" t="n">
        <v>985</v>
      </c>
      <c r="B1065" s="51" t="n">
        <f aca="false">1+IF($G$6=$E$6,$F$6,IF(P1065&lt;($F$6-$E$6)/($G$6-$E$6),$E$6+SQRT(P1065*($G$6-$E$6)*($F$6-$E$6)),$G$6-SQRT((1-P1065)*($G$6-$E$6)*($G$6-$F$6))))</f>
        <v>0.965106307553252</v>
      </c>
      <c r="C1065" s="51" t="n">
        <f aca="false">1+IF($G$7=$E$7,$F$7,IF(Q1065&lt;($F$7-$E$7)/($G$7-$E$7),$E$7+SQRT(Q1065*($G$7-$E$7)*($F$7-$E$7)),$G$7-SQRT((1-Q1065)*($G$7-$E$7)*($G$7-$F$7))))</f>
        <v>0.935623490818471</v>
      </c>
      <c r="D1065" s="51" t="n">
        <f aca="false">1+IF($G$8=$E$8,$F$8,IF(R1065&lt;($F$8-$E$8)/($G$8-$E$8),$E$8+SQRT(R1065*($G$8-$E$8)*($F$8-$E$8)),$G$8-SQRT((1-R1065)*($G$8-$E$8)*($G$8-$F$8))))</f>
        <v>1.07175868810681</v>
      </c>
      <c r="E1065" s="51" t="n">
        <f aca="false">1+IF($G$9=$E$9,$F$9,IF(S1065&lt;($F$9-$E$9)/($G$9-$E$9),$E$9+SQRT(S1065*($G$9-$E$9)*($F$9-$E$9)),$G$9-SQRT((1-S1065)*($G$9-$E$9)*($G$9-$F$9))))</f>
        <v>1.00184088855767</v>
      </c>
      <c r="F1065" s="51" t="n">
        <f aca="false">1+IF($G$10=$E$10,$F$10,IF(T1065&lt;($F$10-$E$10)/($G$10-$E$10),$E$10+SQRT(T1065*($G$10-$E$10)*($F$10-$E$10)),$G$10-SQRT((1-T1065)*($G$10-$E$10)*($G$10-$F$10))))</f>
        <v>1.11243508167277</v>
      </c>
      <c r="G1065" s="52" t="n">
        <f aca="false">IF($G$11=$E$11,$F$11,IF(U1065&lt;($F$11-$E$11)/($G$11-$E$11),$E$11+SQRT(U1065*($G$11-$E$11)*($F$11-$E$11)),$G$11-SQRT((1-U1065)*($G$11-$E$11)*($G$11-$F$11))))</f>
        <v>0.109831671404092</v>
      </c>
      <c r="H1065" s="53" t="n">
        <f aca="false">(('Business Case'!B11*$C1065*'Business Case'!B12*$B1065)-'Business Case'!B11*$C1065*'Business Case'!B13*$D1065-'Business Case'!B14*$E1065)-MAX(0,(('Business Case'!B11*$C1065*'Business Case'!B12*$B1065)-'Business Case'!B11*$C1065*'Business Case'!B13*$D1065-'Business Case'!B14*$E1065))*'Business Case'!$B$7-'Business Case'!$B$8*('Business Case'!B11*$C1065*'Business Case'!B12*$B1065)-'Business Case'!B15*$F1065</f>
        <v>-2224870163.34554</v>
      </c>
      <c r="I1065" s="53" t="n">
        <f aca="false">(('Business Case'!C11*$C1065*'Business Case'!C12*$B1065)-'Business Case'!C11*$C1065*'Business Case'!C13*$D1065-'Business Case'!C14*$E1065)-MAX(0,(('Business Case'!C11*$C1065*'Business Case'!C12*$B1065)-'Business Case'!C11*$C1065*'Business Case'!C13*$D1065-'Business Case'!C14*$E1065))*'Business Case'!$B$7-'Business Case'!$B$8*(('Business Case'!C11*$C1065*'Business Case'!C12*$B1065)-('Business Case'!B11*$C1065*'Business Case'!B12*$B1065))-'Business Case'!C15*$F1065</f>
        <v>-74247331.235625</v>
      </c>
      <c r="J1065" s="53" t="n">
        <f aca="false">(('Business Case'!D11*$C1065*'Business Case'!D12*$B1065)-'Business Case'!D11*$C1065*'Business Case'!D13*$D1065-'Business Case'!D14*$E1065)-MAX(0,(('Business Case'!D11*$C1065*'Business Case'!D12*$B1065)-'Business Case'!D11*$C1065*'Business Case'!D13*$D1065-'Business Case'!D14*$E1065))*'Business Case'!$B$7-'Business Case'!$B$8*(('Business Case'!D11*$C1065*'Business Case'!D12*$B1065)-('Business Case'!C11*$C1065*'Business Case'!C12*$B1065))-'Business Case'!D15*$F1065</f>
        <v>152020902.756894</v>
      </c>
      <c r="K1065" s="53" t="n">
        <f aca="false">(('Business Case'!E11*$C1065*'Business Case'!E12*$B1065)-'Business Case'!E11*$C1065*'Business Case'!E13*$D1065-'Business Case'!E14*$E1065)-MAX(0,(('Business Case'!E11*$C1065*'Business Case'!E12*$B1065)-'Business Case'!E11*$C1065*'Business Case'!E13*$D1065-'Business Case'!E14*$E1065))*'Business Case'!$B$7-'Business Case'!$B$8*(('Business Case'!E11*$C1065*'Business Case'!E12*$B1065)-('Business Case'!D11*$C1065*'Business Case'!D12*$B1065))-'Business Case'!E15*$F1065</f>
        <v>433910890.833051</v>
      </c>
      <c r="L1065" s="53" t="n">
        <f aca="false">(('Business Case'!F11*$C1065*'Business Case'!F12*$B1065)-'Business Case'!F11*$C1065*'Business Case'!F13*$D1065-'Business Case'!F14*$E1065)-MAX(0,(('Business Case'!F11*$C1065*'Business Case'!F12*$B1065)-'Business Case'!F11*$C1065*'Business Case'!F13*$D1065-'Business Case'!F14*$E1065))*'Business Case'!$B$7-'Business Case'!$B$8*(('Business Case'!F11*$C1065*'Business Case'!F12*$B1065)-('Business Case'!E11*$C1065*'Business Case'!E12*$B1065))-'Business Case'!F15*$F1065</f>
        <v>540540490.635868</v>
      </c>
      <c r="M1065" s="53" t="n">
        <f aca="false">(('Business Case'!G11*$C1065*'Business Case'!G12*$B1065)-'Business Case'!G11*$C1065*'Business Case'!G13*$D1065-'Business Case'!G14*$E1065)-MAX(0,(('Business Case'!G11*$C1065*'Business Case'!G12*$B1065)-'Business Case'!G11*$C1065*'Business Case'!G13*$D1065-'Business Case'!G14*$E1065))*'Business Case'!$B$7-'Business Case'!$B$8*(('Business Case'!G11*$C1065*'Business Case'!G12*$B1065)-('Business Case'!F11*$C1065*'Business Case'!F12*$B1065))-'Business Case'!G15*$F1065+'Business Case'!$B$8*('Business Case'!G11*$C1065*'Business Case'!G12*$B1065)</f>
        <v>712178193.898407</v>
      </c>
      <c r="N1065" s="53" t="n">
        <f aca="false">IF(COUNT('Business Case'!B11:G11)=0,"",H1065+NPV(G1065,I1065:M1065))</f>
        <v>-1071681964.11648</v>
      </c>
      <c r="P1065" s="54" t="n">
        <f aca="true">RAND()</f>
        <v>0.211935310530061</v>
      </c>
      <c r="Q1065" s="54" t="n">
        <f aca="true">RAND()</f>
        <v>0.262767589454114</v>
      </c>
      <c r="R1065" s="54" t="n">
        <f aca="true">RAND()</f>
        <v>0.993469305603774</v>
      </c>
      <c r="S1065" s="54" t="n">
        <f aca="true">RAND()</f>
        <v>0.35765258939021</v>
      </c>
      <c r="T1065" s="54" t="n">
        <f aca="true">RAND()</f>
        <v>0.846647701566916</v>
      </c>
      <c r="U1065" s="54" t="n">
        <f aca="true">RAND()</f>
        <v>0.827675155942741</v>
      </c>
    </row>
    <row r="1066" customFormat="false" ht="15" hidden="false" customHeight="false" outlineLevel="0" collapsed="false">
      <c r="A1066" s="50" t="n">
        <v>986</v>
      </c>
      <c r="B1066" s="51" t="n">
        <f aca="false">1+IF($G$6=$E$6,$F$6,IF(P1066&lt;($F$6-$E$6)/($G$6-$E$6),$E$6+SQRT(P1066*($G$6-$E$6)*($F$6-$E$6)),$G$6-SQRT((1-P1066)*($G$6-$E$6)*($G$6-$F$6))))</f>
        <v>0.960273741480826</v>
      </c>
      <c r="C1066" s="51" t="n">
        <f aca="false">1+IF($G$7=$E$7,$F$7,IF(Q1066&lt;($F$7-$E$7)/($G$7-$E$7),$E$7+SQRT(Q1066*($G$7-$E$7)*($F$7-$E$7)),$G$7-SQRT((1-Q1066)*($G$7-$E$7)*($G$7-$F$7))))</f>
        <v>0.978673075921655</v>
      </c>
      <c r="D1066" s="51" t="n">
        <f aca="false">1+IF($G$8=$E$8,$F$8,IF(R1066&lt;($F$8-$E$8)/($G$8-$E$8),$E$8+SQRT(R1066*($G$8-$E$8)*($F$8-$E$8)),$G$8-SQRT((1-R1066)*($G$8-$E$8)*($G$8-$F$8))))</f>
        <v>1.01522387884584</v>
      </c>
      <c r="E1066" s="51" t="n">
        <f aca="false">1+IF($G$9=$E$9,$F$9,IF(S1066&lt;($F$9-$E$9)/($G$9-$E$9),$E$9+SQRT(S1066*($G$9-$E$9)*($F$9-$E$9)),$G$9-SQRT((1-S1066)*($G$9-$E$9)*($G$9-$F$9))))</f>
        <v>1.04395613871927</v>
      </c>
      <c r="F1066" s="51" t="n">
        <f aca="false">1+IF($G$10=$E$10,$F$10,IF(T1066&lt;($F$10-$E$10)/($G$10-$E$10),$E$10+SQRT(T1066*($G$10-$E$10)*($F$10-$E$10)),$G$10-SQRT((1-T1066)*($G$10-$E$10)*($G$10-$F$10))))</f>
        <v>1.04129995852047</v>
      </c>
      <c r="G1066" s="52" t="n">
        <f aca="false">IF($G$11=$E$11,$F$11,IF(U1066&lt;($F$11-$E$11)/($G$11-$E$11),$E$11+SQRT(U1066*($G$11-$E$11)*($F$11-$E$11)),$G$11-SQRT((1-U1066)*($G$11-$E$11)*($G$11-$F$11))))</f>
        <v>0.111002403503437</v>
      </c>
      <c r="H1066" s="53" t="n">
        <f aca="false">(('Business Case'!B11*$C1066*'Business Case'!B12*$B1066)-'Business Case'!B11*$C1066*'Business Case'!B13*$D1066-'Business Case'!B14*$E1066)-MAX(0,(('Business Case'!B11*$C1066*'Business Case'!B12*$B1066)-'Business Case'!B11*$C1066*'Business Case'!B13*$D1066-'Business Case'!B14*$E1066))*'Business Case'!$B$7-'Business Case'!$B$8*('Business Case'!B11*$C1066*'Business Case'!B12*$B1066)-'Business Case'!B15*$F1066</f>
        <v>-2082599917.04094</v>
      </c>
      <c r="I1066" s="53" t="n">
        <f aca="false">(('Business Case'!C11*$C1066*'Business Case'!C12*$B1066)-'Business Case'!C11*$C1066*'Business Case'!C13*$D1066-'Business Case'!C14*$E1066)-MAX(0,(('Business Case'!C11*$C1066*'Business Case'!C12*$B1066)-'Business Case'!C11*$C1066*'Business Case'!C13*$D1066-'Business Case'!C14*$E1066))*'Business Case'!$B$7-'Business Case'!$B$8*(('Business Case'!C11*$C1066*'Business Case'!C12*$B1066)-('Business Case'!B11*$C1066*'Business Case'!B12*$B1066))-'Business Case'!C15*$F1066</f>
        <v>-40170005.035955</v>
      </c>
      <c r="J1066" s="53" t="n">
        <f aca="false">(('Business Case'!D11*$C1066*'Business Case'!D12*$B1066)-'Business Case'!D11*$C1066*'Business Case'!D13*$D1066-'Business Case'!D14*$E1066)-MAX(0,(('Business Case'!D11*$C1066*'Business Case'!D12*$B1066)-'Business Case'!D11*$C1066*'Business Case'!D13*$D1066-'Business Case'!D14*$E1066))*'Business Case'!$B$7-'Business Case'!$B$8*(('Business Case'!D11*$C1066*'Business Case'!D12*$B1066)-('Business Case'!C11*$C1066*'Business Case'!C12*$B1066))-'Business Case'!D15*$F1066</f>
        <v>220959472.584705</v>
      </c>
      <c r="K1066" s="53" t="n">
        <f aca="false">(('Business Case'!E11*$C1066*'Business Case'!E12*$B1066)-'Business Case'!E11*$C1066*'Business Case'!E13*$D1066-'Business Case'!E14*$E1066)-MAX(0,(('Business Case'!E11*$C1066*'Business Case'!E12*$B1066)-'Business Case'!E11*$C1066*'Business Case'!E13*$D1066-'Business Case'!E14*$E1066))*'Business Case'!$B$7-'Business Case'!$B$8*(('Business Case'!E11*$C1066*'Business Case'!E12*$B1066)-('Business Case'!D11*$C1066*'Business Case'!D12*$B1066))-'Business Case'!E15*$F1066</f>
        <v>534153948.131388</v>
      </c>
      <c r="L1066" s="53" t="n">
        <f aca="false">(('Business Case'!F11*$C1066*'Business Case'!F12*$B1066)-'Business Case'!F11*$C1066*'Business Case'!F13*$D1066-'Business Case'!F14*$E1066)-MAX(0,(('Business Case'!F11*$C1066*'Business Case'!F12*$B1066)-'Business Case'!F11*$C1066*'Business Case'!F13*$D1066-'Business Case'!F14*$E1066))*'Business Case'!$B$7-'Business Case'!$B$8*(('Business Case'!F11*$C1066*'Business Case'!F12*$B1066)-('Business Case'!E11*$C1066*'Business Case'!E12*$B1066))-'Business Case'!F15*$F1066</f>
        <v>653676389.924066</v>
      </c>
      <c r="M1066" s="53" t="n">
        <f aca="false">(('Business Case'!G11*$C1066*'Business Case'!G12*$B1066)-'Business Case'!G11*$C1066*'Business Case'!G13*$D1066-'Business Case'!G14*$E1066)-MAX(0,(('Business Case'!G11*$C1066*'Business Case'!G12*$B1066)-'Business Case'!G11*$C1066*'Business Case'!G13*$D1066-'Business Case'!G14*$E1066))*'Business Case'!$B$7-'Business Case'!$B$8*(('Business Case'!G11*$C1066*'Business Case'!G12*$B1066)-('Business Case'!F11*$C1066*'Business Case'!F12*$B1066))-'Business Case'!G15*$F1066+'Business Case'!$B$8*('Business Case'!G11*$C1066*'Business Case'!G12*$B1066)</f>
        <v>832312444.145919</v>
      </c>
      <c r="N1066" s="53" t="n">
        <f aca="false">IF(COUNT('Business Case'!B11:G11)=0,"",H1066+NPV(G1066,I1066:M1066))</f>
        <v>-629474090.337314</v>
      </c>
      <c r="P1066" s="54" t="n">
        <f aca="true">RAND()</f>
        <v>0.168955651340039</v>
      </c>
      <c r="Q1066" s="54" t="n">
        <f aca="true">RAND()</f>
        <v>0.456058115132936</v>
      </c>
      <c r="R1066" s="54" t="n">
        <f aca="true">RAND()</f>
        <v>0.596543666175204</v>
      </c>
      <c r="S1066" s="54" t="n">
        <f aca="true">RAND()</f>
        <v>0.790605707516448</v>
      </c>
      <c r="T1066" s="54" t="n">
        <f aca="true">RAND()</f>
        <v>0.496285936687904</v>
      </c>
      <c r="U1066" s="54" t="n">
        <f aca="true">RAND()</f>
        <v>0.865072095475053</v>
      </c>
    </row>
    <row r="1067" customFormat="false" ht="15" hidden="false" customHeight="false" outlineLevel="0" collapsed="false">
      <c r="A1067" s="50" t="n">
        <v>987</v>
      </c>
      <c r="B1067" s="51" t="n">
        <f aca="false">1+IF($G$6=$E$6,$F$6,IF(P1067&lt;($F$6-$E$6)/($G$6-$E$6),$E$6+SQRT(P1067*($G$6-$E$6)*($F$6-$E$6)),$G$6-SQRT((1-P1067)*($G$6-$E$6)*($G$6-$F$6))))</f>
        <v>1.00269975088108</v>
      </c>
      <c r="C1067" s="51" t="n">
        <f aca="false">1+IF($G$7=$E$7,$F$7,IF(Q1067&lt;($F$7-$E$7)/($G$7-$E$7),$E$7+SQRT(Q1067*($G$7-$E$7)*($F$7-$E$7)),$G$7-SQRT((1-Q1067)*($G$7-$E$7)*($G$7-$F$7))))</f>
        <v>1.10787472390993</v>
      </c>
      <c r="D1067" s="51" t="n">
        <f aca="false">1+IF($G$8=$E$8,$F$8,IF(R1067&lt;($F$8-$E$8)/($G$8-$E$8),$E$8+SQRT(R1067*($G$8-$E$8)*($F$8-$E$8)),$G$8-SQRT((1-R1067)*($G$8-$E$8)*($G$8-$F$8))))</f>
        <v>1.00265961150349</v>
      </c>
      <c r="E1067" s="51" t="n">
        <f aca="false">1+IF($G$9=$E$9,$F$9,IF(S1067&lt;($F$9-$E$9)/($G$9-$E$9),$E$9+SQRT(S1067*($G$9-$E$9)*($F$9-$E$9)),$G$9-SQRT((1-S1067)*($G$9-$E$9)*($G$9-$F$9))))</f>
        <v>0.982159648232754</v>
      </c>
      <c r="F1067" s="51" t="n">
        <f aca="false">1+IF($G$10=$E$10,$F$10,IF(T1067&lt;($F$10-$E$10)/($G$10-$E$10),$E$10+SQRT(T1067*($G$10-$E$10)*($F$10-$E$10)),$G$10-SQRT((1-T1067)*($G$10-$E$10)*($G$10-$F$10))))</f>
        <v>1.02866771802025</v>
      </c>
      <c r="G1067" s="52" t="n">
        <f aca="false">IF($G$11=$E$11,$F$11,IF(U1067&lt;($F$11-$E$11)/($G$11-$E$11),$E$11+SQRT(U1067*($G$11-$E$11)*($F$11-$E$11)),$G$11-SQRT((1-U1067)*($G$11-$E$11)*($G$11-$F$11))))</f>
        <v>0.101918043900385</v>
      </c>
      <c r="H1067" s="53" t="n">
        <f aca="false">(('Business Case'!B11*$C1067*'Business Case'!B12*$B1067)-'Business Case'!B11*$C1067*'Business Case'!B13*$D1067-'Business Case'!B14*$E1067)-MAX(0,(('Business Case'!B11*$C1067*'Business Case'!B12*$B1067)-'Business Case'!B11*$C1067*'Business Case'!B13*$D1067-'Business Case'!B14*$E1067))*'Business Case'!$B$7-'Business Case'!$B$8*('Business Case'!B11*$C1067*'Business Case'!B12*$B1067)-'Business Case'!B15*$F1067</f>
        <v>-2057335436.0405</v>
      </c>
      <c r="I1067" s="53" t="n">
        <f aca="false">(('Business Case'!C11*$C1067*'Business Case'!C12*$B1067)-'Business Case'!C11*$C1067*'Business Case'!C13*$D1067-'Business Case'!C14*$E1067)-MAX(0,(('Business Case'!C11*$C1067*'Business Case'!C12*$B1067)-'Business Case'!C11*$C1067*'Business Case'!C13*$D1067-'Business Case'!C14*$E1067))*'Business Case'!$B$7-'Business Case'!$B$8*(('Business Case'!C11*$C1067*'Business Case'!C12*$B1067)-('Business Case'!B11*$C1067*'Business Case'!B12*$B1067))-'Business Case'!C15*$F1067</f>
        <v>41110237.0632399</v>
      </c>
      <c r="J1067" s="53" t="n">
        <f aca="false">(('Business Case'!D11*$C1067*'Business Case'!D12*$B1067)-'Business Case'!D11*$C1067*'Business Case'!D13*$D1067-'Business Case'!D14*$E1067)-MAX(0,(('Business Case'!D11*$C1067*'Business Case'!D12*$B1067)-'Business Case'!D11*$C1067*'Business Case'!D13*$D1067-'Business Case'!D14*$E1067))*'Business Case'!$B$7-'Business Case'!$B$8*(('Business Case'!D11*$C1067*'Business Case'!D12*$B1067)-('Business Case'!C11*$C1067*'Business Case'!C12*$B1067))-'Business Case'!D15*$F1067</f>
        <v>382337626.296595</v>
      </c>
      <c r="K1067" s="53" t="n">
        <f aca="false">(('Business Case'!E11*$C1067*'Business Case'!E12*$B1067)-'Business Case'!E11*$C1067*'Business Case'!E13*$D1067-'Business Case'!E14*$E1067)-MAX(0,(('Business Case'!E11*$C1067*'Business Case'!E12*$B1067)-'Business Case'!E11*$C1067*'Business Case'!E13*$D1067-'Business Case'!E14*$E1067))*'Business Case'!$B$7-'Business Case'!$B$8*(('Business Case'!E11*$C1067*'Business Case'!E12*$B1067)-('Business Case'!D11*$C1067*'Business Case'!D12*$B1067))-'Business Case'!E15*$F1067</f>
        <v>774998401.430962</v>
      </c>
      <c r="L1067" s="53" t="n">
        <f aca="false">(('Business Case'!F11*$C1067*'Business Case'!F12*$B1067)-'Business Case'!F11*$C1067*'Business Case'!F13*$D1067-'Business Case'!F14*$E1067)-MAX(0,(('Business Case'!F11*$C1067*'Business Case'!F12*$B1067)-'Business Case'!F11*$C1067*'Business Case'!F13*$D1067-'Business Case'!F14*$E1067))*'Business Case'!$B$7-'Business Case'!$B$8*(('Business Case'!F11*$C1067*'Business Case'!F12*$B1067)-('Business Case'!E11*$C1067*'Business Case'!E12*$B1067))-'Business Case'!F15*$F1067</f>
        <v>927132383.435009</v>
      </c>
      <c r="M1067" s="53" t="n">
        <f aca="false">(('Business Case'!G11*$C1067*'Business Case'!G12*$B1067)-'Business Case'!G11*$C1067*'Business Case'!G13*$D1067-'Business Case'!G14*$E1067)-MAX(0,(('Business Case'!G11*$C1067*'Business Case'!G12*$B1067)-'Business Case'!G11*$C1067*'Business Case'!G13*$D1067-'Business Case'!G14*$E1067))*'Business Case'!$B$7-'Business Case'!$B$8*(('Business Case'!G11*$C1067*'Business Case'!G12*$B1067)-('Business Case'!F11*$C1067*'Business Case'!F12*$B1067))-'Business Case'!G15*$F1067+'Business Case'!$B$8*('Business Case'!G11*$C1067*'Business Case'!G12*$B1067)</f>
        <v>1138285737.52945</v>
      </c>
      <c r="N1067" s="53" t="n">
        <f aca="false">IF(COUNT('Business Case'!B11:G11)=0,"",H1067+NPV(G1067,I1067:M1067))</f>
        <v>203589751.079836</v>
      </c>
      <c r="P1067" s="54" t="n">
        <f aca="true">RAND()</f>
        <v>0.710144044930504</v>
      </c>
      <c r="Q1067" s="54" t="n">
        <f aca="true">RAND()</f>
        <v>0.966199259320667</v>
      </c>
      <c r="R1067" s="54" t="n">
        <f aca="true">RAND()</f>
        <v>0.424852337231601</v>
      </c>
      <c r="S1067" s="54" t="n">
        <f aca="true">RAND()</f>
        <v>0.137899063260595</v>
      </c>
      <c r="T1067" s="54" t="n">
        <f aca="true">RAND()</f>
        <v>0.412904983032222</v>
      </c>
      <c r="U1067" s="54" t="n">
        <f aca="true">RAND()</f>
        <v>0.455071439352653</v>
      </c>
    </row>
    <row r="1068" customFormat="false" ht="15" hidden="false" customHeight="false" outlineLevel="0" collapsed="false">
      <c r="A1068" s="50" t="n">
        <v>988</v>
      </c>
      <c r="B1068" s="51" t="n">
        <f aca="false">1+IF($G$6=$E$6,$F$6,IF(P1068&lt;($F$6-$E$6)/($G$6-$E$6),$E$6+SQRT(P1068*($G$6-$E$6)*($F$6-$E$6)),$G$6-SQRT((1-P1068)*($G$6-$E$6)*($G$6-$F$6))))</f>
        <v>0.950140684245826</v>
      </c>
      <c r="C1068" s="51" t="n">
        <f aca="false">1+IF($G$7=$E$7,$F$7,IF(Q1068&lt;($F$7-$E$7)/($G$7-$E$7),$E$7+SQRT(Q1068*($G$7-$E$7)*($F$7-$E$7)),$G$7-SQRT((1-Q1068)*($G$7-$E$7)*($G$7-$F$7))))</f>
        <v>0.985531956691021</v>
      </c>
      <c r="D1068" s="51" t="n">
        <f aca="false">1+IF($G$8=$E$8,$F$8,IF(R1068&lt;($F$8-$E$8)/($G$8-$E$8),$E$8+SQRT(R1068*($G$8-$E$8)*($F$8-$E$8)),$G$8-SQRT((1-R1068)*($G$8-$E$8)*($G$8-$F$8))))</f>
        <v>1.01752771449991</v>
      </c>
      <c r="E1068" s="51" t="n">
        <f aca="false">1+IF($G$9=$E$9,$F$9,IF(S1068&lt;($F$9-$E$9)/($G$9-$E$9),$E$9+SQRT(S1068*($G$9-$E$9)*($F$9-$E$9)),$G$9-SQRT((1-S1068)*($G$9-$E$9)*($G$9-$F$9))))</f>
        <v>0.959832456812459</v>
      </c>
      <c r="F1068" s="51" t="n">
        <f aca="false">1+IF($G$10=$E$10,$F$10,IF(T1068&lt;($F$10-$E$10)/($G$10-$E$10),$E$10+SQRT(T1068*($G$10-$E$10)*($F$10-$E$10)),$G$10-SQRT((1-T1068)*($G$10-$E$10)*($G$10-$F$10))))</f>
        <v>1.02960993736684</v>
      </c>
      <c r="G1068" s="52" t="n">
        <f aca="false">IF($G$11=$E$11,$F$11,IF(U1068&lt;($F$11-$E$11)/($G$11-$E$11),$E$11+SQRT(U1068*($G$11-$E$11)*($F$11-$E$11)),$G$11-SQRT((1-U1068)*($G$11-$E$11)*($G$11-$F$11))))</f>
        <v>0.10279313923421</v>
      </c>
      <c r="H1068" s="53" t="n">
        <f aca="false">(('Business Case'!B11*$C1068*'Business Case'!B12*$B1068)-'Business Case'!B11*$C1068*'Business Case'!B13*$D1068-'Business Case'!B14*$E1068)-MAX(0,(('Business Case'!B11*$C1068*'Business Case'!B12*$B1068)-'Business Case'!B11*$C1068*'Business Case'!B13*$D1068-'Business Case'!B14*$E1068))*'Business Case'!$B$7-'Business Case'!$B$8*('Business Case'!B11*$C1068*'Business Case'!B12*$B1068)-'Business Case'!B15*$F1068</f>
        <v>-2059219874.73369</v>
      </c>
      <c r="I1068" s="53" t="n">
        <f aca="false">(('Business Case'!C11*$C1068*'Business Case'!C12*$B1068)-'Business Case'!C11*$C1068*'Business Case'!C13*$D1068-'Business Case'!C14*$E1068)-MAX(0,(('Business Case'!C11*$C1068*'Business Case'!C12*$B1068)-'Business Case'!C11*$C1068*'Business Case'!C13*$D1068-'Business Case'!C14*$E1068))*'Business Case'!$B$7-'Business Case'!$B$8*(('Business Case'!C11*$C1068*'Business Case'!C12*$B1068)-('Business Case'!B11*$C1068*'Business Case'!B12*$B1068))-'Business Case'!C15*$F1068</f>
        <v>-34374209.9940982</v>
      </c>
      <c r="J1068" s="53" t="n">
        <f aca="false">(('Business Case'!D11*$C1068*'Business Case'!D12*$B1068)-'Business Case'!D11*$C1068*'Business Case'!D13*$D1068-'Business Case'!D14*$E1068)-MAX(0,(('Business Case'!D11*$C1068*'Business Case'!D12*$B1068)-'Business Case'!D11*$C1068*'Business Case'!D13*$D1068-'Business Case'!D14*$E1068))*'Business Case'!$B$7-'Business Case'!$B$8*(('Business Case'!D11*$C1068*'Business Case'!D12*$B1068)-('Business Case'!C11*$C1068*'Business Case'!C12*$B1068))-'Business Case'!D15*$F1068</f>
        <v>219243414.465171</v>
      </c>
      <c r="K1068" s="53" t="n">
        <f aca="false">(('Business Case'!E11*$C1068*'Business Case'!E12*$B1068)-'Business Case'!E11*$C1068*'Business Case'!E13*$D1068-'Business Case'!E14*$E1068)-MAX(0,(('Business Case'!E11*$C1068*'Business Case'!E12*$B1068)-'Business Case'!E11*$C1068*'Business Case'!E13*$D1068-'Business Case'!E14*$E1068))*'Business Case'!$B$7-'Business Case'!$B$8*(('Business Case'!E11*$C1068*'Business Case'!E12*$B1068)-('Business Case'!D11*$C1068*'Business Case'!D12*$B1068))-'Business Case'!E15*$F1068</f>
        <v>524341535.792783</v>
      </c>
      <c r="L1068" s="53" t="n">
        <f aca="false">(('Business Case'!F11*$C1068*'Business Case'!F12*$B1068)-'Business Case'!F11*$C1068*'Business Case'!F13*$D1068-'Business Case'!F14*$E1068)-MAX(0,(('Business Case'!F11*$C1068*'Business Case'!F12*$B1068)-'Business Case'!F11*$C1068*'Business Case'!F13*$D1068-'Business Case'!F14*$E1068))*'Business Case'!$B$7-'Business Case'!$B$8*(('Business Case'!F11*$C1068*'Business Case'!F12*$B1068)-('Business Case'!E11*$C1068*'Business Case'!E12*$B1068))-'Business Case'!F15*$F1068</f>
        <v>641242520.851174</v>
      </c>
      <c r="M1068" s="53" t="n">
        <f aca="false">(('Business Case'!G11*$C1068*'Business Case'!G12*$B1068)-'Business Case'!G11*$C1068*'Business Case'!G13*$D1068-'Business Case'!G14*$E1068)-MAX(0,(('Business Case'!G11*$C1068*'Business Case'!G12*$B1068)-'Business Case'!G11*$C1068*'Business Case'!G13*$D1068-'Business Case'!G14*$E1068))*'Business Case'!$B$7-'Business Case'!$B$8*(('Business Case'!G11*$C1068*'Business Case'!G12*$B1068)-('Business Case'!F11*$C1068*'Business Case'!F12*$B1068))-'Business Case'!G15*$F1068+'Business Case'!$B$8*('Business Case'!G11*$C1068*'Business Case'!G12*$B1068)</f>
        <v>819232293.830329</v>
      </c>
      <c r="N1068" s="53" t="n">
        <f aca="false">IF(COUNT('Business Case'!B11:G11)=0,"",H1068+NPV(G1068,I1068:M1068))</f>
        <v>-583327631.745513</v>
      </c>
      <c r="P1068" s="54" t="n">
        <f aca="true">RAND()</f>
        <v>0.0946313382090211</v>
      </c>
      <c r="Q1068" s="54" t="n">
        <f aca="true">RAND()</f>
        <v>0.491744385051415</v>
      </c>
      <c r="R1068" s="54" t="n">
        <f aca="true">RAND()</f>
        <v>0.624732071576499</v>
      </c>
      <c r="S1068" s="54" t="n">
        <f aca="true">RAND()</f>
        <v>0.0128902942625173</v>
      </c>
      <c r="T1068" s="54" t="n">
        <f aca="true">RAND()</f>
        <v>0.419344531117374</v>
      </c>
      <c r="U1068" s="54" t="n">
        <f aca="true">RAND()</f>
        <v>0.50653990431121</v>
      </c>
    </row>
    <row r="1069" customFormat="false" ht="15" hidden="false" customHeight="false" outlineLevel="0" collapsed="false">
      <c r="A1069" s="50" t="n">
        <v>989</v>
      </c>
      <c r="B1069" s="51" t="n">
        <f aca="false">1+IF($G$6=$E$6,$F$6,IF(P1069&lt;($F$6-$E$6)/($G$6-$E$6),$E$6+SQRT(P1069*($G$6-$E$6)*($F$6-$E$6)),$G$6-SQRT((1-P1069)*($G$6-$E$6)*($G$6-$F$6))))</f>
        <v>0.998101022184187</v>
      </c>
      <c r="C1069" s="51" t="n">
        <f aca="false">1+IF($G$7=$E$7,$F$7,IF(Q1069&lt;($F$7-$E$7)/($G$7-$E$7),$E$7+SQRT(Q1069*($G$7-$E$7)*($F$7-$E$7)),$G$7-SQRT((1-Q1069)*($G$7-$E$7)*($G$7-$F$7))))</f>
        <v>1.0256328578714</v>
      </c>
      <c r="D1069" s="51" t="n">
        <f aca="false">1+IF($G$8=$E$8,$F$8,IF(R1069&lt;($F$8-$E$8)/($G$8-$E$8),$E$8+SQRT(R1069*($G$8-$E$8)*($F$8-$E$8)),$G$8-SQRT((1-R1069)*($G$8-$E$8)*($G$8-$F$8))))</f>
        <v>0.989650996111088</v>
      </c>
      <c r="E1069" s="51" t="n">
        <f aca="false">1+IF($G$9=$E$9,$F$9,IF(S1069&lt;($F$9-$E$9)/($G$9-$E$9),$E$9+SQRT(S1069*($G$9-$E$9)*($F$9-$E$9)),$G$9-SQRT((1-S1069)*($G$9-$E$9)*($G$9-$F$9))))</f>
        <v>1.04022118358458</v>
      </c>
      <c r="F1069" s="51" t="n">
        <f aca="false">1+IF($G$10=$E$10,$F$10,IF(T1069&lt;($F$10-$E$10)/($G$10-$E$10),$E$10+SQRT(T1069*($G$10-$E$10)*($F$10-$E$10)),$G$10-SQRT((1-T1069)*($G$10-$E$10)*($G$10-$F$10))))</f>
        <v>1.1178931347556</v>
      </c>
      <c r="G1069" s="52" t="n">
        <f aca="false">IF($G$11=$E$11,$F$11,IF(U1069&lt;($F$11-$E$11)/($G$11-$E$11),$E$11+SQRT(U1069*($G$11-$E$11)*($F$11-$E$11)),$G$11-SQRT((1-U1069)*($G$11-$E$11)*($G$11-$F$11))))</f>
        <v>0.110831901127316</v>
      </c>
      <c r="H1069" s="53" t="n">
        <f aca="false">(('Business Case'!B11*$C1069*'Business Case'!B12*$B1069)-'Business Case'!B11*$C1069*'Business Case'!B13*$D1069-'Business Case'!B14*$E1069)-MAX(0,(('Business Case'!B11*$C1069*'Business Case'!B12*$B1069)-'Business Case'!B11*$C1069*'Business Case'!B13*$D1069-'Business Case'!B14*$E1069))*'Business Case'!$B$7-'Business Case'!$B$8*('Business Case'!B11*$C1069*'Business Case'!B12*$B1069)-'Business Case'!B15*$F1069</f>
        <v>-2235786269.5112</v>
      </c>
      <c r="I1069" s="53" t="n">
        <f aca="false">(('Business Case'!C11*$C1069*'Business Case'!C12*$B1069)-'Business Case'!C11*$C1069*'Business Case'!C13*$D1069-'Business Case'!C14*$E1069)-MAX(0,(('Business Case'!C11*$C1069*'Business Case'!C12*$B1069)-'Business Case'!C11*$C1069*'Business Case'!C13*$D1069-'Business Case'!C14*$E1069))*'Business Case'!$B$7-'Business Case'!$B$8*(('Business Case'!C11*$C1069*'Business Case'!C12*$B1069)-('Business Case'!B11*$C1069*'Business Case'!B12*$B1069))-'Business Case'!C15*$F1069</f>
        <v>6086969.33617915</v>
      </c>
      <c r="J1069" s="53" t="n">
        <f aca="false">(('Business Case'!D11*$C1069*'Business Case'!D12*$B1069)-'Business Case'!D11*$C1069*'Business Case'!D13*$D1069-'Business Case'!D14*$E1069)-MAX(0,(('Business Case'!D11*$C1069*'Business Case'!D12*$B1069)-'Business Case'!D11*$C1069*'Business Case'!D13*$D1069-'Business Case'!D14*$E1069))*'Business Case'!$B$7-'Business Case'!$B$8*(('Business Case'!D11*$C1069*'Business Case'!D12*$B1069)-('Business Case'!C11*$C1069*'Business Case'!C12*$B1069))-'Business Case'!D15*$F1069</f>
        <v>324950545.420044</v>
      </c>
      <c r="K1069" s="53" t="n">
        <f aca="false">(('Business Case'!E11*$C1069*'Business Case'!E12*$B1069)-'Business Case'!E11*$C1069*'Business Case'!E13*$D1069-'Business Case'!E14*$E1069)-MAX(0,(('Business Case'!E11*$C1069*'Business Case'!E12*$B1069)-'Business Case'!E11*$C1069*'Business Case'!E13*$D1069-'Business Case'!E14*$E1069))*'Business Case'!$B$7-'Business Case'!$B$8*(('Business Case'!E11*$C1069*'Business Case'!E12*$B1069)-('Business Case'!D11*$C1069*'Business Case'!D12*$B1069))-'Business Case'!E15*$F1069</f>
        <v>699708778.241689</v>
      </c>
      <c r="L1069" s="53" t="n">
        <f aca="false">(('Business Case'!F11*$C1069*'Business Case'!F12*$B1069)-'Business Case'!F11*$C1069*'Business Case'!F13*$D1069-'Business Case'!F14*$E1069)-MAX(0,(('Business Case'!F11*$C1069*'Business Case'!F12*$B1069)-'Business Case'!F11*$C1069*'Business Case'!F13*$D1069-'Business Case'!F14*$E1069))*'Business Case'!$B$7-'Business Case'!$B$8*(('Business Case'!F11*$C1069*'Business Case'!F12*$B1069)-('Business Case'!E11*$C1069*'Business Case'!E12*$B1069))-'Business Case'!F15*$F1069</f>
        <v>841375197.580576</v>
      </c>
      <c r="M1069" s="53" t="n">
        <f aca="false">(('Business Case'!G11*$C1069*'Business Case'!G12*$B1069)-'Business Case'!G11*$C1069*'Business Case'!G13*$D1069-'Business Case'!G14*$E1069)-MAX(0,(('Business Case'!G11*$C1069*'Business Case'!G12*$B1069)-'Business Case'!G11*$C1069*'Business Case'!G13*$D1069-'Business Case'!G14*$E1069))*'Business Case'!$B$7-'Business Case'!$B$8*(('Business Case'!G11*$C1069*'Business Case'!G12*$B1069)-('Business Case'!F11*$C1069*'Business Case'!F12*$B1069))-'Business Case'!G15*$F1069+'Business Case'!$B$8*('Business Case'!G11*$C1069*'Business Case'!G12*$B1069)</f>
        <v>1035957281.12404</v>
      </c>
      <c r="N1069" s="53" t="n">
        <f aca="false">IF(COUNT('Business Case'!B11:G11)=0,"",H1069+NPV(G1069,I1069:M1069))</f>
        <v>-291418835.416449</v>
      </c>
      <c r="P1069" s="54" t="n">
        <f aca="true">RAND()</f>
        <v>0.635392673564054</v>
      </c>
      <c r="Q1069" s="54" t="n">
        <f aca="true">RAND()</f>
        <v>0.705386932547875</v>
      </c>
      <c r="R1069" s="54" t="n">
        <f aca="true">RAND()</f>
        <v>0.241877152707923</v>
      </c>
      <c r="S1069" s="54" t="n">
        <f aca="true">RAND()</f>
        <v>0.761766207198103</v>
      </c>
      <c r="T1069" s="54" t="n">
        <f aca="true">RAND()</f>
        <v>0.865169253594754</v>
      </c>
      <c r="U1069" s="54" t="n">
        <f aca="true">RAND()</f>
        <v>0.859909938434479</v>
      </c>
    </row>
    <row r="1070" customFormat="false" ht="15" hidden="false" customHeight="false" outlineLevel="0" collapsed="false">
      <c r="A1070" s="50" t="n">
        <v>990</v>
      </c>
      <c r="B1070" s="51" t="n">
        <f aca="false">1+IF($G$6=$E$6,$F$6,IF(P1070&lt;($F$6-$E$6)/($G$6-$E$6),$E$6+SQRT(P1070*($G$6-$E$6)*($F$6-$E$6)),$G$6-SQRT((1-P1070)*($G$6-$E$6)*($G$6-$F$6))))</f>
        <v>1.01679742117962</v>
      </c>
      <c r="C1070" s="51" t="n">
        <f aca="false">1+IF($G$7=$E$7,$F$7,IF(Q1070&lt;($F$7-$E$7)/($G$7-$E$7),$E$7+SQRT(Q1070*($G$7-$E$7)*($F$7-$E$7)),$G$7-SQRT((1-Q1070)*($G$7-$E$7)*($G$7-$F$7))))</f>
        <v>0.941489494864591</v>
      </c>
      <c r="D1070" s="51" t="n">
        <f aca="false">1+IF($G$8=$E$8,$F$8,IF(R1070&lt;($F$8-$E$8)/($G$8-$E$8),$E$8+SQRT(R1070*($G$8-$E$8)*($F$8-$E$8)),$G$8-SQRT((1-R1070)*($G$8-$E$8)*($G$8-$F$8))))</f>
        <v>0.98012991177043</v>
      </c>
      <c r="E1070" s="51" t="n">
        <f aca="false">1+IF($G$9=$E$9,$F$9,IF(S1070&lt;($F$9-$E$9)/($G$9-$E$9),$E$9+SQRT(S1070*($G$9-$E$9)*($F$9-$E$9)),$G$9-SQRT((1-S1070)*($G$9-$E$9)*($G$9-$F$9))))</f>
        <v>1.02768763780302</v>
      </c>
      <c r="F1070" s="51" t="n">
        <f aca="false">1+IF($G$10=$E$10,$F$10,IF(T1070&lt;($F$10-$E$10)/($G$10-$E$10),$E$10+SQRT(T1070*($G$10-$E$10)*($F$10-$E$10)),$G$10-SQRT((1-T1070)*($G$10-$E$10)*($G$10-$F$10))))</f>
        <v>0.992950513858284</v>
      </c>
      <c r="G1070" s="52" t="n">
        <f aca="false">IF($G$11=$E$11,$F$11,IF(U1070&lt;($F$11-$E$11)/($G$11-$E$11),$E$11+SQRT(U1070*($G$11-$E$11)*($F$11-$E$11)),$G$11-SQRT((1-U1070)*($G$11-$E$11)*($G$11-$F$11))))</f>
        <v>0.0981701771531677</v>
      </c>
      <c r="H1070" s="53" t="n">
        <f aca="false">(('Business Case'!B11*$C1070*'Business Case'!B12*$B1070)-'Business Case'!B11*$C1070*'Business Case'!B13*$D1070-'Business Case'!B14*$E1070)-MAX(0,(('Business Case'!B11*$C1070*'Business Case'!B12*$B1070)-'Business Case'!B11*$C1070*'Business Case'!B13*$D1070-'Business Case'!B14*$E1070))*'Business Case'!$B$7-'Business Case'!$B$8*('Business Case'!B11*$C1070*'Business Case'!B12*$B1070)-'Business Case'!B15*$F1070</f>
        <v>-1985901027.71657</v>
      </c>
      <c r="I1070" s="53" t="n">
        <f aca="false">(('Business Case'!C11*$C1070*'Business Case'!C12*$B1070)-'Business Case'!C11*$C1070*'Business Case'!C13*$D1070-'Business Case'!C14*$E1070)-MAX(0,(('Business Case'!C11*$C1070*'Business Case'!C12*$B1070)-'Business Case'!C11*$C1070*'Business Case'!C13*$D1070-'Business Case'!C14*$E1070))*'Business Case'!$B$7-'Business Case'!$B$8*(('Business Case'!C11*$C1070*'Business Case'!C12*$B1070)-('Business Case'!B11*$C1070*'Business Case'!B12*$B1070))-'Business Case'!C15*$F1070</f>
        <v>16651529.0472817</v>
      </c>
      <c r="J1070" s="53" t="n">
        <f aca="false">(('Business Case'!D11*$C1070*'Business Case'!D12*$B1070)-'Business Case'!D11*$C1070*'Business Case'!D13*$D1070-'Business Case'!D14*$E1070)-MAX(0,(('Business Case'!D11*$C1070*'Business Case'!D12*$B1070)-'Business Case'!D11*$C1070*'Business Case'!D13*$D1070-'Business Case'!D14*$E1070))*'Business Case'!$B$7-'Business Case'!$B$8*(('Business Case'!D11*$C1070*'Business Case'!D12*$B1070)-('Business Case'!C11*$C1070*'Business Case'!C12*$B1070))-'Business Case'!D15*$F1070</f>
        <v>328361935.624703</v>
      </c>
      <c r="K1070" s="53" t="n">
        <f aca="false">(('Business Case'!E11*$C1070*'Business Case'!E12*$B1070)-'Business Case'!E11*$C1070*'Business Case'!E13*$D1070-'Business Case'!E14*$E1070)-MAX(0,(('Business Case'!E11*$C1070*'Business Case'!E12*$B1070)-'Business Case'!E11*$C1070*'Business Case'!E13*$D1070-'Business Case'!E14*$E1070))*'Business Case'!$B$7-'Business Case'!$B$8*(('Business Case'!E11*$C1070*'Business Case'!E12*$B1070)-('Business Case'!D11*$C1070*'Business Case'!D12*$B1070))-'Business Case'!E15*$F1070</f>
        <v>689719867.895039</v>
      </c>
      <c r="L1070" s="53" t="n">
        <f aca="false">(('Business Case'!F11*$C1070*'Business Case'!F12*$B1070)-'Business Case'!F11*$C1070*'Business Case'!F13*$D1070-'Business Case'!F14*$E1070)-MAX(0,(('Business Case'!F11*$C1070*'Business Case'!F12*$B1070)-'Business Case'!F11*$C1070*'Business Case'!F13*$D1070-'Business Case'!F14*$E1070))*'Business Case'!$B$7-'Business Case'!$B$8*(('Business Case'!F11*$C1070*'Business Case'!F12*$B1070)-('Business Case'!E11*$C1070*'Business Case'!E12*$B1070))-'Business Case'!F15*$F1070</f>
        <v>826707766.119993</v>
      </c>
      <c r="M1070" s="53" t="n">
        <f aca="false">(('Business Case'!G11*$C1070*'Business Case'!G12*$B1070)-'Business Case'!G11*$C1070*'Business Case'!G13*$D1070-'Business Case'!G14*$E1070)-MAX(0,(('Business Case'!G11*$C1070*'Business Case'!G12*$B1070)-'Business Case'!G11*$C1070*'Business Case'!G13*$D1070-'Business Case'!G14*$E1070))*'Business Case'!$B$7-'Business Case'!$B$8*(('Business Case'!G11*$C1070*'Business Case'!G12*$B1070)-('Business Case'!F11*$C1070*'Business Case'!F12*$B1070))-'Business Case'!G15*$F1070+'Business Case'!$B$8*('Business Case'!G11*$C1070*'Business Case'!G12*$B1070)</f>
        <v>1008672127.63197</v>
      </c>
      <c r="N1070" s="53" t="n">
        <f aca="false">IF(COUNT('Business Case'!B11:G11)=0,"",H1070+NPV(G1070,I1070:M1070))</f>
        <v>22298648.5705111</v>
      </c>
      <c r="P1070" s="54" t="n">
        <f aca="true">RAND()</f>
        <v>0.887841736684161</v>
      </c>
      <c r="Q1070" s="54" t="n">
        <f aca="true">RAND()</f>
        <v>0.285989673671961</v>
      </c>
      <c r="R1070" s="54" t="n">
        <f aca="true">RAND()</f>
        <v>0.139663320506752</v>
      </c>
      <c r="S1070" s="54" t="n">
        <f aca="true">RAND()</f>
        <v>0.651394818232857</v>
      </c>
      <c r="T1070" s="54" t="n">
        <f aca="true">RAND()</f>
        <v>0.147579731255254</v>
      </c>
      <c r="U1070" s="54" t="n">
        <f aca="true">RAND()</f>
        <v>0.222505982380481</v>
      </c>
    </row>
    <row r="1071" customFormat="false" ht="15" hidden="false" customHeight="false" outlineLevel="0" collapsed="false">
      <c r="A1071" s="50" t="n">
        <v>991</v>
      </c>
      <c r="B1071" s="51" t="n">
        <f aca="false">1+IF($G$6=$E$6,$F$6,IF(P1071&lt;($F$6-$E$6)/($G$6-$E$6),$E$6+SQRT(P1071*($G$6-$E$6)*($F$6-$E$6)),$G$6-SQRT((1-P1071)*($G$6-$E$6)*($G$6-$F$6))))</f>
        <v>0.999916867912503</v>
      </c>
      <c r="C1071" s="51" t="n">
        <f aca="false">1+IF($G$7=$E$7,$F$7,IF(Q1071&lt;($F$7-$E$7)/($G$7-$E$7),$E$7+SQRT(Q1071*($G$7-$E$7)*($F$7-$E$7)),$G$7-SQRT((1-Q1071)*($G$7-$E$7)*($G$7-$F$7))))</f>
        <v>0.860324299473962</v>
      </c>
      <c r="D1071" s="51" t="n">
        <f aca="false">1+IF($G$8=$E$8,$F$8,IF(R1071&lt;($F$8-$E$8)/($G$8-$E$8),$E$8+SQRT(R1071*($G$8-$E$8)*($F$8-$E$8)),$G$8-SQRT((1-R1071)*($G$8-$E$8)*($G$8-$F$8))))</f>
        <v>1.0260670238162</v>
      </c>
      <c r="E1071" s="51" t="n">
        <f aca="false">1+IF($G$9=$E$9,$F$9,IF(S1071&lt;($F$9-$E$9)/($G$9-$E$9),$E$9+SQRT(S1071*($G$9-$E$9)*($F$9-$E$9)),$G$9-SQRT((1-S1071)*($G$9-$E$9)*($G$9-$F$9))))</f>
        <v>1.05477798147713</v>
      </c>
      <c r="F1071" s="51" t="n">
        <f aca="false">1+IF($G$10=$E$10,$F$10,IF(T1071&lt;($F$10-$E$10)/($G$10-$E$10),$E$10+SQRT(T1071*($G$10-$E$10)*($F$10-$E$10)),$G$10-SQRT((1-T1071)*($G$10-$E$10)*($G$10-$F$10))))</f>
        <v>0.998111168779077</v>
      </c>
      <c r="G1071" s="52" t="n">
        <f aca="false">IF($G$11=$E$11,$F$11,IF(U1071&lt;($F$11-$E$11)/($G$11-$E$11),$E$11+SQRT(U1071*($G$11-$E$11)*($F$11-$E$11)),$G$11-SQRT((1-U1071)*($G$11-$E$11)*($G$11-$F$11))))</f>
        <v>0.103716173444128</v>
      </c>
      <c r="H1071" s="53" t="n">
        <f aca="false">(('Business Case'!B11*$C1071*'Business Case'!B12*$B1071)-'Business Case'!B11*$C1071*'Business Case'!B13*$D1071-'Business Case'!B14*$E1071)-MAX(0,(('Business Case'!B11*$C1071*'Business Case'!B12*$B1071)-'Business Case'!B11*$C1071*'Business Case'!B13*$D1071-'Business Case'!B14*$E1071))*'Business Case'!$B$7-'Business Case'!$B$8*('Business Case'!B11*$C1071*'Business Case'!B12*$B1071)-'Business Case'!B15*$F1071</f>
        <v>-1996222337.55815</v>
      </c>
      <c r="I1071" s="53" t="n">
        <f aca="false">(('Business Case'!C11*$C1071*'Business Case'!C12*$B1071)-'Business Case'!C11*$C1071*'Business Case'!C13*$D1071-'Business Case'!C14*$E1071)-MAX(0,(('Business Case'!C11*$C1071*'Business Case'!C12*$B1071)-'Business Case'!C11*$C1071*'Business Case'!C13*$D1071-'Business Case'!C14*$E1071))*'Business Case'!$B$7-'Business Case'!$B$8*(('Business Case'!C11*$C1071*'Business Case'!C12*$B1071)-('Business Case'!B11*$C1071*'Business Case'!B12*$B1071))-'Business Case'!C15*$F1071</f>
        <v>-41684667.1976165</v>
      </c>
      <c r="J1071" s="53" t="n">
        <f aca="false">(('Business Case'!D11*$C1071*'Business Case'!D12*$B1071)-'Business Case'!D11*$C1071*'Business Case'!D13*$D1071-'Business Case'!D14*$E1071)-MAX(0,(('Business Case'!D11*$C1071*'Business Case'!D12*$B1071)-'Business Case'!D11*$C1071*'Business Case'!D13*$D1071-'Business Case'!D14*$E1071))*'Business Case'!$B$7-'Business Case'!$B$8*(('Business Case'!D11*$C1071*'Business Case'!D12*$B1071)-('Business Case'!C11*$C1071*'Business Case'!C12*$B1071))-'Business Case'!D15*$F1071</f>
        <v>211026715.507885</v>
      </c>
      <c r="K1071" s="53" t="n">
        <f aca="false">(('Business Case'!E11*$C1071*'Business Case'!E12*$B1071)-'Business Case'!E11*$C1071*'Business Case'!E13*$D1071-'Business Case'!E14*$E1071)-MAX(0,(('Business Case'!E11*$C1071*'Business Case'!E12*$B1071)-'Business Case'!E11*$C1071*'Business Case'!E13*$D1071-'Business Case'!E14*$E1071))*'Business Case'!$B$7-'Business Case'!$B$8*(('Business Case'!E11*$C1071*'Business Case'!E12*$B1071)-('Business Case'!D11*$C1071*'Business Case'!D12*$B1071))-'Business Case'!E15*$F1071</f>
        <v>513643656.65234</v>
      </c>
      <c r="L1071" s="53" t="n">
        <f aca="false">(('Business Case'!F11*$C1071*'Business Case'!F12*$B1071)-'Business Case'!F11*$C1071*'Business Case'!F13*$D1071-'Business Case'!F14*$E1071)-MAX(0,(('Business Case'!F11*$C1071*'Business Case'!F12*$B1071)-'Business Case'!F11*$C1071*'Business Case'!F13*$D1071-'Business Case'!F14*$E1071))*'Business Case'!$B$7-'Business Case'!$B$8*(('Business Case'!F11*$C1071*'Business Case'!F12*$B1071)-('Business Case'!E11*$C1071*'Business Case'!E12*$B1071))-'Business Case'!F15*$F1071</f>
        <v>627611120.260282</v>
      </c>
      <c r="M1071" s="53" t="n">
        <f aca="false">(('Business Case'!G11*$C1071*'Business Case'!G12*$B1071)-'Business Case'!G11*$C1071*'Business Case'!G13*$D1071-'Business Case'!G14*$E1071)-MAX(0,(('Business Case'!G11*$C1071*'Business Case'!G12*$B1071)-'Business Case'!G11*$C1071*'Business Case'!G13*$D1071-'Business Case'!G14*$E1071))*'Business Case'!$B$7-'Business Case'!$B$8*(('Business Case'!G11*$C1071*'Business Case'!G12*$B1071)-('Business Case'!F11*$C1071*'Business Case'!F12*$B1071))-'Business Case'!G15*$F1071+'Business Case'!$B$8*('Business Case'!G11*$C1071*'Business Case'!G12*$B1071)</f>
        <v>791127968.47721</v>
      </c>
      <c r="N1071" s="53" t="n">
        <f aca="false">IF(COUNT('Business Case'!B11:G11)=0,"",H1071+NPV(G1071,I1071:M1071))</f>
        <v>-572800222.049249</v>
      </c>
      <c r="P1071" s="54" t="n">
        <f aca="true">RAND()</f>
        <v>0.665281851765045</v>
      </c>
      <c r="Q1071" s="54" t="n">
        <f aca="true">RAND()</f>
        <v>0.0519860158146318</v>
      </c>
      <c r="R1071" s="54" t="n">
        <f aca="true">RAND()</f>
        <v>0.720310969226683</v>
      </c>
      <c r="S1071" s="54" t="n">
        <f aca="true">RAND()</f>
        <v>0.863664602714498</v>
      </c>
      <c r="T1071" s="54" t="n">
        <f aca="true">RAND()</f>
        <v>0.185174764903103</v>
      </c>
      <c r="U1071" s="54" t="n">
        <f aca="true">RAND()</f>
        <v>0.558061654497145</v>
      </c>
    </row>
    <row r="1072" customFormat="false" ht="15" hidden="false" customHeight="false" outlineLevel="0" collapsed="false">
      <c r="A1072" s="50" t="n">
        <v>992</v>
      </c>
      <c r="B1072" s="51" t="n">
        <f aca="false">1+IF($G$6=$E$6,$F$6,IF(P1072&lt;($F$6-$E$6)/($G$6-$E$6),$E$6+SQRT(P1072*($G$6-$E$6)*($F$6-$E$6)),$G$6-SQRT((1-P1072)*($G$6-$E$6)*($G$6-$F$6))))</f>
        <v>0.982829755878686</v>
      </c>
      <c r="C1072" s="51" t="n">
        <f aca="false">1+IF($G$7=$E$7,$F$7,IF(Q1072&lt;($F$7-$E$7)/($G$7-$E$7),$E$7+SQRT(Q1072*($G$7-$E$7)*($F$7-$E$7)),$G$7-SQRT((1-Q1072)*($G$7-$E$7)*($G$7-$F$7))))</f>
        <v>0.970773089901552</v>
      </c>
      <c r="D1072" s="51" t="n">
        <f aca="false">1+IF($G$8=$E$8,$F$8,IF(R1072&lt;($F$8-$E$8)/($G$8-$E$8),$E$8+SQRT(R1072*($G$8-$E$8)*($F$8-$E$8)),$G$8-SQRT((1-R1072)*($G$8-$E$8)*($G$8-$F$8))))</f>
        <v>1.02316987491917</v>
      </c>
      <c r="E1072" s="51" t="n">
        <f aca="false">1+IF($G$9=$E$9,$F$9,IF(S1072&lt;($F$9-$E$9)/($G$9-$E$9),$E$9+SQRT(S1072*($G$9-$E$9)*($F$9-$E$9)),$G$9-SQRT((1-S1072)*($G$9-$E$9)*($G$9-$F$9))))</f>
        <v>1.07485431579931</v>
      </c>
      <c r="F1072" s="51" t="n">
        <f aca="false">1+IF($G$10=$E$10,$F$10,IF(T1072&lt;($F$10-$E$10)/($G$10-$E$10),$E$10+SQRT(T1072*($G$10-$E$10)*($F$10-$E$10)),$G$10-SQRT((1-T1072)*($G$10-$E$10)*($G$10-$F$10))))</f>
        <v>1.02874626820429</v>
      </c>
      <c r="G1072" s="52" t="n">
        <f aca="false">IF($G$11=$E$11,$F$11,IF(U1072&lt;($F$11-$E$11)/($G$11-$E$11),$E$11+SQRT(U1072*($G$11-$E$11)*($F$11-$E$11)),$G$11-SQRT((1-U1072)*($G$11-$E$11)*($G$11-$F$11))))</f>
        <v>0.106755090801293</v>
      </c>
      <c r="H1072" s="53" t="n">
        <f aca="false">(('Business Case'!B11*$C1072*'Business Case'!B12*$B1072)-'Business Case'!B11*$C1072*'Business Case'!B13*$D1072-'Business Case'!B14*$E1072)-MAX(0,(('Business Case'!B11*$C1072*'Business Case'!B12*$B1072)-'Business Case'!B11*$C1072*'Business Case'!B13*$D1072-'Business Case'!B14*$E1072))*'Business Case'!$B$7-'Business Case'!$B$8*('Business Case'!B11*$C1072*'Business Case'!B12*$B1072)-'Business Case'!B15*$F1072</f>
        <v>-2057492536.40857</v>
      </c>
      <c r="I1072" s="53" t="n">
        <f aca="false">(('Business Case'!C11*$C1072*'Business Case'!C12*$B1072)-'Business Case'!C11*$C1072*'Business Case'!C13*$D1072-'Business Case'!C14*$E1072)-MAX(0,(('Business Case'!C11*$C1072*'Business Case'!C12*$B1072)-'Business Case'!C11*$C1072*'Business Case'!C13*$D1072-'Business Case'!C14*$E1072))*'Business Case'!$B$7-'Business Case'!$B$8*(('Business Case'!C11*$C1072*'Business Case'!C12*$B1072)-('Business Case'!B11*$C1072*'Business Case'!B12*$B1072))-'Business Case'!C15*$F1072</f>
        <v>-32171888.0719597</v>
      </c>
      <c r="J1072" s="53" t="n">
        <f aca="false">(('Business Case'!D11*$C1072*'Business Case'!D12*$B1072)-'Business Case'!D11*$C1072*'Business Case'!D13*$D1072-'Business Case'!D14*$E1072)-MAX(0,(('Business Case'!D11*$C1072*'Business Case'!D12*$B1072)-'Business Case'!D11*$C1072*'Business Case'!D13*$D1072-'Business Case'!D14*$E1072))*'Business Case'!$B$7-'Business Case'!$B$8*(('Business Case'!D11*$C1072*'Business Case'!D12*$B1072)-('Business Case'!C11*$C1072*'Business Case'!C12*$B1072))-'Business Case'!D15*$F1072</f>
        <v>240835920.940537</v>
      </c>
      <c r="K1072" s="53" t="n">
        <f aca="false">(('Business Case'!E11*$C1072*'Business Case'!E12*$B1072)-'Business Case'!E11*$C1072*'Business Case'!E13*$D1072-'Business Case'!E14*$E1072)-MAX(0,(('Business Case'!E11*$C1072*'Business Case'!E12*$B1072)-'Business Case'!E11*$C1072*'Business Case'!E13*$D1072-'Business Case'!E14*$E1072))*'Business Case'!$B$7-'Business Case'!$B$8*(('Business Case'!E11*$C1072*'Business Case'!E12*$B1072)-('Business Case'!D11*$C1072*'Business Case'!D12*$B1072))-'Business Case'!E15*$F1072</f>
        <v>565281043.363247</v>
      </c>
      <c r="L1072" s="53" t="n">
        <f aca="false">(('Business Case'!F11*$C1072*'Business Case'!F12*$B1072)-'Business Case'!F11*$C1072*'Business Case'!F13*$D1072-'Business Case'!F14*$E1072)-MAX(0,(('Business Case'!F11*$C1072*'Business Case'!F12*$B1072)-'Business Case'!F11*$C1072*'Business Case'!F13*$D1072-'Business Case'!F14*$E1072))*'Business Case'!$B$7-'Business Case'!$B$8*(('Business Case'!F11*$C1072*'Business Case'!F12*$B1072)-('Business Case'!E11*$C1072*'Business Case'!E12*$B1072))-'Business Case'!F15*$F1072</f>
        <v>689257504.072324</v>
      </c>
      <c r="M1072" s="53" t="n">
        <f aca="false">(('Business Case'!G11*$C1072*'Business Case'!G12*$B1072)-'Business Case'!G11*$C1072*'Business Case'!G13*$D1072-'Business Case'!G14*$E1072)-MAX(0,(('Business Case'!G11*$C1072*'Business Case'!G12*$B1072)-'Business Case'!G11*$C1072*'Business Case'!G13*$D1072-'Business Case'!G14*$E1072))*'Business Case'!$B$7-'Business Case'!$B$8*(('Business Case'!G11*$C1072*'Business Case'!G12*$B1072)-('Business Case'!F11*$C1072*'Business Case'!F12*$B1072))-'Business Case'!G15*$F1072+'Business Case'!$B$8*('Business Case'!G11*$C1072*'Business Case'!G12*$B1072)</f>
        <v>870613721.449333</v>
      </c>
      <c r="N1072" s="53" t="n">
        <f aca="false">IF(COUNT('Business Case'!B11:G11)=0,"",H1072+NPV(G1072,I1072:M1072))</f>
        <v>-489301643.876027</v>
      </c>
      <c r="P1072" s="54" t="n">
        <f aca="true">RAND()</f>
        <v>0.41120606497659</v>
      </c>
      <c r="Q1072" s="54" t="n">
        <f aca="true">RAND()</f>
        <v>0.416620689064621</v>
      </c>
      <c r="R1072" s="54" t="n">
        <f aca="true">RAND()</f>
        <v>0.689455469547821</v>
      </c>
      <c r="S1072" s="54" t="n">
        <f aca="true">RAND()</f>
        <v>0.957846304405263</v>
      </c>
      <c r="T1072" s="54" t="n">
        <f aca="true">RAND()</f>
        <v>0.413443186920829</v>
      </c>
      <c r="U1072" s="54" t="n">
        <f aca="true">RAND()</f>
        <v>0.707620633863366</v>
      </c>
    </row>
    <row r="1073" customFormat="false" ht="15" hidden="false" customHeight="false" outlineLevel="0" collapsed="false">
      <c r="A1073" s="50" t="n">
        <v>993</v>
      </c>
      <c r="B1073" s="51" t="n">
        <f aca="false">1+IF($G$6=$E$6,$F$6,IF(P1073&lt;($F$6-$E$6)/($G$6-$E$6),$E$6+SQRT(P1073*($G$6-$E$6)*($F$6-$E$6)),$G$6-SQRT((1-P1073)*($G$6-$E$6)*($G$6-$F$6))))</f>
        <v>0.943087231227655</v>
      </c>
      <c r="C1073" s="51" t="n">
        <f aca="false">1+IF($G$7=$E$7,$F$7,IF(Q1073&lt;($F$7-$E$7)/($G$7-$E$7),$E$7+SQRT(Q1073*($G$7-$E$7)*($F$7-$E$7)),$G$7-SQRT((1-Q1073)*($G$7-$E$7)*($G$7-$F$7))))</f>
        <v>1.02370381154386</v>
      </c>
      <c r="D1073" s="51" t="n">
        <f aca="false">1+IF($G$8=$E$8,$F$8,IF(R1073&lt;($F$8-$E$8)/($G$8-$E$8),$E$8+SQRT(R1073*($G$8-$E$8)*($F$8-$E$8)),$G$8-SQRT((1-R1073)*($G$8-$E$8)*($G$8-$F$8))))</f>
        <v>0.997227028714541</v>
      </c>
      <c r="E1073" s="51" t="n">
        <f aca="false">1+IF($G$9=$E$9,$F$9,IF(S1073&lt;($F$9-$E$9)/($G$9-$E$9),$E$9+SQRT(S1073*($G$9-$E$9)*($F$9-$E$9)),$G$9-SQRT((1-S1073)*($G$9-$E$9)*($G$9-$F$9))))</f>
        <v>0.975752487918525</v>
      </c>
      <c r="F1073" s="51" t="n">
        <f aca="false">1+IF($G$10=$E$10,$F$10,IF(T1073&lt;($F$10-$E$10)/($G$10-$E$10),$E$10+SQRT(T1073*($G$10-$E$10)*($F$10-$E$10)),$G$10-SQRT((1-T1073)*($G$10-$E$10)*($G$10-$F$10))))</f>
        <v>1.08425298394703</v>
      </c>
      <c r="G1073" s="52" t="n">
        <f aca="false">IF($G$11=$E$11,$F$11,IF(U1073&lt;($F$11-$E$11)/($G$11-$E$11),$E$11+SQRT(U1073*($G$11-$E$11)*($F$11-$E$11)),$G$11-SQRT((1-U1073)*($G$11-$E$11)*($G$11-$F$11))))</f>
        <v>0.100794359477724</v>
      </c>
      <c r="H1073" s="53" t="n">
        <f aca="false">(('Business Case'!B11*$C1073*'Business Case'!B12*$B1073)-'Business Case'!B11*$C1073*'Business Case'!B13*$D1073-'Business Case'!B14*$E1073)-MAX(0,(('Business Case'!B11*$C1073*'Business Case'!B12*$B1073)-'Business Case'!B11*$C1073*'Business Case'!B13*$D1073-'Business Case'!B14*$E1073))*'Business Case'!$B$7-'Business Case'!$B$8*('Business Case'!B11*$C1073*'Business Case'!B12*$B1073)-'Business Case'!B15*$F1073</f>
        <v>-2168505967.89406</v>
      </c>
      <c r="I1073" s="53" t="n">
        <f aca="false">(('Business Case'!C11*$C1073*'Business Case'!C12*$B1073)-'Business Case'!C11*$C1073*'Business Case'!C13*$D1073-'Business Case'!C14*$E1073)-MAX(0,(('Business Case'!C11*$C1073*'Business Case'!C12*$B1073)-'Business Case'!C11*$C1073*'Business Case'!C13*$D1073-'Business Case'!C14*$E1073))*'Business Case'!$B$7-'Business Case'!$B$8*(('Business Case'!C11*$C1073*'Business Case'!C12*$B1073)-('Business Case'!B11*$C1073*'Business Case'!B12*$B1073))-'Business Case'!C15*$F1073</f>
        <v>-29060578.0791039</v>
      </c>
      <c r="J1073" s="53" t="n">
        <f aca="false">(('Business Case'!D11*$C1073*'Business Case'!D12*$B1073)-'Business Case'!D11*$C1073*'Business Case'!D13*$D1073-'Business Case'!D14*$E1073)-MAX(0,(('Business Case'!D11*$C1073*'Business Case'!D12*$B1073)-'Business Case'!D11*$C1073*'Business Case'!D13*$D1073-'Business Case'!D14*$E1073))*'Business Case'!$B$7-'Business Case'!$B$8*(('Business Case'!D11*$C1073*'Business Case'!D12*$B1073)-('Business Case'!C11*$C1073*'Business Case'!C12*$B1073))-'Business Case'!D15*$F1073</f>
        <v>239104658.947351</v>
      </c>
      <c r="K1073" s="53" t="n">
        <f aca="false">(('Business Case'!E11*$C1073*'Business Case'!E12*$B1073)-'Business Case'!E11*$C1073*'Business Case'!E13*$D1073-'Business Case'!E14*$E1073)-MAX(0,(('Business Case'!E11*$C1073*'Business Case'!E12*$B1073)-'Business Case'!E11*$C1073*'Business Case'!E13*$D1073-'Business Case'!E14*$E1073))*'Business Case'!$B$7-'Business Case'!$B$8*(('Business Case'!E11*$C1073*'Business Case'!E12*$B1073)-('Business Case'!D11*$C1073*'Business Case'!D12*$B1073))-'Business Case'!E15*$F1073</f>
        <v>561482545.171157</v>
      </c>
      <c r="L1073" s="53" t="n">
        <f aca="false">(('Business Case'!F11*$C1073*'Business Case'!F12*$B1073)-'Business Case'!F11*$C1073*'Business Case'!F13*$D1073-'Business Case'!F14*$E1073)-MAX(0,(('Business Case'!F11*$C1073*'Business Case'!F12*$B1073)-'Business Case'!F11*$C1073*'Business Case'!F13*$D1073-'Business Case'!F14*$E1073))*'Business Case'!$B$7-'Business Case'!$B$8*(('Business Case'!F11*$C1073*'Business Case'!F12*$B1073)-('Business Case'!E11*$C1073*'Business Case'!E12*$B1073))-'Business Case'!F15*$F1073</f>
        <v>684236632.799203</v>
      </c>
      <c r="M1073" s="53" t="n">
        <f aca="false">(('Business Case'!G11*$C1073*'Business Case'!G12*$B1073)-'Business Case'!G11*$C1073*'Business Case'!G13*$D1073-'Business Case'!G14*$E1073)-MAX(0,(('Business Case'!G11*$C1073*'Business Case'!G12*$B1073)-'Business Case'!G11*$C1073*'Business Case'!G13*$D1073-'Business Case'!G14*$E1073))*'Business Case'!$B$7-'Business Case'!$B$8*(('Business Case'!G11*$C1073*'Business Case'!G12*$B1073)-('Business Case'!F11*$C1073*'Business Case'!F12*$B1073))-'Business Case'!G15*$F1073+'Business Case'!$B$8*('Business Case'!G11*$C1073*'Business Case'!G12*$B1073)</f>
        <v>867747846.87162</v>
      </c>
      <c r="N1073" s="53" t="n">
        <f aca="false">IF(COUNT('Business Case'!B11:G11)=0,"",H1073+NPV(G1073,I1073:M1073))</f>
        <v>-573788811.503864</v>
      </c>
      <c r="P1073" s="54" t="n">
        <f aca="true">RAND()</f>
        <v>0.0555229422665815</v>
      </c>
      <c r="Q1073" s="54" t="n">
        <f aca="true">RAND()</f>
        <v>0.696176624408614</v>
      </c>
      <c r="R1073" s="54" t="n">
        <f aca="true">RAND()</f>
        <v>0.343137267877552</v>
      </c>
      <c r="S1073" s="54" t="n">
        <f aca="true">RAND()</f>
        <v>0.0884254178658381</v>
      </c>
      <c r="T1073" s="54" t="n">
        <f aca="true">RAND()</f>
        <v>0.732052565496676</v>
      </c>
      <c r="U1073" s="54" t="n">
        <f aca="true">RAND()</f>
        <v>0.38523895354854</v>
      </c>
    </row>
    <row r="1074" customFormat="false" ht="15" hidden="false" customHeight="false" outlineLevel="0" collapsed="false">
      <c r="A1074" s="50" t="n">
        <v>994</v>
      </c>
      <c r="B1074" s="51" t="n">
        <f aca="false">1+IF($G$6=$E$6,$F$6,IF(P1074&lt;($F$6-$E$6)/($G$6-$E$6),$E$6+SQRT(P1074*($G$6-$E$6)*($F$6-$E$6)),$G$6-SQRT((1-P1074)*($G$6-$E$6)*($G$6-$F$6))))</f>
        <v>1.00141850418017</v>
      </c>
      <c r="C1074" s="51" t="n">
        <f aca="false">1+IF($G$7=$E$7,$F$7,IF(Q1074&lt;($F$7-$E$7)/($G$7-$E$7),$E$7+SQRT(Q1074*($G$7-$E$7)*($F$7-$E$7)),$G$7-SQRT((1-Q1074)*($G$7-$E$7)*($G$7-$F$7))))</f>
        <v>1.09034570744976</v>
      </c>
      <c r="D1074" s="51" t="n">
        <f aca="false">1+IF($G$8=$E$8,$F$8,IF(R1074&lt;($F$8-$E$8)/($G$8-$E$8),$E$8+SQRT(R1074*($G$8-$E$8)*($F$8-$E$8)),$G$8-SQRT((1-R1074)*($G$8-$E$8)*($G$8-$F$8))))</f>
        <v>0.964014294629882</v>
      </c>
      <c r="E1074" s="51" t="n">
        <f aca="false">1+IF($G$9=$E$9,$F$9,IF(S1074&lt;($F$9-$E$9)/($G$9-$E$9),$E$9+SQRT(S1074*($G$9-$E$9)*($F$9-$E$9)),$G$9-SQRT((1-S1074)*($G$9-$E$9)*($G$9-$F$9))))</f>
        <v>0.995949851997631</v>
      </c>
      <c r="F1074" s="51" t="n">
        <f aca="false">1+IF($G$10=$E$10,$F$10,IF(T1074&lt;($F$10-$E$10)/($G$10-$E$10),$E$10+SQRT(T1074*($G$10-$E$10)*($F$10-$E$10)),$G$10-SQRT((1-T1074)*($G$10-$E$10)*($G$10-$F$10))))</f>
        <v>1.07636120072724</v>
      </c>
      <c r="G1074" s="52" t="n">
        <f aca="false">IF($G$11=$E$11,$F$11,IF(U1074&lt;($F$11-$E$11)/($G$11-$E$11),$E$11+SQRT(U1074*($G$11-$E$11)*($F$11-$E$11)),$G$11-SQRT((1-U1074)*($G$11-$E$11)*($G$11-$F$11))))</f>
        <v>0.103425464900865</v>
      </c>
      <c r="H1074" s="53" t="n">
        <f aca="false">(('Business Case'!B11*$C1074*'Business Case'!B12*$B1074)-'Business Case'!B11*$C1074*'Business Case'!B13*$D1074-'Business Case'!B14*$E1074)-MAX(0,(('Business Case'!B11*$C1074*'Business Case'!B12*$B1074)-'Business Case'!B11*$C1074*'Business Case'!B13*$D1074-'Business Case'!B14*$E1074))*'Business Case'!$B$7-'Business Case'!$B$8*('Business Case'!B11*$C1074*'Business Case'!B12*$B1074)-'Business Case'!B15*$F1074</f>
        <v>-2152722401.45449</v>
      </c>
      <c r="I1074" s="53" t="n">
        <f aca="false">(('Business Case'!C11*$C1074*'Business Case'!C12*$B1074)-'Business Case'!C11*$C1074*'Business Case'!C13*$D1074-'Business Case'!C14*$E1074)-MAX(0,(('Business Case'!C11*$C1074*'Business Case'!C12*$B1074)-'Business Case'!C11*$C1074*'Business Case'!C13*$D1074-'Business Case'!C14*$E1074))*'Business Case'!$B$7-'Business Case'!$B$8*(('Business Case'!C11*$C1074*'Business Case'!C12*$B1074)-('Business Case'!B11*$C1074*'Business Case'!B12*$B1074))-'Business Case'!C15*$F1074</f>
        <v>50390934.289403</v>
      </c>
      <c r="J1074" s="53" t="n">
        <f aca="false">(('Business Case'!D11*$C1074*'Business Case'!D12*$B1074)-'Business Case'!D11*$C1074*'Business Case'!D13*$D1074-'Business Case'!D14*$E1074)-MAX(0,(('Business Case'!D11*$C1074*'Business Case'!D12*$B1074)-'Business Case'!D11*$C1074*'Business Case'!D13*$D1074-'Business Case'!D14*$E1074))*'Business Case'!$B$7-'Business Case'!$B$8*(('Business Case'!D11*$C1074*'Business Case'!D12*$B1074)-('Business Case'!C11*$C1074*'Business Case'!C12*$B1074))-'Business Case'!D15*$F1074</f>
        <v>406645757.931278</v>
      </c>
      <c r="K1074" s="53" t="n">
        <f aca="false">(('Business Case'!E11*$C1074*'Business Case'!E12*$B1074)-'Business Case'!E11*$C1074*'Business Case'!E13*$D1074-'Business Case'!E14*$E1074)-MAX(0,(('Business Case'!E11*$C1074*'Business Case'!E12*$B1074)-'Business Case'!E11*$C1074*'Business Case'!E13*$D1074-'Business Case'!E14*$E1074))*'Business Case'!$B$7-'Business Case'!$B$8*(('Business Case'!E11*$C1074*'Business Case'!E12*$B1074)-('Business Case'!D11*$C1074*'Business Case'!D12*$B1074))-'Business Case'!E15*$F1074</f>
        <v>816718641.609516</v>
      </c>
      <c r="L1074" s="53" t="n">
        <f aca="false">(('Business Case'!F11*$C1074*'Business Case'!F12*$B1074)-'Business Case'!F11*$C1074*'Business Case'!F13*$D1074-'Business Case'!F14*$E1074)-MAX(0,(('Business Case'!F11*$C1074*'Business Case'!F12*$B1074)-'Business Case'!F11*$C1074*'Business Case'!F13*$D1074-'Business Case'!F14*$E1074))*'Business Case'!$B$7-'Business Case'!$B$8*(('Business Case'!F11*$C1074*'Business Case'!F12*$B1074)-('Business Case'!E11*$C1074*'Business Case'!E12*$B1074))-'Business Case'!F15*$F1074</f>
        <v>973206049.707264</v>
      </c>
      <c r="M1074" s="53" t="n">
        <f aca="false">(('Business Case'!G11*$C1074*'Business Case'!G12*$B1074)-'Business Case'!G11*$C1074*'Business Case'!G13*$D1074-'Business Case'!G14*$E1074)-MAX(0,(('Business Case'!G11*$C1074*'Business Case'!G12*$B1074)-'Business Case'!G11*$C1074*'Business Case'!G13*$D1074-'Business Case'!G14*$E1074))*'Business Case'!$B$7-'Business Case'!$B$8*(('Business Case'!G11*$C1074*'Business Case'!G12*$B1074)-('Business Case'!F11*$C1074*'Business Case'!F12*$B1074))-'Business Case'!G15*$F1074+'Business Case'!$B$8*('Business Case'!G11*$C1074*'Business Case'!G12*$B1074)</f>
        <v>1180752950.90144</v>
      </c>
      <c r="N1074" s="53" t="n">
        <f aca="false">IF(COUNT('Business Case'!B11:G11)=0,"",H1074+NPV(G1074,I1074:M1074))</f>
        <v>213190882.901839</v>
      </c>
      <c r="P1074" s="54" t="n">
        <f aca="true">RAND()</f>
        <v>0.689889204230097</v>
      </c>
      <c r="Q1074" s="54" t="n">
        <f aca="true">RAND()</f>
        <v>0.93221648343487</v>
      </c>
      <c r="R1074" s="54" t="n">
        <f aca="true">RAND()</f>
        <v>0.0302154544574044</v>
      </c>
      <c r="S1074" s="54" t="n">
        <f aca="true">RAND()</f>
        <v>0.281518519813898</v>
      </c>
      <c r="T1074" s="54" t="n">
        <f aca="true">RAND()</f>
        <v>0.694268946287822</v>
      </c>
      <c r="U1074" s="54" t="n">
        <f aca="true">RAND()</f>
        <v>0.542141310412573</v>
      </c>
    </row>
    <row r="1075" customFormat="false" ht="15" hidden="false" customHeight="false" outlineLevel="0" collapsed="false">
      <c r="A1075" s="50" t="n">
        <v>995</v>
      </c>
      <c r="B1075" s="51" t="n">
        <f aca="false">1+IF($G$6=$E$6,$F$6,IF(P1075&lt;($F$6-$E$6)/($G$6-$E$6),$E$6+SQRT(P1075*($G$6-$E$6)*($F$6-$E$6)),$G$6-SQRT((1-P1075)*($G$6-$E$6)*($G$6-$F$6))))</f>
        <v>0.95473416960952</v>
      </c>
      <c r="C1075" s="51" t="n">
        <f aca="false">1+IF($G$7=$E$7,$F$7,IF(Q1075&lt;($F$7-$E$7)/($G$7-$E$7),$E$7+SQRT(Q1075*($G$7-$E$7)*($F$7-$E$7)),$G$7-SQRT((1-Q1075)*($G$7-$E$7)*($G$7-$F$7))))</f>
        <v>1.00083565305332</v>
      </c>
      <c r="D1075" s="51" t="n">
        <f aca="false">1+IF($G$8=$E$8,$F$8,IF(R1075&lt;($F$8-$E$8)/($G$8-$E$8),$E$8+SQRT(R1075*($G$8-$E$8)*($F$8-$E$8)),$G$8-SQRT((1-R1075)*($G$8-$E$8)*($G$8-$F$8))))</f>
        <v>0.981437671680209</v>
      </c>
      <c r="E1075" s="51" t="n">
        <f aca="false">1+IF($G$9=$E$9,$F$9,IF(S1075&lt;($F$9-$E$9)/($G$9-$E$9),$E$9+SQRT(S1075*($G$9-$E$9)*($F$9-$E$9)),$G$9-SQRT((1-S1075)*($G$9-$E$9)*($G$9-$F$9))))</f>
        <v>1.03916065864098</v>
      </c>
      <c r="F1075" s="51" t="n">
        <f aca="false">1+IF($G$10=$E$10,$F$10,IF(T1075&lt;($F$10-$E$10)/($G$10-$E$10),$E$10+SQRT(T1075*($G$10-$E$10)*($F$10-$E$10)),$G$10-SQRT((1-T1075)*($G$10-$E$10)*($G$10-$F$10))))</f>
        <v>1.06307251521555</v>
      </c>
      <c r="G1075" s="52" t="n">
        <f aca="false">IF($G$11=$E$11,$F$11,IF(U1075&lt;($F$11-$E$11)/($G$11-$E$11),$E$11+SQRT(U1075*($G$11-$E$11)*($F$11-$E$11)),$G$11-SQRT((1-U1075)*($G$11-$E$11)*($G$11-$F$11))))</f>
        <v>0.0994550043709214</v>
      </c>
      <c r="H1075" s="53" t="n">
        <f aca="false">(('Business Case'!B11*$C1075*'Business Case'!B12*$B1075)-'Business Case'!B11*$C1075*'Business Case'!B13*$D1075-'Business Case'!B14*$E1075)-MAX(0,(('Business Case'!B11*$C1075*'Business Case'!B12*$B1075)-'Business Case'!B11*$C1075*'Business Case'!B13*$D1075-'Business Case'!B14*$E1075))*'Business Case'!$B$7-'Business Case'!$B$8*('Business Case'!B11*$C1075*'Business Case'!B12*$B1075)-'Business Case'!B15*$F1075</f>
        <v>-2126145030.43111</v>
      </c>
      <c r="I1075" s="53" t="n">
        <f aca="false">(('Business Case'!C11*$C1075*'Business Case'!C12*$B1075)-'Business Case'!C11*$C1075*'Business Case'!C13*$D1075-'Business Case'!C14*$E1075)-MAX(0,(('Business Case'!C11*$C1075*'Business Case'!C12*$B1075)-'Business Case'!C11*$C1075*'Business Case'!C13*$D1075-'Business Case'!C14*$E1075))*'Business Case'!$B$7-'Business Case'!$B$8*(('Business Case'!C11*$C1075*'Business Case'!C12*$B1075)-('Business Case'!B11*$C1075*'Business Case'!B12*$B1075))-'Business Case'!C15*$F1075</f>
        <v>-23798592.3881902</v>
      </c>
      <c r="J1075" s="53" t="n">
        <f aca="false">(('Business Case'!D11*$C1075*'Business Case'!D12*$B1075)-'Business Case'!D11*$C1075*'Business Case'!D13*$D1075-'Business Case'!D14*$E1075)-MAX(0,(('Business Case'!D11*$C1075*'Business Case'!D12*$B1075)-'Business Case'!D11*$C1075*'Business Case'!D13*$D1075-'Business Case'!D14*$E1075))*'Business Case'!$B$7-'Business Case'!$B$8*(('Business Case'!D11*$C1075*'Business Case'!D12*$B1075)-('Business Case'!C11*$C1075*'Business Case'!C12*$B1075))-'Business Case'!D15*$F1075</f>
        <v>256013491.083482</v>
      </c>
      <c r="K1075" s="53" t="n">
        <f aca="false">(('Business Case'!E11*$C1075*'Business Case'!E12*$B1075)-'Business Case'!E11*$C1075*'Business Case'!E13*$D1075-'Business Case'!E14*$E1075)-MAX(0,(('Business Case'!E11*$C1075*'Business Case'!E12*$B1075)-'Business Case'!E11*$C1075*'Business Case'!E13*$D1075-'Business Case'!E14*$E1075))*'Business Case'!$B$7-'Business Case'!$B$8*(('Business Case'!E11*$C1075*'Business Case'!E12*$B1075)-('Business Case'!D11*$C1075*'Business Case'!D12*$B1075))-'Business Case'!E15*$F1075</f>
        <v>588979200.315931</v>
      </c>
      <c r="L1075" s="53" t="n">
        <f aca="false">(('Business Case'!F11*$C1075*'Business Case'!F12*$B1075)-'Business Case'!F11*$C1075*'Business Case'!F13*$D1075-'Business Case'!F14*$E1075)-MAX(0,(('Business Case'!F11*$C1075*'Business Case'!F12*$B1075)-'Business Case'!F11*$C1075*'Business Case'!F13*$D1075-'Business Case'!F14*$E1075))*'Business Case'!$B$7-'Business Case'!$B$8*(('Business Case'!F11*$C1075*'Business Case'!F12*$B1075)-('Business Case'!E11*$C1075*'Business Case'!E12*$B1075))-'Business Case'!F15*$F1075</f>
        <v>715273080.592861</v>
      </c>
      <c r="M1075" s="53" t="n">
        <f aca="false">(('Business Case'!G11*$C1075*'Business Case'!G12*$B1075)-'Business Case'!G11*$C1075*'Business Case'!G13*$D1075-'Business Case'!G14*$E1075)-MAX(0,(('Business Case'!G11*$C1075*'Business Case'!G12*$B1075)-'Business Case'!G11*$C1075*'Business Case'!G13*$D1075-'Business Case'!G14*$E1075))*'Business Case'!$B$7-'Business Case'!$B$8*(('Business Case'!G11*$C1075*'Business Case'!G12*$B1075)-('Business Case'!F11*$C1075*'Business Case'!F12*$B1075))-'Business Case'!G15*$F1075+'Business Case'!$B$8*('Business Case'!G11*$C1075*'Business Case'!G12*$B1075)</f>
        <v>896900602.41791</v>
      </c>
      <c r="N1075" s="53" t="n">
        <f aca="false">IF(COUNT('Business Case'!B11:G11)=0,"",H1075+NPV(G1075,I1075:M1075))</f>
        <v>-445035576.406393</v>
      </c>
      <c r="P1075" s="54" t="n">
        <f aca="true">RAND()</f>
        <v>0.125673181089888</v>
      </c>
      <c r="Q1075" s="54" t="n">
        <f aca="true">RAND()</f>
        <v>0.576190430475636</v>
      </c>
      <c r="R1075" s="54" t="n">
        <f aca="true">RAND()</f>
        <v>0.152050338565016</v>
      </c>
      <c r="S1075" s="54" t="n">
        <f aca="true">RAND()</f>
        <v>0.753238302866731</v>
      </c>
      <c r="T1075" s="54" t="n">
        <f aca="true">RAND()</f>
        <v>0.625017278212108</v>
      </c>
      <c r="U1075" s="54" t="n">
        <f aca="true">RAND()</f>
        <v>0.297990358847141</v>
      </c>
    </row>
    <row r="1076" customFormat="false" ht="15" hidden="false" customHeight="false" outlineLevel="0" collapsed="false">
      <c r="A1076" s="50" t="n">
        <v>996</v>
      </c>
      <c r="B1076" s="51" t="n">
        <f aca="false">1+IF($G$6=$E$6,$F$6,IF(P1076&lt;($F$6-$E$6)/($G$6-$E$6),$E$6+SQRT(P1076*($G$6-$E$6)*($F$6-$E$6)),$G$6-SQRT((1-P1076)*($G$6-$E$6)*($G$6-$F$6))))</f>
        <v>1.01405134749104</v>
      </c>
      <c r="C1076" s="51" t="n">
        <f aca="false">1+IF($G$7=$E$7,$F$7,IF(Q1076&lt;($F$7-$E$7)/($G$7-$E$7),$E$7+SQRT(Q1076*($G$7-$E$7)*($F$7-$E$7)),$G$7-SQRT((1-Q1076)*($G$7-$E$7)*($G$7-$F$7))))</f>
        <v>0.978441059021113</v>
      </c>
      <c r="D1076" s="51" t="n">
        <f aca="false">1+IF($G$8=$E$8,$F$8,IF(R1076&lt;($F$8-$E$8)/($G$8-$E$8),$E$8+SQRT(R1076*($G$8-$E$8)*($F$8-$E$8)),$G$8-SQRT((1-R1076)*($G$8-$E$8)*($G$8-$F$8))))</f>
        <v>0.998979626675778</v>
      </c>
      <c r="E1076" s="51" t="n">
        <f aca="false">1+IF($G$9=$E$9,$F$9,IF(S1076&lt;($F$9-$E$9)/($G$9-$E$9),$E$9+SQRT(S1076*($G$9-$E$9)*($F$9-$E$9)),$G$9-SQRT((1-S1076)*($G$9-$E$9)*($G$9-$F$9))))</f>
        <v>1.03421575493191</v>
      </c>
      <c r="F1076" s="51" t="n">
        <f aca="false">1+IF($G$10=$E$10,$F$10,IF(T1076&lt;($F$10-$E$10)/($G$10-$E$10),$E$10+SQRT(T1076*($G$10-$E$10)*($F$10-$E$10)),$G$10-SQRT((1-T1076)*($G$10-$E$10)*($G$10-$F$10))))</f>
        <v>1.05612638475185</v>
      </c>
      <c r="G1076" s="52" t="n">
        <f aca="false">IF($G$11=$E$11,$F$11,IF(U1076&lt;($F$11-$E$11)/($G$11-$E$11),$E$11+SQRT(U1076*($G$11-$E$11)*($F$11-$E$11)),$G$11-SQRT((1-U1076)*($G$11-$E$11)*($G$11-$F$11))))</f>
        <v>0.0946019639452831</v>
      </c>
      <c r="H1076" s="53" t="n">
        <f aca="false">(('Business Case'!B11*$C1076*'Business Case'!B12*$B1076)-'Business Case'!B11*$C1076*'Business Case'!B13*$D1076-'Business Case'!B14*$E1076)-MAX(0,(('Business Case'!B11*$C1076*'Business Case'!B12*$B1076)-'Business Case'!B11*$C1076*'Business Case'!B13*$D1076-'Business Case'!B14*$E1076))*'Business Case'!$B$7-'Business Case'!$B$8*('Business Case'!B11*$C1076*'Business Case'!B12*$B1076)-'Business Case'!B15*$F1076</f>
        <v>-2112252769.5037</v>
      </c>
      <c r="I1076" s="53" t="n">
        <f aca="false">(('Business Case'!C11*$C1076*'Business Case'!C12*$B1076)-'Business Case'!C11*$C1076*'Business Case'!C13*$D1076-'Business Case'!C14*$E1076)-MAX(0,(('Business Case'!C11*$C1076*'Business Case'!C12*$B1076)-'Business Case'!C11*$C1076*'Business Case'!C13*$D1076-'Business Case'!C14*$E1076))*'Business Case'!$B$7-'Business Case'!$B$8*(('Business Case'!C11*$C1076*'Business Case'!C12*$B1076)-('Business Case'!B11*$C1076*'Business Case'!B12*$B1076))-'Business Case'!C15*$F1076</f>
        <v>8188937.22677469</v>
      </c>
      <c r="J1076" s="53" t="n">
        <f aca="false">(('Business Case'!D11*$C1076*'Business Case'!D12*$B1076)-'Business Case'!D11*$C1076*'Business Case'!D13*$D1076-'Business Case'!D14*$E1076)-MAX(0,(('Business Case'!D11*$C1076*'Business Case'!D12*$B1076)-'Business Case'!D11*$C1076*'Business Case'!D13*$D1076-'Business Case'!D14*$E1076))*'Business Case'!$B$7-'Business Case'!$B$8*(('Business Case'!D11*$C1076*'Business Case'!D12*$B1076)-('Business Case'!C11*$C1076*'Business Case'!C12*$B1076))-'Business Case'!D15*$F1076</f>
        <v>320491095.629885</v>
      </c>
      <c r="K1076" s="53" t="n">
        <f aca="false">(('Business Case'!E11*$C1076*'Business Case'!E12*$B1076)-'Business Case'!E11*$C1076*'Business Case'!E13*$D1076-'Business Case'!E14*$E1076)-MAX(0,(('Business Case'!E11*$C1076*'Business Case'!E12*$B1076)-'Business Case'!E11*$C1076*'Business Case'!E13*$D1076-'Business Case'!E14*$E1076))*'Business Case'!$B$7-'Business Case'!$B$8*(('Business Case'!E11*$C1076*'Business Case'!E12*$B1076)-('Business Case'!D11*$C1076*'Business Case'!D12*$B1076))-'Business Case'!E15*$F1076</f>
        <v>685599573.270588</v>
      </c>
      <c r="L1076" s="53" t="n">
        <f aca="false">(('Business Case'!F11*$C1076*'Business Case'!F12*$B1076)-'Business Case'!F11*$C1076*'Business Case'!F13*$D1076-'Business Case'!F14*$E1076)-MAX(0,(('Business Case'!F11*$C1076*'Business Case'!F12*$B1076)-'Business Case'!F11*$C1076*'Business Case'!F13*$D1076-'Business Case'!F14*$E1076))*'Business Case'!$B$7-'Business Case'!$B$8*(('Business Case'!F11*$C1076*'Business Case'!F12*$B1076)-('Business Case'!E11*$C1076*'Business Case'!E12*$B1076))-'Business Case'!F15*$F1076</f>
        <v>823990360.971514</v>
      </c>
      <c r="M1076" s="53" t="n">
        <f aca="false">(('Business Case'!G11*$C1076*'Business Case'!G12*$B1076)-'Business Case'!G11*$C1076*'Business Case'!G13*$D1076-'Business Case'!G14*$E1076)-MAX(0,(('Business Case'!G11*$C1076*'Business Case'!G12*$B1076)-'Business Case'!G11*$C1076*'Business Case'!G13*$D1076-'Business Case'!G14*$E1076))*'Business Case'!$B$7-'Business Case'!$B$8*(('Business Case'!G11*$C1076*'Business Case'!G12*$B1076)-('Business Case'!F11*$C1076*'Business Case'!F12*$B1076))-'Business Case'!G15*$F1076+'Business Case'!$B$8*('Business Case'!G11*$C1076*'Business Case'!G12*$B1076)</f>
        <v>1012585736.25424</v>
      </c>
      <c r="N1076" s="53" t="n">
        <f aca="false">IF(COUNT('Business Case'!B11:G11)=0,"",H1076+NPV(G1076,I1076:M1076))</f>
        <v>-96151177.6775653</v>
      </c>
      <c r="P1076" s="54" t="n">
        <f aca="true">RAND()</f>
        <v>0.85972238186858</v>
      </c>
      <c r="Q1076" s="54" t="n">
        <f aca="true">RAND()</f>
        <v>0.454874450636807</v>
      </c>
      <c r="R1076" s="54" t="n">
        <f aca="true">RAND()</f>
        <v>0.369077512199778</v>
      </c>
      <c r="S1076" s="54" t="n">
        <f aca="true">RAND()</f>
        <v>0.711495540054752</v>
      </c>
      <c r="T1076" s="54" t="n">
        <f aca="true">RAND()</f>
        <v>0.586007656708551</v>
      </c>
      <c r="U1076" s="54" t="n">
        <f aca="true">RAND()</f>
        <v>0.0705935738456184</v>
      </c>
    </row>
    <row r="1077" customFormat="false" ht="15" hidden="false" customHeight="false" outlineLevel="0" collapsed="false">
      <c r="A1077" s="50" t="n">
        <v>997</v>
      </c>
      <c r="B1077" s="51" t="n">
        <f aca="false">1+IF($G$6=$E$6,$F$6,IF(P1077&lt;($F$6-$E$6)/($G$6-$E$6),$E$6+SQRT(P1077*($G$6-$E$6)*($F$6-$E$6)),$G$6-SQRT((1-P1077)*($G$6-$E$6)*($G$6-$F$6))))</f>
        <v>0.994255158774336</v>
      </c>
      <c r="C1077" s="51" t="n">
        <f aca="false">1+IF($G$7=$E$7,$F$7,IF(Q1077&lt;($F$7-$E$7)/($G$7-$E$7),$E$7+SQRT(Q1077*($G$7-$E$7)*($F$7-$E$7)),$G$7-SQRT((1-Q1077)*($G$7-$E$7)*($G$7-$F$7))))</f>
        <v>0.96745226023307</v>
      </c>
      <c r="D1077" s="51" t="n">
        <f aca="false">1+IF($G$8=$E$8,$F$8,IF(R1077&lt;($F$8-$E$8)/($G$8-$E$8),$E$8+SQRT(R1077*($G$8-$E$8)*($F$8-$E$8)),$G$8-SQRT((1-R1077)*($G$8-$E$8)*($G$8-$F$8))))</f>
        <v>0.98374771838358</v>
      </c>
      <c r="E1077" s="51" t="n">
        <f aca="false">1+IF($G$9=$E$9,$F$9,IF(S1077&lt;($F$9-$E$9)/($G$9-$E$9),$E$9+SQRT(S1077*($G$9-$E$9)*($F$9-$E$9)),$G$9-SQRT((1-S1077)*($G$9-$E$9)*($G$9-$F$9))))</f>
        <v>1.04211048647048</v>
      </c>
      <c r="F1077" s="51" t="n">
        <f aca="false">1+IF($G$10=$E$10,$F$10,IF(T1077&lt;($F$10-$E$10)/($G$10-$E$10),$E$10+SQRT(T1077*($G$10-$E$10)*($F$10-$E$10)),$G$10-SQRT((1-T1077)*($G$10-$E$10)*($G$10-$F$10))))</f>
        <v>1.177199109099</v>
      </c>
      <c r="G1077" s="52" t="n">
        <f aca="false">IF($G$11=$E$11,$F$11,IF(U1077&lt;($F$11-$E$11)/($G$11-$E$11),$E$11+SQRT(U1077*($G$11-$E$11)*($F$11-$E$11)),$G$11-SQRT((1-U1077)*($G$11-$E$11)*($G$11-$F$11))))</f>
        <v>0.0995258187074753</v>
      </c>
      <c r="H1077" s="53" t="n">
        <f aca="false">(('Business Case'!B11*$C1077*'Business Case'!B12*$B1077)-'Business Case'!B11*$C1077*'Business Case'!B13*$D1077-'Business Case'!B14*$E1077)-MAX(0,(('Business Case'!B11*$C1077*'Business Case'!B12*$B1077)-'Business Case'!B11*$C1077*'Business Case'!B13*$D1077-'Business Case'!B14*$E1077))*'Business Case'!$B$7-'Business Case'!$B$8*('Business Case'!B11*$C1077*'Business Case'!B12*$B1077)-'Business Case'!B15*$F1077</f>
        <v>-2354398218.19801</v>
      </c>
      <c r="I1077" s="53" t="n">
        <f aca="false">(('Business Case'!C11*$C1077*'Business Case'!C12*$B1077)-'Business Case'!C11*$C1077*'Business Case'!C13*$D1077-'Business Case'!C14*$E1077)-MAX(0,(('Business Case'!C11*$C1077*'Business Case'!C12*$B1077)-'Business Case'!C11*$C1077*'Business Case'!C13*$D1077-'Business Case'!C14*$E1077))*'Business Case'!$B$7-'Business Case'!$B$8*(('Business Case'!C11*$C1077*'Business Case'!C12*$B1077)-('Business Case'!B11*$C1077*'Business Case'!B12*$B1077))-'Business Case'!C15*$F1077</f>
        <v>-15120943.2734783</v>
      </c>
      <c r="J1077" s="53" t="n">
        <f aca="false">(('Business Case'!D11*$C1077*'Business Case'!D12*$B1077)-'Business Case'!D11*$C1077*'Business Case'!D13*$D1077-'Business Case'!D14*$E1077)-MAX(0,(('Business Case'!D11*$C1077*'Business Case'!D12*$B1077)-'Business Case'!D11*$C1077*'Business Case'!D13*$D1077-'Business Case'!D14*$E1077))*'Business Case'!$B$7-'Business Case'!$B$8*(('Business Case'!D11*$C1077*'Business Case'!D12*$B1077)-('Business Case'!C11*$C1077*'Business Case'!C12*$B1077))-'Business Case'!D15*$F1077</f>
        <v>285530741.26639</v>
      </c>
      <c r="K1077" s="53" t="n">
        <f aca="false">(('Business Case'!E11*$C1077*'Business Case'!E12*$B1077)-'Business Case'!E11*$C1077*'Business Case'!E13*$D1077-'Business Case'!E14*$E1077)-MAX(0,(('Business Case'!E11*$C1077*'Business Case'!E12*$B1077)-'Business Case'!E11*$C1077*'Business Case'!E13*$D1077-'Business Case'!E14*$E1077))*'Business Case'!$B$7-'Business Case'!$B$8*(('Business Case'!E11*$C1077*'Business Case'!E12*$B1077)-('Business Case'!D11*$C1077*'Business Case'!D12*$B1077))-'Business Case'!E15*$F1077</f>
        <v>645042381.261209</v>
      </c>
      <c r="L1077" s="53" t="n">
        <f aca="false">(('Business Case'!F11*$C1077*'Business Case'!F12*$B1077)-'Business Case'!F11*$C1077*'Business Case'!F13*$D1077-'Business Case'!F14*$E1077)-MAX(0,(('Business Case'!F11*$C1077*'Business Case'!F12*$B1077)-'Business Case'!F11*$C1077*'Business Case'!F13*$D1077-'Business Case'!F14*$E1077))*'Business Case'!$B$7-'Business Case'!$B$8*(('Business Case'!F11*$C1077*'Business Case'!F12*$B1077)-('Business Case'!E11*$C1077*'Business Case'!E12*$B1077))-'Business Case'!F15*$F1077</f>
        <v>778502679.92606</v>
      </c>
      <c r="M1077" s="53" t="n">
        <f aca="false">(('Business Case'!G11*$C1077*'Business Case'!G12*$B1077)-'Business Case'!G11*$C1077*'Business Case'!G13*$D1077-'Business Case'!G14*$E1077)-MAX(0,(('Business Case'!G11*$C1077*'Business Case'!G12*$B1077)-'Business Case'!G11*$C1077*'Business Case'!G13*$D1077-'Business Case'!G14*$E1077))*'Business Case'!$B$7-'Business Case'!$B$8*(('Business Case'!G11*$C1077*'Business Case'!G12*$B1077)-('Business Case'!F11*$C1077*'Business Case'!F12*$B1077))-'Business Case'!G15*$F1077+'Business Case'!$B$8*('Business Case'!G11*$C1077*'Business Case'!G12*$B1077)</f>
        <v>961339567.592987</v>
      </c>
      <c r="N1077" s="53" t="n">
        <f aca="false">IF(COUNT('Business Case'!B11:G11)=0,"",H1077+NPV(G1077,I1077:M1077))</f>
        <v>-515863771.681593</v>
      </c>
      <c r="P1077" s="54" t="n">
        <f aca="true">RAND()</f>
        <v>0.574357146312693</v>
      </c>
      <c r="Q1077" s="54" t="n">
        <f aca="true">RAND()</f>
        <v>0.400575135102338</v>
      </c>
      <c r="R1077" s="54" t="n">
        <f aca="true">RAND()</f>
        <v>0.175216691707295</v>
      </c>
      <c r="S1077" s="54" t="n">
        <f aca="true">RAND()</f>
        <v>0.776586948221064</v>
      </c>
      <c r="T1077" s="54" t="n">
        <f aca="true">RAND()</f>
        <v>0.989602387482417</v>
      </c>
      <c r="U1077" s="54" t="n">
        <f aca="true">RAND()</f>
        <v>0.302470740158957</v>
      </c>
    </row>
    <row r="1078" customFormat="false" ht="15" hidden="false" customHeight="false" outlineLevel="0" collapsed="false">
      <c r="A1078" s="50" t="n">
        <v>998</v>
      </c>
      <c r="B1078" s="51" t="n">
        <f aca="false">1+IF($G$6=$E$6,$F$6,IF(P1078&lt;($F$6-$E$6)/($G$6-$E$6),$E$6+SQRT(P1078*($G$6-$E$6)*($F$6-$E$6)),$G$6-SQRT((1-P1078)*($G$6-$E$6)*($G$6-$F$6))))</f>
        <v>0.998281309984886</v>
      </c>
      <c r="C1078" s="51" t="n">
        <f aca="false">1+IF($G$7=$E$7,$F$7,IF(Q1078&lt;($F$7-$E$7)/($G$7-$E$7),$E$7+SQRT(Q1078*($G$7-$E$7)*($F$7-$E$7)),$G$7-SQRT((1-Q1078)*($G$7-$E$7)*($G$7-$F$7))))</f>
        <v>1.07934957853424</v>
      </c>
      <c r="D1078" s="51" t="n">
        <f aca="false">1+IF($G$8=$E$8,$F$8,IF(R1078&lt;($F$8-$E$8)/($G$8-$E$8),$E$8+SQRT(R1078*($G$8-$E$8)*($F$8-$E$8)),$G$8-SQRT((1-R1078)*($G$8-$E$8)*($G$8-$F$8))))</f>
        <v>1.00802612757659</v>
      </c>
      <c r="E1078" s="51" t="n">
        <f aca="false">1+IF($G$9=$E$9,$F$9,IF(S1078&lt;($F$9-$E$9)/($G$9-$E$9),$E$9+SQRT(S1078*($G$9-$E$9)*($F$9-$E$9)),$G$9-SQRT((1-S1078)*($G$9-$E$9)*($G$9-$F$9))))</f>
        <v>1.05114316801852</v>
      </c>
      <c r="F1078" s="51" t="n">
        <f aca="false">1+IF($G$10=$E$10,$F$10,IF(T1078&lt;($F$10-$E$10)/($G$10-$E$10),$E$10+SQRT(T1078*($G$10-$E$10)*($F$10-$E$10)),$G$10-SQRT((1-T1078)*($G$10-$E$10)*($G$10-$F$10))))</f>
        <v>1.13831051936651</v>
      </c>
      <c r="G1078" s="52" t="n">
        <f aca="false">IF($G$11=$E$11,$F$11,IF(U1078&lt;($F$11-$E$11)/($G$11-$E$11),$E$11+SQRT(U1078*($G$11-$E$11)*($F$11-$E$11)),$G$11-SQRT((1-U1078)*($G$11-$E$11)*($G$11-$F$11))))</f>
        <v>0.103012128158928</v>
      </c>
      <c r="H1078" s="53" t="n">
        <f aca="false">(('Business Case'!B11*$C1078*'Business Case'!B12*$B1078)-'Business Case'!B11*$C1078*'Business Case'!B13*$D1078-'Business Case'!B14*$E1078)-MAX(0,(('Business Case'!B11*$C1078*'Business Case'!B12*$B1078)-'Business Case'!B11*$C1078*'Business Case'!B13*$D1078-'Business Case'!B14*$E1078))*'Business Case'!$B$7-'Business Case'!$B$8*('Business Case'!B11*$C1078*'Business Case'!B12*$B1078)-'Business Case'!B15*$F1078</f>
        <v>-2276621038.73302</v>
      </c>
      <c r="I1078" s="53" t="n">
        <f aca="false">(('Business Case'!C11*$C1078*'Business Case'!C12*$B1078)-'Business Case'!C11*$C1078*'Business Case'!C13*$D1078-'Business Case'!C14*$E1078)-MAX(0,(('Business Case'!C11*$C1078*'Business Case'!C12*$B1078)-'Business Case'!C11*$C1078*'Business Case'!C13*$D1078-'Business Case'!C14*$E1078))*'Business Case'!$B$7-'Business Case'!$B$8*(('Business Case'!C11*$C1078*'Business Case'!C12*$B1078)-('Business Case'!B11*$C1078*'Business Case'!B12*$B1078))-'Business Case'!C15*$F1078</f>
        <v>6409260.50006519</v>
      </c>
      <c r="J1078" s="53" t="n">
        <f aca="false">(('Business Case'!D11*$C1078*'Business Case'!D12*$B1078)-'Business Case'!D11*$C1078*'Business Case'!D13*$D1078-'Business Case'!D14*$E1078)-MAX(0,(('Business Case'!D11*$C1078*'Business Case'!D12*$B1078)-'Business Case'!D11*$C1078*'Business Case'!D13*$D1078-'Business Case'!D14*$E1078))*'Business Case'!$B$7-'Business Case'!$B$8*(('Business Case'!D11*$C1078*'Business Case'!D12*$B1078)-('Business Case'!C11*$C1078*'Business Case'!C12*$B1078))-'Business Case'!D15*$F1078</f>
        <v>331979446.889146</v>
      </c>
      <c r="K1078" s="53" t="n">
        <f aca="false">(('Business Case'!E11*$C1078*'Business Case'!E12*$B1078)-'Business Case'!E11*$C1078*'Business Case'!E13*$D1078-'Business Case'!E14*$E1078)-MAX(0,(('Business Case'!E11*$C1078*'Business Case'!E12*$B1078)-'Business Case'!E11*$C1078*'Business Case'!E13*$D1078-'Business Case'!E14*$E1078))*'Business Case'!$B$7-'Business Case'!$B$8*(('Business Case'!E11*$C1078*'Business Case'!E12*$B1078)-('Business Case'!D11*$C1078*'Business Case'!D12*$B1078))-'Business Case'!E15*$F1078</f>
        <v>714465159.246551</v>
      </c>
      <c r="L1078" s="53" t="n">
        <f aca="false">(('Business Case'!F11*$C1078*'Business Case'!F12*$B1078)-'Business Case'!F11*$C1078*'Business Case'!F13*$D1078-'Business Case'!F14*$E1078)-MAX(0,(('Business Case'!F11*$C1078*'Business Case'!F12*$B1078)-'Business Case'!F11*$C1078*'Business Case'!F13*$D1078-'Business Case'!F14*$E1078))*'Business Case'!$B$7-'Business Case'!$B$8*(('Business Case'!F11*$C1078*'Business Case'!F12*$B1078)-('Business Case'!E11*$C1078*'Business Case'!E12*$B1078))-'Business Case'!F15*$F1078</f>
        <v>860226765.016332</v>
      </c>
      <c r="M1078" s="53" t="n">
        <f aca="false">(('Business Case'!G11*$C1078*'Business Case'!G12*$B1078)-'Business Case'!G11*$C1078*'Business Case'!G13*$D1078-'Business Case'!G14*$E1078)-MAX(0,(('Business Case'!G11*$C1078*'Business Case'!G12*$B1078)-'Business Case'!G11*$C1078*'Business Case'!G13*$D1078-'Business Case'!G14*$E1078))*'Business Case'!$B$7-'Business Case'!$B$8*(('Business Case'!G11*$C1078*'Business Case'!G12*$B1078)-('Business Case'!F11*$C1078*'Business Case'!F12*$B1078))-'Business Case'!G15*$F1078+'Business Case'!$B$8*('Business Case'!G11*$C1078*'Business Case'!G12*$B1078)</f>
        <v>1065036921.70348</v>
      </c>
      <c r="N1078" s="53" t="n">
        <f aca="false">IF(COUNT('Business Case'!B11:G11)=0,"",H1078+NPV(G1078,I1078:M1078))</f>
        <v>-232062405.162393</v>
      </c>
      <c r="P1078" s="54" t="n">
        <f aca="true">RAND()</f>
        <v>0.638329530515599</v>
      </c>
      <c r="Q1078" s="54" t="n">
        <f aca="true">RAND()</f>
        <v>0.904924151365915</v>
      </c>
      <c r="R1078" s="54" t="n">
        <f aca="true">RAND()</f>
        <v>0.501900162344112</v>
      </c>
      <c r="S1078" s="54" t="n">
        <f aca="true">RAND()</f>
        <v>0.84086733124889</v>
      </c>
      <c r="T1078" s="54" t="n">
        <f aca="true">RAND()</f>
        <v>0.923888159583405</v>
      </c>
      <c r="U1078" s="54" t="n">
        <f aca="true">RAND()</f>
        <v>0.519020350518847</v>
      </c>
    </row>
    <row r="1079" customFormat="false" ht="15" hidden="false" customHeight="false" outlineLevel="0" collapsed="false">
      <c r="A1079" s="50" t="n">
        <v>999</v>
      </c>
      <c r="B1079" s="51" t="n">
        <f aca="false">1+IF($G$6=$E$6,$F$6,IF(P1079&lt;($F$6-$E$6)/($G$6-$E$6),$E$6+SQRT(P1079*($G$6-$E$6)*($F$6-$E$6)),$G$6-SQRT((1-P1079)*($G$6-$E$6)*($G$6-$F$6))))</f>
        <v>1.00528840578775</v>
      </c>
      <c r="C1079" s="51" t="n">
        <f aca="false">1+IF($G$7=$E$7,$F$7,IF(Q1079&lt;($F$7-$E$7)/($G$7-$E$7),$E$7+SQRT(Q1079*($G$7-$E$7)*($F$7-$E$7)),$G$7-SQRT((1-Q1079)*($G$7-$E$7)*($G$7-$F$7))))</f>
        <v>1.05294512636697</v>
      </c>
      <c r="D1079" s="51" t="n">
        <f aca="false">1+IF($G$8=$E$8,$F$8,IF(R1079&lt;($F$8-$E$8)/($G$8-$E$8),$E$8+SQRT(R1079*($G$8-$E$8)*($F$8-$E$8)),$G$8-SQRT((1-R1079)*($G$8-$E$8)*($G$8-$F$8))))</f>
        <v>0.985381260354321</v>
      </c>
      <c r="E1079" s="51" t="n">
        <f aca="false">1+IF($G$9=$E$9,$F$9,IF(S1079&lt;($F$9-$E$9)/($G$9-$E$9),$E$9+SQRT(S1079*($G$9-$E$9)*($F$9-$E$9)),$G$9-SQRT((1-S1079)*($G$9-$E$9)*($G$9-$F$9))))</f>
        <v>0.985554889455306</v>
      </c>
      <c r="F1079" s="51" t="n">
        <f aca="false">1+IF($G$10=$E$10,$F$10,IF(T1079&lt;($F$10-$E$10)/($G$10-$E$10),$E$10+SQRT(T1079*($G$10-$E$10)*($F$10-$E$10)),$G$10-SQRT((1-T1079)*($G$10-$E$10)*($G$10-$F$10))))</f>
        <v>0.999971415944812</v>
      </c>
      <c r="G1079" s="52" t="n">
        <f aca="false">IF($G$11=$E$11,$F$11,IF(U1079&lt;($F$11-$E$11)/($G$11-$E$11),$E$11+SQRT(U1079*($G$11-$E$11)*($F$11-$E$11)),$G$11-SQRT((1-U1079)*($G$11-$E$11)*($G$11-$F$11))))</f>
        <v>0.0908334217856223</v>
      </c>
      <c r="H1079" s="53" t="n">
        <f aca="false">(('Business Case'!B11*$C1079*'Business Case'!B12*$B1079)-'Business Case'!B11*$C1079*'Business Case'!B13*$D1079-'Business Case'!B14*$E1079)-MAX(0,(('Business Case'!B11*$C1079*'Business Case'!B12*$B1079)-'Business Case'!B11*$C1079*'Business Case'!B13*$D1079-'Business Case'!B14*$E1079))*'Business Case'!$B$7-'Business Case'!$B$8*('Business Case'!B11*$C1079*'Business Case'!B12*$B1079)-'Business Case'!B15*$F1079</f>
        <v>-1999942831.88962</v>
      </c>
      <c r="I1079" s="53" t="n">
        <f aca="false">(('Business Case'!C11*$C1079*'Business Case'!C12*$B1079)-'Business Case'!C11*$C1079*'Business Case'!C13*$D1079-'Business Case'!C14*$E1079)-MAX(0,(('Business Case'!C11*$C1079*'Business Case'!C12*$B1079)-'Business Case'!C11*$C1079*'Business Case'!C13*$D1079-'Business Case'!C14*$E1079))*'Business Case'!$B$7-'Business Case'!$B$8*(('Business Case'!C11*$C1079*'Business Case'!C12*$B1079)-('Business Case'!B11*$C1079*'Business Case'!B12*$B1079))-'Business Case'!C15*$F1079</f>
        <v>40838581.4223734</v>
      </c>
      <c r="J1079" s="53" t="n">
        <f aca="false">(('Business Case'!D11*$C1079*'Business Case'!D12*$B1079)-'Business Case'!D11*$C1079*'Business Case'!D13*$D1079-'Business Case'!D14*$E1079)-MAX(0,(('Business Case'!D11*$C1079*'Business Case'!D12*$B1079)-'Business Case'!D11*$C1079*'Business Case'!D13*$D1079-'Business Case'!D14*$E1079))*'Business Case'!$B$7-'Business Case'!$B$8*(('Business Case'!D11*$C1079*'Business Case'!D12*$B1079)-('Business Case'!C11*$C1079*'Business Case'!C12*$B1079))-'Business Case'!D15*$F1079</f>
        <v>376693550.983684</v>
      </c>
      <c r="K1079" s="53" t="n">
        <f aca="false">(('Business Case'!E11*$C1079*'Business Case'!E12*$B1079)-'Business Case'!E11*$C1079*'Business Case'!E13*$D1079-'Business Case'!E14*$E1079)-MAX(0,(('Business Case'!E11*$C1079*'Business Case'!E12*$B1079)-'Business Case'!E11*$C1079*'Business Case'!E13*$D1079-'Business Case'!E14*$E1079))*'Business Case'!$B$7-'Business Case'!$B$8*(('Business Case'!E11*$C1079*'Business Case'!E12*$B1079)-('Business Case'!D11*$C1079*'Business Case'!D12*$B1079))-'Business Case'!E15*$F1079</f>
        <v>762547091.342236</v>
      </c>
      <c r="L1079" s="53" t="n">
        <f aca="false">(('Business Case'!F11*$C1079*'Business Case'!F12*$B1079)-'Business Case'!F11*$C1079*'Business Case'!F13*$D1079-'Business Case'!F14*$E1079)-MAX(0,(('Business Case'!F11*$C1079*'Business Case'!F12*$B1079)-'Business Case'!F11*$C1079*'Business Case'!F13*$D1079-'Business Case'!F14*$E1079))*'Business Case'!$B$7-'Business Case'!$B$8*(('Business Case'!F11*$C1079*'Business Case'!F12*$B1079)-('Business Case'!E11*$C1079*'Business Case'!E12*$B1079))-'Business Case'!F15*$F1079</f>
        <v>911080975.371948</v>
      </c>
      <c r="M1079" s="53" t="n">
        <f aca="false">(('Business Case'!G11*$C1079*'Business Case'!G12*$B1079)-'Business Case'!G11*$C1079*'Business Case'!G13*$D1079-'Business Case'!G14*$E1079)-MAX(0,(('Business Case'!G11*$C1079*'Business Case'!G12*$B1079)-'Business Case'!G11*$C1079*'Business Case'!G13*$D1079-'Business Case'!G14*$E1079))*'Business Case'!$B$7-'Business Case'!$B$8*(('Business Case'!G11*$C1079*'Business Case'!G12*$B1079)-('Business Case'!F11*$C1079*'Business Case'!F12*$B1079))-'Business Case'!G15*$F1079+'Business Case'!$B$8*('Business Case'!G11*$C1079*'Business Case'!G12*$B1079)</f>
        <v>1112283226.67296</v>
      </c>
      <c r="N1079" s="53" t="n">
        <f aca="false">IF(COUNT('Business Case'!B11:G11)=0,"",H1079+NPV(G1079,I1079:M1079))</f>
        <v>305156829.047915</v>
      </c>
      <c r="P1079" s="54" t="n">
        <f aca="true">RAND()</f>
        <v>0.748980255675922</v>
      </c>
      <c r="Q1079" s="54" t="n">
        <f aca="true">RAND()</f>
        <v>0.820578123887169</v>
      </c>
      <c r="R1079" s="54" t="n">
        <f aca="true">RAND()</f>
        <v>0.192589782193887</v>
      </c>
      <c r="S1079" s="54" t="n">
        <f aca="true">RAND()</f>
        <v>0.16855335522387</v>
      </c>
      <c r="T1079" s="54" t="n">
        <f aca="true">RAND()</f>
        <v>0.199771392922356</v>
      </c>
      <c r="U1079" s="54" t="n">
        <f aca="true">RAND()</f>
        <v>0.0023153062424998</v>
      </c>
    </row>
    <row r="1080" customFormat="false" ht="15" hidden="false" customHeight="false" outlineLevel="0" collapsed="false">
      <c r="A1080" s="50" t="n">
        <v>1000</v>
      </c>
      <c r="B1080" s="51" t="n">
        <f aca="false">1+IF($G$6=$E$6,$F$6,IF(P1080&lt;($F$6-$E$6)/($G$6-$E$6),$E$6+SQRT(P1080*($G$6-$E$6)*($F$6-$E$6)),$G$6-SQRT((1-P1080)*($G$6-$E$6)*($G$6-$F$6))))</f>
        <v>0.963899170282084</v>
      </c>
      <c r="C1080" s="51" t="n">
        <f aca="false">1+IF($G$7=$E$7,$F$7,IF(Q1080&lt;($F$7-$E$7)/($G$7-$E$7),$E$7+SQRT(Q1080*($G$7-$E$7)*($F$7-$E$7)),$G$7-SQRT((1-Q1080)*($G$7-$E$7)*($G$7-$F$7))))</f>
        <v>1.03336187882189</v>
      </c>
      <c r="D1080" s="51" t="n">
        <f aca="false">1+IF($G$8=$E$8,$F$8,IF(R1080&lt;($F$8-$E$8)/($G$8-$E$8),$E$8+SQRT(R1080*($G$8-$E$8)*($F$8-$E$8)),$G$8-SQRT((1-R1080)*($G$8-$E$8)*($G$8-$F$8))))</f>
        <v>0.997690061264068</v>
      </c>
      <c r="E1080" s="51" t="n">
        <f aca="false">1+IF($G$9=$E$9,$F$9,IF(S1080&lt;($F$9-$E$9)/($G$9-$E$9),$E$9+SQRT(S1080*($G$9-$E$9)*($F$9-$E$9)),$G$9-SQRT((1-S1080)*($G$9-$E$9)*($G$9-$F$9))))</f>
        <v>1.00179227759114</v>
      </c>
      <c r="F1080" s="51" t="n">
        <f aca="false">1+IF($G$10=$E$10,$F$10,IF(T1080&lt;($F$10-$E$10)/($G$10-$E$10),$E$10+SQRT(T1080*($G$10-$E$10)*($F$10-$E$10)),$G$10-SQRT((1-T1080)*($G$10-$E$10)*($G$10-$F$10))))</f>
        <v>0.99779226488263</v>
      </c>
      <c r="G1080" s="52" t="n">
        <f aca="false">IF($G$11=$E$11,$F$11,IF(U1080&lt;($F$11-$E$11)/($G$11-$E$11),$E$11+SQRT(U1080*($G$11-$E$11)*($F$11-$E$11)),$G$11-SQRT((1-U1080)*($G$11-$E$11)*($G$11-$F$11))))</f>
        <v>0.106277843288612</v>
      </c>
      <c r="H1080" s="53" t="n">
        <f aca="false">(('Business Case'!B11*$C1080*'Business Case'!B12*$B1080)-'Business Case'!B11*$C1080*'Business Case'!B13*$D1080-'Business Case'!B14*$E1080)-MAX(0,(('Business Case'!B11*$C1080*'Business Case'!B12*$B1080)-'Business Case'!B11*$C1080*'Business Case'!B13*$D1080-'Business Case'!B14*$E1080))*'Business Case'!$B$7-'Business Case'!$B$8*('Business Case'!B11*$C1080*'Business Case'!B12*$B1080)-'Business Case'!B15*$F1080</f>
        <v>-1995584529.76526</v>
      </c>
      <c r="I1080" s="53" t="n">
        <f aca="false">(('Business Case'!C11*$C1080*'Business Case'!C12*$B1080)-'Business Case'!C11*$C1080*'Business Case'!C13*$D1080-'Business Case'!C14*$E1080)-MAX(0,(('Business Case'!C11*$C1080*'Business Case'!C12*$B1080)-'Business Case'!C11*$C1080*'Business Case'!C13*$D1080-'Business Case'!C14*$E1080))*'Business Case'!$B$7-'Business Case'!$B$8*(('Business Case'!C11*$C1080*'Business Case'!C12*$B1080)-('Business Case'!B11*$C1080*'Business Case'!B12*$B1080))-'Business Case'!C15*$F1080</f>
        <v>-5804205.45890106</v>
      </c>
      <c r="J1080" s="53" t="n">
        <f aca="false">(('Business Case'!D11*$C1080*'Business Case'!D12*$B1080)-'Business Case'!D11*$C1080*'Business Case'!D13*$D1080-'Business Case'!D14*$E1080)-MAX(0,(('Business Case'!D11*$C1080*'Business Case'!D12*$B1080)-'Business Case'!D11*$C1080*'Business Case'!D13*$D1080-'Business Case'!D14*$E1080))*'Business Case'!$B$7-'Business Case'!$B$8*(('Business Case'!D11*$C1080*'Business Case'!D12*$B1080)-('Business Case'!C11*$C1080*'Business Case'!C12*$B1080))-'Business Case'!D15*$F1080</f>
        <v>282261254.573778</v>
      </c>
      <c r="K1080" s="53" t="n">
        <f aca="false">(('Business Case'!E11*$C1080*'Business Case'!E12*$B1080)-'Business Case'!E11*$C1080*'Business Case'!E13*$D1080-'Business Case'!E14*$E1080)-MAX(0,(('Business Case'!E11*$C1080*'Business Case'!E12*$B1080)-'Business Case'!E11*$C1080*'Business Case'!E13*$D1080-'Business Case'!E14*$E1080))*'Business Case'!$B$7-'Business Case'!$B$8*(('Business Case'!E11*$C1080*'Business Case'!E12*$B1080)-('Business Case'!D11*$C1080*'Business Case'!D12*$B1080))-'Business Case'!E15*$F1080</f>
        <v>620216327.850589</v>
      </c>
      <c r="L1080" s="53" t="n">
        <f aca="false">(('Business Case'!F11*$C1080*'Business Case'!F12*$B1080)-'Business Case'!F11*$C1080*'Business Case'!F13*$D1080-'Business Case'!F14*$E1080)-MAX(0,(('Business Case'!F11*$C1080*'Business Case'!F12*$B1080)-'Business Case'!F11*$C1080*'Business Case'!F13*$D1080-'Business Case'!F14*$E1080))*'Business Case'!$B$7-'Business Case'!$B$8*(('Business Case'!F11*$C1080*'Business Case'!F12*$B1080)-('Business Case'!E11*$C1080*'Business Case'!E12*$B1080))-'Business Case'!F15*$F1080</f>
        <v>750661865.948054</v>
      </c>
      <c r="M1080" s="53" t="n">
        <f aca="false">(('Business Case'!G11*$C1080*'Business Case'!G12*$B1080)-'Business Case'!G11*$C1080*'Business Case'!G13*$D1080-'Business Case'!G14*$E1080)-MAX(0,(('Business Case'!G11*$C1080*'Business Case'!G12*$B1080)-'Business Case'!G11*$C1080*'Business Case'!G13*$D1080-'Business Case'!G14*$E1080))*'Business Case'!$B$7-'Business Case'!$B$8*(('Business Case'!G11*$C1080*'Business Case'!G12*$B1080)-('Business Case'!F11*$C1080*'Business Case'!F12*$B1080))-'Business Case'!G15*$F1080+'Business Case'!$B$8*('Business Case'!G11*$C1080*'Business Case'!G12*$B1080)</f>
        <v>939992315.424196</v>
      </c>
      <c r="N1080" s="53" t="n">
        <f aca="false">IF(COUNT('Business Case'!B11:G11)=0,"",H1080+NPV(G1080,I1080:M1080))</f>
        <v>-243647344.788535</v>
      </c>
      <c r="P1080" s="54" t="n">
        <f aca="true">RAND()</f>
        <v>0.200743453276601</v>
      </c>
      <c r="Q1080" s="54" t="n">
        <f aca="true">RAND()</f>
        <v>0.740867594057896</v>
      </c>
      <c r="R1080" s="54" t="n">
        <f aca="true">RAND()</f>
        <v>0.349898760518549</v>
      </c>
      <c r="S1080" s="54" t="n">
        <f aca="true">RAND()</f>
        <v>0.35701621728431</v>
      </c>
      <c r="T1080" s="54" t="n">
        <f aca="true">RAND()</f>
        <v>0.182728046608916</v>
      </c>
      <c r="U1080" s="54" t="n">
        <f aca="true">RAND()</f>
        <v>0.686170691980172</v>
      </c>
    </row>
  </sheetData>
  <mergeCells count="3">
    <mergeCell ref="B12:D12"/>
    <mergeCell ref="A48:N48"/>
    <mergeCell ref="A56:H56"/>
  </mergeCells>
  <conditionalFormatting sqref="B12">
    <cfRule type="expression" priority="2" aboveAverage="0" equalAverage="0" bottom="0" percent="0" rank="0" text="" dxfId="0">
      <formula>B12="OK"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B12&lt;&gt;"OK"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7" t="s">
        <v>900</v>
      </c>
    </row>
    <row r="2" customFormat="false" ht="15" hidden="false" customHeight="false" outlineLevel="0" collapsed="false">
      <c r="A2" s="3" t="s">
        <v>901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5" t="s">
        <v>521</v>
      </c>
      <c r="B5" s="38" t="n">
        <v>20000</v>
      </c>
    </row>
    <row r="6" customFormat="false" ht="15" hidden="false" customHeight="false" outlineLevel="0" collapsed="false">
      <c r="A6" s="5" t="s">
        <v>545</v>
      </c>
      <c r="B6" s="38" t="n">
        <v>180000000</v>
      </c>
    </row>
    <row r="7" customFormat="false" ht="23.85" hidden="false" customHeight="false" outlineLevel="0" collapsed="false">
      <c r="A7" s="5" t="s">
        <v>902</v>
      </c>
      <c r="B7" s="38" t="n">
        <v>28000</v>
      </c>
    </row>
    <row r="8" customFormat="false" ht="23.85" hidden="false" customHeight="false" outlineLevel="0" collapsed="false">
      <c r="A8" s="5" t="s">
        <v>903</v>
      </c>
      <c r="B8" s="38" t="n">
        <v>36000</v>
      </c>
    </row>
    <row r="10" customFormat="false" ht="30" hidden="false" customHeight="true" outlineLevel="0" collapsed="false">
      <c r="A10" s="12" t="s">
        <v>904</v>
      </c>
      <c r="B10" s="12" t="s">
        <v>905</v>
      </c>
      <c r="C10" s="12" t="s">
        <v>786</v>
      </c>
      <c r="D10" s="12" t="s">
        <v>787</v>
      </c>
      <c r="E10" s="12" t="s">
        <v>526</v>
      </c>
      <c r="F10" s="12" t="s">
        <v>906</v>
      </c>
    </row>
    <row r="11" customFormat="false" ht="15" hidden="false" customHeight="false" outlineLevel="0" collapsed="false">
      <c r="A11" s="38" t="n">
        <v>28000</v>
      </c>
      <c r="B11" s="24" t="n">
        <v>42000</v>
      </c>
      <c r="C11" s="35" t="n">
        <f aca="false">IF(OR(A11="",B11=""),"",A11*B11)</f>
        <v>1176000000</v>
      </c>
      <c r="D11" s="35" t="n">
        <f aca="false">IF(C11="","",(A11-$B$5)*B11)</f>
        <v>336000000</v>
      </c>
      <c r="E11" s="41" t="n">
        <f aca="false">IF(D11="","",D11-$B$6)</f>
        <v>156000000</v>
      </c>
      <c r="F11" s="15" t="str">
        <f aca="false">IF(A11="","",IF(AND(A11&gt;=$B$7,A11&lt;=$B$8),"Yes","No"))</f>
        <v>Yes</v>
      </c>
    </row>
    <row r="12" customFormat="false" ht="15" hidden="false" customHeight="false" outlineLevel="0" collapsed="false">
      <c r="A12" s="38" t="n">
        <v>30000</v>
      </c>
      <c r="B12" s="24" t="n">
        <v>39000</v>
      </c>
      <c r="C12" s="35" t="n">
        <f aca="false">IF(OR(A12="",B12=""),"",A12*B12)</f>
        <v>1170000000</v>
      </c>
      <c r="D12" s="35" t="n">
        <f aca="false">IF(C12="","",(A12-$B$5)*B12)</f>
        <v>390000000</v>
      </c>
      <c r="E12" s="41" t="n">
        <f aca="false">IF(D12="","",D12-$B$6)</f>
        <v>210000000</v>
      </c>
      <c r="F12" s="15" t="str">
        <f aca="false">IF(A12="","",IF(AND(A12&gt;=$B$7,A12&lt;=$B$8),"Yes","No"))</f>
        <v>Yes</v>
      </c>
    </row>
    <row r="13" customFormat="false" ht="15" hidden="false" customHeight="false" outlineLevel="0" collapsed="false">
      <c r="A13" s="38" t="n">
        <v>32000</v>
      </c>
      <c r="B13" s="24" t="n">
        <v>36000</v>
      </c>
      <c r="C13" s="35" t="n">
        <f aca="false">IF(OR(A13="",B13=""),"",A13*B13)</f>
        <v>1152000000</v>
      </c>
      <c r="D13" s="35" t="n">
        <f aca="false">IF(C13="","",(A13-$B$5)*B13)</f>
        <v>432000000</v>
      </c>
      <c r="E13" s="41" t="n">
        <f aca="false">IF(D13="","",D13-$B$6)</f>
        <v>252000000</v>
      </c>
      <c r="F13" s="15" t="str">
        <f aca="false">IF(A13="","",IF(AND(A13&gt;=$B$7,A13&lt;=$B$8),"Yes","No"))</f>
        <v>Yes</v>
      </c>
    </row>
    <row r="14" customFormat="false" ht="15" hidden="false" customHeight="false" outlineLevel="0" collapsed="false">
      <c r="A14" s="38" t="n">
        <v>34000</v>
      </c>
      <c r="B14" s="24" t="n">
        <v>31000</v>
      </c>
      <c r="C14" s="35" t="n">
        <f aca="false">IF(OR(A14="",B14=""),"",A14*B14)</f>
        <v>1054000000</v>
      </c>
      <c r="D14" s="35" t="n">
        <f aca="false">IF(C14="","",(A14-$B$5)*B14)</f>
        <v>434000000</v>
      </c>
      <c r="E14" s="41" t="n">
        <f aca="false">IF(D14="","",D14-$B$6)</f>
        <v>254000000</v>
      </c>
      <c r="F14" s="15" t="str">
        <f aca="false">IF(A14="","",IF(AND(A14&gt;=$B$7,A14&lt;=$B$8),"Yes","No"))</f>
        <v>Yes</v>
      </c>
    </row>
    <row r="15" customFormat="false" ht="15" hidden="false" customHeight="false" outlineLevel="0" collapsed="false">
      <c r="A15" s="38" t="n">
        <v>36000</v>
      </c>
      <c r="B15" s="24" t="n">
        <v>26000</v>
      </c>
      <c r="C15" s="35" t="n">
        <f aca="false">IF(OR(A15="",B15=""),"",A15*B15)</f>
        <v>936000000</v>
      </c>
      <c r="D15" s="35" t="n">
        <f aca="false">IF(C15="","",(A15-$B$5)*B15)</f>
        <v>416000000</v>
      </c>
      <c r="E15" s="41" t="n">
        <f aca="false">IF(D15="","",D15-$B$6)</f>
        <v>236000000</v>
      </c>
      <c r="F15" s="15" t="str">
        <f aca="false">IF(A15="","",IF(AND(A15&gt;=$B$7,A15&lt;=$B$8),"Yes","No"))</f>
        <v>Yes</v>
      </c>
    </row>
    <row r="16" customFormat="false" ht="15" hidden="false" customHeight="false" outlineLevel="0" collapsed="false">
      <c r="A16" s="38"/>
      <c r="B16" s="24"/>
      <c r="C16" s="35" t="str">
        <f aca="false">IF(OR(A16="",B16=""),"",A16*B16)</f>
        <v/>
      </c>
      <c r="D16" s="35" t="str">
        <f aca="false">IF(C16="","",(A16-$B$5)*B16)</f>
        <v/>
      </c>
      <c r="E16" s="41" t="str">
        <f aca="false">IF(D16="","",D16-$B$6)</f>
        <v/>
      </c>
      <c r="F16" s="15" t="str">
        <f aca="false">IF(A16="","",IF(AND(A16&gt;=$B$7,A16&lt;=$B$8),"Yes","No"))</f>
        <v/>
      </c>
    </row>
    <row r="17" customFormat="false" ht="15" hidden="false" customHeight="false" outlineLevel="0" collapsed="false">
      <c r="A17" s="38"/>
      <c r="B17" s="24"/>
      <c r="C17" s="35" t="str">
        <f aca="false">IF(OR(A17="",B17=""),"",A17*B17)</f>
        <v/>
      </c>
      <c r="D17" s="35" t="str">
        <f aca="false">IF(C17="","",(A17-$B$5)*B17)</f>
        <v/>
      </c>
      <c r="E17" s="41" t="str">
        <f aca="false">IF(D17="","",D17-$B$6)</f>
        <v/>
      </c>
      <c r="F17" s="15" t="str">
        <f aca="false">IF(A17="","",IF(AND(A17&gt;=$B$7,A17&lt;=$B$8),"Yes","No"))</f>
        <v/>
      </c>
    </row>
    <row r="18" customFormat="false" ht="15" hidden="false" customHeight="false" outlineLevel="0" collapsed="false">
      <c r="A18" s="38"/>
      <c r="B18" s="24"/>
      <c r="C18" s="35" t="str">
        <f aca="false">IF(OR(A18="",B18=""),"",A18*B18)</f>
        <v/>
      </c>
      <c r="D18" s="35" t="str">
        <f aca="false">IF(C18="","",(A18-$B$5)*B18)</f>
        <v/>
      </c>
      <c r="E18" s="41" t="str">
        <f aca="false">IF(D18="","",D18-$B$6)</f>
        <v/>
      </c>
      <c r="F18" s="15" t="str">
        <f aca="false">IF(A18="","",IF(AND(A18&gt;=$B$7,A18&lt;=$B$8),"Yes","No"))</f>
        <v/>
      </c>
    </row>
    <row r="20" customFormat="false" ht="15" hidden="false" customHeight="false" outlineLevel="0" collapsed="false">
      <c r="A20" s="20" t="s">
        <v>907</v>
      </c>
      <c r="B20" s="48" t="n">
        <f aca="false">IFERROR(INDEX(A11:A18,MATCH(_xlfn.MAXIFS(E11:E18,F11:F18,"Yes"),E11:E18,0)),"")</f>
        <v>34000</v>
      </c>
      <c r="C20" s="5" t="s">
        <v>908</v>
      </c>
      <c r="D20" s="55" t="n">
        <f aca="false">IFERROR(_xlfn.MAXIFS(E11:E18,F11:F18,"Yes"),"")</f>
        <v>254000000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30"/>
  </cols>
  <sheetData>
    <row r="1" customFormat="false" ht="19.7" hidden="false" customHeight="false" outlineLevel="0" collapsed="false">
      <c r="A1" s="7" t="s">
        <v>909</v>
      </c>
    </row>
    <row r="2" customFormat="false" ht="15" hidden="false" customHeight="false" outlineLevel="0" collapsed="false">
      <c r="A2" s="3" t="s">
        <v>910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911</v>
      </c>
    </row>
    <row r="6" customFormat="false" ht="30" hidden="false" customHeight="true" outlineLevel="0" collapsed="false">
      <c r="A6" s="12" t="s">
        <v>912</v>
      </c>
      <c r="B6" s="12" t="s">
        <v>913</v>
      </c>
      <c r="C6" s="12" t="s">
        <v>914</v>
      </c>
      <c r="D6" s="12" t="s">
        <v>610</v>
      </c>
      <c r="E6" s="12" t="s">
        <v>915</v>
      </c>
      <c r="F6" s="12" t="s">
        <v>916</v>
      </c>
    </row>
    <row r="7" customFormat="false" ht="35.05" hidden="false" customHeight="false" outlineLevel="0" collapsed="false">
      <c r="A7" s="11" t="s">
        <v>917</v>
      </c>
      <c r="B7" s="56" t="n">
        <v>97200</v>
      </c>
      <c r="C7" s="56" t="n">
        <v>96700</v>
      </c>
      <c r="D7" s="11" t="s">
        <v>918</v>
      </c>
      <c r="E7" s="44" t="n">
        <f aca="false">IF(OR(B7="",C7="",B7=0),"",ABS(B7-C7)/ABS(B7))</f>
        <v>0.0051440329218107</v>
      </c>
      <c r="F7" s="16" t="str">
        <f aca="false">IF(E7="","",IF(E7&lt;0.1,"Yes","No"))</f>
        <v>Yes</v>
      </c>
    </row>
    <row r="8" customFormat="false" ht="23.85" hidden="false" customHeight="false" outlineLevel="0" collapsed="false">
      <c r="A8" s="11" t="s">
        <v>519</v>
      </c>
      <c r="B8" s="56" t="n">
        <v>32000</v>
      </c>
      <c r="C8" s="56" t="n">
        <v>31850</v>
      </c>
      <c r="D8" s="11" t="s">
        <v>919</v>
      </c>
      <c r="E8" s="44" t="n">
        <f aca="false">IF(OR(B8="",C8="",B8=0),"",ABS(B8-C8)/ABS(B8))</f>
        <v>0.0046875</v>
      </c>
      <c r="F8" s="16" t="str">
        <f aca="false">IF(E8="","",IF(E8&lt;0.1,"Yes","No"))</f>
        <v>Yes</v>
      </c>
    </row>
    <row r="9" customFormat="false" ht="23.85" hidden="false" customHeight="false" outlineLevel="0" collapsed="false">
      <c r="A9" s="11" t="s">
        <v>521</v>
      </c>
      <c r="B9" s="56" t="n">
        <v>20000</v>
      </c>
      <c r="C9" s="56" t="n">
        <v>20150</v>
      </c>
      <c r="D9" s="11" t="s">
        <v>920</v>
      </c>
      <c r="E9" s="44" t="n">
        <f aca="false">IF(OR(B9="",C9="",B9=0),"",ABS(B9-C9)/ABS(B9))</f>
        <v>0.0075</v>
      </c>
      <c r="F9" s="16" t="str">
        <f aca="false">IF(E9="","",IF(E9&lt;0.1,"Yes","No"))</f>
        <v>Yes</v>
      </c>
    </row>
    <row r="10" customFormat="false" ht="15" hidden="false" customHeight="false" outlineLevel="0" collapsed="false">
      <c r="A10" s="11"/>
      <c r="B10" s="56"/>
      <c r="C10" s="56"/>
      <c r="D10" s="11"/>
      <c r="E10" s="44" t="str">
        <f aca="false">IF(OR(B10="",C10="",B10=0),"",ABS(B10-C10)/ABS(B10))</f>
        <v/>
      </c>
      <c r="F10" s="16" t="str">
        <f aca="false">IF(E10="","",IF(E10&lt;0.1,"Yes","No"))</f>
        <v/>
      </c>
    </row>
    <row r="11" customFormat="false" ht="15" hidden="false" customHeight="false" outlineLevel="0" collapsed="false">
      <c r="A11" s="11"/>
      <c r="B11" s="56"/>
      <c r="C11" s="56"/>
      <c r="D11" s="11"/>
      <c r="E11" s="44" t="str">
        <f aca="false">IF(OR(B11="",C11="",B11=0),"",ABS(B11-C11)/ABS(B11))</f>
        <v/>
      </c>
      <c r="F11" s="16" t="str">
        <f aca="false">IF(E11="","",IF(E11&lt;0.1,"Yes","No"))</f>
        <v/>
      </c>
    </row>
    <row r="12" customFormat="false" ht="15" hidden="false" customHeight="false" outlineLevel="0" collapsed="false">
      <c r="A12" s="11"/>
      <c r="B12" s="56"/>
      <c r="C12" s="56"/>
      <c r="D12" s="11"/>
      <c r="E12" s="44" t="str">
        <f aca="false">IF(OR(B12="",C12="",B12=0),"",ABS(B12-C12)/ABS(B12))</f>
        <v/>
      </c>
      <c r="F12" s="16" t="str">
        <f aca="false">IF(E12="","",IF(E12&lt;0.1,"Yes","No"))</f>
        <v/>
      </c>
    </row>
    <row r="13" customFormat="false" ht="15" hidden="false" customHeight="false" outlineLevel="0" collapsed="false">
      <c r="A13" s="11"/>
      <c r="B13" s="56"/>
      <c r="C13" s="56"/>
      <c r="D13" s="11"/>
      <c r="E13" s="44" t="str">
        <f aca="false">IF(OR(B13="",C13="",B13=0),"",ABS(B13-C13)/ABS(B13))</f>
        <v/>
      </c>
      <c r="F13" s="16" t="str">
        <f aca="false">IF(E13="","",IF(E13&lt;0.1,"Yes","No"))</f>
        <v/>
      </c>
    </row>
    <row r="14" customFormat="false" ht="15" hidden="false" customHeight="false" outlineLevel="0" collapsed="false">
      <c r="A14" s="11"/>
      <c r="B14" s="56"/>
      <c r="C14" s="56"/>
      <c r="D14" s="11"/>
      <c r="E14" s="44" t="str">
        <f aca="false">IF(OR(B14="",C14="",B14=0),"",ABS(B14-C14)/ABS(B14))</f>
        <v/>
      </c>
      <c r="F14" s="16" t="str">
        <f aca="false">IF(E14="","",IF(E14&lt;0.1,"Yes","No"))</f>
        <v/>
      </c>
    </row>
    <row r="16" customFormat="false" ht="15" hidden="false" customHeight="false" outlineLevel="0" collapsed="false">
      <c r="A16" s="17" t="s">
        <v>921</v>
      </c>
    </row>
    <row r="17" customFormat="false" ht="30" hidden="false" customHeight="true" outlineLevel="0" collapsed="false">
      <c r="A17" s="12" t="s">
        <v>922</v>
      </c>
      <c r="B17" s="12" t="s">
        <v>923</v>
      </c>
      <c r="C17" s="12" t="s">
        <v>924</v>
      </c>
      <c r="D17" s="12" t="s">
        <v>925</v>
      </c>
    </row>
    <row r="18" customFormat="false" ht="30" hidden="false" customHeight="true" outlineLevel="0" collapsed="false">
      <c r="A18" s="11" t="s">
        <v>259</v>
      </c>
      <c r="B18" s="11" t="s">
        <v>926</v>
      </c>
      <c r="C18" s="11" t="s">
        <v>927</v>
      </c>
      <c r="D18" s="11" t="s">
        <v>928</v>
      </c>
    </row>
    <row r="19" customFormat="false" ht="30" hidden="false" customHeight="true" outlineLevel="0" collapsed="false">
      <c r="A19" s="11" t="s">
        <v>263</v>
      </c>
      <c r="B19" s="11" t="s">
        <v>929</v>
      </c>
      <c r="C19" s="11" t="s">
        <v>930</v>
      </c>
      <c r="D19" s="11" t="s">
        <v>931</v>
      </c>
    </row>
    <row r="20" customFormat="false" ht="30" hidden="false" customHeight="true" outlineLevel="0" collapsed="false">
      <c r="A20" s="11" t="s">
        <v>265</v>
      </c>
      <c r="B20" s="11" t="s">
        <v>932</v>
      </c>
      <c r="C20" s="11" t="s">
        <v>933</v>
      </c>
      <c r="D20" s="11" t="s">
        <v>934</v>
      </c>
    </row>
    <row r="21" customFormat="false" ht="30" hidden="false" customHeight="true" outlineLevel="0" collapsed="false">
      <c r="A21" s="11"/>
      <c r="B21" s="11"/>
      <c r="C21" s="11"/>
      <c r="D21" s="11"/>
    </row>
    <row r="22" customFormat="false" ht="30" hidden="false" customHeight="true" outlineLevel="0" collapsed="false">
      <c r="A22" s="11"/>
      <c r="B22" s="11"/>
      <c r="C22" s="11"/>
      <c r="D22" s="11"/>
    </row>
    <row r="24" customFormat="false" ht="15" hidden="false" customHeight="false" outlineLevel="0" collapsed="false">
      <c r="A24" s="17" t="s">
        <v>935</v>
      </c>
    </row>
    <row r="25" customFormat="false" ht="30" hidden="false" customHeight="true" outlineLevel="0" collapsed="false">
      <c r="A25" s="12" t="s">
        <v>157</v>
      </c>
      <c r="B25" s="12" t="s">
        <v>936</v>
      </c>
      <c r="C25" s="12" t="s">
        <v>937</v>
      </c>
      <c r="D25" s="12" t="s">
        <v>938</v>
      </c>
      <c r="E25" s="12" t="s">
        <v>939</v>
      </c>
      <c r="F25" s="12" t="s">
        <v>940</v>
      </c>
      <c r="G25" s="12" t="s">
        <v>941</v>
      </c>
      <c r="H25" s="12" t="s">
        <v>942</v>
      </c>
    </row>
    <row r="26" customFormat="false" ht="23.85" hidden="false" customHeight="false" outlineLevel="0" collapsed="false">
      <c r="A26" s="11" t="s">
        <v>943</v>
      </c>
      <c r="B26" s="19" t="n">
        <v>4</v>
      </c>
      <c r="C26" s="19" t="n">
        <v>4</v>
      </c>
      <c r="D26" s="26" t="n">
        <f aca="false">IF(OR(B26="",C26=""),"",B26*C26)</f>
        <v>16</v>
      </c>
      <c r="E26" s="16" t="str">
        <f aca="false">IF(D26="","",IF(D26&gt;=15,"High",IF(D26&gt;=8,"Medium","Low")))</f>
        <v>High</v>
      </c>
      <c r="F26" s="11" t="s">
        <v>944</v>
      </c>
      <c r="G26" s="11" t="s">
        <v>945</v>
      </c>
      <c r="H26" s="11" t="s">
        <v>946</v>
      </c>
    </row>
    <row r="27" customFormat="false" ht="35.05" hidden="false" customHeight="false" outlineLevel="0" collapsed="false">
      <c r="A27" s="11" t="s">
        <v>947</v>
      </c>
      <c r="B27" s="19" t="n">
        <v>3</v>
      </c>
      <c r="C27" s="19" t="n">
        <v>5</v>
      </c>
      <c r="D27" s="26" t="n">
        <f aca="false">IF(OR(B27="",C27=""),"",B27*C27)</f>
        <v>15</v>
      </c>
      <c r="E27" s="16" t="str">
        <f aca="false">IF(D27="","",IF(D27&gt;=15,"High",IF(D27&gt;=8,"Medium","Low")))</f>
        <v>High</v>
      </c>
      <c r="F27" s="11" t="s">
        <v>948</v>
      </c>
      <c r="G27" s="11" t="s">
        <v>949</v>
      </c>
      <c r="H27" s="11" t="s">
        <v>950</v>
      </c>
    </row>
    <row r="28" customFormat="false" ht="23.85" hidden="false" customHeight="false" outlineLevel="0" collapsed="false">
      <c r="A28" s="11" t="s">
        <v>951</v>
      </c>
      <c r="B28" s="19" t="n">
        <v>3</v>
      </c>
      <c r="C28" s="19" t="n">
        <v>3</v>
      </c>
      <c r="D28" s="26" t="n">
        <f aca="false">IF(OR(B28="",C28=""),"",B28*C28)</f>
        <v>9</v>
      </c>
      <c r="E28" s="16" t="str">
        <f aca="false">IF(D28="","",IF(D28&gt;=15,"High",IF(D28&gt;=8,"Medium","Low")))</f>
        <v>Medium</v>
      </c>
      <c r="F28" s="11" t="s">
        <v>952</v>
      </c>
      <c r="G28" s="11" t="s">
        <v>953</v>
      </c>
      <c r="H28" s="11" t="s">
        <v>954</v>
      </c>
    </row>
    <row r="29" customFormat="false" ht="15" hidden="false" customHeight="false" outlineLevel="0" collapsed="false">
      <c r="A29" s="11"/>
      <c r="B29" s="19"/>
      <c r="C29" s="19"/>
      <c r="D29" s="26" t="str">
        <f aca="false">IF(OR(B29="",C29=""),"",B29*C29)</f>
        <v/>
      </c>
      <c r="E29" s="16" t="str">
        <f aca="false">IF(D29="","",IF(D29&gt;=15,"High",IF(D29&gt;=8,"Medium","Low")))</f>
        <v/>
      </c>
      <c r="F29" s="11"/>
      <c r="G29" s="11"/>
      <c r="H29" s="11"/>
    </row>
    <row r="30" customFormat="false" ht="15" hidden="false" customHeight="false" outlineLevel="0" collapsed="false">
      <c r="A30" s="11"/>
      <c r="B30" s="19"/>
      <c r="C30" s="19"/>
      <c r="D30" s="26" t="str">
        <f aca="false">IF(OR(B30="",C30=""),"",B30*C30)</f>
        <v/>
      </c>
      <c r="E30" s="16" t="str">
        <f aca="false">IF(D30="","",IF(D30&gt;=15,"High",IF(D30&gt;=8,"Medium","Low")))</f>
        <v/>
      </c>
      <c r="F30" s="11"/>
      <c r="G30" s="11"/>
      <c r="H30" s="11"/>
    </row>
    <row r="31" customFormat="false" ht="15" hidden="false" customHeight="false" outlineLevel="0" collapsed="false">
      <c r="A31" s="11"/>
      <c r="B31" s="19"/>
      <c r="C31" s="19"/>
      <c r="D31" s="26" t="str">
        <f aca="false">IF(OR(B31="",C31=""),"",B31*C31)</f>
        <v/>
      </c>
      <c r="E31" s="16" t="str">
        <f aca="false">IF(D31="","",IF(D31&gt;=15,"High",IF(D31&gt;=8,"Medium","Low")))</f>
        <v/>
      </c>
      <c r="F31" s="11"/>
      <c r="G31" s="11"/>
      <c r="H31" s="11"/>
    </row>
    <row r="32" customFormat="false" ht="15" hidden="false" customHeight="false" outlineLevel="0" collapsed="false">
      <c r="A32" s="11"/>
      <c r="B32" s="19"/>
      <c r="C32" s="19"/>
      <c r="D32" s="26" t="str">
        <f aca="false">IF(OR(B32="",C32=""),"",B32*C32)</f>
        <v/>
      </c>
      <c r="E32" s="16" t="str">
        <f aca="false">IF(D32="","",IF(D32&gt;=15,"High",IF(D32&gt;=8,"Medium","Low")))</f>
        <v/>
      </c>
      <c r="F32" s="11"/>
      <c r="G32" s="11"/>
      <c r="H32" s="11"/>
    </row>
    <row r="33" customFormat="false" ht="15" hidden="false" customHeight="false" outlineLevel="0" collapsed="false">
      <c r="A33" s="11"/>
      <c r="B33" s="19"/>
      <c r="C33" s="19"/>
      <c r="D33" s="26" t="str">
        <f aca="false">IF(OR(B33="",C33=""),"",B33*C33)</f>
        <v/>
      </c>
      <c r="E33" s="16" t="str">
        <f aca="false">IF(D33="","",IF(D33&gt;=15,"High",IF(D33&gt;=8,"Medium","Low")))</f>
        <v/>
      </c>
      <c r="F33" s="11"/>
      <c r="G33" s="11"/>
      <c r="H33" s="11"/>
    </row>
    <row r="34" customFormat="false" ht="15" hidden="false" customHeight="false" outlineLevel="0" collapsed="false">
      <c r="A34" s="11"/>
      <c r="B34" s="19"/>
      <c r="C34" s="19"/>
      <c r="D34" s="26" t="str">
        <f aca="false">IF(OR(B34="",C34=""),"",B34*C34)</f>
        <v/>
      </c>
      <c r="E34" s="16" t="str">
        <f aca="false">IF(D34="","",IF(D34&gt;=15,"High",IF(D34&gt;=8,"Medium","Low")))</f>
        <v/>
      </c>
      <c r="F34" s="11"/>
      <c r="G34" s="11"/>
      <c r="H34" s="11"/>
    </row>
    <row r="35" customFormat="false" ht="15" hidden="false" customHeight="false" outlineLevel="0" collapsed="false">
      <c r="A35" s="11"/>
      <c r="B35" s="19"/>
      <c r="C35" s="19"/>
      <c r="D35" s="26" t="str">
        <f aca="false">IF(OR(B35="",C35=""),"",B35*C35)</f>
        <v/>
      </c>
      <c r="E35" s="16" t="str">
        <f aca="false">IF(D35="","",IF(D35&gt;=15,"High",IF(D35&gt;=8,"Medium","Low")))</f>
        <v/>
      </c>
      <c r="F35" s="11"/>
      <c r="G35" s="11"/>
      <c r="H35" s="11"/>
    </row>
    <row r="37" customFormat="false" ht="15" hidden="false" customHeight="false" outlineLevel="0" collapsed="false">
      <c r="A37" s="20" t="s">
        <v>955</v>
      </c>
      <c r="B37" s="57" t="n">
        <f aca="false">COUNTIFS(E26:E35,"High",F26:F35,"")</f>
        <v>0</v>
      </c>
    </row>
  </sheetData>
  <conditionalFormatting sqref="F7:F14">
    <cfRule type="expression" priority="2" aboveAverage="0" equalAverage="0" bottom="0" percent="0" rank="0" text="" dxfId="0">
      <formula>F7="No"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F7="Yes"</formula>
    </cfRule>
  </conditionalFormatting>
  <conditionalFormatting sqref="E26:E35">
    <cfRule type="expression" priority="5" aboveAverage="0" equalAverage="0" bottom="0" percent="0" rank="0" text="" dxfId="0">
      <formula>E26="Low"</formula>
    </cfRule>
    <cfRule type="expression" priority="6" aboveAverage="0" equalAverage="0" bottom="0" percent="0" rank="0" text="" dxfId="1">
      <formula>E26="Medium"</formula>
    </cfRule>
    <cfRule type="expression" priority="7" aboveAverage="0" equalAverage="0" bottom="0" percent="0" rank="0" text="" dxfId="2">
      <formula>E26="High"</formula>
    </cfRule>
  </conditionalFormatting>
  <dataValidations count="1">
    <dataValidation allowBlank="true" error="Enter a whole number from 1 to 5." errorStyle="stop" errorTitle="Strat-IQ" operator="between" showDropDown="false" showErrorMessage="false" showInputMessage="false" sqref="B26:C3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7" t="s">
        <v>956</v>
      </c>
    </row>
    <row r="2" customFormat="false" ht="15" hidden="false" customHeight="false" outlineLevel="0" collapsed="false">
      <c r="A2" s="3" t="s">
        <v>957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true" outlineLevel="0" collapsed="false">
      <c r="A5" s="5" t="s">
        <v>958</v>
      </c>
      <c r="B5" s="11" t="s">
        <v>959</v>
      </c>
      <c r="C5" s="11"/>
      <c r="D5" s="11"/>
      <c r="E5" s="11"/>
      <c r="F5" s="11"/>
      <c r="G5" s="11"/>
      <c r="H5" s="11"/>
      <c r="I5" s="11"/>
    </row>
    <row r="6" customFormat="false" ht="15" hidden="false" customHeight="true" outlineLevel="0" collapsed="false">
      <c r="A6" s="5" t="s">
        <v>960</v>
      </c>
      <c r="B6" s="11" t="s">
        <v>961</v>
      </c>
      <c r="C6" s="11"/>
      <c r="D6" s="11"/>
      <c r="E6" s="11"/>
      <c r="F6" s="11"/>
      <c r="G6" s="11"/>
      <c r="H6" s="11"/>
      <c r="I6" s="11"/>
    </row>
    <row r="7" customFormat="false" ht="15" hidden="false" customHeight="true" outlineLevel="0" collapsed="false">
      <c r="A7" s="5" t="s">
        <v>962</v>
      </c>
      <c r="B7" s="11" t="s">
        <v>963</v>
      </c>
      <c r="C7" s="11"/>
      <c r="D7" s="11"/>
      <c r="E7" s="11"/>
      <c r="F7" s="11"/>
      <c r="G7" s="11"/>
      <c r="H7" s="11"/>
      <c r="I7" s="11"/>
    </row>
    <row r="9" customFormat="false" ht="30" hidden="false" customHeight="true" outlineLevel="0" collapsed="false">
      <c r="A9" s="12" t="s">
        <v>964</v>
      </c>
      <c r="B9" s="12" t="s">
        <v>965</v>
      </c>
      <c r="C9" s="12" t="s">
        <v>966</v>
      </c>
      <c r="D9" s="12" t="s">
        <v>967</v>
      </c>
      <c r="E9" s="12" t="s">
        <v>968</v>
      </c>
      <c r="F9" s="12" t="s">
        <v>969</v>
      </c>
      <c r="G9" s="12" t="s">
        <v>970</v>
      </c>
      <c r="H9" s="12" t="s">
        <v>971</v>
      </c>
      <c r="I9" s="12" t="s">
        <v>972</v>
      </c>
    </row>
    <row r="10" customFormat="false" ht="15" hidden="false" customHeight="false" outlineLevel="0" collapsed="false">
      <c r="A10" s="11" t="s">
        <v>973</v>
      </c>
      <c r="B10" s="38" t="n">
        <v>2000000</v>
      </c>
      <c r="C10" s="24" t="n">
        <v>400000</v>
      </c>
      <c r="D10" s="22" t="n">
        <v>0.02</v>
      </c>
      <c r="E10" s="22" t="n">
        <v>0.15</v>
      </c>
      <c r="F10" s="42" t="n">
        <f aca="false">IF(OR(C10="",D10=""),"",C10*D10)</f>
        <v>8000</v>
      </c>
      <c r="G10" s="42" t="n">
        <f aca="false">IF(OR(F10="",E10=""),"",F10*E10)</f>
        <v>1200</v>
      </c>
      <c r="H10" s="35" t="n">
        <f aca="false">IFERROR(IF(G10&gt;0,B10/G10,""),"")</f>
        <v>1666.66666666667</v>
      </c>
      <c r="I10" s="15" t="str">
        <f aca="false">IFERROR(IF(H10="","",IF('Unit Economics'!$E$13="","set LTV on Unit Economics",IF(H10&lt;='Unit Economics'!$E$13/3,"Fits (LTV/CAC ≥ 3)",IF(H10&lt;='Unit Economics'!$E$13,"Thin","Burns value")))),"")</f>
        <v>Fits (LTV/CAC ≥ 3)</v>
      </c>
    </row>
    <row r="11" customFormat="false" ht="15" hidden="false" customHeight="false" outlineLevel="0" collapsed="false">
      <c r="A11" s="11" t="s">
        <v>974</v>
      </c>
      <c r="B11" s="38" t="n">
        <v>1500000</v>
      </c>
      <c r="C11" s="24" t="n">
        <v>900000</v>
      </c>
      <c r="D11" s="22" t="n">
        <v>0.01</v>
      </c>
      <c r="E11" s="22" t="n">
        <v>0.05</v>
      </c>
      <c r="F11" s="42" t="n">
        <f aca="false">IF(OR(C11="",D11=""),"",C11*D11)</f>
        <v>9000</v>
      </c>
      <c r="G11" s="42" t="n">
        <f aca="false">IF(OR(F11="",E11=""),"",F11*E11)</f>
        <v>450</v>
      </c>
      <c r="H11" s="35" t="n">
        <f aca="false">IFERROR(IF(G11&gt;0,B11/G11,""),"")</f>
        <v>3333.33333333333</v>
      </c>
      <c r="I11" s="15" t="str">
        <f aca="false">IFERROR(IF(H11="","",IF('Unit Economics'!$E$13="","set LTV on Unit Economics",IF(H11&lt;='Unit Economics'!$E$13/3,"Fits (LTV/CAC ≥ 3)",IF(H11&lt;='Unit Economics'!$E$13,"Thin","Burns value")))),"")</f>
        <v>Thin</v>
      </c>
    </row>
    <row r="12" customFormat="false" ht="15" hidden="false" customHeight="false" outlineLevel="0" collapsed="false">
      <c r="A12" s="11" t="s">
        <v>975</v>
      </c>
      <c r="B12" s="38" t="n">
        <v>300000</v>
      </c>
      <c r="C12" s="24" t="n">
        <v>5000</v>
      </c>
      <c r="D12" s="22" t="n">
        <v>0.2</v>
      </c>
      <c r="E12" s="22" t="n">
        <v>0.15</v>
      </c>
      <c r="F12" s="42" t="n">
        <f aca="false">IF(OR(C12="",D12=""),"",C12*D12)</f>
        <v>1000</v>
      </c>
      <c r="G12" s="42" t="n">
        <f aca="false">IF(OR(F12="",E12=""),"",F12*E12)</f>
        <v>150</v>
      </c>
      <c r="H12" s="35" t="n">
        <f aca="false">IFERROR(IF(G12&gt;0,B12/G12,""),"")</f>
        <v>2000</v>
      </c>
      <c r="I12" s="15" t="str">
        <f aca="false">IFERROR(IF(H12="","",IF('Unit Economics'!$E$13="","set LTV on Unit Economics",IF(H12&lt;='Unit Economics'!$E$13/3,"Fits (LTV/CAC ≥ 3)",IF(H12&lt;='Unit Economics'!$E$13,"Thin","Burns value")))),"")</f>
        <v>Fits (LTV/CAC ≥ 3)</v>
      </c>
    </row>
    <row r="13" customFormat="false" ht="15" hidden="false" customHeight="false" outlineLevel="0" collapsed="false">
      <c r="A13" s="11"/>
      <c r="B13" s="38"/>
      <c r="C13" s="24"/>
      <c r="D13" s="22"/>
      <c r="E13" s="22"/>
      <c r="F13" s="42" t="str">
        <f aca="false">IF(OR(C13="",D13=""),"",C13*D13)</f>
        <v/>
      </c>
      <c r="G13" s="42" t="str">
        <f aca="false">IF(OR(F13="",E13=""),"",F13*E13)</f>
        <v/>
      </c>
      <c r="H13" s="35" t="str">
        <f aca="false">IFERROR(IF(G13&gt;0,B13/G13,""),"")</f>
        <v/>
      </c>
      <c r="I13" s="15" t="str">
        <f aca="false">IFERROR(IF(H13="","",IF('Unit Economics'!$E$13="","set LTV on Unit Economics",IF(H13&lt;='Unit Economics'!$E$13/3,"Fits (LTV/CAC ≥ 3)",IF(H13&lt;='Unit Economics'!$E$13,"Thin","Burns value")))),"")</f>
        <v/>
      </c>
    </row>
    <row r="14" customFormat="false" ht="15" hidden="false" customHeight="false" outlineLevel="0" collapsed="false">
      <c r="A14" s="11"/>
      <c r="B14" s="38"/>
      <c r="C14" s="24"/>
      <c r="D14" s="22"/>
      <c r="E14" s="22"/>
      <c r="F14" s="42" t="str">
        <f aca="false">IF(OR(C14="",D14=""),"",C14*D14)</f>
        <v/>
      </c>
      <c r="G14" s="42" t="str">
        <f aca="false">IF(OR(F14="",E14=""),"",F14*E14)</f>
        <v/>
      </c>
      <c r="H14" s="35" t="str">
        <f aca="false">IFERROR(IF(G14&gt;0,B14/G14,""),"")</f>
        <v/>
      </c>
      <c r="I14" s="15" t="str">
        <f aca="false">IFERROR(IF(H14="","",IF('Unit Economics'!$E$13="","set LTV on Unit Economics",IF(H14&lt;='Unit Economics'!$E$13/3,"Fits (LTV/CAC ≥ 3)",IF(H14&lt;='Unit Economics'!$E$13,"Thin","Burns value")))),"")</f>
        <v/>
      </c>
    </row>
    <row r="15" customFormat="false" ht="15" hidden="false" customHeight="false" outlineLevel="0" collapsed="false">
      <c r="A15" s="11"/>
      <c r="B15" s="38"/>
      <c r="C15" s="24"/>
      <c r="D15" s="22"/>
      <c r="E15" s="22"/>
      <c r="F15" s="42" t="str">
        <f aca="false">IF(OR(C15="",D15=""),"",C15*D15)</f>
        <v/>
      </c>
      <c r="G15" s="42" t="str">
        <f aca="false">IF(OR(F15="",E15=""),"",F15*E15)</f>
        <v/>
      </c>
      <c r="H15" s="35" t="str">
        <f aca="false">IFERROR(IF(G15&gt;0,B15/G15,""),"")</f>
        <v/>
      </c>
      <c r="I15" s="15" t="str">
        <f aca="false">IFERROR(IF(H15="","",IF('Unit Economics'!$E$13="","set LTV on Unit Economics",IF(H15&lt;='Unit Economics'!$E$13/3,"Fits (LTV/CAC ≥ 3)",IF(H15&lt;='Unit Economics'!$E$13,"Thin","Burns value")))),"")</f>
        <v/>
      </c>
    </row>
    <row r="16" customFormat="false" ht="15" hidden="false" customHeight="false" outlineLevel="0" collapsed="false">
      <c r="A16" s="11"/>
      <c r="B16" s="38"/>
      <c r="C16" s="24"/>
      <c r="D16" s="22"/>
      <c r="E16" s="22"/>
      <c r="F16" s="42" t="str">
        <f aca="false">IF(OR(C16="",D16=""),"",C16*D16)</f>
        <v/>
      </c>
      <c r="G16" s="42" t="str">
        <f aca="false">IF(OR(F16="",E16=""),"",F16*E16)</f>
        <v/>
      </c>
      <c r="H16" s="35" t="str">
        <f aca="false">IFERROR(IF(G16&gt;0,B16/G16,""),"")</f>
        <v/>
      </c>
      <c r="I16" s="15" t="str">
        <f aca="false">IFERROR(IF(H16="","",IF('Unit Economics'!$E$13="","set LTV on Unit Economics",IF(H16&lt;='Unit Economics'!$E$13/3,"Fits (LTV/CAC ≥ 3)",IF(H16&lt;='Unit Economics'!$E$13,"Thin","Burns value")))),"")</f>
        <v/>
      </c>
    </row>
    <row r="17" customFormat="false" ht="15" hidden="false" customHeight="false" outlineLevel="0" collapsed="false">
      <c r="A17" s="11"/>
      <c r="B17" s="38"/>
      <c r="C17" s="24"/>
      <c r="D17" s="22"/>
      <c r="E17" s="22"/>
      <c r="F17" s="42" t="str">
        <f aca="false">IF(OR(C17="",D17=""),"",C17*D17)</f>
        <v/>
      </c>
      <c r="G17" s="42" t="str">
        <f aca="false">IF(OR(F17="",E17=""),"",F17*E17)</f>
        <v/>
      </c>
      <c r="H17" s="35" t="str">
        <f aca="false">IFERROR(IF(G17&gt;0,B17/G17,""),"")</f>
        <v/>
      </c>
      <c r="I17" s="15" t="str">
        <f aca="false">IFERROR(IF(H17="","",IF('Unit Economics'!$E$13="","set LTV on Unit Economics",IF(H17&lt;='Unit Economics'!$E$13/3,"Fits (LTV/CAC ≥ 3)",IF(H17&lt;='Unit Economics'!$E$13,"Thin","Burns value")))),"")</f>
        <v/>
      </c>
    </row>
    <row r="18" customFormat="false" ht="15" hidden="false" customHeight="false" outlineLevel="0" collapsed="false">
      <c r="A18" s="20" t="s">
        <v>976</v>
      </c>
      <c r="B18" s="48" t="n">
        <f aca="false">SUM(B10:B17)</f>
        <v>3800000</v>
      </c>
      <c r="G18" s="23" t="n">
        <f aca="false">SUM(G10:G17)</f>
        <v>1800</v>
      </c>
      <c r="H18" s="48" t="n">
        <f aca="false">IFERROR(B18/G18,"")</f>
        <v>2111.11111111111</v>
      </c>
    </row>
    <row r="20" customFormat="false" ht="15" hidden="false" customHeight="false" outlineLevel="0" collapsed="false">
      <c r="A20" s="17" t="s">
        <v>977</v>
      </c>
    </row>
    <row r="21" customFormat="false" ht="30" hidden="false" customHeight="true" outlineLevel="0" collapsed="false">
      <c r="A21" s="12" t="s">
        <v>978</v>
      </c>
      <c r="B21" s="12" t="s">
        <v>979</v>
      </c>
      <c r="C21" s="12" t="s">
        <v>980</v>
      </c>
      <c r="D21" s="12" t="s">
        <v>981</v>
      </c>
    </row>
    <row r="22" customFormat="false" ht="23.85" hidden="false" customHeight="false" outlineLevel="0" collapsed="false">
      <c r="A22" s="11" t="s">
        <v>982</v>
      </c>
      <c r="B22" s="11" t="s">
        <v>983</v>
      </c>
      <c r="C22" s="11" t="s">
        <v>984</v>
      </c>
      <c r="D22" s="11" t="s">
        <v>985</v>
      </c>
    </row>
    <row r="23" customFormat="false" ht="23.85" hidden="false" customHeight="false" outlineLevel="0" collapsed="false">
      <c r="A23" s="11" t="s">
        <v>986</v>
      </c>
      <c r="B23" s="11" t="s">
        <v>987</v>
      </c>
      <c r="C23" s="11" t="s">
        <v>988</v>
      </c>
      <c r="D23" s="11" t="s">
        <v>989</v>
      </c>
    </row>
    <row r="24" customFormat="false" ht="23.85" hidden="false" customHeight="false" outlineLevel="0" collapsed="false">
      <c r="A24" s="11" t="s">
        <v>990</v>
      </c>
      <c r="B24" s="11" t="s">
        <v>991</v>
      </c>
      <c r="C24" s="11" t="s">
        <v>992</v>
      </c>
      <c r="D24" s="11" t="s">
        <v>993</v>
      </c>
    </row>
    <row r="25" customFormat="false" ht="15" hidden="false" customHeight="false" outlineLevel="0" collapsed="false">
      <c r="A25" s="11"/>
      <c r="B25" s="11"/>
      <c r="C25" s="11"/>
      <c r="D25" s="11"/>
    </row>
  </sheetData>
  <mergeCells count="3">
    <mergeCell ref="B5:I5"/>
    <mergeCell ref="B6:I6"/>
    <mergeCell ref="B7:I7"/>
  </mergeCells>
  <conditionalFormatting sqref="I10:I17">
    <cfRule type="expression" priority="2" aboveAverage="0" equalAverage="0" bottom="0" percent="0" rank="0" text="" dxfId="0">
      <formula>LEFT(I10,4)="Fits"</formula>
    </cfRule>
    <cfRule type="expression" priority="3" aboveAverage="0" equalAverage="0" bottom="0" percent="0" rank="0" text="" dxfId="1">
      <formula>I10="Thin"</formula>
    </cfRule>
    <cfRule type="expression" priority="4" aboveAverage="0" equalAverage="0" bottom="0" percent="0" rank="0" text="" dxfId="2">
      <formula>I10="Burns value"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7" t="s">
        <v>994</v>
      </c>
    </row>
    <row r="2" customFormat="false" ht="15" hidden="false" customHeight="false" outlineLevel="0" collapsed="false">
      <c r="A2" s="3" t="s">
        <v>995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332</v>
      </c>
      <c r="B5" s="12" t="s">
        <v>996</v>
      </c>
      <c r="C5" s="12" t="s">
        <v>997</v>
      </c>
      <c r="D5" s="12" t="s">
        <v>966</v>
      </c>
      <c r="E5" s="12" t="s">
        <v>998</v>
      </c>
      <c r="F5" s="12" t="s">
        <v>999</v>
      </c>
      <c r="G5" s="12" t="s">
        <v>1000</v>
      </c>
      <c r="H5" s="12" t="s">
        <v>1001</v>
      </c>
      <c r="I5" s="12" t="s">
        <v>446</v>
      </c>
      <c r="J5" s="12" t="s">
        <v>1002</v>
      </c>
      <c r="K5" s="12" t="s">
        <v>588</v>
      </c>
    </row>
    <row r="6" customFormat="false" ht="15" hidden="false" customHeight="false" outlineLevel="0" collapsed="false">
      <c r="A6" s="11" t="s">
        <v>1003</v>
      </c>
      <c r="B6" s="11" t="s">
        <v>1004</v>
      </c>
      <c r="C6" s="11" t="s">
        <v>1005</v>
      </c>
      <c r="D6" s="24" t="n">
        <v>5000</v>
      </c>
      <c r="E6" s="40" t="n">
        <v>2</v>
      </c>
      <c r="F6" s="31" t="n">
        <v>0.8</v>
      </c>
      <c r="G6" s="28" t="n">
        <v>4</v>
      </c>
      <c r="H6" s="23" t="n">
        <f aca="false">IF(OR(D6="",E6="",F6="",G6="",G6=0),"",D6*E6*F6/G6)</f>
        <v>2000</v>
      </c>
      <c r="I6" s="26" t="n">
        <f aca="false">IF(H6="","",RANK(H6,$H$6:$H$17))</f>
        <v>1</v>
      </c>
      <c r="J6" s="11"/>
      <c r="K6" s="11" t="s">
        <v>1006</v>
      </c>
    </row>
    <row r="7" customFormat="false" ht="15" hidden="false" customHeight="false" outlineLevel="0" collapsed="false">
      <c r="A7" s="11" t="s">
        <v>1007</v>
      </c>
      <c r="B7" s="11" t="s">
        <v>1008</v>
      </c>
      <c r="C7" s="11" t="s">
        <v>189</v>
      </c>
      <c r="D7" s="24" t="n">
        <v>20000</v>
      </c>
      <c r="E7" s="40" t="n">
        <v>1</v>
      </c>
      <c r="F7" s="31" t="n">
        <v>0.5</v>
      </c>
      <c r="G7" s="28" t="n">
        <v>6</v>
      </c>
      <c r="H7" s="23" t="n">
        <f aca="false">IF(OR(D7="",E7="",F7="",G7="",G7=0),"",D7*E7*F7/G7)</f>
        <v>1666.66666666667</v>
      </c>
      <c r="I7" s="26" t="n">
        <f aca="false">IF(H7="","",RANK(H7,$H$6:$H$17))</f>
        <v>3</v>
      </c>
      <c r="J7" s="11" t="s">
        <v>1009</v>
      </c>
      <c r="K7" s="11" t="s">
        <v>1010</v>
      </c>
    </row>
    <row r="8" customFormat="false" ht="15" hidden="false" customHeight="false" outlineLevel="0" collapsed="false">
      <c r="A8" s="11" t="s">
        <v>1011</v>
      </c>
      <c r="B8" s="11" t="s">
        <v>1012</v>
      </c>
      <c r="C8" s="11" t="s">
        <v>580</v>
      </c>
      <c r="D8" s="24" t="n">
        <v>15000</v>
      </c>
      <c r="E8" s="40" t="n">
        <v>1</v>
      </c>
      <c r="F8" s="31" t="n">
        <v>0.6</v>
      </c>
      <c r="G8" s="28" t="n">
        <v>5</v>
      </c>
      <c r="H8" s="23" t="n">
        <f aca="false">IF(OR(D8="",E8="",F8="",G8="",G8=0),"",D8*E8*F8/G8)</f>
        <v>1800</v>
      </c>
      <c r="I8" s="26" t="n">
        <f aca="false">IF(H8="","",RANK(H8,$H$6:$H$17))</f>
        <v>2</v>
      </c>
      <c r="J8" s="11"/>
      <c r="K8" s="11" t="s">
        <v>1010</v>
      </c>
    </row>
    <row r="9" customFormat="false" ht="15" hidden="false" customHeight="false" outlineLevel="0" collapsed="false">
      <c r="A9" s="11" t="s">
        <v>1009</v>
      </c>
      <c r="B9" s="11" t="s">
        <v>1013</v>
      </c>
      <c r="C9" s="11" t="s">
        <v>745</v>
      </c>
      <c r="D9" s="24" t="n">
        <v>10000</v>
      </c>
      <c r="E9" s="40" t="n">
        <v>2</v>
      </c>
      <c r="F9" s="31" t="n">
        <v>0.7</v>
      </c>
      <c r="G9" s="28" t="n">
        <v>9</v>
      </c>
      <c r="H9" s="23" t="n">
        <f aca="false">IF(OR(D9="",E9="",F9="",G9="",G9=0),"",D9*E9*F9/G9)</f>
        <v>1555.55555555556</v>
      </c>
      <c r="I9" s="26" t="n">
        <f aca="false">IF(H9="","",RANK(H9,$H$6:$H$17))</f>
        <v>4</v>
      </c>
      <c r="J9" s="11"/>
      <c r="K9" s="11" t="s">
        <v>1006</v>
      </c>
    </row>
    <row r="10" customFormat="false" ht="15" hidden="false" customHeight="false" outlineLevel="0" collapsed="false">
      <c r="A10" s="11"/>
      <c r="B10" s="11"/>
      <c r="C10" s="11"/>
      <c r="D10" s="24"/>
      <c r="E10" s="40"/>
      <c r="F10" s="31"/>
      <c r="G10" s="28"/>
      <c r="H10" s="23" t="str">
        <f aca="false">IF(OR(D10="",E10="",F10="",G10="",G10=0),"",D10*E10*F10/G10)</f>
        <v/>
      </c>
      <c r="I10" s="26" t="str">
        <f aca="false">IF(H10="","",RANK(H10,$H$6:$H$17))</f>
        <v/>
      </c>
      <c r="J10" s="11"/>
      <c r="K10" s="11"/>
    </row>
    <row r="11" customFormat="false" ht="15" hidden="false" customHeight="false" outlineLevel="0" collapsed="false">
      <c r="A11" s="11"/>
      <c r="B11" s="11"/>
      <c r="C11" s="11"/>
      <c r="D11" s="24"/>
      <c r="E11" s="40"/>
      <c r="F11" s="31"/>
      <c r="G11" s="28"/>
      <c r="H11" s="23" t="str">
        <f aca="false">IF(OR(D11="",E11="",F11="",G11="",G11=0),"",D11*E11*F11/G11)</f>
        <v/>
      </c>
      <c r="I11" s="26" t="str">
        <f aca="false">IF(H11="","",RANK(H11,$H$6:$H$17))</f>
        <v/>
      </c>
      <c r="J11" s="11"/>
      <c r="K11" s="11"/>
    </row>
    <row r="12" customFormat="false" ht="15" hidden="false" customHeight="false" outlineLevel="0" collapsed="false">
      <c r="A12" s="11"/>
      <c r="B12" s="11"/>
      <c r="C12" s="11"/>
      <c r="D12" s="24"/>
      <c r="E12" s="40"/>
      <c r="F12" s="31"/>
      <c r="G12" s="28"/>
      <c r="H12" s="23" t="str">
        <f aca="false">IF(OR(D12="",E12="",F12="",G12="",G12=0),"",D12*E12*F12/G12)</f>
        <v/>
      </c>
      <c r="I12" s="26" t="str">
        <f aca="false">IF(H12="","",RANK(H12,$H$6:$H$17))</f>
        <v/>
      </c>
      <c r="J12" s="11"/>
      <c r="K12" s="11"/>
    </row>
    <row r="13" customFormat="false" ht="15" hidden="false" customHeight="false" outlineLevel="0" collapsed="false">
      <c r="A13" s="11"/>
      <c r="B13" s="11"/>
      <c r="C13" s="11"/>
      <c r="D13" s="24"/>
      <c r="E13" s="40"/>
      <c r="F13" s="31"/>
      <c r="G13" s="28"/>
      <c r="H13" s="23" t="str">
        <f aca="false">IF(OR(D13="",E13="",F13="",G13="",G13=0),"",D13*E13*F13/G13)</f>
        <v/>
      </c>
      <c r="I13" s="26" t="str">
        <f aca="false">IF(H13="","",RANK(H13,$H$6:$H$17))</f>
        <v/>
      </c>
      <c r="J13" s="11"/>
      <c r="K13" s="11"/>
    </row>
    <row r="14" customFormat="false" ht="15" hidden="false" customHeight="false" outlineLevel="0" collapsed="false">
      <c r="A14" s="11"/>
      <c r="B14" s="11"/>
      <c r="C14" s="11"/>
      <c r="D14" s="24"/>
      <c r="E14" s="40"/>
      <c r="F14" s="31"/>
      <c r="G14" s="28"/>
      <c r="H14" s="23" t="str">
        <f aca="false">IF(OR(D14="",E14="",F14="",G14="",G14=0),"",D14*E14*F14/G14)</f>
        <v/>
      </c>
      <c r="I14" s="26" t="str">
        <f aca="false">IF(H14="","",RANK(H14,$H$6:$H$17))</f>
        <v/>
      </c>
      <c r="J14" s="11"/>
      <c r="K14" s="11"/>
    </row>
    <row r="15" customFormat="false" ht="15" hidden="false" customHeight="false" outlineLevel="0" collapsed="false">
      <c r="A15" s="11"/>
      <c r="B15" s="11"/>
      <c r="C15" s="11"/>
      <c r="D15" s="24"/>
      <c r="E15" s="40"/>
      <c r="F15" s="31"/>
      <c r="G15" s="28"/>
      <c r="H15" s="23" t="str">
        <f aca="false">IF(OR(D15="",E15="",F15="",G15="",G15=0),"",D15*E15*F15/G15)</f>
        <v/>
      </c>
      <c r="I15" s="26" t="str">
        <f aca="false">IF(H15="","",RANK(H15,$H$6:$H$17))</f>
        <v/>
      </c>
      <c r="J15" s="11"/>
      <c r="K15" s="11"/>
    </row>
    <row r="16" customFormat="false" ht="15" hidden="false" customHeight="false" outlineLevel="0" collapsed="false">
      <c r="A16" s="11"/>
      <c r="B16" s="11"/>
      <c r="C16" s="11"/>
      <c r="D16" s="24"/>
      <c r="E16" s="40"/>
      <c r="F16" s="31"/>
      <c r="G16" s="28"/>
      <c r="H16" s="23" t="str">
        <f aca="false">IF(OR(D16="",E16="",F16="",G16="",G16=0),"",D16*E16*F16/G16)</f>
        <v/>
      </c>
      <c r="I16" s="26" t="str">
        <f aca="false">IF(H16="","",RANK(H16,$H$6:$H$17))</f>
        <v/>
      </c>
      <c r="J16" s="11"/>
      <c r="K16" s="11"/>
    </row>
    <row r="17" customFormat="false" ht="15" hidden="false" customHeight="false" outlineLevel="0" collapsed="false">
      <c r="A17" s="11"/>
      <c r="B17" s="11"/>
      <c r="C17" s="11"/>
      <c r="D17" s="24"/>
      <c r="E17" s="40"/>
      <c r="F17" s="31"/>
      <c r="G17" s="28"/>
      <c r="H17" s="23" t="str">
        <f aca="false">IF(OR(D17="",E17="",F17="",G17="",G17=0),"",D17*E17*F17/G17)</f>
        <v/>
      </c>
      <c r="I17" s="26" t="str">
        <f aca="false">IF(H17="","",RANK(H17,$H$6:$H$17))</f>
        <v/>
      </c>
      <c r="J17" s="11"/>
      <c r="K17" s="11"/>
    </row>
    <row r="19" customFormat="false" ht="57.45" hidden="false" customHeight="false" outlineLevel="0" collapsed="false">
      <c r="A19" s="20" t="s">
        <v>1014</v>
      </c>
      <c r="C19" s="57" t="n">
        <f aca="false">COUNTIFS(B6:B17,"&lt;&gt;",C6:C17,"")</f>
        <v>0</v>
      </c>
    </row>
  </sheetData>
  <dataValidations count="1">
    <dataValidation allowBlank="true" errorStyle="stop" operator="between" showDropDown="false" showErrorMessage="false" showInputMessage="false" sqref="K6:K17" type="list">
      <formula1>"now,next,later,dropped"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9" min="7" style="0" width="12"/>
    <col collapsed="false" customWidth="true" hidden="false" outlineLevel="0" max="10" min="10" style="0" width="20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7" t="s">
        <v>1015</v>
      </c>
    </row>
    <row r="2" customFormat="false" ht="15" hidden="false" customHeight="false" outlineLevel="0" collapsed="false">
      <c r="A2" s="3" t="s">
        <v>1016</v>
      </c>
    </row>
    <row r="3" customFormat="false" ht="15" hidden="false" customHeight="false" outlineLevel="0" collapsed="false">
      <c r="A3" s="8" t="s">
        <v>85</v>
      </c>
    </row>
    <row r="5" customFormat="false" ht="15" hidden="false" customHeight="false" outlineLevel="0" collapsed="false">
      <c r="A5" s="17" t="s">
        <v>1017</v>
      </c>
    </row>
    <row r="6" customFormat="false" ht="30" hidden="false" customHeight="true" outlineLevel="0" collapsed="false">
      <c r="A6" s="12" t="s">
        <v>1018</v>
      </c>
      <c r="B6" s="12" t="s">
        <v>1019</v>
      </c>
      <c r="C6" s="12" t="s">
        <v>1020</v>
      </c>
      <c r="D6" s="12" t="s">
        <v>1021</v>
      </c>
      <c r="E6" s="12" t="s">
        <v>538</v>
      </c>
      <c r="F6" s="12" t="s">
        <v>1022</v>
      </c>
    </row>
    <row r="7" customFormat="false" ht="15" hidden="false" customHeight="false" outlineLevel="0" collapsed="false">
      <c r="A7" s="11" t="s">
        <v>1023</v>
      </c>
      <c r="B7" s="11" t="s">
        <v>1024</v>
      </c>
      <c r="C7" s="11" t="s">
        <v>1025</v>
      </c>
      <c r="D7" s="11" t="s">
        <v>1026</v>
      </c>
      <c r="E7" s="11" t="s">
        <v>1027</v>
      </c>
      <c r="F7" s="11" t="s">
        <v>1028</v>
      </c>
    </row>
    <row r="8" customFormat="false" ht="15" hidden="false" customHeight="false" outlineLevel="0" collapsed="false">
      <c r="A8" s="11" t="s">
        <v>1029</v>
      </c>
      <c r="B8" s="11" t="s">
        <v>1026</v>
      </c>
      <c r="C8" s="11" t="s">
        <v>1025</v>
      </c>
      <c r="D8" s="11" t="s">
        <v>1030</v>
      </c>
      <c r="E8" s="11" t="s">
        <v>1031</v>
      </c>
      <c r="F8" s="11" t="s">
        <v>1026</v>
      </c>
    </row>
    <row r="9" customFormat="false" ht="15" hidden="false" customHeight="false" outlineLevel="0" collapsed="false">
      <c r="A9" s="11" t="s">
        <v>1032</v>
      </c>
      <c r="B9" s="11" t="s">
        <v>952</v>
      </c>
      <c r="C9" s="11" t="s">
        <v>1033</v>
      </c>
      <c r="D9" s="11" t="s">
        <v>1034</v>
      </c>
      <c r="E9" s="11" t="s">
        <v>1025</v>
      </c>
      <c r="F9" s="11" t="s">
        <v>1028</v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4" customFormat="false" ht="15" hidden="false" customHeight="false" outlineLevel="0" collapsed="false">
      <c r="A14" s="17" t="s">
        <v>1035</v>
      </c>
    </row>
    <row r="15" customFormat="false" ht="30" hidden="false" customHeight="true" outlineLevel="0" collapsed="false">
      <c r="A15" s="12" t="s">
        <v>1036</v>
      </c>
      <c r="B15" s="12"/>
      <c r="C15" s="12"/>
      <c r="D15" s="12"/>
      <c r="E15" s="12"/>
      <c r="F15" s="12"/>
      <c r="G15" s="12" t="s">
        <v>1037</v>
      </c>
      <c r="H15" s="12" t="s">
        <v>1038</v>
      </c>
      <c r="I15" s="12" t="s">
        <v>1039</v>
      </c>
      <c r="J15" s="12" t="s">
        <v>1040</v>
      </c>
      <c r="K15" s="12" t="s">
        <v>1041</v>
      </c>
    </row>
    <row r="16" customFormat="false" ht="15" hidden="false" customHeight="true" outlineLevel="0" collapsed="false">
      <c r="A16" s="11" t="s">
        <v>1042</v>
      </c>
      <c r="B16" s="11"/>
      <c r="C16" s="11"/>
      <c r="D16" s="11"/>
      <c r="E16" s="11"/>
      <c r="F16" s="11"/>
      <c r="G16" s="19" t="n">
        <v>5</v>
      </c>
      <c r="H16" s="19" t="n">
        <v>3</v>
      </c>
      <c r="I16" s="58" t="n">
        <v>-1</v>
      </c>
      <c r="J16" s="16" t="str">
        <f aca="false">IF(OR(G16="",H16=""),"",IF(G16&gt;=3,IF(H16&gt;=3,"Manage closely","Keep satisfied"),IF(H16&gt;=3,"Keep informed","Monitor")))</f>
        <v>Manage closely</v>
      </c>
      <c r="K16" s="11" t="s">
        <v>1043</v>
      </c>
    </row>
    <row r="17" customFormat="false" ht="15" hidden="false" customHeight="true" outlineLevel="0" collapsed="false">
      <c r="A17" s="11" t="s">
        <v>1044</v>
      </c>
      <c r="B17" s="11"/>
      <c r="C17" s="11"/>
      <c r="D17" s="11"/>
      <c r="E17" s="11"/>
      <c r="F17" s="11"/>
      <c r="G17" s="19" t="n">
        <v>3</v>
      </c>
      <c r="H17" s="19" t="n">
        <v>5</v>
      </c>
      <c r="I17" s="58" t="n">
        <v>1</v>
      </c>
      <c r="J17" s="16" t="str">
        <f aca="false">IF(OR(G17="",H17=""),"",IF(G17&gt;=3,IF(H17&gt;=3,"Manage closely","Keep satisfied"),IF(H17&gt;=3,"Keep informed","Monitor")))</f>
        <v>Manage closely</v>
      </c>
      <c r="K17" s="11" t="s">
        <v>1045</v>
      </c>
    </row>
    <row r="18" customFormat="false" ht="15" hidden="false" customHeight="true" outlineLevel="0" collapsed="false">
      <c r="A18" s="11" t="s">
        <v>1046</v>
      </c>
      <c r="B18" s="11"/>
      <c r="C18" s="11"/>
      <c r="D18" s="11"/>
      <c r="E18" s="11"/>
      <c r="F18" s="11"/>
      <c r="G18" s="19" t="n">
        <v>4</v>
      </c>
      <c r="H18" s="19" t="n">
        <v>4</v>
      </c>
      <c r="I18" s="58" t="n">
        <v>2</v>
      </c>
      <c r="J18" s="16" t="str">
        <f aca="false">IF(OR(G18="",H18=""),"",IF(G18&gt;=3,IF(H18&gt;=3,"Manage closely","Keep satisfied"),IF(H18&gt;=3,"Keep informed","Monitor")))</f>
        <v>Manage closely</v>
      </c>
      <c r="K18" s="11" t="s">
        <v>1047</v>
      </c>
    </row>
    <row r="19" customFormat="false" ht="15" hidden="false" customHeight="true" outlineLevel="0" collapsed="false">
      <c r="A19" s="11" t="s">
        <v>1048</v>
      </c>
      <c r="B19" s="11"/>
      <c r="C19" s="11"/>
      <c r="D19" s="11"/>
      <c r="E19" s="11"/>
      <c r="F19" s="11"/>
      <c r="G19" s="19" t="n">
        <v>3</v>
      </c>
      <c r="H19" s="19" t="n">
        <v>4</v>
      </c>
      <c r="I19" s="58" t="n">
        <v>0</v>
      </c>
      <c r="J19" s="16" t="str">
        <f aca="false">IF(OR(G19="",H19=""),"",IF(G19&gt;=3,IF(H19&gt;=3,"Manage closely","Keep satisfied"),IF(H19&gt;=3,"Keep informed","Monitor")))</f>
        <v>Manage closely</v>
      </c>
      <c r="K19" s="11" t="s">
        <v>1049</v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9"/>
      <c r="H20" s="19"/>
      <c r="I20" s="58"/>
      <c r="J20" s="16" t="str">
        <f aca="false">IF(OR(G20="",H20=""),"",IF(G20&gt;=3,IF(H20&gt;=3,"Manage closely","Keep satisfied"),IF(H20&gt;=3,"Keep informed","Monitor")))</f>
        <v/>
      </c>
      <c r="K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9"/>
      <c r="H21" s="19"/>
      <c r="I21" s="58"/>
      <c r="J21" s="16" t="str">
        <f aca="false">IF(OR(G21="",H21=""),"",IF(G21&gt;=3,IF(H21&gt;=3,"Manage closely","Keep satisfied"),IF(H21&gt;=3,"Keep informed","Monitor")))</f>
        <v/>
      </c>
      <c r="K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9"/>
      <c r="H22" s="19"/>
      <c r="I22" s="58"/>
      <c r="J22" s="16" t="str">
        <f aca="false">IF(OR(G22="",H22=""),"",IF(G22&gt;=3,IF(H22&gt;=3,"Manage closely","Keep satisfied"),IF(H22&gt;=3,"Keep informed","Monitor")))</f>
        <v/>
      </c>
      <c r="K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9"/>
      <c r="H23" s="19"/>
      <c r="I23" s="58"/>
      <c r="J23" s="16" t="str">
        <f aca="false">IF(OR(G23="",H23=""),"",IF(G23&gt;=3,IF(H23&gt;=3,"Manage closely","Keep satisfied"),IF(H23&gt;=3,"Keep informed","Monitor")))</f>
        <v/>
      </c>
      <c r="K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9"/>
      <c r="H24" s="19"/>
      <c r="I24" s="58"/>
      <c r="J24" s="16" t="str">
        <f aca="false">IF(OR(G24="",H24=""),"",IF(G24&gt;=3,IF(H24&gt;=3,"Manage closely","Keep satisfied"),IF(H24&gt;=3,"Keep informed","Monitor")))</f>
        <v/>
      </c>
      <c r="K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9"/>
      <c r="H25" s="19"/>
      <c r="I25" s="58"/>
      <c r="J25" s="16" t="str">
        <f aca="false">IF(OR(G25="",H25=""),"",IF(G25&gt;=3,IF(H25&gt;=3,"Manage closely","Keep satisfied"),IF(H25&gt;=3,"Keep informed","Monitor")))</f>
        <v/>
      </c>
      <c r="K25" s="11"/>
    </row>
  </sheetData>
  <mergeCells count="11"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</mergeCells>
  <dataValidations count="2">
    <dataValidation allowBlank="true" error="Enter a whole number from 1 to 5." errorStyle="stop" errorTitle="Strat-IQ" operator="between" showDropDown="false" showErrorMessage="false" showInputMessage="false" sqref="G16:H25" type="whole">
      <formula1>1</formula1>
      <formula2>5</formula2>
    </dataValidation>
    <dataValidation allowBlank="true" error="Enter a whole number from -2 to 2." errorStyle="stop" errorTitle="Strat-IQ" operator="between" showDropDown="false" showErrorMessage="false" showInputMessage="false" sqref="I16:I25" type="whole">
      <formula1>-2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19" min="5" style="0" width="3.2"/>
    <col collapsed="false" customWidth="true" hidden="false" outlineLevel="0" max="20" min="20" style="0" width="4"/>
  </cols>
  <sheetData>
    <row r="1" customFormat="false" ht="19.7" hidden="false" customHeight="false" outlineLevel="0" collapsed="false">
      <c r="A1" s="7" t="s">
        <v>1050</v>
      </c>
    </row>
    <row r="2" customFormat="false" ht="15" hidden="false" customHeight="false" outlineLevel="0" collapsed="false">
      <c r="A2" s="3" t="s">
        <v>1051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1052</v>
      </c>
      <c r="B5" s="12" t="s">
        <v>940</v>
      </c>
      <c r="C5" s="12" t="s">
        <v>1053</v>
      </c>
      <c r="D5" s="12" t="s">
        <v>1054</v>
      </c>
      <c r="E5" s="12" t="s">
        <v>1055</v>
      </c>
      <c r="F5" s="12" t="s">
        <v>1056</v>
      </c>
      <c r="G5" s="12" t="s">
        <v>1057</v>
      </c>
      <c r="H5" s="12" t="s">
        <v>1058</v>
      </c>
      <c r="I5" s="12" t="s">
        <v>1059</v>
      </c>
      <c r="J5" s="12" t="s">
        <v>1060</v>
      </c>
      <c r="K5" s="12" t="s">
        <v>1061</v>
      </c>
      <c r="L5" s="12" t="s">
        <v>1062</v>
      </c>
      <c r="M5" s="12" t="s">
        <v>1063</v>
      </c>
      <c r="N5" s="12" t="s">
        <v>1064</v>
      </c>
      <c r="O5" s="12" t="s">
        <v>1065</v>
      </c>
      <c r="P5" s="12" t="s">
        <v>1066</v>
      </c>
      <c r="Q5" s="12" t="s">
        <v>1067</v>
      </c>
      <c r="R5" s="12" t="s">
        <v>1068</v>
      </c>
      <c r="S5" s="12" t="s">
        <v>1069</v>
      </c>
    </row>
    <row r="6" customFormat="false" ht="15" hidden="false" customHeight="false" outlineLevel="0" collapsed="false">
      <c r="A6" s="11" t="s">
        <v>1070</v>
      </c>
      <c r="B6" s="11" t="s">
        <v>1026</v>
      </c>
      <c r="C6" s="19" t="n">
        <v>1</v>
      </c>
      <c r="D6" s="19" t="n">
        <v>8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</row>
    <row r="7" customFormat="false" ht="15" hidden="false" customHeight="false" outlineLevel="0" collapsed="false">
      <c r="A7" s="11" t="s">
        <v>1071</v>
      </c>
      <c r="B7" s="11" t="s">
        <v>952</v>
      </c>
      <c r="C7" s="19" t="n">
        <v>4</v>
      </c>
      <c r="D7" s="19" t="n">
        <v>14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customFormat="false" ht="15" hidden="false" customHeight="false" outlineLevel="0" collapsed="false">
      <c r="A8" s="11" t="s">
        <v>1072</v>
      </c>
      <c r="B8" s="11" t="s">
        <v>1073</v>
      </c>
      <c r="C8" s="19" t="n">
        <v>2</v>
      </c>
      <c r="D8" s="19" t="n">
        <v>10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</row>
    <row r="9" customFormat="false" ht="15" hidden="false" customHeight="false" outlineLevel="0" collapsed="false">
      <c r="A9" s="11" t="s">
        <v>1074</v>
      </c>
      <c r="B9" s="11" t="s">
        <v>1075</v>
      </c>
      <c r="C9" s="19" t="n">
        <v>1</v>
      </c>
      <c r="D9" s="19" t="n">
        <v>6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</row>
    <row r="10" customFormat="false" ht="15" hidden="false" customHeight="false" outlineLevel="0" collapsed="false">
      <c r="A10" s="11"/>
      <c r="B10" s="11"/>
      <c r="C10" s="19"/>
      <c r="D10" s="1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</row>
    <row r="11" customFormat="false" ht="15" hidden="false" customHeight="false" outlineLevel="0" collapsed="false">
      <c r="A11" s="11"/>
      <c r="B11" s="11"/>
      <c r="C11" s="19"/>
      <c r="D11" s="1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customFormat="false" ht="15" hidden="false" customHeight="false" outlineLevel="0" collapsed="false">
      <c r="A12" s="11"/>
      <c r="B12" s="11"/>
      <c r="C12" s="19"/>
      <c r="D12" s="1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customFormat="false" ht="15" hidden="false" customHeight="false" outlineLevel="0" collapsed="false">
      <c r="A13" s="11"/>
      <c r="B13" s="11"/>
      <c r="C13" s="19"/>
      <c r="D13" s="1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</row>
    <row r="14" customFormat="false" ht="15" hidden="false" customHeight="false" outlineLevel="0" collapsed="false">
      <c r="A14" s="11"/>
      <c r="B14" s="11"/>
      <c r="C14" s="19"/>
      <c r="D14" s="1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</row>
    <row r="15" customFormat="false" ht="15" hidden="false" customHeight="false" outlineLevel="0" collapsed="false">
      <c r="A15" s="11"/>
      <c r="B15" s="11"/>
      <c r="C15" s="19"/>
      <c r="D15" s="1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customFormat="false" ht="15" hidden="false" customHeight="false" outlineLevel="0" collapsed="false">
      <c r="A16" s="11"/>
      <c r="B16" s="11"/>
      <c r="C16" s="19"/>
      <c r="D16" s="1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</row>
    <row r="17" customFormat="false" ht="15" hidden="false" customHeight="false" outlineLevel="0" collapsed="false">
      <c r="A17" s="11"/>
      <c r="B17" s="11"/>
      <c r="C17" s="19"/>
      <c r="D17" s="1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</row>
    <row r="20" customFormat="false" ht="15" hidden="false" customHeight="false" outlineLevel="0" collapsed="false">
      <c r="A20" s="17" t="s">
        <v>1076</v>
      </c>
    </row>
    <row r="21" customFormat="false" ht="30" hidden="false" customHeight="true" outlineLevel="0" collapsed="false">
      <c r="A21" s="12" t="s">
        <v>1077</v>
      </c>
      <c r="B21" s="12" t="s">
        <v>1078</v>
      </c>
      <c r="C21" s="12" t="s">
        <v>1079</v>
      </c>
      <c r="D21" s="12" t="s">
        <v>104</v>
      </c>
    </row>
    <row r="22" customFormat="false" ht="23.85" hidden="false" customHeight="false" outlineLevel="0" collapsed="false">
      <c r="A22" s="11" t="s">
        <v>1080</v>
      </c>
      <c r="B22" s="11" t="s">
        <v>1081</v>
      </c>
      <c r="C22" s="11" t="s">
        <v>1082</v>
      </c>
      <c r="D22" s="11" t="n">
        <v>2</v>
      </c>
    </row>
    <row r="23" customFormat="false" ht="23.85" hidden="false" customHeight="false" outlineLevel="0" collapsed="false">
      <c r="A23" s="11" t="s">
        <v>1083</v>
      </c>
      <c r="B23" s="11" t="s">
        <v>1084</v>
      </c>
      <c r="C23" s="11" t="s">
        <v>1085</v>
      </c>
      <c r="D23" s="11" t="n">
        <v>1</v>
      </c>
    </row>
    <row r="24" customFormat="false" ht="15" hidden="false" customHeight="false" outlineLevel="0" collapsed="false">
      <c r="A24" s="11" t="s">
        <v>1086</v>
      </c>
      <c r="B24" s="11" t="s">
        <v>1087</v>
      </c>
      <c r="C24" s="11" t="s">
        <v>1088</v>
      </c>
      <c r="D24" s="11" t="n">
        <v>10000</v>
      </c>
    </row>
    <row r="25" customFormat="false" ht="15" hidden="false" customHeight="false" outlineLevel="0" collapsed="false">
      <c r="A25" s="11"/>
      <c r="B25" s="11"/>
      <c r="C25" s="11"/>
      <c r="D25" s="11"/>
    </row>
    <row r="26" customFormat="false" ht="15" hidden="false" customHeight="false" outlineLevel="0" collapsed="false">
      <c r="A26" s="11"/>
      <c r="B26" s="11"/>
      <c r="C26" s="11"/>
      <c r="D26" s="11"/>
    </row>
    <row r="27" customFormat="false" ht="15" hidden="false" customHeight="false" outlineLevel="0" collapsed="false">
      <c r="A27" s="11"/>
      <c r="B27" s="11"/>
      <c r="C27" s="11"/>
      <c r="D27" s="11"/>
    </row>
    <row r="29" customFormat="false" ht="15" hidden="false" customHeight="false" outlineLevel="0" collapsed="false">
      <c r="A29" s="17" t="s">
        <v>1089</v>
      </c>
    </row>
    <row r="30" customFormat="false" ht="30" hidden="false" customHeight="true" outlineLevel="0" collapsed="false">
      <c r="A30" s="12" t="s">
        <v>1090</v>
      </c>
      <c r="B30" s="12" t="s">
        <v>1091</v>
      </c>
      <c r="C30" s="12" t="s">
        <v>1092</v>
      </c>
      <c r="D30" s="12" t="s">
        <v>1093</v>
      </c>
    </row>
    <row r="31" customFormat="false" ht="46.25" hidden="false" customHeight="false" outlineLevel="0" collapsed="false">
      <c r="A31" s="11" t="s">
        <v>1094</v>
      </c>
      <c r="B31" s="11" t="s">
        <v>1095</v>
      </c>
      <c r="C31" s="11" t="s">
        <v>1096</v>
      </c>
      <c r="D31" s="11" t="s">
        <v>1087</v>
      </c>
    </row>
    <row r="32" customFormat="false" ht="35.05" hidden="false" customHeight="false" outlineLevel="0" collapsed="false">
      <c r="A32" s="11" t="s">
        <v>1097</v>
      </c>
      <c r="B32" s="11" t="s">
        <v>1098</v>
      </c>
      <c r="C32" s="11" t="s">
        <v>1099</v>
      </c>
      <c r="D32" s="11" t="s">
        <v>1100</v>
      </c>
    </row>
    <row r="33" customFormat="false" ht="15" hidden="false" customHeight="false" outlineLevel="0" collapsed="false">
      <c r="A33" s="11"/>
      <c r="B33" s="11"/>
      <c r="C33" s="11"/>
      <c r="D33" s="11"/>
    </row>
    <row r="34" customFormat="false" ht="15" hidden="false" customHeight="false" outlineLevel="0" collapsed="false">
      <c r="A34" s="11"/>
      <c r="B34" s="11"/>
      <c r="C34" s="11"/>
      <c r="D34" s="11"/>
    </row>
  </sheetData>
  <conditionalFormatting sqref="E6:S6">
    <cfRule type="expression" priority="2" aboveAverage="0" equalAverage="0" bottom="0" percent="0" rank="0" text="" dxfId="3">
      <formula>AND(ISNUMBER($C6),ISNUMBER($D6),E$5*1&gt;=$C6,E$5*1&lt;=$D6)</formula>
    </cfRule>
  </conditionalFormatting>
  <conditionalFormatting sqref="E7:S7">
    <cfRule type="expression" priority="3" aboveAverage="0" equalAverage="0" bottom="0" percent="0" rank="0" text="" dxfId="3">
      <formula>AND(ISNUMBER($C7),ISNUMBER($D7),E$5*1&gt;=$C7,E$5*1&lt;=$D7)</formula>
    </cfRule>
  </conditionalFormatting>
  <conditionalFormatting sqref="E8:S8">
    <cfRule type="expression" priority="4" aboveAverage="0" equalAverage="0" bottom="0" percent="0" rank="0" text="" dxfId="3">
      <formula>AND(ISNUMBER($C8),ISNUMBER($D8),E$5*1&gt;=$C8,E$5*1&lt;=$D8)</formula>
    </cfRule>
  </conditionalFormatting>
  <conditionalFormatting sqref="E9:S9">
    <cfRule type="expression" priority="5" aboveAverage="0" equalAverage="0" bottom="0" percent="0" rank="0" text="" dxfId="3">
      <formula>AND(ISNUMBER($C9),ISNUMBER($D9),E$5*1&gt;=$C9,E$5*1&lt;=$D9)</formula>
    </cfRule>
  </conditionalFormatting>
  <conditionalFormatting sqref="E10:S10">
    <cfRule type="expression" priority="6" aboveAverage="0" equalAverage="0" bottom="0" percent="0" rank="0" text="" dxfId="3">
      <formula>AND(ISNUMBER($C10),ISNUMBER($D10),E$5*1&gt;=$C10,E$5*1&lt;=$D10)</formula>
    </cfRule>
  </conditionalFormatting>
  <conditionalFormatting sqref="E11:S11">
    <cfRule type="expression" priority="7" aboveAverage="0" equalAverage="0" bottom="0" percent="0" rank="0" text="" dxfId="3">
      <formula>AND(ISNUMBER($C11),ISNUMBER($D11),E$5*1&gt;=$C11,E$5*1&lt;=$D11)</formula>
    </cfRule>
  </conditionalFormatting>
  <conditionalFormatting sqref="E12:S12">
    <cfRule type="expression" priority="8" aboveAverage="0" equalAverage="0" bottom="0" percent="0" rank="0" text="" dxfId="3">
      <formula>AND(ISNUMBER($C12),ISNUMBER($D12),E$5*1&gt;=$C12,E$5*1&lt;=$D12)</formula>
    </cfRule>
  </conditionalFormatting>
  <conditionalFormatting sqref="E13:S13">
    <cfRule type="expression" priority="9" aboveAverage="0" equalAverage="0" bottom="0" percent="0" rank="0" text="" dxfId="3">
      <formula>AND(ISNUMBER($C13),ISNUMBER($D13),E$5*1&gt;=$C13,E$5*1&lt;=$D13)</formula>
    </cfRule>
  </conditionalFormatting>
  <conditionalFormatting sqref="E14:S14">
    <cfRule type="expression" priority="10" aboveAverage="0" equalAverage="0" bottom="0" percent="0" rank="0" text="" dxfId="3">
      <formula>AND(ISNUMBER($C14),ISNUMBER($D14),E$5*1&gt;=$C14,E$5*1&lt;=$D14)</formula>
    </cfRule>
  </conditionalFormatting>
  <conditionalFormatting sqref="E15:S15">
    <cfRule type="expression" priority="11" aboveAverage="0" equalAverage="0" bottom="0" percent="0" rank="0" text="" dxfId="3">
      <formula>AND(ISNUMBER($C15),ISNUMBER($D15),E$5*1&gt;=$C15,E$5*1&lt;=$D15)</formula>
    </cfRule>
  </conditionalFormatting>
  <conditionalFormatting sqref="E16:S16">
    <cfRule type="expression" priority="12" aboveAverage="0" equalAverage="0" bottom="0" percent="0" rank="0" text="" dxfId="3">
      <formula>AND(ISNUMBER($C16),ISNUMBER($D16),E$5*1&gt;=$C16,E$5*1&lt;=$D16)</formula>
    </cfRule>
  </conditionalFormatting>
  <conditionalFormatting sqref="E17:S17">
    <cfRule type="expression" priority="13" aboveAverage="0" equalAverage="0" bottom="0" percent="0" rank="0" text="" dxfId="3">
      <formula>AND(ISNUMBER($C17),ISNUMBER($D17),E$5*1&gt;=$C17,E$5*1&lt;=$D17)</formula>
    </cfRule>
  </conditionalFormatting>
  <dataValidations count="1">
    <dataValidation allowBlank="true" error="Enter a whole number from 1 to 15." errorStyle="stop" errorTitle="Strat-IQ" operator="between" showDropDown="false" showErrorMessage="false" showInputMessage="false" sqref="C6:D17" type="whole">
      <formula1>1</formula1>
      <formula2>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7" t="s">
        <v>64</v>
      </c>
    </row>
    <row r="2" customFormat="false" ht="15" hidden="false" customHeight="false" outlineLevel="0" collapsed="false">
      <c r="A2" s="3" t="s">
        <v>1101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1102</v>
      </c>
      <c r="B5" s="12" t="s">
        <v>1103</v>
      </c>
      <c r="C5" s="12" t="s">
        <v>1104</v>
      </c>
      <c r="D5" s="12" t="s">
        <v>1105</v>
      </c>
      <c r="E5" s="12" t="s">
        <v>1106</v>
      </c>
      <c r="F5" s="12" t="s">
        <v>104</v>
      </c>
      <c r="G5" s="12" t="s">
        <v>1107</v>
      </c>
      <c r="H5" s="12" t="s">
        <v>1108</v>
      </c>
      <c r="I5" s="12" t="s">
        <v>588</v>
      </c>
      <c r="J5" s="12" t="s">
        <v>940</v>
      </c>
      <c r="K5" s="12" t="s">
        <v>996</v>
      </c>
      <c r="L5" s="12" t="s">
        <v>997</v>
      </c>
    </row>
    <row r="6" customFormat="false" ht="15" hidden="false" customHeight="false" outlineLevel="0" collapsed="false">
      <c r="A6" s="11" t="s">
        <v>1109</v>
      </c>
      <c r="B6" s="11" t="s">
        <v>1110</v>
      </c>
      <c r="C6" s="11" t="s">
        <v>1111</v>
      </c>
      <c r="D6" s="11" t="s">
        <v>1112</v>
      </c>
      <c r="E6" s="11" t="s">
        <v>1113</v>
      </c>
      <c r="F6" s="60" t="n">
        <v>0.08</v>
      </c>
      <c r="G6" s="60" t="n">
        <v>0.06</v>
      </c>
      <c r="H6" s="44" t="n">
        <f aca="false">IF(AND(ISNUMBER(F6),ISNUMBER(G6),F6&lt;&gt;0,G6&lt;&gt;0),IF(E6="Lower",F6/G6,G6/F6),"")</f>
        <v>0.75</v>
      </c>
      <c r="I6" s="15" t="str">
        <f aca="false">IF(H6="",IF(C6="","","No actual yet"),IF(H6&gt;=1,"On target",IF(H6&gt;=0.9,"Caution","Below plan")))</f>
        <v>Below plan</v>
      </c>
      <c r="J6" s="11" t="s">
        <v>1025</v>
      </c>
      <c r="K6" s="11" t="s">
        <v>1009</v>
      </c>
      <c r="L6" s="11" t="s">
        <v>1114</v>
      </c>
    </row>
    <row r="7" customFormat="false" ht="15" hidden="false" customHeight="false" outlineLevel="0" collapsed="false">
      <c r="A7" s="11" t="s">
        <v>1115</v>
      </c>
      <c r="B7" s="11" t="s">
        <v>1116</v>
      </c>
      <c r="C7" s="11" t="s">
        <v>1117</v>
      </c>
      <c r="D7" s="11" t="s">
        <v>1112</v>
      </c>
      <c r="E7" s="11" t="s">
        <v>1113</v>
      </c>
      <c r="F7" s="60" t="n">
        <v>90</v>
      </c>
      <c r="G7" s="60" t="n">
        <v>74</v>
      </c>
      <c r="H7" s="44" t="n">
        <f aca="false">IF(AND(ISNUMBER(F7),ISNUMBER(G7),F7&lt;&gt;0,G7&lt;&gt;0),IF(E7="Lower",F7/G7,G7/F7),"")</f>
        <v>0.822222222222222</v>
      </c>
      <c r="I7" s="15" t="str">
        <f aca="false">IF(H7="",IF(C7="","","No actual yet"),IF(H7&gt;=1,"On target",IF(H7&gt;=0.9,"Caution","Below plan")))</f>
        <v>Below plan</v>
      </c>
      <c r="J7" s="11" t="s">
        <v>944</v>
      </c>
      <c r="K7" s="11" t="s">
        <v>1003</v>
      </c>
      <c r="L7" s="11" t="s">
        <v>1118</v>
      </c>
    </row>
    <row r="8" customFormat="false" ht="15" hidden="false" customHeight="false" outlineLevel="0" collapsed="false">
      <c r="A8" s="11" t="s">
        <v>1119</v>
      </c>
      <c r="B8" s="11" t="s">
        <v>1120</v>
      </c>
      <c r="C8" s="11" t="s">
        <v>1121</v>
      </c>
      <c r="D8" s="11" t="s">
        <v>1122</v>
      </c>
      <c r="E8" s="11" t="s">
        <v>1113</v>
      </c>
      <c r="F8" s="60" t="n">
        <v>0.5</v>
      </c>
      <c r="G8" s="60" t="n">
        <v>0.55</v>
      </c>
      <c r="H8" s="44" t="n">
        <f aca="false">IF(AND(ISNUMBER(F8),ISNUMBER(G8),F8&lt;&gt;0,G8&lt;&gt;0),IF(E8="Lower",F8/G8,G8/F8),"")</f>
        <v>1.1</v>
      </c>
      <c r="I8" s="15" t="str">
        <f aca="false">IF(H8="",IF(C8="","","No actual yet"),IF(H8&gt;=1,"On target",IF(H8&gt;=0.9,"Caution","Below plan")))</f>
        <v>On target</v>
      </c>
      <c r="J8" s="11" t="s">
        <v>952</v>
      </c>
      <c r="K8" s="11" t="s">
        <v>1007</v>
      </c>
      <c r="L8" s="11" t="s">
        <v>1123</v>
      </c>
    </row>
    <row r="9" customFormat="false" ht="15" hidden="false" customHeight="false" outlineLevel="0" collapsed="false">
      <c r="A9" s="11" t="s">
        <v>1124</v>
      </c>
      <c r="B9" s="11" t="s">
        <v>1125</v>
      </c>
      <c r="C9" s="11" t="s">
        <v>1126</v>
      </c>
      <c r="D9" s="11" t="s">
        <v>1122</v>
      </c>
      <c r="E9" s="11" t="s">
        <v>1113</v>
      </c>
      <c r="F9" s="60" t="n">
        <v>1200</v>
      </c>
      <c r="G9" s="60" t="n">
        <v>900</v>
      </c>
      <c r="H9" s="44" t="n">
        <f aca="false">IF(AND(ISNUMBER(F9),ISNUMBER(G9),F9&lt;&gt;0,G9&lt;&gt;0),IF(E9="Lower",F9/G9,G9/F9),"")</f>
        <v>0.75</v>
      </c>
      <c r="I9" s="15" t="str">
        <f aca="false">IF(H9="",IF(C9="","","No actual yet"),IF(H9&gt;=1,"On target",IF(H9&gt;=0.9,"Caution","Below plan")))</f>
        <v>Below plan</v>
      </c>
      <c r="J9" s="11" t="s">
        <v>1127</v>
      </c>
      <c r="K9" s="11" t="s">
        <v>1011</v>
      </c>
      <c r="L9" s="11" t="s">
        <v>1128</v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60"/>
      <c r="G10" s="60"/>
      <c r="H10" s="44" t="str">
        <f aca="false">IF(AND(ISNUMBER(F10),ISNUMBER(G10),F10&lt;&gt;0,G10&lt;&gt;0),IF(E10="Lower",F10/G10,G10/F10),"")</f>
        <v/>
      </c>
      <c r="I10" s="15" t="str">
        <f aca="false">IF(H10="",IF(C10="","","No actual yet"),IF(H10&gt;=1,"On target",IF(H10&gt;=0.9,"Caution","Below plan")))</f>
        <v/>
      </c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60"/>
      <c r="G11" s="60"/>
      <c r="H11" s="44" t="str">
        <f aca="false">IF(AND(ISNUMBER(F11),ISNUMBER(G11),F11&lt;&gt;0,G11&lt;&gt;0),IF(E11="Lower",F11/G11,G11/F11),"")</f>
        <v/>
      </c>
      <c r="I11" s="15" t="str">
        <f aca="false">IF(H11="",IF(C11="","","No actual yet"),IF(H11&gt;=1,"On target",IF(H11&gt;=0.9,"Caution","Below plan")))</f>
        <v/>
      </c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60"/>
      <c r="G12" s="60"/>
      <c r="H12" s="44" t="str">
        <f aca="false">IF(AND(ISNUMBER(F12),ISNUMBER(G12),F12&lt;&gt;0,G12&lt;&gt;0),IF(E12="Lower",F12/G12,G12/F12),"")</f>
        <v/>
      </c>
      <c r="I12" s="15" t="str">
        <f aca="false">IF(H12="",IF(C12="","","No actual yet"),IF(H12&gt;=1,"On target",IF(H12&gt;=0.9,"Caution","Below plan")))</f>
        <v/>
      </c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60"/>
      <c r="G13" s="60"/>
      <c r="H13" s="44" t="str">
        <f aca="false">IF(AND(ISNUMBER(F13),ISNUMBER(G13),F13&lt;&gt;0,G13&lt;&gt;0),IF(E13="Lower",F13/G13,G13/F13),"")</f>
        <v/>
      </c>
      <c r="I13" s="15" t="str">
        <f aca="false">IF(H13="",IF(C13="","","No actual yet"),IF(H13&gt;=1,"On target",IF(H13&gt;=0.9,"Caution","Below plan")))</f>
        <v/>
      </c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60"/>
      <c r="G14" s="60"/>
      <c r="H14" s="44" t="str">
        <f aca="false">IF(AND(ISNUMBER(F14),ISNUMBER(G14),F14&lt;&gt;0,G14&lt;&gt;0),IF(E14="Lower",F14/G14,G14/F14),"")</f>
        <v/>
      </c>
      <c r="I14" s="15" t="str">
        <f aca="false">IF(H14="",IF(C14="","","No actual yet"),IF(H14&gt;=1,"On target",IF(H14&gt;=0.9,"Caution","Below plan")))</f>
        <v/>
      </c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60"/>
      <c r="G15" s="60"/>
      <c r="H15" s="44" t="str">
        <f aca="false">IF(AND(ISNUMBER(F15),ISNUMBER(G15),F15&lt;&gt;0,G15&lt;&gt;0),IF(E15="Lower",F15/G15,G15/F15),"")</f>
        <v/>
      </c>
      <c r="I15" s="15" t="str">
        <f aca="false">IF(H15="",IF(C15="","","No actual yet"),IF(H15&gt;=1,"On target",IF(H15&gt;=0.9,"Caution","Below plan")))</f>
        <v/>
      </c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60"/>
      <c r="G16" s="60"/>
      <c r="H16" s="44" t="str">
        <f aca="false">IF(AND(ISNUMBER(F16),ISNUMBER(G16),F16&lt;&gt;0,G16&lt;&gt;0),IF(E16="Lower",F16/G16,G16/F16),"")</f>
        <v/>
      </c>
      <c r="I16" s="15" t="str">
        <f aca="false">IF(H16="",IF(C16="","","No actual yet"),IF(H16&gt;=1,"On target",IF(H16&gt;=0.9,"Caution","Below plan")))</f>
        <v/>
      </c>
      <c r="J16" s="11"/>
      <c r="K16" s="11"/>
      <c r="L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60"/>
      <c r="G17" s="60"/>
      <c r="H17" s="44" t="str">
        <f aca="false">IF(AND(ISNUMBER(F17),ISNUMBER(G17),F17&lt;&gt;0,G17&lt;&gt;0),IF(E17="Lower",F17/G17,G17/F17),"")</f>
        <v/>
      </c>
      <c r="I17" s="15" t="str">
        <f aca="false">IF(H17="",IF(C17="","","No actual yet"),IF(H17&gt;=1,"On target",IF(H17&gt;=0.9,"Caution","Below plan")))</f>
        <v/>
      </c>
      <c r="J17" s="11"/>
      <c r="K17" s="11"/>
      <c r="L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60"/>
      <c r="G18" s="60"/>
      <c r="H18" s="44" t="str">
        <f aca="false">IF(AND(ISNUMBER(F18),ISNUMBER(G18),F18&lt;&gt;0,G18&lt;&gt;0),IF(E18="Lower",F18/G18,G18/F18),"")</f>
        <v/>
      </c>
      <c r="I18" s="15" t="str">
        <f aca="false">IF(H18="",IF(C18="","","No actual yet"),IF(H18&gt;=1,"On target",IF(H18&gt;=0.9,"Caution","Below plan")))</f>
        <v/>
      </c>
      <c r="J18" s="11"/>
      <c r="K18" s="11"/>
      <c r="L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60"/>
      <c r="G19" s="60"/>
      <c r="H19" s="44" t="str">
        <f aca="false">IF(AND(ISNUMBER(F19),ISNUMBER(G19),F19&lt;&gt;0,G19&lt;&gt;0),IF(E19="Lower",F19/G19,G19/F19),"")</f>
        <v/>
      </c>
      <c r="I19" s="15" t="str">
        <f aca="false">IF(H19="",IF(C19="","","No actual yet"),IF(H19&gt;=1,"On target",IF(H19&gt;=0.9,"Caution","Below plan")))</f>
        <v/>
      </c>
      <c r="J19" s="11"/>
      <c r="K19" s="11"/>
      <c r="L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60"/>
      <c r="G20" s="60"/>
      <c r="H20" s="44" t="str">
        <f aca="false">IF(AND(ISNUMBER(F20),ISNUMBER(G20),F20&lt;&gt;0,G20&lt;&gt;0),IF(E20="Lower",F20/G20,G20/F20),"")</f>
        <v/>
      </c>
      <c r="I20" s="15" t="str">
        <f aca="false">IF(H20="",IF(C20="","","No actual yet"),IF(H20&gt;=1,"On target",IF(H20&gt;=0.9,"Caution","Below plan")))</f>
        <v/>
      </c>
      <c r="J20" s="11"/>
      <c r="K20" s="11"/>
      <c r="L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60"/>
      <c r="G21" s="60"/>
      <c r="H21" s="44" t="str">
        <f aca="false">IF(AND(ISNUMBER(F21),ISNUMBER(G21),F21&lt;&gt;0,G21&lt;&gt;0),IF(E21="Lower",F21/G21,G21/F21),"")</f>
        <v/>
      </c>
      <c r="I21" s="15" t="str">
        <f aca="false">IF(H21="",IF(C21="","","No actual yet"),IF(H21&gt;=1,"On target",IF(H21&gt;=0.9,"Caution","Below plan")))</f>
        <v/>
      </c>
      <c r="J21" s="11"/>
      <c r="K21" s="11"/>
      <c r="L21" s="11"/>
    </row>
    <row r="23" customFormat="false" ht="15" hidden="false" customHeight="false" outlineLevel="0" collapsed="false">
      <c r="A23" s="20" t="s">
        <v>1129</v>
      </c>
    </row>
    <row r="24" customFormat="false" ht="15" hidden="false" customHeight="false" outlineLevel="0" collapsed="false">
      <c r="B24" s="5" t="s">
        <v>1109</v>
      </c>
      <c r="C24" s="26" t="n">
        <f aca="false">COUNTIFS($A$6:$A$21,B24,$C$6:$C$21,"&lt;&gt;")</f>
        <v>1</v>
      </c>
      <c r="D24" s="15" t="str">
        <f aca="false">IF(C24=0,"Add a measure","OK")</f>
        <v>OK</v>
      </c>
    </row>
    <row r="25" customFormat="false" ht="15" hidden="false" customHeight="false" outlineLevel="0" collapsed="false">
      <c r="B25" s="5" t="s">
        <v>1115</v>
      </c>
      <c r="C25" s="26" t="n">
        <f aca="false">COUNTIFS($A$6:$A$21,B25,$C$6:$C$21,"&lt;&gt;")</f>
        <v>1</v>
      </c>
      <c r="D25" s="15" t="str">
        <f aca="false">IF(C25=0,"Add a measure","OK")</f>
        <v>OK</v>
      </c>
    </row>
    <row r="26" customFormat="false" ht="15" hidden="false" customHeight="false" outlineLevel="0" collapsed="false">
      <c r="B26" s="5" t="s">
        <v>1119</v>
      </c>
      <c r="C26" s="26" t="n">
        <f aca="false">COUNTIFS($A$6:$A$21,B26,$C$6:$C$21,"&lt;&gt;")</f>
        <v>1</v>
      </c>
      <c r="D26" s="15" t="str">
        <f aca="false">IF(C26=0,"Add a measure","OK")</f>
        <v>OK</v>
      </c>
    </row>
    <row r="27" customFormat="false" ht="15" hidden="false" customHeight="false" outlineLevel="0" collapsed="false">
      <c r="B27" s="5" t="s">
        <v>1124</v>
      </c>
      <c r="C27" s="26" t="n">
        <f aca="false">COUNTIFS($A$6:$A$21,B27,$C$6:$C$21,"&lt;&gt;")</f>
        <v>1</v>
      </c>
      <c r="D27" s="15" t="str">
        <f aca="false">IF(C27=0,"Add a measure","OK")</f>
        <v>OK</v>
      </c>
    </row>
    <row r="29" customFormat="false" ht="15" hidden="false" customHeight="false" outlineLevel="0" collapsed="false">
      <c r="B29" s="5" t="s">
        <v>1130</v>
      </c>
      <c r="C29" s="26" t="n">
        <f aca="false">COUNTA(C6:C21)</f>
        <v>4</v>
      </c>
    </row>
    <row r="30" customFormat="false" ht="15" hidden="false" customHeight="false" outlineLevel="0" collapsed="false">
      <c r="B30" s="5" t="s">
        <v>1131</v>
      </c>
      <c r="C30" s="44" t="n">
        <f aca="false">IF(C29=0,"",COUNTIFS(D6:D21,"Leading",C6:C21,"&lt;&gt;")/C29)</f>
        <v>0.5</v>
      </c>
      <c r="D30" s="15" t="str">
        <f aca="false">IF(C30="","",IF(C30&gt;=1/3,"OK","Add leading measures"))</f>
        <v>OK</v>
      </c>
    </row>
    <row r="31" customFormat="false" ht="15" hidden="false" customHeight="false" outlineLevel="0" collapsed="false">
      <c r="B31" s="5" t="s">
        <v>1132</v>
      </c>
      <c r="C31" s="26" t="n">
        <f aca="false">SUMPRODUCT((C6:C21&lt;&gt;"")*(J6:J21=""))</f>
        <v>0</v>
      </c>
    </row>
  </sheetData>
  <conditionalFormatting sqref="I6:I21">
    <cfRule type="expression" priority="2" aboveAverage="0" equalAverage="0" bottom="0" percent="0" rank="0" text="" dxfId="0">
      <formula>I6="On target"</formula>
    </cfRule>
    <cfRule type="expression" priority="3" aboveAverage="0" equalAverage="0" bottom="0" percent="0" rank="0" text="" dxfId="1">
      <formula>I6="Caution"</formula>
    </cfRule>
    <cfRule type="expression" priority="4" aboveAverage="0" equalAverage="0" bottom="0" percent="0" rank="0" text="" dxfId="2">
      <formula>I6="Below plan"</formula>
    </cfRule>
  </conditionalFormatting>
  <conditionalFormatting sqref="D24">
    <cfRule type="expression" priority="5" aboveAverage="0" equalAverage="0" bottom="0" percent="0" rank="0" text="" dxfId="0">
      <formula>D24="OK"</formula>
    </cfRule>
    <cfRule type="expression" priority="6" aboveAverage="0" equalAverage="0" bottom="0" percent="0" rank="0" text="" dxfId="1">
      <formula>0</formula>
    </cfRule>
    <cfRule type="expression" priority="7" aboveAverage="0" equalAverage="0" bottom="0" percent="0" rank="0" text="" dxfId="2">
      <formula>D24="Add a measure"</formula>
    </cfRule>
  </conditionalFormatting>
  <conditionalFormatting sqref="D25">
    <cfRule type="expression" priority="8" aboveAverage="0" equalAverage="0" bottom="0" percent="0" rank="0" text="" dxfId="0">
      <formula>D25="OK"</formula>
    </cfRule>
    <cfRule type="expression" priority="9" aboveAverage="0" equalAverage="0" bottom="0" percent="0" rank="0" text="" dxfId="1">
      <formula>0</formula>
    </cfRule>
    <cfRule type="expression" priority="10" aboveAverage="0" equalAverage="0" bottom="0" percent="0" rank="0" text="" dxfId="2">
      <formula>D25="Add a measure"</formula>
    </cfRule>
  </conditionalFormatting>
  <conditionalFormatting sqref="D26">
    <cfRule type="expression" priority="11" aboveAverage="0" equalAverage="0" bottom="0" percent="0" rank="0" text="" dxfId="0">
      <formula>D26="OK"</formula>
    </cfRule>
    <cfRule type="expression" priority="12" aboveAverage="0" equalAverage="0" bottom="0" percent="0" rank="0" text="" dxfId="1">
      <formula>0</formula>
    </cfRule>
    <cfRule type="expression" priority="13" aboveAverage="0" equalAverage="0" bottom="0" percent="0" rank="0" text="" dxfId="2">
      <formula>D26="Add a measure"</formula>
    </cfRule>
  </conditionalFormatting>
  <conditionalFormatting sqref="D27">
    <cfRule type="expression" priority="14" aboveAverage="0" equalAverage="0" bottom="0" percent="0" rank="0" text="" dxfId="0">
      <formula>D27="OK"</formula>
    </cfRule>
    <cfRule type="expression" priority="15" aboveAverage="0" equalAverage="0" bottom="0" percent="0" rank="0" text="" dxfId="1">
      <formula>0</formula>
    </cfRule>
    <cfRule type="expression" priority="16" aboveAverage="0" equalAverage="0" bottom="0" percent="0" rank="0" text="" dxfId="2">
      <formula>D27="Add a measure"</formula>
    </cfRule>
  </conditionalFormatting>
  <conditionalFormatting sqref="D30">
    <cfRule type="expression" priority="17" aboveAverage="0" equalAverage="0" bottom="0" percent="0" rank="0" text="" dxfId="0">
      <formula>D30="OK"</formula>
    </cfRule>
    <cfRule type="expression" priority="18" aboveAverage="0" equalAverage="0" bottom="0" percent="0" rank="0" text="" dxfId="1">
      <formula>0</formula>
    </cfRule>
    <cfRule type="expression" priority="19" aboveAverage="0" equalAverage="0" bottom="0" percent="0" rank="0" text="" dxfId="2">
      <formula>D30="Add leading measures"</formula>
    </cfRule>
  </conditionalFormatting>
  <dataValidations count="3">
    <dataValidation allowBlank="true" errorStyle="stop" operator="between" showDropDown="false" showErrorMessage="false" showInputMessage="false" sqref="A6:A21" type="list">
      <formula1>"Financial,Customer,Internal process,Learning and growth"</formula1>
      <formula2>0</formula2>
    </dataValidation>
    <dataValidation allowBlank="true" errorStyle="stop" operator="between" showDropDown="false" showErrorMessage="false" showInputMessage="false" sqref="D6:D21" type="list">
      <formula1>"Leading,Lagging"</formula1>
      <formula2>0</formula2>
    </dataValidation>
    <dataValidation allowBlank="true" errorStyle="stop" operator="between" showDropDown="false" showErrorMessage="false" showInputMessage="false" sqref="E6:E21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7" t="s">
        <v>66</v>
      </c>
    </row>
    <row r="2" customFormat="false" ht="15" hidden="false" customHeight="false" outlineLevel="0" collapsed="false">
      <c r="A2" s="3" t="s">
        <v>1133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332</v>
      </c>
      <c r="B5" s="12" t="s">
        <v>1102</v>
      </c>
      <c r="C5" s="12" t="s">
        <v>1103</v>
      </c>
      <c r="D5" s="12" t="s">
        <v>1134</v>
      </c>
      <c r="E5" s="12" t="s">
        <v>1135</v>
      </c>
    </row>
    <row r="6" customFormat="false" ht="15" hidden="false" customHeight="false" outlineLevel="0" collapsed="false">
      <c r="A6" s="11" t="s">
        <v>1136</v>
      </c>
      <c r="B6" s="11" t="s">
        <v>1109</v>
      </c>
      <c r="C6" s="11" t="s">
        <v>1110</v>
      </c>
      <c r="D6" s="11"/>
      <c r="E6" s="15" t="str">
        <f aca="false">IF(A6="","",IF(AND(B6&lt;&gt;"Financial",D6=""),"Drives nothing",IF(AND(B6&lt;&gt;"Learning and growth",COUNTIF($D$6:$D$21,"*"&amp;A6&amp;"*")=0),"Nothing drives it","OK")))</f>
        <v>OK</v>
      </c>
    </row>
    <row r="7" customFormat="false" ht="15" hidden="false" customHeight="false" outlineLevel="0" collapsed="false">
      <c r="A7" s="11" t="s">
        <v>572</v>
      </c>
      <c r="B7" s="11" t="s">
        <v>1115</v>
      </c>
      <c r="C7" s="11" t="s">
        <v>1116</v>
      </c>
      <c r="D7" s="11" t="s">
        <v>1136</v>
      </c>
      <c r="E7" s="15" t="str">
        <f aca="false">IF(A7="","",IF(AND(B7&lt;&gt;"Financial",D7=""),"Drives nothing",IF(AND(B7&lt;&gt;"Learning and growth",COUNTIF($D$6:$D$21,"*"&amp;A7&amp;"*")=0),"Nothing drives it","OK")))</f>
        <v>OK</v>
      </c>
    </row>
    <row r="8" customFormat="false" ht="15" hidden="false" customHeight="false" outlineLevel="0" collapsed="false">
      <c r="A8" s="11" t="s">
        <v>1003</v>
      </c>
      <c r="B8" s="11" t="s">
        <v>1119</v>
      </c>
      <c r="C8" s="11" t="s">
        <v>1120</v>
      </c>
      <c r="D8" s="11" t="s">
        <v>572</v>
      </c>
      <c r="E8" s="15" t="str">
        <f aca="false">IF(A8="","",IF(AND(B8&lt;&gt;"Financial",D8=""),"Drives nothing",IF(AND(B8&lt;&gt;"Learning and growth",COUNTIF($D$6:$D$21,"*"&amp;A8&amp;"*")=0),"Nothing drives it","OK")))</f>
        <v>OK</v>
      </c>
    </row>
    <row r="9" customFormat="false" ht="15" hidden="false" customHeight="false" outlineLevel="0" collapsed="false">
      <c r="A9" s="11" t="s">
        <v>1137</v>
      </c>
      <c r="B9" s="11" t="s">
        <v>1124</v>
      </c>
      <c r="C9" s="11" t="s">
        <v>1125</v>
      </c>
      <c r="D9" s="11" t="s">
        <v>1003</v>
      </c>
      <c r="E9" s="15" t="str">
        <f aca="false">IF(A9="","",IF(AND(B9&lt;&gt;"Financial",D9=""),"Drives nothing",IF(AND(B9&lt;&gt;"Learning and growth",COUNTIF($D$6:$D$21,"*"&amp;A9&amp;"*")=0),"Nothing drives it","OK")))</f>
        <v>OK</v>
      </c>
    </row>
    <row r="10" customFormat="false" ht="15" hidden="false" customHeight="false" outlineLevel="0" collapsed="false">
      <c r="A10" s="11"/>
      <c r="B10" s="11"/>
      <c r="C10" s="11"/>
      <c r="D10" s="11"/>
      <c r="E10" s="15" t="str">
        <f aca="false">IF(A10="","",IF(AND(B10&lt;&gt;"Financial",D10=""),"Drives nothing",IF(AND(B10&lt;&gt;"Learning and growth",COUNTIF($D$6:$D$21,"*"&amp;A10&amp;"*")=0),"Nothing drives it","OK")))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5" t="str">
        <f aca="false">IF(A11="","",IF(AND(B11&lt;&gt;"Financial",D11=""),"Drives nothing",IF(AND(B11&lt;&gt;"Learning and growth",COUNTIF($D$6:$D$21,"*"&amp;A11&amp;"*")=0),"Nothing drives it","OK")))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5" t="str">
        <f aca="false">IF(A12="","",IF(AND(B12&lt;&gt;"Financial",D12=""),"Drives nothing",IF(AND(B12&lt;&gt;"Learning and growth",COUNTIF($D$6:$D$21,"*"&amp;A12&amp;"*")=0),"Nothing drives it","OK")))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5" t="str">
        <f aca="false">IF(A13="","",IF(AND(B13&lt;&gt;"Financial",D13=""),"Drives nothing",IF(AND(B13&lt;&gt;"Learning and growth",COUNTIF($D$6:$D$21,"*"&amp;A13&amp;"*")=0),"Nothing drives it","OK")))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5" t="str">
        <f aca="false">IF(A14="","",IF(AND(B14&lt;&gt;"Financial",D14=""),"Drives nothing",IF(AND(B14&lt;&gt;"Learning and growth",COUNTIF($D$6:$D$21,"*"&amp;A14&amp;"*")=0),"Nothing drives it","OK")))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5" t="str">
        <f aca="false">IF(A15="","",IF(AND(B15&lt;&gt;"Financial",D15=""),"Drives nothing",IF(AND(B15&lt;&gt;"Learning and growth",COUNTIF($D$6:$D$21,"*"&amp;A15&amp;"*")=0),"Nothing drives it","OK")))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5" t="str">
        <f aca="false">IF(A16="","",IF(AND(B16&lt;&gt;"Financial",D16=""),"Drives nothing",IF(AND(B16&lt;&gt;"Learning and growth",COUNTIF($D$6:$D$21,"*"&amp;A16&amp;"*")=0),"Nothing drives it","OK")))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5" t="str">
        <f aca="false">IF(A17="","",IF(AND(B17&lt;&gt;"Financial",D17=""),"Drives nothing",IF(AND(B17&lt;&gt;"Learning and growth",COUNTIF($D$6:$D$21,"*"&amp;A17&amp;"*")=0),"Nothing drives it","OK")))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5" t="str">
        <f aca="false">IF(A18="","",IF(AND(B18&lt;&gt;"Financial",D18=""),"Drives nothing",IF(AND(B18&lt;&gt;"Learning and growth",COUNTIF($D$6:$D$21,"*"&amp;A18&amp;"*")=0),"Nothing drives it","OK")))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5" t="str">
        <f aca="false">IF(A19="","",IF(AND(B19&lt;&gt;"Financial",D19=""),"Drives nothing",IF(AND(B19&lt;&gt;"Learning and growth",COUNTIF($D$6:$D$21,"*"&amp;A19&amp;"*")=0),"Nothing drives it","OK")))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5" t="str">
        <f aca="false">IF(A20="","",IF(AND(B20&lt;&gt;"Financial",D20=""),"Drives nothing",IF(AND(B20&lt;&gt;"Learning and growth",COUNTIF($D$6:$D$21,"*"&amp;A20&amp;"*")=0),"Nothing drives it","OK")))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5" t="str">
        <f aca="false">IF(A21="","",IF(AND(B21&lt;&gt;"Financial",D21=""),"Drives nothing",IF(AND(B21&lt;&gt;"Learning and growth",COUNTIF($D$6:$D$21,"*"&amp;A21&amp;"*")=0),"Nothing drives it","OK")))</f>
        <v/>
      </c>
    </row>
  </sheetData>
  <conditionalFormatting sqref="E6:E21">
    <cfRule type="expression" priority="2" aboveAverage="0" equalAverage="0" bottom="0" percent="0" rank="0" text="" dxfId="0">
      <formula>E6="OK"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OR(E6="Drives nothing",E6="Nothing drives it")</formula>
    </cfRule>
  </conditionalFormatting>
  <dataValidations count="1">
    <dataValidation allowBlank="true" errorStyle="stop" operator="between" showDropDown="false" showErrorMessage="false" showInputMessage="false" sqref="B6:B21" type="list">
      <formula1>"Financial,Customer,Internal process,Learning and 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7" t="s">
        <v>1138</v>
      </c>
    </row>
    <row r="2" customFormat="false" ht="15" hidden="false" customHeight="false" outlineLevel="0" collapsed="false">
      <c r="A2" s="3" t="s">
        <v>1139</v>
      </c>
    </row>
    <row r="3" customFormat="false" ht="15" hidden="false" customHeight="false" outlineLevel="0" collapsed="false">
      <c r="A3" s="8" t="s">
        <v>85</v>
      </c>
    </row>
    <row r="4" customFormat="false" ht="15" hidden="false" customHeight="false" outlineLevel="0" collapsed="false">
      <c r="A4" s="3" t="s">
        <v>1140</v>
      </c>
    </row>
    <row r="5" customFormat="false" ht="30" hidden="false" customHeight="true" outlineLevel="0" collapsed="false">
      <c r="A5" s="12" t="s">
        <v>256</v>
      </c>
      <c r="B5" s="12" t="s">
        <v>1141</v>
      </c>
      <c r="C5" s="12" t="s">
        <v>1142</v>
      </c>
      <c r="D5" s="12" t="s">
        <v>1143</v>
      </c>
      <c r="E5" s="12" t="s">
        <v>1144</v>
      </c>
      <c r="F5" s="12" t="s">
        <v>1145</v>
      </c>
      <c r="G5" s="12" t="s">
        <v>1146</v>
      </c>
    </row>
    <row r="6" customFormat="false" ht="15" hidden="false" customHeight="false" outlineLevel="0" collapsed="false">
      <c r="A6" s="11"/>
      <c r="B6" s="11"/>
      <c r="C6" s="38"/>
      <c r="D6" s="28"/>
      <c r="E6" s="28"/>
      <c r="F6" s="19"/>
      <c r="G6" s="15" t="str">
        <f aca="false">IF(OR(A6="",B6="",C6="",D6="",E6=""),"",IFERROR(IF(C6&gt;SUMPRODUCT(($B$6:$B$29=B6)*$C$6:$C$29*$E$6:$E$29)/SUMIF($B$6:$B$29,B6,$E$6:$E$29),IF(D6&gt;=SUMPRODUCT(($B$6:$B$29=B6)*$D$6:$D$29*$E$6:$E$29)/SUMIF($B$6:$B$29,B6,$E$6:$E$29),"Premium differentiator","Stuck in the middle"),IF(D6&gt;=SUMPRODUCT(($B$6:$B$29=B6)*$D$6:$D$29*$E$6:$E$29)/SUMIF($B$6:$B$29,B6,$E$6:$E$29),"Value leader","Low-cost / economy")),""))</f>
        <v/>
      </c>
    </row>
    <row r="7" customFormat="false" ht="15" hidden="false" customHeight="false" outlineLevel="0" collapsed="false">
      <c r="A7" s="11"/>
      <c r="B7" s="11"/>
      <c r="C7" s="38"/>
      <c r="D7" s="28"/>
      <c r="E7" s="28"/>
      <c r="F7" s="19"/>
      <c r="G7" s="15" t="str">
        <f aca="false">IF(OR(A7="",B7="",C7="",D7="",E7=""),"",IFERROR(IF(C7&gt;SUMPRODUCT(($B$6:$B$29=B7)*$C$6:$C$29*$E$6:$E$29)/SUMIF($B$6:$B$29,B7,$E$6:$E$29),IF(D7&gt;=SUMPRODUCT(($B$6:$B$29=B7)*$D$6:$D$29*$E$6:$E$29)/SUMIF($B$6:$B$29,B7,$E$6:$E$29),"Premium differentiator","Stuck in the middle"),IF(D7&gt;=SUMPRODUCT(($B$6:$B$29=B7)*$D$6:$D$29*$E$6:$E$29)/SUMIF($B$6:$B$29,B7,$E$6:$E$29),"Value leader","Low-cost / economy")),""))</f>
        <v/>
      </c>
    </row>
    <row r="8" customFormat="false" ht="15" hidden="false" customHeight="false" outlineLevel="0" collapsed="false">
      <c r="A8" s="11"/>
      <c r="B8" s="11"/>
      <c r="C8" s="38"/>
      <c r="D8" s="28"/>
      <c r="E8" s="28"/>
      <c r="F8" s="19"/>
      <c r="G8" s="15" t="str">
        <f aca="false">IF(OR(A8="",B8="",C8="",D8="",E8=""),"",IFERROR(IF(C8&gt;SUMPRODUCT(($B$6:$B$29=B8)*$C$6:$C$29*$E$6:$E$29)/SUMIF($B$6:$B$29,B8,$E$6:$E$29),IF(D8&gt;=SUMPRODUCT(($B$6:$B$29=B8)*$D$6:$D$29*$E$6:$E$29)/SUMIF($B$6:$B$29,B8,$E$6:$E$29),"Premium differentiator","Stuck in the middle"),IF(D8&gt;=SUMPRODUCT(($B$6:$B$29=B8)*$D$6:$D$29*$E$6:$E$29)/SUMIF($B$6:$B$29,B8,$E$6:$E$29),"Value leader","Low-cost / economy")),""))</f>
        <v/>
      </c>
    </row>
    <row r="9" customFormat="false" ht="15" hidden="false" customHeight="false" outlineLevel="0" collapsed="false">
      <c r="A9" s="11"/>
      <c r="B9" s="11"/>
      <c r="C9" s="38"/>
      <c r="D9" s="28"/>
      <c r="E9" s="28"/>
      <c r="F9" s="19"/>
      <c r="G9" s="15" t="str">
        <f aca="false">IF(OR(A9="",B9="",C9="",D9="",E9=""),"",IFERROR(IF(C9&gt;SUMPRODUCT(($B$6:$B$29=B9)*$C$6:$C$29*$E$6:$E$29)/SUMIF($B$6:$B$29,B9,$E$6:$E$29),IF(D9&gt;=SUMPRODUCT(($B$6:$B$29=B9)*$D$6:$D$29*$E$6:$E$29)/SUMIF($B$6:$B$29,B9,$E$6:$E$29),"Premium differentiator","Stuck in the middle"),IF(D9&gt;=SUMPRODUCT(($B$6:$B$29=B9)*$D$6:$D$29*$E$6:$E$29)/SUMIF($B$6:$B$29,B9,$E$6:$E$29),"Value leader","Low-cost / economy")),""))</f>
        <v/>
      </c>
    </row>
    <row r="10" customFormat="false" ht="15" hidden="false" customHeight="false" outlineLevel="0" collapsed="false">
      <c r="A10" s="11"/>
      <c r="B10" s="11"/>
      <c r="C10" s="38"/>
      <c r="D10" s="28"/>
      <c r="E10" s="28"/>
      <c r="F10" s="19"/>
      <c r="G10" s="15" t="str">
        <f aca="false">IF(OR(A10="",B10="",C10="",D10="",E10=""),"",IFERROR(IF(C10&gt;SUMPRODUCT(($B$6:$B$29=B10)*$C$6:$C$29*$E$6:$E$29)/SUMIF($B$6:$B$29,B10,$E$6:$E$29),IF(D10&gt;=SUMPRODUCT(($B$6:$B$29=B10)*$D$6:$D$29*$E$6:$E$29)/SUMIF($B$6:$B$29,B10,$E$6:$E$29),"Premium differentiator","Stuck in the middle"),IF(D10&gt;=SUMPRODUCT(($B$6:$B$29=B10)*$D$6:$D$29*$E$6:$E$29)/SUMIF($B$6:$B$29,B10,$E$6:$E$29),"Value leader","Low-cost / economy")),""))</f>
        <v/>
      </c>
    </row>
    <row r="11" customFormat="false" ht="15" hidden="false" customHeight="false" outlineLevel="0" collapsed="false">
      <c r="A11" s="11"/>
      <c r="B11" s="11"/>
      <c r="C11" s="38"/>
      <c r="D11" s="28"/>
      <c r="E11" s="28"/>
      <c r="F11" s="19"/>
      <c r="G11" s="15" t="str">
        <f aca="false">IF(OR(A11="",B11="",C11="",D11="",E11=""),"",IFERROR(IF(C11&gt;SUMPRODUCT(($B$6:$B$29=B11)*$C$6:$C$29*$E$6:$E$29)/SUMIF($B$6:$B$29,B11,$E$6:$E$29),IF(D11&gt;=SUMPRODUCT(($B$6:$B$29=B11)*$D$6:$D$29*$E$6:$E$29)/SUMIF($B$6:$B$29,B11,$E$6:$E$29),"Premium differentiator","Stuck in the middle"),IF(D11&gt;=SUMPRODUCT(($B$6:$B$29=B11)*$D$6:$D$29*$E$6:$E$29)/SUMIF($B$6:$B$29,B11,$E$6:$E$29),"Value leader","Low-cost / economy")),""))</f>
        <v/>
      </c>
    </row>
    <row r="12" customFormat="false" ht="15" hidden="false" customHeight="false" outlineLevel="0" collapsed="false">
      <c r="A12" s="11"/>
      <c r="B12" s="11"/>
      <c r="C12" s="38"/>
      <c r="D12" s="28"/>
      <c r="E12" s="28"/>
      <c r="F12" s="19"/>
      <c r="G12" s="15" t="str">
        <f aca="false">IF(OR(A12="",B12="",C12="",D12="",E12=""),"",IFERROR(IF(C12&gt;SUMPRODUCT(($B$6:$B$29=B12)*$C$6:$C$29*$E$6:$E$29)/SUMIF($B$6:$B$29,B12,$E$6:$E$29),IF(D12&gt;=SUMPRODUCT(($B$6:$B$29=B12)*$D$6:$D$29*$E$6:$E$29)/SUMIF($B$6:$B$29,B12,$E$6:$E$29),"Premium differentiator","Stuck in the middle"),IF(D12&gt;=SUMPRODUCT(($B$6:$B$29=B12)*$D$6:$D$29*$E$6:$E$29)/SUMIF($B$6:$B$29,B12,$E$6:$E$29),"Value leader","Low-cost / economy")),""))</f>
        <v/>
      </c>
    </row>
    <row r="13" customFormat="false" ht="15" hidden="false" customHeight="false" outlineLevel="0" collapsed="false">
      <c r="A13" s="11"/>
      <c r="B13" s="11"/>
      <c r="C13" s="38"/>
      <c r="D13" s="28"/>
      <c r="E13" s="28"/>
      <c r="F13" s="19"/>
      <c r="G13" s="15" t="str">
        <f aca="false">IF(OR(A13="",B13="",C13="",D13="",E13=""),"",IFERROR(IF(C13&gt;SUMPRODUCT(($B$6:$B$29=B13)*$C$6:$C$29*$E$6:$E$29)/SUMIF($B$6:$B$29,B13,$E$6:$E$29),IF(D13&gt;=SUMPRODUCT(($B$6:$B$29=B13)*$D$6:$D$29*$E$6:$E$29)/SUMIF($B$6:$B$29,B13,$E$6:$E$29),"Premium differentiator","Stuck in the middle"),IF(D13&gt;=SUMPRODUCT(($B$6:$B$29=B13)*$D$6:$D$29*$E$6:$E$29)/SUMIF($B$6:$B$29,B13,$E$6:$E$29),"Value leader","Low-cost / economy")),""))</f>
        <v/>
      </c>
    </row>
    <row r="14" customFormat="false" ht="15" hidden="false" customHeight="false" outlineLevel="0" collapsed="false">
      <c r="A14" s="11"/>
      <c r="B14" s="11"/>
      <c r="C14" s="38"/>
      <c r="D14" s="28"/>
      <c r="E14" s="28"/>
      <c r="F14" s="19"/>
      <c r="G14" s="15" t="str">
        <f aca="false">IF(OR(A14="",B14="",C14="",D14="",E14=""),"",IFERROR(IF(C14&gt;SUMPRODUCT(($B$6:$B$29=B14)*$C$6:$C$29*$E$6:$E$29)/SUMIF($B$6:$B$29,B14,$E$6:$E$29),IF(D14&gt;=SUMPRODUCT(($B$6:$B$29=B14)*$D$6:$D$29*$E$6:$E$29)/SUMIF($B$6:$B$29,B14,$E$6:$E$29),"Premium differentiator","Stuck in the middle"),IF(D14&gt;=SUMPRODUCT(($B$6:$B$29=B14)*$D$6:$D$29*$E$6:$E$29)/SUMIF($B$6:$B$29,B14,$E$6:$E$29),"Value leader","Low-cost / economy")),""))</f>
        <v/>
      </c>
    </row>
    <row r="15" customFormat="false" ht="15" hidden="false" customHeight="false" outlineLevel="0" collapsed="false">
      <c r="A15" s="11"/>
      <c r="B15" s="11"/>
      <c r="C15" s="38"/>
      <c r="D15" s="28"/>
      <c r="E15" s="28"/>
      <c r="F15" s="19"/>
      <c r="G15" s="15" t="str">
        <f aca="false">IF(OR(A15="",B15="",C15="",D15="",E15=""),"",IFERROR(IF(C15&gt;SUMPRODUCT(($B$6:$B$29=B15)*$C$6:$C$29*$E$6:$E$29)/SUMIF($B$6:$B$29,B15,$E$6:$E$29),IF(D15&gt;=SUMPRODUCT(($B$6:$B$29=B15)*$D$6:$D$29*$E$6:$E$29)/SUMIF($B$6:$B$29,B15,$E$6:$E$29),"Premium differentiator","Stuck in the middle"),IF(D15&gt;=SUMPRODUCT(($B$6:$B$29=B15)*$D$6:$D$29*$E$6:$E$29)/SUMIF($B$6:$B$29,B15,$E$6:$E$29),"Value leader","Low-cost / economy")),""))</f>
        <v/>
      </c>
    </row>
    <row r="16" customFormat="false" ht="15" hidden="false" customHeight="false" outlineLevel="0" collapsed="false">
      <c r="A16" s="11"/>
      <c r="B16" s="11"/>
      <c r="C16" s="38"/>
      <c r="D16" s="28"/>
      <c r="E16" s="28"/>
      <c r="F16" s="19"/>
      <c r="G16" s="15" t="str">
        <f aca="false">IF(OR(A16="",B16="",C16="",D16="",E16=""),"",IFERROR(IF(C16&gt;SUMPRODUCT(($B$6:$B$29=B16)*$C$6:$C$29*$E$6:$E$29)/SUMIF($B$6:$B$29,B16,$E$6:$E$29),IF(D16&gt;=SUMPRODUCT(($B$6:$B$29=B16)*$D$6:$D$29*$E$6:$E$29)/SUMIF($B$6:$B$29,B16,$E$6:$E$29),"Premium differentiator","Stuck in the middle"),IF(D16&gt;=SUMPRODUCT(($B$6:$B$29=B16)*$D$6:$D$29*$E$6:$E$29)/SUMIF($B$6:$B$29,B16,$E$6:$E$29),"Value leader","Low-cost / economy")),""))</f>
        <v/>
      </c>
    </row>
    <row r="17" customFormat="false" ht="15" hidden="false" customHeight="false" outlineLevel="0" collapsed="false">
      <c r="A17" s="11"/>
      <c r="B17" s="11"/>
      <c r="C17" s="38"/>
      <c r="D17" s="28"/>
      <c r="E17" s="28"/>
      <c r="F17" s="19"/>
      <c r="G17" s="15" t="str">
        <f aca="false">IF(OR(A17="",B17="",C17="",D17="",E17=""),"",IFERROR(IF(C17&gt;SUMPRODUCT(($B$6:$B$29=B17)*$C$6:$C$29*$E$6:$E$29)/SUMIF($B$6:$B$29,B17,$E$6:$E$29),IF(D17&gt;=SUMPRODUCT(($B$6:$B$29=B17)*$D$6:$D$29*$E$6:$E$29)/SUMIF($B$6:$B$29,B17,$E$6:$E$29),"Premium differentiator","Stuck in the middle"),IF(D17&gt;=SUMPRODUCT(($B$6:$B$29=B17)*$D$6:$D$29*$E$6:$E$29)/SUMIF($B$6:$B$29,B17,$E$6:$E$29),"Value leader","Low-cost / economy")),""))</f>
        <v/>
      </c>
    </row>
    <row r="18" customFormat="false" ht="15" hidden="false" customHeight="false" outlineLevel="0" collapsed="false">
      <c r="A18" s="11"/>
      <c r="B18" s="11"/>
      <c r="C18" s="38"/>
      <c r="D18" s="28"/>
      <c r="E18" s="28"/>
      <c r="F18" s="19"/>
      <c r="G18" s="15" t="str">
        <f aca="false">IF(OR(A18="",B18="",C18="",D18="",E18=""),"",IFERROR(IF(C18&gt;SUMPRODUCT(($B$6:$B$29=B18)*$C$6:$C$29*$E$6:$E$29)/SUMIF($B$6:$B$29,B18,$E$6:$E$29),IF(D18&gt;=SUMPRODUCT(($B$6:$B$29=B18)*$D$6:$D$29*$E$6:$E$29)/SUMIF($B$6:$B$29,B18,$E$6:$E$29),"Premium differentiator","Stuck in the middle"),IF(D18&gt;=SUMPRODUCT(($B$6:$B$29=B18)*$D$6:$D$29*$E$6:$E$29)/SUMIF($B$6:$B$29,B18,$E$6:$E$29),"Value leader","Low-cost / economy")),""))</f>
        <v/>
      </c>
    </row>
    <row r="19" customFormat="false" ht="15" hidden="false" customHeight="false" outlineLevel="0" collapsed="false">
      <c r="A19" s="11"/>
      <c r="B19" s="11"/>
      <c r="C19" s="38"/>
      <c r="D19" s="28"/>
      <c r="E19" s="28"/>
      <c r="F19" s="19"/>
      <c r="G19" s="15" t="str">
        <f aca="false">IF(OR(A19="",B19="",C19="",D19="",E19=""),"",IFERROR(IF(C19&gt;SUMPRODUCT(($B$6:$B$29=B19)*$C$6:$C$29*$E$6:$E$29)/SUMIF($B$6:$B$29,B19,$E$6:$E$29),IF(D19&gt;=SUMPRODUCT(($B$6:$B$29=B19)*$D$6:$D$29*$E$6:$E$29)/SUMIF($B$6:$B$29,B19,$E$6:$E$29),"Premium differentiator","Stuck in the middle"),IF(D19&gt;=SUMPRODUCT(($B$6:$B$29=B19)*$D$6:$D$29*$E$6:$E$29)/SUMIF($B$6:$B$29,B19,$E$6:$E$29),"Value leader","Low-cost / economy")),""))</f>
        <v/>
      </c>
    </row>
    <row r="20" customFormat="false" ht="15" hidden="false" customHeight="false" outlineLevel="0" collapsed="false">
      <c r="A20" s="11"/>
      <c r="B20" s="11"/>
      <c r="C20" s="38"/>
      <c r="D20" s="28"/>
      <c r="E20" s="28"/>
      <c r="F20" s="19"/>
      <c r="G20" s="15" t="str">
        <f aca="false">IF(OR(A20="",B20="",C20="",D20="",E20=""),"",IFERROR(IF(C20&gt;SUMPRODUCT(($B$6:$B$29=B20)*$C$6:$C$29*$E$6:$E$29)/SUMIF($B$6:$B$29,B20,$E$6:$E$29),IF(D20&gt;=SUMPRODUCT(($B$6:$B$29=B20)*$D$6:$D$29*$E$6:$E$29)/SUMIF($B$6:$B$29,B20,$E$6:$E$29),"Premium differentiator","Stuck in the middle"),IF(D20&gt;=SUMPRODUCT(($B$6:$B$29=B20)*$D$6:$D$29*$E$6:$E$29)/SUMIF($B$6:$B$29,B20,$E$6:$E$29),"Value leader","Low-cost / economy")),""))</f>
        <v/>
      </c>
    </row>
    <row r="21" customFormat="false" ht="15" hidden="false" customHeight="false" outlineLevel="0" collapsed="false">
      <c r="A21" s="11"/>
      <c r="B21" s="11"/>
      <c r="C21" s="38"/>
      <c r="D21" s="28"/>
      <c r="E21" s="28"/>
      <c r="F21" s="19"/>
      <c r="G21" s="15" t="str">
        <f aca="false">IF(OR(A21="",B21="",C21="",D21="",E21=""),"",IFERROR(IF(C21&gt;SUMPRODUCT(($B$6:$B$29=B21)*$C$6:$C$29*$E$6:$E$29)/SUMIF($B$6:$B$29,B21,$E$6:$E$29),IF(D21&gt;=SUMPRODUCT(($B$6:$B$29=B21)*$D$6:$D$29*$E$6:$E$29)/SUMIF($B$6:$B$29,B21,$E$6:$E$29),"Premium differentiator","Stuck in the middle"),IF(D21&gt;=SUMPRODUCT(($B$6:$B$29=B21)*$D$6:$D$29*$E$6:$E$29)/SUMIF($B$6:$B$29,B21,$E$6:$E$29),"Value leader","Low-cost / economy")),""))</f>
        <v/>
      </c>
    </row>
    <row r="22" customFormat="false" ht="15" hidden="false" customHeight="false" outlineLevel="0" collapsed="false">
      <c r="A22" s="11"/>
      <c r="B22" s="11"/>
      <c r="C22" s="38"/>
      <c r="D22" s="28"/>
      <c r="E22" s="28"/>
      <c r="F22" s="19"/>
      <c r="G22" s="15" t="str">
        <f aca="false">IF(OR(A22="",B22="",C22="",D22="",E22=""),"",IFERROR(IF(C22&gt;SUMPRODUCT(($B$6:$B$29=B22)*$C$6:$C$29*$E$6:$E$29)/SUMIF($B$6:$B$29,B22,$E$6:$E$29),IF(D22&gt;=SUMPRODUCT(($B$6:$B$29=B22)*$D$6:$D$29*$E$6:$E$29)/SUMIF($B$6:$B$29,B22,$E$6:$E$29),"Premium differentiator","Stuck in the middle"),IF(D22&gt;=SUMPRODUCT(($B$6:$B$29=B22)*$D$6:$D$29*$E$6:$E$29)/SUMIF($B$6:$B$29,B22,$E$6:$E$29),"Value leader","Low-cost / economy")),""))</f>
        <v/>
      </c>
    </row>
    <row r="23" customFormat="false" ht="15" hidden="false" customHeight="false" outlineLevel="0" collapsed="false">
      <c r="A23" s="11"/>
      <c r="B23" s="11"/>
      <c r="C23" s="38"/>
      <c r="D23" s="28"/>
      <c r="E23" s="28"/>
      <c r="F23" s="19"/>
      <c r="G23" s="15" t="str">
        <f aca="false">IF(OR(A23="",B23="",C23="",D23="",E23=""),"",IFERROR(IF(C23&gt;SUMPRODUCT(($B$6:$B$29=B23)*$C$6:$C$29*$E$6:$E$29)/SUMIF($B$6:$B$29,B23,$E$6:$E$29),IF(D23&gt;=SUMPRODUCT(($B$6:$B$29=B23)*$D$6:$D$29*$E$6:$E$29)/SUMIF($B$6:$B$29,B23,$E$6:$E$29),"Premium differentiator","Stuck in the middle"),IF(D23&gt;=SUMPRODUCT(($B$6:$B$29=B23)*$D$6:$D$29*$E$6:$E$29)/SUMIF($B$6:$B$29,B23,$E$6:$E$29),"Value leader","Low-cost / economy")),""))</f>
        <v/>
      </c>
    </row>
    <row r="24" customFormat="false" ht="15" hidden="false" customHeight="false" outlineLevel="0" collapsed="false">
      <c r="A24" s="11"/>
      <c r="B24" s="11"/>
      <c r="C24" s="38"/>
      <c r="D24" s="28"/>
      <c r="E24" s="28"/>
      <c r="F24" s="19"/>
      <c r="G24" s="15" t="str">
        <f aca="false">IF(OR(A24="",B24="",C24="",D24="",E24=""),"",IFERROR(IF(C24&gt;SUMPRODUCT(($B$6:$B$29=B24)*$C$6:$C$29*$E$6:$E$29)/SUMIF($B$6:$B$29,B24,$E$6:$E$29),IF(D24&gt;=SUMPRODUCT(($B$6:$B$29=B24)*$D$6:$D$29*$E$6:$E$29)/SUMIF($B$6:$B$29,B24,$E$6:$E$29),"Premium differentiator","Stuck in the middle"),IF(D24&gt;=SUMPRODUCT(($B$6:$B$29=B24)*$D$6:$D$29*$E$6:$E$29)/SUMIF($B$6:$B$29,B24,$E$6:$E$29),"Value leader","Low-cost / economy")),""))</f>
        <v/>
      </c>
    </row>
    <row r="25" customFormat="false" ht="15" hidden="false" customHeight="false" outlineLevel="0" collapsed="false">
      <c r="A25" s="11"/>
      <c r="B25" s="11"/>
      <c r="C25" s="38"/>
      <c r="D25" s="28"/>
      <c r="E25" s="28"/>
      <c r="F25" s="19"/>
      <c r="G25" s="15" t="str">
        <f aca="false">IF(OR(A25="",B25="",C25="",D25="",E25=""),"",IFERROR(IF(C25&gt;SUMPRODUCT(($B$6:$B$29=B25)*$C$6:$C$29*$E$6:$E$29)/SUMIF($B$6:$B$29,B25,$E$6:$E$29),IF(D25&gt;=SUMPRODUCT(($B$6:$B$29=B25)*$D$6:$D$29*$E$6:$E$29)/SUMIF($B$6:$B$29,B25,$E$6:$E$29),"Premium differentiator","Stuck in the middle"),IF(D25&gt;=SUMPRODUCT(($B$6:$B$29=B25)*$D$6:$D$29*$E$6:$E$29)/SUMIF($B$6:$B$29,B25,$E$6:$E$29),"Value leader","Low-cost / economy")),""))</f>
        <v/>
      </c>
    </row>
    <row r="26" customFormat="false" ht="15" hidden="false" customHeight="false" outlineLevel="0" collapsed="false">
      <c r="A26" s="11"/>
      <c r="B26" s="11"/>
      <c r="C26" s="38"/>
      <c r="D26" s="28"/>
      <c r="E26" s="28"/>
      <c r="F26" s="19"/>
      <c r="G26" s="15" t="str">
        <f aca="false">IF(OR(A26="",B26="",C26="",D26="",E26=""),"",IFERROR(IF(C26&gt;SUMPRODUCT(($B$6:$B$29=B26)*$C$6:$C$29*$E$6:$E$29)/SUMIF($B$6:$B$29,B26,$E$6:$E$29),IF(D26&gt;=SUMPRODUCT(($B$6:$B$29=B26)*$D$6:$D$29*$E$6:$E$29)/SUMIF($B$6:$B$29,B26,$E$6:$E$29),"Premium differentiator","Stuck in the middle"),IF(D26&gt;=SUMPRODUCT(($B$6:$B$29=B26)*$D$6:$D$29*$E$6:$E$29)/SUMIF($B$6:$B$29,B26,$E$6:$E$29),"Value leader","Low-cost / economy")),""))</f>
        <v/>
      </c>
    </row>
    <row r="27" customFormat="false" ht="15" hidden="false" customHeight="false" outlineLevel="0" collapsed="false">
      <c r="A27" s="11"/>
      <c r="B27" s="11"/>
      <c r="C27" s="38"/>
      <c r="D27" s="28"/>
      <c r="E27" s="28"/>
      <c r="F27" s="19"/>
      <c r="G27" s="15" t="str">
        <f aca="false">IF(OR(A27="",B27="",C27="",D27="",E27=""),"",IFERROR(IF(C27&gt;SUMPRODUCT(($B$6:$B$29=B27)*$C$6:$C$29*$E$6:$E$29)/SUMIF($B$6:$B$29,B27,$E$6:$E$29),IF(D27&gt;=SUMPRODUCT(($B$6:$B$29=B27)*$D$6:$D$29*$E$6:$E$29)/SUMIF($B$6:$B$29,B27,$E$6:$E$29),"Premium differentiator","Stuck in the middle"),IF(D27&gt;=SUMPRODUCT(($B$6:$B$29=B27)*$D$6:$D$29*$E$6:$E$29)/SUMIF($B$6:$B$29,B27,$E$6:$E$29),"Value leader","Low-cost / economy")),""))</f>
        <v/>
      </c>
    </row>
    <row r="28" customFormat="false" ht="15" hidden="false" customHeight="false" outlineLevel="0" collapsed="false">
      <c r="A28" s="11"/>
      <c r="B28" s="11"/>
      <c r="C28" s="38"/>
      <c r="D28" s="28"/>
      <c r="E28" s="28"/>
      <c r="F28" s="19"/>
      <c r="G28" s="15" t="str">
        <f aca="false">IF(OR(A28="",B28="",C28="",D28="",E28=""),"",IFERROR(IF(C28&gt;SUMPRODUCT(($B$6:$B$29=B28)*$C$6:$C$29*$E$6:$E$29)/SUMIF($B$6:$B$29,B28,$E$6:$E$29),IF(D28&gt;=SUMPRODUCT(($B$6:$B$29=B28)*$D$6:$D$29*$E$6:$E$29)/SUMIF($B$6:$B$29,B28,$E$6:$E$29),"Premium differentiator","Stuck in the middle"),IF(D28&gt;=SUMPRODUCT(($B$6:$B$29=B28)*$D$6:$D$29*$E$6:$E$29)/SUMIF($B$6:$B$29,B28,$E$6:$E$29),"Value leader","Low-cost / economy")),""))</f>
        <v/>
      </c>
    </row>
    <row r="29" customFormat="false" ht="15" hidden="false" customHeight="false" outlineLevel="0" collapsed="false">
      <c r="A29" s="11"/>
      <c r="B29" s="11"/>
      <c r="C29" s="38"/>
      <c r="D29" s="28"/>
      <c r="E29" s="28"/>
      <c r="F29" s="19"/>
      <c r="G29" s="15" t="str">
        <f aca="false">IF(OR(A29="",B29="",C29="",D29="",E29=""),"",IFERROR(IF(C29&gt;SUMPRODUCT(($B$6:$B$29=B29)*$C$6:$C$29*$E$6:$E$29)/SUMIF($B$6:$B$29,B29,$E$6:$E$29),IF(D29&gt;=SUMPRODUCT(($B$6:$B$29=B29)*$D$6:$D$29*$E$6:$E$29)/SUMIF($B$6:$B$29,B29,$E$6:$E$29),"Premium differentiator","Stuck in the middle"),IF(D29&gt;=SUMPRODUCT(($B$6:$B$29=B29)*$D$6:$D$29*$E$6:$E$29)/SUMIF($B$6:$B$29,B29,$E$6:$E$29),"Value leader","Low-cost / economy")),""))</f>
        <v/>
      </c>
    </row>
    <row r="31" customFormat="false" ht="46.25" hidden="false" customHeight="false" outlineLevel="0" collapsed="false">
      <c r="A31" s="20" t="s">
        <v>1147</v>
      </c>
      <c r="C31" s="20" t="s">
        <v>542</v>
      </c>
      <c r="D31" s="20" t="s">
        <v>1148</v>
      </c>
    </row>
    <row r="32" customFormat="false" ht="15" hidden="false" customHeight="false" outlineLevel="0" collapsed="false">
      <c r="A32" s="5" t="s">
        <v>1149</v>
      </c>
      <c r="C32" s="35" t="str">
        <f aca="false">IFERROR(SUMPRODUCT(($B$6:$B$29="Camera")*$C$6:$C$29*$E$6:$E$29)/SUMIF($B$6:$B$29,"Camera",$E$6:$E$29),"")</f>
        <v/>
      </c>
      <c r="D32" s="47" t="str">
        <f aca="false">IFERROR(SUMPRODUCT(($B$6:$B$29="Camera")*$D$6:$D$29*$E$6:$E$29)/SUMIF($B$6:$B$29,"Camera",$E$6:$E$29),"")</f>
        <v/>
      </c>
    </row>
    <row r="33" customFormat="false" ht="15" hidden="false" customHeight="false" outlineLevel="0" collapsed="false">
      <c r="A33" s="5" t="s">
        <v>1150</v>
      </c>
      <c r="C33" s="35" t="str">
        <f aca="false">IFERROR(SUMPRODUCT(($B$6:$B$29="Drone")*$C$6:$C$29*$E$6:$E$29)/SUMIF($B$6:$B$29,"Drone",$E$6:$E$29),"")</f>
        <v/>
      </c>
      <c r="D33" s="47" t="str">
        <f aca="false">IFERROR(SUMPRODUCT(($B$6:$B$29="Drone")*$D$6:$D$29*$E$6:$E$29)/SUMIF($B$6:$B$29,"Drone",$E$6:$E$29),"")</f>
        <v/>
      </c>
    </row>
  </sheetData>
  <conditionalFormatting sqref="G6:G29">
    <cfRule type="expression" priority="2" aboveAverage="0" equalAverage="0" bottom="0" percent="0" rank="0" text="" dxfId="0">
      <formula>OR(G6="Premium differentiator",G6="Value leader")</formula>
    </cfRule>
    <cfRule type="expression" priority="3" aboveAverage="0" equalAverage="0" bottom="0" percent="0" rank="0" text="" dxfId="1">
      <formula>G6="Low-cost / economy"</formula>
    </cfRule>
    <cfRule type="expression" priority="4" aboveAverage="0" equalAverage="0" bottom="0" percent="0" rank="0" text="" dxfId="2">
      <formula>G6="Stuck in the middle"</formula>
    </cfRule>
  </conditionalFormatting>
  <dataValidations count="1">
    <dataValidation allowBlank="true" errorStyle="stop" operator="between" showDropDown="false" showErrorMessage="false" showInputMessage="false" sqref="B6:B29" type="list">
      <formula1>"Camera,Drone"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N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14" min="4" style="0" width="12"/>
  </cols>
  <sheetData>
    <row r="1" customFormat="false" ht="19.7" hidden="false" customHeight="false" outlineLevel="0" collapsed="false">
      <c r="A1" s="7" t="s">
        <v>1151</v>
      </c>
    </row>
    <row r="2" customFormat="false" ht="15" hidden="false" customHeight="false" outlineLevel="0" collapsed="false">
      <c r="A2" s="3" t="s">
        <v>1152</v>
      </c>
    </row>
    <row r="3" customFormat="false" ht="15" hidden="false" customHeight="false" outlineLevel="0" collapsed="false">
      <c r="A3" s="8" t="s">
        <v>85</v>
      </c>
    </row>
    <row r="4" customFormat="false" ht="15" hidden="false" customHeight="false" outlineLevel="0" collapsed="false">
      <c r="A4" s="4" t="s">
        <v>1153</v>
      </c>
      <c r="D4" s="31" t="n">
        <v>0.15</v>
      </c>
    </row>
    <row r="5" customFormat="false" ht="30" hidden="false" customHeight="true" outlineLevel="0" collapsed="false">
      <c r="A5" s="12" t="s">
        <v>1154</v>
      </c>
      <c r="B5" s="12" t="s">
        <v>1155</v>
      </c>
      <c r="C5" s="12" t="s">
        <v>1018</v>
      </c>
      <c r="D5" s="12" t="s">
        <v>217</v>
      </c>
      <c r="E5" s="12" t="s">
        <v>1156</v>
      </c>
      <c r="F5" s="12" t="s">
        <v>1157</v>
      </c>
      <c r="G5" s="12" t="s">
        <v>1158</v>
      </c>
      <c r="H5" s="12" t="s">
        <v>1159</v>
      </c>
      <c r="I5" s="12" t="s">
        <v>1160</v>
      </c>
      <c r="J5" s="12" t="s">
        <v>1161</v>
      </c>
      <c r="K5" s="12" t="s">
        <v>1162</v>
      </c>
      <c r="L5" s="12" t="s">
        <v>1163</v>
      </c>
      <c r="M5" s="12" t="s">
        <v>1164</v>
      </c>
      <c r="N5" s="12" t="s">
        <v>1165</v>
      </c>
    </row>
    <row r="6" customFormat="false" ht="15" hidden="false" customHeight="false" outlineLevel="0" collapsed="false">
      <c r="A6" s="61" t="s">
        <v>1166</v>
      </c>
      <c r="B6" s="20" t="s">
        <v>1167</v>
      </c>
      <c r="C6" s="5" t="s">
        <v>1168</v>
      </c>
      <c r="D6" s="5" t="s">
        <v>1169</v>
      </c>
      <c r="E6" s="11" t="s">
        <v>1170</v>
      </c>
      <c r="F6" s="11" t="s">
        <v>1170</v>
      </c>
      <c r="G6" s="11" t="s">
        <v>1170</v>
      </c>
      <c r="H6" s="11"/>
      <c r="I6" s="11"/>
      <c r="J6" s="11"/>
      <c r="K6" s="11"/>
      <c r="L6" s="11"/>
      <c r="M6" s="11"/>
      <c r="N6" s="11"/>
    </row>
    <row r="7" customFormat="false" ht="23.85" hidden="false" customHeight="false" outlineLevel="0" collapsed="false">
      <c r="A7" s="61" t="s">
        <v>1171</v>
      </c>
      <c r="B7" s="20"/>
      <c r="C7" s="5" t="s">
        <v>1172</v>
      </c>
      <c r="D7" s="5" t="s">
        <v>1169</v>
      </c>
      <c r="E7" s="11" t="s">
        <v>1173</v>
      </c>
      <c r="F7" s="11" t="s">
        <v>1173</v>
      </c>
      <c r="G7" s="11" t="s">
        <v>1173</v>
      </c>
      <c r="H7" s="11"/>
      <c r="I7" s="11"/>
      <c r="J7" s="11"/>
      <c r="K7" s="11"/>
      <c r="L7" s="11"/>
      <c r="M7" s="11"/>
      <c r="N7" s="11"/>
    </row>
    <row r="8" customFormat="false" ht="15" hidden="false" customHeight="false" outlineLevel="0" collapsed="false">
      <c r="A8" s="61" t="s">
        <v>1174</v>
      </c>
      <c r="B8" s="20" t="s">
        <v>1175</v>
      </c>
      <c r="C8" s="5" t="s">
        <v>1176</v>
      </c>
      <c r="D8" s="5" t="s">
        <v>1177</v>
      </c>
      <c r="E8" s="28"/>
      <c r="F8" s="28"/>
      <c r="G8" s="28"/>
      <c r="H8" s="28"/>
      <c r="I8" s="28"/>
      <c r="J8" s="28"/>
      <c r="K8" s="28"/>
      <c r="L8" s="28"/>
      <c r="M8" s="28"/>
      <c r="N8" s="28"/>
    </row>
    <row r="9" customFormat="false" ht="15" hidden="false" customHeight="false" outlineLevel="0" collapsed="false">
      <c r="A9" s="61" t="s">
        <v>1178</v>
      </c>
      <c r="B9" s="20"/>
      <c r="C9" s="5" t="s">
        <v>1179</v>
      </c>
      <c r="D9" s="5" t="s">
        <v>1177</v>
      </c>
      <c r="E9" s="28"/>
      <c r="F9" s="28"/>
      <c r="G9" s="28"/>
      <c r="H9" s="28"/>
      <c r="I9" s="28"/>
      <c r="J9" s="28"/>
      <c r="K9" s="28"/>
      <c r="L9" s="28"/>
      <c r="M9" s="28"/>
      <c r="N9" s="28"/>
    </row>
    <row r="10" customFormat="false" ht="15" hidden="false" customHeight="false" outlineLevel="0" collapsed="false">
      <c r="A10" s="61" t="s">
        <v>1180</v>
      </c>
      <c r="B10" s="20"/>
      <c r="C10" s="5" t="s">
        <v>1181</v>
      </c>
      <c r="D10" s="5" t="s">
        <v>1182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customFormat="false" ht="15" hidden="false" customHeight="false" outlineLevel="0" collapsed="false">
      <c r="A11" s="61" t="s">
        <v>1183</v>
      </c>
      <c r="B11" s="20"/>
      <c r="C11" s="5" t="s">
        <v>1184</v>
      </c>
      <c r="D11" s="5" t="s">
        <v>1182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customFormat="false" ht="15" hidden="false" customHeight="false" outlineLevel="0" collapsed="false">
      <c r="A12" s="61" t="s">
        <v>1185</v>
      </c>
      <c r="B12" s="20"/>
      <c r="C12" s="5" t="s">
        <v>1186</v>
      </c>
      <c r="D12" s="5" t="s">
        <v>1187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customFormat="false" ht="15" hidden="false" customHeight="false" outlineLevel="0" collapsed="false">
      <c r="A13" s="61" t="s">
        <v>1188</v>
      </c>
      <c r="B13" s="20"/>
      <c r="C13" s="5" t="s">
        <v>1189</v>
      </c>
      <c r="D13" s="5" t="s">
        <v>1187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customFormat="false" ht="15" hidden="false" customHeight="false" outlineLevel="0" collapsed="false">
      <c r="A14" s="61" t="s">
        <v>1190</v>
      </c>
      <c r="B14" s="20" t="s">
        <v>1191</v>
      </c>
      <c r="C14" s="5" t="s">
        <v>1192</v>
      </c>
      <c r="D14" s="5" t="s">
        <v>777</v>
      </c>
      <c r="E14" s="62" t="n">
        <v>264</v>
      </c>
      <c r="F14" s="62" t="n">
        <v>239</v>
      </c>
      <c r="G14" s="62" t="n">
        <v>239</v>
      </c>
      <c r="H14" s="62"/>
      <c r="I14" s="62"/>
      <c r="J14" s="62"/>
      <c r="K14" s="62"/>
      <c r="L14" s="62"/>
      <c r="M14" s="62"/>
      <c r="N14" s="62"/>
    </row>
    <row r="15" customFormat="false" ht="15" hidden="false" customHeight="false" outlineLevel="0" collapsed="false">
      <c r="A15" s="61" t="s">
        <v>1193</v>
      </c>
      <c r="B15" s="20"/>
      <c r="C15" s="5" t="s">
        <v>1194</v>
      </c>
      <c r="D15" s="5" t="s">
        <v>777</v>
      </c>
      <c r="E15" s="62" t="n">
        <v>270</v>
      </c>
      <c r="F15" s="62" t="n">
        <v>272</v>
      </c>
      <c r="G15" s="62" t="n">
        <v>262</v>
      </c>
      <c r="H15" s="62"/>
      <c r="I15" s="62"/>
      <c r="J15" s="62"/>
      <c r="K15" s="62"/>
      <c r="L15" s="62"/>
      <c r="M15" s="62"/>
      <c r="N15" s="62"/>
    </row>
    <row r="16" customFormat="false" ht="15" hidden="false" customHeight="false" outlineLevel="0" collapsed="false">
      <c r="A16" s="61" t="s">
        <v>1195</v>
      </c>
      <c r="B16" s="20"/>
      <c r="C16" s="5" t="s">
        <v>1196</v>
      </c>
      <c r="D16" s="5" t="s">
        <v>777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</row>
    <row r="17" customFormat="false" ht="15" hidden="false" customHeight="false" outlineLevel="0" collapsed="false">
      <c r="A17" s="61" t="s">
        <v>1197</v>
      </c>
      <c r="B17" s="20"/>
      <c r="C17" s="5" t="s">
        <v>1198</v>
      </c>
      <c r="D17" s="5" t="s">
        <v>777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</row>
    <row r="18" customFormat="false" ht="15" hidden="false" customHeight="false" outlineLevel="0" collapsed="false">
      <c r="A18" s="61" t="s">
        <v>1199</v>
      </c>
      <c r="B18" s="20"/>
      <c r="C18" s="5" t="s">
        <v>1200</v>
      </c>
      <c r="D18" s="5" t="s">
        <v>777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</row>
    <row r="19" customFormat="false" ht="15" hidden="false" customHeight="false" outlineLevel="0" collapsed="false">
      <c r="A19" s="61" t="s">
        <v>1201</v>
      </c>
      <c r="B19" s="20"/>
      <c r="C19" s="5" t="s">
        <v>1202</v>
      </c>
      <c r="D19" s="5" t="s">
        <v>777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</row>
    <row r="20" customFormat="false" ht="15" hidden="false" customHeight="false" outlineLevel="0" collapsed="false">
      <c r="A20" s="61" t="s">
        <v>1203</v>
      </c>
      <c r="B20" s="20"/>
      <c r="C20" s="5" t="s">
        <v>1204</v>
      </c>
      <c r="D20" s="5" t="s">
        <v>777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</row>
    <row r="21" customFormat="false" ht="15" hidden="false" customHeight="false" outlineLevel="0" collapsed="false">
      <c r="A21" s="61" t="s">
        <v>1205</v>
      </c>
      <c r="B21" s="20"/>
      <c r="C21" s="5" t="s">
        <v>1206</v>
      </c>
      <c r="D21" s="5" t="s">
        <v>777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</row>
    <row r="22" customFormat="false" ht="15" hidden="false" customHeight="false" outlineLevel="0" collapsed="false">
      <c r="A22" s="61" t="s">
        <v>1207</v>
      </c>
      <c r="B22" s="20"/>
      <c r="C22" s="5" t="s">
        <v>1208</v>
      </c>
      <c r="D22" s="5" t="s">
        <v>1187</v>
      </c>
      <c r="E22" s="24" t="n">
        <v>7500</v>
      </c>
      <c r="F22" s="24" t="n">
        <v>6500</v>
      </c>
      <c r="G22" s="24" t="n">
        <v>6800</v>
      </c>
      <c r="H22" s="24"/>
      <c r="I22" s="24"/>
      <c r="J22" s="24"/>
      <c r="K22" s="24"/>
      <c r="L22" s="24"/>
      <c r="M22" s="24"/>
      <c r="N22" s="24"/>
    </row>
    <row r="23" customFormat="false" ht="15" hidden="false" customHeight="false" outlineLevel="0" collapsed="false">
      <c r="A23" s="61" t="s">
        <v>1209</v>
      </c>
      <c r="B23" s="20"/>
      <c r="C23" s="5" t="s">
        <v>1210</v>
      </c>
      <c r="D23" s="5" t="s">
        <v>1187</v>
      </c>
      <c r="E23" s="24" t="n">
        <v>6000</v>
      </c>
      <c r="F23" s="24" t="n">
        <v>6100</v>
      </c>
      <c r="G23" s="24" t="n">
        <v>6200</v>
      </c>
      <c r="H23" s="24"/>
      <c r="I23" s="24"/>
      <c r="J23" s="24"/>
      <c r="K23" s="24"/>
      <c r="L23" s="24"/>
      <c r="M23" s="24"/>
      <c r="N23" s="24"/>
    </row>
    <row r="24" customFormat="false" ht="15" hidden="false" customHeight="false" outlineLevel="0" collapsed="false">
      <c r="A24" s="61" t="s">
        <v>1211</v>
      </c>
      <c r="B24" s="20"/>
      <c r="C24" s="5" t="s">
        <v>1212</v>
      </c>
      <c r="D24" s="5" t="s">
        <v>1187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customFormat="false" ht="15" hidden="false" customHeight="false" outlineLevel="0" collapsed="false">
      <c r="A25" s="61" t="s">
        <v>1213</v>
      </c>
      <c r="B25" s="20"/>
      <c r="C25" s="5" t="s">
        <v>1214</v>
      </c>
      <c r="D25" s="5" t="s">
        <v>1187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customFormat="false" ht="15" hidden="false" customHeight="false" outlineLevel="0" collapsed="false">
      <c r="A26" s="61" t="s">
        <v>1215</v>
      </c>
      <c r="B26" s="20"/>
      <c r="C26" s="5" t="s">
        <v>1216</v>
      </c>
      <c r="D26" s="5" t="s">
        <v>1187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customFormat="false" ht="15" hidden="false" customHeight="false" outlineLevel="0" collapsed="false">
      <c r="A27" s="61" t="s">
        <v>1217</v>
      </c>
      <c r="B27" s="20"/>
      <c r="C27" s="5" t="s">
        <v>1218</v>
      </c>
      <c r="D27" s="5" t="s">
        <v>1187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customFormat="false" ht="15" hidden="false" customHeight="false" outlineLevel="0" collapsed="false">
      <c r="A28" s="61" t="s">
        <v>1219</v>
      </c>
      <c r="B28" s="20"/>
      <c r="C28" s="5" t="s">
        <v>1220</v>
      </c>
      <c r="D28" s="5" t="s">
        <v>1187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customFormat="false" ht="15" hidden="false" customHeight="false" outlineLevel="0" collapsed="false">
      <c r="A29" s="61" t="s">
        <v>1221</v>
      </c>
      <c r="B29" s="20"/>
      <c r="C29" s="5" t="s">
        <v>1222</v>
      </c>
      <c r="D29" s="5" t="s">
        <v>1187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customFormat="false" ht="23.85" hidden="false" customHeight="false" outlineLevel="0" collapsed="false">
      <c r="A30" s="61" t="s">
        <v>1223</v>
      </c>
      <c r="B30" s="20"/>
      <c r="C30" s="5" t="s">
        <v>1224</v>
      </c>
      <c r="D30" s="5" t="s">
        <v>1225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customFormat="false" ht="23.85" hidden="false" customHeight="false" outlineLevel="0" collapsed="false">
      <c r="A31" s="61" t="s">
        <v>1226</v>
      </c>
      <c r="B31" s="20"/>
      <c r="C31" s="5" t="s">
        <v>1227</v>
      </c>
      <c r="D31" s="5" t="s">
        <v>1225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customFormat="false" ht="23.85" hidden="false" customHeight="false" outlineLevel="0" collapsed="false">
      <c r="A32" s="61" t="s">
        <v>1228</v>
      </c>
      <c r="B32" s="20"/>
      <c r="C32" s="5" t="s">
        <v>1229</v>
      </c>
      <c r="D32" s="5" t="s">
        <v>1225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customFormat="false" ht="23.85" hidden="false" customHeight="false" outlineLevel="0" collapsed="false">
      <c r="A33" s="61" t="s">
        <v>1230</v>
      </c>
      <c r="B33" s="20"/>
      <c r="C33" s="5" t="s">
        <v>1231</v>
      </c>
      <c r="D33" s="5" t="s">
        <v>1225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customFormat="false" ht="23.85" hidden="false" customHeight="false" outlineLevel="0" collapsed="false">
      <c r="A34" s="61" t="s">
        <v>1232</v>
      </c>
      <c r="B34" s="20"/>
      <c r="C34" s="5" t="s">
        <v>1233</v>
      </c>
      <c r="D34" s="5" t="s">
        <v>1225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customFormat="false" ht="23.85" hidden="false" customHeight="false" outlineLevel="0" collapsed="false">
      <c r="A35" s="61" t="s">
        <v>1234</v>
      </c>
      <c r="B35" s="20"/>
      <c r="C35" s="5" t="s">
        <v>1235</v>
      </c>
      <c r="D35" s="5" t="s">
        <v>1225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customFormat="false" ht="23.85" hidden="false" customHeight="false" outlineLevel="0" collapsed="false">
      <c r="A36" s="61" t="s">
        <v>1236</v>
      </c>
      <c r="B36" s="20"/>
      <c r="C36" s="5" t="s">
        <v>1237</v>
      </c>
      <c r="D36" s="5" t="s">
        <v>1225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customFormat="false" ht="23.85" hidden="false" customHeight="false" outlineLevel="0" collapsed="false">
      <c r="A37" s="61" t="s">
        <v>1238</v>
      </c>
      <c r="B37" s="20"/>
      <c r="C37" s="5" t="s">
        <v>1239</v>
      </c>
      <c r="D37" s="5" t="s">
        <v>1225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customFormat="false" ht="15" hidden="false" customHeight="false" outlineLevel="0" collapsed="false">
      <c r="A38" s="61" t="s">
        <v>1240</v>
      </c>
      <c r="B38" s="20"/>
      <c r="C38" s="5" t="s">
        <v>1241</v>
      </c>
      <c r="D38" s="5" t="s">
        <v>1242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customFormat="false" ht="15" hidden="false" customHeight="false" outlineLevel="0" collapsed="false">
      <c r="A39" s="61" t="s">
        <v>1243</v>
      </c>
      <c r="B39" s="20"/>
      <c r="C39" s="5" t="s">
        <v>1244</v>
      </c>
      <c r="D39" s="5" t="s">
        <v>1242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customFormat="false" ht="15" hidden="false" customHeight="false" outlineLevel="0" collapsed="false">
      <c r="A40" s="61" t="s">
        <v>1245</v>
      </c>
      <c r="B40" s="20"/>
      <c r="C40" s="5" t="s">
        <v>1246</v>
      </c>
      <c r="D40" s="5" t="s">
        <v>1242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customFormat="false" ht="15" hidden="false" customHeight="false" outlineLevel="0" collapsed="false">
      <c r="A41" s="61" t="s">
        <v>1247</v>
      </c>
      <c r="B41" s="20"/>
      <c r="C41" s="5" t="s">
        <v>1248</v>
      </c>
      <c r="D41" s="5" t="s">
        <v>1242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customFormat="false" ht="15" hidden="false" customHeight="false" outlineLevel="0" collapsed="false">
      <c r="A42" s="61" t="s">
        <v>1249</v>
      </c>
      <c r="B42" s="20"/>
      <c r="C42" s="5" t="s">
        <v>1250</v>
      </c>
      <c r="D42" s="5" t="s">
        <v>1242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customFormat="false" ht="15" hidden="false" customHeight="false" outlineLevel="0" collapsed="false">
      <c r="A43" s="61" t="s">
        <v>1251</v>
      </c>
      <c r="B43" s="20"/>
      <c r="C43" s="5" t="s">
        <v>1252</v>
      </c>
      <c r="D43" s="5" t="s">
        <v>1242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customFormat="false" ht="15" hidden="false" customHeight="false" outlineLevel="0" collapsed="false">
      <c r="A44" s="61" t="s">
        <v>1253</v>
      </c>
      <c r="B44" s="20"/>
      <c r="C44" s="5" t="s">
        <v>1254</v>
      </c>
      <c r="D44" s="5" t="s">
        <v>1242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customFormat="false" ht="15" hidden="false" customHeight="false" outlineLevel="0" collapsed="false">
      <c r="A45" s="61" t="s">
        <v>1255</v>
      </c>
      <c r="B45" s="20"/>
      <c r="C45" s="5" t="s">
        <v>1256</v>
      </c>
      <c r="D45" s="5" t="s">
        <v>1242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customFormat="false" ht="15" hidden="false" customHeight="false" outlineLevel="0" collapsed="false">
      <c r="A46" s="61" t="s">
        <v>1257</v>
      </c>
      <c r="B46" s="20" t="s">
        <v>1258</v>
      </c>
      <c r="C46" s="5" t="s">
        <v>1259</v>
      </c>
      <c r="D46" s="5" t="s">
        <v>1182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customFormat="false" ht="15" hidden="false" customHeight="false" outlineLevel="0" collapsed="false">
      <c r="A47" s="61" t="s">
        <v>1260</v>
      </c>
      <c r="B47" s="20"/>
      <c r="C47" s="5" t="s">
        <v>1261</v>
      </c>
      <c r="D47" s="5" t="s">
        <v>1182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customFormat="false" ht="15" hidden="false" customHeight="false" outlineLevel="0" collapsed="false">
      <c r="A48" s="61" t="s">
        <v>1262</v>
      </c>
      <c r="B48" s="20"/>
      <c r="C48" s="5" t="s">
        <v>1263</v>
      </c>
      <c r="D48" s="5" t="s">
        <v>1264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customFormat="false" ht="15" hidden="false" customHeight="false" outlineLevel="0" collapsed="false">
      <c r="A49" s="61" t="s">
        <v>1265</v>
      </c>
      <c r="B49" s="20"/>
      <c r="C49" s="5" t="s">
        <v>1266</v>
      </c>
      <c r="D49" s="5" t="s">
        <v>1264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customFormat="false" ht="15" hidden="false" customHeight="false" outlineLevel="0" collapsed="false">
      <c r="A50" s="61" t="s">
        <v>1267</v>
      </c>
      <c r="B50" s="20"/>
      <c r="C50" s="5" t="s">
        <v>1268</v>
      </c>
      <c r="D50" s="5" t="s">
        <v>1269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customFormat="false" ht="15" hidden="false" customHeight="false" outlineLevel="0" collapsed="false">
      <c r="A51" s="61" t="s">
        <v>1270</v>
      </c>
      <c r="B51" s="20"/>
      <c r="C51" s="5" t="s">
        <v>1271</v>
      </c>
      <c r="D51" s="5" t="s">
        <v>1269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customFormat="false" ht="15" hidden="false" customHeight="false" outlineLevel="0" collapsed="false">
      <c r="A52" s="61" t="s">
        <v>1272</v>
      </c>
      <c r="B52" s="20" t="s">
        <v>1273</v>
      </c>
      <c r="C52" s="5" t="s">
        <v>1274</v>
      </c>
      <c r="D52" s="5" t="s">
        <v>1269</v>
      </c>
      <c r="E52" s="11" t="n">
        <v>21000</v>
      </c>
      <c r="F52" s="11" t="n">
        <v>21500</v>
      </c>
      <c r="G52" s="11" t="n">
        <v>22000</v>
      </c>
      <c r="H52" s="11"/>
      <c r="I52" s="11"/>
      <c r="J52" s="11"/>
      <c r="K52" s="11"/>
      <c r="L52" s="11"/>
      <c r="M52" s="11"/>
      <c r="N52" s="11"/>
    </row>
    <row r="53" customFormat="false" ht="15" hidden="false" customHeight="false" outlineLevel="0" collapsed="false">
      <c r="A53" s="61" t="s">
        <v>1275</v>
      </c>
      <c r="B53" s="20"/>
      <c r="C53" s="5" t="s">
        <v>1276</v>
      </c>
      <c r="D53" s="5" t="s">
        <v>1277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customFormat="false" ht="15" hidden="false" customHeight="false" outlineLevel="0" collapsed="false">
      <c r="A54" s="61" t="s">
        <v>1278</v>
      </c>
      <c r="B54" s="20"/>
      <c r="C54" s="5" t="s">
        <v>1279</v>
      </c>
      <c r="D54" s="5" t="s">
        <v>1269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customFormat="false" ht="15" hidden="false" customHeight="false" outlineLevel="0" collapsed="false">
      <c r="A55" s="61" t="s">
        <v>1280</v>
      </c>
      <c r="B55" s="20" t="s">
        <v>1281</v>
      </c>
      <c r="C55" s="5" t="s">
        <v>1282</v>
      </c>
      <c r="D55" s="5" t="s">
        <v>1187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customFormat="false" ht="15" hidden="false" customHeight="false" outlineLevel="0" collapsed="false">
      <c r="A56" s="61" t="s">
        <v>1283</v>
      </c>
      <c r="B56" s="20"/>
      <c r="C56" s="5" t="s">
        <v>1284</v>
      </c>
      <c r="D56" s="5" t="s">
        <v>1169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customFormat="false" ht="15" hidden="false" customHeight="false" outlineLevel="0" collapsed="false">
      <c r="A57" s="61" t="s">
        <v>1285</v>
      </c>
      <c r="B57" s="20" t="s">
        <v>161</v>
      </c>
      <c r="C57" s="5" t="s">
        <v>1286</v>
      </c>
      <c r="D57" s="5" t="s">
        <v>1187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customFormat="false" ht="15" hidden="false" customHeight="false" outlineLevel="0" collapsed="false">
      <c r="A58" s="61" t="s">
        <v>1287</v>
      </c>
      <c r="B58" s="20"/>
      <c r="C58" s="5" t="s">
        <v>1288</v>
      </c>
      <c r="D58" s="5" t="s">
        <v>1187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customFormat="false" ht="15" hidden="false" customHeight="false" outlineLevel="0" collapsed="false">
      <c r="A59" s="61" t="s">
        <v>1289</v>
      </c>
      <c r="B59" s="20"/>
      <c r="C59" s="5" t="s">
        <v>1290</v>
      </c>
      <c r="D59" s="5" t="s">
        <v>1291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customFormat="false" ht="15" hidden="false" customHeight="false" outlineLevel="0" collapsed="false">
      <c r="A60" s="61" t="s">
        <v>1292</v>
      </c>
      <c r="B60" s="20"/>
      <c r="C60" s="5" t="s">
        <v>1293</v>
      </c>
      <c r="D60" s="5" t="s">
        <v>1291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customFormat="false" ht="15" hidden="false" customHeight="false" outlineLevel="0" collapsed="false">
      <c r="A61" s="61" t="s">
        <v>1294</v>
      </c>
      <c r="B61" s="20"/>
      <c r="C61" s="5" t="s">
        <v>1295</v>
      </c>
      <c r="D61" s="5" t="s">
        <v>777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</row>
    <row r="62" customFormat="false" ht="23.85" hidden="false" customHeight="false" outlineLevel="0" collapsed="false">
      <c r="A62" s="61" t="s">
        <v>1296</v>
      </c>
      <c r="B62" s="20" t="s">
        <v>1297</v>
      </c>
      <c r="C62" s="5" t="s">
        <v>1298</v>
      </c>
      <c r="D62" s="5" t="s">
        <v>777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</row>
    <row r="63" customFormat="false" ht="15" hidden="false" customHeight="false" outlineLevel="0" collapsed="false">
      <c r="A63" s="61" t="s">
        <v>1299</v>
      </c>
      <c r="B63" s="20"/>
      <c r="C63" s="5" t="s">
        <v>1300</v>
      </c>
      <c r="D63" s="5" t="s">
        <v>1264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customFormat="false" ht="15" hidden="false" customHeight="false" outlineLevel="0" collapsed="false">
      <c r="A64" s="61" t="s">
        <v>1301</v>
      </c>
      <c r="B64" s="20"/>
      <c r="C64" s="5" t="s">
        <v>1302</v>
      </c>
      <c r="D64" s="5" t="s">
        <v>777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</row>
    <row r="65" customFormat="false" ht="15" hidden="false" customHeight="false" outlineLevel="0" collapsed="false">
      <c r="A65" s="61" t="s">
        <v>1303</v>
      </c>
      <c r="B65" s="20"/>
      <c r="C65" s="5" t="s">
        <v>1304</v>
      </c>
      <c r="D65" s="5" t="s">
        <v>1169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customFormat="false" ht="15" hidden="false" customHeight="false" outlineLevel="0" collapsed="false">
      <c r="A66" s="61" t="s">
        <v>1305</v>
      </c>
      <c r="B66" s="20"/>
      <c r="C66" s="5" t="s">
        <v>1306</v>
      </c>
      <c r="D66" s="5" t="s">
        <v>1307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8" customFormat="false" ht="35.05" hidden="false" customHeight="false" outlineLevel="0" collapsed="false">
      <c r="B68" s="20" t="s">
        <v>1308</v>
      </c>
    </row>
    <row r="69" customFormat="false" ht="15" hidden="false" customHeight="false" outlineLevel="0" collapsed="false">
      <c r="A69" s="12" t="s">
        <v>1309</v>
      </c>
      <c r="B69" s="12" t="s">
        <v>1155</v>
      </c>
      <c r="C69" s="12" t="s">
        <v>1018</v>
      </c>
      <c r="D69" s="12" t="s">
        <v>217</v>
      </c>
      <c r="E69" s="12" t="s">
        <v>1156</v>
      </c>
      <c r="F69" s="12" t="s">
        <v>1157</v>
      </c>
      <c r="G69" s="12" t="s">
        <v>1158</v>
      </c>
      <c r="H69" s="12" t="s">
        <v>1159</v>
      </c>
      <c r="I69" s="12" t="s">
        <v>1160</v>
      </c>
      <c r="J69" s="12" t="s">
        <v>1161</v>
      </c>
      <c r="K69" s="12" t="s">
        <v>1162</v>
      </c>
      <c r="L69" s="12" t="s">
        <v>1163</v>
      </c>
      <c r="M69" s="12" t="s">
        <v>1164</v>
      </c>
      <c r="N69" s="12" t="s">
        <v>1165</v>
      </c>
    </row>
    <row r="70" customFormat="false" ht="15" hidden="false" customHeight="false" outlineLevel="0" collapsed="false">
      <c r="A70" s="61" t="s">
        <v>1166</v>
      </c>
      <c r="C70" s="5" t="s">
        <v>1168</v>
      </c>
      <c r="F70" s="44" t="str">
        <f aca="false">IF(AND(ISNUMBER(F6),ISNUMBER(E6),E6&lt;&gt;0),F6/E6-1,"")</f>
        <v/>
      </c>
      <c r="G70" s="44" t="str">
        <f aca="false">IF(AND(ISNUMBER(G6),ISNUMBER(F6),F6&lt;&gt;0),G6/F6-1,"")</f>
        <v/>
      </c>
      <c r="H70" s="44" t="str">
        <f aca="false">IF(AND(ISNUMBER(H6),ISNUMBER(G6),G6&lt;&gt;0),H6/G6-1,"")</f>
        <v/>
      </c>
      <c r="I70" s="44" t="str">
        <f aca="false">IF(AND(ISNUMBER(I6),ISNUMBER(H6),H6&lt;&gt;0),I6/H6-1,"")</f>
        <v/>
      </c>
      <c r="J70" s="44" t="str">
        <f aca="false">IF(AND(ISNUMBER(J6),ISNUMBER(I6),I6&lt;&gt;0),J6/I6-1,"")</f>
        <v/>
      </c>
      <c r="K70" s="44" t="str">
        <f aca="false">IF(AND(ISNUMBER(K6),ISNUMBER(J6),J6&lt;&gt;0),K6/J6-1,"")</f>
        <v/>
      </c>
      <c r="L70" s="44" t="str">
        <f aca="false">IF(AND(ISNUMBER(L6),ISNUMBER(K6),K6&lt;&gt;0),L6/K6-1,"")</f>
        <v/>
      </c>
      <c r="M70" s="44" t="str">
        <f aca="false">IF(AND(ISNUMBER(M6),ISNUMBER(L6),L6&lt;&gt;0),M6/L6-1,"")</f>
        <v/>
      </c>
      <c r="N70" s="44" t="str">
        <f aca="false">IF(AND(ISNUMBER(N6),ISNUMBER(M6),M6&lt;&gt;0),N6/M6-1,"")</f>
        <v/>
      </c>
    </row>
    <row r="71" customFormat="false" ht="15" hidden="false" customHeight="false" outlineLevel="0" collapsed="false">
      <c r="A71" s="61" t="s">
        <v>1171</v>
      </c>
      <c r="C71" s="5" t="s">
        <v>1172</v>
      </c>
      <c r="F71" s="44" t="str">
        <f aca="false">IF(AND(ISNUMBER(F7),ISNUMBER(E7),E7&lt;&gt;0),F7/E7-1,"")</f>
        <v/>
      </c>
      <c r="G71" s="44" t="str">
        <f aca="false">IF(AND(ISNUMBER(G7),ISNUMBER(F7),F7&lt;&gt;0),G7/F7-1,"")</f>
        <v/>
      </c>
      <c r="H71" s="44" t="str">
        <f aca="false">IF(AND(ISNUMBER(H7),ISNUMBER(G7),G7&lt;&gt;0),H7/G7-1,"")</f>
        <v/>
      </c>
      <c r="I71" s="44" t="str">
        <f aca="false">IF(AND(ISNUMBER(I7),ISNUMBER(H7),H7&lt;&gt;0),I7/H7-1,"")</f>
        <v/>
      </c>
      <c r="J71" s="44" t="str">
        <f aca="false">IF(AND(ISNUMBER(J7),ISNUMBER(I7),I7&lt;&gt;0),J7/I7-1,"")</f>
        <v/>
      </c>
      <c r="K71" s="44" t="str">
        <f aca="false">IF(AND(ISNUMBER(K7),ISNUMBER(J7),J7&lt;&gt;0),K7/J7-1,"")</f>
        <v/>
      </c>
      <c r="L71" s="44" t="str">
        <f aca="false">IF(AND(ISNUMBER(L7),ISNUMBER(K7),K7&lt;&gt;0),L7/K7-1,"")</f>
        <v/>
      </c>
      <c r="M71" s="44" t="str">
        <f aca="false">IF(AND(ISNUMBER(M7),ISNUMBER(L7),L7&lt;&gt;0),M7/L7-1,"")</f>
        <v/>
      </c>
      <c r="N71" s="44" t="str">
        <f aca="false">IF(AND(ISNUMBER(N7),ISNUMBER(M7),M7&lt;&gt;0),N7/M7-1,"")</f>
        <v/>
      </c>
    </row>
    <row r="72" customFormat="false" ht="15" hidden="false" customHeight="false" outlineLevel="0" collapsed="false">
      <c r="A72" s="61" t="s">
        <v>1174</v>
      </c>
      <c r="C72" s="5" t="s">
        <v>1176</v>
      </c>
      <c r="F72" s="44" t="str">
        <f aca="false">IF(AND(ISNUMBER(F8),ISNUMBER(E8),E8&lt;&gt;0),F8/E8-1,"")</f>
        <v/>
      </c>
      <c r="G72" s="44" t="str">
        <f aca="false">IF(AND(ISNUMBER(G8),ISNUMBER(F8),F8&lt;&gt;0),G8/F8-1,"")</f>
        <v/>
      </c>
      <c r="H72" s="44" t="str">
        <f aca="false">IF(AND(ISNUMBER(H8),ISNUMBER(G8),G8&lt;&gt;0),H8/G8-1,"")</f>
        <v/>
      </c>
      <c r="I72" s="44" t="str">
        <f aca="false">IF(AND(ISNUMBER(I8),ISNUMBER(H8),H8&lt;&gt;0),I8/H8-1,"")</f>
        <v/>
      </c>
      <c r="J72" s="44" t="str">
        <f aca="false">IF(AND(ISNUMBER(J8),ISNUMBER(I8),I8&lt;&gt;0),J8/I8-1,"")</f>
        <v/>
      </c>
      <c r="K72" s="44" t="str">
        <f aca="false">IF(AND(ISNUMBER(K8),ISNUMBER(J8),J8&lt;&gt;0),K8/J8-1,"")</f>
        <v/>
      </c>
      <c r="L72" s="44" t="str">
        <f aca="false">IF(AND(ISNUMBER(L8),ISNUMBER(K8),K8&lt;&gt;0),L8/K8-1,"")</f>
        <v/>
      </c>
      <c r="M72" s="44" t="str">
        <f aca="false">IF(AND(ISNUMBER(M8),ISNUMBER(L8),L8&lt;&gt;0),M8/L8-1,"")</f>
        <v/>
      </c>
      <c r="N72" s="44" t="str">
        <f aca="false">IF(AND(ISNUMBER(N8),ISNUMBER(M8),M8&lt;&gt;0),N8/M8-1,"")</f>
        <v/>
      </c>
    </row>
    <row r="73" customFormat="false" ht="15" hidden="false" customHeight="false" outlineLevel="0" collapsed="false">
      <c r="A73" s="61" t="s">
        <v>1178</v>
      </c>
      <c r="C73" s="5" t="s">
        <v>1179</v>
      </c>
      <c r="F73" s="44" t="str">
        <f aca="false">IF(AND(ISNUMBER(F9),ISNUMBER(E9),E9&lt;&gt;0),F9/E9-1,"")</f>
        <v/>
      </c>
      <c r="G73" s="44" t="str">
        <f aca="false">IF(AND(ISNUMBER(G9),ISNUMBER(F9),F9&lt;&gt;0),G9/F9-1,"")</f>
        <v/>
      </c>
      <c r="H73" s="44" t="str">
        <f aca="false">IF(AND(ISNUMBER(H9),ISNUMBER(G9),G9&lt;&gt;0),H9/G9-1,"")</f>
        <v/>
      </c>
      <c r="I73" s="44" t="str">
        <f aca="false">IF(AND(ISNUMBER(I9),ISNUMBER(H9),H9&lt;&gt;0),I9/H9-1,"")</f>
        <v/>
      </c>
      <c r="J73" s="44" t="str">
        <f aca="false">IF(AND(ISNUMBER(J9),ISNUMBER(I9),I9&lt;&gt;0),J9/I9-1,"")</f>
        <v/>
      </c>
      <c r="K73" s="44" t="str">
        <f aca="false">IF(AND(ISNUMBER(K9),ISNUMBER(J9),J9&lt;&gt;0),K9/J9-1,"")</f>
        <v/>
      </c>
      <c r="L73" s="44" t="str">
        <f aca="false">IF(AND(ISNUMBER(L9),ISNUMBER(K9),K9&lt;&gt;0),L9/K9-1,"")</f>
        <v/>
      </c>
      <c r="M73" s="44" t="str">
        <f aca="false">IF(AND(ISNUMBER(M9),ISNUMBER(L9),L9&lt;&gt;0),M9/L9-1,"")</f>
        <v/>
      </c>
      <c r="N73" s="44" t="str">
        <f aca="false">IF(AND(ISNUMBER(N9),ISNUMBER(M9),M9&lt;&gt;0),N9/M9-1,"")</f>
        <v/>
      </c>
    </row>
    <row r="74" customFormat="false" ht="15" hidden="false" customHeight="false" outlineLevel="0" collapsed="false">
      <c r="A74" s="61" t="s">
        <v>1180</v>
      </c>
      <c r="C74" s="5" t="s">
        <v>1181</v>
      </c>
      <c r="F74" s="44" t="str">
        <f aca="false">IF(AND(ISNUMBER(F10),ISNUMBER(E10),E10&lt;&gt;0),F10/E10-1,"")</f>
        <v/>
      </c>
      <c r="G74" s="44" t="str">
        <f aca="false">IF(AND(ISNUMBER(G10),ISNUMBER(F10),F10&lt;&gt;0),G10/F10-1,"")</f>
        <v/>
      </c>
      <c r="H74" s="44" t="str">
        <f aca="false">IF(AND(ISNUMBER(H10),ISNUMBER(G10),G10&lt;&gt;0),H10/G10-1,"")</f>
        <v/>
      </c>
      <c r="I74" s="44" t="str">
        <f aca="false">IF(AND(ISNUMBER(I10),ISNUMBER(H10),H10&lt;&gt;0),I10/H10-1,"")</f>
        <v/>
      </c>
      <c r="J74" s="44" t="str">
        <f aca="false">IF(AND(ISNUMBER(J10),ISNUMBER(I10),I10&lt;&gt;0),J10/I10-1,"")</f>
        <v/>
      </c>
      <c r="K74" s="44" t="str">
        <f aca="false">IF(AND(ISNUMBER(K10),ISNUMBER(J10),J10&lt;&gt;0),K10/J10-1,"")</f>
        <v/>
      </c>
      <c r="L74" s="44" t="str">
        <f aca="false">IF(AND(ISNUMBER(L10),ISNUMBER(K10),K10&lt;&gt;0),L10/K10-1,"")</f>
        <v/>
      </c>
      <c r="M74" s="44" t="str">
        <f aca="false">IF(AND(ISNUMBER(M10),ISNUMBER(L10),L10&lt;&gt;0),M10/L10-1,"")</f>
        <v/>
      </c>
      <c r="N74" s="44" t="str">
        <f aca="false">IF(AND(ISNUMBER(N10),ISNUMBER(M10),M10&lt;&gt;0),N10/M10-1,"")</f>
        <v/>
      </c>
    </row>
    <row r="75" customFormat="false" ht="15" hidden="false" customHeight="false" outlineLevel="0" collapsed="false">
      <c r="A75" s="61" t="s">
        <v>1183</v>
      </c>
      <c r="C75" s="5" t="s">
        <v>1184</v>
      </c>
      <c r="F75" s="44" t="str">
        <f aca="false">IF(AND(ISNUMBER(F11),ISNUMBER(E11),E11&lt;&gt;0),F11/E11-1,"")</f>
        <v/>
      </c>
      <c r="G75" s="44" t="str">
        <f aca="false">IF(AND(ISNUMBER(G11),ISNUMBER(F11),F11&lt;&gt;0),G11/F11-1,"")</f>
        <v/>
      </c>
      <c r="H75" s="44" t="str">
        <f aca="false">IF(AND(ISNUMBER(H11),ISNUMBER(G11),G11&lt;&gt;0),H11/G11-1,"")</f>
        <v/>
      </c>
      <c r="I75" s="44" t="str">
        <f aca="false">IF(AND(ISNUMBER(I11),ISNUMBER(H11),H11&lt;&gt;0),I11/H11-1,"")</f>
        <v/>
      </c>
      <c r="J75" s="44" t="str">
        <f aca="false">IF(AND(ISNUMBER(J11),ISNUMBER(I11),I11&lt;&gt;0),J11/I11-1,"")</f>
        <v/>
      </c>
      <c r="K75" s="44" t="str">
        <f aca="false">IF(AND(ISNUMBER(K11),ISNUMBER(J11),J11&lt;&gt;0),K11/J11-1,"")</f>
        <v/>
      </c>
      <c r="L75" s="44" t="str">
        <f aca="false">IF(AND(ISNUMBER(L11),ISNUMBER(K11),K11&lt;&gt;0),L11/K11-1,"")</f>
        <v/>
      </c>
      <c r="M75" s="44" t="str">
        <f aca="false">IF(AND(ISNUMBER(M11),ISNUMBER(L11),L11&lt;&gt;0),M11/L11-1,"")</f>
        <v/>
      </c>
      <c r="N75" s="44" t="str">
        <f aca="false">IF(AND(ISNUMBER(N11),ISNUMBER(M11),M11&lt;&gt;0),N11/M11-1,"")</f>
        <v/>
      </c>
    </row>
    <row r="76" customFormat="false" ht="15" hidden="false" customHeight="false" outlineLevel="0" collapsed="false">
      <c r="A76" s="61" t="s">
        <v>1185</v>
      </c>
      <c r="C76" s="5" t="s">
        <v>1186</v>
      </c>
      <c r="F76" s="44" t="str">
        <f aca="false">IF(AND(ISNUMBER(F12),ISNUMBER(E12),E12&lt;&gt;0),F12/E12-1,"")</f>
        <v/>
      </c>
      <c r="G76" s="44" t="str">
        <f aca="false">IF(AND(ISNUMBER(G12),ISNUMBER(F12),F12&lt;&gt;0),G12/F12-1,"")</f>
        <v/>
      </c>
      <c r="H76" s="44" t="str">
        <f aca="false">IF(AND(ISNUMBER(H12),ISNUMBER(G12),G12&lt;&gt;0),H12/G12-1,"")</f>
        <v/>
      </c>
      <c r="I76" s="44" t="str">
        <f aca="false">IF(AND(ISNUMBER(I12),ISNUMBER(H12),H12&lt;&gt;0),I12/H12-1,"")</f>
        <v/>
      </c>
      <c r="J76" s="44" t="str">
        <f aca="false">IF(AND(ISNUMBER(J12),ISNUMBER(I12),I12&lt;&gt;0),J12/I12-1,"")</f>
        <v/>
      </c>
      <c r="K76" s="44" t="str">
        <f aca="false">IF(AND(ISNUMBER(K12),ISNUMBER(J12),J12&lt;&gt;0),K12/J12-1,"")</f>
        <v/>
      </c>
      <c r="L76" s="44" t="str">
        <f aca="false">IF(AND(ISNUMBER(L12),ISNUMBER(K12),K12&lt;&gt;0),L12/K12-1,"")</f>
        <v/>
      </c>
      <c r="M76" s="44" t="str">
        <f aca="false">IF(AND(ISNUMBER(M12),ISNUMBER(L12),L12&lt;&gt;0),M12/L12-1,"")</f>
        <v/>
      </c>
      <c r="N76" s="44" t="str">
        <f aca="false">IF(AND(ISNUMBER(N12),ISNUMBER(M12),M12&lt;&gt;0),N12/M12-1,"")</f>
        <v/>
      </c>
    </row>
    <row r="77" customFormat="false" ht="15" hidden="false" customHeight="false" outlineLevel="0" collapsed="false">
      <c r="A77" s="61" t="s">
        <v>1188</v>
      </c>
      <c r="C77" s="5" t="s">
        <v>1189</v>
      </c>
      <c r="F77" s="44" t="str">
        <f aca="false">IF(AND(ISNUMBER(F13),ISNUMBER(E13),E13&lt;&gt;0),F13/E13-1,"")</f>
        <v/>
      </c>
      <c r="G77" s="44" t="str">
        <f aca="false">IF(AND(ISNUMBER(G13),ISNUMBER(F13),F13&lt;&gt;0),G13/F13-1,"")</f>
        <v/>
      </c>
      <c r="H77" s="44" t="str">
        <f aca="false">IF(AND(ISNUMBER(H13),ISNUMBER(G13),G13&lt;&gt;0),H13/G13-1,"")</f>
        <v/>
      </c>
      <c r="I77" s="44" t="str">
        <f aca="false">IF(AND(ISNUMBER(I13),ISNUMBER(H13),H13&lt;&gt;0),I13/H13-1,"")</f>
        <v/>
      </c>
      <c r="J77" s="44" t="str">
        <f aca="false">IF(AND(ISNUMBER(J13),ISNUMBER(I13),I13&lt;&gt;0),J13/I13-1,"")</f>
        <v/>
      </c>
      <c r="K77" s="44" t="str">
        <f aca="false">IF(AND(ISNUMBER(K13),ISNUMBER(J13),J13&lt;&gt;0),K13/J13-1,"")</f>
        <v/>
      </c>
      <c r="L77" s="44" t="str">
        <f aca="false">IF(AND(ISNUMBER(L13),ISNUMBER(K13),K13&lt;&gt;0),L13/K13-1,"")</f>
        <v/>
      </c>
      <c r="M77" s="44" t="str">
        <f aca="false">IF(AND(ISNUMBER(M13),ISNUMBER(L13),L13&lt;&gt;0),M13/L13-1,"")</f>
        <v/>
      </c>
      <c r="N77" s="44" t="str">
        <f aca="false">IF(AND(ISNUMBER(N13),ISNUMBER(M13),M13&lt;&gt;0),N13/M13-1,"")</f>
        <v/>
      </c>
    </row>
    <row r="78" customFormat="false" ht="15" hidden="false" customHeight="false" outlineLevel="0" collapsed="false">
      <c r="A78" s="61" t="s">
        <v>1190</v>
      </c>
      <c r="C78" s="5" t="s">
        <v>1192</v>
      </c>
      <c r="F78" s="44" t="n">
        <f aca="false">IF(AND(ISNUMBER(F14),ISNUMBER(E14),E14&lt;&gt;0),F14/E14-1,"")</f>
        <v>-0.0946969696969697</v>
      </c>
      <c r="G78" s="44" t="n">
        <f aca="false">IF(AND(ISNUMBER(G14),ISNUMBER(F14),F14&lt;&gt;0),G14/F14-1,"")</f>
        <v>0</v>
      </c>
      <c r="H78" s="44" t="str">
        <f aca="false">IF(AND(ISNUMBER(H14),ISNUMBER(G14),G14&lt;&gt;0),H14/G14-1,"")</f>
        <v/>
      </c>
      <c r="I78" s="44" t="str">
        <f aca="false">IF(AND(ISNUMBER(I14),ISNUMBER(H14),H14&lt;&gt;0),I14/H14-1,"")</f>
        <v/>
      </c>
      <c r="J78" s="44" t="str">
        <f aca="false">IF(AND(ISNUMBER(J14),ISNUMBER(I14),I14&lt;&gt;0),J14/I14-1,"")</f>
        <v/>
      </c>
      <c r="K78" s="44" t="str">
        <f aca="false">IF(AND(ISNUMBER(K14),ISNUMBER(J14),J14&lt;&gt;0),K14/J14-1,"")</f>
        <v/>
      </c>
      <c r="L78" s="44" t="str">
        <f aca="false">IF(AND(ISNUMBER(L14),ISNUMBER(K14),K14&lt;&gt;0),L14/K14-1,"")</f>
        <v/>
      </c>
      <c r="M78" s="44" t="str">
        <f aca="false">IF(AND(ISNUMBER(M14),ISNUMBER(L14),L14&lt;&gt;0),M14/L14-1,"")</f>
        <v/>
      </c>
      <c r="N78" s="44" t="str">
        <f aca="false">IF(AND(ISNUMBER(N14),ISNUMBER(M14),M14&lt;&gt;0),N14/M14-1,"")</f>
        <v/>
      </c>
    </row>
    <row r="79" customFormat="false" ht="15" hidden="false" customHeight="false" outlineLevel="0" collapsed="false">
      <c r="A79" s="61" t="s">
        <v>1193</v>
      </c>
      <c r="C79" s="5" t="s">
        <v>1194</v>
      </c>
      <c r="F79" s="44" t="n">
        <f aca="false">IF(AND(ISNUMBER(F15),ISNUMBER(E15),E15&lt;&gt;0),F15/E15-1,"")</f>
        <v>0.00740740740740731</v>
      </c>
      <c r="G79" s="44" t="n">
        <f aca="false">IF(AND(ISNUMBER(G15),ISNUMBER(F15),F15&lt;&gt;0),G15/F15-1,"")</f>
        <v>-0.0367647058823529</v>
      </c>
      <c r="H79" s="44" t="str">
        <f aca="false">IF(AND(ISNUMBER(H15),ISNUMBER(G15),G15&lt;&gt;0),H15/G15-1,"")</f>
        <v/>
      </c>
      <c r="I79" s="44" t="str">
        <f aca="false">IF(AND(ISNUMBER(I15),ISNUMBER(H15),H15&lt;&gt;0),I15/H15-1,"")</f>
        <v/>
      </c>
      <c r="J79" s="44" t="str">
        <f aca="false">IF(AND(ISNUMBER(J15),ISNUMBER(I15),I15&lt;&gt;0),J15/I15-1,"")</f>
        <v/>
      </c>
      <c r="K79" s="44" t="str">
        <f aca="false">IF(AND(ISNUMBER(K15),ISNUMBER(J15),J15&lt;&gt;0),K15/J15-1,"")</f>
        <v/>
      </c>
      <c r="L79" s="44" t="str">
        <f aca="false">IF(AND(ISNUMBER(L15),ISNUMBER(K15),K15&lt;&gt;0),L15/K15-1,"")</f>
        <v/>
      </c>
      <c r="M79" s="44" t="str">
        <f aca="false">IF(AND(ISNUMBER(M15),ISNUMBER(L15),L15&lt;&gt;0),M15/L15-1,"")</f>
        <v/>
      </c>
      <c r="N79" s="44" t="str">
        <f aca="false">IF(AND(ISNUMBER(N15),ISNUMBER(M15),M15&lt;&gt;0),N15/M15-1,"")</f>
        <v/>
      </c>
    </row>
    <row r="80" customFormat="false" ht="15" hidden="false" customHeight="false" outlineLevel="0" collapsed="false">
      <c r="A80" s="61" t="s">
        <v>1195</v>
      </c>
      <c r="C80" s="5" t="s">
        <v>1196</v>
      </c>
      <c r="F80" s="44" t="str">
        <f aca="false">IF(AND(ISNUMBER(F16),ISNUMBER(E16),E16&lt;&gt;0),F16/E16-1,"")</f>
        <v/>
      </c>
      <c r="G80" s="44" t="str">
        <f aca="false">IF(AND(ISNUMBER(G16),ISNUMBER(F16),F16&lt;&gt;0),G16/F16-1,"")</f>
        <v/>
      </c>
      <c r="H80" s="44" t="str">
        <f aca="false">IF(AND(ISNUMBER(H16),ISNUMBER(G16),G16&lt;&gt;0),H16/G16-1,"")</f>
        <v/>
      </c>
      <c r="I80" s="44" t="str">
        <f aca="false">IF(AND(ISNUMBER(I16),ISNUMBER(H16),H16&lt;&gt;0),I16/H16-1,"")</f>
        <v/>
      </c>
      <c r="J80" s="44" t="str">
        <f aca="false">IF(AND(ISNUMBER(J16),ISNUMBER(I16),I16&lt;&gt;0),J16/I16-1,"")</f>
        <v/>
      </c>
      <c r="K80" s="44" t="str">
        <f aca="false">IF(AND(ISNUMBER(K16),ISNUMBER(J16),J16&lt;&gt;0),K16/J16-1,"")</f>
        <v/>
      </c>
      <c r="L80" s="44" t="str">
        <f aca="false">IF(AND(ISNUMBER(L16),ISNUMBER(K16),K16&lt;&gt;0),L16/K16-1,"")</f>
        <v/>
      </c>
      <c r="M80" s="44" t="str">
        <f aca="false">IF(AND(ISNUMBER(M16),ISNUMBER(L16),L16&lt;&gt;0),M16/L16-1,"")</f>
        <v/>
      </c>
      <c r="N80" s="44" t="str">
        <f aca="false">IF(AND(ISNUMBER(N16),ISNUMBER(M16),M16&lt;&gt;0),N16/M16-1,"")</f>
        <v/>
      </c>
    </row>
    <row r="81" customFormat="false" ht="15" hidden="false" customHeight="false" outlineLevel="0" collapsed="false">
      <c r="A81" s="61" t="s">
        <v>1197</v>
      </c>
      <c r="C81" s="5" t="s">
        <v>1198</v>
      </c>
      <c r="F81" s="44" t="str">
        <f aca="false">IF(AND(ISNUMBER(F17),ISNUMBER(E17),E17&lt;&gt;0),F17/E17-1,"")</f>
        <v/>
      </c>
      <c r="G81" s="44" t="str">
        <f aca="false">IF(AND(ISNUMBER(G17),ISNUMBER(F17),F17&lt;&gt;0),G17/F17-1,"")</f>
        <v/>
      </c>
      <c r="H81" s="44" t="str">
        <f aca="false">IF(AND(ISNUMBER(H17),ISNUMBER(G17),G17&lt;&gt;0),H17/G17-1,"")</f>
        <v/>
      </c>
      <c r="I81" s="44" t="str">
        <f aca="false">IF(AND(ISNUMBER(I17),ISNUMBER(H17),H17&lt;&gt;0),I17/H17-1,"")</f>
        <v/>
      </c>
      <c r="J81" s="44" t="str">
        <f aca="false">IF(AND(ISNUMBER(J17),ISNUMBER(I17),I17&lt;&gt;0),J17/I17-1,"")</f>
        <v/>
      </c>
      <c r="K81" s="44" t="str">
        <f aca="false">IF(AND(ISNUMBER(K17),ISNUMBER(J17),J17&lt;&gt;0),K17/J17-1,"")</f>
        <v/>
      </c>
      <c r="L81" s="44" t="str">
        <f aca="false">IF(AND(ISNUMBER(L17),ISNUMBER(K17),K17&lt;&gt;0),L17/K17-1,"")</f>
        <v/>
      </c>
      <c r="M81" s="44" t="str">
        <f aca="false">IF(AND(ISNUMBER(M17),ISNUMBER(L17),L17&lt;&gt;0),M17/L17-1,"")</f>
        <v/>
      </c>
      <c r="N81" s="44" t="str">
        <f aca="false">IF(AND(ISNUMBER(N17),ISNUMBER(M17),M17&lt;&gt;0),N17/M17-1,"")</f>
        <v/>
      </c>
    </row>
    <row r="82" customFormat="false" ht="15" hidden="false" customHeight="false" outlineLevel="0" collapsed="false">
      <c r="A82" s="61" t="s">
        <v>1199</v>
      </c>
      <c r="C82" s="5" t="s">
        <v>1200</v>
      </c>
      <c r="F82" s="44" t="str">
        <f aca="false">IF(AND(ISNUMBER(F18),ISNUMBER(E18),E18&lt;&gt;0),F18/E18-1,"")</f>
        <v/>
      </c>
      <c r="G82" s="44" t="str">
        <f aca="false">IF(AND(ISNUMBER(G18),ISNUMBER(F18),F18&lt;&gt;0),G18/F18-1,"")</f>
        <v/>
      </c>
      <c r="H82" s="44" t="str">
        <f aca="false">IF(AND(ISNUMBER(H18),ISNUMBER(G18),G18&lt;&gt;0),H18/G18-1,"")</f>
        <v/>
      </c>
      <c r="I82" s="44" t="str">
        <f aca="false">IF(AND(ISNUMBER(I18),ISNUMBER(H18),H18&lt;&gt;0),I18/H18-1,"")</f>
        <v/>
      </c>
      <c r="J82" s="44" t="str">
        <f aca="false">IF(AND(ISNUMBER(J18),ISNUMBER(I18),I18&lt;&gt;0),J18/I18-1,"")</f>
        <v/>
      </c>
      <c r="K82" s="44" t="str">
        <f aca="false">IF(AND(ISNUMBER(K18),ISNUMBER(J18),J18&lt;&gt;0),K18/J18-1,"")</f>
        <v/>
      </c>
      <c r="L82" s="44" t="str">
        <f aca="false">IF(AND(ISNUMBER(L18),ISNUMBER(K18),K18&lt;&gt;0),L18/K18-1,"")</f>
        <v/>
      </c>
      <c r="M82" s="44" t="str">
        <f aca="false">IF(AND(ISNUMBER(M18),ISNUMBER(L18),L18&lt;&gt;0),M18/L18-1,"")</f>
        <v/>
      </c>
      <c r="N82" s="44" t="str">
        <f aca="false">IF(AND(ISNUMBER(N18),ISNUMBER(M18),M18&lt;&gt;0),N18/M18-1,"")</f>
        <v/>
      </c>
    </row>
    <row r="83" customFormat="false" ht="15" hidden="false" customHeight="false" outlineLevel="0" collapsed="false">
      <c r="A83" s="61" t="s">
        <v>1201</v>
      </c>
      <c r="C83" s="5" t="s">
        <v>1202</v>
      </c>
      <c r="F83" s="44" t="str">
        <f aca="false">IF(AND(ISNUMBER(F19),ISNUMBER(E19),E19&lt;&gt;0),F19/E19-1,"")</f>
        <v/>
      </c>
      <c r="G83" s="44" t="str">
        <f aca="false">IF(AND(ISNUMBER(G19),ISNUMBER(F19),F19&lt;&gt;0),G19/F19-1,"")</f>
        <v/>
      </c>
      <c r="H83" s="44" t="str">
        <f aca="false">IF(AND(ISNUMBER(H19),ISNUMBER(G19),G19&lt;&gt;0),H19/G19-1,"")</f>
        <v/>
      </c>
      <c r="I83" s="44" t="str">
        <f aca="false">IF(AND(ISNUMBER(I19),ISNUMBER(H19),H19&lt;&gt;0),I19/H19-1,"")</f>
        <v/>
      </c>
      <c r="J83" s="44" t="str">
        <f aca="false">IF(AND(ISNUMBER(J19),ISNUMBER(I19),I19&lt;&gt;0),J19/I19-1,"")</f>
        <v/>
      </c>
      <c r="K83" s="44" t="str">
        <f aca="false">IF(AND(ISNUMBER(K19),ISNUMBER(J19),J19&lt;&gt;0),K19/J19-1,"")</f>
        <v/>
      </c>
      <c r="L83" s="44" t="str">
        <f aca="false">IF(AND(ISNUMBER(L19),ISNUMBER(K19),K19&lt;&gt;0),L19/K19-1,"")</f>
        <v/>
      </c>
      <c r="M83" s="44" t="str">
        <f aca="false">IF(AND(ISNUMBER(M19),ISNUMBER(L19),L19&lt;&gt;0),M19/L19-1,"")</f>
        <v/>
      </c>
      <c r="N83" s="44" t="str">
        <f aca="false">IF(AND(ISNUMBER(N19),ISNUMBER(M19),M19&lt;&gt;0),N19/M19-1,"")</f>
        <v/>
      </c>
    </row>
    <row r="84" customFormat="false" ht="15" hidden="false" customHeight="false" outlineLevel="0" collapsed="false">
      <c r="A84" s="61" t="s">
        <v>1203</v>
      </c>
      <c r="C84" s="5" t="s">
        <v>1204</v>
      </c>
      <c r="F84" s="44" t="str">
        <f aca="false">IF(AND(ISNUMBER(F20),ISNUMBER(E20),E20&lt;&gt;0),F20/E20-1,"")</f>
        <v/>
      </c>
      <c r="G84" s="44" t="str">
        <f aca="false">IF(AND(ISNUMBER(G20),ISNUMBER(F20),F20&lt;&gt;0),G20/F20-1,"")</f>
        <v/>
      </c>
      <c r="H84" s="44" t="str">
        <f aca="false">IF(AND(ISNUMBER(H20),ISNUMBER(G20),G20&lt;&gt;0),H20/G20-1,"")</f>
        <v/>
      </c>
      <c r="I84" s="44" t="str">
        <f aca="false">IF(AND(ISNUMBER(I20),ISNUMBER(H20),H20&lt;&gt;0),I20/H20-1,"")</f>
        <v/>
      </c>
      <c r="J84" s="44" t="str">
        <f aca="false">IF(AND(ISNUMBER(J20),ISNUMBER(I20),I20&lt;&gt;0),J20/I20-1,"")</f>
        <v/>
      </c>
      <c r="K84" s="44" t="str">
        <f aca="false">IF(AND(ISNUMBER(K20),ISNUMBER(J20),J20&lt;&gt;0),K20/J20-1,"")</f>
        <v/>
      </c>
      <c r="L84" s="44" t="str">
        <f aca="false">IF(AND(ISNUMBER(L20),ISNUMBER(K20),K20&lt;&gt;0),L20/K20-1,"")</f>
        <v/>
      </c>
      <c r="M84" s="44" t="str">
        <f aca="false">IF(AND(ISNUMBER(M20),ISNUMBER(L20),L20&lt;&gt;0),M20/L20-1,"")</f>
        <v/>
      </c>
      <c r="N84" s="44" t="str">
        <f aca="false">IF(AND(ISNUMBER(N20),ISNUMBER(M20),M20&lt;&gt;0),N20/M20-1,"")</f>
        <v/>
      </c>
    </row>
    <row r="85" customFormat="false" ht="15" hidden="false" customHeight="false" outlineLevel="0" collapsed="false">
      <c r="A85" s="61" t="s">
        <v>1205</v>
      </c>
      <c r="C85" s="5" t="s">
        <v>1206</v>
      </c>
      <c r="F85" s="44" t="str">
        <f aca="false">IF(AND(ISNUMBER(F21),ISNUMBER(E21),E21&lt;&gt;0),F21/E21-1,"")</f>
        <v/>
      </c>
      <c r="G85" s="44" t="str">
        <f aca="false">IF(AND(ISNUMBER(G21),ISNUMBER(F21),F21&lt;&gt;0),G21/F21-1,"")</f>
        <v/>
      </c>
      <c r="H85" s="44" t="str">
        <f aca="false">IF(AND(ISNUMBER(H21),ISNUMBER(G21),G21&lt;&gt;0),H21/G21-1,"")</f>
        <v/>
      </c>
      <c r="I85" s="44" t="str">
        <f aca="false">IF(AND(ISNUMBER(I21),ISNUMBER(H21),H21&lt;&gt;0),I21/H21-1,"")</f>
        <v/>
      </c>
      <c r="J85" s="44" t="str">
        <f aca="false">IF(AND(ISNUMBER(J21),ISNUMBER(I21),I21&lt;&gt;0),J21/I21-1,"")</f>
        <v/>
      </c>
      <c r="K85" s="44" t="str">
        <f aca="false">IF(AND(ISNUMBER(K21),ISNUMBER(J21),J21&lt;&gt;0),K21/J21-1,"")</f>
        <v/>
      </c>
      <c r="L85" s="44" t="str">
        <f aca="false">IF(AND(ISNUMBER(L21),ISNUMBER(K21),K21&lt;&gt;0),L21/K21-1,"")</f>
        <v/>
      </c>
      <c r="M85" s="44" t="str">
        <f aca="false">IF(AND(ISNUMBER(M21),ISNUMBER(L21),L21&lt;&gt;0),M21/L21-1,"")</f>
        <v/>
      </c>
      <c r="N85" s="44" t="str">
        <f aca="false">IF(AND(ISNUMBER(N21),ISNUMBER(M21),M21&lt;&gt;0),N21/M21-1,"")</f>
        <v/>
      </c>
    </row>
    <row r="86" customFormat="false" ht="15" hidden="false" customHeight="false" outlineLevel="0" collapsed="false">
      <c r="A86" s="61" t="s">
        <v>1207</v>
      </c>
      <c r="C86" s="5" t="s">
        <v>1208</v>
      </c>
      <c r="F86" s="44" t="n">
        <f aca="false">IF(AND(ISNUMBER(F22),ISNUMBER(E22),E22&lt;&gt;0),F22/E22-1,"")</f>
        <v>-0.133333333333333</v>
      </c>
      <c r="G86" s="44" t="n">
        <f aca="false">IF(AND(ISNUMBER(G22),ISNUMBER(F22),F22&lt;&gt;0),G22/F22-1,"")</f>
        <v>0.0461538461538462</v>
      </c>
      <c r="H86" s="44" t="str">
        <f aca="false">IF(AND(ISNUMBER(H22),ISNUMBER(G22),G22&lt;&gt;0),H22/G22-1,"")</f>
        <v/>
      </c>
      <c r="I86" s="44" t="str">
        <f aca="false">IF(AND(ISNUMBER(I22),ISNUMBER(H22),H22&lt;&gt;0),I22/H22-1,"")</f>
        <v/>
      </c>
      <c r="J86" s="44" t="str">
        <f aca="false">IF(AND(ISNUMBER(J22),ISNUMBER(I22),I22&lt;&gt;0),J22/I22-1,"")</f>
        <v/>
      </c>
      <c r="K86" s="44" t="str">
        <f aca="false">IF(AND(ISNUMBER(K22),ISNUMBER(J22),J22&lt;&gt;0),K22/J22-1,"")</f>
        <v/>
      </c>
      <c r="L86" s="44" t="str">
        <f aca="false">IF(AND(ISNUMBER(L22),ISNUMBER(K22),K22&lt;&gt;0),L22/K22-1,"")</f>
        <v/>
      </c>
      <c r="M86" s="44" t="str">
        <f aca="false">IF(AND(ISNUMBER(M22),ISNUMBER(L22),L22&lt;&gt;0),M22/L22-1,"")</f>
        <v/>
      </c>
      <c r="N86" s="44" t="str">
        <f aca="false">IF(AND(ISNUMBER(N22),ISNUMBER(M22),M22&lt;&gt;0),N22/M22-1,"")</f>
        <v/>
      </c>
    </row>
    <row r="87" customFormat="false" ht="15" hidden="false" customHeight="false" outlineLevel="0" collapsed="false">
      <c r="A87" s="61" t="s">
        <v>1209</v>
      </c>
      <c r="C87" s="5" t="s">
        <v>1210</v>
      </c>
      <c r="F87" s="44" t="n">
        <f aca="false">IF(AND(ISNUMBER(F23),ISNUMBER(E23),E23&lt;&gt;0),F23/E23-1,"")</f>
        <v>0.0166666666666666</v>
      </c>
      <c r="G87" s="44" t="n">
        <f aca="false">IF(AND(ISNUMBER(G23),ISNUMBER(F23),F23&lt;&gt;0),G23/F23-1,"")</f>
        <v>0.0163934426229508</v>
      </c>
      <c r="H87" s="44" t="str">
        <f aca="false">IF(AND(ISNUMBER(H23),ISNUMBER(G23),G23&lt;&gt;0),H23/G23-1,"")</f>
        <v/>
      </c>
      <c r="I87" s="44" t="str">
        <f aca="false">IF(AND(ISNUMBER(I23),ISNUMBER(H23),H23&lt;&gt;0),I23/H23-1,"")</f>
        <v/>
      </c>
      <c r="J87" s="44" t="str">
        <f aca="false">IF(AND(ISNUMBER(J23),ISNUMBER(I23),I23&lt;&gt;0),J23/I23-1,"")</f>
        <v/>
      </c>
      <c r="K87" s="44" t="str">
        <f aca="false">IF(AND(ISNUMBER(K23),ISNUMBER(J23),J23&lt;&gt;0),K23/J23-1,"")</f>
        <v/>
      </c>
      <c r="L87" s="44" t="str">
        <f aca="false">IF(AND(ISNUMBER(L23),ISNUMBER(K23),K23&lt;&gt;0),L23/K23-1,"")</f>
        <v/>
      </c>
      <c r="M87" s="44" t="str">
        <f aca="false">IF(AND(ISNUMBER(M23),ISNUMBER(L23),L23&lt;&gt;0),M23/L23-1,"")</f>
        <v/>
      </c>
      <c r="N87" s="44" t="str">
        <f aca="false">IF(AND(ISNUMBER(N23),ISNUMBER(M23),M23&lt;&gt;0),N23/M23-1,"")</f>
        <v/>
      </c>
    </row>
    <row r="88" customFormat="false" ht="15" hidden="false" customHeight="false" outlineLevel="0" collapsed="false">
      <c r="A88" s="61" t="s">
        <v>1211</v>
      </c>
      <c r="C88" s="5" t="s">
        <v>1212</v>
      </c>
      <c r="F88" s="44" t="str">
        <f aca="false">IF(AND(ISNUMBER(F24),ISNUMBER(E24),E24&lt;&gt;0),F24/E24-1,"")</f>
        <v/>
      </c>
      <c r="G88" s="44" t="str">
        <f aca="false">IF(AND(ISNUMBER(G24),ISNUMBER(F24),F24&lt;&gt;0),G24/F24-1,"")</f>
        <v/>
      </c>
      <c r="H88" s="44" t="str">
        <f aca="false">IF(AND(ISNUMBER(H24),ISNUMBER(G24),G24&lt;&gt;0),H24/G24-1,"")</f>
        <v/>
      </c>
      <c r="I88" s="44" t="str">
        <f aca="false">IF(AND(ISNUMBER(I24),ISNUMBER(H24),H24&lt;&gt;0),I24/H24-1,"")</f>
        <v/>
      </c>
      <c r="J88" s="44" t="str">
        <f aca="false">IF(AND(ISNUMBER(J24),ISNUMBER(I24),I24&lt;&gt;0),J24/I24-1,"")</f>
        <v/>
      </c>
      <c r="K88" s="44" t="str">
        <f aca="false">IF(AND(ISNUMBER(K24),ISNUMBER(J24),J24&lt;&gt;0),K24/J24-1,"")</f>
        <v/>
      </c>
      <c r="L88" s="44" t="str">
        <f aca="false">IF(AND(ISNUMBER(L24),ISNUMBER(K24),K24&lt;&gt;0),L24/K24-1,"")</f>
        <v/>
      </c>
      <c r="M88" s="44" t="str">
        <f aca="false">IF(AND(ISNUMBER(M24),ISNUMBER(L24),L24&lt;&gt;0),M24/L24-1,"")</f>
        <v/>
      </c>
      <c r="N88" s="44" t="str">
        <f aca="false">IF(AND(ISNUMBER(N24),ISNUMBER(M24),M24&lt;&gt;0),N24/M24-1,"")</f>
        <v/>
      </c>
    </row>
    <row r="89" customFormat="false" ht="15" hidden="false" customHeight="false" outlineLevel="0" collapsed="false">
      <c r="A89" s="61" t="s">
        <v>1213</v>
      </c>
      <c r="C89" s="5" t="s">
        <v>1214</v>
      </c>
      <c r="F89" s="44" t="str">
        <f aca="false">IF(AND(ISNUMBER(F25),ISNUMBER(E25),E25&lt;&gt;0),F25/E25-1,"")</f>
        <v/>
      </c>
      <c r="G89" s="44" t="str">
        <f aca="false">IF(AND(ISNUMBER(G25),ISNUMBER(F25),F25&lt;&gt;0),G25/F25-1,"")</f>
        <v/>
      </c>
      <c r="H89" s="44" t="str">
        <f aca="false">IF(AND(ISNUMBER(H25),ISNUMBER(G25),G25&lt;&gt;0),H25/G25-1,"")</f>
        <v/>
      </c>
      <c r="I89" s="44" t="str">
        <f aca="false">IF(AND(ISNUMBER(I25),ISNUMBER(H25),H25&lt;&gt;0),I25/H25-1,"")</f>
        <v/>
      </c>
      <c r="J89" s="44" t="str">
        <f aca="false">IF(AND(ISNUMBER(J25),ISNUMBER(I25),I25&lt;&gt;0),J25/I25-1,"")</f>
        <v/>
      </c>
      <c r="K89" s="44" t="str">
        <f aca="false">IF(AND(ISNUMBER(K25),ISNUMBER(J25),J25&lt;&gt;0),K25/J25-1,"")</f>
        <v/>
      </c>
      <c r="L89" s="44" t="str">
        <f aca="false">IF(AND(ISNUMBER(L25),ISNUMBER(K25),K25&lt;&gt;0),L25/K25-1,"")</f>
        <v/>
      </c>
      <c r="M89" s="44" t="str">
        <f aca="false">IF(AND(ISNUMBER(M25),ISNUMBER(L25),L25&lt;&gt;0),M25/L25-1,"")</f>
        <v/>
      </c>
      <c r="N89" s="44" t="str">
        <f aca="false">IF(AND(ISNUMBER(N25),ISNUMBER(M25),M25&lt;&gt;0),N25/M25-1,"")</f>
        <v/>
      </c>
    </row>
    <row r="90" customFormat="false" ht="15" hidden="false" customHeight="false" outlineLevel="0" collapsed="false">
      <c r="A90" s="61" t="s">
        <v>1215</v>
      </c>
      <c r="C90" s="5" t="s">
        <v>1216</v>
      </c>
      <c r="F90" s="44" t="str">
        <f aca="false">IF(AND(ISNUMBER(F26),ISNUMBER(E26),E26&lt;&gt;0),F26/E26-1,"")</f>
        <v/>
      </c>
      <c r="G90" s="44" t="str">
        <f aca="false">IF(AND(ISNUMBER(G26),ISNUMBER(F26),F26&lt;&gt;0),G26/F26-1,"")</f>
        <v/>
      </c>
      <c r="H90" s="44" t="str">
        <f aca="false">IF(AND(ISNUMBER(H26),ISNUMBER(G26),G26&lt;&gt;0),H26/G26-1,"")</f>
        <v/>
      </c>
      <c r="I90" s="44" t="str">
        <f aca="false">IF(AND(ISNUMBER(I26),ISNUMBER(H26),H26&lt;&gt;0),I26/H26-1,"")</f>
        <v/>
      </c>
      <c r="J90" s="44" t="str">
        <f aca="false">IF(AND(ISNUMBER(J26),ISNUMBER(I26),I26&lt;&gt;0),J26/I26-1,"")</f>
        <v/>
      </c>
      <c r="K90" s="44" t="str">
        <f aca="false">IF(AND(ISNUMBER(K26),ISNUMBER(J26),J26&lt;&gt;0),K26/J26-1,"")</f>
        <v/>
      </c>
      <c r="L90" s="44" t="str">
        <f aca="false">IF(AND(ISNUMBER(L26),ISNUMBER(K26),K26&lt;&gt;0),L26/K26-1,"")</f>
        <v/>
      </c>
      <c r="M90" s="44" t="str">
        <f aca="false">IF(AND(ISNUMBER(M26),ISNUMBER(L26),L26&lt;&gt;0),M26/L26-1,"")</f>
        <v/>
      </c>
      <c r="N90" s="44" t="str">
        <f aca="false">IF(AND(ISNUMBER(N26),ISNUMBER(M26),M26&lt;&gt;0),N26/M26-1,"")</f>
        <v/>
      </c>
    </row>
    <row r="91" customFormat="false" ht="15" hidden="false" customHeight="false" outlineLevel="0" collapsed="false">
      <c r="A91" s="61" t="s">
        <v>1217</v>
      </c>
      <c r="C91" s="5" t="s">
        <v>1218</v>
      </c>
      <c r="F91" s="44" t="str">
        <f aca="false">IF(AND(ISNUMBER(F27),ISNUMBER(E27),E27&lt;&gt;0),F27/E27-1,"")</f>
        <v/>
      </c>
      <c r="G91" s="44" t="str">
        <f aca="false">IF(AND(ISNUMBER(G27),ISNUMBER(F27),F27&lt;&gt;0),G27/F27-1,"")</f>
        <v/>
      </c>
      <c r="H91" s="44" t="str">
        <f aca="false">IF(AND(ISNUMBER(H27),ISNUMBER(G27),G27&lt;&gt;0),H27/G27-1,"")</f>
        <v/>
      </c>
      <c r="I91" s="44" t="str">
        <f aca="false">IF(AND(ISNUMBER(I27),ISNUMBER(H27),H27&lt;&gt;0),I27/H27-1,"")</f>
        <v/>
      </c>
      <c r="J91" s="44" t="str">
        <f aca="false">IF(AND(ISNUMBER(J27),ISNUMBER(I27),I27&lt;&gt;0),J27/I27-1,"")</f>
        <v/>
      </c>
      <c r="K91" s="44" t="str">
        <f aca="false">IF(AND(ISNUMBER(K27),ISNUMBER(J27),J27&lt;&gt;0),K27/J27-1,"")</f>
        <v/>
      </c>
      <c r="L91" s="44" t="str">
        <f aca="false">IF(AND(ISNUMBER(L27),ISNUMBER(K27),K27&lt;&gt;0),L27/K27-1,"")</f>
        <v/>
      </c>
      <c r="M91" s="44" t="str">
        <f aca="false">IF(AND(ISNUMBER(M27),ISNUMBER(L27),L27&lt;&gt;0),M27/L27-1,"")</f>
        <v/>
      </c>
      <c r="N91" s="44" t="str">
        <f aca="false">IF(AND(ISNUMBER(N27),ISNUMBER(M27),M27&lt;&gt;0),N27/M27-1,"")</f>
        <v/>
      </c>
    </row>
    <row r="92" customFormat="false" ht="15" hidden="false" customHeight="false" outlineLevel="0" collapsed="false">
      <c r="A92" s="61" t="s">
        <v>1219</v>
      </c>
      <c r="C92" s="5" t="s">
        <v>1220</v>
      </c>
      <c r="F92" s="44" t="str">
        <f aca="false">IF(AND(ISNUMBER(F28),ISNUMBER(E28),E28&lt;&gt;0),F28/E28-1,"")</f>
        <v/>
      </c>
      <c r="G92" s="44" t="str">
        <f aca="false">IF(AND(ISNUMBER(G28),ISNUMBER(F28),F28&lt;&gt;0),G28/F28-1,"")</f>
        <v/>
      </c>
      <c r="H92" s="44" t="str">
        <f aca="false">IF(AND(ISNUMBER(H28),ISNUMBER(G28),G28&lt;&gt;0),H28/G28-1,"")</f>
        <v/>
      </c>
      <c r="I92" s="44" t="str">
        <f aca="false">IF(AND(ISNUMBER(I28),ISNUMBER(H28),H28&lt;&gt;0),I28/H28-1,"")</f>
        <v/>
      </c>
      <c r="J92" s="44" t="str">
        <f aca="false">IF(AND(ISNUMBER(J28),ISNUMBER(I28),I28&lt;&gt;0),J28/I28-1,"")</f>
        <v/>
      </c>
      <c r="K92" s="44" t="str">
        <f aca="false">IF(AND(ISNUMBER(K28),ISNUMBER(J28),J28&lt;&gt;0),K28/J28-1,"")</f>
        <v/>
      </c>
      <c r="L92" s="44" t="str">
        <f aca="false">IF(AND(ISNUMBER(L28),ISNUMBER(K28),K28&lt;&gt;0),L28/K28-1,"")</f>
        <v/>
      </c>
      <c r="M92" s="44" t="str">
        <f aca="false">IF(AND(ISNUMBER(M28),ISNUMBER(L28),L28&lt;&gt;0),M28/L28-1,"")</f>
        <v/>
      </c>
      <c r="N92" s="44" t="str">
        <f aca="false">IF(AND(ISNUMBER(N28),ISNUMBER(M28),M28&lt;&gt;0),N28/M28-1,"")</f>
        <v/>
      </c>
    </row>
    <row r="93" customFormat="false" ht="15" hidden="false" customHeight="false" outlineLevel="0" collapsed="false">
      <c r="A93" s="61" t="s">
        <v>1221</v>
      </c>
      <c r="C93" s="5" t="s">
        <v>1222</v>
      </c>
      <c r="F93" s="44" t="str">
        <f aca="false">IF(AND(ISNUMBER(F29),ISNUMBER(E29),E29&lt;&gt;0),F29/E29-1,"")</f>
        <v/>
      </c>
      <c r="G93" s="44" t="str">
        <f aca="false">IF(AND(ISNUMBER(G29),ISNUMBER(F29),F29&lt;&gt;0),G29/F29-1,"")</f>
        <v/>
      </c>
      <c r="H93" s="44" t="str">
        <f aca="false">IF(AND(ISNUMBER(H29),ISNUMBER(G29),G29&lt;&gt;0),H29/G29-1,"")</f>
        <v/>
      </c>
      <c r="I93" s="44" t="str">
        <f aca="false">IF(AND(ISNUMBER(I29),ISNUMBER(H29),H29&lt;&gt;0),I29/H29-1,"")</f>
        <v/>
      </c>
      <c r="J93" s="44" t="str">
        <f aca="false">IF(AND(ISNUMBER(J29),ISNUMBER(I29),I29&lt;&gt;0),J29/I29-1,"")</f>
        <v/>
      </c>
      <c r="K93" s="44" t="str">
        <f aca="false">IF(AND(ISNUMBER(K29),ISNUMBER(J29),J29&lt;&gt;0),K29/J29-1,"")</f>
        <v/>
      </c>
      <c r="L93" s="44" t="str">
        <f aca="false">IF(AND(ISNUMBER(L29),ISNUMBER(K29),K29&lt;&gt;0),L29/K29-1,"")</f>
        <v/>
      </c>
      <c r="M93" s="44" t="str">
        <f aca="false">IF(AND(ISNUMBER(M29),ISNUMBER(L29),L29&lt;&gt;0),M29/L29-1,"")</f>
        <v/>
      </c>
      <c r="N93" s="44" t="str">
        <f aca="false">IF(AND(ISNUMBER(N29),ISNUMBER(M29),M29&lt;&gt;0),N29/M29-1,"")</f>
        <v/>
      </c>
    </row>
    <row r="94" customFormat="false" ht="23.85" hidden="false" customHeight="false" outlineLevel="0" collapsed="false">
      <c r="A94" s="61" t="s">
        <v>1223</v>
      </c>
      <c r="C94" s="5" t="s">
        <v>1224</v>
      </c>
      <c r="F94" s="44" t="str">
        <f aca="false">IF(AND(ISNUMBER(F30),ISNUMBER(E30),E30&lt;&gt;0),F30/E30-1,"")</f>
        <v/>
      </c>
      <c r="G94" s="44" t="str">
        <f aca="false">IF(AND(ISNUMBER(G30),ISNUMBER(F30),F30&lt;&gt;0),G30/F30-1,"")</f>
        <v/>
      </c>
      <c r="H94" s="44" t="str">
        <f aca="false">IF(AND(ISNUMBER(H30),ISNUMBER(G30),G30&lt;&gt;0),H30/G30-1,"")</f>
        <v/>
      </c>
      <c r="I94" s="44" t="str">
        <f aca="false">IF(AND(ISNUMBER(I30),ISNUMBER(H30),H30&lt;&gt;0),I30/H30-1,"")</f>
        <v/>
      </c>
      <c r="J94" s="44" t="str">
        <f aca="false">IF(AND(ISNUMBER(J30),ISNUMBER(I30),I30&lt;&gt;0),J30/I30-1,"")</f>
        <v/>
      </c>
      <c r="K94" s="44" t="str">
        <f aca="false">IF(AND(ISNUMBER(K30),ISNUMBER(J30),J30&lt;&gt;0),K30/J30-1,"")</f>
        <v/>
      </c>
      <c r="L94" s="44" t="str">
        <f aca="false">IF(AND(ISNUMBER(L30),ISNUMBER(K30),K30&lt;&gt;0),L30/K30-1,"")</f>
        <v/>
      </c>
      <c r="M94" s="44" t="str">
        <f aca="false">IF(AND(ISNUMBER(M30),ISNUMBER(L30),L30&lt;&gt;0),M30/L30-1,"")</f>
        <v/>
      </c>
      <c r="N94" s="44" t="str">
        <f aca="false">IF(AND(ISNUMBER(N30),ISNUMBER(M30),M30&lt;&gt;0),N30/M30-1,"")</f>
        <v/>
      </c>
    </row>
    <row r="95" customFormat="false" ht="23.85" hidden="false" customHeight="false" outlineLevel="0" collapsed="false">
      <c r="A95" s="61" t="s">
        <v>1226</v>
      </c>
      <c r="C95" s="5" t="s">
        <v>1227</v>
      </c>
      <c r="F95" s="44" t="str">
        <f aca="false">IF(AND(ISNUMBER(F31),ISNUMBER(E31),E31&lt;&gt;0),F31/E31-1,"")</f>
        <v/>
      </c>
      <c r="G95" s="44" t="str">
        <f aca="false">IF(AND(ISNUMBER(G31),ISNUMBER(F31),F31&lt;&gt;0),G31/F31-1,"")</f>
        <v/>
      </c>
      <c r="H95" s="44" t="str">
        <f aca="false">IF(AND(ISNUMBER(H31),ISNUMBER(G31),G31&lt;&gt;0),H31/G31-1,"")</f>
        <v/>
      </c>
      <c r="I95" s="44" t="str">
        <f aca="false">IF(AND(ISNUMBER(I31),ISNUMBER(H31),H31&lt;&gt;0),I31/H31-1,"")</f>
        <v/>
      </c>
      <c r="J95" s="44" t="str">
        <f aca="false">IF(AND(ISNUMBER(J31),ISNUMBER(I31),I31&lt;&gt;0),J31/I31-1,"")</f>
        <v/>
      </c>
      <c r="K95" s="44" t="str">
        <f aca="false">IF(AND(ISNUMBER(K31),ISNUMBER(J31),J31&lt;&gt;0),K31/J31-1,"")</f>
        <v/>
      </c>
      <c r="L95" s="44" t="str">
        <f aca="false">IF(AND(ISNUMBER(L31),ISNUMBER(K31),K31&lt;&gt;0),L31/K31-1,"")</f>
        <v/>
      </c>
      <c r="M95" s="44" t="str">
        <f aca="false">IF(AND(ISNUMBER(M31),ISNUMBER(L31),L31&lt;&gt;0),M31/L31-1,"")</f>
        <v/>
      </c>
      <c r="N95" s="44" t="str">
        <f aca="false">IF(AND(ISNUMBER(N31),ISNUMBER(M31),M31&lt;&gt;0),N31/M31-1,"")</f>
        <v/>
      </c>
    </row>
    <row r="96" customFormat="false" ht="23.85" hidden="false" customHeight="false" outlineLevel="0" collapsed="false">
      <c r="A96" s="61" t="s">
        <v>1228</v>
      </c>
      <c r="C96" s="5" t="s">
        <v>1229</v>
      </c>
      <c r="F96" s="44" t="str">
        <f aca="false">IF(AND(ISNUMBER(F32),ISNUMBER(E32),E32&lt;&gt;0),F32/E32-1,"")</f>
        <v/>
      </c>
      <c r="G96" s="44" t="str">
        <f aca="false">IF(AND(ISNUMBER(G32),ISNUMBER(F32),F32&lt;&gt;0),G32/F32-1,"")</f>
        <v/>
      </c>
      <c r="H96" s="44" t="str">
        <f aca="false">IF(AND(ISNUMBER(H32),ISNUMBER(G32),G32&lt;&gt;0),H32/G32-1,"")</f>
        <v/>
      </c>
      <c r="I96" s="44" t="str">
        <f aca="false">IF(AND(ISNUMBER(I32),ISNUMBER(H32),H32&lt;&gt;0),I32/H32-1,"")</f>
        <v/>
      </c>
      <c r="J96" s="44" t="str">
        <f aca="false">IF(AND(ISNUMBER(J32),ISNUMBER(I32),I32&lt;&gt;0),J32/I32-1,"")</f>
        <v/>
      </c>
      <c r="K96" s="44" t="str">
        <f aca="false">IF(AND(ISNUMBER(K32),ISNUMBER(J32),J32&lt;&gt;0),K32/J32-1,"")</f>
        <v/>
      </c>
      <c r="L96" s="44" t="str">
        <f aca="false">IF(AND(ISNUMBER(L32),ISNUMBER(K32),K32&lt;&gt;0),L32/K32-1,"")</f>
        <v/>
      </c>
      <c r="M96" s="44" t="str">
        <f aca="false">IF(AND(ISNUMBER(M32),ISNUMBER(L32),L32&lt;&gt;0),M32/L32-1,"")</f>
        <v/>
      </c>
      <c r="N96" s="44" t="str">
        <f aca="false">IF(AND(ISNUMBER(N32),ISNUMBER(M32),M32&lt;&gt;0),N32/M32-1,"")</f>
        <v/>
      </c>
    </row>
    <row r="97" customFormat="false" ht="23.85" hidden="false" customHeight="false" outlineLevel="0" collapsed="false">
      <c r="A97" s="61" t="s">
        <v>1230</v>
      </c>
      <c r="C97" s="5" t="s">
        <v>1231</v>
      </c>
      <c r="F97" s="44" t="str">
        <f aca="false">IF(AND(ISNUMBER(F33),ISNUMBER(E33),E33&lt;&gt;0),F33/E33-1,"")</f>
        <v/>
      </c>
      <c r="G97" s="44" t="str">
        <f aca="false">IF(AND(ISNUMBER(G33),ISNUMBER(F33),F33&lt;&gt;0),G33/F33-1,"")</f>
        <v/>
      </c>
      <c r="H97" s="44" t="str">
        <f aca="false">IF(AND(ISNUMBER(H33),ISNUMBER(G33),G33&lt;&gt;0),H33/G33-1,"")</f>
        <v/>
      </c>
      <c r="I97" s="44" t="str">
        <f aca="false">IF(AND(ISNUMBER(I33),ISNUMBER(H33),H33&lt;&gt;0),I33/H33-1,"")</f>
        <v/>
      </c>
      <c r="J97" s="44" t="str">
        <f aca="false">IF(AND(ISNUMBER(J33),ISNUMBER(I33),I33&lt;&gt;0),J33/I33-1,"")</f>
        <v/>
      </c>
      <c r="K97" s="44" t="str">
        <f aca="false">IF(AND(ISNUMBER(K33),ISNUMBER(J33),J33&lt;&gt;0),K33/J33-1,"")</f>
        <v/>
      </c>
      <c r="L97" s="44" t="str">
        <f aca="false">IF(AND(ISNUMBER(L33),ISNUMBER(K33),K33&lt;&gt;0),L33/K33-1,"")</f>
        <v/>
      </c>
      <c r="M97" s="44" t="str">
        <f aca="false">IF(AND(ISNUMBER(M33),ISNUMBER(L33),L33&lt;&gt;0),M33/L33-1,"")</f>
        <v/>
      </c>
      <c r="N97" s="44" t="str">
        <f aca="false">IF(AND(ISNUMBER(N33),ISNUMBER(M33),M33&lt;&gt;0),N33/M33-1,"")</f>
        <v/>
      </c>
    </row>
    <row r="98" customFormat="false" ht="23.85" hidden="false" customHeight="false" outlineLevel="0" collapsed="false">
      <c r="A98" s="61" t="s">
        <v>1232</v>
      </c>
      <c r="C98" s="5" t="s">
        <v>1233</v>
      </c>
      <c r="F98" s="44" t="str">
        <f aca="false">IF(AND(ISNUMBER(F34),ISNUMBER(E34),E34&lt;&gt;0),F34/E34-1,"")</f>
        <v/>
      </c>
      <c r="G98" s="44" t="str">
        <f aca="false">IF(AND(ISNUMBER(G34),ISNUMBER(F34),F34&lt;&gt;0),G34/F34-1,"")</f>
        <v/>
      </c>
      <c r="H98" s="44" t="str">
        <f aca="false">IF(AND(ISNUMBER(H34),ISNUMBER(G34),G34&lt;&gt;0),H34/G34-1,"")</f>
        <v/>
      </c>
      <c r="I98" s="44" t="str">
        <f aca="false">IF(AND(ISNUMBER(I34),ISNUMBER(H34),H34&lt;&gt;0),I34/H34-1,"")</f>
        <v/>
      </c>
      <c r="J98" s="44" t="str">
        <f aca="false">IF(AND(ISNUMBER(J34),ISNUMBER(I34),I34&lt;&gt;0),J34/I34-1,"")</f>
        <v/>
      </c>
      <c r="K98" s="44" t="str">
        <f aca="false">IF(AND(ISNUMBER(K34),ISNUMBER(J34),J34&lt;&gt;0),K34/J34-1,"")</f>
        <v/>
      </c>
      <c r="L98" s="44" t="str">
        <f aca="false">IF(AND(ISNUMBER(L34),ISNUMBER(K34),K34&lt;&gt;0),L34/K34-1,"")</f>
        <v/>
      </c>
      <c r="M98" s="44" t="str">
        <f aca="false">IF(AND(ISNUMBER(M34),ISNUMBER(L34),L34&lt;&gt;0),M34/L34-1,"")</f>
        <v/>
      </c>
      <c r="N98" s="44" t="str">
        <f aca="false">IF(AND(ISNUMBER(N34),ISNUMBER(M34),M34&lt;&gt;0),N34/M34-1,"")</f>
        <v/>
      </c>
    </row>
    <row r="99" customFormat="false" ht="23.85" hidden="false" customHeight="false" outlineLevel="0" collapsed="false">
      <c r="A99" s="61" t="s">
        <v>1234</v>
      </c>
      <c r="C99" s="5" t="s">
        <v>1235</v>
      </c>
      <c r="F99" s="44" t="str">
        <f aca="false">IF(AND(ISNUMBER(F35),ISNUMBER(E35),E35&lt;&gt;0),F35/E35-1,"")</f>
        <v/>
      </c>
      <c r="G99" s="44" t="str">
        <f aca="false">IF(AND(ISNUMBER(G35),ISNUMBER(F35),F35&lt;&gt;0),G35/F35-1,"")</f>
        <v/>
      </c>
      <c r="H99" s="44" t="str">
        <f aca="false">IF(AND(ISNUMBER(H35),ISNUMBER(G35),G35&lt;&gt;0),H35/G35-1,"")</f>
        <v/>
      </c>
      <c r="I99" s="44" t="str">
        <f aca="false">IF(AND(ISNUMBER(I35),ISNUMBER(H35),H35&lt;&gt;0),I35/H35-1,"")</f>
        <v/>
      </c>
      <c r="J99" s="44" t="str">
        <f aca="false">IF(AND(ISNUMBER(J35),ISNUMBER(I35),I35&lt;&gt;0),J35/I35-1,"")</f>
        <v/>
      </c>
      <c r="K99" s="44" t="str">
        <f aca="false">IF(AND(ISNUMBER(K35),ISNUMBER(J35),J35&lt;&gt;0),K35/J35-1,"")</f>
        <v/>
      </c>
      <c r="L99" s="44" t="str">
        <f aca="false">IF(AND(ISNUMBER(L35),ISNUMBER(K35),K35&lt;&gt;0),L35/K35-1,"")</f>
        <v/>
      </c>
      <c r="M99" s="44" t="str">
        <f aca="false">IF(AND(ISNUMBER(M35),ISNUMBER(L35),L35&lt;&gt;0),M35/L35-1,"")</f>
        <v/>
      </c>
      <c r="N99" s="44" t="str">
        <f aca="false">IF(AND(ISNUMBER(N35),ISNUMBER(M35),M35&lt;&gt;0),N35/M35-1,"")</f>
        <v/>
      </c>
    </row>
    <row r="100" customFormat="false" ht="23.85" hidden="false" customHeight="false" outlineLevel="0" collapsed="false">
      <c r="A100" s="61" t="s">
        <v>1236</v>
      </c>
      <c r="C100" s="5" t="s">
        <v>1237</v>
      </c>
      <c r="F100" s="44" t="str">
        <f aca="false">IF(AND(ISNUMBER(F36),ISNUMBER(E36),E36&lt;&gt;0),F36/E36-1,"")</f>
        <v/>
      </c>
      <c r="G100" s="44" t="str">
        <f aca="false">IF(AND(ISNUMBER(G36),ISNUMBER(F36),F36&lt;&gt;0),G36/F36-1,"")</f>
        <v/>
      </c>
      <c r="H100" s="44" t="str">
        <f aca="false">IF(AND(ISNUMBER(H36),ISNUMBER(G36),G36&lt;&gt;0),H36/G36-1,"")</f>
        <v/>
      </c>
      <c r="I100" s="44" t="str">
        <f aca="false">IF(AND(ISNUMBER(I36),ISNUMBER(H36),H36&lt;&gt;0),I36/H36-1,"")</f>
        <v/>
      </c>
      <c r="J100" s="44" t="str">
        <f aca="false">IF(AND(ISNUMBER(J36),ISNUMBER(I36),I36&lt;&gt;0),J36/I36-1,"")</f>
        <v/>
      </c>
      <c r="K100" s="44" t="str">
        <f aca="false">IF(AND(ISNUMBER(K36),ISNUMBER(J36),J36&lt;&gt;0),K36/J36-1,"")</f>
        <v/>
      </c>
      <c r="L100" s="44" t="str">
        <f aca="false">IF(AND(ISNUMBER(L36),ISNUMBER(K36),K36&lt;&gt;0),L36/K36-1,"")</f>
        <v/>
      </c>
      <c r="M100" s="44" t="str">
        <f aca="false">IF(AND(ISNUMBER(M36),ISNUMBER(L36),L36&lt;&gt;0),M36/L36-1,"")</f>
        <v/>
      </c>
      <c r="N100" s="44" t="str">
        <f aca="false">IF(AND(ISNUMBER(N36),ISNUMBER(M36),M36&lt;&gt;0),N36/M36-1,"")</f>
        <v/>
      </c>
    </row>
    <row r="101" customFormat="false" ht="23.85" hidden="false" customHeight="false" outlineLevel="0" collapsed="false">
      <c r="A101" s="61" t="s">
        <v>1238</v>
      </c>
      <c r="C101" s="5" t="s">
        <v>1239</v>
      </c>
      <c r="F101" s="44" t="str">
        <f aca="false">IF(AND(ISNUMBER(F37),ISNUMBER(E37),E37&lt;&gt;0),F37/E37-1,"")</f>
        <v/>
      </c>
      <c r="G101" s="44" t="str">
        <f aca="false">IF(AND(ISNUMBER(G37),ISNUMBER(F37),F37&lt;&gt;0),G37/F37-1,"")</f>
        <v/>
      </c>
      <c r="H101" s="44" t="str">
        <f aca="false">IF(AND(ISNUMBER(H37),ISNUMBER(G37),G37&lt;&gt;0),H37/G37-1,"")</f>
        <v/>
      </c>
      <c r="I101" s="44" t="str">
        <f aca="false">IF(AND(ISNUMBER(I37),ISNUMBER(H37),H37&lt;&gt;0),I37/H37-1,"")</f>
        <v/>
      </c>
      <c r="J101" s="44" t="str">
        <f aca="false">IF(AND(ISNUMBER(J37),ISNUMBER(I37),I37&lt;&gt;0),J37/I37-1,"")</f>
        <v/>
      </c>
      <c r="K101" s="44" t="str">
        <f aca="false">IF(AND(ISNUMBER(K37),ISNUMBER(J37),J37&lt;&gt;0),K37/J37-1,"")</f>
        <v/>
      </c>
      <c r="L101" s="44" t="str">
        <f aca="false">IF(AND(ISNUMBER(L37),ISNUMBER(K37),K37&lt;&gt;0),L37/K37-1,"")</f>
        <v/>
      </c>
      <c r="M101" s="44" t="str">
        <f aca="false">IF(AND(ISNUMBER(M37),ISNUMBER(L37),L37&lt;&gt;0),M37/L37-1,"")</f>
        <v/>
      </c>
      <c r="N101" s="44" t="str">
        <f aca="false">IF(AND(ISNUMBER(N37),ISNUMBER(M37),M37&lt;&gt;0),N37/M37-1,"")</f>
        <v/>
      </c>
    </row>
    <row r="102" customFormat="false" ht="15" hidden="false" customHeight="false" outlineLevel="0" collapsed="false">
      <c r="A102" s="61" t="s">
        <v>1240</v>
      </c>
      <c r="C102" s="5" t="s">
        <v>1241</v>
      </c>
      <c r="F102" s="44" t="str">
        <f aca="false">IF(AND(ISNUMBER(F38),ISNUMBER(E38),E38&lt;&gt;0),F38/E38-1,"")</f>
        <v/>
      </c>
      <c r="G102" s="44" t="str">
        <f aca="false">IF(AND(ISNUMBER(G38),ISNUMBER(F38),F38&lt;&gt;0),G38/F38-1,"")</f>
        <v/>
      </c>
      <c r="H102" s="44" t="str">
        <f aca="false">IF(AND(ISNUMBER(H38),ISNUMBER(G38),G38&lt;&gt;0),H38/G38-1,"")</f>
        <v/>
      </c>
      <c r="I102" s="44" t="str">
        <f aca="false">IF(AND(ISNUMBER(I38),ISNUMBER(H38),H38&lt;&gt;0),I38/H38-1,"")</f>
        <v/>
      </c>
      <c r="J102" s="44" t="str">
        <f aca="false">IF(AND(ISNUMBER(J38),ISNUMBER(I38),I38&lt;&gt;0),J38/I38-1,"")</f>
        <v/>
      </c>
      <c r="K102" s="44" t="str">
        <f aca="false">IF(AND(ISNUMBER(K38),ISNUMBER(J38),J38&lt;&gt;0),K38/J38-1,"")</f>
        <v/>
      </c>
      <c r="L102" s="44" t="str">
        <f aca="false">IF(AND(ISNUMBER(L38),ISNUMBER(K38),K38&lt;&gt;0),L38/K38-1,"")</f>
        <v/>
      </c>
      <c r="M102" s="44" t="str">
        <f aca="false">IF(AND(ISNUMBER(M38),ISNUMBER(L38),L38&lt;&gt;0),M38/L38-1,"")</f>
        <v/>
      </c>
      <c r="N102" s="44" t="str">
        <f aca="false">IF(AND(ISNUMBER(N38),ISNUMBER(M38),M38&lt;&gt;0),N38/M38-1,"")</f>
        <v/>
      </c>
    </row>
    <row r="103" customFormat="false" ht="15" hidden="false" customHeight="false" outlineLevel="0" collapsed="false">
      <c r="A103" s="61" t="s">
        <v>1243</v>
      </c>
      <c r="C103" s="5" t="s">
        <v>1244</v>
      </c>
      <c r="F103" s="44" t="str">
        <f aca="false">IF(AND(ISNUMBER(F39),ISNUMBER(E39),E39&lt;&gt;0),F39/E39-1,"")</f>
        <v/>
      </c>
      <c r="G103" s="44" t="str">
        <f aca="false">IF(AND(ISNUMBER(G39),ISNUMBER(F39),F39&lt;&gt;0),G39/F39-1,"")</f>
        <v/>
      </c>
      <c r="H103" s="44" t="str">
        <f aca="false">IF(AND(ISNUMBER(H39),ISNUMBER(G39),G39&lt;&gt;0),H39/G39-1,"")</f>
        <v/>
      </c>
      <c r="I103" s="44" t="str">
        <f aca="false">IF(AND(ISNUMBER(I39),ISNUMBER(H39),H39&lt;&gt;0),I39/H39-1,"")</f>
        <v/>
      </c>
      <c r="J103" s="44" t="str">
        <f aca="false">IF(AND(ISNUMBER(J39),ISNUMBER(I39),I39&lt;&gt;0),J39/I39-1,"")</f>
        <v/>
      </c>
      <c r="K103" s="44" t="str">
        <f aca="false">IF(AND(ISNUMBER(K39),ISNUMBER(J39),J39&lt;&gt;0),K39/J39-1,"")</f>
        <v/>
      </c>
      <c r="L103" s="44" t="str">
        <f aca="false">IF(AND(ISNUMBER(L39),ISNUMBER(K39),K39&lt;&gt;0),L39/K39-1,"")</f>
        <v/>
      </c>
      <c r="M103" s="44" t="str">
        <f aca="false">IF(AND(ISNUMBER(M39),ISNUMBER(L39),L39&lt;&gt;0),M39/L39-1,"")</f>
        <v/>
      </c>
      <c r="N103" s="44" t="str">
        <f aca="false">IF(AND(ISNUMBER(N39),ISNUMBER(M39),M39&lt;&gt;0),N39/M39-1,"")</f>
        <v/>
      </c>
    </row>
    <row r="104" customFormat="false" ht="15" hidden="false" customHeight="false" outlineLevel="0" collapsed="false">
      <c r="A104" s="61" t="s">
        <v>1245</v>
      </c>
      <c r="C104" s="5" t="s">
        <v>1246</v>
      </c>
      <c r="F104" s="44" t="str">
        <f aca="false">IF(AND(ISNUMBER(F40),ISNUMBER(E40),E40&lt;&gt;0),F40/E40-1,"")</f>
        <v/>
      </c>
      <c r="G104" s="44" t="str">
        <f aca="false">IF(AND(ISNUMBER(G40),ISNUMBER(F40),F40&lt;&gt;0),G40/F40-1,"")</f>
        <v/>
      </c>
      <c r="H104" s="44" t="str">
        <f aca="false">IF(AND(ISNUMBER(H40),ISNUMBER(G40),G40&lt;&gt;0),H40/G40-1,"")</f>
        <v/>
      </c>
      <c r="I104" s="44" t="str">
        <f aca="false">IF(AND(ISNUMBER(I40),ISNUMBER(H40),H40&lt;&gt;0),I40/H40-1,"")</f>
        <v/>
      </c>
      <c r="J104" s="44" t="str">
        <f aca="false">IF(AND(ISNUMBER(J40),ISNUMBER(I40),I40&lt;&gt;0),J40/I40-1,"")</f>
        <v/>
      </c>
      <c r="K104" s="44" t="str">
        <f aca="false">IF(AND(ISNUMBER(K40),ISNUMBER(J40),J40&lt;&gt;0),K40/J40-1,"")</f>
        <v/>
      </c>
      <c r="L104" s="44" t="str">
        <f aca="false">IF(AND(ISNUMBER(L40),ISNUMBER(K40),K40&lt;&gt;0),L40/K40-1,"")</f>
        <v/>
      </c>
      <c r="M104" s="44" t="str">
        <f aca="false">IF(AND(ISNUMBER(M40),ISNUMBER(L40),L40&lt;&gt;0),M40/L40-1,"")</f>
        <v/>
      </c>
      <c r="N104" s="44" t="str">
        <f aca="false">IF(AND(ISNUMBER(N40),ISNUMBER(M40),M40&lt;&gt;0),N40/M40-1,"")</f>
        <v/>
      </c>
    </row>
    <row r="105" customFormat="false" ht="15" hidden="false" customHeight="false" outlineLevel="0" collapsed="false">
      <c r="A105" s="61" t="s">
        <v>1247</v>
      </c>
      <c r="C105" s="5" t="s">
        <v>1248</v>
      </c>
      <c r="F105" s="44" t="str">
        <f aca="false">IF(AND(ISNUMBER(F41),ISNUMBER(E41),E41&lt;&gt;0),F41/E41-1,"")</f>
        <v/>
      </c>
      <c r="G105" s="44" t="str">
        <f aca="false">IF(AND(ISNUMBER(G41),ISNUMBER(F41),F41&lt;&gt;0),G41/F41-1,"")</f>
        <v/>
      </c>
      <c r="H105" s="44" t="str">
        <f aca="false">IF(AND(ISNUMBER(H41),ISNUMBER(G41),G41&lt;&gt;0),H41/G41-1,"")</f>
        <v/>
      </c>
      <c r="I105" s="44" t="str">
        <f aca="false">IF(AND(ISNUMBER(I41),ISNUMBER(H41),H41&lt;&gt;0),I41/H41-1,"")</f>
        <v/>
      </c>
      <c r="J105" s="44" t="str">
        <f aca="false">IF(AND(ISNUMBER(J41),ISNUMBER(I41),I41&lt;&gt;0),J41/I41-1,"")</f>
        <v/>
      </c>
      <c r="K105" s="44" t="str">
        <f aca="false">IF(AND(ISNUMBER(K41),ISNUMBER(J41),J41&lt;&gt;0),K41/J41-1,"")</f>
        <v/>
      </c>
      <c r="L105" s="44" t="str">
        <f aca="false">IF(AND(ISNUMBER(L41),ISNUMBER(K41),K41&lt;&gt;0),L41/K41-1,"")</f>
        <v/>
      </c>
      <c r="M105" s="44" t="str">
        <f aca="false">IF(AND(ISNUMBER(M41),ISNUMBER(L41),L41&lt;&gt;0),M41/L41-1,"")</f>
        <v/>
      </c>
      <c r="N105" s="44" t="str">
        <f aca="false">IF(AND(ISNUMBER(N41),ISNUMBER(M41),M41&lt;&gt;0),N41/M41-1,"")</f>
        <v/>
      </c>
    </row>
    <row r="106" customFormat="false" ht="15" hidden="false" customHeight="false" outlineLevel="0" collapsed="false">
      <c r="A106" s="61" t="s">
        <v>1249</v>
      </c>
      <c r="C106" s="5" t="s">
        <v>1250</v>
      </c>
      <c r="F106" s="44" t="str">
        <f aca="false">IF(AND(ISNUMBER(F42),ISNUMBER(E42),E42&lt;&gt;0),F42/E42-1,"")</f>
        <v/>
      </c>
      <c r="G106" s="44" t="str">
        <f aca="false">IF(AND(ISNUMBER(G42),ISNUMBER(F42),F42&lt;&gt;0),G42/F42-1,"")</f>
        <v/>
      </c>
      <c r="H106" s="44" t="str">
        <f aca="false">IF(AND(ISNUMBER(H42),ISNUMBER(G42),G42&lt;&gt;0),H42/G42-1,"")</f>
        <v/>
      </c>
      <c r="I106" s="44" t="str">
        <f aca="false">IF(AND(ISNUMBER(I42),ISNUMBER(H42),H42&lt;&gt;0),I42/H42-1,"")</f>
        <v/>
      </c>
      <c r="J106" s="44" t="str">
        <f aca="false">IF(AND(ISNUMBER(J42),ISNUMBER(I42),I42&lt;&gt;0),J42/I42-1,"")</f>
        <v/>
      </c>
      <c r="K106" s="44" t="str">
        <f aca="false">IF(AND(ISNUMBER(K42),ISNUMBER(J42),J42&lt;&gt;0),K42/J42-1,"")</f>
        <v/>
      </c>
      <c r="L106" s="44" t="str">
        <f aca="false">IF(AND(ISNUMBER(L42),ISNUMBER(K42),K42&lt;&gt;0),L42/K42-1,"")</f>
        <v/>
      </c>
      <c r="M106" s="44" t="str">
        <f aca="false">IF(AND(ISNUMBER(M42),ISNUMBER(L42),L42&lt;&gt;0),M42/L42-1,"")</f>
        <v/>
      </c>
      <c r="N106" s="44" t="str">
        <f aca="false">IF(AND(ISNUMBER(N42),ISNUMBER(M42),M42&lt;&gt;0),N42/M42-1,"")</f>
        <v/>
      </c>
    </row>
    <row r="107" customFormat="false" ht="15" hidden="false" customHeight="false" outlineLevel="0" collapsed="false">
      <c r="A107" s="61" t="s">
        <v>1251</v>
      </c>
      <c r="C107" s="5" t="s">
        <v>1252</v>
      </c>
      <c r="F107" s="44" t="str">
        <f aca="false">IF(AND(ISNUMBER(F43),ISNUMBER(E43),E43&lt;&gt;0),F43/E43-1,"")</f>
        <v/>
      </c>
      <c r="G107" s="44" t="str">
        <f aca="false">IF(AND(ISNUMBER(G43),ISNUMBER(F43),F43&lt;&gt;0),G43/F43-1,"")</f>
        <v/>
      </c>
      <c r="H107" s="44" t="str">
        <f aca="false">IF(AND(ISNUMBER(H43),ISNUMBER(G43),G43&lt;&gt;0),H43/G43-1,"")</f>
        <v/>
      </c>
      <c r="I107" s="44" t="str">
        <f aca="false">IF(AND(ISNUMBER(I43),ISNUMBER(H43),H43&lt;&gt;0),I43/H43-1,"")</f>
        <v/>
      </c>
      <c r="J107" s="44" t="str">
        <f aca="false">IF(AND(ISNUMBER(J43),ISNUMBER(I43),I43&lt;&gt;0),J43/I43-1,"")</f>
        <v/>
      </c>
      <c r="K107" s="44" t="str">
        <f aca="false">IF(AND(ISNUMBER(K43),ISNUMBER(J43),J43&lt;&gt;0),K43/J43-1,"")</f>
        <v/>
      </c>
      <c r="L107" s="44" t="str">
        <f aca="false">IF(AND(ISNUMBER(L43),ISNUMBER(K43),K43&lt;&gt;0),L43/K43-1,"")</f>
        <v/>
      </c>
      <c r="M107" s="44" t="str">
        <f aca="false">IF(AND(ISNUMBER(M43),ISNUMBER(L43),L43&lt;&gt;0),M43/L43-1,"")</f>
        <v/>
      </c>
      <c r="N107" s="44" t="str">
        <f aca="false">IF(AND(ISNUMBER(N43),ISNUMBER(M43),M43&lt;&gt;0),N43/M43-1,"")</f>
        <v/>
      </c>
    </row>
    <row r="108" customFormat="false" ht="15" hidden="false" customHeight="false" outlineLevel="0" collapsed="false">
      <c r="A108" s="61" t="s">
        <v>1253</v>
      </c>
      <c r="C108" s="5" t="s">
        <v>1254</v>
      </c>
      <c r="F108" s="44" t="str">
        <f aca="false">IF(AND(ISNUMBER(F44),ISNUMBER(E44),E44&lt;&gt;0),F44/E44-1,"")</f>
        <v/>
      </c>
      <c r="G108" s="44" t="str">
        <f aca="false">IF(AND(ISNUMBER(G44),ISNUMBER(F44),F44&lt;&gt;0),G44/F44-1,"")</f>
        <v/>
      </c>
      <c r="H108" s="44" t="str">
        <f aca="false">IF(AND(ISNUMBER(H44),ISNUMBER(G44),G44&lt;&gt;0),H44/G44-1,"")</f>
        <v/>
      </c>
      <c r="I108" s="44" t="str">
        <f aca="false">IF(AND(ISNUMBER(I44),ISNUMBER(H44),H44&lt;&gt;0),I44/H44-1,"")</f>
        <v/>
      </c>
      <c r="J108" s="44" t="str">
        <f aca="false">IF(AND(ISNUMBER(J44),ISNUMBER(I44),I44&lt;&gt;0),J44/I44-1,"")</f>
        <v/>
      </c>
      <c r="K108" s="44" t="str">
        <f aca="false">IF(AND(ISNUMBER(K44),ISNUMBER(J44),J44&lt;&gt;0),K44/J44-1,"")</f>
        <v/>
      </c>
      <c r="L108" s="44" t="str">
        <f aca="false">IF(AND(ISNUMBER(L44),ISNUMBER(K44),K44&lt;&gt;0),L44/K44-1,"")</f>
        <v/>
      </c>
      <c r="M108" s="44" t="str">
        <f aca="false">IF(AND(ISNUMBER(M44),ISNUMBER(L44),L44&lt;&gt;0),M44/L44-1,"")</f>
        <v/>
      </c>
      <c r="N108" s="44" t="str">
        <f aca="false">IF(AND(ISNUMBER(N44),ISNUMBER(M44),M44&lt;&gt;0),N44/M44-1,"")</f>
        <v/>
      </c>
    </row>
    <row r="109" customFormat="false" ht="15" hidden="false" customHeight="false" outlineLevel="0" collapsed="false">
      <c r="A109" s="61" t="s">
        <v>1255</v>
      </c>
      <c r="C109" s="5" t="s">
        <v>1256</v>
      </c>
      <c r="F109" s="44" t="str">
        <f aca="false">IF(AND(ISNUMBER(F45),ISNUMBER(E45),E45&lt;&gt;0),F45/E45-1,"")</f>
        <v/>
      </c>
      <c r="G109" s="44" t="str">
        <f aca="false">IF(AND(ISNUMBER(G45),ISNUMBER(F45),F45&lt;&gt;0),G45/F45-1,"")</f>
        <v/>
      </c>
      <c r="H109" s="44" t="str">
        <f aca="false">IF(AND(ISNUMBER(H45),ISNUMBER(G45),G45&lt;&gt;0),H45/G45-1,"")</f>
        <v/>
      </c>
      <c r="I109" s="44" t="str">
        <f aca="false">IF(AND(ISNUMBER(I45),ISNUMBER(H45),H45&lt;&gt;0),I45/H45-1,"")</f>
        <v/>
      </c>
      <c r="J109" s="44" t="str">
        <f aca="false">IF(AND(ISNUMBER(J45),ISNUMBER(I45),I45&lt;&gt;0),J45/I45-1,"")</f>
        <v/>
      </c>
      <c r="K109" s="44" t="str">
        <f aca="false">IF(AND(ISNUMBER(K45),ISNUMBER(J45),J45&lt;&gt;0),K45/J45-1,"")</f>
        <v/>
      </c>
      <c r="L109" s="44" t="str">
        <f aca="false">IF(AND(ISNUMBER(L45),ISNUMBER(K45),K45&lt;&gt;0),L45/K45-1,"")</f>
        <v/>
      </c>
      <c r="M109" s="44" t="str">
        <f aca="false">IF(AND(ISNUMBER(M45),ISNUMBER(L45),L45&lt;&gt;0),M45/L45-1,"")</f>
        <v/>
      </c>
      <c r="N109" s="44" t="str">
        <f aca="false">IF(AND(ISNUMBER(N45),ISNUMBER(M45),M45&lt;&gt;0),N45/M45-1,"")</f>
        <v/>
      </c>
    </row>
    <row r="110" customFormat="false" ht="15" hidden="false" customHeight="false" outlineLevel="0" collapsed="false">
      <c r="A110" s="61" t="s">
        <v>1257</v>
      </c>
      <c r="C110" s="5" t="s">
        <v>1259</v>
      </c>
      <c r="F110" s="44" t="str">
        <f aca="false">IF(AND(ISNUMBER(F46),ISNUMBER(E46),E46&lt;&gt;0),F46/E46-1,"")</f>
        <v/>
      </c>
      <c r="G110" s="44" t="str">
        <f aca="false">IF(AND(ISNUMBER(G46),ISNUMBER(F46),F46&lt;&gt;0),G46/F46-1,"")</f>
        <v/>
      </c>
      <c r="H110" s="44" t="str">
        <f aca="false">IF(AND(ISNUMBER(H46),ISNUMBER(G46),G46&lt;&gt;0),H46/G46-1,"")</f>
        <v/>
      </c>
      <c r="I110" s="44" t="str">
        <f aca="false">IF(AND(ISNUMBER(I46),ISNUMBER(H46),H46&lt;&gt;0),I46/H46-1,"")</f>
        <v/>
      </c>
      <c r="J110" s="44" t="str">
        <f aca="false">IF(AND(ISNUMBER(J46),ISNUMBER(I46),I46&lt;&gt;0),J46/I46-1,"")</f>
        <v/>
      </c>
      <c r="K110" s="44" t="str">
        <f aca="false">IF(AND(ISNUMBER(K46),ISNUMBER(J46),J46&lt;&gt;0),K46/J46-1,"")</f>
        <v/>
      </c>
      <c r="L110" s="44" t="str">
        <f aca="false">IF(AND(ISNUMBER(L46),ISNUMBER(K46),K46&lt;&gt;0),L46/K46-1,"")</f>
        <v/>
      </c>
      <c r="M110" s="44" t="str">
        <f aca="false">IF(AND(ISNUMBER(M46),ISNUMBER(L46),L46&lt;&gt;0),M46/L46-1,"")</f>
        <v/>
      </c>
      <c r="N110" s="44" t="str">
        <f aca="false">IF(AND(ISNUMBER(N46),ISNUMBER(M46),M46&lt;&gt;0),N46/M46-1,"")</f>
        <v/>
      </c>
    </row>
    <row r="111" customFormat="false" ht="15" hidden="false" customHeight="false" outlineLevel="0" collapsed="false">
      <c r="A111" s="61" t="s">
        <v>1260</v>
      </c>
      <c r="C111" s="5" t="s">
        <v>1261</v>
      </c>
      <c r="F111" s="44" t="str">
        <f aca="false">IF(AND(ISNUMBER(F47),ISNUMBER(E47),E47&lt;&gt;0),F47/E47-1,"")</f>
        <v/>
      </c>
      <c r="G111" s="44" t="str">
        <f aca="false">IF(AND(ISNUMBER(G47),ISNUMBER(F47),F47&lt;&gt;0),G47/F47-1,"")</f>
        <v/>
      </c>
      <c r="H111" s="44" t="str">
        <f aca="false">IF(AND(ISNUMBER(H47),ISNUMBER(G47),G47&lt;&gt;0),H47/G47-1,"")</f>
        <v/>
      </c>
      <c r="I111" s="44" t="str">
        <f aca="false">IF(AND(ISNUMBER(I47),ISNUMBER(H47),H47&lt;&gt;0),I47/H47-1,"")</f>
        <v/>
      </c>
      <c r="J111" s="44" t="str">
        <f aca="false">IF(AND(ISNUMBER(J47),ISNUMBER(I47),I47&lt;&gt;0),J47/I47-1,"")</f>
        <v/>
      </c>
      <c r="K111" s="44" t="str">
        <f aca="false">IF(AND(ISNUMBER(K47),ISNUMBER(J47),J47&lt;&gt;0),K47/J47-1,"")</f>
        <v/>
      </c>
      <c r="L111" s="44" t="str">
        <f aca="false">IF(AND(ISNUMBER(L47),ISNUMBER(K47),K47&lt;&gt;0),L47/K47-1,"")</f>
        <v/>
      </c>
      <c r="M111" s="44" t="str">
        <f aca="false">IF(AND(ISNUMBER(M47),ISNUMBER(L47),L47&lt;&gt;0),M47/L47-1,"")</f>
        <v/>
      </c>
      <c r="N111" s="44" t="str">
        <f aca="false">IF(AND(ISNUMBER(N47),ISNUMBER(M47),M47&lt;&gt;0),N47/M47-1,"")</f>
        <v/>
      </c>
    </row>
    <row r="112" customFormat="false" ht="15" hidden="false" customHeight="false" outlineLevel="0" collapsed="false">
      <c r="A112" s="61" t="s">
        <v>1262</v>
      </c>
      <c r="C112" s="5" t="s">
        <v>1263</v>
      </c>
      <c r="F112" s="44" t="str">
        <f aca="false">IF(AND(ISNUMBER(F48),ISNUMBER(E48),E48&lt;&gt;0),F48/E48-1,"")</f>
        <v/>
      </c>
      <c r="G112" s="44" t="str">
        <f aca="false">IF(AND(ISNUMBER(G48),ISNUMBER(F48),F48&lt;&gt;0),G48/F48-1,"")</f>
        <v/>
      </c>
      <c r="H112" s="44" t="str">
        <f aca="false">IF(AND(ISNUMBER(H48),ISNUMBER(G48),G48&lt;&gt;0),H48/G48-1,"")</f>
        <v/>
      </c>
      <c r="I112" s="44" t="str">
        <f aca="false">IF(AND(ISNUMBER(I48),ISNUMBER(H48),H48&lt;&gt;0),I48/H48-1,"")</f>
        <v/>
      </c>
      <c r="J112" s="44" t="str">
        <f aca="false">IF(AND(ISNUMBER(J48),ISNUMBER(I48),I48&lt;&gt;0),J48/I48-1,"")</f>
        <v/>
      </c>
      <c r="K112" s="44" t="str">
        <f aca="false">IF(AND(ISNUMBER(K48),ISNUMBER(J48),J48&lt;&gt;0),K48/J48-1,"")</f>
        <v/>
      </c>
      <c r="L112" s="44" t="str">
        <f aca="false">IF(AND(ISNUMBER(L48),ISNUMBER(K48),K48&lt;&gt;0),L48/K48-1,"")</f>
        <v/>
      </c>
      <c r="M112" s="44" t="str">
        <f aca="false">IF(AND(ISNUMBER(M48),ISNUMBER(L48),L48&lt;&gt;0),M48/L48-1,"")</f>
        <v/>
      </c>
      <c r="N112" s="44" t="str">
        <f aca="false">IF(AND(ISNUMBER(N48),ISNUMBER(M48),M48&lt;&gt;0),N48/M48-1,"")</f>
        <v/>
      </c>
    </row>
    <row r="113" customFormat="false" ht="15" hidden="false" customHeight="false" outlineLevel="0" collapsed="false">
      <c r="A113" s="61" t="s">
        <v>1265</v>
      </c>
      <c r="C113" s="5" t="s">
        <v>1266</v>
      </c>
      <c r="F113" s="44" t="str">
        <f aca="false">IF(AND(ISNUMBER(F49),ISNUMBER(E49),E49&lt;&gt;0),F49/E49-1,"")</f>
        <v/>
      </c>
      <c r="G113" s="44" t="str">
        <f aca="false">IF(AND(ISNUMBER(G49),ISNUMBER(F49),F49&lt;&gt;0),G49/F49-1,"")</f>
        <v/>
      </c>
      <c r="H113" s="44" t="str">
        <f aca="false">IF(AND(ISNUMBER(H49),ISNUMBER(G49),G49&lt;&gt;0),H49/G49-1,"")</f>
        <v/>
      </c>
      <c r="I113" s="44" t="str">
        <f aca="false">IF(AND(ISNUMBER(I49),ISNUMBER(H49),H49&lt;&gt;0),I49/H49-1,"")</f>
        <v/>
      </c>
      <c r="J113" s="44" t="str">
        <f aca="false">IF(AND(ISNUMBER(J49),ISNUMBER(I49),I49&lt;&gt;0),J49/I49-1,"")</f>
        <v/>
      </c>
      <c r="K113" s="44" t="str">
        <f aca="false">IF(AND(ISNUMBER(K49),ISNUMBER(J49),J49&lt;&gt;0),K49/J49-1,"")</f>
        <v/>
      </c>
      <c r="L113" s="44" t="str">
        <f aca="false">IF(AND(ISNUMBER(L49),ISNUMBER(K49),K49&lt;&gt;0),L49/K49-1,"")</f>
        <v/>
      </c>
      <c r="M113" s="44" t="str">
        <f aca="false">IF(AND(ISNUMBER(M49),ISNUMBER(L49),L49&lt;&gt;0),M49/L49-1,"")</f>
        <v/>
      </c>
      <c r="N113" s="44" t="str">
        <f aca="false">IF(AND(ISNUMBER(N49),ISNUMBER(M49),M49&lt;&gt;0),N49/M49-1,"")</f>
        <v/>
      </c>
    </row>
    <row r="114" customFormat="false" ht="15" hidden="false" customHeight="false" outlineLevel="0" collapsed="false">
      <c r="A114" s="61" t="s">
        <v>1267</v>
      </c>
      <c r="C114" s="5" t="s">
        <v>1268</v>
      </c>
      <c r="F114" s="44" t="str">
        <f aca="false">IF(AND(ISNUMBER(F50),ISNUMBER(E50),E50&lt;&gt;0),F50/E50-1,"")</f>
        <v/>
      </c>
      <c r="G114" s="44" t="str">
        <f aca="false">IF(AND(ISNUMBER(G50),ISNUMBER(F50),F50&lt;&gt;0),G50/F50-1,"")</f>
        <v/>
      </c>
      <c r="H114" s="44" t="str">
        <f aca="false">IF(AND(ISNUMBER(H50),ISNUMBER(G50),G50&lt;&gt;0),H50/G50-1,"")</f>
        <v/>
      </c>
      <c r="I114" s="44" t="str">
        <f aca="false">IF(AND(ISNUMBER(I50),ISNUMBER(H50),H50&lt;&gt;0),I50/H50-1,"")</f>
        <v/>
      </c>
      <c r="J114" s="44" t="str">
        <f aca="false">IF(AND(ISNUMBER(J50),ISNUMBER(I50),I50&lt;&gt;0),J50/I50-1,"")</f>
        <v/>
      </c>
      <c r="K114" s="44" t="str">
        <f aca="false">IF(AND(ISNUMBER(K50),ISNUMBER(J50),J50&lt;&gt;0),K50/J50-1,"")</f>
        <v/>
      </c>
      <c r="L114" s="44" t="str">
        <f aca="false">IF(AND(ISNUMBER(L50),ISNUMBER(K50),K50&lt;&gt;0),L50/K50-1,"")</f>
        <v/>
      </c>
      <c r="M114" s="44" t="str">
        <f aca="false">IF(AND(ISNUMBER(M50),ISNUMBER(L50),L50&lt;&gt;0),M50/L50-1,"")</f>
        <v/>
      </c>
      <c r="N114" s="44" t="str">
        <f aca="false">IF(AND(ISNUMBER(N50),ISNUMBER(M50),M50&lt;&gt;0),N50/M50-1,"")</f>
        <v/>
      </c>
    </row>
    <row r="115" customFormat="false" ht="15" hidden="false" customHeight="false" outlineLevel="0" collapsed="false">
      <c r="A115" s="61" t="s">
        <v>1270</v>
      </c>
      <c r="C115" s="5" t="s">
        <v>1271</v>
      </c>
      <c r="F115" s="44" t="str">
        <f aca="false">IF(AND(ISNUMBER(F51),ISNUMBER(E51),E51&lt;&gt;0),F51/E51-1,"")</f>
        <v/>
      </c>
      <c r="G115" s="44" t="str">
        <f aca="false">IF(AND(ISNUMBER(G51),ISNUMBER(F51),F51&lt;&gt;0),G51/F51-1,"")</f>
        <v/>
      </c>
      <c r="H115" s="44" t="str">
        <f aca="false">IF(AND(ISNUMBER(H51),ISNUMBER(G51),G51&lt;&gt;0),H51/G51-1,"")</f>
        <v/>
      </c>
      <c r="I115" s="44" t="str">
        <f aca="false">IF(AND(ISNUMBER(I51),ISNUMBER(H51),H51&lt;&gt;0),I51/H51-1,"")</f>
        <v/>
      </c>
      <c r="J115" s="44" t="str">
        <f aca="false">IF(AND(ISNUMBER(J51),ISNUMBER(I51),I51&lt;&gt;0),J51/I51-1,"")</f>
        <v/>
      </c>
      <c r="K115" s="44" t="str">
        <f aca="false">IF(AND(ISNUMBER(K51),ISNUMBER(J51),J51&lt;&gt;0),K51/J51-1,"")</f>
        <v/>
      </c>
      <c r="L115" s="44" t="str">
        <f aca="false">IF(AND(ISNUMBER(L51),ISNUMBER(K51),K51&lt;&gt;0),L51/K51-1,"")</f>
        <v/>
      </c>
      <c r="M115" s="44" t="str">
        <f aca="false">IF(AND(ISNUMBER(M51),ISNUMBER(L51),L51&lt;&gt;0),M51/L51-1,"")</f>
        <v/>
      </c>
      <c r="N115" s="44" t="str">
        <f aca="false">IF(AND(ISNUMBER(N51),ISNUMBER(M51),M51&lt;&gt;0),N51/M51-1,"")</f>
        <v/>
      </c>
    </row>
    <row r="116" customFormat="false" ht="15" hidden="false" customHeight="false" outlineLevel="0" collapsed="false">
      <c r="A116" s="61" t="s">
        <v>1272</v>
      </c>
      <c r="C116" s="5" t="s">
        <v>1274</v>
      </c>
      <c r="F116" s="44" t="n">
        <f aca="false">IF(AND(ISNUMBER(F52),ISNUMBER(E52),E52&lt;&gt;0),F52/E52-1,"")</f>
        <v>0.0238095238095237</v>
      </c>
      <c r="G116" s="44" t="n">
        <f aca="false">IF(AND(ISNUMBER(G52),ISNUMBER(F52),F52&lt;&gt;0),G52/F52-1,"")</f>
        <v>0.0232558139534884</v>
      </c>
      <c r="H116" s="44" t="str">
        <f aca="false">IF(AND(ISNUMBER(H52),ISNUMBER(G52),G52&lt;&gt;0),H52/G52-1,"")</f>
        <v/>
      </c>
      <c r="I116" s="44" t="str">
        <f aca="false">IF(AND(ISNUMBER(I52),ISNUMBER(H52),H52&lt;&gt;0),I52/H52-1,"")</f>
        <v/>
      </c>
      <c r="J116" s="44" t="str">
        <f aca="false">IF(AND(ISNUMBER(J52),ISNUMBER(I52),I52&lt;&gt;0),J52/I52-1,"")</f>
        <v/>
      </c>
      <c r="K116" s="44" t="str">
        <f aca="false">IF(AND(ISNUMBER(K52),ISNUMBER(J52),J52&lt;&gt;0),K52/J52-1,"")</f>
        <v/>
      </c>
      <c r="L116" s="44" t="str">
        <f aca="false">IF(AND(ISNUMBER(L52),ISNUMBER(K52),K52&lt;&gt;0),L52/K52-1,"")</f>
        <v/>
      </c>
      <c r="M116" s="44" t="str">
        <f aca="false">IF(AND(ISNUMBER(M52),ISNUMBER(L52),L52&lt;&gt;0),M52/L52-1,"")</f>
        <v/>
      </c>
      <c r="N116" s="44" t="str">
        <f aca="false">IF(AND(ISNUMBER(N52),ISNUMBER(M52),M52&lt;&gt;0),N52/M52-1,"")</f>
        <v/>
      </c>
    </row>
    <row r="117" customFormat="false" ht="15" hidden="false" customHeight="false" outlineLevel="0" collapsed="false">
      <c r="A117" s="61" t="s">
        <v>1275</v>
      </c>
      <c r="C117" s="5" t="s">
        <v>1276</v>
      </c>
      <c r="F117" s="44" t="str">
        <f aca="false">IF(AND(ISNUMBER(F53),ISNUMBER(E53),E53&lt;&gt;0),F53/E53-1,"")</f>
        <v/>
      </c>
      <c r="G117" s="44" t="str">
        <f aca="false">IF(AND(ISNUMBER(G53),ISNUMBER(F53),F53&lt;&gt;0),G53/F53-1,"")</f>
        <v/>
      </c>
      <c r="H117" s="44" t="str">
        <f aca="false">IF(AND(ISNUMBER(H53),ISNUMBER(G53),G53&lt;&gt;0),H53/G53-1,"")</f>
        <v/>
      </c>
      <c r="I117" s="44" t="str">
        <f aca="false">IF(AND(ISNUMBER(I53),ISNUMBER(H53),H53&lt;&gt;0),I53/H53-1,"")</f>
        <v/>
      </c>
      <c r="J117" s="44" t="str">
        <f aca="false">IF(AND(ISNUMBER(J53),ISNUMBER(I53),I53&lt;&gt;0),J53/I53-1,"")</f>
        <v/>
      </c>
      <c r="K117" s="44" t="str">
        <f aca="false">IF(AND(ISNUMBER(K53),ISNUMBER(J53),J53&lt;&gt;0),K53/J53-1,"")</f>
        <v/>
      </c>
      <c r="L117" s="44" t="str">
        <f aca="false">IF(AND(ISNUMBER(L53),ISNUMBER(K53),K53&lt;&gt;0),L53/K53-1,"")</f>
        <v/>
      </c>
      <c r="M117" s="44" t="str">
        <f aca="false">IF(AND(ISNUMBER(M53),ISNUMBER(L53),L53&lt;&gt;0),M53/L53-1,"")</f>
        <v/>
      </c>
      <c r="N117" s="44" t="str">
        <f aca="false">IF(AND(ISNUMBER(N53),ISNUMBER(M53),M53&lt;&gt;0),N53/M53-1,"")</f>
        <v/>
      </c>
    </row>
    <row r="118" customFormat="false" ht="15" hidden="false" customHeight="false" outlineLevel="0" collapsed="false">
      <c r="A118" s="61" t="s">
        <v>1278</v>
      </c>
      <c r="C118" s="5" t="s">
        <v>1279</v>
      </c>
      <c r="F118" s="44" t="str">
        <f aca="false">IF(AND(ISNUMBER(F54),ISNUMBER(E54),E54&lt;&gt;0),F54/E54-1,"")</f>
        <v/>
      </c>
      <c r="G118" s="44" t="str">
        <f aca="false">IF(AND(ISNUMBER(G54),ISNUMBER(F54),F54&lt;&gt;0),G54/F54-1,"")</f>
        <v/>
      </c>
      <c r="H118" s="44" t="str">
        <f aca="false">IF(AND(ISNUMBER(H54),ISNUMBER(G54),G54&lt;&gt;0),H54/G54-1,"")</f>
        <v/>
      </c>
      <c r="I118" s="44" t="str">
        <f aca="false">IF(AND(ISNUMBER(I54),ISNUMBER(H54),H54&lt;&gt;0),I54/H54-1,"")</f>
        <v/>
      </c>
      <c r="J118" s="44" t="str">
        <f aca="false">IF(AND(ISNUMBER(J54),ISNUMBER(I54),I54&lt;&gt;0),J54/I54-1,"")</f>
        <v/>
      </c>
      <c r="K118" s="44" t="str">
        <f aca="false">IF(AND(ISNUMBER(K54),ISNUMBER(J54),J54&lt;&gt;0),K54/J54-1,"")</f>
        <v/>
      </c>
      <c r="L118" s="44" t="str">
        <f aca="false">IF(AND(ISNUMBER(L54),ISNUMBER(K54),K54&lt;&gt;0),L54/K54-1,"")</f>
        <v/>
      </c>
      <c r="M118" s="44" t="str">
        <f aca="false">IF(AND(ISNUMBER(M54),ISNUMBER(L54),L54&lt;&gt;0),M54/L54-1,"")</f>
        <v/>
      </c>
      <c r="N118" s="44" t="str">
        <f aca="false">IF(AND(ISNUMBER(N54),ISNUMBER(M54),M54&lt;&gt;0),N54/M54-1,"")</f>
        <v/>
      </c>
    </row>
    <row r="119" customFormat="false" ht="15" hidden="false" customHeight="false" outlineLevel="0" collapsed="false">
      <c r="A119" s="61" t="s">
        <v>1280</v>
      </c>
      <c r="C119" s="5" t="s">
        <v>1282</v>
      </c>
      <c r="F119" s="44" t="str">
        <f aca="false">IF(AND(ISNUMBER(F55),ISNUMBER(E55),E55&lt;&gt;0),F55/E55-1,"")</f>
        <v/>
      </c>
      <c r="G119" s="44" t="str">
        <f aca="false">IF(AND(ISNUMBER(G55),ISNUMBER(F55),F55&lt;&gt;0),G55/F55-1,"")</f>
        <v/>
      </c>
      <c r="H119" s="44" t="str">
        <f aca="false">IF(AND(ISNUMBER(H55),ISNUMBER(G55),G55&lt;&gt;0),H55/G55-1,"")</f>
        <v/>
      </c>
      <c r="I119" s="44" t="str">
        <f aca="false">IF(AND(ISNUMBER(I55),ISNUMBER(H55),H55&lt;&gt;0),I55/H55-1,"")</f>
        <v/>
      </c>
      <c r="J119" s="44" t="str">
        <f aca="false">IF(AND(ISNUMBER(J55),ISNUMBER(I55),I55&lt;&gt;0),J55/I55-1,"")</f>
        <v/>
      </c>
      <c r="K119" s="44" t="str">
        <f aca="false">IF(AND(ISNUMBER(K55),ISNUMBER(J55),J55&lt;&gt;0),K55/J55-1,"")</f>
        <v/>
      </c>
      <c r="L119" s="44" t="str">
        <f aca="false">IF(AND(ISNUMBER(L55),ISNUMBER(K55),K55&lt;&gt;0),L55/K55-1,"")</f>
        <v/>
      </c>
      <c r="M119" s="44" t="str">
        <f aca="false">IF(AND(ISNUMBER(M55),ISNUMBER(L55),L55&lt;&gt;0),M55/L55-1,"")</f>
        <v/>
      </c>
      <c r="N119" s="44" t="str">
        <f aca="false">IF(AND(ISNUMBER(N55),ISNUMBER(M55),M55&lt;&gt;0),N55/M55-1,"")</f>
        <v/>
      </c>
    </row>
    <row r="120" customFormat="false" ht="15" hidden="false" customHeight="false" outlineLevel="0" collapsed="false">
      <c r="A120" s="61" t="s">
        <v>1283</v>
      </c>
      <c r="C120" s="5" t="s">
        <v>1284</v>
      </c>
      <c r="F120" s="44" t="str">
        <f aca="false">IF(AND(ISNUMBER(F56),ISNUMBER(E56),E56&lt;&gt;0),F56/E56-1,"")</f>
        <v/>
      </c>
      <c r="G120" s="44" t="str">
        <f aca="false">IF(AND(ISNUMBER(G56),ISNUMBER(F56),F56&lt;&gt;0),G56/F56-1,"")</f>
        <v/>
      </c>
      <c r="H120" s="44" t="str">
        <f aca="false">IF(AND(ISNUMBER(H56),ISNUMBER(G56),G56&lt;&gt;0),H56/G56-1,"")</f>
        <v/>
      </c>
      <c r="I120" s="44" t="str">
        <f aca="false">IF(AND(ISNUMBER(I56),ISNUMBER(H56),H56&lt;&gt;0),I56/H56-1,"")</f>
        <v/>
      </c>
      <c r="J120" s="44" t="str">
        <f aca="false">IF(AND(ISNUMBER(J56),ISNUMBER(I56),I56&lt;&gt;0),J56/I56-1,"")</f>
        <v/>
      </c>
      <c r="K120" s="44" t="str">
        <f aca="false">IF(AND(ISNUMBER(K56),ISNUMBER(J56),J56&lt;&gt;0),K56/J56-1,"")</f>
        <v/>
      </c>
      <c r="L120" s="44" t="str">
        <f aca="false">IF(AND(ISNUMBER(L56),ISNUMBER(K56),K56&lt;&gt;0),L56/K56-1,"")</f>
        <v/>
      </c>
      <c r="M120" s="44" t="str">
        <f aca="false">IF(AND(ISNUMBER(M56),ISNUMBER(L56),L56&lt;&gt;0),M56/L56-1,"")</f>
        <v/>
      </c>
      <c r="N120" s="44" t="str">
        <f aca="false">IF(AND(ISNUMBER(N56),ISNUMBER(M56),M56&lt;&gt;0),N56/M56-1,"")</f>
        <v/>
      </c>
    </row>
    <row r="121" customFormat="false" ht="15" hidden="false" customHeight="false" outlineLevel="0" collapsed="false">
      <c r="A121" s="61" t="s">
        <v>1285</v>
      </c>
      <c r="C121" s="5" t="s">
        <v>1286</v>
      </c>
      <c r="F121" s="44" t="str">
        <f aca="false">IF(AND(ISNUMBER(F57),ISNUMBER(E57),E57&lt;&gt;0),F57/E57-1,"")</f>
        <v/>
      </c>
      <c r="G121" s="44" t="str">
        <f aca="false">IF(AND(ISNUMBER(G57),ISNUMBER(F57),F57&lt;&gt;0),G57/F57-1,"")</f>
        <v/>
      </c>
      <c r="H121" s="44" t="str">
        <f aca="false">IF(AND(ISNUMBER(H57),ISNUMBER(G57),G57&lt;&gt;0),H57/G57-1,"")</f>
        <v/>
      </c>
      <c r="I121" s="44" t="str">
        <f aca="false">IF(AND(ISNUMBER(I57),ISNUMBER(H57),H57&lt;&gt;0),I57/H57-1,"")</f>
        <v/>
      </c>
      <c r="J121" s="44" t="str">
        <f aca="false">IF(AND(ISNUMBER(J57),ISNUMBER(I57),I57&lt;&gt;0),J57/I57-1,"")</f>
        <v/>
      </c>
      <c r="K121" s="44" t="str">
        <f aca="false">IF(AND(ISNUMBER(K57),ISNUMBER(J57),J57&lt;&gt;0),K57/J57-1,"")</f>
        <v/>
      </c>
      <c r="L121" s="44" t="str">
        <f aca="false">IF(AND(ISNUMBER(L57),ISNUMBER(K57),K57&lt;&gt;0),L57/K57-1,"")</f>
        <v/>
      </c>
      <c r="M121" s="44" t="str">
        <f aca="false">IF(AND(ISNUMBER(M57),ISNUMBER(L57),L57&lt;&gt;0),M57/L57-1,"")</f>
        <v/>
      </c>
      <c r="N121" s="44" t="str">
        <f aca="false">IF(AND(ISNUMBER(N57),ISNUMBER(M57),M57&lt;&gt;0),N57/M57-1,"")</f>
        <v/>
      </c>
    </row>
    <row r="122" customFormat="false" ht="15" hidden="false" customHeight="false" outlineLevel="0" collapsed="false">
      <c r="A122" s="61" t="s">
        <v>1287</v>
      </c>
      <c r="C122" s="5" t="s">
        <v>1288</v>
      </c>
      <c r="F122" s="44" t="str">
        <f aca="false">IF(AND(ISNUMBER(F58),ISNUMBER(E58),E58&lt;&gt;0),F58/E58-1,"")</f>
        <v/>
      </c>
      <c r="G122" s="44" t="str">
        <f aca="false">IF(AND(ISNUMBER(G58),ISNUMBER(F58),F58&lt;&gt;0),G58/F58-1,"")</f>
        <v/>
      </c>
      <c r="H122" s="44" t="str">
        <f aca="false">IF(AND(ISNUMBER(H58),ISNUMBER(G58),G58&lt;&gt;0),H58/G58-1,"")</f>
        <v/>
      </c>
      <c r="I122" s="44" t="str">
        <f aca="false">IF(AND(ISNUMBER(I58),ISNUMBER(H58),H58&lt;&gt;0),I58/H58-1,"")</f>
        <v/>
      </c>
      <c r="J122" s="44" t="str">
        <f aca="false">IF(AND(ISNUMBER(J58),ISNUMBER(I58),I58&lt;&gt;0),J58/I58-1,"")</f>
        <v/>
      </c>
      <c r="K122" s="44" t="str">
        <f aca="false">IF(AND(ISNUMBER(K58),ISNUMBER(J58),J58&lt;&gt;0),K58/J58-1,"")</f>
        <v/>
      </c>
      <c r="L122" s="44" t="str">
        <f aca="false">IF(AND(ISNUMBER(L58),ISNUMBER(K58),K58&lt;&gt;0),L58/K58-1,"")</f>
        <v/>
      </c>
      <c r="M122" s="44" t="str">
        <f aca="false">IF(AND(ISNUMBER(M58),ISNUMBER(L58),L58&lt;&gt;0),M58/L58-1,"")</f>
        <v/>
      </c>
      <c r="N122" s="44" t="str">
        <f aca="false">IF(AND(ISNUMBER(N58),ISNUMBER(M58),M58&lt;&gt;0),N58/M58-1,"")</f>
        <v/>
      </c>
    </row>
    <row r="123" customFormat="false" ht="15" hidden="false" customHeight="false" outlineLevel="0" collapsed="false">
      <c r="A123" s="61" t="s">
        <v>1289</v>
      </c>
      <c r="C123" s="5" t="s">
        <v>1290</v>
      </c>
      <c r="F123" s="44" t="str">
        <f aca="false">IF(AND(ISNUMBER(F59),ISNUMBER(E59),E59&lt;&gt;0),F59/E59-1,"")</f>
        <v/>
      </c>
      <c r="G123" s="44" t="str">
        <f aca="false">IF(AND(ISNUMBER(G59),ISNUMBER(F59),F59&lt;&gt;0),G59/F59-1,"")</f>
        <v/>
      </c>
      <c r="H123" s="44" t="str">
        <f aca="false">IF(AND(ISNUMBER(H59),ISNUMBER(G59),G59&lt;&gt;0),H59/G59-1,"")</f>
        <v/>
      </c>
      <c r="I123" s="44" t="str">
        <f aca="false">IF(AND(ISNUMBER(I59),ISNUMBER(H59),H59&lt;&gt;0),I59/H59-1,"")</f>
        <v/>
      </c>
      <c r="J123" s="44" t="str">
        <f aca="false">IF(AND(ISNUMBER(J59),ISNUMBER(I59),I59&lt;&gt;0),J59/I59-1,"")</f>
        <v/>
      </c>
      <c r="K123" s="44" t="str">
        <f aca="false">IF(AND(ISNUMBER(K59),ISNUMBER(J59),J59&lt;&gt;0),K59/J59-1,"")</f>
        <v/>
      </c>
      <c r="L123" s="44" t="str">
        <f aca="false">IF(AND(ISNUMBER(L59),ISNUMBER(K59),K59&lt;&gt;0),L59/K59-1,"")</f>
        <v/>
      </c>
      <c r="M123" s="44" t="str">
        <f aca="false">IF(AND(ISNUMBER(M59),ISNUMBER(L59),L59&lt;&gt;0),M59/L59-1,"")</f>
        <v/>
      </c>
      <c r="N123" s="44" t="str">
        <f aca="false">IF(AND(ISNUMBER(N59),ISNUMBER(M59),M59&lt;&gt;0),N59/M59-1,"")</f>
        <v/>
      </c>
    </row>
    <row r="124" customFormat="false" ht="15" hidden="false" customHeight="false" outlineLevel="0" collapsed="false">
      <c r="A124" s="61" t="s">
        <v>1292</v>
      </c>
      <c r="C124" s="5" t="s">
        <v>1293</v>
      </c>
      <c r="F124" s="44" t="str">
        <f aca="false">IF(AND(ISNUMBER(F60),ISNUMBER(E60),E60&lt;&gt;0),F60/E60-1,"")</f>
        <v/>
      </c>
      <c r="G124" s="44" t="str">
        <f aca="false">IF(AND(ISNUMBER(G60),ISNUMBER(F60),F60&lt;&gt;0),G60/F60-1,"")</f>
        <v/>
      </c>
      <c r="H124" s="44" t="str">
        <f aca="false">IF(AND(ISNUMBER(H60),ISNUMBER(G60),G60&lt;&gt;0),H60/G60-1,"")</f>
        <v/>
      </c>
      <c r="I124" s="44" t="str">
        <f aca="false">IF(AND(ISNUMBER(I60),ISNUMBER(H60),H60&lt;&gt;0),I60/H60-1,"")</f>
        <v/>
      </c>
      <c r="J124" s="44" t="str">
        <f aca="false">IF(AND(ISNUMBER(J60),ISNUMBER(I60),I60&lt;&gt;0),J60/I60-1,"")</f>
        <v/>
      </c>
      <c r="K124" s="44" t="str">
        <f aca="false">IF(AND(ISNUMBER(K60),ISNUMBER(J60),J60&lt;&gt;0),K60/J60-1,"")</f>
        <v/>
      </c>
      <c r="L124" s="44" t="str">
        <f aca="false">IF(AND(ISNUMBER(L60),ISNUMBER(K60),K60&lt;&gt;0),L60/K60-1,"")</f>
        <v/>
      </c>
      <c r="M124" s="44" t="str">
        <f aca="false">IF(AND(ISNUMBER(M60),ISNUMBER(L60),L60&lt;&gt;0),M60/L60-1,"")</f>
        <v/>
      </c>
      <c r="N124" s="44" t="str">
        <f aca="false">IF(AND(ISNUMBER(N60),ISNUMBER(M60),M60&lt;&gt;0),N60/M60-1,"")</f>
        <v/>
      </c>
    </row>
    <row r="125" customFormat="false" ht="15" hidden="false" customHeight="false" outlineLevel="0" collapsed="false">
      <c r="A125" s="61" t="s">
        <v>1294</v>
      </c>
      <c r="C125" s="5" t="s">
        <v>1295</v>
      </c>
      <c r="F125" s="44" t="str">
        <f aca="false">IF(AND(ISNUMBER(F61),ISNUMBER(E61),E61&lt;&gt;0),F61/E61-1,"")</f>
        <v/>
      </c>
      <c r="G125" s="44" t="str">
        <f aca="false">IF(AND(ISNUMBER(G61),ISNUMBER(F61),F61&lt;&gt;0),G61/F61-1,"")</f>
        <v/>
      </c>
      <c r="H125" s="44" t="str">
        <f aca="false">IF(AND(ISNUMBER(H61),ISNUMBER(G61),G61&lt;&gt;0),H61/G61-1,"")</f>
        <v/>
      </c>
      <c r="I125" s="44" t="str">
        <f aca="false">IF(AND(ISNUMBER(I61),ISNUMBER(H61),H61&lt;&gt;0),I61/H61-1,"")</f>
        <v/>
      </c>
      <c r="J125" s="44" t="str">
        <f aca="false">IF(AND(ISNUMBER(J61),ISNUMBER(I61),I61&lt;&gt;0),J61/I61-1,"")</f>
        <v/>
      </c>
      <c r="K125" s="44" t="str">
        <f aca="false">IF(AND(ISNUMBER(K61),ISNUMBER(J61),J61&lt;&gt;0),K61/J61-1,"")</f>
        <v/>
      </c>
      <c r="L125" s="44" t="str">
        <f aca="false">IF(AND(ISNUMBER(L61),ISNUMBER(K61),K61&lt;&gt;0),L61/K61-1,"")</f>
        <v/>
      </c>
      <c r="M125" s="44" t="str">
        <f aca="false">IF(AND(ISNUMBER(M61),ISNUMBER(L61),L61&lt;&gt;0),M61/L61-1,"")</f>
        <v/>
      </c>
      <c r="N125" s="44" t="str">
        <f aca="false">IF(AND(ISNUMBER(N61),ISNUMBER(M61),M61&lt;&gt;0),N61/M61-1,"")</f>
        <v/>
      </c>
    </row>
    <row r="126" customFormat="false" ht="15" hidden="false" customHeight="false" outlineLevel="0" collapsed="false">
      <c r="A126" s="61" t="s">
        <v>1296</v>
      </c>
      <c r="C126" s="5" t="s">
        <v>1298</v>
      </c>
      <c r="F126" s="44" t="str">
        <f aca="false">IF(AND(ISNUMBER(F62),ISNUMBER(E62),E62&lt;&gt;0),F62/E62-1,"")</f>
        <v/>
      </c>
      <c r="G126" s="44" t="str">
        <f aca="false">IF(AND(ISNUMBER(G62),ISNUMBER(F62),F62&lt;&gt;0),G62/F62-1,"")</f>
        <v/>
      </c>
      <c r="H126" s="44" t="str">
        <f aca="false">IF(AND(ISNUMBER(H62),ISNUMBER(G62),G62&lt;&gt;0),H62/G62-1,"")</f>
        <v/>
      </c>
      <c r="I126" s="44" t="str">
        <f aca="false">IF(AND(ISNUMBER(I62),ISNUMBER(H62),H62&lt;&gt;0),I62/H62-1,"")</f>
        <v/>
      </c>
      <c r="J126" s="44" t="str">
        <f aca="false">IF(AND(ISNUMBER(J62),ISNUMBER(I62),I62&lt;&gt;0),J62/I62-1,"")</f>
        <v/>
      </c>
      <c r="K126" s="44" t="str">
        <f aca="false">IF(AND(ISNUMBER(K62),ISNUMBER(J62),J62&lt;&gt;0),K62/J62-1,"")</f>
        <v/>
      </c>
      <c r="L126" s="44" t="str">
        <f aca="false">IF(AND(ISNUMBER(L62),ISNUMBER(K62),K62&lt;&gt;0),L62/K62-1,"")</f>
        <v/>
      </c>
      <c r="M126" s="44" t="str">
        <f aca="false">IF(AND(ISNUMBER(M62),ISNUMBER(L62),L62&lt;&gt;0),M62/L62-1,"")</f>
        <v/>
      </c>
      <c r="N126" s="44" t="str">
        <f aca="false">IF(AND(ISNUMBER(N62),ISNUMBER(M62),M62&lt;&gt;0),N62/M62-1,"")</f>
        <v/>
      </c>
    </row>
    <row r="127" customFormat="false" ht="15" hidden="false" customHeight="false" outlineLevel="0" collapsed="false">
      <c r="A127" s="61" t="s">
        <v>1299</v>
      </c>
      <c r="C127" s="5" t="s">
        <v>1300</v>
      </c>
      <c r="F127" s="44" t="str">
        <f aca="false">IF(AND(ISNUMBER(F63),ISNUMBER(E63),E63&lt;&gt;0),F63/E63-1,"")</f>
        <v/>
      </c>
      <c r="G127" s="44" t="str">
        <f aca="false">IF(AND(ISNUMBER(G63),ISNUMBER(F63),F63&lt;&gt;0),G63/F63-1,"")</f>
        <v/>
      </c>
      <c r="H127" s="44" t="str">
        <f aca="false">IF(AND(ISNUMBER(H63),ISNUMBER(G63),G63&lt;&gt;0),H63/G63-1,"")</f>
        <v/>
      </c>
      <c r="I127" s="44" t="str">
        <f aca="false">IF(AND(ISNUMBER(I63),ISNUMBER(H63),H63&lt;&gt;0),I63/H63-1,"")</f>
        <v/>
      </c>
      <c r="J127" s="44" t="str">
        <f aca="false">IF(AND(ISNUMBER(J63),ISNUMBER(I63),I63&lt;&gt;0),J63/I63-1,"")</f>
        <v/>
      </c>
      <c r="K127" s="44" t="str">
        <f aca="false">IF(AND(ISNUMBER(K63),ISNUMBER(J63),J63&lt;&gt;0),K63/J63-1,"")</f>
        <v/>
      </c>
      <c r="L127" s="44" t="str">
        <f aca="false">IF(AND(ISNUMBER(L63),ISNUMBER(K63),K63&lt;&gt;0),L63/K63-1,"")</f>
        <v/>
      </c>
      <c r="M127" s="44" t="str">
        <f aca="false">IF(AND(ISNUMBER(M63),ISNUMBER(L63),L63&lt;&gt;0),M63/L63-1,"")</f>
        <v/>
      </c>
      <c r="N127" s="44" t="str">
        <f aca="false">IF(AND(ISNUMBER(N63),ISNUMBER(M63),M63&lt;&gt;0),N63/M63-1,"")</f>
        <v/>
      </c>
    </row>
    <row r="128" customFormat="false" ht="15" hidden="false" customHeight="false" outlineLevel="0" collapsed="false">
      <c r="A128" s="61" t="s">
        <v>1301</v>
      </c>
      <c r="C128" s="5" t="s">
        <v>1302</v>
      </c>
      <c r="F128" s="44" t="str">
        <f aca="false">IF(AND(ISNUMBER(F64),ISNUMBER(E64),E64&lt;&gt;0),F64/E64-1,"")</f>
        <v/>
      </c>
      <c r="G128" s="44" t="str">
        <f aca="false">IF(AND(ISNUMBER(G64),ISNUMBER(F64),F64&lt;&gt;0),G64/F64-1,"")</f>
        <v/>
      </c>
      <c r="H128" s="44" t="str">
        <f aca="false">IF(AND(ISNUMBER(H64),ISNUMBER(G64),G64&lt;&gt;0),H64/G64-1,"")</f>
        <v/>
      </c>
      <c r="I128" s="44" t="str">
        <f aca="false">IF(AND(ISNUMBER(I64),ISNUMBER(H64),H64&lt;&gt;0),I64/H64-1,"")</f>
        <v/>
      </c>
      <c r="J128" s="44" t="str">
        <f aca="false">IF(AND(ISNUMBER(J64),ISNUMBER(I64),I64&lt;&gt;0),J64/I64-1,"")</f>
        <v/>
      </c>
      <c r="K128" s="44" t="str">
        <f aca="false">IF(AND(ISNUMBER(K64),ISNUMBER(J64),J64&lt;&gt;0),K64/J64-1,"")</f>
        <v/>
      </c>
      <c r="L128" s="44" t="str">
        <f aca="false">IF(AND(ISNUMBER(L64),ISNUMBER(K64),K64&lt;&gt;0),L64/K64-1,"")</f>
        <v/>
      </c>
      <c r="M128" s="44" t="str">
        <f aca="false">IF(AND(ISNUMBER(M64),ISNUMBER(L64),L64&lt;&gt;0),M64/L64-1,"")</f>
        <v/>
      </c>
      <c r="N128" s="44" t="str">
        <f aca="false">IF(AND(ISNUMBER(N64),ISNUMBER(M64),M64&lt;&gt;0),N64/M64-1,"")</f>
        <v/>
      </c>
    </row>
    <row r="129" customFormat="false" ht="15" hidden="false" customHeight="false" outlineLevel="0" collapsed="false">
      <c r="A129" s="61" t="s">
        <v>1303</v>
      </c>
      <c r="C129" s="5" t="s">
        <v>1304</v>
      </c>
      <c r="F129" s="44" t="str">
        <f aca="false">IF(AND(ISNUMBER(F65),ISNUMBER(E65),E65&lt;&gt;0),F65/E65-1,"")</f>
        <v/>
      </c>
      <c r="G129" s="44" t="str">
        <f aca="false">IF(AND(ISNUMBER(G65),ISNUMBER(F65),F65&lt;&gt;0),G65/F65-1,"")</f>
        <v/>
      </c>
      <c r="H129" s="44" t="str">
        <f aca="false">IF(AND(ISNUMBER(H65),ISNUMBER(G65),G65&lt;&gt;0),H65/G65-1,"")</f>
        <v/>
      </c>
      <c r="I129" s="44" t="str">
        <f aca="false">IF(AND(ISNUMBER(I65),ISNUMBER(H65),H65&lt;&gt;0),I65/H65-1,"")</f>
        <v/>
      </c>
      <c r="J129" s="44" t="str">
        <f aca="false">IF(AND(ISNUMBER(J65),ISNUMBER(I65),I65&lt;&gt;0),J65/I65-1,"")</f>
        <v/>
      </c>
      <c r="K129" s="44" t="str">
        <f aca="false">IF(AND(ISNUMBER(K65),ISNUMBER(J65),J65&lt;&gt;0),K65/J65-1,"")</f>
        <v/>
      </c>
      <c r="L129" s="44" t="str">
        <f aca="false">IF(AND(ISNUMBER(L65),ISNUMBER(K65),K65&lt;&gt;0),L65/K65-1,"")</f>
        <v/>
      </c>
      <c r="M129" s="44" t="str">
        <f aca="false">IF(AND(ISNUMBER(M65),ISNUMBER(L65),L65&lt;&gt;0),M65/L65-1,"")</f>
        <v/>
      </c>
      <c r="N129" s="44" t="str">
        <f aca="false">IF(AND(ISNUMBER(N65),ISNUMBER(M65),M65&lt;&gt;0),N65/M65-1,"")</f>
        <v/>
      </c>
    </row>
    <row r="130" customFormat="false" ht="15" hidden="false" customHeight="false" outlineLevel="0" collapsed="false">
      <c r="A130" s="61" t="s">
        <v>1305</v>
      </c>
      <c r="C130" s="5" t="s">
        <v>1306</v>
      </c>
      <c r="F130" s="44" t="str">
        <f aca="false">IF(AND(ISNUMBER(F66),ISNUMBER(E66),E66&lt;&gt;0),F66/E66-1,"")</f>
        <v/>
      </c>
      <c r="G130" s="44" t="str">
        <f aca="false">IF(AND(ISNUMBER(G66),ISNUMBER(F66),F66&lt;&gt;0),G66/F66-1,"")</f>
        <v/>
      </c>
      <c r="H130" s="44" t="str">
        <f aca="false">IF(AND(ISNUMBER(H66),ISNUMBER(G66),G66&lt;&gt;0),H66/G66-1,"")</f>
        <v/>
      </c>
      <c r="I130" s="44" t="str">
        <f aca="false">IF(AND(ISNUMBER(I66),ISNUMBER(H66),H66&lt;&gt;0),I66/H66-1,"")</f>
        <v/>
      </c>
      <c r="J130" s="44" t="str">
        <f aca="false">IF(AND(ISNUMBER(J66),ISNUMBER(I66),I66&lt;&gt;0),J66/I66-1,"")</f>
        <v/>
      </c>
      <c r="K130" s="44" t="str">
        <f aca="false">IF(AND(ISNUMBER(K66),ISNUMBER(J66),J66&lt;&gt;0),K66/J66-1,"")</f>
        <v/>
      </c>
      <c r="L130" s="44" t="str">
        <f aca="false">IF(AND(ISNUMBER(L66),ISNUMBER(K66),K66&lt;&gt;0),L66/K66-1,"")</f>
        <v/>
      </c>
      <c r="M130" s="44" t="str">
        <f aca="false">IF(AND(ISNUMBER(M66),ISNUMBER(L66),L66&lt;&gt;0),M66/L66-1,"")</f>
        <v/>
      </c>
      <c r="N130" s="44" t="str">
        <f aca="false">IF(AND(ISNUMBER(N66),ISNUMBER(M66),M66&lt;&gt;0),N66/M66-1,"")</f>
        <v/>
      </c>
    </row>
    <row r="132" customFormat="false" ht="46.25" hidden="false" customHeight="false" outlineLevel="0" collapsed="false">
      <c r="B132" s="20" t="s">
        <v>1310</v>
      </c>
    </row>
    <row r="133" customFormat="false" ht="15" hidden="false" customHeight="false" outlineLevel="0" collapsed="false">
      <c r="A133" s="12"/>
      <c r="B133" s="12" t="s">
        <v>1311</v>
      </c>
      <c r="C133" s="12"/>
      <c r="D133" s="12"/>
      <c r="E133" s="12" t="s">
        <v>1156</v>
      </c>
      <c r="F133" s="12" t="s">
        <v>1157</v>
      </c>
      <c r="G133" s="12" t="s">
        <v>1158</v>
      </c>
      <c r="H133" s="12" t="s">
        <v>1159</v>
      </c>
      <c r="I133" s="12" t="s">
        <v>1160</v>
      </c>
      <c r="J133" s="12" t="s">
        <v>1161</v>
      </c>
      <c r="K133" s="12" t="s">
        <v>1162</v>
      </c>
      <c r="L133" s="12" t="s">
        <v>1163</v>
      </c>
      <c r="M133" s="12" t="s">
        <v>1164</v>
      </c>
      <c r="N133" s="12" t="s">
        <v>1165</v>
      </c>
    </row>
    <row r="134" customFormat="false" ht="15" hidden="false" customHeight="false" outlineLevel="0" collapsed="false">
      <c r="B134" s="5" t="s">
        <v>1312</v>
      </c>
      <c r="F134" s="15" t="str">
        <f aca="false">IF(AND(ISNUMBER(F78),ISNUMBER(F86)),IF(AND(F78&lt;0,F86&lt;0),"Both cut",""),"")</f>
        <v>Both cut</v>
      </c>
      <c r="G134" s="15" t="str">
        <f aca="false">IF(AND(ISNUMBER(G78),ISNUMBER(G86)),IF(AND(G78&lt;0,G86&lt;0),"Both cut",""),"")</f>
        <v/>
      </c>
      <c r="H134" s="15" t="str">
        <f aca="false">IF(AND(ISNUMBER(H78),ISNUMBER(H86)),IF(AND(H78&lt;0,H86&lt;0),"Both cut",""),"")</f>
        <v/>
      </c>
      <c r="I134" s="15" t="str">
        <f aca="false">IF(AND(ISNUMBER(I78),ISNUMBER(I86)),IF(AND(I78&lt;0,I86&lt;0),"Both cut",""),"")</f>
        <v/>
      </c>
      <c r="J134" s="15" t="str">
        <f aca="false">IF(AND(ISNUMBER(J78),ISNUMBER(J86)),IF(AND(J78&lt;0,J86&lt;0),"Both cut",""),"")</f>
        <v/>
      </c>
      <c r="K134" s="15" t="str">
        <f aca="false">IF(AND(ISNUMBER(K78),ISNUMBER(K86)),IF(AND(K78&lt;0,K86&lt;0),"Both cut",""),"")</f>
        <v/>
      </c>
      <c r="L134" s="15" t="str">
        <f aca="false">IF(AND(ISNUMBER(L78),ISNUMBER(L86)),IF(AND(L78&lt;0,L86&lt;0),"Both cut",""),"")</f>
        <v/>
      </c>
      <c r="M134" s="15" t="str">
        <f aca="false">IF(AND(ISNUMBER(M78),ISNUMBER(M86)),IF(AND(M78&lt;0,M86&lt;0),"Both cut",""),"")</f>
        <v/>
      </c>
      <c r="N134" s="15" t="str">
        <f aca="false">IF(AND(ISNUMBER(N78),ISNUMBER(N86)),IF(AND(N78&lt;0,N86&lt;0),"Both cut",""),"")</f>
        <v/>
      </c>
    </row>
    <row r="135" customFormat="false" ht="15" hidden="false" customHeight="false" outlineLevel="0" collapsed="false">
      <c r="B135" s="5" t="s">
        <v>1313</v>
      </c>
      <c r="F135" s="15" t="str">
        <f aca="false">IF(AND(ISNUMBER(F79),ISNUMBER(F87)),IF(AND(F79&lt;0,F87&lt;0),"Both cut",""),"")</f>
        <v/>
      </c>
      <c r="G135" s="15" t="str">
        <f aca="false">IF(AND(ISNUMBER(G79),ISNUMBER(G87)),IF(AND(G79&lt;0,G87&lt;0),"Both cut",""),"")</f>
        <v/>
      </c>
      <c r="H135" s="15" t="str">
        <f aca="false">IF(AND(ISNUMBER(H79),ISNUMBER(H87)),IF(AND(H79&lt;0,H87&lt;0),"Both cut",""),"")</f>
        <v/>
      </c>
      <c r="I135" s="15" t="str">
        <f aca="false">IF(AND(ISNUMBER(I79),ISNUMBER(I87)),IF(AND(I79&lt;0,I87&lt;0),"Both cut",""),"")</f>
        <v/>
      </c>
      <c r="J135" s="15" t="str">
        <f aca="false">IF(AND(ISNUMBER(J79),ISNUMBER(J87)),IF(AND(J79&lt;0,J87&lt;0),"Both cut",""),"")</f>
        <v/>
      </c>
      <c r="K135" s="15" t="str">
        <f aca="false">IF(AND(ISNUMBER(K79),ISNUMBER(K87)),IF(AND(K79&lt;0,K87&lt;0),"Both cut",""),"")</f>
        <v/>
      </c>
      <c r="L135" s="15" t="str">
        <f aca="false">IF(AND(ISNUMBER(L79),ISNUMBER(L87)),IF(AND(L79&lt;0,L87&lt;0),"Both cut",""),"")</f>
        <v/>
      </c>
      <c r="M135" s="15" t="str">
        <f aca="false">IF(AND(ISNUMBER(M79),ISNUMBER(M87)),IF(AND(M79&lt;0,M87&lt;0),"Both cut",""),"")</f>
        <v/>
      </c>
      <c r="N135" s="15" t="str">
        <f aca="false">IF(AND(ISNUMBER(N79),ISNUMBER(N87)),IF(AND(N79&lt;0,N87&lt;0),"Both cut",""),"")</f>
        <v/>
      </c>
    </row>
    <row r="136" customFormat="false" ht="15" hidden="false" customHeight="false" outlineLevel="0" collapsed="false">
      <c r="B136" s="5" t="s">
        <v>1314</v>
      </c>
      <c r="F136" s="15" t="str">
        <f aca="false">IF(AND(ISNUMBER(F80),ISNUMBER(F88)),IF(AND(F80&lt;0,F88&lt;0),"Both cut",""),"")</f>
        <v/>
      </c>
      <c r="G136" s="15" t="str">
        <f aca="false">IF(AND(ISNUMBER(G80),ISNUMBER(G88)),IF(AND(G80&lt;0,G88&lt;0),"Both cut",""),"")</f>
        <v/>
      </c>
      <c r="H136" s="15" t="str">
        <f aca="false">IF(AND(ISNUMBER(H80),ISNUMBER(H88)),IF(AND(H80&lt;0,H88&lt;0),"Both cut",""),"")</f>
        <v/>
      </c>
      <c r="I136" s="15" t="str">
        <f aca="false">IF(AND(ISNUMBER(I80),ISNUMBER(I88)),IF(AND(I80&lt;0,I88&lt;0),"Both cut",""),"")</f>
        <v/>
      </c>
      <c r="J136" s="15" t="str">
        <f aca="false">IF(AND(ISNUMBER(J80),ISNUMBER(J88)),IF(AND(J80&lt;0,J88&lt;0),"Both cut",""),"")</f>
        <v/>
      </c>
      <c r="K136" s="15" t="str">
        <f aca="false">IF(AND(ISNUMBER(K80),ISNUMBER(K88)),IF(AND(K80&lt;0,K88&lt;0),"Both cut",""),"")</f>
        <v/>
      </c>
      <c r="L136" s="15" t="str">
        <f aca="false">IF(AND(ISNUMBER(L80),ISNUMBER(L88)),IF(AND(L80&lt;0,L88&lt;0),"Both cut",""),"")</f>
        <v/>
      </c>
      <c r="M136" s="15" t="str">
        <f aca="false">IF(AND(ISNUMBER(M80),ISNUMBER(M88)),IF(AND(M80&lt;0,M88&lt;0),"Both cut",""),"")</f>
        <v/>
      </c>
      <c r="N136" s="15" t="str">
        <f aca="false">IF(AND(ISNUMBER(N80),ISNUMBER(N88)),IF(AND(N80&lt;0,N88&lt;0),"Both cut",""),"")</f>
        <v/>
      </c>
    </row>
    <row r="137" customFormat="false" ht="15" hidden="false" customHeight="false" outlineLevel="0" collapsed="false">
      <c r="B137" s="5" t="s">
        <v>1315</v>
      </c>
      <c r="F137" s="15" t="str">
        <f aca="false">IF(AND(ISNUMBER(F81),ISNUMBER(F89)),IF(AND(F81&lt;0,F89&lt;0),"Both cut",""),"")</f>
        <v/>
      </c>
      <c r="G137" s="15" t="str">
        <f aca="false">IF(AND(ISNUMBER(G81),ISNUMBER(G89)),IF(AND(G81&lt;0,G89&lt;0),"Both cut",""),"")</f>
        <v/>
      </c>
      <c r="H137" s="15" t="str">
        <f aca="false">IF(AND(ISNUMBER(H81),ISNUMBER(H89)),IF(AND(H81&lt;0,H89&lt;0),"Both cut",""),"")</f>
        <v/>
      </c>
      <c r="I137" s="15" t="str">
        <f aca="false">IF(AND(ISNUMBER(I81),ISNUMBER(I89)),IF(AND(I81&lt;0,I89&lt;0),"Both cut",""),"")</f>
        <v/>
      </c>
      <c r="J137" s="15" t="str">
        <f aca="false">IF(AND(ISNUMBER(J81),ISNUMBER(J89)),IF(AND(J81&lt;0,J89&lt;0),"Both cut",""),"")</f>
        <v/>
      </c>
      <c r="K137" s="15" t="str">
        <f aca="false">IF(AND(ISNUMBER(K81),ISNUMBER(K89)),IF(AND(K81&lt;0,K89&lt;0),"Both cut",""),"")</f>
        <v/>
      </c>
      <c r="L137" s="15" t="str">
        <f aca="false">IF(AND(ISNUMBER(L81),ISNUMBER(L89)),IF(AND(L81&lt;0,L89&lt;0),"Both cut",""),"")</f>
        <v/>
      </c>
      <c r="M137" s="15" t="str">
        <f aca="false">IF(AND(ISNUMBER(M81),ISNUMBER(M89)),IF(AND(M81&lt;0,M89&lt;0),"Both cut",""),"")</f>
        <v/>
      </c>
      <c r="N137" s="15" t="str">
        <f aca="false">IF(AND(ISNUMBER(N81),ISNUMBER(N89)),IF(AND(N81&lt;0,N89&lt;0),"Both cut",""),"")</f>
        <v/>
      </c>
    </row>
    <row r="138" customFormat="false" ht="15" hidden="false" customHeight="false" outlineLevel="0" collapsed="false">
      <c r="B138" s="5" t="s">
        <v>1316</v>
      </c>
      <c r="F138" s="15" t="str">
        <f aca="false">IF(AND(ISNUMBER(F82),ISNUMBER(F90)),IF(AND(F82&lt;0,F90&lt;0),"Both cut",""),"")</f>
        <v/>
      </c>
      <c r="G138" s="15" t="str">
        <f aca="false">IF(AND(ISNUMBER(G82),ISNUMBER(G90)),IF(AND(G82&lt;0,G90&lt;0),"Both cut",""),"")</f>
        <v/>
      </c>
      <c r="H138" s="15" t="str">
        <f aca="false">IF(AND(ISNUMBER(H82),ISNUMBER(H90)),IF(AND(H82&lt;0,H90&lt;0),"Both cut",""),"")</f>
        <v/>
      </c>
      <c r="I138" s="15" t="str">
        <f aca="false">IF(AND(ISNUMBER(I82),ISNUMBER(I90)),IF(AND(I82&lt;0,I90&lt;0),"Both cut",""),"")</f>
        <v/>
      </c>
      <c r="J138" s="15" t="str">
        <f aca="false">IF(AND(ISNUMBER(J82),ISNUMBER(J90)),IF(AND(J82&lt;0,J90&lt;0),"Both cut",""),"")</f>
        <v/>
      </c>
      <c r="K138" s="15" t="str">
        <f aca="false">IF(AND(ISNUMBER(K82),ISNUMBER(K90)),IF(AND(K82&lt;0,K90&lt;0),"Both cut",""),"")</f>
        <v/>
      </c>
      <c r="L138" s="15" t="str">
        <f aca="false">IF(AND(ISNUMBER(L82),ISNUMBER(L90)),IF(AND(L82&lt;0,L90&lt;0),"Both cut",""),"")</f>
        <v/>
      </c>
      <c r="M138" s="15" t="str">
        <f aca="false">IF(AND(ISNUMBER(M82),ISNUMBER(M90)),IF(AND(M82&lt;0,M90&lt;0),"Both cut",""),"")</f>
        <v/>
      </c>
      <c r="N138" s="15" t="str">
        <f aca="false">IF(AND(ISNUMBER(N82),ISNUMBER(N90)),IF(AND(N82&lt;0,N90&lt;0),"Both cut",""),"")</f>
        <v/>
      </c>
    </row>
    <row r="139" customFormat="false" ht="15" hidden="false" customHeight="false" outlineLevel="0" collapsed="false">
      <c r="B139" s="5" t="s">
        <v>1317</v>
      </c>
      <c r="F139" s="15" t="str">
        <f aca="false">IF(AND(ISNUMBER(F83),ISNUMBER(F91)),IF(AND(F83&lt;0,F91&lt;0),"Both cut",""),"")</f>
        <v/>
      </c>
      <c r="G139" s="15" t="str">
        <f aca="false">IF(AND(ISNUMBER(G83),ISNUMBER(G91)),IF(AND(G83&lt;0,G91&lt;0),"Both cut",""),"")</f>
        <v/>
      </c>
      <c r="H139" s="15" t="str">
        <f aca="false">IF(AND(ISNUMBER(H83),ISNUMBER(H91)),IF(AND(H83&lt;0,H91&lt;0),"Both cut",""),"")</f>
        <v/>
      </c>
      <c r="I139" s="15" t="str">
        <f aca="false">IF(AND(ISNUMBER(I83),ISNUMBER(I91)),IF(AND(I83&lt;0,I91&lt;0),"Both cut",""),"")</f>
        <v/>
      </c>
      <c r="J139" s="15" t="str">
        <f aca="false">IF(AND(ISNUMBER(J83),ISNUMBER(J91)),IF(AND(J83&lt;0,J91&lt;0),"Both cut",""),"")</f>
        <v/>
      </c>
      <c r="K139" s="15" t="str">
        <f aca="false">IF(AND(ISNUMBER(K83),ISNUMBER(K91)),IF(AND(K83&lt;0,K91&lt;0),"Both cut",""),"")</f>
        <v/>
      </c>
      <c r="L139" s="15" t="str">
        <f aca="false">IF(AND(ISNUMBER(L83),ISNUMBER(L91)),IF(AND(L83&lt;0,L91&lt;0),"Both cut",""),"")</f>
        <v/>
      </c>
      <c r="M139" s="15" t="str">
        <f aca="false">IF(AND(ISNUMBER(M83),ISNUMBER(M91)),IF(AND(M83&lt;0,M91&lt;0),"Both cut",""),"")</f>
        <v/>
      </c>
      <c r="N139" s="15" t="str">
        <f aca="false">IF(AND(ISNUMBER(N83),ISNUMBER(N91)),IF(AND(N83&lt;0,N91&lt;0),"Both cut",""),"")</f>
        <v/>
      </c>
    </row>
    <row r="140" customFormat="false" ht="15" hidden="false" customHeight="false" outlineLevel="0" collapsed="false">
      <c r="B140" s="5" t="s">
        <v>1318</v>
      </c>
      <c r="F140" s="15" t="str">
        <f aca="false">IF(AND(ISNUMBER(F84),ISNUMBER(F92)),IF(AND(F84&lt;0,F92&lt;0),"Both cut",""),"")</f>
        <v/>
      </c>
      <c r="G140" s="15" t="str">
        <f aca="false">IF(AND(ISNUMBER(G84),ISNUMBER(G92)),IF(AND(G84&lt;0,G92&lt;0),"Both cut",""),"")</f>
        <v/>
      </c>
      <c r="H140" s="15" t="str">
        <f aca="false">IF(AND(ISNUMBER(H84),ISNUMBER(H92)),IF(AND(H84&lt;0,H92&lt;0),"Both cut",""),"")</f>
        <v/>
      </c>
      <c r="I140" s="15" t="str">
        <f aca="false">IF(AND(ISNUMBER(I84),ISNUMBER(I92)),IF(AND(I84&lt;0,I92&lt;0),"Both cut",""),"")</f>
        <v/>
      </c>
      <c r="J140" s="15" t="str">
        <f aca="false">IF(AND(ISNUMBER(J84),ISNUMBER(J92)),IF(AND(J84&lt;0,J92&lt;0),"Both cut",""),"")</f>
        <v/>
      </c>
      <c r="K140" s="15" t="str">
        <f aca="false">IF(AND(ISNUMBER(K84),ISNUMBER(K92)),IF(AND(K84&lt;0,K92&lt;0),"Both cut",""),"")</f>
        <v/>
      </c>
      <c r="L140" s="15" t="str">
        <f aca="false">IF(AND(ISNUMBER(L84),ISNUMBER(L92)),IF(AND(L84&lt;0,L92&lt;0),"Both cut",""),"")</f>
        <v/>
      </c>
      <c r="M140" s="15" t="str">
        <f aca="false">IF(AND(ISNUMBER(M84),ISNUMBER(M92)),IF(AND(M84&lt;0,M92&lt;0),"Both cut",""),"")</f>
        <v/>
      </c>
      <c r="N140" s="15" t="str">
        <f aca="false">IF(AND(ISNUMBER(N84),ISNUMBER(N92)),IF(AND(N84&lt;0,N92&lt;0),"Both cut",""),"")</f>
        <v/>
      </c>
    </row>
    <row r="141" customFormat="false" ht="15" hidden="false" customHeight="false" outlineLevel="0" collapsed="false">
      <c r="B141" s="5" t="s">
        <v>1319</v>
      </c>
      <c r="F141" s="15" t="str">
        <f aca="false">IF(AND(ISNUMBER(F85),ISNUMBER(F93)),IF(AND(F85&lt;0,F93&lt;0),"Both cut",""),"")</f>
        <v/>
      </c>
      <c r="G141" s="15" t="str">
        <f aca="false">IF(AND(ISNUMBER(G85),ISNUMBER(G93)),IF(AND(G85&lt;0,G93&lt;0),"Both cut",""),"")</f>
        <v/>
      </c>
      <c r="H141" s="15" t="str">
        <f aca="false">IF(AND(ISNUMBER(H85),ISNUMBER(H93)),IF(AND(H85&lt;0,H93&lt;0),"Both cut",""),"")</f>
        <v/>
      </c>
      <c r="I141" s="15" t="str">
        <f aca="false">IF(AND(ISNUMBER(I85),ISNUMBER(I93)),IF(AND(I85&lt;0,I93&lt;0),"Both cut",""),"")</f>
        <v/>
      </c>
      <c r="J141" s="15" t="str">
        <f aca="false">IF(AND(ISNUMBER(J85),ISNUMBER(J93)),IF(AND(J85&lt;0,J93&lt;0),"Both cut",""),"")</f>
        <v/>
      </c>
      <c r="K141" s="15" t="str">
        <f aca="false">IF(AND(ISNUMBER(K85),ISNUMBER(K93)),IF(AND(K85&lt;0,K93&lt;0),"Both cut",""),"")</f>
        <v/>
      </c>
      <c r="L141" s="15" t="str">
        <f aca="false">IF(AND(ISNUMBER(L85),ISNUMBER(L93)),IF(AND(L85&lt;0,L93&lt;0),"Both cut",""),"")</f>
        <v/>
      </c>
      <c r="M141" s="15" t="str">
        <f aca="false">IF(AND(ISNUMBER(M85),ISNUMBER(M93)),IF(AND(M85&lt;0,M93&lt;0),"Both cut",""),"")</f>
        <v/>
      </c>
      <c r="N141" s="15" t="str">
        <f aca="false">IF(AND(ISNUMBER(N85),ISNUMBER(N93)),IF(AND(N85&lt;0,N93&lt;0),"Both cut",""),"")</f>
        <v/>
      </c>
    </row>
    <row r="143" customFormat="false" ht="15" hidden="false" customHeight="false" outlineLevel="0" collapsed="false">
      <c r="B143" s="63" t="s">
        <v>1320</v>
      </c>
    </row>
    <row r="144" customFormat="false" ht="15" hidden="false" customHeight="false" outlineLevel="0" collapsed="false">
      <c r="B144" s="63" t="s">
        <v>1321</v>
      </c>
    </row>
  </sheetData>
  <conditionalFormatting sqref="F70:N130">
    <cfRule type="expression" priority="2" aboveAverage="0" equalAverage="0" bottom="0" percent="0" rank="0" text="" dxfId="1">
      <formula>AND(ISNUMBER(F70),ABS(F70)&gt;$D$4)</formula>
    </cfRule>
  </conditionalFormatting>
  <conditionalFormatting sqref="F134:N141">
    <cfRule type="expression" priority="3" aboveAverage="0" equalAverage="0" bottom="0" percent="0" rank="0" text="" dxfId="2">
      <formula>F134="Both cut"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R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true" outlineLevel="0" max="18" min="18" style="0" width="13"/>
  </cols>
  <sheetData>
    <row r="1" customFormat="false" ht="19.7" hidden="false" customHeight="false" outlineLevel="0" collapsed="false">
      <c r="A1" s="7" t="s">
        <v>1322</v>
      </c>
    </row>
    <row r="2" customFormat="false" ht="15" hidden="false" customHeight="false" outlineLevel="0" collapsed="false">
      <c r="A2" s="3" t="s">
        <v>1323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129</v>
      </c>
      <c r="B5" s="12" t="s">
        <v>1324</v>
      </c>
      <c r="C5" s="12" t="s">
        <v>217</v>
      </c>
      <c r="D5" s="12" t="s">
        <v>1156</v>
      </c>
      <c r="E5" s="12" t="s">
        <v>1325</v>
      </c>
      <c r="F5" s="12" t="s">
        <v>1157</v>
      </c>
      <c r="G5" s="12" t="s">
        <v>1325</v>
      </c>
      <c r="H5" s="12" t="s">
        <v>1158</v>
      </c>
      <c r="I5" s="12" t="s">
        <v>1325</v>
      </c>
      <c r="J5" s="12" t="s">
        <v>1159</v>
      </c>
      <c r="K5" s="12" t="s">
        <v>1325</v>
      </c>
      <c r="L5" s="12" t="s">
        <v>1160</v>
      </c>
      <c r="M5" s="12" t="s">
        <v>1325</v>
      </c>
    </row>
    <row r="6" customFormat="false" ht="15" hidden="false" customHeight="false" outlineLevel="0" collapsed="false">
      <c r="A6" s="64" t="s">
        <v>1326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R6" s="36" t="s">
        <v>1327</v>
      </c>
    </row>
    <row r="7" customFormat="false" ht="15" hidden="false" customHeight="false" outlineLevel="0" collapsed="false">
      <c r="A7" s="5" t="s">
        <v>1167</v>
      </c>
      <c r="B7" s="5" t="s">
        <v>1168</v>
      </c>
      <c r="C7" s="5" t="s">
        <v>1169</v>
      </c>
      <c r="D7" s="11" t="s">
        <v>1170</v>
      </c>
      <c r="F7" s="11" t="s">
        <v>1170</v>
      </c>
      <c r="H7" s="66" t="s">
        <v>1170</v>
      </c>
      <c r="J7" s="11"/>
      <c r="L7" s="11"/>
      <c r="R7" s="36" t="s">
        <v>1328</v>
      </c>
    </row>
    <row r="8" customFormat="false" ht="23.85" hidden="false" customHeight="false" outlineLevel="0" collapsed="false">
      <c r="A8" s="5" t="s">
        <v>1167</v>
      </c>
      <c r="B8" s="5" t="s">
        <v>1172</v>
      </c>
      <c r="C8" s="5" t="s">
        <v>1169</v>
      </c>
      <c r="D8" s="11" t="s">
        <v>1173</v>
      </c>
      <c r="F8" s="11" t="s">
        <v>1173</v>
      </c>
      <c r="H8" s="66" t="s">
        <v>1173</v>
      </c>
      <c r="J8" s="11"/>
      <c r="L8" s="11"/>
      <c r="R8" s="36" t="s">
        <v>1329</v>
      </c>
    </row>
    <row r="9" customFormat="false" ht="15" hidden="false" customHeight="false" outlineLevel="0" collapsed="false">
      <c r="A9" s="5" t="s">
        <v>1175</v>
      </c>
      <c r="B9" s="5" t="s">
        <v>1176</v>
      </c>
      <c r="C9" s="5" t="s">
        <v>1177</v>
      </c>
      <c r="D9" s="28"/>
      <c r="F9" s="28"/>
      <c r="G9" s="67" t="str">
        <f aca="false">IF(AND(ISNUMBER(F9),ISNUMBER(D9)),F9-D9,"")</f>
        <v/>
      </c>
      <c r="H9" s="28"/>
      <c r="I9" s="67" t="str">
        <f aca="false">IF(AND(ISNUMBER(H9),ISNUMBER(F9)),H9-F9,"")</f>
        <v/>
      </c>
      <c r="J9" s="28"/>
      <c r="K9" s="67" t="str">
        <f aca="false">IF(AND(ISNUMBER(J9),ISNUMBER(H9)),J9-H9,"")</f>
        <v/>
      </c>
      <c r="L9" s="28"/>
      <c r="M9" s="67" t="str">
        <f aca="false">IF(AND(ISNUMBER(L9),ISNUMBER(J9)),L9-J9,"")</f>
        <v/>
      </c>
      <c r="R9" s="36" t="s">
        <v>1330</v>
      </c>
    </row>
    <row r="10" customFormat="false" ht="15" hidden="false" customHeight="false" outlineLevel="0" collapsed="false">
      <c r="A10" s="5" t="s">
        <v>1175</v>
      </c>
      <c r="B10" s="5" t="s">
        <v>1179</v>
      </c>
      <c r="C10" s="5" t="s">
        <v>1177</v>
      </c>
      <c r="D10" s="28"/>
      <c r="F10" s="28"/>
      <c r="G10" s="67" t="str">
        <f aca="false">IF(AND(ISNUMBER(F10),ISNUMBER(D10)),F10-D10,"")</f>
        <v/>
      </c>
      <c r="H10" s="28"/>
      <c r="I10" s="67" t="str">
        <f aca="false">IF(AND(ISNUMBER(H10),ISNUMBER(F10)),H10-F10,"")</f>
        <v/>
      </c>
      <c r="J10" s="28"/>
      <c r="K10" s="67" t="str">
        <f aca="false">IF(AND(ISNUMBER(J10),ISNUMBER(H10)),J10-H10,"")</f>
        <v/>
      </c>
      <c r="L10" s="28"/>
      <c r="M10" s="67" t="str">
        <f aca="false">IF(AND(ISNUMBER(L10),ISNUMBER(J10)),L10-J10,"")</f>
        <v/>
      </c>
      <c r="R10" s="36" t="s">
        <v>1331</v>
      </c>
    </row>
    <row r="11" customFormat="false" ht="15" hidden="false" customHeight="false" outlineLevel="0" collapsed="false">
      <c r="A11" s="5" t="s">
        <v>1175</v>
      </c>
      <c r="B11" s="5" t="s">
        <v>1181</v>
      </c>
      <c r="C11" s="5" t="s">
        <v>1182</v>
      </c>
      <c r="D11" s="19"/>
      <c r="F11" s="19"/>
      <c r="G11" s="68" t="str">
        <f aca="false">IF(AND(ISNUMBER(F11),ISNUMBER(D11)),F11-D11,"")</f>
        <v/>
      </c>
      <c r="H11" s="19"/>
      <c r="I11" s="68" t="str">
        <f aca="false">IF(AND(ISNUMBER(H11),ISNUMBER(F11)),H11-F11,"")</f>
        <v/>
      </c>
      <c r="J11" s="19"/>
      <c r="K11" s="68" t="str">
        <f aca="false">IF(AND(ISNUMBER(J11),ISNUMBER(H11)),J11-H11,"")</f>
        <v/>
      </c>
      <c r="L11" s="19"/>
      <c r="M11" s="68" t="str">
        <f aca="false">IF(AND(ISNUMBER(L11),ISNUMBER(J11)),L11-J11,"")</f>
        <v/>
      </c>
      <c r="R11" s="36" t="s">
        <v>1332</v>
      </c>
    </row>
    <row r="12" customFormat="false" ht="15" hidden="false" customHeight="false" outlineLevel="0" collapsed="false">
      <c r="A12" s="5" t="s">
        <v>1175</v>
      </c>
      <c r="B12" s="5" t="s">
        <v>1184</v>
      </c>
      <c r="C12" s="5" t="s">
        <v>1182</v>
      </c>
      <c r="D12" s="19"/>
      <c r="F12" s="19"/>
      <c r="G12" s="68" t="str">
        <f aca="false">IF(AND(ISNUMBER(F12),ISNUMBER(D12)),F12-D12,"")</f>
        <v/>
      </c>
      <c r="H12" s="19"/>
      <c r="I12" s="68" t="str">
        <f aca="false">IF(AND(ISNUMBER(H12),ISNUMBER(F12)),H12-F12,"")</f>
        <v/>
      </c>
      <c r="J12" s="19"/>
      <c r="K12" s="68" t="str">
        <f aca="false">IF(AND(ISNUMBER(J12),ISNUMBER(H12)),J12-H12,"")</f>
        <v/>
      </c>
      <c r="L12" s="19"/>
      <c r="M12" s="68" t="str">
        <f aca="false">IF(AND(ISNUMBER(L12),ISNUMBER(J12)),L12-J12,"")</f>
        <v/>
      </c>
      <c r="R12" s="36" t="s">
        <v>1333</v>
      </c>
    </row>
    <row r="13" customFormat="false" ht="15" hidden="false" customHeight="false" outlineLevel="0" collapsed="false">
      <c r="A13" s="5" t="s">
        <v>1175</v>
      </c>
      <c r="B13" s="5" t="s">
        <v>1186</v>
      </c>
      <c r="C13" s="5" t="s">
        <v>1187</v>
      </c>
      <c r="D13" s="24"/>
      <c r="F13" s="24"/>
      <c r="G13" s="69" t="str">
        <f aca="false">IF(AND(ISNUMBER(F13),ISNUMBER(D13)),F13-D13,"")</f>
        <v/>
      </c>
      <c r="H13" s="24"/>
      <c r="I13" s="69" t="str">
        <f aca="false">IF(AND(ISNUMBER(H13),ISNUMBER(F13)),H13-F13,"")</f>
        <v/>
      </c>
      <c r="J13" s="24"/>
      <c r="K13" s="69" t="str">
        <f aca="false">IF(AND(ISNUMBER(J13),ISNUMBER(H13)),J13-H13,"")</f>
        <v/>
      </c>
      <c r="L13" s="24"/>
      <c r="M13" s="69" t="str">
        <f aca="false">IF(AND(ISNUMBER(L13),ISNUMBER(J13)),L13-J13,"")</f>
        <v/>
      </c>
      <c r="R13" s="36" t="s">
        <v>1334</v>
      </c>
    </row>
    <row r="14" customFormat="false" ht="15" hidden="false" customHeight="false" outlineLevel="0" collapsed="false">
      <c r="A14" s="5" t="s">
        <v>1175</v>
      </c>
      <c r="B14" s="5" t="s">
        <v>1189</v>
      </c>
      <c r="C14" s="5" t="s">
        <v>1187</v>
      </c>
      <c r="D14" s="24"/>
      <c r="F14" s="24"/>
      <c r="G14" s="69" t="str">
        <f aca="false">IF(AND(ISNUMBER(F14),ISNUMBER(D14)),F14-D14,"")</f>
        <v/>
      </c>
      <c r="H14" s="24"/>
      <c r="I14" s="69" t="str">
        <f aca="false">IF(AND(ISNUMBER(H14),ISNUMBER(F14)),H14-F14,"")</f>
        <v/>
      </c>
      <c r="J14" s="24"/>
      <c r="K14" s="69" t="str">
        <f aca="false">IF(AND(ISNUMBER(J14),ISNUMBER(H14)),J14-H14,"")</f>
        <v/>
      </c>
      <c r="L14" s="24"/>
      <c r="M14" s="69" t="str">
        <f aca="false">IF(AND(ISNUMBER(L14),ISNUMBER(J14)),L14-J14,"")</f>
        <v/>
      </c>
      <c r="R14" s="36" t="s">
        <v>1335</v>
      </c>
    </row>
    <row r="15" customFormat="false" ht="15" hidden="false" customHeight="false" outlineLevel="0" collapsed="false">
      <c r="A15" s="5" t="s">
        <v>1191</v>
      </c>
      <c r="B15" s="5" t="s">
        <v>1192</v>
      </c>
      <c r="C15" s="5" t="s">
        <v>777</v>
      </c>
      <c r="D15" s="62" t="n">
        <v>264</v>
      </c>
      <c r="F15" s="62" t="n">
        <v>239</v>
      </c>
      <c r="G15" s="70" t="n">
        <f aca="false">IF(AND(ISNUMBER(F15),ISNUMBER(D15)),F15-D15,"")</f>
        <v>-25</v>
      </c>
      <c r="H15" s="71" t="n">
        <v>239</v>
      </c>
      <c r="I15" s="70" t="n">
        <f aca="false">IF(AND(ISNUMBER(H15),ISNUMBER(F15)),H15-F15,"")</f>
        <v>0</v>
      </c>
      <c r="J15" s="62"/>
      <c r="K15" s="70" t="str">
        <f aca="false">IF(AND(ISNUMBER(J15),ISNUMBER(H15)),J15-H15,"")</f>
        <v/>
      </c>
      <c r="L15" s="62"/>
      <c r="M15" s="70" t="str">
        <f aca="false">IF(AND(ISNUMBER(L15),ISNUMBER(J15)),L15-J15,"")</f>
        <v/>
      </c>
      <c r="R15" s="36" t="s">
        <v>1336</v>
      </c>
    </row>
    <row r="16" customFormat="false" ht="15" hidden="false" customHeight="false" outlineLevel="0" collapsed="false">
      <c r="A16" s="5" t="s">
        <v>1191</v>
      </c>
      <c r="B16" s="5" t="s">
        <v>1194</v>
      </c>
      <c r="C16" s="5" t="s">
        <v>777</v>
      </c>
      <c r="D16" s="62" t="n">
        <v>270</v>
      </c>
      <c r="F16" s="62" t="n">
        <v>272</v>
      </c>
      <c r="G16" s="70" t="n">
        <f aca="false">IF(AND(ISNUMBER(F16),ISNUMBER(D16)),F16-D16,"")</f>
        <v>2</v>
      </c>
      <c r="H16" s="71" t="n">
        <v>262</v>
      </c>
      <c r="I16" s="70" t="n">
        <f aca="false">IF(AND(ISNUMBER(H16),ISNUMBER(F16)),H16-F16,"")</f>
        <v>-10</v>
      </c>
      <c r="J16" s="62"/>
      <c r="K16" s="70" t="str">
        <f aca="false">IF(AND(ISNUMBER(J16),ISNUMBER(H16)),J16-H16,"")</f>
        <v/>
      </c>
      <c r="L16" s="62"/>
      <c r="M16" s="70" t="str">
        <f aca="false">IF(AND(ISNUMBER(L16),ISNUMBER(J16)),L16-J16,"")</f>
        <v/>
      </c>
      <c r="R16" s="36" t="s">
        <v>1337</v>
      </c>
    </row>
    <row r="17" customFormat="false" ht="15" hidden="false" customHeight="false" outlineLevel="0" collapsed="false">
      <c r="A17" s="5" t="s">
        <v>1191</v>
      </c>
      <c r="B17" s="5" t="s">
        <v>1196</v>
      </c>
      <c r="C17" s="5" t="s">
        <v>777</v>
      </c>
      <c r="D17" s="62"/>
      <c r="F17" s="62"/>
      <c r="G17" s="70" t="str">
        <f aca="false">IF(AND(ISNUMBER(F17),ISNUMBER(D17)),F17-D17,"")</f>
        <v/>
      </c>
      <c r="H17" s="62"/>
      <c r="I17" s="70" t="str">
        <f aca="false">IF(AND(ISNUMBER(H17),ISNUMBER(F17)),H17-F17,"")</f>
        <v/>
      </c>
      <c r="J17" s="62"/>
      <c r="K17" s="70" t="str">
        <f aca="false">IF(AND(ISNUMBER(J17),ISNUMBER(H17)),J17-H17,"")</f>
        <v/>
      </c>
      <c r="L17" s="62"/>
      <c r="M17" s="70" t="str">
        <f aca="false">IF(AND(ISNUMBER(L17),ISNUMBER(J17)),L17-J17,"")</f>
        <v/>
      </c>
      <c r="R17" s="36" t="s">
        <v>112</v>
      </c>
    </row>
    <row r="18" customFormat="false" ht="15" hidden="false" customHeight="false" outlineLevel="0" collapsed="false">
      <c r="A18" s="5" t="s">
        <v>1191</v>
      </c>
      <c r="B18" s="5" t="s">
        <v>1198</v>
      </c>
      <c r="C18" s="5" t="s">
        <v>777</v>
      </c>
      <c r="D18" s="62"/>
      <c r="F18" s="62"/>
      <c r="G18" s="70" t="str">
        <f aca="false">IF(AND(ISNUMBER(F18),ISNUMBER(D18)),F18-D18,"")</f>
        <v/>
      </c>
      <c r="H18" s="62"/>
      <c r="I18" s="70" t="str">
        <f aca="false">IF(AND(ISNUMBER(H18),ISNUMBER(F18)),H18-F18,"")</f>
        <v/>
      </c>
      <c r="J18" s="62"/>
      <c r="K18" s="70" t="str">
        <f aca="false">IF(AND(ISNUMBER(J18),ISNUMBER(H18)),J18-H18,"")</f>
        <v/>
      </c>
      <c r="L18" s="62"/>
      <c r="M18" s="70" t="str">
        <f aca="false">IF(AND(ISNUMBER(L18),ISNUMBER(J18)),L18-J18,"")</f>
        <v/>
      </c>
      <c r="R18" s="36" t="s">
        <v>1338</v>
      </c>
    </row>
    <row r="19" customFormat="false" ht="15" hidden="false" customHeight="false" outlineLevel="0" collapsed="false">
      <c r="A19" s="5" t="s">
        <v>1191</v>
      </c>
      <c r="B19" s="5" t="s">
        <v>1200</v>
      </c>
      <c r="C19" s="5" t="s">
        <v>777</v>
      </c>
      <c r="D19" s="62"/>
      <c r="F19" s="62"/>
      <c r="G19" s="70" t="str">
        <f aca="false">IF(AND(ISNUMBER(F19),ISNUMBER(D19)),F19-D19,"")</f>
        <v/>
      </c>
      <c r="H19" s="62"/>
      <c r="I19" s="70" t="str">
        <f aca="false">IF(AND(ISNUMBER(H19),ISNUMBER(F19)),H19-F19,"")</f>
        <v/>
      </c>
      <c r="J19" s="62"/>
      <c r="K19" s="70" t="str">
        <f aca="false">IF(AND(ISNUMBER(J19),ISNUMBER(H19)),J19-H19,"")</f>
        <v/>
      </c>
      <c r="L19" s="62"/>
      <c r="M19" s="70" t="str">
        <f aca="false">IF(AND(ISNUMBER(L19),ISNUMBER(J19)),L19-J19,"")</f>
        <v/>
      </c>
      <c r="R19" s="36" t="s">
        <v>1339</v>
      </c>
    </row>
    <row r="20" customFormat="false" ht="15" hidden="false" customHeight="false" outlineLevel="0" collapsed="false">
      <c r="A20" s="5" t="s">
        <v>1191</v>
      </c>
      <c r="B20" s="5" t="s">
        <v>1202</v>
      </c>
      <c r="C20" s="5" t="s">
        <v>777</v>
      </c>
      <c r="D20" s="62"/>
      <c r="F20" s="62"/>
      <c r="G20" s="70" t="str">
        <f aca="false">IF(AND(ISNUMBER(F20),ISNUMBER(D20)),F20-D20,"")</f>
        <v/>
      </c>
      <c r="H20" s="62"/>
      <c r="I20" s="70" t="str">
        <f aca="false">IF(AND(ISNUMBER(H20),ISNUMBER(F20)),H20-F20,"")</f>
        <v/>
      </c>
      <c r="J20" s="62"/>
      <c r="K20" s="70" t="str">
        <f aca="false">IF(AND(ISNUMBER(J20),ISNUMBER(H20)),J20-H20,"")</f>
        <v/>
      </c>
      <c r="L20" s="62"/>
      <c r="M20" s="70" t="str">
        <f aca="false">IF(AND(ISNUMBER(L20),ISNUMBER(J20)),L20-J20,"")</f>
        <v/>
      </c>
      <c r="R20" s="36" t="s">
        <v>1340</v>
      </c>
    </row>
    <row r="21" customFormat="false" ht="15" hidden="false" customHeight="false" outlineLevel="0" collapsed="false">
      <c r="A21" s="5" t="s">
        <v>1191</v>
      </c>
      <c r="B21" s="5" t="s">
        <v>1204</v>
      </c>
      <c r="C21" s="5" t="s">
        <v>777</v>
      </c>
      <c r="D21" s="62"/>
      <c r="F21" s="62"/>
      <c r="G21" s="70" t="str">
        <f aca="false">IF(AND(ISNUMBER(F21),ISNUMBER(D21)),F21-D21,"")</f>
        <v/>
      </c>
      <c r="H21" s="62"/>
      <c r="I21" s="70" t="str">
        <f aca="false">IF(AND(ISNUMBER(H21),ISNUMBER(F21)),H21-F21,"")</f>
        <v/>
      </c>
      <c r="J21" s="62"/>
      <c r="K21" s="70" t="str">
        <f aca="false">IF(AND(ISNUMBER(J21),ISNUMBER(H21)),J21-H21,"")</f>
        <v/>
      </c>
      <c r="L21" s="62"/>
      <c r="M21" s="70" t="str">
        <f aca="false">IF(AND(ISNUMBER(L21),ISNUMBER(J21)),L21-J21,"")</f>
        <v/>
      </c>
      <c r="R21" s="36" t="s">
        <v>1341</v>
      </c>
    </row>
    <row r="22" customFormat="false" ht="15" hidden="false" customHeight="false" outlineLevel="0" collapsed="false">
      <c r="A22" s="5" t="s">
        <v>1191</v>
      </c>
      <c r="B22" s="5" t="s">
        <v>1206</v>
      </c>
      <c r="C22" s="5" t="s">
        <v>777</v>
      </c>
      <c r="D22" s="62"/>
      <c r="F22" s="62"/>
      <c r="G22" s="70" t="str">
        <f aca="false">IF(AND(ISNUMBER(F22),ISNUMBER(D22)),F22-D22,"")</f>
        <v/>
      </c>
      <c r="H22" s="62"/>
      <c r="I22" s="70" t="str">
        <f aca="false">IF(AND(ISNUMBER(H22),ISNUMBER(F22)),H22-F22,"")</f>
        <v/>
      </c>
      <c r="J22" s="62"/>
      <c r="K22" s="70" t="str">
        <f aca="false">IF(AND(ISNUMBER(J22),ISNUMBER(H22)),J22-H22,"")</f>
        <v/>
      </c>
      <c r="L22" s="62"/>
      <c r="M22" s="70" t="str">
        <f aca="false">IF(AND(ISNUMBER(L22),ISNUMBER(J22)),L22-J22,"")</f>
        <v/>
      </c>
      <c r="R22" s="36" t="s">
        <v>1342</v>
      </c>
    </row>
    <row r="23" customFormat="false" ht="15" hidden="false" customHeight="false" outlineLevel="0" collapsed="false">
      <c r="A23" s="5" t="s">
        <v>1191</v>
      </c>
      <c r="B23" s="5" t="s">
        <v>1208</v>
      </c>
      <c r="C23" s="5" t="s">
        <v>1187</v>
      </c>
      <c r="D23" s="24" t="n">
        <v>7500</v>
      </c>
      <c r="F23" s="24" t="n">
        <v>6500</v>
      </c>
      <c r="G23" s="69" t="n">
        <f aca="false">IF(AND(ISNUMBER(F23),ISNUMBER(D23)),F23-D23,"")</f>
        <v>-1000</v>
      </c>
      <c r="H23" s="72" t="n">
        <v>6800</v>
      </c>
      <c r="I23" s="69" t="n">
        <f aca="false">IF(AND(ISNUMBER(H23),ISNUMBER(F23)),H23-F23,"")</f>
        <v>300</v>
      </c>
      <c r="J23" s="24"/>
      <c r="K23" s="69" t="str">
        <f aca="false">IF(AND(ISNUMBER(J23),ISNUMBER(H23)),J23-H23,"")</f>
        <v/>
      </c>
      <c r="L23" s="24"/>
      <c r="M23" s="69" t="str">
        <f aca="false">IF(AND(ISNUMBER(L23),ISNUMBER(J23)),L23-J23,"")</f>
        <v/>
      </c>
      <c r="R23" s="36" t="s">
        <v>1343</v>
      </c>
    </row>
    <row r="24" customFormat="false" ht="15" hidden="false" customHeight="false" outlineLevel="0" collapsed="false">
      <c r="A24" s="5" t="s">
        <v>1191</v>
      </c>
      <c r="B24" s="5" t="s">
        <v>1210</v>
      </c>
      <c r="C24" s="5" t="s">
        <v>1187</v>
      </c>
      <c r="D24" s="24" t="n">
        <v>6000</v>
      </c>
      <c r="F24" s="24" t="n">
        <v>6100</v>
      </c>
      <c r="G24" s="69" t="n">
        <f aca="false">IF(AND(ISNUMBER(F24),ISNUMBER(D24)),F24-D24,"")</f>
        <v>100</v>
      </c>
      <c r="H24" s="72" t="n">
        <v>6200</v>
      </c>
      <c r="I24" s="69" t="n">
        <f aca="false">IF(AND(ISNUMBER(H24),ISNUMBER(F24)),H24-F24,"")</f>
        <v>100</v>
      </c>
      <c r="J24" s="24"/>
      <c r="K24" s="69" t="str">
        <f aca="false">IF(AND(ISNUMBER(J24),ISNUMBER(H24)),J24-H24,"")</f>
        <v/>
      </c>
      <c r="L24" s="24"/>
      <c r="M24" s="69" t="str">
        <f aca="false">IF(AND(ISNUMBER(L24),ISNUMBER(J24)),L24-J24,"")</f>
        <v/>
      </c>
      <c r="R24" s="36" t="s">
        <v>1344</v>
      </c>
    </row>
    <row r="25" customFormat="false" ht="15" hidden="false" customHeight="false" outlineLevel="0" collapsed="false">
      <c r="A25" s="5" t="s">
        <v>1191</v>
      </c>
      <c r="B25" s="5" t="s">
        <v>1212</v>
      </c>
      <c r="C25" s="5" t="s">
        <v>1187</v>
      </c>
      <c r="D25" s="24"/>
      <c r="F25" s="24"/>
      <c r="G25" s="69" t="str">
        <f aca="false">IF(AND(ISNUMBER(F25),ISNUMBER(D25)),F25-D25,"")</f>
        <v/>
      </c>
      <c r="H25" s="24"/>
      <c r="I25" s="69" t="str">
        <f aca="false">IF(AND(ISNUMBER(H25),ISNUMBER(F25)),H25-F25,"")</f>
        <v/>
      </c>
      <c r="J25" s="24"/>
      <c r="K25" s="69" t="str">
        <f aca="false">IF(AND(ISNUMBER(J25),ISNUMBER(H25)),J25-H25,"")</f>
        <v/>
      </c>
      <c r="L25" s="24"/>
      <c r="M25" s="69" t="str">
        <f aca="false">IF(AND(ISNUMBER(L25),ISNUMBER(J25)),L25-J25,"")</f>
        <v/>
      </c>
      <c r="R25" s="36" t="s">
        <v>1345</v>
      </c>
    </row>
    <row r="26" customFormat="false" ht="15" hidden="false" customHeight="false" outlineLevel="0" collapsed="false">
      <c r="A26" s="5" t="s">
        <v>1191</v>
      </c>
      <c r="B26" s="5" t="s">
        <v>1214</v>
      </c>
      <c r="C26" s="5" t="s">
        <v>1187</v>
      </c>
      <c r="D26" s="24"/>
      <c r="F26" s="24"/>
      <c r="G26" s="69" t="str">
        <f aca="false">IF(AND(ISNUMBER(F26),ISNUMBER(D26)),F26-D26,"")</f>
        <v/>
      </c>
      <c r="H26" s="24"/>
      <c r="I26" s="69" t="str">
        <f aca="false">IF(AND(ISNUMBER(H26),ISNUMBER(F26)),H26-F26,"")</f>
        <v/>
      </c>
      <c r="J26" s="24"/>
      <c r="K26" s="69" t="str">
        <f aca="false">IF(AND(ISNUMBER(J26),ISNUMBER(H26)),J26-H26,"")</f>
        <v/>
      </c>
      <c r="L26" s="24"/>
      <c r="M26" s="69" t="str">
        <f aca="false">IF(AND(ISNUMBER(L26),ISNUMBER(J26)),L26-J26,"")</f>
        <v/>
      </c>
      <c r="R26" s="36" t="s">
        <v>1346</v>
      </c>
    </row>
    <row r="27" customFormat="false" ht="15" hidden="false" customHeight="false" outlineLevel="0" collapsed="false">
      <c r="A27" s="5" t="s">
        <v>1191</v>
      </c>
      <c r="B27" s="5" t="s">
        <v>1216</v>
      </c>
      <c r="C27" s="5" t="s">
        <v>1187</v>
      </c>
      <c r="D27" s="24"/>
      <c r="F27" s="24"/>
      <c r="G27" s="69" t="str">
        <f aca="false">IF(AND(ISNUMBER(F27),ISNUMBER(D27)),F27-D27,"")</f>
        <v/>
      </c>
      <c r="H27" s="24"/>
      <c r="I27" s="69" t="str">
        <f aca="false">IF(AND(ISNUMBER(H27),ISNUMBER(F27)),H27-F27,"")</f>
        <v/>
      </c>
      <c r="J27" s="24"/>
      <c r="K27" s="69" t="str">
        <f aca="false">IF(AND(ISNUMBER(J27),ISNUMBER(H27)),J27-H27,"")</f>
        <v/>
      </c>
      <c r="L27" s="24"/>
      <c r="M27" s="69" t="str">
        <f aca="false">IF(AND(ISNUMBER(L27),ISNUMBER(J27)),L27-J27,"")</f>
        <v/>
      </c>
    </row>
    <row r="28" customFormat="false" ht="15" hidden="false" customHeight="false" outlineLevel="0" collapsed="false">
      <c r="A28" s="5" t="s">
        <v>1191</v>
      </c>
      <c r="B28" s="5" t="s">
        <v>1218</v>
      </c>
      <c r="C28" s="5" t="s">
        <v>1187</v>
      </c>
      <c r="D28" s="24"/>
      <c r="F28" s="24"/>
      <c r="G28" s="69" t="str">
        <f aca="false">IF(AND(ISNUMBER(F28),ISNUMBER(D28)),F28-D28,"")</f>
        <v/>
      </c>
      <c r="H28" s="24"/>
      <c r="I28" s="69" t="str">
        <f aca="false">IF(AND(ISNUMBER(H28),ISNUMBER(F28)),H28-F28,"")</f>
        <v/>
      </c>
      <c r="J28" s="24"/>
      <c r="K28" s="69" t="str">
        <f aca="false">IF(AND(ISNUMBER(J28),ISNUMBER(H28)),J28-H28,"")</f>
        <v/>
      </c>
      <c r="L28" s="24"/>
      <c r="M28" s="69" t="str">
        <f aca="false">IF(AND(ISNUMBER(L28),ISNUMBER(J28)),L28-J28,"")</f>
        <v/>
      </c>
    </row>
    <row r="29" customFormat="false" ht="15" hidden="false" customHeight="false" outlineLevel="0" collapsed="false">
      <c r="A29" s="5" t="s">
        <v>1191</v>
      </c>
      <c r="B29" s="5" t="s">
        <v>1220</v>
      </c>
      <c r="C29" s="5" t="s">
        <v>1187</v>
      </c>
      <c r="D29" s="24"/>
      <c r="F29" s="24"/>
      <c r="G29" s="69" t="str">
        <f aca="false">IF(AND(ISNUMBER(F29),ISNUMBER(D29)),F29-D29,"")</f>
        <v/>
      </c>
      <c r="H29" s="24"/>
      <c r="I29" s="69" t="str">
        <f aca="false">IF(AND(ISNUMBER(H29),ISNUMBER(F29)),H29-F29,"")</f>
        <v/>
      </c>
      <c r="J29" s="24"/>
      <c r="K29" s="69" t="str">
        <f aca="false">IF(AND(ISNUMBER(J29),ISNUMBER(H29)),J29-H29,"")</f>
        <v/>
      </c>
      <c r="L29" s="24"/>
      <c r="M29" s="69" t="str">
        <f aca="false">IF(AND(ISNUMBER(L29),ISNUMBER(J29)),L29-J29,"")</f>
        <v/>
      </c>
    </row>
    <row r="30" customFormat="false" ht="15" hidden="false" customHeight="false" outlineLevel="0" collapsed="false">
      <c r="A30" s="5" t="s">
        <v>1191</v>
      </c>
      <c r="B30" s="5" t="s">
        <v>1222</v>
      </c>
      <c r="C30" s="5" t="s">
        <v>1187</v>
      </c>
      <c r="D30" s="24"/>
      <c r="F30" s="24"/>
      <c r="G30" s="69" t="str">
        <f aca="false">IF(AND(ISNUMBER(F30),ISNUMBER(D30)),F30-D30,"")</f>
        <v/>
      </c>
      <c r="H30" s="24"/>
      <c r="I30" s="69" t="str">
        <f aca="false">IF(AND(ISNUMBER(H30),ISNUMBER(F30)),H30-F30,"")</f>
        <v/>
      </c>
      <c r="J30" s="24"/>
      <c r="K30" s="69" t="str">
        <f aca="false">IF(AND(ISNUMBER(J30),ISNUMBER(H30)),J30-H30,"")</f>
        <v/>
      </c>
      <c r="L30" s="24"/>
      <c r="M30" s="69" t="str">
        <f aca="false">IF(AND(ISNUMBER(L30),ISNUMBER(J30)),L30-J30,"")</f>
        <v/>
      </c>
    </row>
    <row r="31" customFormat="false" ht="23.85" hidden="false" customHeight="false" outlineLevel="0" collapsed="false">
      <c r="A31" s="5" t="s">
        <v>1191</v>
      </c>
      <c r="B31" s="5" t="s">
        <v>1224</v>
      </c>
      <c r="C31" s="5" t="s">
        <v>1225</v>
      </c>
      <c r="D31" s="28"/>
      <c r="F31" s="28"/>
      <c r="G31" s="67" t="str">
        <f aca="false">IF(AND(ISNUMBER(F31),ISNUMBER(D31)),F31-D31,"")</f>
        <v/>
      </c>
      <c r="H31" s="28"/>
      <c r="I31" s="67" t="str">
        <f aca="false">IF(AND(ISNUMBER(H31),ISNUMBER(F31)),H31-F31,"")</f>
        <v/>
      </c>
      <c r="J31" s="28"/>
      <c r="K31" s="67" t="str">
        <f aca="false">IF(AND(ISNUMBER(J31),ISNUMBER(H31)),J31-H31,"")</f>
        <v/>
      </c>
      <c r="L31" s="28"/>
      <c r="M31" s="67" t="str">
        <f aca="false">IF(AND(ISNUMBER(L31),ISNUMBER(J31)),L31-J31,"")</f>
        <v/>
      </c>
    </row>
    <row r="32" customFormat="false" ht="23.85" hidden="false" customHeight="false" outlineLevel="0" collapsed="false">
      <c r="A32" s="5" t="s">
        <v>1191</v>
      </c>
      <c r="B32" s="5" t="s">
        <v>1227</v>
      </c>
      <c r="C32" s="5" t="s">
        <v>1225</v>
      </c>
      <c r="D32" s="28"/>
      <c r="F32" s="28"/>
      <c r="G32" s="67" t="str">
        <f aca="false">IF(AND(ISNUMBER(F32),ISNUMBER(D32)),F32-D32,"")</f>
        <v/>
      </c>
      <c r="H32" s="28"/>
      <c r="I32" s="67" t="str">
        <f aca="false">IF(AND(ISNUMBER(H32),ISNUMBER(F32)),H32-F32,"")</f>
        <v/>
      </c>
      <c r="J32" s="28"/>
      <c r="K32" s="67" t="str">
        <f aca="false">IF(AND(ISNUMBER(J32),ISNUMBER(H32)),J32-H32,"")</f>
        <v/>
      </c>
      <c r="L32" s="28"/>
      <c r="M32" s="67" t="str">
        <f aca="false">IF(AND(ISNUMBER(L32),ISNUMBER(J32)),L32-J32,"")</f>
        <v/>
      </c>
    </row>
    <row r="33" customFormat="false" ht="23.85" hidden="false" customHeight="false" outlineLevel="0" collapsed="false">
      <c r="A33" s="5" t="s">
        <v>1191</v>
      </c>
      <c r="B33" s="5" t="s">
        <v>1229</v>
      </c>
      <c r="C33" s="5" t="s">
        <v>1225</v>
      </c>
      <c r="D33" s="28"/>
      <c r="F33" s="28"/>
      <c r="G33" s="67" t="str">
        <f aca="false">IF(AND(ISNUMBER(F33),ISNUMBER(D33)),F33-D33,"")</f>
        <v/>
      </c>
      <c r="H33" s="28"/>
      <c r="I33" s="67" t="str">
        <f aca="false">IF(AND(ISNUMBER(H33),ISNUMBER(F33)),H33-F33,"")</f>
        <v/>
      </c>
      <c r="J33" s="28"/>
      <c r="K33" s="67" t="str">
        <f aca="false">IF(AND(ISNUMBER(J33),ISNUMBER(H33)),J33-H33,"")</f>
        <v/>
      </c>
      <c r="L33" s="28"/>
      <c r="M33" s="67" t="str">
        <f aca="false">IF(AND(ISNUMBER(L33),ISNUMBER(J33)),L33-J33,"")</f>
        <v/>
      </c>
    </row>
    <row r="34" customFormat="false" ht="23.85" hidden="false" customHeight="false" outlineLevel="0" collapsed="false">
      <c r="A34" s="5" t="s">
        <v>1191</v>
      </c>
      <c r="B34" s="5" t="s">
        <v>1231</v>
      </c>
      <c r="C34" s="5" t="s">
        <v>1225</v>
      </c>
      <c r="D34" s="28"/>
      <c r="F34" s="28"/>
      <c r="G34" s="67" t="str">
        <f aca="false">IF(AND(ISNUMBER(F34),ISNUMBER(D34)),F34-D34,"")</f>
        <v/>
      </c>
      <c r="H34" s="28"/>
      <c r="I34" s="67" t="str">
        <f aca="false">IF(AND(ISNUMBER(H34),ISNUMBER(F34)),H34-F34,"")</f>
        <v/>
      </c>
      <c r="J34" s="28"/>
      <c r="K34" s="67" t="str">
        <f aca="false">IF(AND(ISNUMBER(J34),ISNUMBER(H34)),J34-H34,"")</f>
        <v/>
      </c>
      <c r="L34" s="28"/>
      <c r="M34" s="67" t="str">
        <f aca="false">IF(AND(ISNUMBER(L34),ISNUMBER(J34)),L34-J34,"")</f>
        <v/>
      </c>
    </row>
    <row r="35" customFormat="false" ht="23.85" hidden="false" customHeight="false" outlineLevel="0" collapsed="false">
      <c r="A35" s="5" t="s">
        <v>1191</v>
      </c>
      <c r="B35" s="5" t="s">
        <v>1233</v>
      </c>
      <c r="C35" s="5" t="s">
        <v>1225</v>
      </c>
      <c r="D35" s="28"/>
      <c r="F35" s="28"/>
      <c r="G35" s="67" t="str">
        <f aca="false">IF(AND(ISNUMBER(F35),ISNUMBER(D35)),F35-D35,"")</f>
        <v/>
      </c>
      <c r="H35" s="28"/>
      <c r="I35" s="67" t="str">
        <f aca="false">IF(AND(ISNUMBER(H35),ISNUMBER(F35)),H35-F35,"")</f>
        <v/>
      </c>
      <c r="J35" s="28"/>
      <c r="K35" s="67" t="str">
        <f aca="false">IF(AND(ISNUMBER(J35),ISNUMBER(H35)),J35-H35,"")</f>
        <v/>
      </c>
      <c r="L35" s="28"/>
      <c r="M35" s="67" t="str">
        <f aca="false">IF(AND(ISNUMBER(L35),ISNUMBER(J35)),L35-J35,"")</f>
        <v/>
      </c>
    </row>
    <row r="36" customFormat="false" ht="23.85" hidden="false" customHeight="false" outlineLevel="0" collapsed="false">
      <c r="A36" s="5" t="s">
        <v>1191</v>
      </c>
      <c r="B36" s="5" t="s">
        <v>1235</v>
      </c>
      <c r="C36" s="5" t="s">
        <v>1225</v>
      </c>
      <c r="D36" s="28"/>
      <c r="F36" s="28"/>
      <c r="G36" s="67" t="str">
        <f aca="false">IF(AND(ISNUMBER(F36),ISNUMBER(D36)),F36-D36,"")</f>
        <v/>
      </c>
      <c r="H36" s="28"/>
      <c r="I36" s="67" t="str">
        <f aca="false">IF(AND(ISNUMBER(H36),ISNUMBER(F36)),H36-F36,"")</f>
        <v/>
      </c>
      <c r="J36" s="28"/>
      <c r="K36" s="67" t="str">
        <f aca="false">IF(AND(ISNUMBER(J36),ISNUMBER(H36)),J36-H36,"")</f>
        <v/>
      </c>
      <c r="L36" s="28"/>
      <c r="M36" s="67" t="str">
        <f aca="false">IF(AND(ISNUMBER(L36),ISNUMBER(J36)),L36-J36,"")</f>
        <v/>
      </c>
    </row>
    <row r="37" customFormat="false" ht="23.85" hidden="false" customHeight="false" outlineLevel="0" collapsed="false">
      <c r="A37" s="5" t="s">
        <v>1191</v>
      </c>
      <c r="B37" s="5" t="s">
        <v>1237</v>
      </c>
      <c r="C37" s="5" t="s">
        <v>1225</v>
      </c>
      <c r="D37" s="28"/>
      <c r="F37" s="28"/>
      <c r="G37" s="67" t="str">
        <f aca="false">IF(AND(ISNUMBER(F37),ISNUMBER(D37)),F37-D37,"")</f>
        <v/>
      </c>
      <c r="H37" s="28"/>
      <c r="I37" s="67" t="str">
        <f aca="false">IF(AND(ISNUMBER(H37),ISNUMBER(F37)),H37-F37,"")</f>
        <v/>
      </c>
      <c r="J37" s="28"/>
      <c r="K37" s="67" t="str">
        <f aca="false">IF(AND(ISNUMBER(J37),ISNUMBER(H37)),J37-H37,"")</f>
        <v/>
      </c>
      <c r="L37" s="28"/>
      <c r="M37" s="67" t="str">
        <f aca="false">IF(AND(ISNUMBER(L37),ISNUMBER(J37)),L37-J37,"")</f>
        <v/>
      </c>
    </row>
    <row r="38" customFormat="false" ht="23.85" hidden="false" customHeight="false" outlineLevel="0" collapsed="false">
      <c r="A38" s="5" t="s">
        <v>1191</v>
      </c>
      <c r="B38" s="5" t="s">
        <v>1239</v>
      </c>
      <c r="C38" s="5" t="s">
        <v>1225</v>
      </c>
      <c r="D38" s="28"/>
      <c r="F38" s="28"/>
      <c r="G38" s="67" t="str">
        <f aca="false">IF(AND(ISNUMBER(F38),ISNUMBER(D38)),F38-D38,"")</f>
        <v/>
      </c>
      <c r="H38" s="28"/>
      <c r="I38" s="67" t="str">
        <f aca="false">IF(AND(ISNUMBER(H38),ISNUMBER(F38)),H38-F38,"")</f>
        <v/>
      </c>
      <c r="J38" s="28"/>
      <c r="K38" s="67" t="str">
        <f aca="false">IF(AND(ISNUMBER(J38),ISNUMBER(H38)),J38-H38,"")</f>
        <v/>
      </c>
      <c r="L38" s="28"/>
      <c r="M38" s="67" t="str">
        <f aca="false">IF(AND(ISNUMBER(L38),ISNUMBER(J38)),L38-J38,"")</f>
        <v/>
      </c>
    </row>
    <row r="39" customFormat="false" ht="15" hidden="false" customHeight="false" outlineLevel="0" collapsed="false">
      <c r="A39" s="5" t="s">
        <v>1191</v>
      </c>
      <c r="B39" s="5" t="s">
        <v>1241</v>
      </c>
      <c r="C39" s="5" t="s">
        <v>1242</v>
      </c>
      <c r="D39" s="19"/>
      <c r="F39" s="19"/>
      <c r="G39" s="68" t="str">
        <f aca="false">IF(AND(ISNUMBER(F39),ISNUMBER(D39)),F39-D39,"")</f>
        <v/>
      </c>
      <c r="H39" s="19"/>
      <c r="I39" s="68" t="str">
        <f aca="false">IF(AND(ISNUMBER(H39),ISNUMBER(F39)),H39-F39,"")</f>
        <v/>
      </c>
      <c r="J39" s="19"/>
      <c r="K39" s="68" t="str">
        <f aca="false">IF(AND(ISNUMBER(J39),ISNUMBER(H39)),J39-H39,"")</f>
        <v/>
      </c>
      <c r="L39" s="19"/>
      <c r="M39" s="68" t="str">
        <f aca="false">IF(AND(ISNUMBER(L39),ISNUMBER(J39)),L39-J39,"")</f>
        <v/>
      </c>
    </row>
    <row r="40" customFormat="false" ht="15" hidden="false" customHeight="false" outlineLevel="0" collapsed="false">
      <c r="A40" s="5" t="s">
        <v>1191</v>
      </c>
      <c r="B40" s="5" t="s">
        <v>1244</v>
      </c>
      <c r="C40" s="5" t="s">
        <v>1242</v>
      </c>
      <c r="D40" s="19"/>
      <c r="F40" s="19"/>
      <c r="G40" s="68" t="str">
        <f aca="false">IF(AND(ISNUMBER(F40),ISNUMBER(D40)),F40-D40,"")</f>
        <v/>
      </c>
      <c r="H40" s="19"/>
      <c r="I40" s="68" t="str">
        <f aca="false">IF(AND(ISNUMBER(H40),ISNUMBER(F40)),H40-F40,"")</f>
        <v/>
      </c>
      <c r="J40" s="19"/>
      <c r="K40" s="68" t="str">
        <f aca="false">IF(AND(ISNUMBER(J40),ISNUMBER(H40)),J40-H40,"")</f>
        <v/>
      </c>
      <c r="L40" s="19"/>
      <c r="M40" s="68" t="str">
        <f aca="false">IF(AND(ISNUMBER(L40),ISNUMBER(J40)),L40-J40,"")</f>
        <v/>
      </c>
    </row>
    <row r="41" customFormat="false" ht="15" hidden="false" customHeight="false" outlineLevel="0" collapsed="false">
      <c r="A41" s="5" t="s">
        <v>1191</v>
      </c>
      <c r="B41" s="5" t="s">
        <v>1246</v>
      </c>
      <c r="C41" s="5" t="s">
        <v>1242</v>
      </c>
      <c r="D41" s="19"/>
      <c r="F41" s="19"/>
      <c r="G41" s="68" t="str">
        <f aca="false">IF(AND(ISNUMBER(F41),ISNUMBER(D41)),F41-D41,"")</f>
        <v/>
      </c>
      <c r="H41" s="19"/>
      <c r="I41" s="68" t="str">
        <f aca="false">IF(AND(ISNUMBER(H41),ISNUMBER(F41)),H41-F41,"")</f>
        <v/>
      </c>
      <c r="J41" s="19"/>
      <c r="K41" s="68" t="str">
        <f aca="false">IF(AND(ISNUMBER(J41),ISNUMBER(H41)),J41-H41,"")</f>
        <v/>
      </c>
      <c r="L41" s="19"/>
      <c r="M41" s="68" t="str">
        <f aca="false">IF(AND(ISNUMBER(L41),ISNUMBER(J41)),L41-J41,"")</f>
        <v/>
      </c>
    </row>
    <row r="42" customFormat="false" ht="15" hidden="false" customHeight="false" outlineLevel="0" collapsed="false">
      <c r="A42" s="5" t="s">
        <v>1191</v>
      </c>
      <c r="B42" s="5" t="s">
        <v>1248</v>
      </c>
      <c r="C42" s="5" t="s">
        <v>1242</v>
      </c>
      <c r="D42" s="19"/>
      <c r="F42" s="19"/>
      <c r="G42" s="68" t="str">
        <f aca="false">IF(AND(ISNUMBER(F42),ISNUMBER(D42)),F42-D42,"")</f>
        <v/>
      </c>
      <c r="H42" s="19"/>
      <c r="I42" s="68" t="str">
        <f aca="false">IF(AND(ISNUMBER(H42),ISNUMBER(F42)),H42-F42,"")</f>
        <v/>
      </c>
      <c r="J42" s="19"/>
      <c r="K42" s="68" t="str">
        <f aca="false">IF(AND(ISNUMBER(J42),ISNUMBER(H42)),J42-H42,"")</f>
        <v/>
      </c>
      <c r="L42" s="19"/>
      <c r="M42" s="68" t="str">
        <f aca="false">IF(AND(ISNUMBER(L42),ISNUMBER(J42)),L42-J42,"")</f>
        <v/>
      </c>
    </row>
    <row r="43" customFormat="false" ht="15" hidden="false" customHeight="false" outlineLevel="0" collapsed="false">
      <c r="A43" s="5" t="s">
        <v>1191</v>
      </c>
      <c r="B43" s="5" t="s">
        <v>1250</v>
      </c>
      <c r="C43" s="5" t="s">
        <v>1242</v>
      </c>
      <c r="D43" s="19"/>
      <c r="F43" s="19"/>
      <c r="G43" s="68" t="str">
        <f aca="false">IF(AND(ISNUMBER(F43),ISNUMBER(D43)),F43-D43,"")</f>
        <v/>
      </c>
      <c r="H43" s="19"/>
      <c r="I43" s="68" t="str">
        <f aca="false">IF(AND(ISNUMBER(H43),ISNUMBER(F43)),H43-F43,"")</f>
        <v/>
      </c>
      <c r="J43" s="19"/>
      <c r="K43" s="68" t="str">
        <f aca="false">IF(AND(ISNUMBER(J43),ISNUMBER(H43)),J43-H43,"")</f>
        <v/>
      </c>
      <c r="L43" s="19"/>
      <c r="M43" s="68" t="str">
        <f aca="false">IF(AND(ISNUMBER(L43),ISNUMBER(J43)),L43-J43,"")</f>
        <v/>
      </c>
    </row>
    <row r="44" customFormat="false" ht="15" hidden="false" customHeight="false" outlineLevel="0" collapsed="false">
      <c r="A44" s="5" t="s">
        <v>1191</v>
      </c>
      <c r="B44" s="5" t="s">
        <v>1252</v>
      </c>
      <c r="C44" s="5" t="s">
        <v>1242</v>
      </c>
      <c r="D44" s="19"/>
      <c r="F44" s="19"/>
      <c r="G44" s="68" t="str">
        <f aca="false">IF(AND(ISNUMBER(F44),ISNUMBER(D44)),F44-D44,"")</f>
        <v/>
      </c>
      <c r="H44" s="19"/>
      <c r="I44" s="68" t="str">
        <f aca="false">IF(AND(ISNUMBER(H44),ISNUMBER(F44)),H44-F44,"")</f>
        <v/>
      </c>
      <c r="J44" s="19"/>
      <c r="K44" s="68" t="str">
        <f aca="false">IF(AND(ISNUMBER(J44),ISNUMBER(H44)),J44-H44,"")</f>
        <v/>
      </c>
      <c r="L44" s="19"/>
      <c r="M44" s="68" t="str">
        <f aca="false">IF(AND(ISNUMBER(L44),ISNUMBER(J44)),L44-J44,"")</f>
        <v/>
      </c>
    </row>
    <row r="45" customFormat="false" ht="15" hidden="false" customHeight="false" outlineLevel="0" collapsed="false">
      <c r="A45" s="5" t="s">
        <v>1191</v>
      </c>
      <c r="B45" s="5" t="s">
        <v>1254</v>
      </c>
      <c r="C45" s="5" t="s">
        <v>1242</v>
      </c>
      <c r="D45" s="19"/>
      <c r="F45" s="19"/>
      <c r="G45" s="68" t="str">
        <f aca="false">IF(AND(ISNUMBER(F45),ISNUMBER(D45)),F45-D45,"")</f>
        <v/>
      </c>
      <c r="H45" s="19"/>
      <c r="I45" s="68" t="str">
        <f aca="false">IF(AND(ISNUMBER(H45),ISNUMBER(F45)),H45-F45,"")</f>
        <v/>
      </c>
      <c r="J45" s="19"/>
      <c r="K45" s="68" t="str">
        <f aca="false">IF(AND(ISNUMBER(J45),ISNUMBER(H45)),J45-H45,"")</f>
        <v/>
      </c>
      <c r="L45" s="19"/>
      <c r="M45" s="68" t="str">
        <f aca="false">IF(AND(ISNUMBER(L45),ISNUMBER(J45)),L45-J45,"")</f>
        <v/>
      </c>
    </row>
    <row r="46" customFormat="false" ht="15" hidden="false" customHeight="false" outlineLevel="0" collapsed="false">
      <c r="A46" s="5" t="s">
        <v>1191</v>
      </c>
      <c r="B46" s="5" t="s">
        <v>1256</v>
      </c>
      <c r="C46" s="5" t="s">
        <v>1242</v>
      </c>
      <c r="D46" s="19"/>
      <c r="F46" s="19"/>
      <c r="G46" s="68" t="str">
        <f aca="false">IF(AND(ISNUMBER(F46),ISNUMBER(D46)),F46-D46,"")</f>
        <v/>
      </c>
      <c r="H46" s="19"/>
      <c r="I46" s="68" t="str">
        <f aca="false">IF(AND(ISNUMBER(H46),ISNUMBER(F46)),H46-F46,"")</f>
        <v/>
      </c>
      <c r="J46" s="19"/>
      <c r="K46" s="68" t="str">
        <f aca="false">IF(AND(ISNUMBER(J46),ISNUMBER(H46)),J46-H46,"")</f>
        <v/>
      </c>
      <c r="L46" s="19"/>
      <c r="M46" s="68" t="str">
        <f aca="false">IF(AND(ISNUMBER(L46),ISNUMBER(J46)),L46-J46,"")</f>
        <v/>
      </c>
    </row>
    <row r="47" customFormat="false" ht="15" hidden="false" customHeight="false" outlineLevel="0" collapsed="false">
      <c r="A47" s="5" t="s">
        <v>1258</v>
      </c>
      <c r="B47" s="5" t="s">
        <v>1259</v>
      </c>
      <c r="C47" s="5" t="s">
        <v>1182</v>
      </c>
      <c r="D47" s="19"/>
      <c r="F47" s="19"/>
      <c r="G47" s="68" t="str">
        <f aca="false">IF(AND(ISNUMBER(F47),ISNUMBER(D47)),F47-D47,"")</f>
        <v/>
      </c>
      <c r="H47" s="19"/>
      <c r="I47" s="68" t="str">
        <f aca="false">IF(AND(ISNUMBER(H47),ISNUMBER(F47)),H47-F47,"")</f>
        <v/>
      </c>
      <c r="J47" s="19"/>
      <c r="K47" s="68" t="str">
        <f aca="false">IF(AND(ISNUMBER(J47),ISNUMBER(H47)),J47-H47,"")</f>
        <v/>
      </c>
      <c r="L47" s="19"/>
      <c r="M47" s="68" t="str">
        <f aca="false">IF(AND(ISNUMBER(L47),ISNUMBER(J47)),L47-J47,"")</f>
        <v/>
      </c>
    </row>
    <row r="48" customFormat="false" ht="15" hidden="false" customHeight="false" outlineLevel="0" collapsed="false">
      <c r="A48" s="5" t="s">
        <v>1258</v>
      </c>
      <c r="B48" s="5" t="s">
        <v>1261</v>
      </c>
      <c r="C48" s="5" t="s">
        <v>1182</v>
      </c>
      <c r="D48" s="19"/>
      <c r="F48" s="19"/>
      <c r="G48" s="68" t="str">
        <f aca="false">IF(AND(ISNUMBER(F48),ISNUMBER(D48)),F48-D48,"")</f>
        <v/>
      </c>
      <c r="H48" s="19"/>
      <c r="I48" s="68" t="str">
        <f aca="false">IF(AND(ISNUMBER(H48),ISNUMBER(F48)),H48-F48,"")</f>
        <v/>
      </c>
      <c r="J48" s="19"/>
      <c r="K48" s="68" t="str">
        <f aca="false">IF(AND(ISNUMBER(J48),ISNUMBER(H48)),J48-H48,"")</f>
        <v/>
      </c>
      <c r="L48" s="19"/>
      <c r="M48" s="68" t="str">
        <f aca="false">IF(AND(ISNUMBER(L48),ISNUMBER(J48)),L48-J48,"")</f>
        <v/>
      </c>
    </row>
    <row r="49" customFormat="false" ht="15" hidden="false" customHeight="false" outlineLevel="0" collapsed="false">
      <c r="A49" s="5" t="s">
        <v>1258</v>
      </c>
      <c r="B49" s="5" t="s">
        <v>1263</v>
      </c>
      <c r="C49" s="5" t="s">
        <v>1264</v>
      </c>
      <c r="D49" s="22"/>
      <c r="F49" s="22"/>
      <c r="G49" s="73" t="str">
        <f aca="false">IF(AND(ISNUMBER(F49),ISNUMBER(D49)),F49-D49,"")</f>
        <v/>
      </c>
      <c r="H49" s="22"/>
      <c r="I49" s="73" t="str">
        <f aca="false">IF(AND(ISNUMBER(H49),ISNUMBER(F49)),H49-F49,"")</f>
        <v/>
      </c>
      <c r="J49" s="22"/>
      <c r="K49" s="73" t="str">
        <f aca="false">IF(AND(ISNUMBER(J49),ISNUMBER(H49)),J49-H49,"")</f>
        <v/>
      </c>
      <c r="L49" s="22"/>
      <c r="M49" s="73" t="str">
        <f aca="false">IF(AND(ISNUMBER(L49),ISNUMBER(J49)),L49-J49,"")</f>
        <v/>
      </c>
    </row>
    <row r="50" customFormat="false" ht="15" hidden="false" customHeight="false" outlineLevel="0" collapsed="false">
      <c r="A50" s="5" t="s">
        <v>1258</v>
      </c>
      <c r="B50" s="5" t="s">
        <v>1266</v>
      </c>
      <c r="C50" s="5" t="s">
        <v>1264</v>
      </c>
      <c r="D50" s="22"/>
      <c r="F50" s="22"/>
      <c r="G50" s="73" t="str">
        <f aca="false">IF(AND(ISNUMBER(F50),ISNUMBER(D50)),F50-D50,"")</f>
        <v/>
      </c>
      <c r="H50" s="22"/>
      <c r="I50" s="73" t="str">
        <f aca="false">IF(AND(ISNUMBER(H50),ISNUMBER(F50)),H50-F50,"")</f>
        <v/>
      </c>
      <c r="J50" s="22"/>
      <c r="K50" s="73" t="str">
        <f aca="false">IF(AND(ISNUMBER(J50),ISNUMBER(H50)),J50-H50,"")</f>
        <v/>
      </c>
      <c r="L50" s="22"/>
      <c r="M50" s="73" t="str">
        <f aca="false">IF(AND(ISNUMBER(L50),ISNUMBER(J50)),L50-J50,"")</f>
        <v/>
      </c>
    </row>
    <row r="51" customFormat="false" ht="15" hidden="false" customHeight="false" outlineLevel="0" collapsed="false">
      <c r="A51" s="5" t="s">
        <v>1258</v>
      </c>
      <c r="B51" s="5" t="s">
        <v>1268</v>
      </c>
      <c r="C51" s="5" t="s">
        <v>1269</v>
      </c>
      <c r="D51" s="38"/>
      <c r="F51" s="38"/>
      <c r="G51" s="74" t="str">
        <f aca="false">IF(AND(ISNUMBER(F51),ISNUMBER(D51)),F51-D51,"")</f>
        <v/>
      </c>
      <c r="H51" s="38"/>
      <c r="I51" s="74" t="str">
        <f aca="false">IF(AND(ISNUMBER(H51),ISNUMBER(F51)),H51-F51,"")</f>
        <v/>
      </c>
      <c r="J51" s="38"/>
      <c r="K51" s="74" t="str">
        <f aca="false">IF(AND(ISNUMBER(J51),ISNUMBER(H51)),J51-H51,"")</f>
        <v/>
      </c>
      <c r="L51" s="38"/>
      <c r="M51" s="74" t="str">
        <f aca="false">IF(AND(ISNUMBER(L51),ISNUMBER(J51)),L51-J51,"")</f>
        <v/>
      </c>
    </row>
    <row r="52" customFormat="false" ht="15" hidden="false" customHeight="false" outlineLevel="0" collapsed="false">
      <c r="A52" s="5" t="s">
        <v>1258</v>
      </c>
      <c r="B52" s="5" t="s">
        <v>1271</v>
      </c>
      <c r="C52" s="5" t="s">
        <v>1269</v>
      </c>
      <c r="D52" s="38"/>
      <c r="F52" s="38"/>
      <c r="G52" s="74" t="str">
        <f aca="false">IF(AND(ISNUMBER(F52),ISNUMBER(D52)),F52-D52,"")</f>
        <v/>
      </c>
      <c r="H52" s="38"/>
      <c r="I52" s="74" t="str">
        <f aca="false">IF(AND(ISNUMBER(H52),ISNUMBER(F52)),H52-F52,"")</f>
        <v/>
      </c>
      <c r="J52" s="38"/>
      <c r="K52" s="74" t="str">
        <f aca="false">IF(AND(ISNUMBER(J52),ISNUMBER(H52)),J52-H52,"")</f>
        <v/>
      </c>
      <c r="L52" s="38"/>
      <c r="M52" s="74" t="str">
        <f aca="false">IF(AND(ISNUMBER(L52),ISNUMBER(J52)),L52-J52,"")</f>
        <v/>
      </c>
    </row>
    <row r="53" customFormat="false" ht="15" hidden="false" customHeight="false" outlineLevel="0" collapsed="false">
      <c r="A53" s="5" t="s">
        <v>1273</v>
      </c>
      <c r="B53" s="5" t="s">
        <v>1274</v>
      </c>
      <c r="C53" s="5" t="s">
        <v>1269</v>
      </c>
      <c r="D53" s="38" t="n">
        <v>21000</v>
      </c>
      <c r="F53" s="38" t="n">
        <v>21500</v>
      </c>
      <c r="G53" s="74" t="n">
        <f aca="false">IF(AND(ISNUMBER(F53),ISNUMBER(D53)),F53-D53,"")</f>
        <v>500</v>
      </c>
      <c r="H53" s="75" t="n">
        <v>22000</v>
      </c>
      <c r="I53" s="74" t="n">
        <f aca="false">IF(AND(ISNUMBER(H53),ISNUMBER(F53)),H53-F53,"")</f>
        <v>500</v>
      </c>
      <c r="J53" s="38"/>
      <c r="K53" s="74" t="str">
        <f aca="false">IF(AND(ISNUMBER(J53),ISNUMBER(H53)),J53-H53,"")</f>
        <v/>
      </c>
      <c r="L53" s="38"/>
      <c r="M53" s="74" t="str">
        <f aca="false">IF(AND(ISNUMBER(L53),ISNUMBER(J53)),L53-J53,"")</f>
        <v/>
      </c>
    </row>
    <row r="54" customFormat="false" ht="15" hidden="false" customHeight="false" outlineLevel="0" collapsed="false">
      <c r="A54" s="5" t="s">
        <v>1273</v>
      </c>
      <c r="B54" s="5" t="s">
        <v>1276</v>
      </c>
      <c r="C54" s="5" t="s">
        <v>1277</v>
      </c>
      <c r="D54" s="62"/>
      <c r="F54" s="62"/>
      <c r="G54" s="70" t="str">
        <f aca="false">IF(AND(ISNUMBER(F54),ISNUMBER(D54)),F54-D54,"")</f>
        <v/>
      </c>
      <c r="H54" s="62"/>
      <c r="I54" s="70" t="str">
        <f aca="false">IF(AND(ISNUMBER(H54),ISNUMBER(F54)),H54-F54,"")</f>
        <v/>
      </c>
      <c r="J54" s="62"/>
      <c r="K54" s="70" t="str">
        <f aca="false">IF(AND(ISNUMBER(J54),ISNUMBER(H54)),J54-H54,"")</f>
        <v/>
      </c>
      <c r="L54" s="62"/>
      <c r="M54" s="70" t="str">
        <f aca="false">IF(AND(ISNUMBER(L54),ISNUMBER(J54)),L54-J54,"")</f>
        <v/>
      </c>
    </row>
    <row r="55" customFormat="false" ht="15" hidden="false" customHeight="false" outlineLevel="0" collapsed="false">
      <c r="A55" s="5" t="s">
        <v>1273</v>
      </c>
      <c r="B55" s="5" t="s">
        <v>1279</v>
      </c>
      <c r="C55" s="5" t="s">
        <v>1269</v>
      </c>
      <c r="D55" s="38"/>
      <c r="F55" s="38"/>
      <c r="G55" s="74" t="str">
        <f aca="false">IF(AND(ISNUMBER(F55),ISNUMBER(D55)),F55-D55,"")</f>
        <v/>
      </c>
      <c r="H55" s="38"/>
      <c r="I55" s="74" t="str">
        <f aca="false">IF(AND(ISNUMBER(H55),ISNUMBER(F55)),H55-F55,"")</f>
        <v/>
      </c>
      <c r="J55" s="38"/>
      <c r="K55" s="74" t="str">
        <f aca="false">IF(AND(ISNUMBER(J55),ISNUMBER(H55)),J55-H55,"")</f>
        <v/>
      </c>
      <c r="L55" s="38"/>
      <c r="M55" s="74" t="str">
        <f aca="false">IF(AND(ISNUMBER(L55),ISNUMBER(J55)),L55-J55,"")</f>
        <v/>
      </c>
    </row>
    <row r="56" customFormat="false" ht="15" hidden="false" customHeight="false" outlineLevel="0" collapsed="false">
      <c r="A56" s="5" t="s">
        <v>1281</v>
      </c>
      <c r="B56" s="5" t="s">
        <v>1282</v>
      </c>
      <c r="C56" s="5" t="s">
        <v>1187</v>
      </c>
      <c r="D56" s="24"/>
      <c r="F56" s="24"/>
      <c r="G56" s="69" t="str">
        <f aca="false">IF(AND(ISNUMBER(F56),ISNUMBER(D56)),F56-D56,"")</f>
        <v/>
      </c>
      <c r="H56" s="24"/>
      <c r="I56" s="69" t="str">
        <f aca="false">IF(AND(ISNUMBER(H56),ISNUMBER(F56)),H56-F56,"")</f>
        <v/>
      </c>
      <c r="J56" s="24"/>
      <c r="K56" s="69" t="str">
        <f aca="false">IF(AND(ISNUMBER(J56),ISNUMBER(H56)),J56-H56,"")</f>
        <v/>
      </c>
      <c r="L56" s="24"/>
      <c r="M56" s="69" t="str">
        <f aca="false">IF(AND(ISNUMBER(L56),ISNUMBER(J56)),L56-J56,"")</f>
        <v/>
      </c>
    </row>
    <row r="57" customFormat="false" ht="15" hidden="false" customHeight="false" outlineLevel="0" collapsed="false">
      <c r="A57" s="5" t="s">
        <v>1281</v>
      </c>
      <c r="B57" s="5" t="s">
        <v>1284</v>
      </c>
      <c r="C57" s="5" t="s">
        <v>1169</v>
      </c>
      <c r="D57" s="11"/>
      <c r="F57" s="11"/>
      <c r="H57" s="11"/>
      <c r="J57" s="11"/>
      <c r="L57" s="11"/>
    </row>
    <row r="58" customFormat="false" ht="15" hidden="false" customHeight="false" outlineLevel="0" collapsed="false">
      <c r="A58" s="5" t="s">
        <v>161</v>
      </c>
      <c r="B58" s="5" t="s">
        <v>1286</v>
      </c>
      <c r="C58" s="5" t="s">
        <v>1187</v>
      </c>
      <c r="D58" s="24"/>
      <c r="F58" s="24"/>
      <c r="G58" s="69" t="str">
        <f aca="false">IF(AND(ISNUMBER(F58),ISNUMBER(D58)),F58-D58,"")</f>
        <v/>
      </c>
      <c r="H58" s="24"/>
      <c r="I58" s="69" t="str">
        <f aca="false">IF(AND(ISNUMBER(H58),ISNUMBER(F58)),H58-F58,"")</f>
        <v/>
      </c>
      <c r="J58" s="24"/>
      <c r="K58" s="69" t="str">
        <f aca="false">IF(AND(ISNUMBER(J58),ISNUMBER(H58)),J58-H58,"")</f>
        <v/>
      </c>
      <c r="L58" s="24"/>
      <c r="M58" s="69" t="str">
        <f aca="false">IF(AND(ISNUMBER(L58),ISNUMBER(J58)),L58-J58,"")</f>
        <v/>
      </c>
    </row>
    <row r="59" customFormat="false" ht="15" hidden="false" customHeight="false" outlineLevel="0" collapsed="false">
      <c r="A59" s="5" t="s">
        <v>161</v>
      </c>
      <c r="B59" s="5" t="s">
        <v>1288</v>
      </c>
      <c r="C59" s="5" t="s">
        <v>1187</v>
      </c>
      <c r="D59" s="24"/>
      <c r="F59" s="24"/>
      <c r="G59" s="69" t="str">
        <f aca="false">IF(AND(ISNUMBER(F59),ISNUMBER(D59)),F59-D59,"")</f>
        <v/>
      </c>
      <c r="H59" s="24"/>
      <c r="I59" s="69" t="str">
        <f aca="false">IF(AND(ISNUMBER(H59),ISNUMBER(F59)),H59-F59,"")</f>
        <v/>
      </c>
      <c r="J59" s="24"/>
      <c r="K59" s="69" t="str">
        <f aca="false">IF(AND(ISNUMBER(J59),ISNUMBER(H59)),J59-H59,"")</f>
        <v/>
      </c>
      <c r="L59" s="24"/>
      <c r="M59" s="69" t="str">
        <f aca="false">IF(AND(ISNUMBER(L59),ISNUMBER(J59)),L59-J59,"")</f>
        <v/>
      </c>
    </row>
    <row r="60" customFormat="false" ht="15" hidden="false" customHeight="false" outlineLevel="0" collapsed="false">
      <c r="A60" s="5" t="s">
        <v>161</v>
      </c>
      <c r="B60" s="5" t="s">
        <v>1290</v>
      </c>
      <c r="C60" s="5" t="s">
        <v>1291</v>
      </c>
      <c r="D60" s="24"/>
      <c r="F60" s="24"/>
      <c r="G60" s="69" t="str">
        <f aca="false">IF(AND(ISNUMBER(F60),ISNUMBER(D60)),F60-D60,"")</f>
        <v/>
      </c>
      <c r="H60" s="24"/>
      <c r="I60" s="69" t="str">
        <f aca="false">IF(AND(ISNUMBER(H60),ISNUMBER(F60)),H60-F60,"")</f>
        <v/>
      </c>
      <c r="J60" s="24"/>
      <c r="K60" s="69" t="str">
        <f aca="false">IF(AND(ISNUMBER(J60),ISNUMBER(H60)),J60-H60,"")</f>
        <v/>
      </c>
      <c r="L60" s="24"/>
      <c r="M60" s="69" t="str">
        <f aca="false">IF(AND(ISNUMBER(L60),ISNUMBER(J60)),L60-J60,"")</f>
        <v/>
      </c>
    </row>
    <row r="61" customFormat="false" ht="15" hidden="false" customHeight="false" outlineLevel="0" collapsed="false">
      <c r="A61" s="5" t="s">
        <v>161</v>
      </c>
      <c r="B61" s="5" t="s">
        <v>1293</v>
      </c>
      <c r="C61" s="5" t="s">
        <v>1291</v>
      </c>
      <c r="D61" s="24"/>
      <c r="F61" s="24"/>
      <c r="G61" s="69" t="str">
        <f aca="false">IF(AND(ISNUMBER(F61),ISNUMBER(D61)),F61-D61,"")</f>
        <v/>
      </c>
      <c r="H61" s="24"/>
      <c r="I61" s="69" t="str">
        <f aca="false">IF(AND(ISNUMBER(H61),ISNUMBER(F61)),H61-F61,"")</f>
        <v/>
      </c>
      <c r="J61" s="24"/>
      <c r="K61" s="69" t="str">
        <f aca="false">IF(AND(ISNUMBER(J61),ISNUMBER(H61)),J61-H61,"")</f>
        <v/>
      </c>
      <c r="L61" s="24"/>
      <c r="M61" s="69" t="str">
        <f aca="false">IF(AND(ISNUMBER(L61),ISNUMBER(J61)),L61-J61,"")</f>
        <v/>
      </c>
    </row>
    <row r="62" customFormat="false" ht="15" hidden="false" customHeight="false" outlineLevel="0" collapsed="false">
      <c r="A62" s="5" t="s">
        <v>161</v>
      </c>
      <c r="B62" s="5" t="s">
        <v>1295</v>
      </c>
      <c r="C62" s="5" t="s">
        <v>777</v>
      </c>
      <c r="D62" s="62"/>
      <c r="F62" s="62"/>
      <c r="G62" s="70" t="str">
        <f aca="false">IF(AND(ISNUMBER(F62),ISNUMBER(D62)),F62-D62,"")</f>
        <v/>
      </c>
      <c r="H62" s="62"/>
      <c r="I62" s="70" t="str">
        <f aca="false">IF(AND(ISNUMBER(H62),ISNUMBER(F62)),H62-F62,"")</f>
        <v/>
      </c>
      <c r="J62" s="62"/>
      <c r="K62" s="70" t="str">
        <f aca="false">IF(AND(ISNUMBER(J62),ISNUMBER(H62)),J62-H62,"")</f>
        <v/>
      </c>
      <c r="L62" s="62"/>
      <c r="M62" s="70" t="str">
        <f aca="false">IF(AND(ISNUMBER(L62),ISNUMBER(J62)),L62-J62,"")</f>
        <v/>
      </c>
    </row>
    <row r="64" customFormat="false" ht="15" hidden="false" customHeight="false" outlineLevel="0" collapsed="false">
      <c r="A64" s="64" t="s">
        <v>1347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</row>
    <row r="65" customFormat="false" ht="15" hidden="false" customHeight="false" outlineLevel="0" collapsed="false">
      <c r="A65" s="5" t="s">
        <v>1348</v>
      </c>
      <c r="B65" s="20" t="s">
        <v>107</v>
      </c>
      <c r="D65" s="76" t="n">
        <v>1.85</v>
      </c>
      <c r="F65" s="76" t="n">
        <v>2.1</v>
      </c>
      <c r="G65" s="77" t="n">
        <f aca="false">IF(AND(ISNUMBER(F65),ISNUMBER(D65)),F65-D65,"")</f>
        <v>0.25</v>
      </c>
      <c r="H65" s="76"/>
      <c r="I65" s="77" t="str">
        <f aca="false">IF(AND(ISNUMBER(H65),ISNUMBER(F65)),H65-F65,"")</f>
        <v/>
      </c>
      <c r="J65" s="76"/>
      <c r="K65" s="77" t="str">
        <f aca="false">IF(AND(ISNUMBER(J65),ISNUMBER(H65)),J65-H65,"")</f>
        <v/>
      </c>
      <c r="L65" s="76"/>
      <c r="M65" s="77" t="str">
        <f aca="false">IF(AND(ISNUMBER(L65),ISNUMBER(J65)),L65-J65,"")</f>
        <v/>
      </c>
    </row>
    <row r="66" customFormat="false" ht="15" hidden="false" customHeight="false" outlineLevel="0" collapsed="false">
      <c r="A66" s="5" t="s">
        <v>1348</v>
      </c>
      <c r="B66" s="5" t="s">
        <v>1349</v>
      </c>
      <c r="D66" s="76" t="n">
        <v>2</v>
      </c>
      <c r="F66" s="76" t="n">
        <v>2.15</v>
      </c>
      <c r="G66" s="77" t="n">
        <f aca="false">IF(AND(ISNUMBER(F66),ISNUMBER(D66)),F66-D66,"")</f>
        <v>0.15</v>
      </c>
      <c r="H66" s="76"/>
      <c r="I66" s="77" t="str">
        <f aca="false">IF(AND(ISNUMBER(H66),ISNUMBER(F66)),H66-F66,"")</f>
        <v/>
      </c>
      <c r="J66" s="76"/>
      <c r="K66" s="77" t="str">
        <f aca="false">IF(AND(ISNUMBER(J66),ISNUMBER(H66)),J66-H66,"")</f>
        <v/>
      </c>
      <c r="L66" s="76"/>
      <c r="M66" s="77" t="str">
        <f aca="false">IF(AND(ISNUMBER(L66),ISNUMBER(J66)),L66-J66,"")</f>
        <v/>
      </c>
    </row>
    <row r="67" customFormat="false" ht="15" hidden="false" customHeight="false" outlineLevel="0" collapsed="false">
      <c r="A67" s="5" t="s">
        <v>1348</v>
      </c>
      <c r="B67" s="20" t="s">
        <v>1350</v>
      </c>
      <c r="D67" s="22" t="n">
        <v>0.142</v>
      </c>
      <c r="F67" s="22" t="n">
        <v>0.155</v>
      </c>
      <c r="G67" s="73" t="n">
        <f aca="false">IF(AND(ISNUMBER(F67),ISNUMBER(D67)),F67-D67,"")</f>
        <v>0.013</v>
      </c>
      <c r="H67" s="22"/>
      <c r="I67" s="73" t="str">
        <f aca="false">IF(AND(ISNUMBER(H67),ISNUMBER(F67)),H67-F67,"")</f>
        <v/>
      </c>
      <c r="J67" s="22"/>
      <c r="K67" s="73" t="str">
        <f aca="false">IF(AND(ISNUMBER(J67),ISNUMBER(H67)),J67-H67,"")</f>
        <v/>
      </c>
      <c r="L67" s="22"/>
      <c r="M67" s="73" t="str">
        <f aca="false">IF(AND(ISNUMBER(L67),ISNUMBER(J67)),L67-J67,"")</f>
        <v/>
      </c>
    </row>
    <row r="68" customFormat="false" ht="15" hidden="false" customHeight="false" outlineLevel="0" collapsed="false">
      <c r="A68" s="5" t="s">
        <v>1348</v>
      </c>
      <c r="B68" s="5" t="s">
        <v>1351</v>
      </c>
      <c r="D68" s="22" t="n">
        <v>0.15</v>
      </c>
      <c r="F68" s="22" t="n">
        <v>0.155</v>
      </c>
      <c r="G68" s="73" t="n">
        <f aca="false">IF(AND(ISNUMBER(F68),ISNUMBER(D68)),F68-D68,"")</f>
        <v>0.005</v>
      </c>
      <c r="H68" s="22"/>
      <c r="I68" s="73" t="str">
        <f aca="false">IF(AND(ISNUMBER(H68),ISNUMBER(F68)),H68-F68,"")</f>
        <v/>
      </c>
      <c r="J68" s="22"/>
      <c r="K68" s="73" t="str">
        <f aca="false">IF(AND(ISNUMBER(J68),ISNUMBER(H68)),J68-H68,"")</f>
        <v/>
      </c>
      <c r="L68" s="22"/>
      <c r="M68" s="73" t="str">
        <f aca="false">IF(AND(ISNUMBER(L68),ISNUMBER(J68)),L68-J68,"")</f>
        <v/>
      </c>
    </row>
    <row r="69" customFormat="false" ht="15" hidden="false" customHeight="false" outlineLevel="0" collapsed="false">
      <c r="A69" s="5" t="s">
        <v>1348</v>
      </c>
      <c r="B69" s="20" t="s">
        <v>1352</v>
      </c>
      <c r="D69" s="76" t="n">
        <v>22.4</v>
      </c>
      <c r="F69" s="76" t="n">
        <v>26.1</v>
      </c>
      <c r="G69" s="77" t="n">
        <f aca="false">IF(AND(ISNUMBER(F69),ISNUMBER(D69)),F69-D69,"")</f>
        <v>3.7</v>
      </c>
      <c r="H69" s="76"/>
      <c r="I69" s="77" t="str">
        <f aca="false">IF(AND(ISNUMBER(H69),ISNUMBER(F69)),H69-F69,"")</f>
        <v/>
      </c>
      <c r="J69" s="76"/>
      <c r="K69" s="77" t="str">
        <f aca="false">IF(AND(ISNUMBER(J69),ISNUMBER(H69)),J69-H69,"")</f>
        <v/>
      </c>
      <c r="L69" s="76"/>
      <c r="M69" s="77" t="str">
        <f aca="false">IF(AND(ISNUMBER(L69),ISNUMBER(J69)),L69-J69,"")</f>
        <v/>
      </c>
    </row>
    <row r="70" customFormat="false" ht="15" hidden="false" customHeight="false" outlineLevel="0" collapsed="false">
      <c r="A70" s="5" t="s">
        <v>1348</v>
      </c>
      <c r="B70" s="5" t="s">
        <v>1353</v>
      </c>
      <c r="D70" s="76" t="n">
        <v>25</v>
      </c>
      <c r="F70" s="76" t="n">
        <v>27</v>
      </c>
      <c r="G70" s="77" t="n">
        <f aca="false">IF(AND(ISNUMBER(F70),ISNUMBER(D70)),F70-D70,"")</f>
        <v>2</v>
      </c>
      <c r="H70" s="76"/>
      <c r="I70" s="77" t="str">
        <f aca="false">IF(AND(ISNUMBER(H70),ISNUMBER(F70)),H70-F70,"")</f>
        <v/>
      </c>
      <c r="J70" s="76"/>
      <c r="K70" s="77" t="str">
        <f aca="false">IF(AND(ISNUMBER(J70),ISNUMBER(H70)),J70-H70,"")</f>
        <v/>
      </c>
      <c r="L70" s="76"/>
      <c r="M70" s="77" t="str">
        <f aca="false">IF(AND(ISNUMBER(L70),ISNUMBER(J70)),L70-J70,"")</f>
        <v/>
      </c>
    </row>
    <row r="71" customFormat="false" ht="15" hidden="false" customHeight="false" outlineLevel="0" collapsed="false">
      <c r="A71" s="5" t="s">
        <v>1348</v>
      </c>
      <c r="B71" s="5" t="s">
        <v>111</v>
      </c>
      <c r="D71" s="11" t="s">
        <v>1339</v>
      </c>
      <c r="F71" s="11" t="s">
        <v>1338</v>
      </c>
      <c r="H71" s="11"/>
      <c r="J71" s="11"/>
      <c r="L71" s="11"/>
    </row>
    <row r="72" customFormat="false" ht="15" hidden="false" customHeight="false" outlineLevel="0" collapsed="false">
      <c r="A72" s="5" t="s">
        <v>1348</v>
      </c>
      <c r="B72" s="5" t="s">
        <v>1354</v>
      </c>
      <c r="D72" s="11" t="s">
        <v>112</v>
      </c>
      <c r="F72" s="11" t="s">
        <v>112</v>
      </c>
      <c r="H72" s="11"/>
      <c r="J72" s="11"/>
      <c r="L72" s="11"/>
    </row>
    <row r="73" customFormat="false" ht="15" hidden="false" customHeight="false" outlineLevel="0" collapsed="false">
      <c r="A73" s="5" t="s">
        <v>1348</v>
      </c>
      <c r="B73" s="20" t="s">
        <v>1355</v>
      </c>
      <c r="D73" s="26" t="n">
        <f aca="false">IF(D71="","",IFERROR(22-MATCH(D71,CreditScale,0),""))</f>
        <v>8</v>
      </c>
      <c r="F73" s="26" t="n">
        <f aca="false">IF(F71="","",IFERROR(22-MATCH(F71,CreditScale,0),""))</f>
        <v>9</v>
      </c>
      <c r="G73" s="68" t="n">
        <f aca="false">IF(AND(ISNUMBER(F73),ISNUMBER(D73)),F73-D73,"")</f>
        <v>1</v>
      </c>
      <c r="H73" s="26" t="str">
        <f aca="false">IF(H71="","",IFERROR(22-MATCH(H71,CreditScale,0),""))</f>
        <v/>
      </c>
      <c r="I73" s="68" t="str">
        <f aca="false">IF(AND(ISNUMBER(H73),ISNUMBER(F73)),H73-F73,"")</f>
        <v/>
      </c>
      <c r="J73" s="26" t="str">
        <f aca="false">IF(J71="","",IFERROR(22-MATCH(J71,CreditScale,0),""))</f>
        <v/>
      </c>
      <c r="K73" s="68" t="str">
        <f aca="false">IF(AND(ISNUMBER(J73),ISNUMBER(H73)),J73-H73,"")</f>
        <v/>
      </c>
      <c r="L73" s="26" t="str">
        <f aca="false">IF(L71="","",IFERROR(22-MATCH(L71,CreditScale,0),""))</f>
        <v/>
      </c>
      <c r="M73" s="68" t="str">
        <f aca="false">IF(AND(ISNUMBER(L73),ISNUMBER(J73)),L73-J73,"")</f>
        <v/>
      </c>
    </row>
    <row r="74" customFormat="false" ht="15" hidden="false" customHeight="false" outlineLevel="0" collapsed="false">
      <c r="A74" s="5" t="s">
        <v>1348</v>
      </c>
      <c r="B74" s="20" t="s">
        <v>115</v>
      </c>
      <c r="D74" s="19" t="n">
        <v>68</v>
      </c>
      <c r="F74" s="19" t="n">
        <v>71</v>
      </c>
      <c r="G74" s="68" t="n">
        <f aca="false">IF(AND(ISNUMBER(F74),ISNUMBER(D74)),F74-D74,"")</f>
        <v>3</v>
      </c>
      <c r="H74" s="19"/>
      <c r="I74" s="68" t="str">
        <f aca="false">IF(AND(ISNUMBER(H74),ISNUMBER(F74)),H74-F74,"")</f>
        <v/>
      </c>
      <c r="J74" s="19"/>
      <c r="K74" s="68" t="str">
        <f aca="false">IF(AND(ISNUMBER(J74),ISNUMBER(H74)),J74-H74,"")</f>
        <v/>
      </c>
      <c r="L74" s="19"/>
      <c r="M74" s="68" t="str">
        <f aca="false">IF(AND(ISNUMBER(L74),ISNUMBER(J74)),L74-J74,"")</f>
        <v/>
      </c>
    </row>
    <row r="75" customFormat="false" ht="15" hidden="false" customHeight="false" outlineLevel="0" collapsed="false">
      <c r="A75" s="5" t="s">
        <v>1348</v>
      </c>
      <c r="B75" s="5" t="s">
        <v>1356</v>
      </c>
      <c r="D75" s="19" t="n">
        <v>70</v>
      </c>
      <c r="F75" s="19" t="n">
        <v>72</v>
      </c>
      <c r="G75" s="68" t="n">
        <f aca="false">IF(AND(ISNUMBER(F75),ISNUMBER(D75)),F75-D75,"")</f>
        <v>2</v>
      </c>
      <c r="H75" s="19"/>
      <c r="I75" s="68" t="str">
        <f aca="false">IF(AND(ISNUMBER(H75),ISNUMBER(F75)),H75-F75,"")</f>
        <v/>
      </c>
      <c r="J75" s="19"/>
      <c r="K75" s="68" t="str">
        <f aca="false">IF(AND(ISNUMBER(J75),ISNUMBER(H75)),J75-H75,"")</f>
        <v/>
      </c>
      <c r="L75" s="19"/>
      <c r="M75" s="68" t="str">
        <f aca="false">IF(AND(ISNUMBER(L75),ISNUMBER(J75)),L75-J75,"")</f>
        <v/>
      </c>
    </row>
    <row r="76" customFormat="false" ht="15" hidden="false" customHeight="false" outlineLevel="0" collapsed="false">
      <c r="A76" s="5" t="s">
        <v>256</v>
      </c>
      <c r="B76" s="20" t="s">
        <v>1357</v>
      </c>
      <c r="D76" s="19" t="n">
        <v>78</v>
      </c>
      <c r="F76" s="19" t="n">
        <v>84</v>
      </c>
      <c r="G76" s="68" t="n">
        <f aca="false">IF(AND(ISNUMBER(F76),ISNUMBER(D76)),F76-D76,"")</f>
        <v>6</v>
      </c>
      <c r="H76" s="19"/>
      <c r="I76" s="68" t="str">
        <f aca="false">IF(AND(ISNUMBER(H76),ISNUMBER(F76)),H76-F76,"")</f>
        <v/>
      </c>
      <c r="J76" s="19"/>
      <c r="K76" s="68" t="str">
        <f aca="false">IF(AND(ISNUMBER(J76),ISNUMBER(H76)),J76-H76,"")</f>
        <v/>
      </c>
      <c r="L76" s="19"/>
      <c r="M76" s="68" t="str">
        <f aca="false">IF(AND(ISNUMBER(L76),ISNUMBER(J76)),L76-J76,"")</f>
        <v/>
      </c>
    </row>
    <row r="77" customFormat="false" ht="15" hidden="false" customHeight="false" outlineLevel="0" collapsed="false">
      <c r="A77" s="5" t="s">
        <v>256</v>
      </c>
      <c r="B77" s="20" t="s">
        <v>1358</v>
      </c>
      <c r="D77" s="19" t="n">
        <v>3</v>
      </c>
      <c r="F77" s="19" t="n">
        <v>2</v>
      </c>
      <c r="G77" s="68" t="n">
        <f aca="false">IF(AND(ISNUMBER(F77),ISNUMBER(D77)),F77-D77,"")</f>
        <v>-1</v>
      </c>
      <c r="H77" s="19"/>
      <c r="I77" s="68" t="str">
        <f aca="false">IF(AND(ISNUMBER(H77),ISNUMBER(F77)),H77-F77,"")</f>
        <v/>
      </c>
      <c r="J77" s="19"/>
      <c r="K77" s="68" t="str">
        <f aca="false">IF(AND(ISNUMBER(J77),ISNUMBER(H77)),J77-H77,"")</f>
        <v/>
      </c>
      <c r="L77" s="19"/>
      <c r="M77" s="68" t="str">
        <f aca="false">IF(AND(ISNUMBER(L77),ISNUMBER(J77)),L77-J77,"")</f>
        <v/>
      </c>
    </row>
    <row r="78" customFormat="false" ht="15" hidden="false" customHeight="false" outlineLevel="0" collapsed="false">
      <c r="A78" s="5" t="s">
        <v>256</v>
      </c>
      <c r="B78" s="20" t="s">
        <v>1359</v>
      </c>
      <c r="D78" s="24" t="n">
        <v>412000</v>
      </c>
      <c r="F78" s="24" t="n">
        <v>455000</v>
      </c>
      <c r="G78" s="69" t="n">
        <f aca="false">IF(AND(ISNUMBER(F78),ISNUMBER(D78)),F78-D78,"")</f>
        <v>43000</v>
      </c>
      <c r="H78" s="24"/>
      <c r="I78" s="69" t="str">
        <f aca="false">IF(AND(ISNUMBER(H78),ISNUMBER(F78)),H78-F78,"")</f>
        <v/>
      </c>
      <c r="J78" s="24"/>
      <c r="K78" s="69" t="str">
        <f aca="false">IF(AND(ISNUMBER(J78),ISNUMBER(H78)),J78-H78,"")</f>
        <v/>
      </c>
      <c r="L78" s="24"/>
      <c r="M78" s="69" t="str">
        <f aca="false">IF(AND(ISNUMBER(L78),ISNUMBER(J78)),L78-J78,"")</f>
        <v/>
      </c>
    </row>
    <row r="79" customFormat="false" ht="15" hidden="false" customHeight="false" outlineLevel="0" collapsed="false">
      <c r="A79" s="5" t="s">
        <v>256</v>
      </c>
      <c r="B79" s="20" t="s">
        <v>1360</v>
      </c>
      <c r="D79" s="24" t="n">
        <v>18500</v>
      </c>
      <c r="F79" s="24" t="n">
        <v>21900</v>
      </c>
      <c r="G79" s="69" t="n">
        <f aca="false">IF(AND(ISNUMBER(F79),ISNUMBER(D79)),F79-D79,"")</f>
        <v>3400</v>
      </c>
      <c r="H79" s="24"/>
      <c r="I79" s="69" t="str">
        <f aca="false">IF(AND(ISNUMBER(H79),ISNUMBER(F79)),H79-F79,"")</f>
        <v/>
      </c>
      <c r="J79" s="24"/>
      <c r="K79" s="69" t="str">
        <f aca="false">IF(AND(ISNUMBER(J79),ISNUMBER(H79)),J79-H79,"")</f>
        <v/>
      </c>
      <c r="L79" s="24"/>
      <c r="M79" s="69" t="str">
        <f aca="false">IF(AND(ISNUMBER(L79),ISNUMBER(J79)),L79-J79,"")</f>
        <v/>
      </c>
    </row>
    <row r="80" customFormat="false" ht="15" hidden="false" customHeight="false" outlineLevel="0" collapsed="false">
      <c r="A80" s="5" t="s">
        <v>256</v>
      </c>
      <c r="B80" s="20" t="s">
        <v>1361</v>
      </c>
      <c r="D80" s="24" t="n">
        <v>14200</v>
      </c>
      <c r="F80" s="24" t="n">
        <v>19800</v>
      </c>
      <c r="G80" s="69" t="n">
        <f aca="false">IF(AND(ISNUMBER(F80),ISNUMBER(D80)),F80-D80,"")</f>
        <v>5600</v>
      </c>
      <c r="H80" s="24"/>
      <c r="I80" s="69" t="str">
        <f aca="false">IF(AND(ISNUMBER(H80),ISNUMBER(F80)),H80-F80,"")</f>
        <v/>
      </c>
      <c r="J80" s="24"/>
      <c r="K80" s="69" t="str">
        <f aca="false">IF(AND(ISNUMBER(J80),ISNUMBER(H80)),J80-H80,"")</f>
        <v/>
      </c>
      <c r="L80" s="24"/>
      <c r="M80" s="69" t="str">
        <f aca="false">IF(AND(ISNUMBER(L80),ISNUMBER(J80)),L80-J80,"")</f>
        <v/>
      </c>
    </row>
    <row r="81" customFormat="false" ht="15" hidden="false" customHeight="false" outlineLevel="0" collapsed="false">
      <c r="A81" s="5" t="s">
        <v>1362</v>
      </c>
      <c r="B81" s="20" t="s">
        <v>1363</v>
      </c>
      <c r="D81" s="24" t="n">
        <v>1450</v>
      </c>
      <c r="F81" s="24" t="n">
        <v>1610</v>
      </c>
      <c r="G81" s="69" t="n">
        <f aca="false">IF(AND(ISNUMBER(F81),ISNUMBER(D81)),F81-D81,"")</f>
        <v>160</v>
      </c>
      <c r="H81" s="24"/>
      <c r="I81" s="69" t="str">
        <f aca="false">IF(AND(ISNUMBER(H81),ISNUMBER(F81)),H81-F81,"")</f>
        <v/>
      </c>
      <c r="J81" s="24"/>
      <c r="K81" s="69" t="str">
        <f aca="false">IF(AND(ISNUMBER(J81),ISNUMBER(H81)),J81-H81,"")</f>
        <v/>
      </c>
      <c r="L81" s="24"/>
      <c r="M81" s="69" t="str">
        <f aca="false">IF(AND(ISNUMBER(L81),ISNUMBER(J81)),L81-J81,"")</f>
        <v/>
      </c>
    </row>
    <row r="82" customFormat="false" ht="15" hidden="false" customHeight="false" outlineLevel="0" collapsed="false">
      <c r="A82" s="5" t="s">
        <v>1362</v>
      </c>
      <c r="B82" s="5" t="s">
        <v>1364</v>
      </c>
      <c r="D82" s="38" t="n">
        <v>264</v>
      </c>
      <c r="F82" s="38" t="n">
        <v>259</v>
      </c>
      <c r="G82" s="74" t="n">
        <f aca="false">IF(AND(ISNUMBER(F82),ISNUMBER(D82)),F82-D82,"")</f>
        <v>-5</v>
      </c>
      <c r="H82" s="38"/>
      <c r="I82" s="74" t="str">
        <f aca="false">IF(AND(ISNUMBER(H82),ISNUMBER(F82)),H82-F82,"")</f>
        <v/>
      </c>
      <c r="J82" s="38"/>
      <c r="K82" s="74" t="str">
        <f aca="false">IF(AND(ISNUMBER(J82),ISNUMBER(H82)),J82-H82,"")</f>
        <v/>
      </c>
      <c r="L82" s="38"/>
      <c r="M82" s="74" t="str">
        <f aca="false">IF(AND(ISNUMBER(L82),ISNUMBER(J82)),L82-J82,"")</f>
        <v/>
      </c>
    </row>
    <row r="83" customFormat="false" ht="15" hidden="false" customHeight="false" outlineLevel="0" collapsed="false">
      <c r="A83" s="5" t="s">
        <v>1362</v>
      </c>
      <c r="B83" s="5" t="s">
        <v>1365</v>
      </c>
      <c r="D83" s="38" t="n">
        <v>276</v>
      </c>
      <c r="F83" s="38" t="n">
        <v>271</v>
      </c>
      <c r="G83" s="74" t="n">
        <f aca="false">IF(AND(ISNUMBER(F83),ISNUMBER(D83)),F83-D83,"")</f>
        <v>-5</v>
      </c>
      <c r="H83" s="38"/>
      <c r="I83" s="74" t="str">
        <f aca="false">IF(AND(ISNUMBER(H83),ISNUMBER(F83)),H83-F83,"")</f>
        <v/>
      </c>
      <c r="J83" s="38"/>
      <c r="K83" s="74" t="str">
        <f aca="false">IF(AND(ISNUMBER(J83),ISNUMBER(H83)),J83-H83,"")</f>
        <v/>
      </c>
      <c r="L83" s="38"/>
      <c r="M83" s="74" t="str">
        <f aca="false">IF(AND(ISNUMBER(L83),ISNUMBER(J83)),L83-J83,"")</f>
        <v/>
      </c>
    </row>
    <row r="84" customFormat="false" ht="15" hidden="false" customHeight="false" outlineLevel="0" collapsed="false">
      <c r="A84" s="5" t="s">
        <v>1362</v>
      </c>
      <c r="B84" s="5" t="s">
        <v>1366</v>
      </c>
      <c r="D84" s="25" t="n">
        <f aca="false">IF(AND(ISNUMBER(D82),ISNUMBER(D83)),D82/D83-1,"")</f>
        <v>-0.0434782608695652</v>
      </c>
      <c r="F84" s="25" t="n">
        <f aca="false">IF(AND(ISNUMBER(F82),ISNUMBER(F83)),F82/F83-1,"")</f>
        <v>-0.044280442804428</v>
      </c>
      <c r="G84" s="73" t="n">
        <f aca="false">IF(AND(ISNUMBER(F84),ISNUMBER(D84)),F84-D84,"")</f>
        <v>-0.000802181934862811</v>
      </c>
      <c r="H84" s="25" t="str">
        <f aca="false">IF(AND(ISNUMBER(H82),ISNUMBER(H83)),H82/H83-1,"")</f>
        <v/>
      </c>
      <c r="I84" s="73" t="str">
        <f aca="false">IF(AND(ISNUMBER(H84),ISNUMBER(F84)),H84-F84,"")</f>
        <v/>
      </c>
      <c r="J84" s="25" t="str">
        <f aca="false">IF(AND(ISNUMBER(J82),ISNUMBER(J83)),J82/J83-1,"")</f>
        <v/>
      </c>
      <c r="K84" s="73" t="str">
        <f aca="false">IF(AND(ISNUMBER(J84),ISNUMBER(H84)),J84-H84,"")</f>
        <v/>
      </c>
      <c r="L84" s="25" t="str">
        <f aca="false">IF(AND(ISNUMBER(L82),ISNUMBER(L83)),L82/L83-1,"")</f>
        <v/>
      </c>
      <c r="M84" s="73" t="str">
        <f aca="false">IF(AND(ISNUMBER(L84),ISNUMBER(J84)),L84-J84,"")</f>
        <v/>
      </c>
    </row>
    <row r="85" customFormat="false" ht="15" hidden="false" customHeight="false" outlineLevel="0" collapsed="false">
      <c r="A85" s="5" t="s">
        <v>1362</v>
      </c>
      <c r="B85" s="20" t="s">
        <v>1367</v>
      </c>
      <c r="D85" s="28" t="n">
        <v>4</v>
      </c>
      <c r="F85" s="28" t="n">
        <v>4.2</v>
      </c>
      <c r="G85" s="67" t="n">
        <f aca="false">IF(AND(ISNUMBER(F85),ISNUMBER(D85)),F85-D85,"")</f>
        <v>0.2</v>
      </c>
      <c r="H85" s="28"/>
      <c r="I85" s="67" t="str">
        <f aca="false">IF(AND(ISNUMBER(H85),ISNUMBER(F85)),H85-F85,"")</f>
        <v/>
      </c>
      <c r="J85" s="28"/>
      <c r="K85" s="67" t="str">
        <f aca="false">IF(AND(ISNUMBER(J85),ISNUMBER(H85)),J85-H85,"")</f>
        <v/>
      </c>
      <c r="L85" s="28"/>
      <c r="M85" s="67" t="str">
        <f aca="false">IF(AND(ISNUMBER(L85),ISNUMBER(J85)),L85-J85,"")</f>
        <v/>
      </c>
    </row>
    <row r="86" customFormat="false" ht="15" hidden="false" customHeight="false" outlineLevel="0" collapsed="false">
      <c r="A86" s="5" t="s">
        <v>1362</v>
      </c>
      <c r="B86" s="5" t="s">
        <v>1368</v>
      </c>
      <c r="D86" s="28" t="n">
        <v>4</v>
      </c>
      <c r="F86" s="28" t="n">
        <v>4.1</v>
      </c>
      <c r="G86" s="67" t="n">
        <f aca="false">IF(AND(ISNUMBER(F86),ISNUMBER(D86)),F86-D86,"")</f>
        <v>0.0999999999999996</v>
      </c>
      <c r="H86" s="28"/>
      <c r="I86" s="67" t="str">
        <f aca="false">IF(AND(ISNUMBER(H86),ISNUMBER(F86)),H86-F86,"")</f>
        <v/>
      </c>
      <c r="J86" s="28"/>
      <c r="K86" s="67" t="str">
        <f aca="false">IF(AND(ISNUMBER(J86),ISNUMBER(H86)),J86-H86,"")</f>
        <v/>
      </c>
      <c r="L86" s="28"/>
      <c r="M86" s="67" t="str">
        <f aca="false">IF(AND(ISNUMBER(L86),ISNUMBER(J86)),L86-J86,"")</f>
        <v/>
      </c>
    </row>
    <row r="87" customFormat="false" ht="15" hidden="false" customHeight="false" outlineLevel="0" collapsed="false">
      <c r="A87" s="5" t="s">
        <v>1362</v>
      </c>
      <c r="B87" s="20" t="s">
        <v>1369</v>
      </c>
      <c r="D87" s="38" t="n">
        <v>182</v>
      </c>
      <c r="F87" s="38" t="n">
        <v>176</v>
      </c>
      <c r="G87" s="74" t="n">
        <f aca="false">IF(AND(ISNUMBER(F87),ISNUMBER(D87)),F87-D87,"")</f>
        <v>-6</v>
      </c>
      <c r="H87" s="38"/>
      <c r="I87" s="74" t="str">
        <f aca="false">IF(AND(ISNUMBER(H87),ISNUMBER(F87)),H87-F87,"")</f>
        <v/>
      </c>
      <c r="J87" s="38"/>
      <c r="K87" s="74" t="str">
        <f aca="false">IF(AND(ISNUMBER(J87),ISNUMBER(H87)),J87-H87,"")</f>
        <v/>
      </c>
      <c r="L87" s="38"/>
      <c r="M87" s="74" t="str">
        <f aca="false">IF(AND(ISNUMBER(L87),ISNUMBER(J87)),L87-J87,"")</f>
        <v/>
      </c>
    </row>
    <row r="88" customFormat="false" ht="15" hidden="false" customHeight="false" outlineLevel="0" collapsed="false">
      <c r="A88" s="5" t="s">
        <v>1362</v>
      </c>
      <c r="B88" s="5" t="s">
        <v>1370</v>
      </c>
      <c r="D88" s="38" t="n">
        <v>186</v>
      </c>
      <c r="F88" s="38" t="n">
        <v>184</v>
      </c>
      <c r="G88" s="74" t="n">
        <f aca="false">IF(AND(ISNUMBER(F88),ISNUMBER(D88)),F88-D88,"")</f>
        <v>-2</v>
      </c>
      <c r="H88" s="38"/>
      <c r="I88" s="74" t="str">
        <f aca="false">IF(AND(ISNUMBER(H88),ISNUMBER(F88)),H88-F88,"")</f>
        <v/>
      </c>
      <c r="J88" s="38"/>
      <c r="K88" s="74" t="str">
        <f aca="false">IF(AND(ISNUMBER(J88),ISNUMBER(H88)),J88-H88,"")</f>
        <v/>
      </c>
      <c r="L88" s="38"/>
      <c r="M88" s="74" t="str">
        <f aca="false">IF(AND(ISNUMBER(L88),ISNUMBER(J88)),L88-J88,"")</f>
        <v/>
      </c>
    </row>
    <row r="89" customFormat="false" ht="15" hidden="false" customHeight="false" outlineLevel="0" collapsed="false">
      <c r="A89" s="5" t="s">
        <v>1362</v>
      </c>
      <c r="B89" s="20" t="s">
        <v>1371</v>
      </c>
      <c r="D89" s="25" t="n">
        <f aca="false">IF(AND(ISNUMBER(D87),ISNUMBER(D88)),D87/D88-1,"")</f>
        <v>-0.021505376344086</v>
      </c>
      <c r="F89" s="25" t="n">
        <f aca="false">IF(AND(ISNUMBER(F87),ISNUMBER(F88)),F87/F88-1,"")</f>
        <v>-0.0434782608695652</v>
      </c>
      <c r="G89" s="73" t="n">
        <f aca="false">IF(AND(ISNUMBER(F89),ISNUMBER(D89)),F89-D89,"")</f>
        <v>-0.0219728845254792</v>
      </c>
      <c r="H89" s="25" t="str">
        <f aca="false">IF(AND(ISNUMBER(H87),ISNUMBER(H88)),H87/H88-1,"")</f>
        <v/>
      </c>
      <c r="I89" s="73" t="str">
        <f aca="false">IF(AND(ISNUMBER(H89),ISNUMBER(F89)),H89-F89,"")</f>
        <v/>
      </c>
      <c r="J89" s="25" t="str">
        <f aca="false">IF(AND(ISNUMBER(J87),ISNUMBER(J88)),J87/J88-1,"")</f>
        <v/>
      </c>
      <c r="K89" s="73" t="str">
        <f aca="false">IF(AND(ISNUMBER(J89),ISNUMBER(H89)),J89-H89,"")</f>
        <v/>
      </c>
      <c r="L89" s="25" t="str">
        <f aca="false">IF(AND(ISNUMBER(L87),ISNUMBER(L88)),L87/L88-1,"")</f>
        <v/>
      </c>
      <c r="M89" s="73" t="str">
        <f aca="false">IF(AND(ISNUMBER(L89),ISNUMBER(J89)),L89-J89,"")</f>
        <v/>
      </c>
    </row>
    <row r="90" customFormat="false" ht="15" hidden="false" customHeight="false" outlineLevel="0" collapsed="false">
      <c r="A90" s="5" t="s">
        <v>1362</v>
      </c>
      <c r="B90" s="20" t="s">
        <v>1372</v>
      </c>
      <c r="D90" s="22" t="n">
        <v>0.11</v>
      </c>
      <c r="F90" s="22" t="n">
        <v>0.125</v>
      </c>
      <c r="G90" s="73" t="n">
        <f aca="false">IF(AND(ISNUMBER(F90),ISNUMBER(D90)),F90-D90,"")</f>
        <v>0.015</v>
      </c>
      <c r="H90" s="22"/>
      <c r="I90" s="73" t="str">
        <f aca="false">IF(AND(ISNUMBER(H90),ISNUMBER(F90)),H90-F90,"")</f>
        <v/>
      </c>
      <c r="J90" s="22"/>
      <c r="K90" s="73" t="str">
        <f aca="false">IF(AND(ISNUMBER(J90),ISNUMBER(H90)),J90-H90,"")</f>
        <v/>
      </c>
      <c r="L90" s="22"/>
      <c r="M90" s="73" t="str">
        <f aca="false">IF(AND(ISNUMBER(L90),ISNUMBER(J90)),L90-J90,"")</f>
        <v/>
      </c>
    </row>
    <row r="91" customFormat="false" ht="15" hidden="false" customHeight="false" outlineLevel="0" collapsed="false">
      <c r="A91" s="5" t="s">
        <v>1362</v>
      </c>
      <c r="B91" s="20" t="s">
        <v>1373</v>
      </c>
      <c r="D91" s="28" t="n">
        <v>12</v>
      </c>
      <c r="F91" s="28" t="n">
        <v>13.1</v>
      </c>
      <c r="G91" s="67" t="n">
        <f aca="false">IF(AND(ISNUMBER(F91),ISNUMBER(D91)),F91-D91,"")</f>
        <v>1.1</v>
      </c>
      <c r="H91" s="28"/>
      <c r="I91" s="67" t="str">
        <f aca="false">IF(AND(ISNUMBER(H91),ISNUMBER(F91)),H91-F91,"")</f>
        <v/>
      </c>
      <c r="J91" s="28"/>
      <c r="K91" s="67" t="str">
        <f aca="false">IF(AND(ISNUMBER(J91),ISNUMBER(H91)),J91-H91,"")</f>
        <v/>
      </c>
      <c r="L91" s="28"/>
      <c r="M91" s="67" t="str">
        <f aca="false">IF(AND(ISNUMBER(L91),ISNUMBER(J91)),L91-J91,"")</f>
        <v/>
      </c>
    </row>
    <row r="92" customFormat="false" ht="15" hidden="false" customHeight="false" outlineLevel="0" collapsed="false">
      <c r="A92" s="5" t="s">
        <v>1362</v>
      </c>
      <c r="B92" s="20" t="s">
        <v>1374</v>
      </c>
      <c r="D92" s="28" t="n">
        <v>11.5</v>
      </c>
      <c r="F92" s="28" t="n">
        <v>12.2</v>
      </c>
      <c r="G92" s="67" t="n">
        <f aca="false">IF(AND(ISNUMBER(F92),ISNUMBER(D92)),F92-D92,"")</f>
        <v>0.699999999999999</v>
      </c>
      <c r="H92" s="28"/>
      <c r="I92" s="67" t="str">
        <f aca="false">IF(AND(ISNUMBER(H92),ISNUMBER(F92)),H92-F92,"")</f>
        <v/>
      </c>
      <c r="J92" s="28"/>
      <c r="K92" s="67" t="str">
        <f aca="false">IF(AND(ISNUMBER(J92),ISNUMBER(H92)),J92-H92,"")</f>
        <v/>
      </c>
      <c r="L92" s="28"/>
      <c r="M92" s="67" t="str">
        <f aca="false">IF(AND(ISNUMBER(L92),ISNUMBER(J92)),L92-J92,"")</f>
        <v/>
      </c>
    </row>
    <row r="93" customFormat="false" ht="15" hidden="false" customHeight="false" outlineLevel="0" collapsed="false">
      <c r="A93" s="5" t="s">
        <v>1362</v>
      </c>
      <c r="B93" s="20" t="s">
        <v>1375</v>
      </c>
      <c r="D93" s="28" t="n">
        <v>12.4</v>
      </c>
      <c r="F93" s="28" t="n">
        <v>13</v>
      </c>
      <c r="G93" s="67" t="n">
        <f aca="false">IF(AND(ISNUMBER(F93),ISNUMBER(D93)),F93-D93,"")</f>
        <v>0.6</v>
      </c>
      <c r="H93" s="28"/>
      <c r="I93" s="67" t="str">
        <f aca="false">IF(AND(ISNUMBER(H93),ISNUMBER(F93)),H93-F93,"")</f>
        <v/>
      </c>
      <c r="J93" s="28"/>
      <c r="K93" s="67" t="str">
        <f aca="false">IF(AND(ISNUMBER(J93),ISNUMBER(H93)),J93-H93,"")</f>
        <v/>
      </c>
      <c r="L93" s="28"/>
      <c r="M93" s="67" t="str">
        <f aca="false">IF(AND(ISNUMBER(L93),ISNUMBER(J93)),L93-J93,"")</f>
        <v/>
      </c>
    </row>
    <row r="94" customFormat="false" ht="15" hidden="false" customHeight="false" outlineLevel="0" collapsed="false">
      <c r="A94" s="5" t="s">
        <v>1362</v>
      </c>
      <c r="B94" s="20" t="s">
        <v>1376</v>
      </c>
      <c r="D94" s="28" t="n">
        <v>13</v>
      </c>
      <c r="F94" s="28" t="n">
        <v>13.6</v>
      </c>
      <c r="G94" s="67" t="n">
        <f aca="false">IF(AND(ISNUMBER(F94),ISNUMBER(D94)),F94-D94,"")</f>
        <v>0.6</v>
      </c>
      <c r="H94" s="28"/>
      <c r="I94" s="67" t="str">
        <f aca="false">IF(AND(ISNUMBER(H94),ISNUMBER(F94)),H94-F94,"")</f>
        <v/>
      </c>
      <c r="J94" s="28"/>
      <c r="K94" s="67" t="str">
        <f aca="false">IF(AND(ISNUMBER(J94),ISNUMBER(H94)),J94-H94,"")</f>
        <v/>
      </c>
      <c r="L94" s="28"/>
      <c r="M94" s="67" t="str">
        <f aca="false">IF(AND(ISNUMBER(L94),ISNUMBER(J94)),L94-J94,"")</f>
        <v/>
      </c>
    </row>
    <row r="95" customFormat="false" ht="15" hidden="false" customHeight="false" outlineLevel="0" collapsed="false">
      <c r="A95" s="5" t="s">
        <v>1362</v>
      </c>
      <c r="B95" s="20" t="s">
        <v>1377</v>
      </c>
      <c r="D95" s="27" t="n">
        <f aca="false">IF(COUNT(D91:D94)=0,"",AVERAGE(D91:D94))</f>
        <v>12.225</v>
      </c>
      <c r="F95" s="27" t="n">
        <f aca="false">IF(COUNT(F91:F94)=0,"",AVERAGE(F91:F94))</f>
        <v>12.975</v>
      </c>
      <c r="G95" s="67" t="n">
        <f aca="false">IF(AND(ISNUMBER(F95),ISNUMBER(D95)),F95-D95,"")</f>
        <v>0.75</v>
      </c>
      <c r="H95" s="27" t="str">
        <f aca="false">IF(COUNT(H91:H94)=0,"",AVERAGE(H91:H94))</f>
        <v/>
      </c>
      <c r="I95" s="67" t="str">
        <f aca="false">IF(AND(ISNUMBER(H95),ISNUMBER(F95)),H95-F95,"")</f>
        <v/>
      </c>
      <c r="J95" s="27" t="str">
        <f aca="false">IF(COUNT(J91:J94)=0,"",AVERAGE(J91:J94))</f>
        <v/>
      </c>
      <c r="K95" s="67" t="str">
        <f aca="false">IF(AND(ISNUMBER(J95),ISNUMBER(H95)),J95-H95,"")</f>
        <v/>
      </c>
      <c r="L95" s="27" t="str">
        <f aca="false">IF(COUNT(L91:L94)=0,"",AVERAGE(L91:L94))</f>
        <v/>
      </c>
      <c r="M95" s="67" t="str">
        <f aca="false">IF(AND(ISNUMBER(L95),ISNUMBER(J95)),L95-J95,"")</f>
        <v/>
      </c>
    </row>
    <row r="96" customFormat="false" ht="15" hidden="false" customHeight="false" outlineLevel="0" collapsed="false">
      <c r="A96" s="5" t="s">
        <v>1378</v>
      </c>
      <c r="B96" s="20" t="s">
        <v>1379</v>
      </c>
      <c r="D96" s="24" t="n">
        <v>120</v>
      </c>
      <c r="F96" s="24" t="n">
        <v>131</v>
      </c>
      <c r="G96" s="69" t="n">
        <f aca="false">IF(AND(ISNUMBER(F96),ISNUMBER(D96)),F96-D96,"")</f>
        <v>11</v>
      </c>
      <c r="H96" s="24"/>
      <c r="I96" s="69" t="str">
        <f aca="false">IF(AND(ISNUMBER(H96),ISNUMBER(F96)),H96-F96,"")</f>
        <v/>
      </c>
      <c r="J96" s="24"/>
      <c r="K96" s="69" t="str">
        <f aca="false">IF(AND(ISNUMBER(J96),ISNUMBER(H96)),J96-H96,"")</f>
        <v/>
      </c>
      <c r="L96" s="24"/>
      <c r="M96" s="69" t="str">
        <f aca="false">IF(AND(ISNUMBER(L96),ISNUMBER(J96)),L96-J96,"")</f>
        <v/>
      </c>
    </row>
    <row r="97" customFormat="false" ht="15" hidden="false" customHeight="false" outlineLevel="0" collapsed="false">
      <c r="A97" s="5" t="s">
        <v>1378</v>
      </c>
      <c r="B97" s="5" t="s">
        <v>1380</v>
      </c>
      <c r="D97" s="38" t="n">
        <v>1237</v>
      </c>
      <c r="F97" s="38" t="n">
        <v>1229</v>
      </c>
      <c r="G97" s="74" t="n">
        <f aca="false">IF(AND(ISNUMBER(F97),ISNUMBER(D97)),F97-D97,"")</f>
        <v>-8</v>
      </c>
      <c r="H97" s="38"/>
      <c r="I97" s="74" t="str">
        <f aca="false">IF(AND(ISNUMBER(H97),ISNUMBER(F97)),H97-F97,"")</f>
        <v/>
      </c>
      <c r="J97" s="38"/>
      <c r="K97" s="74" t="str">
        <f aca="false">IF(AND(ISNUMBER(J97),ISNUMBER(H97)),J97-H97,"")</f>
        <v/>
      </c>
      <c r="L97" s="38"/>
      <c r="M97" s="74" t="str">
        <f aca="false">IF(AND(ISNUMBER(L97),ISNUMBER(J97)),L97-J97,"")</f>
        <v/>
      </c>
    </row>
    <row r="98" customFormat="false" ht="15" hidden="false" customHeight="false" outlineLevel="0" collapsed="false">
      <c r="A98" s="5" t="s">
        <v>1378</v>
      </c>
      <c r="B98" s="5" t="s">
        <v>1381</v>
      </c>
      <c r="D98" s="38" t="n">
        <v>1195</v>
      </c>
      <c r="F98" s="38" t="n">
        <v>1188</v>
      </c>
      <c r="G98" s="74" t="n">
        <f aca="false">IF(AND(ISNUMBER(F98),ISNUMBER(D98)),F98-D98,"")</f>
        <v>-7</v>
      </c>
      <c r="H98" s="38"/>
      <c r="I98" s="74" t="str">
        <f aca="false">IF(AND(ISNUMBER(H98),ISNUMBER(F98)),H98-F98,"")</f>
        <v/>
      </c>
      <c r="J98" s="38"/>
      <c r="K98" s="74" t="str">
        <f aca="false">IF(AND(ISNUMBER(J98),ISNUMBER(H98)),J98-H98,"")</f>
        <v/>
      </c>
      <c r="L98" s="38"/>
      <c r="M98" s="74" t="str">
        <f aca="false">IF(AND(ISNUMBER(L98),ISNUMBER(J98)),L98-J98,"")</f>
        <v/>
      </c>
    </row>
    <row r="99" customFormat="false" ht="15" hidden="false" customHeight="false" outlineLevel="0" collapsed="false">
      <c r="A99" s="5" t="s">
        <v>1378</v>
      </c>
      <c r="B99" s="5" t="s">
        <v>1382</v>
      </c>
      <c r="D99" s="25" t="n">
        <f aca="false">IF(AND(ISNUMBER(D97),ISNUMBER(D98)),D97/D98-1,"")</f>
        <v>0.0351464435146442</v>
      </c>
      <c r="F99" s="25" t="n">
        <f aca="false">IF(AND(ISNUMBER(F97),ISNUMBER(F98)),F97/F98-1,"")</f>
        <v>0.0345117845117846</v>
      </c>
      <c r="G99" s="73" t="n">
        <f aca="false">IF(AND(ISNUMBER(F99),ISNUMBER(D99)),F99-D99,"")</f>
        <v>-0.000634659002859639</v>
      </c>
      <c r="H99" s="25" t="str">
        <f aca="false">IF(AND(ISNUMBER(H97),ISNUMBER(H98)),H97/H98-1,"")</f>
        <v/>
      </c>
      <c r="I99" s="73" t="str">
        <f aca="false">IF(AND(ISNUMBER(H99),ISNUMBER(F99)),H99-F99,"")</f>
        <v/>
      </c>
      <c r="J99" s="25" t="str">
        <f aca="false">IF(AND(ISNUMBER(J97),ISNUMBER(J98)),J97/J98-1,"")</f>
        <v/>
      </c>
      <c r="K99" s="73" t="str">
        <f aca="false">IF(AND(ISNUMBER(J99),ISNUMBER(H99)),J99-H99,"")</f>
        <v/>
      </c>
      <c r="L99" s="25" t="str">
        <f aca="false">IF(AND(ISNUMBER(L97),ISNUMBER(L98)),L97/L98-1,"")</f>
        <v/>
      </c>
      <c r="M99" s="73" t="str">
        <f aca="false">IF(AND(ISNUMBER(L99),ISNUMBER(J99)),L99-J99,"")</f>
        <v/>
      </c>
    </row>
    <row r="100" customFormat="false" ht="15" hidden="false" customHeight="false" outlineLevel="0" collapsed="false">
      <c r="A100" s="5" t="s">
        <v>1378</v>
      </c>
      <c r="B100" s="20" t="s">
        <v>1383</v>
      </c>
      <c r="D100" s="28" t="n">
        <v>4.2</v>
      </c>
      <c r="F100" s="28" t="n">
        <v>4.4</v>
      </c>
      <c r="G100" s="67" t="n">
        <f aca="false">IF(AND(ISNUMBER(F100),ISNUMBER(D100)),F100-D100,"")</f>
        <v>0.2</v>
      </c>
      <c r="H100" s="28"/>
      <c r="I100" s="67" t="str">
        <f aca="false">IF(AND(ISNUMBER(H100),ISNUMBER(F100)),H100-F100,"")</f>
        <v/>
      </c>
      <c r="J100" s="28"/>
      <c r="K100" s="67" t="str">
        <f aca="false">IF(AND(ISNUMBER(J100),ISNUMBER(H100)),J100-H100,"")</f>
        <v/>
      </c>
      <c r="L100" s="28"/>
      <c r="M100" s="67" t="str">
        <f aca="false">IF(AND(ISNUMBER(L100),ISNUMBER(J100)),L100-J100,"")</f>
        <v/>
      </c>
    </row>
    <row r="101" customFormat="false" ht="15" hidden="false" customHeight="false" outlineLevel="0" collapsed="false">
      <c r="A101" s="5" t="s">
        <v>1378</v>
      </c>
      <c r="B101" s="5" t="s">
        <v>1384</v>
      </c>
      <c r="D101" s="28" t="n">
        <v>4.1</v>
      </c>
      <c r="F101" s="28" t="n">
        <v>4.2</v>
      </c>
      <c r="G101" s="67" t="n">
        <f aca="false">IF(AND(ISNUMBER(F101),ISNUMBER(D101)),F101-D101,"")</f>
        <v>0.100000000000001</v>
      </c>
      <c r="H101" s="28"/>
      <c r="I101" s="67" t="str">
        <f aca="false">IF(AND(ISNUMBER(H101),ISNUMBER(F101)),H101-F101,"")</f>
        <v/>
      </c>
      <c r="J101" s="28"/>
      <c r="K101" s="67" t="str">
        <f aca="false">IF(AND(ISNUMBER(J101),ISNUMBER(H101)),J101-H101,"")</f>
        <v/>
      </c>
      <c r="L101" s="28"/>
      <c r="M101" s="67" t="str">
        <f aca="false">IF(AND(ISNUMBER(L101),ISNUMBER(J101)),L101-J101,"")</f>
        <v/>
      </c>
    </row>
    <row r="102" customFormat="false" ht="15" hidden="false" customHeight="false" outlineLevel="0" collapsed="false">
      <c r="A102" s="5" t="s">
        <v>1378</v>
      </c>
      <c r="B102" s="20" t="s">
        <v>1385</v>
      </c>
      <c r="D102" s="38" t="n">
        <v>905</v>
      </c>
      <c r="F102" s="38" t="n">
        <v>884</v>
      </c>
      <c r="G102" s="74" t="n">
        <f aca="false">IF(AND(ISNUMBER(F102),ISNUMBER(D102)),F102-D102,"")</f>
        <v>-21</v>
      </c>
      <c r="H102" s="38"/>
      <c r="I102" s="74" t="str">
        <f aca="false">IF(AND(ISNUMBER(H102),ISNUMBER(F102)),H102-F102,"")</f>
        <v/>
      </c>
      <c r="J102" s="38"/>
      <c r="K102" s="74" t="str">
        <f aca="false">IF(AND(ISNUMBER(J102),ISNUMBER(H102)),J102-H102,"")</f>
        <v/>
      </c>
      <c r="L102" s="38"/>
      <c r="M102" s="74" t="str">
        <f aca="false">IF(AND(ISNUMBER(L102),ISNUMBER(J102)),L102-J102,"")</f>
        <v/>
      </c>
    </row>
    <row r="103" customFormat="false" ht="15" hidden="false" customHeight="false" outlineLevel="0" collapsed="false">
      <c r="A103" s="5" t="s">
        <v>1378</v>
      </c>
      <c r="B103" s="5" t="s">
        <v>1386</v>
      </c>
      <c r="D103" s="38" t="n">
        <v>890</v>
      </c>
      <c r="F103" s="38" t="n">
        <v>879</v>
      </c>
      <c r="G103" s="74" t="n">
        <f aca="false">IF(AND(ISNUMBER(F103),ISNUMBER(D103)),F103-D103,"")</f>
        <v>-11</v>
      </c>
      <c r="H103" s="38"/>
      <c r="I103" s="74" t="str">
        <f aca="false">IF(AND(ISNUMBER(H103),ISNUMBER(F103)),H103-F103,"")</f>
        <v/>
      </c>
      <c r="J103" s="38"/>
      <c r="K103" s="74" t="str">
        <f aca="false">IF(AND(ISNUMBER(J103),ISNUMBER(H103)),J103-H103,"")</f>
        <v/>
      </c>
      <c r="L103" s="38"/>
      <c r="M103" s="74" t="str">
        <f aca="false">IF(AND(ISNUMBER(L103),ISNUMBER(J103)),L103-J103,"")</f>
        <v/>
      </c>
    </row>
    <row r="104" customFormat="false" ht="15" hidden="false" customHeight="false" outlineLevel="0" collapsed="false">
      <c r="A104" s="5" t="s">
        <v>1378</v>
      </c>
      <c r="B104" s="20" t="s">
        <v>1387</v>
      </c>
      <c r="D104" s="25" t="n">
        <f aca="false">IF(AND(ISNUMBER(D102),ISNUMBER(D103)),D102/D103-1,"")</f>
        <v>0.0168539325842696</v>
      </c>
      <c r="F104" s="25" t="n">
        <f aca="false">IF(AND(ISNUMBER(F102),ISNUMBER(F103)),F102/F103-1,"")</f>
        <v>0.00568828213879402</v>
      </c>
      <c r="G104" s="73" t="n">
        <f aca="false">IF(AND(ISNUMBER(F104),ISNUMBER(D104)),F104-D104,"")</f>
        <v>-0.0111656504454756</v>
      </c>
      <c r="H104" s="25" t="str">
        <f aca="false">IF(AND(ISNUMBER(H102),ISNUMBER(H103)),H102/H103-1,"")</f>
        <v/>
      </c>
      <c r="I104" s="73" t="str">
        <f aca="false">IF(AND(ISNUMBER(H104),ISNUMBER(F104)),H104-F104,"")</f>
        <v/>
      </c>
      <c r="J104" s="25" t="str">
        <f aca="false">IF(AND(ISNUMBER(J102),ISNUMBER(J103)),J102/J103-1,"")</f>
        <v/>
      </c>
      <c r="K104" s="73" t="str">
        <f aca="false">IF(AND(ISNUMBER(J104),ISNUMBER(H104)),J104-H104,"")</f>
        <v/>
      </c>
      <c r="L104" s="25" t="str">
        <f aca="false">IF(AND(ISNUMBER(L102),ISNUMBER(L103)),L102/L103-1,"")</f>
        <v/>
      </c>
      <c r="M104" s="73" t="str">
        <f aca="false">IF(AND(ISNUMBER(L104),ISNUMBER(J104)),L104-J104,"")</f>
        <v/>
      </c>
    </row>
    <row r="105" customFormat="false" ht="15" hidden="false" customHeight="false" outlineLevel="0" collapsed="false">
      <c r="A105" s="5" t="s">
        <v>1378</v>
      </c>
      <c r="B105" s="20" t="s">
        <v>1388</v>
      </c>
      <c r="D105" s="22" t="n">
        <v>0.09</v>
      </c>
      <c r="F105" s="22" t="n">
        <v>0.105</v>
      </c>
      <c r="G105" s="73" t="n">
        <f aca="false">IF(AND(ISNUMBER(F105),ISNUMBER(D105)),F105-D105,"")</f>
        <v>0.015</v>
      </c>
      <c r="H105" s="22"/>
      <c r="I105" s="73" t="str">
        <f aca="false">IF(AND(ISNUMBER(H105),ISNUMBER(F105)),H105-F105,"")</f>
        <v/>
      </c>
      <c r="J105" s="22"/>
      <c r="K105" s="73" t="str">
        <f aca="false">IF(AND(ISNUMBER(J105),ISNUMBER(H105)),J105-H105,"")</f>
        <v/>
      </c>
      <c r="L105" s="22"/>
      <c r="M105" s="73" t="str">
        <f aca="false">IF(AND(ISNUMBER(L105),ISNUMBER(J105)),L105-J105,"")</f>
        <v/>
      </c>
    </row>
    <row r="106" customFormat="false" ht="15" hidden="false" customHeight="false" outlineLevel="0" collapsed="false">
      <c r="A106" s="5" t="s">
        <v>1378</v>
      </c>
      <c r="B106" s="20" t="s">
        <v>1389</v>
      </c>
      <c r="D106" s="28" t="n">
        <v>12</v>
      </c>
      <c r="F106" s="28" t="n">
        <v>12.8</v>
      </c>
      <c r="G106" s="67" t="n">
        <f aca="false">IF(AND(ISNUMBER(F106),ISNUMBER(D106)),F106-D106,"")</f>
        <v>0.800000000000001</v>
      </c>
      <c r="H106" s="28"/>
      <c r="I106" s="67" t="str">
        <f aca="false">IF(AND(ISNUMBER(H106),ISNUMBER(F106)),H106-F106,"")</f>
        <v/>
      </c>
      <c r="J106" s="28"/>
      <c r="K106" s="67" t="str">
        <f aca="false">IF(AND(ISNUMBER(J106),ISNUMBER(H106)),J106-H106,"")</f>
        <v/>
      </c>
      <c r="L106" s="28"/>
      <c r="M106" s="67" t="str">
        <f aca="false">IF(AND(ISNUMBER(L106),ISNUMBER(J106)),L106-J106,"")</f>
        <v/>
      </c>
    </row>
    <row r="107" customFormat="false" ht="15" hidden="false" customHeight="false" outlineLevel="0" collapsed="false">
      <c r="A107" s="5" t="s">
        <v>1378</v>
      </c>
      <c r="B107" s="20" t="s">
        <v>1390</v>
      </c>
      <c r="D107" s="28" t="n">
        <v>12.6</v>
      </c>
      <c r="F107" s="28" t="n">
        <v>13</v>
      </c>
      <c r="G107" s="67" t="n">
        <f aca="false">IF(AND(ISNUMBER(F107),ISNUMBER(D107)),F107-D107,"")</f>
        <v>0.4</v>
      </c>
      <c r="H107" s="28"/>
      <c r="I107" s="67" t="str">
        <f aca="false">IF(AND(ISNUMBER(H107),ISNUMBER(F107)),H107-F107,"")</f>
        <v/>
      </c>
      <c r="J107" s="28"/>
      <c r="K107" s="67" t="str">
        <f aca="false">IF(AND(ISNUMBER(J107),ISNUMBER(H107)),J107-H107,"")</f>
        <v/>
      </c>
      <c r="L107" s="28"/>
      <c r="M107" s="67" t="str">
        <f aca="false">IF(AND(ISNUMBER(L107),ISNUMBER(J107)),L107-J107,"")</f>
        <v/>
      </c>
    </row>
    <row r="108" customFormat="false" ht="15" hidden="false" customHeight="false" outlineLevel="0" collapsed="false">
      <c r="A108" s="5" t="s">
        <v>1378</v>
      </c>
      <c r="B108" s="20" t="s">
        <v>1391</v>
      </c>
      <c r="D108" s="28" t="n">
        <v>11.1</v>
      </c>
      <c r="F108" s="28" t="n">
        <v>11.9</v>
      </c>
      <c r="G108" s="67" t="n">
        <f aca="false">IF(AND(ISNUMBER(F108),ISNUMBER(D108)),F108-D108,"")</f>
        <v>0.800000000000001</v>
      </c>
      <c r="H108" s="28"/>
      <c r="I108" s="67" t="str">
        <f aca="false">IF(AND(ISNUMBER(H108),ISNUMBER(F108)),H108-F108,"")</f>
        <v/>
      </c>
      <c r="J108" s="28"/>
      <c r="K108" s="67" t="str">
        <f aca="false">IF(AND(ISNUMBER(J108),ISNUMBER(H108)),J108-H108,"")</f>
        <v/>
      </c>
      <c r="L108" s="28"/>
      <c r="M108" s="67" t="str">
        <f aca="false">IF(AND(ISNUMBER(L108),ISNUMBER(J108)),L108-J108,"")</f>
        <v/>
      </c>
    </row>
    <row r="109" customFormat="false" ht="15" hidden="false" customHeight="false" outlineLevel="0" collapsed="false">
      <c r="A109" s="5" t="s">
        <v>1378</v>
      </c>
      <c r="B109" s="20" t="s">
        <v>1392</v>
      </c>
      <c r="D109" s="28" t="n">
        <v>12.2</v>
      </c>
      <c r="F109" s="28" t="n">
        <v>12.5</v>
      </c>
      <c r="G109" s="67" t="n">
        <f aca="false">IF(AND(ISNUMBER(F109),ISNUMBER(D109)),F109-D109,"")</f>
        <v>0.300000000000001</v>
      </c>
      <c r="H109" s="28"/>
      <c r="I109" s="67" t="str">
        <f aca="false">IF(AND(ISNUMBER(H109),ISNUMBER(F109)),H109-F109,"")</f>
        <v/>
      </c>
      <c r="J109" s="28"/>
      <c r="K109" s="67" t="str">
        <f aca="false">IF(AND(ISNUMBER(J109),ISNUMBER(H109)),J109-H109,"")</f>
        <v/>
      </c>
      <c r="L109" s="28"/>
      <c r="M109" s="67" t="str">
        <f aca="false">IF(AND(ISNUMBER(L109),ISNUMBER(J109)),L109-J109,"")</f>
        <v/>
      </c>
    </row>
    <row r="110" customFormat="false" ht="15" hidden="false" customHeight="false" outlineLevel="0" collapsed="false">
      <c r="A110" s="5" t="s">
        <v>1378</v>
      </c>
      <c r="B110" s="20" t="s">
        <v>1393</v>
      </c>
      <c r="D110" s="27" t="n">
        <f aca="false">IF(COUNT(D106:D109)=0,"",AVERAGE(D106:D109))</f>
        <v>11.975</v>
      </c>
      <c r="F110" s="27" t="n">
        <f aca="false">IF(COUNT(F106:F109)=0,"",AVERAGE(F106:F109))</f>
        <v>12.55</v>
      </c>
      <c r="G110" s="67" t="n">
        <f aca="false">IF(AND(ISNUMBER(F110),ISNUMBER(D110)),F110-D110,"")</f>
        <v>0.575000000000001</v>
      </c>
      <c r="H110" s="27" t="str">
        <f aca="false">IF(COUNT(H106:H109)=0,"",AVERAGE(H106:H109))</f>
        <v/>
      </c>
      <c r="I110" s="67" t="str">
        <f aca="false">IF(AND(ISNUMBER(H110),ISNUMBER(F110)),H110-F110,"")</f>
        <v/>
      </c>
      <c r="J110" s="27" t="str">
        <f aca="false">IF(COUNT(J106:J109)=0,"",AVERAGE(J106:J109))</f>
        <v/>
      </c>
      <c r="K110" s="67" t="str">
        <f aca="false">IF(AND(ISNUMBER(J110),ISNUMBER(H110)),J110-H110,"")</f>
        <v/>
      </c>
      <c r="L110" s="27" t="str">
        <f aca="false">IF(COUNT(L106:L109)=0,"",AVERAGE(L106:L109))</f>
        <v/>
      </c>
      <c r="M110" s="67" t="str">
        <f aca="false">IF(AND(ISNUMBER(L110),ISNUMBER(J110)),L110-J110,"")</f>
        <v/>
      </c>
    </row>
  </sheetData>
  <conditionalFormatting sqref="G65 I65 K65 M65">
    <cfRule type="expression" priority="2" aboveAverage="0" equalAverage="0" bottom="0" percent="0" rank="0" text="" dxfId="0">
      <formula>AND(ISNUMBER(G65),G65&gt;0)</formula>
    </cfRule>
    <cfRule type="expression" priority="3" aboveAverage="0" equalAverage="0" bottom="0" percent="0" rank="0" text="" dxfId="2">
      <formula>AND(ISNUMBER(G65),G65&lt;0)</formula>
    </cfRule>
  </conditionalFormatting>
  <conditionalFormatting sqref="G67 I67 K67 M67">
    <cfRule type="expression" priority="4" aboveAverage="0" equalAverage="0" bottom="0" percent="0" rank="0" text="" dxfId="0">
      <formula>AND(ISNUMBER(G67),G67&gt;0)</formula>
    </cfRule>
    <cfRule type="expression" priority="5" aboveAverage="0" equalAverage="0" bottom="0" percent="0" rank="0" text="" dxfId="2">
      <formula>AND(ISNUMBER(G67),G67&lt;0)</formula>
    </cfRule>
  </conditionalFormatting>
  <conditionalFormatting sqref="G69 I69 K69 M69">
    <cfRule type="expression" priority="6" aboveAverage="0" equalAverage="0" bottom="0" percent="0" rank="0" text="" dxfId="0">
      <formula>AND(ISNUMBER(G69),G69&gt;0)</formula>
    </cfRule>
    <cfRule type="expression" priority="7" aboveAverage="0" equalAverage="0" bottom="0" percent="0" rank="0" text="" dxfId="2">
      <formula>AND(ISNUMBER(G69),G69&lt;0)</formula>
    </cfRule>
  </conditionalFormatting>
  <conditionalFormatting sqref="G73 I73 K73 M73">
    <cfRule type="expression" priority="8" aboveAverage="0" equalAverage="0" bottom="0" percent="0" rank="0" text="" dxfId="0">
      <formula>AND(ISNUMBER(G73),G73&gt;0)</formula>
    </cfRule>
    <cfRule type="expression" priority="9" aboveAverage="0" equalAverage="0" bottom="0" percent="0" rank="0" text="" dxfId="2">
      <formula>AND(ISNUMBER(G73),G73&lt;0)</formula>
    </cfRule>
  </conditionalFormatting>
  <conditionalFormatting sqref="G74 I74 K74 M74">
    <cfRule type="expression" priority="10" aboveAverage="0" equalAverage="0" bottom="0" percent="0" rank="0" text="" dxfId="0">
      <formula>AND(ISNUMBER(G74),G74&gt;0)</formula>
    </cfRule>
    <cfRule type="expression" priority="11" aboveAverage="0" equalAverage="0" bottom="0" percent="0" rank="0" text="" dxfId="2">
      <formula>AND(ISNUMBER(G74),G74&lt;0)</formula>
    </cfRule>
  </conditionalFormatting>
  <conditionalFormatting sqref="G76 I76 K76 M76">
    <cfRule type="expression" priority="12" aboveAverage="0" equalAverage="0" bottom="0" percent="0" rank="0" text="" dxfId="0">
      <formula>AND(ISNUMBER(G76),G76&gt;0)</formula>
    </cfRule>
    <cfRule type="expression" priority="13" aboveAverage="0" equalAverage="0" bottom="0" percent="0" rank="0" text="" dxfId="2">
      <formula>AND(ISNUMBER(G76),G76&lt;0)</formula>
    </cfRule>
  </conditionalFormatting>
  <conditionalFormatting sqref="G77 I77 K77 M77">
    <cfRule type="expression" priority="14" aboveAverage="0" equalAverage="0" bottom="0" percent="0" rank="0" text="" dxfId="0">
      <formula>AND(ISNUMBER(G77),G77&lt;0)</formula>
    </cfRule>
    <cfRule type="expression" priority="15" aboveAverage="0" equalAverage="0" bottom="0" percent="0" rank="0" text="" dxfId="2">
      <formula>AND(ISNUMBER(G77),G77&gt;0)</formula>
    </cfRule>
  </conditionalFormatting>
  <conditionalFormatting sqref="G78 I78 K78 M78">
    <cfRule type="expression" priority="16" aboveAverage="0" equalAverage="0" bottom="0" percent="0" rank="0" text="" dxfId="0">
      <formula>AND(ISNUMBER(G78),G78&gt;0)</formula>
    </cfRule>
    <cfRule type="expression" priority="17" aboveAverage="0" equalAverage="0" bottom="0" percent="0" rank="0" text="" dxfId="2">
      <formula>AND(ISNUMBER(G78),G78&lt;0)</formula>
    </cfRule>
  </conditionalFormatting>
  <conditionalFormatting sqref="G79 I79 K79 M79">
    <cfRule type="expression" priority="18" aboveAverage="0" equalAverage="0" bottom="0" percent="0" rank="0" text="" dxfId="0">
      <formula>AND(ISNUMBER(G79),G79&gt;0)</formula>
    </cfRule>
    <cfRule type="expression" priority="19" aboveAverage="0" equalAverage="0" bottom="0" percent="0" rank="0" text="" dxfId="2">
      <formula>AND(ISNUMBER(G79),G79&lt;0)</formula>
    </cfRule>
  </conditionalFormatting>
  <conditionalFormatting sqref="G80 I80 K80 M80">
    <cfRule type="expression" priority="20" aboveAverage="0" equalAverage="0" bottom="0" percent="0" rank="0" text="" dxfId="0">
      <formula>AND(ISNUMBER(G80),G80&gt;0)</formula>
    </cfRule>
    <cfRule type="expression" priority="21" aboveAverage="0" equalAverage="0" bottom="0" percent="0" rank="0" text="" dxfId="2">
      <formula>AND(ISNUMBER(G80),G80&lt;0)</formula>
    </cfRule>
  </conditionalFormatting>
  <conditionalFormatting sqref="G81 I81 K81 M81">
    <cfRule type="expression" priority="22" aboveAverage="0" equalAverage="0" bottom="0" percent="0" rank="0" text="" dxfId="0">
      <formula>AND(ISNUMBER(G81),G81&gt;0)</formula>
    </cfRule>
    <cfRule type="expression" priority="23" aboveAverage="0" equalAverage="0" bottom="0" percent="0" rank="0" text="" dxfId="2">
      <formula>AND(ISNUMBER(G81),G81&lt;0)</formula>
    </cfRule>
  </conditionalFormatting>
  <conditionalFormatting sqref="G85 I85 K85 M85">
    <cfRule type="expression" priority="24" aboveAverage="0" equalAverage="0" bottom="0" percent="0" rank="0" text="" dxfId="0">
      <formula>AND(ISNUMBER(G85),G85&gt;0)</formula>
    </cfRule>
    <cfRule type="expression" priority="25" aboveAverage="0" equalAverage="0" bottom="0" percent="0" rank="0" text="" dxfId="2">
      <formula>AND(ISNUMBER(G85),G85&lt;0)</formula>
    </cfRule>
  </conditionalFormatting>
  <conditionalFormatting sqref="G87 I87 K87 M87">
    <cfRule type="expression" priority="26" aboveAverage="0" equalAverage="0" bottom="0" percent="0" rank="0" text="" dxfId="0">
      <formula>AND(ISNUMBER(G87),G87&lt;0)</formula>
    </cfRule>
    <cfRule type="expression" priority="27" aboveAverage="0" equalAverage="0" bottom="0" percent="0" rank="0" text="" dxfId="2">
      <formula>AND(ISNUMBER(G87),G87&gt;0)</formula>
    </cfRule>
  </conditionalFormatting>
  <conditionalFormatting sqref="G89 I89 K89 M89">
    <cfRule type="expression" priority="28" aboveAverage="0" equalAverage="0" bottom="0" percent="0" rank="0" text="" dxfId="0">
      <formula>AND(ISNUMBER(G89),G89&lt;0)</formula>
    </cfRule>
    <cfRule type="expression" priority="29" aboveAverage="0" equalAverage="0" bottom="0" percent="0" rank="0" text="" dxfId="2">
      <formula>AND(ISNUMBER(G89),G89&gt;0)</formula>
    </cfRule>
  </conditionalFormatting>
  <conditionalFormatting sqref="G90 I90 K90 M90">
    <cfRule type="expression" priority="30" aboveAverage="0" equalAverage="0" bottom="0" percent="0" rank="0" text="" dxfId="0">
      <formula>AND(ISNUMBER(G90),G90&gt;0)</formula>
    </cfRule>
    <cfRule type="expression" priority="31" aboveAverage="0" equalAverage="0" bottom="0" percent="0" rank="0" text="" dxfId="2">
      <formula>AND(ISNUMBER(G90),G90&lt;0)</formula>
    </cfRule>
  </conditionalFormatting>
  <conditionalFormatting sqref="G91 I91 K91 M91">
    <cfRule type="expression" priority="32" aboveAverage="0" equalAverage="0" bottom="0" percent="0" rank="0" text="" dxfId="0">
      <formula>AND(ISNUMBER(G91),G91&gt;0)</formula>
    </cfRule>
    <cfRule type="expression" priority="33" aboveAverage="0" equalAverage="0" bottom="0" percent="0" rank="0" text="" dxfId="2">
      <formula>AND(ISNUMBER(G91),G91&lt;0)</formula>
    </cfRule>
  </conditionalFormatting>
  <conditionalFormatting sqref="G92 I92 K92 M92">
    <cfRule type="expression" priority="34" aboveAverage="0" equalAverage="0" bottom="0" percent="0" rank="0" text="" dxfId="0">
      <formula>AND(ISNUMBER(G92),G92&gt;0)</formula>
    </cfRule>
    <cfRule type="expression" priority="35" aboveAverage="0" equalAverage="0" bottom="0" percent="0" rank="0" text="" dxfId="2">
      <formula>AND(ISNUMBER(G92),G92&lt;0)</formula>
    </cfRule>
  </conditionalFormatting>
  <conditionalFormatting sqref="G93 I93 K93 M93">
    <cfRule type="expression" priority="36" aboveAverage="0" equalAverage="0" bottom="0" percent="0" rank="0" text="" dxfId="0">
      <formula>AND(ISNUMBER(G93),G93&gt;0)</formula>
    </cfRule>
    <cfRule type="expression" priority="37" aboveAverage="0" equalAverage="0" bottom="0" percent="0" rank="0" text="" dxfId="2">
      <formula>AND(ISNUMBER(G93),G93&lt;0)</formula>
    </cfRule>
  </conditionalFormatting>
  <conditionalFormatting sqref="G94 I94 K94 M94">
    <cfRule type="expression" priority="38" aboveAverage="0" equalAverage="0" bottom="0" percent="0" rank="0" text="" dxfId="0">
      <formula>AND(ISNUMBER(G94),G94&gt;0)</formula>
    </cfRule>
    <cfRule type="expression" priority="39" aboveAverage="0" equalAverage="0" bottom="0" percent="0" rank="0" text="" dxfId="2">
      <formula>AND(ISNUMBER(G94),G94&lt;0)</formula>
    </cfRule>
  </conditionalFormatting>
  <conditionalFormatting sqref="G95 I95 K95 M95">
    <cfRule type="expression" priority="40" aboveAverage="0" equalAverage="0" bottom="0" percent="0" rank="0" text="" dxfId="0">
      <formula>AND(ISNUMBER(G95),G95&gt;0)</formula>
    </cfRule>
    <cfRule type="expression" priority="41" aboveAverage="0" equalAverage="0" bottom="0" percent="0" rank="0" text="" dxfId="2">
      <formula>AND(ISNUMBER(G95),G95&lt;0)</formula>
    </cfRule>
  </conditionalFormatting>
  <conditionalFormatting sqref="G96 I96 K96 M96">
    <cfRule type="expression" priority="42" aboveAverage="0" equalAverage="0" bottom="0" percent="0" rank="0" text="" dxfId="0">
      <formula>AND(ISNUMBER(G96),G96&gt;0)</formula>
    </cfRule>
    <cfRule type="expression" priority="43" aboveAverage="0" equalAverage="0" bottom="0" percent="0" rank="0" text="" dxfId="2">
      <formula>AND(ISNUMBER(G96),G96&lt;0)</formula>
    </cfRule>
  </conditionalFormatting>
  <conditionalFormatting sqref="G100 I100 K100 M100">
    <cfRule type="expression" priority="44" aboveAverage="0" equalAverage="0" bottom="0" percent="0" rank="0" text="" dxfId="0">
      <formula>AND(ISNUMBER(G100),G100&gt;0)</formula>
    </cfRule>
    <cfRule type="expression" priority="45" aboveAverage="0" equalAverage="0" bottom="0" percent="0" rank="0" text="" dxfId="2">
      <formula>AND(ISNUMBER(G100),G100&lt;0)</formula>
    </cfRule>
  </conditionalFormatting>
  <conditionalFormatting sqref="G102 I102 K102 M102">
    <cfRule type="expression" priority="46" aboveAverage="0" equalAverage="0" bottom="0" percent="0" rank="0" text="" dxfId="0">
      <formula>AND(ISNUMBER(G102),G102&lt;0)</formula>
    </cfRule>
    <cfRule type="expression" priority="47" aboveAverage="0" equalAverage="0" bottom="0" percent="0" rank="0" text="" dxfId="2">
      <formula>AND(ISNUMBER(G102),G102&gt;0)</formula>
    </cfRule>
  </conditionalFormatting>
  <conditionalFormatting sqref="G104 I104 K104 M104">
    <cfRule type="expression" priority="48" aboveAverage="0" equalAverage="0" bottom="0" percent="0" rank="0" text="" dxfId="0">
      <formula>AND(ISNUMBER(G104),G104&lt;0)</formula>
    </cfRule>
    <cfRule type="expression" priority="49" aboveAverage="0" equalAverage="0" bottom="0" percent="0" rank="0" text="" dxfId="2">
      <formula>AND(ISNUMBER(G104),G104&gt;0)</formula>
    </cfRule>
  </conditionalFormatting>
  <conditionalFormatting sqref="G105 I105 K105 M105">
    <cfRule type="expression" priority="50" aboveAverage="0" equalAverage="0" bottom="0" percent="0" rank="0" text="" dxfId="0">
      <formula>AND(ISNUMBER(G105),G105&gt;0)</formula>
    </cfRule>
    <cfRule type="expression" priority="51" aboveAverage="0" equalAverage="0" bottom="0" percent="0" rank="0" text="" dxfId="2">
      <formula>AND(ISNUMBER(G105),G105&lt;0)</formula>
    </cfRule>
  </conditionalFormatting>
  <conditionalFormatting sqref="G106 I106 K106 M106">
    <cfRule type="expression" priority="52" aboveAverage="0" equalAverage="0" bottom="0" percent="0" rank="0" text="" dxfId="0">
      <formula>AND(ISNUMBER(G106),G106&gt;0)</formula>
    </cfRule>
    <cfRule type="expression" priority="53" aboveAverage="0" equalAverage="0" bottom="0" percent="0" rank="0" text="" dxfId="2">
      <formula>AND(ISNUMBER(G106),G106&lt;0)</formula>
    </cfRule>
  </conditionalFormatting>
  <conditionalFormatting sqref="G107 I107 K107 M107">
    <cfRule type="expression" priority="54" aboveAverage="0" equalAverage="0" bottom="0" percent="0" rank="0" text="" dxfId="0">
      <formula>AND(ISNUMBER(G107),G107&gt;0)</formula>
    </cfRule>
    <cfRule type="expression" priority="55" aboveAverage="0" equalAverage="0" bottom="0" percent="0" rank="0" text="" dxfId="2">
      <formula>AND(ISNUMBER(G107),G107&lt;0)</formula>
    </cfRule>
  </conditionalFormatting>
  <conditionalFormatting sqref="G108 I108 K108 M108">
    <cfRule type="expression" priority="56" aboveAverage="0" equalAverage="0" bottom="0" percent="0" rank="0" text="" dxfId="0">
      <formula>AND(ISNUMBER(G108),G108&gt;0)</formula>
    </cfRule>
    <cfRule type="expression" priority="57" aboveAverage="0" equalAverage="0" bottom="0" percent="0" rank="0" text="" dxfId="2">
      <formula>AND(ISNUMBER(G108),G108&lt;0)</formula>
    </cfRule>
  </conditionalFormatting>
  <conditionalFormatting sqref="G109 I109 K109 M109">
    <cfRule type="expression" priority="58" aboveAverage="0" equalAverage="0" bottom="0" percent="0" rank="0" text="" dxfId="0">
      <formula>AND(ISNUMBER(G109),G109&gt;0)</formula>
    </cfRule>
    <cfRule type="expression" priority="59" aboveAverage="0" equalAverage="0" bottom="0" percent="0" rank="0" text="" dxfId="2">
      <formula>AND(ISNUMBER(G109),G109&lt;0)</formula>
    </cfRule>
  </conditionalFormatting>
  <conditionalFormatting sqref="G110 I110 K110 M110">
    <cfRule type="expression" priority="60" aboveAverage="0" equalAverage="0" bottom="0" percent="0" rank="0" text="" dxfId="0">
      <formula>AND(ISNUMBER(G110),G110&gt;0)</formula>
    </cfRule>
    <cfRule type="expression" priority="61" aboveAverage="0" equalAverage="0" bottom="0" percent="0" rank="0" text="" dxfId="2">
      <formula>AND(ISNUMBER(G110),G110&lt;0)</formula>
    </cfRule>
  </conditionalFormatting>
  <conditionalFormatting sqref="D65">
    <cfRule type="expression" priority="62" aboveAverage="0" equalAverage="0" bottom="0" percent="0" rank="0" text="" dxfId="0">
      <formula>AND(ISNUMBER(D65),ISNUMBER(D66),D65&gt;=D66)</formula>
    </cfRule>
    <cfRule type="expression" priority="63" aboveAverage="0" equalAverage="0" bottom="0" percent="0" rank="0" text="" dxfId="1">
      <formula>AND(ISNUMBER(D65),ISNUMBER(D66),D65&lt;D66)</formula>
    </cfRule>
  </conditionalFormatting>
  <conditionalFormatting sqref="F65">
    <cfRule type="expression" priority="64" aboveAverage="0" equalAverage="0" bottom="0" percent="0" rank="0" text="" dxfId="0">
      <formula>AND(ISNUMBER(F65),ISNUMBER(F66),F65&gt;=F66)</formula>
    </cfRule>
    <cfRule type="expression" priority="65" aboveAverage="0" equalAverage="0" bottom="0" percent="0" rank="0" text="" dxfId="1">
      <formula>AND(ISNUMBER(F65),ISNUMBER(F66),F65&lt;F66)</formula>
    </cfRule>
  </conditionalFormatting>
  <conditionalFormatting sqref="H65">
    <cfRule type="expression" priority="66" aboveAverage="0" equalAverage="0" bottom="0" percent="0" rank="0" text="" dxfId="0">
      <formula>AND(ISNUMBER(H65),ISNUMBER(H66),H65&gt;=H66)</formula>
    </cfRule>
    <cfRule type="expression" priority="67" aboveAverage="0" equalAverage="0" bottom="0" percent="0" rank="0" text="" dxfId="1">
      <formula>AND(ISNUMBER(H65),ISNUMBER(H66),H65&lt;H66)</formula>
    </cfRule>
  </conditionalFormatting>
  <conditionalFormatting sqref="J65">
    <cfRule type="expression" priority="68" aboveAverage="0" equalAverage="0" bottom="0" percent="0" rank="0" text="" dxfId="0">
      <formula>AND(ISNUMBER(J65),ISNUMBER(J66),J65&gt;=J66)</formula>
    </cfRule>
    <cfRule type="expression" priority="69" aboveAverage="0" equalAverage="0" bottom="0" percent="0" rank="0" text="" dxfId="1">
      <formula>AND(ISNUMBER(J65),ISNUMBER(J66),J65&lt;J66)</formula>
    </cfRule>
  </conditionalFormatting>
  <conditionalFormatting sqref="L65">
    <cfRule type="expression" priority="70" aboveAverage="0" equalAverage="0" bottom="0" percent="0" rank="0" text="" dxfId="0">
      <formula>AND(ISNUMBER(L65),ISNUMBER(L66),L65&gt;=L66)</formula>
    </cfRule>
    <cfRule type="expression" priority="71" aboveAverage="0" equalAverage="0" bottom="0" percent="0" rank="0" text="" dxfId="1">
      <formula>AND(ISNUMBER(L65),ISNUMBER(L66),L65&lt;L66)</formula>
    </cfRule>
  </conditionalFormatting>
  <conditionalFormatting sqref="D67">
    <cfRule type="expression" priority="72" aboveAverage="0" equalAverage="0" bottom="0" percent="0" rank="0" text="" dxfId="0">
      <formula>AND(ISNUMBER(D67),ISNUMBER(D68),D67&gt;=D68)</formula>
    </cfRule>
    <cfRule type="expression" priority="73" aboveAverage="0" equalAverage="0" bottom="0" percent="0" rank="0" text="" dxfId="1">
      <formula>AND(ISNUMBER(D67),ISNUMBER(D68),D67&lt;D68)</formula>
    </cfRule>
  </conditionalFormatting>
  <conditionalFormatting sqref="F67">
    <cfRule type="expression" priority="74" aboveAverage="0" equalAverage="0" bottom="0" percent="0" rank="0" text="" dxfId="0">
      <formula>AND(ISNUMBER(F67),ISNUMBER(F68),F67&gt;=F68)</formula>
    </cfRule>
    <cfRule type="expression" priority="75" aboveAverage="0" equalAverage="0" bottom="0" percent="0" rank="0" text="" dxfId="1">
      <formula>AND(ISNUMBER(F67),ISNUMBER(F68),F67&lt;F68)</formula>
    </cfRule>
  </conditionalFormatting>
  <conditionalFormatting sqref="H67">
    <cfRule type="expression" priority="76" aboveAverage="0" equalAverage="0" bottom="0" percent="0" rank="0" text="" dxfId="0">
      <formula>AND(ISNUMBER(H67),ISNUMBER(H68),H67&gt;=H68)</formula>
    </cfRule>
    <cfRule type="expression" priority="77" aboveAverage="0" equalAverage="0" bottom="0" percent="0" rank="0" text="" dxfId="1">
      <formula>AND(ISNUMBER(H67),ISNUMBER(H68),H67&lt;H68)</formula>
    </cfRule>
  </conditionalFormatting>
  <conditionalFormatting sqref="J67">
    <cfRule type="expression" priority="78" aboveAverage="0" equalAverage="0" bottom="0" percent="0" rank="0" text="" dxfId="0">
      <formula>AND(ISNUMBER(J67),ISNUMBER(J68),J67&gt;=J68)</formula>
    </cfRule>
    <cfRule type="expression" priority="79" aboveAverage="0" equalAverage="0" bottom="0" percent="0" rank="0" text="" dxfId="1">
      <formula>AND(ISNUMBER(J67),ISNUMBER(J68),J67&lt;J68)</formula>
    </cfRule>
  </conditionalFormatting>
  <conditionalFormatting sqref="L67">
    <cfRule type="expression" priority="80" aboveAverage="0" equalAverage="0" bottom="0" percent="0" rank="0" text="" dxfId="0">
      <formula>AND(ISNUMBER(L67),ISNUMBER(L68),L67&gt;=L68)</formula>
    </cfRule>
    <cfRule type="expression" priority="81" aboveAverage="0" equalAverage="0" bottom="0" percent="0" rank="0" text="" dxfId="1">
      <formula>AND(ISNUMBER(L67),ISNUMBER(L68),L67&lt;L68)</formula>
    </cfRule>
  </conditionalFormatting>
  <conditionalFormatting sqref="D69">
    <cfRule type="expression" priority="82" aboveAverage="0" equalAverage="0" bottom="0" percent="0" rank="0" text="" dxfId="0">
      <formula>AND(ISNUMBER(D69),ISNUMBER(D70),D69&gt;=D70)</formula>
    </cfRule>
    <cfRule type="expression" priority="83" aboveAverage="0" equalAverage="0" bottom="0" percent="0" rank="0" text="" dxfId="1">
      <formula>AND(ISNUMBER(D69),ISNUMBER(D70),D69&lt;D70)</formula>
    </cfRule>
  </conditionalFormatting>
  <conditionalFormatting sqref="F69">
    <cfRule type="expression" priority="84" aboveAverage="0" equalAverage="0" bottom="0" percent="0" rank="0" text="" dxfId="0">
      <formula>AND(ISNUMBER(F69),ISNUMBER(F70),F69&gt;=F70)</formula>
    </cfRule>
    <cfRule type="expression" priority="85" aboveAverage="0" equalAverage="0" bottom="0" percent="0" rank="0" text="" dxfId="1">
      <formula>AND(ISNUMBER(F69),ISNUMBER(F70),F69&lt;F70)</formula>
    </cfRule>
  </conditionalFormatting>
  <conditionalFormatting sqref="H69">
    <cfRule type="expression" priority="86" aboveAverage="0" equalAverage="0" bottom="0" percent="0" rank="0" text="" dxfId="0">
      <formula>AND(ISNUMBER(H69),ISNUMBER(H70),H69&gt;=H70)</formula>
    </cfRule>
    <cfRule type="expression" priority="87" aboveAverage="0" equalAverage="0" bottom="0" percent="0" rank="0" text="" dxfId="1">
      <formula>AND(ISNUMBER(H69),ISNUMBER(H70),H69&lt;H70)</formula>
    </cfRule>
  </conditionalFormatting>
  <conditionalFormatting sqref="J69">
    <cfRule type="expression" priority="88" aboveAverage="0" equalAverage="0" bottom="0" percent="0" rank="0" text="" dxfId="0">
      <formula>AND(ISNUMBER(J69),ISNUMBER(J70),J69&gt;=J70)</formula>
    </cfRule>
    <cfRule type="expression" priority="89" aboveAverage="0" equalAverage="0" bottom="0" percent="0" rank="0" text="" dxfId="1">
      <formula>AND(ISNUMBER(J69),ISNUMBER(J70),J69&lt;J70)</formula>
    </cfRule>
  </conditionalFormatting>
  <conditionalFormatting sqref="L69">
    <cfRule type="expression" priority="90" aboveAverage="0" equalAverage="0" bottom="0" percent="0" rank="0" text="" dxfId="0">
      <formula>AND(ISNUMBER(L69),ISNUMBER(L70),L69&gt;=L70)</formula>
    </cfRule>
    <cfRule type="expression" priority="91" aboveAverage="0" equalAverage="0" bottom="0" percent="0" rank="0" text="" dxfId="1">
      <formula>AND(ISNUMBER(L69),ISNUMBER(L70),L69&lt;L70)</formula>
    </cfRule>
  </conditionalFormatting>
  <conditionalFormatting sqref="D74">
    <cfRule type="expression" priority="92" aboveAverage="0" equalAverage="0" bottom="0" percent="0" rank="0" text="" dxfId="0">
      <formula>AND(ISNUMBER(D74),ISNUMBER(D75),D74&gt;=D75)</formula>
    </cfRule>
    <cfRule type="expression" priority="93" aboveAverage="0" equalAverage="0" bottom="0" percent="0" rank="0" text="" dxfId="1">
      <formula>AND(ISNUMBER(D74),ISNUMBER(D75),D74&lt;D75)</formula>
    </cfRule>
  </conditionalFormatting>
  <conditionalFormatting sqref="F74">
    <cfRule type="expression" priority="94" aboveAverage="0" equalAverage="0" bottom="0" percent="0" rank="0" text="" dxfId="0">
      <formula>AND(ISNUMBER(F74),ISNUMBER(F75),F74&gt;=F75)</formula>
    </cfRule>
    <cfRule type="expression" priority="95" aboveAverage="0" equalAverage="0" bottom="0" percent="0" rank="0" text="" dxfId="1">
      <formula>AND(ISNUMBER(F74),ISNUMBER(F75),F74&lt;F75)</formula>
    </cfRule>
  </conditionalFormatting>
  <conditionalFormatting sqref="H74">
    <cfRule type="expression" priority="96" aboveAverage="0" equalAverage="0" bottom="0" percent="0" rank="0" text="" dxfId="0">
      <formula>AND(ISNUMBER(H74),ISNUMBER(H75),H74&gt;=H75)</formula>
    </cfRule>
    <cfRule type="expression" priority="97" aboveAverage="0" equalAverage="0" bottom="0" percent="0" rank="0" text="" dxfId="1">
      <formula>AND(ISNUMBER(H74),ISNUMBER(H75),H74&lt;H75)</formula>
    </cfRule>
  </conditionalFormatting>
  <conditionalFormatting sqref="J74">
    <cfRule type="expression" priority="98" aboveAverage="0" equalAverage="0" bottom="0" percent="0" rank="0" text="" dxfId="0">
      <formula>AND(ISNUMBER(J74),ISNUMBER(J75),J74&gt;=J75)</formula>
    </cfRule>
    <cfRule type="expression" priority="99" aboveAverage="0" equalAverage="0" bottom="0" percent="0" rank="0" text="" dxfId="1">
      <formula>AND(ISNUMBER(J74),ISNUMBER(J75),J74&lt;J75)</formula>
    </cfRule>
  </conditionalFormatting>
  <conditionalFormatting sqref="L74">
    <cfRule type="expression" priority="100" aboveAverage="0" equalAverage="0" bottom="0" percent="0" rank="0" text="" dxfId="0">
      <formula>AND(ISNUMBER(L74),ISNUMBER(L75),L74&gt;=L75)</formula>
    </cfRule>
    <cfRule type="expression" priority="101" aboveAverage="0" equalAverage="0" bottom="0" percent="0" rank="0" text="" dxfId="1">
      <formula>AND(ISNUMBER(L74),ISNUMBER(L75),L74&lt;L75)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K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7" t="s">
        <v>1394</v>
      </c>
    </row>
    <row r="2" customFormat="false" ht="15" hidden="false" customHeight="false" outlineLevel="0" collapsed="false">
      <c r="A2" s="3" t="s">
        <v>1395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1357</v>
      </c>
      <c r="B5" s="12" t="s">
        <v>1156</v>
      </c>
      <c r="C5" s="12" t="s">
        <v>1325</v>
      </c>
      <c r="D5" s="12" t="s">
        <v>1157</v>
      </c>
      <c r="E5" s="12" t="s">
        <v>1325</v>
      </c>
      <c r="F5" s="12" t="s">
        <v>1158</v>
      </c>
      <c r="G5" s="12" t="s">
        <v>1325</v>
      </c>
      <c r="H5" s="12" t="s">
        <v>1159</v>
      </c>
      <c r="I5" s="12" t="s">
        <v>1325</v>
      </c>
      <c r="J5" s="12" t="s">
        <v>1160</v>
      </c>
      <c r="K5" s="12" t="s">
        <v>1325</v>
      </c>
    </row>
    <row r="6" customFormat="false" ht="15" hidden="false" customHeight="false" outlineLevel="0" collapsed="false">
      <c r="A6" s="78" t="s">
        <v>1396</v>
      </c>
      <c r="B6" s="19" t="n">
        <v>81</v>
      </c>
      <c r="D6" s="19" t="n">
        <v>83</v>
      </c>
      <c r="E6" s="68" t="n">
        <f aca="false">IF(AND(ISNUMBER(D6),ISNUMBER(B6)),D6-B6,"")</f>
        <v>2</v>
      </c>
      <c r="F6" s="19"/>
      <c r="G6" s="68" t="str">
        <f aca="false">IF(AND(ISNUMBER(F6),ISNUMBER(D6)),F6-D6,"")</f>
        <v/>
      </c>
      <c r="H6" s="19"/>
      <c r="I6" s="68" t="str">
        <f aca="false">IF(AND(ISNUMBER(H6),ISNUMBER(F6)),H6-F6,"")</f>
        <v/>
      </c>
      <c r="J6" s="19"/>
      <c r="K6" s="68" t="str">
        <f aca="false">IF(AND(ISNUMBER(J6),ISNUMBER(H6)),J6-H6,"")</f>
        <v/>
      </c>
    </row>
    <row r="7" customFormat="false" ht="15" hidden="false" customHeight="false" outlineLevel="0" collapsed="false">
      <c r="A7" s="78" t="s">
        <v>1397</v>
      </c>
      <c r="B7" s="19" t="n">
        <v>70</v>
      </c>
      <c r="D7" s="19" t="n">
        <v>72</v>
      </c>
      <c r="E7" s="68" t="n">
        <f aca="false">IF(AND(ISNUMBER(D7),ISNUMBER(B7)),D7-B7,"")</f>
        <v>2</v>
      </c>
      <c r="F7" s="19"/>
      <c r="G7" s="68" t="str">
        <f aca="false">IF(AND(ISNUMBER(F7),ISNUMBER(D7)),F7-D7,"")</f>
        <v/>
      </c>
      <c r="H7" s="19"/>
      <c r="I7" s="68" t="str">
        <f aca="false">IF(AND(ISNUMBER(H7),ISNUMBER(F7)),H7-F7,"")</f>
        <v/>
      </c>
      <c r="J7" s="19"/>
      <c r="K7" s="68" t="str">
        <f aca="false">IF(AND(ISNUMBER(J7),ISNUMBER(H7)),J7-H7,"")</f>
        <v/>
      </c>
    </row>
    <row r="8" customFormat="false" ht="15" hidden="false" customHeight="false" outlineLevel="0" collapsed="false">
      <c r="A8" s="4" t="s">
        <v>1398</v>
      </c>
      <c r="B8" s="79" t="n">
        <v>78</v>
      </c>
      <c r="D8" s="79" t="n">
        <v>84</v>
      </c>
      <c r="E8" s="68" t="n">
        <f aca="false">IF(AND(ISNUMBER(D8),ISNUMBER(B8)),D8-B8,"")</f>
        <v>6</v>
      </c>
      <c r="F8" s="79"/>
      <c r="G8" s="68" t="str">
        <f aca="false">IF(AND(ISNUMBER(F8),ISNUMBER(D8)),F8-D8,"")</f>
        <v/>
      </c>
      <c r="H8" s="79"/>
      <c r="I8" s="68" t="str">
        <f aca="false">IF(AND(ISNUMBER(H8),ISNUMBER(F8)),H8-F8,"")</f>
        <v/>
      </c>
      <c r="J8" s="79"/>
      <c r="K8" s="68" t="str">
        <f aca="false">IF(AND(ISNUMBER(J8),ISNUMBER(H8)),J8-H8,"")</f>
        <v/>
      </c>
    </row>
    <row r="9" customFormat="false" ht="15" hidden="false" customHeight="false" outlineLevel="0" collapsed="false">
      <c r="A9" s="78" t="s">
        <v>1399</v>
      </c>
      <c r="B9" s="19" t="n">
        <v>83</v>
      </c>
      <c r="D9" s="19" t="n">
        <v>86</v>
      </c>
      <c r="E9" s="68" t="n">
        <f aca="false">IF(AND(ISNUMBER(D9),ISNUMBER(B9)),D9-B9,"")</f>
        <v>3</v>
      </c>
      <c r="F9" s="19"/>
      <c r="G9" s="68" t="str">
        <f aca="false">IF(AND(ISNUMBER(F9),ISNUMBER(D9)),F9-D9,"")</f>
        <v/>
      </c>
      <c r="H9" s="19"/>
      <c r="I9" s="68" t="str">
        <f aca="false">IF(AND(ISNUMBER(H9),ISNUMBER(F9)),H9-F9,"")</f>
        <v/>
      </c>
      <c r="J9" s="19"/>
      <c r="K9" s="68" t="str">
        <f aca="false">IF(AND(ISNUMBER(J9),ISNUMBER(H9)),J9-H9,"")</f>
        <v/>
      </c>
    </row>
    <row r="10" customFormat="false" ht="15" hidden="false" customHeight="false" outlineLevel="0" collapsed="false">
      <c r="A10" s="78" t="s">
        <v>1400</v>
      </c>
      <c r="B10" s="19" t="n">
        <v>66</v>
      </c>
      <c r="D10" s="19" t="n">
        <v>63</v>
      </c>
      <c r="E10" s="68" t="n">
        <f aca="false">IF(AND(ISNUMBER(D10),ISNUMBER(B10)),D10-B10,"")</f>
        <v>-3</v>
      </c>
      <c r="F10" s="19"/>
      <c r="G10" s="68" t="str">
        <f aca="false">IF(AND(ISNUMBER(F10),ISNUMBER(D10)),F10-D10,"")</f>
        <v/>
      </c>
      <c r="H10" s="19"/>
      <c r="I10" s="68" t="str">
        <f aca="false">IF(AND(ISNUMBER(H10),ISNUMBER(F10)),H10-F10,"")</f>
        <v/>
      </c>
      <c r="J10" s="19"/>
      <c r="K10" s="68" t="str">
        <f aca="false">IF(AND(ISNUMBER(J10),ISNUMBER(H10)),J10-H10,"")</f>
        <v/>
      </c>
    </row>
    <row r="11" customFormat="false" ht="15" hidden="false" customHeight="false" outlineLevel="0" collapsed="false">
      <c r="A11" s="78" t="s">
        <v>1401</v>
      </c>
      <c r="B11" s="19" t="n">
        <v>74</v>
      </c>
      <c r="D11" s="19" t="n">
        <v>75</v>
      </c>
      <c r="E11" s="68" t="n">
        <f aca="false">IF(AND(ISNUMBER(D11),ISNUMBER(B11)),D11-B11,"")</f>
        <v>1</v>
      </c>
      <c r="F11" s="19"/>
      <c r="G11" s="68" t="str">
        <f aca="false">IF(AND(ISNUMBER(F11),ISNUMBER(D11)),F11-D11,"")</f>
        <v/>
      </c>
      <c r="H11" s="19"/>
      <c r="I11" s="68" t="str">
        <f aca="false">IF(AND(ISNUMBER(H11),ISNUMBER(F11)),H11-F11,"")</f>
        <v/>
      </c>
      <c r="J11" s="19"/>
      <c r="K11" s="68" t="str">
        <f aca="false">IF(AND(ISNUMBER(J11),ISNUMBER(H11)),J11-H11,"")</f>
        <v/>
      </c>
    </row>
    <row r="12" customFormat="false" ht="15" hidden="false" customHeight="false" outlineLevel="0" collapsed="false">
      <c r="A12" s="78" t="s">
        <v>1402</v>
      </c>
      <c r="B12" s="19" t="n">
        <v>77</v>
      </c>
      <c r="D12" s="19" t="n">
        <v>80</v>
      </c>
      <c r="E12" s="68" t="n">
        <f aca="false">IF(AND(ISNUMBER(D12),ISNUMBER(B12)),D12-B12,"")</f>
        <v>3</v>
      </c>
      <c r="F12" s="19"/>
      <c r="G12" s="68" t="str">
        <f aca="false">IF(AND(ISNUMBER(F12),ISNUMBER(D12)),F12-D12,"")</f>
        <v/>
      </c>
      <c r="H12" s="19"/>
      <c r="I12" s="68" t="str">
        <f aca="false">IF(AND(ISNUMBER(H12),ISNUMBER(F12)),H12-F12,"")</f>
        <v/>
      </c>
      <c r="J12" s="19"/>
      <c r="K12" s="68" t="str">
        <f aca="false">IF(AND(ISNUMBER(J12),ISNUMBER(H12)),J12-H12,"")</f>
        <v/>
      </c>
    </row>
    <row r="13" customFormat="false" ht="15" hidden="false" customHeight="false" outlineLevel="0" collapsed="false">
      <c r="A13" s="78" t="s">
        <v>1403</v>
      </c>
      <c r="B13" s="19" t="n">
        <v>69</v>
      </c>
      <c r="D13" s="19" t="n">
        <v>67</v>
      </c>
      <c r="E13" s="68" t="n">
        <f aca="false">IF(AND(ISNUMBER(D13),ISNUMBER(B13)),D13-B13,"")</f>
        <v>-2</v>
      </c>
      <c r="F13" s="19"/>
      <c r="G13" s="68" t="str">
        <f aca="false">IF(AND(ISNUMBER(F13),ISNUMBER(D13)),F13-D13,"")</f>
        <v/>
      </c>
      <c r="H13" s="19"/>
      <c r="I13" s="68" t="str">
        <f aca="false">IF(AND(ISNUMBER(H13),ISNUMBER(F13)),H13-F13,"")</f>
        <v/>
      </c>
      <c r="J13" s="19"/>
      <c r="K13" s="68" t="str">
        <f aca="false">IF(AND(ISNUMBER(J13),ISNUMBER(H13)),J13-H13,"")</f>
        <v/>
      </c>
    </row>
    <row r="14" customFormat="false" ht="15" hidden="false" customHeight="false" outlineLevel="0" collapsed="false">
      <c r="A14" s="5" t="s">
        <v>1404</v>
      </c>
      <c r="B14" s="26" t="n">
        <f aca="false">IF(COUNT(B6:B13)=0,"",AVERAGE(B6:B13))</f>
        <v>74.75</v>
      </c>
      <c r="D14" s="26" t="n">
        <f aca="false">IF(COUNT(D6:D13)=0,"",AVERAGE(D6:D13))</f>
        <v>76.25</v>
      </c>
      <c r="F14" s="26" t="str">
        <f aca="false">IF(COUNT(F6:F13)=0,"",AVERAGE(F6:F13))</f>
        <v/>
      </c>
      <c r="H14" s="26" t="str">
        <f aca="false">IF(COUNT(H6:H13)=0,"",AVERAGE(H6:H13))</f>
        <v/>
      </c>
      <c r="J14" s="26" t="str">
        <f aca="false">IF(COUNT(J6:J13)=0,"",AVERAGE(J6:J13))</f>
        <v/>
      </c>
    </row>
    <row r="15" customFormat="false" ht="15" hidden="false" customHeight="false" outlineLevel="0" collapsed="false">
      <c r="A15" s="20" t="s">
        <v>1405</v>
      </c>
      <c r="B15" s="57" t="n">
        <f aca="false">IF(ISNUMBER(B8),RANK(B8,B6:B13,0),"")</f>
        <v>3</v>
      </c>
      <c r="D15" s="57" t="n">
        <f aca="false">IF(ISNUMBER(D8),RANK(D8,D6:D13,0),"")</f>
        <v>2</v>
      </c>
      <c r="E15" s="68" t="n">
        <f aca="false">IF(AND(ISNUMBER(D15),ISNUMBER(B15)),D15-B15,"")</f>
        <v>-1</v>
      </c>
      <c r="F15" s="57" t="str">
        <f aca="false">IF(ISNUMBER(F8),RANK(F8,F6:F13,0),"")</f>
        <v/>
      </c>
      <c r="G15" s="68" t="str">
        <f aca="false">IF(AND(ISNUMBER(F15),ISNUMBER(D15)),F15-D15,"")</f>
        <v/>
      </c>
      <c r="H15" s="57" t="str">
        <f aca="false">IF(ISNUMBER(H8),RANK(H8,H6:H13,0),"")</f>
        <v/>
      </c>
      <c r="I15" s="68" t="str">
        <f aca="false">IF(AND(ISNUMBER(H15),ISNUMBER(F15)),H15-F15,"")</f>
        <v/>
      </c>
      <c r="J15" s="57" t="str">
        <f aca="false">IF(ISNUMBER(J8),RANK(J8,J6:J13,0),"")</f>
        <v/>
      </c>
      <c r="K15" s="68" t="str">
        <f aca="false">IF(AND(ISNUMBER(J15),ISNUMBER(H15)),J15-H15,"")</f>
        <v/>
      </c>
    </row>
    <row r="17" customFormat="false" ht="30" hidden="false" customHeight="true" outlineLevel="0" collapsed="false">
      <c r="A17" s="12" t="s">
        <v>446</v>
      </c>
      <c r="B17" s="12" t="s">
        <v>1156</v>
      </c>
      <c r="C17" s="12" t="s">
        <v>1325</v>
      </c>
      <c r="D17" s="12" t="s">
        <v>1157</v>
      </c>
      <c r="E17" s="12" t="s">
        <v>1325</v>
      </c>
      <c r="F17" s="12" t="s">
        <v>1158</v>
      </c>
      <c r="G17" s="12" t="s">
        <v>1325</v>
      </c>
      <c r="H17" s="12" t="s">
        <v>1159</v>
      </c>
      <c r="I17" s="12" t="s">
        <v>1325</v>
      </c>
      <c r="J17" s="12" t="s">
        <v>1160</v>
      </c>
      <c r="K17" s="12" t="s">
        <v>1325</v>
      </c>
    </row>
    <row r="18" customFormat="false" ht="15" hidden="false" customHeight="false" outlineLevel="0" collapsed="false">
      <c r="A18" s="78" t="s">
        <v>1396</v>
      </c>
      <c r="B18" s="19" t="n">
        <v>2</v>
      </c>
      <c r="D18" s="19" t="n">
        <v>3</v>
      </c>
      <c r="E18" s="68" t="n">
        <f aca="false">IF(AND(ISNUMBER(D18),ISNUMBER(B18)),D18-B18,"")</f>
        <v>1</v>
      </c>
      <c r="F18" s="19"/>
      <c r="G18" s="68" t="str">
        <f aca="false">IF(AND(ISNUMBER(F18),ISNUMBER(D18)),F18-D18,"")</f>
        <v/>
      </c>
      <c r="H18" s="19"/>
      <c r="I18" s="68" t="str">
        <f aca="false">IF(AND(ISNUMBER(H18),ISNUMBER(F18)),H18-F18,"")</f>
        <v/>
      </c>
      <c r="J18" s="19"/>
      <c r="K18" s="68" t="str">
        <f aca="false">IF(AND(ISNUMBER(J18),ISNUMBER(H18)),J18-H18,"")</f>
        <v/>
      </c>
    </row>
    <row r="19" customFormat="false" ht="15" hidden="false" customHeight="false" outlineLevel="0" collapsed="false">
      <c r="A19" s="78" t="s">
        <v>1397</v>
      </c>
      <c r="B19" s="19" t="n">
        <v>6</v>
      </c>
      <c r="D19" s="19" t="n">
        <v>6</v>
      </c>
      <c r="E19" s="68" t="n">
        <f aca="false">IF(AND(ISNUMBER(D19),ISNUMBER(B19)),D19-B19,"")</f>
        <v>0</v>
      </c>
      <c r="F19" s="19"/>
      <c r="G19" s="68" t="str">
        <f aca="false">IF(AND(ISNUMBER(F19),ISNUMBER(D19)),F19-D19,"")</f>
        <v/>
      </c>
      <c r="H19" s="19"/>
      <c r="I19" s="68" t="str">
        <f aca="false">IF(AND(ISNUMBER(H19),ISNUMBER(F19)),H19-F19,"")</f>
        <v/>
      </c>
      <c r="J19" s="19"/>
      <c r="K19" s="68" t="str">
        <f aca="false">IF(AND(ISNUMBER(J19),ISNUMBER(H19)),J19-H19,"")</f>
        <v/>
      </c>
    </row>
    <row r="20" customFormat="false" ht="15" hidden="false" customHeight="false" outlineLevel="0" collapsed="false">
      <c r="A20" s="4" t="s">
        <v>1398</v>
      </c>
      <c r="B20" s="79" t="n">
        <v>3</v>
      </c>
      <c r="D20" s="79" t="n">
        <v>2</v>
      </c>
      <c r="E20" s="68" t="n">
        <f aca="false">IF(AND(ISNUMBER(D20),ISNUMBER(B20)),D20-B20,"")</f>
        <v>-1</v>
      </c>
      <c r="F20" s="79"/>
      <c r="G20" s="68" t="str">
        <f aca="false">IF(AND(ISNUMBER(F20),ISNUMBER(D20)),F20-D20,"")</f>
        <v/>
      </c>
      <c r="H20" s="79"/>
      <c r="I20" s="68" t="str">
        <f aca="false">IF(AND(ISNUMBER(H20),ISNUMBER(F20)),H20-F20,"")</f>
        <v/>
      </c>
      <c r="J20" s="79"/>
      <c r="K20" s="68" t="str">
        <f aca="false">IF(AND(ISNUMBER(J20),ISNUMBER(H20)),J20-H20,"")</f>
        <v/>
      </c>
    </row>
    <row r="21" customFormat="false" ht="15" hidden="false" customHeight="false" outlineLevel="0" collapsed="false">
      <c r="A21" s="78" t="s">
        <v>1399</v>
      </c>
      <c r="B21" s="19" t="n">
        <v>1</v>
      </c>
      <c r="D21" s="19" t="n">
        <v>1</v>
      </c>
      <c r="E21" s="68" t="n">
        <f aca="false">IF(AND(ISNUMBER(D21),ISNUMBER(B21)),D21-B21,"")</f>
        <v>0</v>
      </c>
      <c r="F21" s="19"/>
      <c r="G21" s="68" t="str">
        <f aca="false">IF(AND(ISNUMBER(F21),ISNUMBER(D21)),F21-D21,"")</f>
        <v/>
      </c>
      <c r="H21" s="19"/>
      <c r="I21" s="68" t="str">
        <f aca="false">IF(AND(ISNUMBER(H21),ISNUMBER(F21)),H21-F21,"")</f>
        <v/>
      </c>
      <c r="J21" s="19"/>
      <c r="K21" s="68" t="str">
        <f aca="false">IF(AND(ISNUMBER(J21),ISNUMBER(H21)),J21-H21,"")</f>
        <v/>
      </c>
    </row>
    <row r="22" customFormat="false" ht="15" hidden="false" customHeight="false" outlineLevel="0" collapsed="false">
      <c r="A22" s="78" t="s">
        <v>1400</v>
      </c>
      <c r="B22" s="19" t="n">
        <v>8</v>
      </c>
      <c r="D22" s="19" t="n">
        <v>8</v>
      </c>
      <c r="E22" s="68" t="n">
        <f aca="false">IF(AND(ISNUMBER(D22),ISNUMBER(B22)),D22-B22,"")</f>
        <v>0</v>
      </c>
      <c r="F22" s="19"/>
      <c r="G22" s="68" t="str">
        <f aca="false">IF(AND(ISNUMBER(F22),ISNUMBER(D22)),F22-D22,"")</f>
        <v/>
      </c>
      <c r="H22" s="19"/>
      <c r="I22" s="68" t="str">
        <f aca="false">IF(AND(ISNUMBER(H22),ISNUMBER(F22)),H22-F22,"")</f>
        <v/>
      </c>
      <c r="J22" s="19"/>
      <c r="K22" s="68" t="str">
        <f aca="false">IF(AND(ISNUMBER(J22),ISNUMBER(H22)),J22-H22,"")</f>
        <v/>
      </c>
    </row>
    <row r="23" customFormat="false" ht="15" hidden="false" customHeight="false" outlineLevel="0" collapsed="false">
      <c r="A23" s="78" t="s">
        <v>1401</v>
      </c>
      <c r="B23" s="19" t="n">
        <v>5</v>
      </c>
      <c r="D23" s="19" t="n">
        <v>5</v>
      </c>
      <c r="E23" s="68" t="n">
        <f aca="false">IF(AND(ISNUMBER(D23),ISNUMBER(B23)),D23-B23,"")</f>
        <v>0</v>
      </c>
      <c r="F23" s="19"/>
      <c r="G23" s="68" t="str">
        <f aca="false">IF(AND(ISNUMBER(F23),ISNUMBER(D23)),F23-D23,"")</f>
        <v/>
      </c>
      <c r="H23" s="19"/>
      <c r="I23" s="68" t="str">
        <f aca="false">IF(AND(ISNUMBER(H23),ISNUMBER(F23)),H23-F23,"")</f>
        <v/>
      </c>
      <c r="J23" s="19"/>
      <c r="K23" s="68" t="str">
        <f aca="false">IF(AND(ISNUMBER(J23),ISNUMBER(H23)),J23-H23,"")</f>
        <v/>
      </c>
    </row>
    <row r="24" customFormat="false" ht="15" hidden="false" customHeight="false" outlineLevel="0" collapsed="false">
      <c r="A24" s="78" t="s">
        <v>1402</v>
      </c>
      <c r="B24" s="19" t="n">
        <v>4</v>
      </c>
      <c r="D24" s="19" t="n">
        <v>4</v>
      </c>
      <c r="E24" s="68" t="n">
        <f aca="false">IF(AND(ISNUMBER(D24),ISNUMBER(B24)),D24-B24,"")</f>
        <v>0</v>
      </c>
      <c r="F24" s="19"/>
      <c r="G24" s="68" t="str">
        <f aca="false">IF(AND(ISNUMBER(F24),ISNUMBER(D24)),F24-D24,"")</f>
        <v/>
      </c>
      <c r="H24" s="19"/>
      <c r="I24" s="68" t="str">
        <f aca="false">IF(AND(ISNUMBER(H24),ISNUMBER(F24)),H24-F24,"")</f>
        <v/>
      </c>
      <c r="J24" s="19"/>
      <c r="K24" s="68" t="str">
        <f aca="false">IF(AND(ISNUMBER(J24),ISNUMBER(H24)),J24-H24,"")</f>
        <v/>
      </c>
    </row>
    <row r="25" customFormat="false" ht="15" hidden="false" customHeight="false" outlineLevel="0" collapsed="false">
      <c r="A25" s="78" t="s">
        <v>1403</v>
      </c>
      <c r="B25" s="19" t="n">
        <v>7</v>
      </c>
      <c r="D25" s="19" t="n">
        <v>7</v>
      </c>
      <c r="E25" s="68" t="n">
        <f aca="false">IF(AND(ISNUMBER(D25),ISNUMBER(B25)),D25-B25,"")</f>
        <v>0</v>
      </c>
      <c r="F25" s="19"/>
      <c r="G25" s="68" t="str">
        <f aca="false">IF(AND(ISNUMBER(F25),ISNUMBER(D25)),F25-D25,"")</f>
        <v/>
      </c>
      <c r="H25" s="19"/>
      <c r="I25" s="68" t="str">
        <f aca="false">IF(AND(ISNUMBER(H25),ISNUMBER(F25)),H25-F25,"")</f>
        <v/>
      </c>
      <c r="J25" s="19"/>
      <c r="K25" s="68" t="str">
        <f aca="false">IF(AND(ISNUMBER(J25),ISNUMBER(H25)),J25-H25,"")</f>
        <v/>
      </c>
    </row>
    <row r="26" customFormat="false" ht="15" hidden="false" customHeight="false" outlineLevel="0" collapsed="false">
      <c r="A26" s="5" t="s">
        <v>1404</v>
      </c>
      <c r="B26" s="26" t="n">
        <f aca="false">IF(COUNT(B18:B25)=0,"",AVERAGE(B18:B25))</f>
        <v>4.5</v>
      </c>
      <c r="D26" s="26" t="n">
        <f aca="false">IF(COUNT(D18:D25)=0,"",AVERAGE(D18:D25))</f>
        <v>4.5</v>
      </c>
      <c r="F26" s="26" t="str">
        <f aca="false">IF(COUNT(F18:F25)=0,"",AVERAGE(F18:F25))</f>
        <v/>
      </c>
      <c r="H26" s="26" t="str">
        <f aca="false">IF(COUNT(H18:H25)=0,"",AVERAGE(H18:H25))</f>
        <v/>
      </c>
      <c r="J26" s="26" t="str">
        <f aca="false">IF(COUNT(J18:J25)=0,"",AVERAGE(J18:J25))</f>
        <v/>
      </c>
    </row>
    <row r="28" customFormat="false" ht="30" hidden="false" customHeight="true" outlineLevel="0" collapsed="false">
      <c r="A28" s="12" t="s">
        <v>1406</v>
      </c>
      <c r="B28" s="12" t="s">
        <v>1156</v>
      </c>
      <c r="C28" s="12" t="s">
        <v>1325</v>
      </c>
      <c r="D28" s="12" t="s">
        <v>1157</v>
      </c>
      <c r="E28" s="12" t="s">
        <v>1325</v>
      </c>
      <c r="F28" s="12" t="s">
        <v>1158</v>
      </c>
      <c r="G28" s="12" t="s">
        <v>1325</v>
      </c>
      <c r="H28" s="12" t="s">
        <v>1159</v>
      </c>
      <c r="I28" s="12" t="s">
        <v>1325</v>
      </c>
      <c r="J28" s="12" t="s">
        <v>1160</v>
      </c>
      <c r="K28" s="12" t="s">
        <v>1325</v>
      </c>
    </row>
    <row r="29" customFormat="false" ht="15" hidden="false" customHeight="false" outlineLevel="0" collapsed="false">
      <c r="A29" s="78" t="s">
        <v>1396</v>
      </c>
      <c r="B29" s="76" t="n">
        <v>2.05</v>
      </c>
      <c r="D29" s="76" t="n">
        <v>2.18</v>
      </c>
      <c r="E29" s="77" t="n">
        <f aca="false">IF(AND(ISNUMBER(D29),ISNUMBER(B29)),D29-B29,"")</f>
        <v>0.13</v>
      </c>
      <c r="F29" s="76"/>
      <c r="G29" s="77" t="str">
        <f aca="false">IF(AND(ISNUMBER(F29),ISNUMBER(D29)),F29-D29,"")</f>
        <v/>
      </c>
      <c r="H29" s="76"/>
      <c r="I29" s="77" t="str">
        <f aca="false">IF(AND(ISNUMBER(H29),ISNUMBER(F29)),H29-F29,"")</f>
        <v/>
      </c>
      <c r="J29" s="76"/>
      <c r="K29" s="77" t="str">
        <f aca="false">IF(AND(ISNUMBER(J29),ISNUMBER(H29)),J29-H29,"")</f>
        <v/>
      </c>
    </row>
    <row r="30" customFormat="false" ht="15" hidden="false" customHeight="false" outlineLevel="0" collapsed="false">
      <c r="A30" s="78" t="s">
        <v>1397</v>
      </c>
      <c r="B30" s="76" t="n">
        <v>1.52</v>
      </c>
      <c r="D30" s="76" t="n">
        <v>1.6</v>
      </c>
      <c r="E30" s="77" t="n">
        <f aca="false">IF(AND(ISNUMBER(D30),ISNUMBER(B30)),D30-B30,"")</f>
        <v>0.0800000000000001</v>
      </c>
      <c r="F30" s="76"/>
      <c r="G30" s="77" t="str">
        <f aca="false">IF(AND(ISNUMBER(F30),ISNUMBER(D30)),F30-D30,"")</f>
        <v/>
      </c>
      <c r="H30" s="76"/>
      <c r="I30" s="77" t="str">
        <f aca="false">IF(AND(ISNUMBER(H30),ISNUMBER(F30)),H30-F30,"")</f>
        <v/>
      </c>
      <c r="J30" s="76"/>
      <c r="K30" s="77" t="str">
        <f aca="false">IF(AND(ISNUMBER(J30),ISNUMBER(H30)),J30-H30,"")</f>
        <v/>
      </c>
    </row>
    <row r="31" customFormat="false" ht="15" hidden="false" customHeight="false" outlineLevel="0" collapsed="false">
      <c r="A31" s="4" t="s">
        <v>1398</v>
      </c>
      <c r="B31" s="80" t="n">
        <v>1.85</v>
      </c>
      <c r="D31" s="80" t="n">
        <v>2.1</v>
      </c>
      <c r="E31" s="77" t="n">
        <f aca="false">IF(AND(ISNUMBER(D31),ISNUMBER(B31)),D31-B31,"")</f>
        <v>0.25</v>
      </c>
      <c r="F31" s="80"/>
      <c r="G31" s="77" t="str">
        <f aca="false">IF(AND(ISNUMBER(F31),ISNUMBER(D31)),F31-D31,"")</f>
        <v/>
      </c>
      <c r="H31" s="80"/>
      <c r="I31" s="77" t="str">
        <f aca="false">IF(AND(ISNUMBER(H31),ISNUMBER(F31)),H31-F31,"")</f>
        <v/>
      </c>
      <c r="J31" s="80"/>
      <c r="K31" s="77" t="str">
        <f aca="false">IF(AND(ISNUMBER(J31),ISNUMBER(H31)),J31-H31,"")</f>
        <v/>
      </c>
    </row>
    <row r="32" customFormat="false" ht="15" hidden="false" customHeight="false" outlineLevel="0" collapsed="false">
      <c r="A32" s="78" t="s">
        <v>1399</v>
      </c>
      <c r="B32" s="76" t="n">
        <v>2.15</v>
      </c>
      <c r="D32" s="76" t="n">
        <v>2.31</v>
      </c>
      <c r="E32" s="77" t="n">
        <f aca="false">IF(AND(ISNUMBER(D32),ISNUMBER(B32)),D32-B32,"")</f>
        <v>0.16</v>
      </c>
      <c r="F32" s="76"/>
      <c r="G32" s="77" t="str">
        <f aca="false">IF(AND(ISNUMBER(F32),ISNUMBER(D32)),F32-D32,"")</f>
        <v/>
      </c>
      <c r="H32" s="76"/>
      <c r="I32" s="77" t="str">
        <f aca="false">IF(AND(ISNUMBER(H32),ISNUMBER(F32)),H32-F32,"")</f>
        <v/>
      </c>
      <c r="J32" s="76"/>
      <c r="K32" s="77" t="str">
        <f aca="false">IF(AND(ISNUMBER(J32),ISNUMBER(H32)),J32-H32,"")</f>
        <v/>
      </c>
    </row>
    <row r="33" customFormat="false" ht="15" hidden="false" customHeight="false" outlineLevel="0" collapsed="false">
      <c r="A33" s="78" t="s">
        <v>1400</v>
      </c>
      <c r="B33" s="76" t="n">
        <v>1.31</v>
      </c>
      <c r="D33" s="76" t="n">
        <v>1.2</v>
      </c>
      <c r="E33" s="77" t="n">
        <f aca="false">IF(AND(ISNUMBER(D33),ISNUMBER(B33)),D33-B33,"")</f>
        <v>-0.11</v>
      </c>
      <c r="F33" s="76"/>
      <c r="G33" s="77" t="str">
        <f aca="false">IF(AND(ISNUMBER(F33),ISNUMBER(D33)),F33-D33,"")</f>
        <v/>
      </c>
      <c r="H33" s="76"/>
      <c r="I33" s="77" t="str">
        <f aca="false">IF(AND(ISNUMBER(H33),ISNUMBER(F33)),H33-F33,"")</f>
        <v/>
      </c>
      <c r="J33" s="76"/>
      <c r="K33" s="77" t="str">
        <f aca="false">IF(AND(ISNUMBER(J33),ISNUMBER(H33)),J33-H33,"")</f>
        <v/>
      </c>
    </row>
    <row r="34" customFormat="false" ht="15" hidden="false" customHeight="false" outlineLevel="0" collapsed="false">
      <c r="A34" s="78" t="s">
        <v>1401</v>
      </c>
      <c r="B34" s="76" t="n">
        <v>1.7</v>
      </c>
      <c r="D34" s="76" t="n">
        <v>1.76</v>
      </c>
      <c r="E34" s="77" t="n">
        <f aca="false">IF(AND(ISNUMBER(D34),ISNUMBER(B34)),D34-B34,"")</f>
        <v>0.0600000000000001</v>
      </c>
      <c r="F34" s="76"/>
      <c r="G34" s="77" t="str">
        <f aca="false">IF(AND(ISNUMBER(F34),ISNUMBER(D34)),F34-D34,"")</f>
        <v/>
      </c>
      <c r="H34" s="76"/>
      <c r="I34" s="77" t="str">
        <f aca="false">IF(AND(ISNUMBER(H34),ISNUMBER(F34)),H34-F34,"")</f>
        <v/>
      </c>
      <c r="J34" s="76"/>
      <c r="K34" s="77" t="str">
        <f aca="false">IF(AND(ISNUMBER(J34),ISNUMBER(H34)),J34-H34,"")</f>
        <v/>
      </c>
    </row>
    <row r="35" customFormat="false" ht="15" hidden="false" customHeight="false" outlineLevel="0" collapsed="false">
      <c r="A35" s="78" t="s">
        <v>1402</v>
      </c>
      <c r="B35" s="76" t="n">
        <v>1.92</v>
      </c>
      <c r="D35" s="76" t="n">
        <v>2.02</v>
      </c>
      <c r="E35" s="77" t="n">
        <f aca="false">IF(AND(ISNUMBER(D35),ISNUMBER(B35)),D35-B35,"")</f>
        <v>0.1</v>
      </c>
      <c r="F35" s="76"/>
      <c r="G35" s="77" t="str">
        <f aca="false">IF(AND(ISNUMBER(F35),ISNUMBER(D35)),F35-D35,"")</f>
        <v/>
      </c>
      <c r="H35" s="76"/>
      <c r="I35" s="77" t="str">
        <f aca="false">IF(AND(ISNUMBER(H35),ISNUMBER(F35)),H35-F35,"")</f>
        <v/>
      </c>
      <c r="J35" s="76"/>
      <c r="K35" s="77" t="str">
        <f aca="false">IF(AND(ISNUMBER(J35),ISNUMBER(H35)),J35-H35,"")</f>
        <v/>
      </c>
    </row>
    <row r="36" customFormat="false" ht="15" hidden="false" customHeight="false" outlineLevel="0" collapsed="false">
      <c r="A36" s="78" t="s">
        <v>1403</v>
      </c>
      <c r="B36" s="76" t="n">
        <v>1.45</v>
      </c>
      <c r="D36" s="76" t="n">
        <v>1.4</v>
      </c>
      <c r="E36" s="77" t="n">
        <f aca="false">IF(AND(ISNUMBER(D36),ISNUMBER(B36)),D36-B36,"")</f>
        <v>-0.05</v>
      </c>
      <c r="F36" s="76"/>
      <c r="G36" s="77" t="str">
        <f aca="false">IF(AND(ISNUMBER(F36),ISNUMBER(D36)),F36-D36,"")</f>
        <v/>
      </c>
      <c r="H36" s="76"/>
      <c r="I36" s="77" t="str">
        <f aca="false">IF(AND(ISNUMBER(H36),ISNUMBER(F36)),H36-F36,"")</f>
        <v/>
      </c>
      <c r="J36" s="76"/>
      <c r="K36" s="77" t="str">
        <f aca="false">IF(AND(ISNUMBER(J36),ISNUMBER(H36)),J36-H36,"")</f>
        <v/>
      </c>
    </row>
    <row r="37" customFormat="false" ht="15" hidden="false" customHeight="false" outlineLevel="0" collapsed="false">
      <c r="A37" s="5" t="s">
        <v>1404</v>
      </c>
      <c r="B37" s="81" t="n">
        <f aca="false">IF(COUNT(B29:B36)=0,"",AVERAGE(B29:B36))</f>
        <v>1.74375</v>
      </c>
      <c r="D37" s="81" t="n">
        <f aca="false">IF(COUNT(D29:D36)=0,"",AVERAGE(D29:D36))</f>
        <v>1.82125</v>
      </c>
      <c r="F37" s="81" t="str">
        <f aca="false">IF(COUNT(F29:F36)=0,"",AVERAGE(F29:F36))</f>
        <v/>
      </c>
      <c r="H37" s="81" t="str">
        <f aca="false">IF(COUNT(H29:H36)=0,"",AVERAGE(H29:H36))</f>
        <v/>
      </c>
      <c r="J37" s="81" t="str">
        <f aca="false">IF(COUNT(J29:J36)=0,"",AVERAGE(J29:J36))</f>
        <v/>
      </c>
    </row>
    <row r="38" customFormat="false" ht="15" hidden="false" customHeight="false" outlineLevel="0" collapsed="false">
      <c r="A38" s="20" t="s">
        <v>1405</v>
      </c>
      <c r="B38" s="57" t="n">
        <f aca="false">IF(ISNUMBER(B31),RANK(B31,B29:B36,0),"")</f>
        <v>4</v>
      </c>
      <c r="D38" s="57" t="n">
        <f aca="false">IF(ISNUMBER(D31),RANK(D31,D29:D36,0),"")</f>
        <v>3</v>
      </c>
      <c r="E38" s="68" t="n">
        <f aca="false">IF(AND(ISNUMBER(D38),ISNUMBER(B38)),D38-B38,"")</f>
        <v>-1</v>
      </c>
      <c r="F38" s="57" t="str">
        <f aca="false">IF(ISNUMBER(F31),RANK(F31,F29:F36,0),"")</f>
        <v/>
      </c>
      <c r="G38" s="68" t="str">
        <f aca="false">IF(AND(ISNUMBER(F38),ISNUMBER(D38)),F38-D38,"")</f>
        <v/>
      </c>
      <c r="H38" s="57" t="str">
        <f aca="false">IF(ISNUMBER(H31),RANK(H31,H29:H36,0),"")</f>
        <v/>
      </c>
      <c r="I38" s="68" t="str">
        <f aca="false">IF(AND(ISNUMBER(H38),ISNUMBER(F38)),H38-F38,"")</f>
        <v/>
      </c>
      <c r="J38" s="57" t="str">
        <f aca="false">IF(ISNUMBER(J31),RANK(J31,J29:J36,0),"")</f>
        <v/>
      </c>
      <c r="K38" s="68" t="str">
        <f aca="false">IF(AND(ISNUMBER(J38),ISNUMBER(H38)),J38-H38,"")</f>
        <v/>
      </c>
    </row>
    <row r="40" customFormat="false" ht="30" hidden="false" customHeight="true" outlineLevel="0" collapsed="false">
      <c r="A40" s="12" t="s">
        <v>1350</v>
      </c>
      <c r="B40" s="12" t="s">
        <v>1156</v>
      </c>
      <c r="C40" s="12" t="s">
        <v>1325</v>
      </c>
      <c r="D40" s="12" t="s">
        <v>1157</v>
      </c>
      <c r="E40" s="12" t="s">
        <v>1325</v>
      </c>
      <c r="F40" s="12" t="s">
        <v>1158</v>
      </c>
      <c r="G40" s="12" t="s">
        <v>1325</v>
      </c>
      <c r="H40" s="12" t="s">
        <v>1159</v>
      </c>
      <c r="I40" s="12" t="s">
        <v>1325</v>
      </c>
      <c r="J40" s="12" t="s">
        <v>1160</v>
      </c>
      <c r="K40" s="12" t="s">
        <v>1325</v>
      </c>
    </row>
    <row r="41" customFormat="false" ht="15" hidden="false" customHeight="false" outlineLevel="0" collapsed="false">
      <c r="A41" s="78" t="s">
        <v>1396</v>
      </c>
      <c r="B41" s="22" t="n">
        <v>0.152</v>
      </c>
      <c r="D41" s="22" t="n">
        <v>0.16</v>
      </c>
      <c r="E41" s="73" t="n">
        <f aca="false">IF(AND(ISNUMBER(D41),ISNUMBER(B41)),D41-B41,"")</f>
        <v>0.00800000000000001</v>
      </c>
      <c r="F41" s="22"/>
      <c r="G41" s="73" t="str">
        <f aca="false">IF(AND(ISNUMBER(F41),ISNUMBER(D41)),F41-D41,"")</f>
        <v/>
      </c>
      <c r="H41" s="22"/>
      <c r="I41" s="73" t="str">
        <f aca="false">IF(AND(ISNUMBER(H41),ISNUMBER(F41)),H41-F41,"")</f>
        <v/>
      </c>
      <c r="J41" s="22"/>
      <c r="K41" s="73" t="str">
        <f aca="false">IF(AND(ISNUMBER(J41),ISNUMBER(H41)),J41-H41,"")</f>
        <v/>
      </c>
    </row>
    <row r="42" customFormat="false" ht="15" hidden="false" customHeight="false" outlineLevel="0" collapsed="false">
      <c r="A42" s="78" t="s">
        <v>1397</v>
      </c>
      <c r="B42" s="22" t="n">
        <v>0.121</v>
      </c>
      <c r="D42" s="22" t="n">
        <v>0.126</v>
      </c>
      <c r="E42" s="73" t="n">
        <f aca="false">IF(AND(ISNUMBER(D42),ISNUMBER(B42)),D42-B42,"")</f>
        <v>0.005</v>
      </c>
      <c r="F42" s="22"/>
      <c r="G42" s="73" t="str">
        <f aca="false">IF(AND(ISNUMBER(F42),ISNUMBER(D42)),F42-D42,"")</f>
        <v/>
      </c>
      <c r="H42" s="22"/>
      <c r="I42" s="73" t="str">
        <f aca="false">IF(AND(ISNUMBER(H42),ISNUMBER(F42)),H42-F42,"")</f>
        <v/>
      </c>
      <c r="J42" s="22"/>
      <c r="K42" s="73" t="str">
        <f aca="false">IF(AND(ISNUMBER(J42),ISNUMBER(H42)),J42-H42,"")</f>
        <v/>
      </c>
    </row>
    <row r="43" customFormat="false" ht="15" hidden="false" customHeight="false" outlineLevel="0" collapsed="false">
      <c r="A43" s="4" t="s">
        <v>1398</v>
      </c>
      <c r="B43" s="82" t="n">
        <v>0.142</v>
      </c>
      <c r="D43" s="82" t="n">
        <v>0.155</v>
      </c>
      <c r="E43" s="73" t="n">
        <f aca="false">IF(AND(ISNUMBER(D43),ISNUMBER(B43)),D43-B43,"")</f>
        <v>0.013</v>
      </c>
      <c r="F43" s="82"/>
      <c r="G43" s="73" t="str">
        <f aca="false">IF(AND(ISNUMBER(F43),ISNUMBER(D43)),F43-D43,"")</f>
        <v/>
      </c>
      <c r="H43" s="82"/>
      <c r="I43" s="73" t="str">
        <f aca="false">IF(AND(ISNUMBER(H43),ISNUMBER(F43)),H43-F43,"")</f>
        <v/>
      </c>
      <c r="J43" s="82"/>
      <c r="K43" s="73" t="str">
        <f aca="false">IF(AND(ISNUMBER(J43),ISNUMBER(H43)),J43-H43,"")</f>
        <v/>
      </c>
    </row>
    <row r="44" customFormat="false" ht="15" hidden="false" customHeight="false" outlineLevel="0" collapsed="false">
      <c r="A44" s="78" t="s">
        <v>1399</v>
      </c>
      <c r="B44" s="22" t="n">
        <v>0.158</v>
      </c>
      <c r="D44" s="22" t="n">
        <v>0.166</v>
      </c>
      <c r="E44" s="73" t="n">
        <f aca="false">IF(AND(ISNUMBER(D44),ISNUMBER(B44)),D44-B44,"")</f>
        <v>0.00800000000000001</v>
      </c>
      <c r="F44" s="22"/>
      <c r="G44" s="73" t="str">
        <f aca="false">IF(AND(ISNUMBER(F44),ISNUMBER(D44)),F44-D44,"")</f>
        <v/>
      </c>
      <c r="H44" s="22"/>
      <c r="I44" s="73" t="str">
        <f aca="false">IF(AND(ISNUMBER(H44),ISNUMBER(F44)),H44-F44,"")</f>
        <v/>
      </c>
      <c r="J44" s="22"/>
      <c r="K44" s="73" t="str">
        <f aca="false">IF(AND(ISNUMBER(J44),ISNUMBER(H44)),J44-H44,"")</f>
        <v/>
      </c>
    </row>
    <row r="45" customFormat="false" ht="15" hidden="false" customHeight="false" outlineLevel="0" collapsed="false">
      <c r="A45" s="78" t="s">
        <v>1400</v>
      </c>
      <c r="B45" s="22" t="n">
        <v>0.11</v>
      </c>
      <c r="D45" s="22" t="n">
        <v>0.101</v>
      </c>
      <c r="E45" s="73" t="n">
        <f aca="false">IF(AND(ISNUMBER(D45),ISNUMBER(B45)),D45-B45,"")</f>
        <v>-0.00899999999999999</v>
      </c>
      <c r="F45" s="22"/>
      <c r="G45" s="73" t="str">
        <f aca="false">IF(AND(ISNUMBER(F45),ISNUMBER(D45)),F45-D45,"")</f>
        <v/>
      </c>
      <c r="H45" s="22"/>
      <c r="I45" s="73" t="str">
        <f aca="false">IF(AND(ISNUMBER(H45),ISNUMBER(F45)),H45-F45,"")</f>
        <v/>
      </c>
      <c r="J45" s="22"/>
      <c r="K45" s="73" t="str">
        <f aca="false">IF(AND(ISNUMBER(J45),ISNUMBER(H45)),J45-H45,"")</f>
        <v/>
      </c>
    </row>
    <row r="46" customFormat="false" ht="15" hidden="false" customHeight="false" outlineLevel="0" collapsed="false">
      <c r="A46" s="78" t="s">
        <v>1401</v>
      </c>
      <c r="B46" s="22" t="n">
        <v>0.133</v>
      </c>
      <c r="D46" s="22" t="n">
        <v>0.137</v>
      </c>
      <c r="E46" s="73" t="n">
        <f aca="false">IF(AND(ISNUMBER(D46),ISNUMBER(B46)),D46-B46,"")</f>
        <v>0.004</v>
      </c>
      <c r="F46" s="22"/>
      <c r="G46" s="73" t="str">
        <f aca="false">IF(AND(ISNUMBER(F46),ISNUMBER(D46)),F46-D46,"")</f>
        <v/>
      </c>
      <c r="H46" s="22"/>
      <c r="I46" s="73" t="str">
        <f aca="false">IF(AND(ISNUMBER(H46),ISNUMBER(F46)),H46-F46,"")</f>
        <v/>
      </c>
      <c r="J46" s="22"/>
      <c r="K46" s="73" t="str">
        <f aca="false">IF(AND(ISNUMBER(J46),ISNUMBER(H46)),J46-H46,"")</f>
        <v/>
      </c>
    </row>
    <row r="47" customFormat="false" ht="15" hidden="false" customHeight="false" outlineLevel="0" collapsed="false">
      <c r="A47" s="78" t="s">
        <v>1402</v>
      </c>
      <c r="B47" s="22" t="n">
        <v>0.141</v>
      </c>
      <c r="D47" s="22" t="n">
        <v>0.147</v>
      </c>
      <c r="E47" s="73" t="n">
        <f aca="false">IF(AND(ISNUMBER(D47),ISNUMBER(B47)),D47-B47,"")</f>
        <v>0.00600000000000001</v>
      </c>
      <c r="F47" s="22"/>
      <c r="G47" s="73" t="str">
        <f aca="false">IF(AND(ISNUMBER(F47),ISNUMBER(D47)),F47-D47,"")</f>
        <v/>
      </c>
      <c r="H47" s="22"/>
      <c r="I47" s="73" t="str">
        <f aca="false">IF(AND(ISNUMBER(H47),ISNUMBER(F47)),H47-F47,"")</f>
        <v/>
      </c>
      <c r="J47" s="22"/>
      <c r="K47" s="73" t="str">
        <f aca="false">IF(AND(ISNUMBER(J47),ISNUMBER(H47)),J47-H47,"")</f>
        <v/>
      </c>
    </row>
    <row r="48" customFormat="false" ht="15" hidden="false" customHeight="false" outlineLevel="0" collapsed="false">
      <c r="A48" s="78" t="s">
        <v>1403</v>
      </c>
      <c r="B48" s="22" t="n">
        <v>0.118</v>
      </c>
      <c r="D48" s="22" t="n">
        <v>0.114</v>
      </c>
      <c r="E48" s="73" t="n">
        <f aca="false">IF(AND(ISNUMBER(D48),ISNUMBER(B48)),D48-B48,"")</f>
        <v>-0.00399999999999999</v>
      </c>
      <c r="F48" s="22"/>
      <c r="G48" s="73" t="str">
        <f aca="false">IF(AND(ISNUMBER(F48),ISNUMBER(D48)),F48-D48,"")</f>
        <v/>
      </c>
      <c r="H48" s="22"/>
      <c r="I48" s="73" t="str">
        <f aca="false">IF(AND(ISNUMBER(H48),ISNUMBER(F48)),H48-F48,"")</f>
        <v/>
      </c>
      <c r="J48" s="22"/>
      <c r="K48" s="73" t="str">
        <f aca="false">IF(AND(ISNUMBER(J48),ISNUMBER(H48)),J48-H48,"")</f>
        <v/>
      </c>
    </row>
    <row r="49" customFormat="false" ht="15" hidden="false" customHeight="false" outlineLevel="0" collapsed="false">
      <c r="A49" s="5" t="s">
        <v>1404</v>
      </c>
      <c r="B49" s="39" t="n">
        <f aca="false">IF(COUNT(B41:B48)=0,"",AVERAGE(B41:B48))</f>
        <v>0.134375</v>
      </c>
      <c r="D49" s="39" t="n">
        <f aca="false">IF(COUNT(D41:D48)=0,"",AVERAGE(D41:D48))</f>
        <v>0.13825</v>
      </c>
      <c r="F49" s="39" t="str">
        <f aca="false">IF(COUNT(F41:F48)=0,"",AVERAGE(F41:F48))</f>
        <v/>
      </c>
      <c r="H49" s="39" t="str">
        <f aca="false">IF(COUNT(H41:H48)=0,"",AVERAGE(H41:H48))</f>
        <v/>
      </c>
      <c r="J49" s="39" t="str">
        <f aca="false">IF(COUNT(J41:J48)=0,"",AVERAGE(J41:J48))</f>
        <v/>
      </c>
    </row>
    <row r="50" customFormat="false" ht="15" hidden="false" customHeight="false" outlineLevel="0" collapsed="false">
      <c r="A50" s="20" t="s">
        <v>1405</v>
      </c>
      <c r="B50" s="57" t="n">
        <f aca="false">IF(ISNUMBER(B43),RANK(B43,B41:B48,0),"")</f>
        <v>3</v>
      </c>
      <c r="D50" s="57" t="n">
        <f aca="false">IF(ISNUMBER(D43),RANK(D43,D41:D48,0),"")</f>
        <v>3</v>
      </c>
      <c r="E50" s="68" t="n">
        <f aca="false">IF(AND(ISNUMBER(D50),ISNUMBER(B50)),D50-B50,"")</f>
        <v>0</v>
      </c>
      <c r="F50" s="57" t="str">
        <f aca="false">IF(ISNUMBER(F43),RANK(F43,F41:F48,0),"")</f>
        <v/>
      </c>
      <c r="G50" s="68" t="str">
        <f aca="false">IF(AND(ISNUMBER(F50),ISNUMBER(D50)),F50-D50,"")</f>
        <v/>
      </c>
      <c r="H50" s="57" t="str">
        <f aca="false">IF(ISNUMBER(H43),RANK(H43,H41:H48,0),"")</f>
        <v/>
      </c>
      <c r="I50" s="68" t="str">
        <f aca="false">IF(AND(ISNUMBER(H50),ISNUMBER(F50)),H50-F50,"")</f>
        <v/>
      </c>
      <c r="J50" s="57" t="str">
        <f aca="false">IF(ISNUMBER(J43),RANK(J43,J41:J48,0),"")</f>
        <v/>
      </c>
      <c r="K50" s="68" t="str">
        <f aca="false">IF(AND(ISNUMBER(J50),ISNUMBER(H50)),J50-H50,"")</f>
        <v/>
      </c>
    </row>
    <row r="52" customFormat="false" ht="30" hidden="false" customHeight="true" outlineLevel="0" collapsed="false">
      <c r="A52" s="12" t="s">
        <v>1407</v>
      </c>
      <c r="B52" s="12" t="s">
        <v>1156</v>
      </c>
      <c r="C52" s="12" t="s">
        <v>1325</v>
      </c>
      <c r="D52" s="12" t="s">
        <v>1157</v>
      </c>
      <c r="E52" s="12" t="s">
        <v>1325</v>
      </c>
      <c r="F52" s="12" t="s">
        <v>1158</v>
      </c>
      <c r="G52" s="12" t="s">
        <v>1325</v>
      </c>
      <c r="H52" s="12" t="s">
        <v>1159</v>
      </c>
      <c r="I52" s="12" t="s">
        <v>1325</v>
      </c>
      <c r="J52" s="12" t="s">
        <v>1160</v>
      </c>
      <c r="K52" s="12" t="s">
        <v>1325</v>
      </c>
    </row>
    <row r="53" customFormat="false" ht="15" hidden="false" customHeight="false" outlineLevel="0" collapsed="false">
      <c r="A53" s="78" t="s">
        <v>1396</v>
      </c>
      <c r="B53" s="76" t="n">
        <v>24.9</v>
      </c>
      <c r="D53" s="76" t="n">
        <v>26.8</v>
      </c>
      <c r="E53" s="77" t="n">
        <f aca="false">IF(AND(ISNUMBER(D53),ISNUMBER(B53)),D53-B53,"")</f>
        <v>1.9</v>
      </c>
      <c r="F53" s="76"/>
      <c r="G53" s="77" t="str">
        <f aca="false">IF(AND(ISNUMBER(F53),ISNUMBER(D53)),F53-D53,"")</f>
        <v/>
      </c>
      <c r="H53" s="76"/>
      <c r="I53" s="77" t="str">
        <f aca="false">IF(AND(ISNUMBER(H53),ISNUMBER(F53)),H53-F53,"")</f>
        <v/>
      </c>
      <c r="J53" s="76"/>
      <c r="K53" s="77" t="str">
        <f aca="false">IF(AND(ISNUMBER(J53),ISNUMBER(H53)),J53-H53,"")</f>
        <v/>
      </c>
    </row>
    <row r="54" customFormat="false" ht="15" hidden="false" customHeight="false" outlineLevel="0" collapsed="false">
      <c r="A54" s="78" t="s">
        <v>1397</v>
      </c>
      <c r="B54" s="76" t="n">
        <v>19</v>
      </c>
      <c r="D54" s="76" t="n">
        <v>20.1</v>
      </c>
      <c r="E54" s="77" t="n">
        <f aca="false">IF(AND(ISNUMBER(D54),ISNUMBER(B54)),D54-B54,"")</f>
        <v>1.1</v>
      </c>
      <c r="F54" s="76"/>
      <c r="G54" s="77" t="str">
        <f aca="false">IF(AND(ISNUMBER(F54),ISNUMBER(D54)),F54-D54,"")</f>
        <v/>
      </c>
      <c r="H54" s="76"/>
      <c r="I54" s="77" t="str">
        <f aca="false">IF(AND(ISNUMBER(H54),ISNUMBER(F54)),H54-F54,"")</f>
        <v/>
      </c>
      <c r="J54" s="76"/>
      <c r="K54" s="77" t="str">
        <f aca="false">IF(AND(ISNUMBER(J54),ISNUMBER(H54)),J54-H54,"")</f>
        <v/>
      </c>
    </row>
    <row r="55" customFormat="false" ht="15" hidden="false" customHeight="false" outlineLevel="0" collapsed="false">
      <c r="A55" s="4" t="s">
        <v>1398</v>
      </c>
      <c r="B55" s="80" t="n">
        <v>22.4</v>
      </c>
      <c r="D55" s="80" t="n">
        <v>26.1</v>
      </c>
      <c r="E55" s="77" t="n">
        <f aca="false">IF(AND(ISNUMBER(D55),ISNUMBER(B55)),D55-B55,"")</f>
        <v>3.7</v>
      </c>
      <c r="F55" s="80"/>
      <c r="G55" s="77" t="str">
        <f aca="false">IF(AND(ISNUMBER(F55),ISNUMBER(D55)),F55-D55,"")</f>
        <v/>
      </c>
      <c r="H55" s="80"/>
      <c r="I55" s="77" t="str">
        <f aca="false">IF(AND(ISNUMBER(H55),ISNUMBER(F55)),H55-F55,"")</f>
        <v/>
      </c>
      <c r="J55" s="80"/>
      <c r="K55" s="77" t="str">
        <f aca="false">IF(AND(ISNUMBER(J55),ISNUMBER(H55)),J55-H55,"")</f>
        <v/>
      </c>
    </row>
    <row r="56" customFormat="false" ht="15" hidden="false" customHeight="false" outlineLevel="0" collapsed="false">
      <c r="A56" s="78" t="s">
        <v>1399</v>
      </c>
      <c r="B56" s="76" t="n">
        <v>26</v>
      </c>
      <c r="D56" s="76" t="n">
        <v>28.3</v>
      </c>
      <c r="E56" s="77" t="n">
        <f aca="false">IF(AND(ISNUMBER(D56),ISNUMBER(B56)),D56-B56,"")</f>
        <v>2.3</v>
      </c>
      <c r="F56" s="76"/>
      <c r="G56" s="77" t="str">
        <f aca="false">IF(AND(ISNUMBER(F56),ISNUMBER(D56)),F56-D56,"")</f>
        <v/>
      </c>
      <c r="H56" s="76"/>
      <c r="I56" s="77" t="str">
        <f aca="false">IF(AND(ISNUMBER(H56),ISNUMBER(F56)),H56-F56,"")</f>
        <v/>
      </c>
      <c r="J56" s="76"/>
      <c r="K56" s="77" t="str">
        <f aca="false">IF(AND(ISNUMBER(J56),ISNUMBER(H56)),J56-H56,"")</f>
        <v/>
      </c>
    </row>
    <row r="57" customFormat="false" ht="15" hidden="false" customHeight="false" outlineLevel="0" collapsed="false">
      <c r="A57" s="78" t="s">
        <v>1400</v>
      </c>
      <c r="B57" s="76" t="n">
        <v>17.2</v>
      </c>
      <c r="D57" s="76" t="n">
        <v>16</v>
      </c>
      <c r="E57" s="77" t="n">
        <f aca="false">IF(AND(ISNUMBER(D57),ISNUMBER(B57)),D57-B57,"")</f>
        <v>-1.2</v>
      </c>
      <c r="F57" s="76"/>
      <c r="G57" s="77" t="str">
        <f aca="false">IF(AND(ISNUMBER(F57),ISNUMBER(D57)),F57-D57,"")</f>
        <v/>
      </c>
      <c r="H57" s="76"/>
      <c r="I57" s="77" t="str">
        <f aca="false">IF(AND(ISNUMBER(H57),ISNUMBER(F57)),H57-F57,"")</f>
        <v/>
      </c>
      <c r="J57" s="76"/>
      <c r="K57" s="77" t="str">
        <f aca="false">IF(AND(ISNUMBER(J57),ISNUMBER(H57)),J57-H57,"")</f>
        <v/>
      </c>
    </row>
    <row r="58" customFormat="false" ht="15" hidden="false" customHeight="false" outlineLevel="0" collapsed="false">
      <c r="A58" s="78" t="s">
        <v>1401</v>
      </c>
      <c r="B58" s="76" t="n">
        <v>21</v>
      </c>
      <c r="D58" s="76" t="n">
        <v>21.9</v>
      </c>
      <c r="E58" s="77" t="n">
        <f aca="false">IF(AND(ISNUMBER(D58),ISNUMBER(B58)),D58-B58,"")</f>
        <v>0.899999999999999</v>
      </c>
      <c r="F58" s="76"/>
      <c r="G58" s="77" t="str">
        <f aca="false">IF(AND(ISNUMBER(F58),ISNUMBER(D58)),F58-D58,"")</f>
        <v/>
      </c>
      <c r="H58" s="76"/>
      <c r="I58" s="77" t="str">
        <f aca="false">IF(AND(ISNUMBER(H58),ISNUMBER(F58)),H58-F58,"")</f>
        <v/>
      </c>
      <c r="J58" s="76"/>
      <c r="K58" s="77" t="str">
        <f aca="false">IF(AND(ISNUMBER(J58),ISNUMBER(H58)),J58-H58,"")</f>
        <v/>
      </c>
    </row>
    <row r="59" customFormat="false" ht="15" hidden="false" customHeight="false" outlineLevel="0" collapsed="false">
      <c r="A59" s="78" t="s">
        <v>1402</v>
      </c>
      <c r="B59" s="76" t="n">
        <v>23.1</v>
      </c>
      <c r="D59" s="76" t="n">
        <v>24.6</v>
      </c>
      <c r="E59" s="77" t="n">
        <f aca="false">IF(AND(ISNUMBER(D59),ISNUMBER(B59)),D59-B59,"")</f>
        <v>1.5</v>
      </c>
      <c r="F59" s="76"/>
      <c r="G59" s="77" t="str">
        <f aca="false">IF(AND(ISNUMBER(F59),ISNUMBER(D59)),F59-D59,"")</f>
        <v/>
      </c>
      <c r="H59" s="76"/>
      <c r="I59" s="77" t="str">
        <f aca="false">IF(AND(ISNUMBER(H59),ISNUMBER(F59)),H59-F59,"")</f>
        <v/>
      </c>
      <c r="J59" s="76"/>
      <c r="K59" s="77" t="str">
        <f aca="false">IF(AND(ISNUMBER(J59),ISNUMBER(H59)),J59-H59,"")</f>
        <v/>
      </c>
    </row>
    <row r="60" customFormat="false" ht="15" hidden="false" customHeight="false" outlineLevel="0" collapsed="false">
      <c r="A60" s="78" t="s">
        <v>1403</v>
      </c>
      <c r="B60" s="76" t="n">
        <v>18.4</v>
      </c>
      <c r="D60" s="76" t="n">
        <v>17.7</v>
      </c>
      <c r="E60" s="77" t="n">
        <f aca="false">IF(AND(ISNUMBER(D60),ISNUMBER(B60)),D60-B60,"")</f>
        <v>-0.699999999999999</v>
      </c>
      <c r="F60" s="76"/>
      <c r="G60" s="77" t="str">
        <f aca="false">IF(AND(ISNUMBER(F60),ISNUMBER(D60)),F60-D60,"")</f>
        <v/>
      </c>
      <c r="H60" s="76"/>
      <c r="I60" s="77" t="str">
        <f aca="false">IF(AND(ISNUMBER(H60),ISNUMBER(F60)),H60-F60,"")</f>
        <v/>
      </c>
      <c r="J60" s="76"/>
      <c r="K60" s="77" t="str">
        <f aca="false">IF(AND(ISNUMBER(J60),ISNUMBER(H60)),J60-H60,"")</f>
        <v/>
      </c>
    </row>
    <row r="61" customFormat="false" ht="15" hidden="false" customHeight="false" outlineLevel="0" collapsed="false">
      <c r="A61" s="5" t="s">
        <v>1404</v>
      </c>
      <c r="B61" s="81" t="n">
        <f aca="false">IF(COUNT(B53:B60)=0,"",AVERAGE(B53:B60))</f>
        <v>21.5</v>
      </c>
      <c r="D61" s="81" t="n">
        <f aca="false">IF(COUNT(D53:D60)=0,"",AVERAGE(D53:D60))</f>
        <v>22.6875</v>
      </c>
      <c r="F61" s="81" t="str">
        <f aca="false">IF(COUNT(F53:F60)=0,"",AVERAGE(F53:F60))</f>
        <v/>
      </c>
      <c r="H61" s="81" t="str">
        <f aca="false">IF(COUNT(H53:H60)=0,"",AVERAGE(H53:H60))</f>
        <v/>
      </c>
      <c r="J61" s="81" t="str">
        <f aca="false">IF(COUNT(J53:J60)=0,"",AVERAGE(J53:J60))</f>
        <v/>
      </c>
    </row>
    <row r="62" customFormat="false" ht="15" hidden="false" customHeight="false" outlineLevel="0" collapsed="false">
      <c r="A62" s="20" t="s">
        <v>1405</v>
      </c>
      <c r="B62" s="57" t="n">
        <f aca="false">IF(ISNUMBER(B55),RANK(B55,B53:B60,0),"")</f>
        <v>4</v>
      </c>
      <c r="D62" s="57" t="n">
        <f aca="false">IF(ISNUMBER(D55),RANK(D55,D53:D60,0),"")</f>
        <v>3</v>
      </c>
      <c r="E62" s="68" t="n">
        <f aca="false">IF(AND(ISNUMBER(D62),ISNUMBER(B62)),D62-B62,"")</f>
        <v>-1</v>
      </c>
      <c r="F62" s="57" t="str">
        <f aca="false">IF(ISNUMBER(F55),RANK(F55,F53:F60,0),"")</f>
        <v/>
      </c>
      <c r="G62" s="68" t="str">
        <f aca="false">IF(AND(ISNUMBER(F62),ISNUMBER(D62)),F62-D62,"")</f>
        <v/>
      </c>
      <c r="H62" s="57" t="str">
        <f aca="false">IF(ISNUMBER(H55),RANK(H55,H53:H60,0),"")</f>
        <v/>
      </c>
      <c r="I62" s="68" t="str">
        <f aca="false">IF(AND(ISNUMBER(H62),ISNUMBER(F62)),H62-F62,"")</f>
        <v/>
      </c>
      <c r="J62" s="57" t="str">
        <f aca="false">IF(ISNUMBER(J55),RANK(J55,J53:J60,0),"")</f>
        <v/>
      </c>
      <c r="K62" s="68" t="str">
        <f aca="false">IF(AND(ISNUMBER(J62),ISNUMBER(H62)),J62-H62,"")</f>
        <v/>
      </c>
    </row>
    <row r="64" customFormat="false" ht="30" hidden="false" customHeight="true" outlineLevel="0" collapsed="false">
      <c r="A64" s="12" t="s">
        <v>115</v>
      </c>
      <c r="B64" s="12" t="s">
        <v>1156</v>
      </c>
      <c r="C64" s="12" t="s">
        <v>1325</v>
      </c>
      <c r="D64" s="12" t="s">
        <v>1157</v>
      </c>
      <c r="E64" s="12" t="s">
        <v>1325</v>
      </c>
      <c r="F64" s="12" t="s">
        <v>1158</v>
      </c>
      <c r="G64" s="12" t="s">
        <v>1325</v>
      </c>
      <c r="H64" s="12" t="s">
        <v>1159</v>
      </c>
      <c r="I64" s="12" t="s">
        <v>1325</v>
      </c>
      <c r="J64" s="12" t="s">
        <v>1160</v>
      </c>
      <c r="K64" s="12" t="s">
        <v>1325</v>
      </c>
    </row>
    <row r="65" customFormat="false" ht="15" hidden="false" customHeight="false" outlineLevel="0" collapsed="false">
      <c r="A65" s="78" t="s">
        <v>1396</v>
      </c>
      <c r="B65" s="19" t="n">
        <v>71</v>
      </c>
      <c r="D65" s="19" t="n">
        <v>72</v>
      </c>
      <c r="E65" s="68" t="n">
        <f aca="false">IF(AND(ISNUMBER(D65),ISNUMBER(B65)),D65-B65,"")</f>
        <v>1</v>
      </c>
      <c r="F65" s="19"/>
      <c r="G65" s="68" t="str">
        <f aca="false">IF(AND(ISNUMBER(F65),ISNUMBER(D65)),F65-D65,"")</f>
        <v/>
      </c>
      <c r="H65" s="19"/>
      <c r="I65" s="68" t="str">
        <f aca="false">IF(AND(ISNUMBER(H65),ISNUMBER(F65)),H65-F65,"")</f>
        <v/>
      </c>
      <c r="J65" s="19"/>
      <c r="K65" s="68" t="str">
        <f aca="false">IF(AND(ISNUMBER(J65),ISNUMBER(H65)),J65-H65,"")</f>
        <v/>
      </c>
    </row>
    <row r="66" customFormat="false" ht="15" hidden="false" customHeight="false" outlineLevel="0" collapsed="false">
      <c r="A66" s="78" t="s">
        <v>1397</v>
      </c>
      <c r="B66" s="19" t="n">
        <v>60</v>
      </c>
      <c r="D66" s="19" t="n">
        <v>61</v>
      </c>
      <c r="E66" s="68" t="n">
        <f aca="false">IF(AND(ISNUMBER(D66),ISNUMBER(B66)),D66-B66,"")</f>
        <v>1</v>
      </c>
      <c r="F66" s="19"/>
      <c r="G66" s="68" t="str">
        <f aca="false">IF(AND(ISNUMBER(F66),ISNUMBER(D66)),F66-D66,"")</f>
        <v/>
      </c>
      <c r="H66" s="19"/>
      <c r="I66" s="68" t="str">
        <f aca="false">IF(AND(ISNUMBER(H66),ISNUMBER(F66)),H66-F66,"")</f>
        <v/>
      </c>
      <c r="J66" s="19"/>
      <c r="K66" s="68" t="str">
        <f aca="false">IF(AND(ISNUMBER(J66),ISNUMBER(H66)),J66-H66,"")</f>
        <v/>
      </c>
    </row>
    <row r="67" customFormat="false" ht="15" hidden="false" customHeight="false" outlineLevel="0" collapsed="false">
      <c r="A67" s="4" t="s">
        <v>1398</v>
      </c>
      <c r="B67" s="79" t="n">
        <v>68</v>
      </c>
      <c r="D67" s="79" t="n">
        <v>71</v>
      </c>
      <c r="E67" s="68" t="n">
        <f aca="false">IF(AND(ISNUMBER(D67),ISNUMBER(B67)),D67-B67,"")</f>
        <v>3</v>
      </c>
      <c r="F67" s="79"/>
      <c r="G67" s="68" t="str">
        <f aca="false">IF(AND(ISNUMBER(F67),ISNUMBER(D67)),F67-D67,"")</f>
        <v/>
      </c>
      <c r="H67" s="79"/>
      <c r="I67" s="68" t="str">
        <f aca="false">IF(AND(ISNUMBER(H67),ISNUMBER(F67)),H67-F67,"")</f>
        <v/>
      </c>
      <c r="J67" s="79"/>
      <c r="K67" s="68" t="str">
        <f aca="false">IF(AND(ISNUMBER(J67),ISNUMBER(H67)),J67-H67,"")</f>
        <v/>
      </c>
    </row>
    <row r="68" customFormat="false" ht="15" hidden="false" customHeight="false" outlineLevel="0" collapsed="false">
      <c r="A68" s="78" t="s">
        <v>1399</v>
      </c>
      <c r="B68" s="19" t="n">
        <v>74</v>
      </c>
      <c r="D68" s="19" t="n">
        <v>75</v>
      </c>
      <c r="E68" s="68" t="n">
        <f aca="false">IF(AND(ISNUMBER(D68),ISNUMBER(B68)),D68-B68,"")</f>
        <v>1</v>
      </c>
      <c r="F68" s="19"/>
      <c r="G68" s="68" t="str">
        <f aca="false">IF(AND(ISNUMBER(F68),ISNUMBER(D68)),F68-D68,"")</f>
        <v/>
      </c>
      <c r="H68" s="19"/>
      <c r="I68" s="68" t="str">
        <f aca="false">IF(AND(ISNUMBER(H68),ISNUMBER(F68)),H68-F68,"")</f>
        <v/>
      </c>
      <c r="J68" s="19"/>
      <c r="K68" s="68" t="str">
        <f aca="false">IF(AND(ISNUMBER(J68),ISNUMBER(H68)),J68-H68,"")</f>
        <v/>
      </c>
    </row>
    <row r="69" customFormat="false" ht="15" hidden="false" customHeight="false" outlineLevel="0" collapsed="false">
      <c r="A69" s="78" t="s">
        <v>1400</v>
      </c>
      <c r="B69" s="19" t="n">
        <v>58</v>
      </c>
      <c r="D69" s="19" t="n">
        <v>57</v>
      </c>
      <c r="E69" s="68" t="n">
        <f aca="false">IF(AND(ISNUMBER(D69),ISNUMBER(B69)),D69-B69,"")</f>
        <v>-1</v>
      </c>
      <c r="F69" s="19"/>
      <c r="G69" s="68" t="str">
        <f aca="false">IF(AND(ISNUMBER(F69),ISNUMBER(D69)),F69-D69,"")</f>
        <v/>
      </c>
      <c r="H69" s="19"/>
      <c r="I69" s="68" t="str">
        <f aca="false">IF(AND(ISNUMBER(H69),ISNUMBER(F69)),H69-F69,"")</f>
        <v/>
      </c>
      <c r="J69" s="19"/>
      <c r="K69" s="68" t="str">
        <f aca="false">IF(AND(ISNUMBER(J69),ISNUMBER(H69)),J69-H69,"")</f>
        <v/>
      </c>
    </row>
    <row r="70" customFormat="false" ht="15" hidden="false" customHeight="false" outlineLevel="0" collapsed="false">
      <c r="A70" s="78" t="s">
        <v>1401</v>
      </c>
      <c r="B70" s="19" t="n">
        <v>64</v>
      </c>
      <c r="D70" s="19" t="n">
        <v>65</v>
      </c>
      <c r="E70" s="68" t="n">
        <f aca="false">IF(AND(ISNUMBER(D70),ISNUMBER(B70)),D70-B70,"")</f>
        <v>1</v>
      </c>
      <c r="F70" s="19"/>
      <c r="G70" s="68" t="str">
        <f aca="false">IF(AND(ISNUMBER(F70),ISNUMBER(D70)),F70-D70,"")</f>
        <v/>
      </c>
      <c r="H70" s="19"/>
      <c r="I70" s="68" t="str">
        <f aca="false">IF(AND(ISNUMBER(H70),ISNUMBER(F70)),H70-F70,"")</f>
        <v/>
      </c>
      <c r="J70" s="19"/>
      <c r="K70" s="68" t="str">
        <f aca="false">IF(AND(ISNUMBER(J70),ISNUMBER(H70)),J70-H70,"")</f>
        <v/>
      </c>
    </row>
    <row r="71" customFormat="false" ht="15" hidden="false" customHeight="false" outlineLevel="0" collapsed="false">
      <c r="A71" s="78" t="s">
        <v>1402</v>
      </c>
      <c r="B71" s="19" t="n">
        <v>72</v>
      </c>
      <c r="D71" s="19" t="n">
        <v>73</v>
      </c>
      <c r="E71" s="68" t="n">
        <f aca="false">IF(AND(ISNUMBER(D71),ISNUMBER(B71)),D71-B71,"")</f>
        <v>1</v>
      </c>
      <c r="F71" s="19"/>
      <c r="G71" s="68" t="str">
        <f aca="false">IF(AND(ISNUMBER(F71),ISNUMBER(D71)),F71-D71,"")</f>
        <v/>
      </c>
      <c r="H71" s="19"/>
      <c r="I71" s="68" t="str">
        <f aca="false">IF(AND(ISNUMBER(H71),ISNUMBER(F71)),H71-F71,"")</f>
        <v/>
      </c>
      <c r="J71" s="19"/>
      <c r="K71" s="68" t="str">
        <f aca="false">IF(AND(ISNUMBER(J71),ISNUMBER(H71)),J71-H71,"")</f>
        <v/>
      </c>
    </row>
    <row r="72" customFormat="false" ht="15" hidden="false" customHeight="false" outlineLevel="0" collapsed="false">
      <c r="A72" s="78" t="s">
        <v>1403</v>
      </c>
      <c r="B72" s="19" t="n">
        <v>62</v>
      </c>
      <c r="D72" s="19" t="n">
        <v>61</v>
      </c>
      <c r="E72" s="68" t="n">
        <f aca="false">IF(AND(ISNUMBER(D72),ISNUMBER(B72)),D72-B72,"")</f>
        <v>-1</v>
      </c>
      <c r="F72" s="19"/>
      <c r="G72" s="68" t="str">
        <f aca="false">IF(AND(ISNUMBER(F72),ISNUMBER(D72)),F72-D72,"")</f>
        <v/>
      </c>
      <c r="H72" s="19"/>
      <c r="I72" s="68" t="str">
        <f aca="false">IF(AND(ISNUMBER(H72),ISNUMBER(F72)),H72-F72,"")</f>
        <v/>
      </c>
      <c r="J72" s="19"/>
      <c r="K72" s="68" t="str">
        <f aca="false">IF(AND(ISNUMBER(J72),ISNUMBER(H72)),J72-H72,"")</f>
        <v/>
      </c>
    </row>
    <row r="73" customFormat="false" ht="15" hidden="false" customHeight="false" outlineLevel="0" collapsed="false">
      <c r="A73" s="5" t="s">
        <v>1404</v>
      </c>
      <c r="B73" s="26" t="n">
        <f aca="false">IF(COUNT(B65:B72)=0,"",AVERAGE(B65:B72))</f>
        <v>66.125</v>
      </c>
      <c r="D73" s="26" t="n">
        <f aca="false">IF(COUNT(D65:D72)=0,"",AVERAGE(D65:D72))</f>
        <v>66.875</v>
      </c>
      <c r="F73" s="26" t="str">
        <f aca="false">IF(COUNT(F65:F72)=0,"",AVERAGE(F65:F72))</f>
        <v/>
      </c>
      <c r="H73" s="26" t="str">
        <f aca="false">IF(COUNT(H65:H72)=0,"",AVERAGE(H65:H72))</f>
        <v/>
      </c>
      <c r="J73" s="26" t="str">
        <f aca="false">IF(COUNT(J65:J72)=0,"",AVERAGE(J65:J72))</f>
        <v/>
      </c>
    </row>
    <row r="74" customFormat="false" ht="15" hidden="false" customHeight="false" outlineLevel="0" collapsed="false">
      <c r="A74" s="20" t="s">
        <v>1405</v>
      </c>
      <c r="B74" s="57" t="n">
        <f aca="false">IF(ISNUMBER(B67),RANK(B67,B65:B72,0),"")</f>
        <v>4</v>
      </c>
      <c r="D74" s="57" t="n">
        <f aca="false">IF(ISNUMBER(D67),RANK(D67,D65:D72,0),"")</f>
        <v>4</v>
      </c>
      <c r="E74" s="68" t="n">
        <f aca="false">IF(AND(ISNUMBER(D74),ISNUMBER(B74)),D74-B74,"")</f>
        <v>0</v>
      </c>
      <c r="F74" s="57" t="str">
        <f aca="false">IF(ISNUMBER(F67),RANK(F67,F65:F72,0),"")</f>
        <v/>
      </c>
      <c r="G74" s="68" t="str">
        <f aca="false">IF(AND(ISNUMBER(F74),ISNUMBER(D74)),F74-D74,"")</f>
        <v/>
      </c>
      <c r="H74" s="57" t="str">
        <f aca="false">IF(ISNUMBER(H67),RANK(H67,H65:H72,0),"")</f>
        <v/>
      </c>
      <c r="I74" s="68" t="str">
        <f aca="false">IF(AND(ISNUMBER(H74),ISNUMBER(F74)),H74-F74,"")</f>
        <v/>
      </c>
      <c r="J74" s="57" t="str">
        <f aca="false">IF(ISNUMBER(J67),RANK(J67,J65:J72,0),"")</f>
        <v/>
      </c>
      <c r="K74" s="68" t="str">
        <f aca="false">IF(AND(ISNUMBER(J74),ISNUMBER(H74)),J74-H74,"")</f>
        <v/>
      </c>
    </row>
    <row r="76" customFormat="false" ht="30" hidden="false" customHeight="true" outlineLevel="0" collapsed="false">
      <c r="A76" s="12" t="s">
        <v>111</v>
      </c>
      <c r="B76" s="12" t="s">
        <v>1156</v>
      </c>
      <c r="C76" s="12" t="s">
        <v>1325</v>
      </c>
      <c r="D76" s="12" t="s">
        <v>1157</v>
      </c>
      <c r="E76" s="12" t="s">
        <v>1325</v>
      </c>
      <c r="F76" s="12" t="s">
        <v>1158</v>
      </c>
      <c r="G76" s="12" t="s">
        <v>1325</v>
      </c>
      <c r="H76" s="12" t="s">
        <v>1159</v>
      </c>
      <c r="I76" s="12" t="s">
        <v>1325</v>
      </c>
      <c r="J76" s="12" t="s">
        <v>1160</v>
      </c>
      <c r="K76" s="12" t="s">
        <v>1325</v>
      </c>
    </row>
    <row r="77" customFormat="false" ht="15" hidden="false" customHeight="false" outlineLevel="0" collapsed="false">
      <c r="A77" s="78" t="s">
        <v>1396</v>
      </c>
      <c r="B77" s="11" t="s">
        <v>112</v>
      </c>
      <c r="D77" s="11" t="s">
        <v>112</v>
      </c>
      <c r="F77" s="11"/>
      <c r="H77" s="11"/>
      <c r="J77" s="11"/>
    </row>
    <row r="78" customFormat="false" ht="15" hidden="false" customHeight="false" outlineLevel="0" collapsed="false">
      <c r="A78" s="78" t="s">
        <v>1397</v>
      </c>
      <c r="B78" s="11" t="s">
        <v>1340</v>
      </c>
      <c r="D78" s="11" t="s">
        <v>1339</v>
      </c>
      <c r="F78" s="11"/>
      <c r="H78" s="11"/>
      <c r="J78" s="11"/>
    </row>
    <row r="79" customFormat="false" ht="15" hidden="false" customHeight="false" outlineLevel="0" collapsed="false">
      <c r="A79" s="4" t="s">
        <v>1398</v>
      </c>
      <c r="B79" s="83" t="s">
        <v>1339</v>
      </c>
      <c r="D79" s="83" t="s">
        <v>1338</v>
      </c>
      <c r="F79" s="83"/>
      <c r="H79" s="83"/>
      <c r="J79" s="83"/>
    </row>
    <row r="80" customFormat="false" ht="15" hidden="false" customHeight="false" outlineLevel="0" collapsed="false">
      <c r="A80" s="78" t="s">
        <v>1399</v>
      </c>
      <c r="B80" s="11" t="s">
        <v>112</v>
      </c>
      <c r="D80" s="11" t="s">
        <v>1337</v>
      </c>
      <c r="F80" s="11"/>
      <c r="H80" s="11"/>
      <c r="J80" s="11"/>
    </row>
    <row r="81" customFormat="false" ht="15" hidden="false" customHeight="false" outlineLevel="0" collapsed="false">
      <c r="A81" s="78" t="s">
        <v>1400</v>
      </c>
      <c r="B81" s="11" t="s">
        <v>1341</v>
      </c>
      <c r="D81" s="11" t="s">
        <v>1341</v>
      </c>
      <c r="F81" s="11"/>
      <c r="H81" s="11"/>
      <c r="J81" s="11"/>
    </row>
    <row r="82" customFormat="false" ht="15" hidden="false" customHeight="false" outlineLevel="0" collapsed="false">
      <c r="A82" s="78" t="s">
        <v>1401</v>
      </c>
      <c r="B82" s="11" t="s">
        <v>1339</v>
      </c>
      <c r="D82" s="11" t="s">
        <v>1339</v>
      </c>
      <c r="F82" s="11"/>
      <c r="H82" s="11"/>
      <c r="J82" s="11"/>
    </row>
    <row r="83" customFormat="false" ht="15" hidden="false" customHeight="false" outlineLevel="0" collapsed="false">
      <c r="A83" s="78" t="s">
        <v>1402</v>
      </c>
      <c r="B83" s="11" t="s">
        <v>1338</v>
      </c>
      <c r="D83" s="11" t="s">
        <v>1338</v>
      </c>
      <c r="F83" s="11"/>
      <c r="H83" s="11"/>
      <c r="J83" s="11"/>
    </row>
    <row r="84" customFormat="false" ht="15" hidden="false" customHeight="false" outlineLevel="0" collapsed="false">
      <c r="A84" s="78" t="s">
        <v>1403</v>
      </c>
      <c r="B84" s="11" t="s">
        <v>1340</v>
      </c>
      <c r="D84" s="11" t="s">
        <v>1340</v>
      </c>
      <c r="F84" s="11"/>
      <c r="H84" s="11"/>
      <c r="J84" s="11"/>
    </row>
    <row r="86" customFormat="false" ht="30" hidden="false" customHeight="true" outlineLevel="0" collapsed="false">
      <c r="A86" s="12" t="s">
        <v>1408</v>
      </c>
      <c r="B86" s="12" t="s">
        <v>1156</v>
      </c>
      <c r="C86" s="12" t="s">
        <v>1325</v>
      </c>
      <c r="D86" s="12" t="s">
        <v>1157</v>
      </c>
      <c r="E86" s="12" t="s">
        <v>1325</v>
      </c>
      <c r="F86" s="12" t="s">
        <v>1158</v>
      </c>
      <c r="G86" s="12" t="s">
        <v>1325</v>
      </c>
      <c r="H86" s="12" t="s">
        <v>1159</v>
      </c>
      <c r="I86" s="12" t="s">
        <v>1325</v>
      </c>
      <c r="J86" s="12" t="s">
        <v>1160</v>
      </c>
      <c r="K86" s="12" t="s">
        <v>1325</v>
      </c>
    </row>
    <row r="87" customFormat="false" ht="15" hidden="false" customHeight="false" outlineLevel="0" collapsed="false">
      <c r="A87" s="78" t="s">
        <v>1396</v>
      </c>
      <c r="B87" s="38" t="n">
        <v>288</v>
      </c>
      <c r="D87" s="38" t="n">
        <v>291.25</v>
      </c>
      <c r="E87" s="74" t="n">
        <f aca="false">IF(AND(ISNUMBER(D87),ISNUMBER(B87)),D87-B87,"")</f>
        <v>3.25</v>
      </c>
      <c r="F87" s="38"/>
      <c r="G87" s="74" t="str">
        <f aca="false">IF(AND(ISNUMBER(F87),ISNUMBER(D87)),F87-D87,"")</f>
        <v/>
      </c>
      <c r="H87" s="38"/>
      <c r="I87" s="74" t="str">
        <f aca="false">IF(AND(ISNUMBER(H87),ISNUMBER(F87)),H87-F87,"")</f>
        <v/>
      </c>
      <c r="J87" s="38"/>
      <c r="K87" s="74" t="str">
        <f aca="false">IF(AND(ISNUMBER(J87),ISNUMBER(H87)),J87-H87,"")</f>
        <v/>
      </c>
    </row>
    <row r="88" customFormat="false" ht="15" hidden="false" customHeight="false" outlineLevel="0" collapsed="false">
      <c r="A88" s="78" t="s">
        <v>1397</v>
      </c>
      <c r="B88" s="38" t="n">
        <v>233.25</v>
      </c>
      <c r="D88" s="38" t="n">
        <v>230.75</v>
      </c>
      <c r="E88" s="74" t="n">
        <f aca="false">IF(AND(ISNUMBER(D88),ISNUMBER(B88)),D88-B88,"")</f>
        <v>-2.5</v>
      </c>
      <c r="F88" s="38"/>
      <c r="G88" s="74" t="str">
        <f aca="false">IF(AND(ISNUMBER(F88),ISNUMBER(D88)),F88-D88,"")</f>
        <v/>
      </c>
      <c r="H88" s="38"/>
      <c r="I88" s="74" t="str">
        <f aca="false">IF(AND(ISNUMBER(H88),ISNUMBER(F88)),H88-F88,"")</f>
        <v/>
      </c>
      <c r="J88" s="38"/>
      <c r="K88" s="74" t="str">
        <f aca="false">IF(AND(ISNUMBER(J88),ISNUMBER(H88)),J88-H88,"")</f>
        <v/>
      </c>
    </row>
    <row r="89" customFormat="false" ht="15" hidden="false" customHeight="false" outlineLevel="0" collapsed="false">
      <c r="A89" s="4" t="s">
        <v>1398</v>
      </c>
      <c r="B89" s="84" t="n">
        <v>262</v>
      </c>
      <c r="D89" s="84" t="n">
        <v>257.25</v>
      </c>
      <c r="E89" s="74" t="n">
        <f aca="false">IF(AND(ISNUMBER(D89),ISNUMBER(B89)),D89-B89,"")</f>
        <v>-4.75</v>
      </c>
      <c r="F89" s="84"/>
      <c r="G89" s="74" t="str">
        <f aca="false">IF(AND(ISNUMBER(F89),ISNUMBER(D89)),F89-D89,"")</f>
        <v/>
      </c>
      <c r="H89" s="84"/>
      <c r="I89" s="74" t="str">
        <f aca="false">IF(AND(ISNUMBER(H89),ISNUMBER(F89)),H89-F89,"")</f>
        <v/>
      </c>
      <c r="J89" s="84"/>
      <c r="K89" s="74" t="str">
        <f aca="false">IF(AND(ISNUMBER(J89),ISNUMBER(H89)),J89-H89,"")</f>
        <v/>
      </c>
    </row>
    <row r="90" customFormat="false" ht="15" hidden="false" customHeight="false" outlineLevel="0" collapsed="false">
      <c r="A90" s="78" t="s">
        <v>1399</v>
      </c>
      <c r="B90" s="38" t="n">
        <v>308.75</v>
      </c>
      <c r="D90" s="38" t="n">
        <v>299.75</v>
      </c>
      <c r="E90" s="74" t="n">
        <f aca="false">IF(AND(ISNUMBER(D90),ISNUMBER(B90)),D90-B90,"")</f>
        <v>-9</v>
      </c>
      <c r="F90" s="38"/>
      <c r="G90" s="74" t="str">
        <f aca="false">IF(AND(ISNUMBER(F90),ISNUMBER(D90)),F90-D90,"")</f>
        <v/>
      </c>
      <c r="H90" s="38"/>
      <c r="I90" s="74" t="str">
        <f aca="false">IF(AND(ISNUMBER(H90),ISNUMBER(F90)),H90-F90,"")</f>
        <v/>
      </c>
      <c r="J90" s="38"/>
      <c r="K90" s="74" t="str">
        <f aca="false">IF(AND(ISNUMBER(J90),ISNUMBER(H90)),J90-H90,"")</f>
        <v/>
      </c>
    </row>
    <row r="91" customFormat="false" ht="15" hidden="false" customHeight="false" outlineLevel="0" collapsed="false">
      <c r="A91" s="78" t="s">
        <v>1400</v>
      </c>
      <c r="B91" s="38" t="n">
        <v>243</v>
      </c>
      <c r="D91" s="38" t="n">
        <v>242.25</v>
      </c>
      <c r="E91" s="74" t="n">
        <f aca="false">IF(AND(ISNUMBER(D91),ISNUMBER(B91)),D91-B91,"")</f>
        <v>-0.75</v>
      </c>
      <c r="F91" s="38"/>
      <c r="G91" s="74" t="str">
        <f aca="false">IF(AND(ISNUMBER(F91),ISNUMBER(D91)),F91-D91,"")</f>
        <v/>
      </c>
      <c r="H91" s="38"/>
      <c r="I91" s="74" t="str">
        <f aca="false">IF(AND(ISNUMBER(H91),ISNUMBER(F91)),H91-F91,"")</f>
        <v/>
      </c>
      <c r="J91" s="38"/>
      <c r="K91" s="74" t="str">
        <f aca="false">IF(AND(ISNUMBER(J91),ISNUMBER(H91)),J91-H91,"")</f>
        <v/>
      </c>
    </row>
    <row r="92" customFormat="false" ht="15" hidden="false" customHeight="false" outlineLevel="0" collapsed="false">
      <c r="A92" s="78" t="s">
        <v>1401</v>
      </c>
      <c r="B92" s="38" t="n">
        <v>259.75</v>
      </c>
      <c r="D92" s="38" t="n">
        <v>269</v>
      </c>
      <c r="E92" s="74" t="n">
        <f aca="false">IF(AND(ISNUMBER(D92),ISNUMBER(B92)),D92-B92,"")</f>
        <v>9.25</v>
      </c>
      <c r="F92" s="38"/>
      <c r="G92" s="74" t="str">
        <f aca="false">IF(AND(ISNUMBER(F92),ISNUMBER(D92)),F92-D92,"")</f>
        <v/>
      </c>
      <c r="H92" s="38"/>
      <c r="I92" s="74" t="str">
        <f aca="false">IF(AND(ISNUMBER(H92),ISNUMBER(F92)),H92-F92,"")</f>
        <v/>
      </c>
      <c r="J92" s="38"/>
      <c r="K92" s="74" t="str">
        <f aca="false">IF(AND(ISNUMBER(J92),ISNUMBER(H92)),J92-H92,"")</f>
        <v/>
      </c>
    </row>
    <row r="93" customFormat="false" ht="15" hidden="false" customHeight="false" outlineLevel="0" collapsed="false">
      <c r="A93" s="78" t="s">
        <v>1402</v>
      </c>
      <c r="B93" s="38" t="n">
        <v>317.25</v>
      </c>
      <c r="D93" s="38" t="n">
        <v>317.5</v>
      </c>
      <c r="E93" s="74" t="n">
        <f aca="false">IF(AND(ISNUMBER(D93),ISNUMBER(B93)),D93-B93,"")</f>
        <v>0.25</v>
      </c>
      <c r="F93" s="38"/>
      <c r="G93" s="74" t="str">
        <f aca="false">IF(AND(ISNUMBER(F93),ISNUMBER(D93)),F93-D93,"")</f>
        <v/>
      </c>
      <c r="H93" s="38"/>
      <c r="I93" s="74" t="str">
        <f aca="false">IF(AND(ISNUMBER(H93),ISNUMBER(F93)),H93-F93,"")</f>
        <v/>
      </c>
      <c r="J93" s="38"/>
      <c r="K93" s="74" t="str">
        <f aca="false">IF(AND(ISNUMBER(J93),ISNUMBER(H93)),J93-H93,"")</f>
        <v/>
      </c>
    </row>
    <row r="94" customFormat="false" ht="15" hidden="false" customHeight="false" outlineLevel="0" collapsed="false">
      <c r="A94" s="78" t="s">
        <v>1403</v>
      </c>
      <c r="B94" s="38" t="n">
        <v>272</v>
      </c>
      <c r="D94" s="38" t="n">
        <v>273.5</v>
      </c>
      <c r="E94" s="74" t="n">
        <f aca="false">IF(AND(ISNUMBER(D94),ISNUMBER(B94)),D94-B94,"")</f>
        <v>1.5</v>
      </c>
      <c r="F94" s="38"/>
      <c r="G94" s="74" t="str">
        <f aca="false">IF(AND(ISNUMBER(F94),ISNUMBER(D94)),F94-D94,"")</f>
        <v/>
      </c>
      <c r="H94" s="38"/>
      <c r="I94" s="74" t="str">
        <f aca="false">IF(AND(ISNUMBER(H94),ISNUMBER(F94)),H94-F94,"")</f>
        <v/>
      </c>
      <c r="J94" s="38"/>
      <c r="K94" s="74" t="str">
        <f aca="false">IF(AND(ISNUMBER(J94),ISNUMBER(H94)),J94-H94,"")</f>
        <v/>
      </c>
    </row>
    <row r="95" customFormat="false" ht="15" hidden="false" customHeight="false" outlineLevel="0" collapsed="false">
      <c r="A95" s="5" t="s">
        <v>1404</v>
      </c>
      <c r="B95" s="35" t="n">
        <f aca="false">IF(COUNT(B87:B94)=0,"",AVERAGE(B87:B94))</f>
        <v>273</v>
      </c>
      <c r="D95" s="35" t="n">
        <f aca="false">IF(COUNT(D87:D94)=0,"",AVERAGE(D87:D94))</f>
        <v>272.65625</v>
      </c>
      <c r="F95" s="35" t="str">
        <f aca="false">IF(COUNT(F87:F94)=0,"",AVERAGE(F87:F94))</f>
        <v/>
      </c>
      <c r="H95" s="35" t="str">
        <f aca="false">IF(COUNT(H87:H94)=0,"",AVERAGE(H87:H94))</f>
        <v/>
      </c>
      <c r="J95" s="35" t="str">
        <f aca="false">IF(COUNT(J87:J94)=0,"",AVERAGE(J87:J94))</f>
        <v/>
      </c>
    </row>
    <row r="97" customFormat="false" ht="30" hidden="false" customHeight="true" outlineLevel="0" collapsed="false">
      <c r="A97" s="12" t="s">
        <v>1409</v>
      </c>
      <c r="B97" s="12" t="s">
        <v>1156</v>
      </c>
      <c r="C97" s="12" t="s">
        <v>1325</v>
      </c>
      <c r="D97" s="12" t="s">
        <v>1157</v>
      </c>
      <c r="E97" s="12" t="s">
        <v>1325</v>
      </c>
      <c r="F97" s="12" t="s">
        <v>1158</v>
      </c>
      <c r="G97" s="12" t="s">
        <v>1325</v>
      </c>
      <c r="H97" s="12" t="s">
        <v>1159</v>
      </c>
      <c r="I97" s="12" t="s">
        <v>1325</v>
      </c>
      <c r="J97" s="12" t="s">
        <v>1160</v>
      </c>
      <c r="K97" s="12" t="s">
        <v>1325</v>
      </c>
    </row>
    <row r="98" customFormat="false" ht="15" hidden="false" customHeight="false" outlineLevel="0" collapsed="false">
      <c r="A98" s="78" t="s">
        <v>1396</v>
      </c>
      <c r="B98" s="28" t="n">
        <v>4.35</v>
      </c>
      <c r="D98" s="28" t="n">
        <v>4.375</v>
      </c>
      <c r="E98" s="67" t="n">
        <f aca="false">IF(AND(ISNUMBER(D98),ISNUMBER(B98)),D98-B98,"")</f>
        <v>0.0250000000000004</v>
      </c>
      <c r="F98" s="28"/>
      <c r="G98" s="67" t="str">
        <f aca="false">IF(AND(ISNUMBER(F98),ISNUMBER(D98)),F98-D98,"")</f>
        <v/>
      </c>
      <c r="H98" s="28"/>
      <c r="I98" s="67" t="str">
        <f aca="false">IF(AND(ISNUMBER(H98),ISNUMBER(F98)),H98-F98,"")</f>
        <v/>
      </c>
      <c r="J98" s="28"/>
      <c r="K98" s="67" t="str">
        <f aca="false">IF(AND(ISNUMBER(J98),ISNUMBER(H98)),J98-H98,"")</f>
        <v/>
      </c>
    </row>
    <row r="99" customFormat="false" ht="15" hidden="false" customHeight="false" outlineLevel="0" collapsed="false">
      <c r="A99" s="78" t="s">
        <v>1397</v>
      </c>
      <c r="B99" s="28" t="n">
        <v>3.4</v>
      </c>
      <c r="D99" s="28" t="n">
        <v>3.425</v>
      </c>
      <c r="E99" s="67" t="n">
        <f aca="false">IF(AND(ISNUMBER(D99),ISNUMBER(B99)),D99-B99,"")</f>
        <v>0.0249999999999999</v>
      </c>
      <c r="F99" s="28"/>
      <c r="G99" s="67" t="str">
        <f aca="false">IF(AND(ISNUMBER(F99),ISNUMBER(D99)),F99-D99,"")</f>
        <v/>
      </c>
      <c r="H99" s="28"/>
      <c r="I99" s="67" t="str">
        <f aca="false">IF(AND(ISNUMBER(H99),ISNUMBER(F99)),H99-F99,"")</f>
        <v/>
      </c>
      <c r="J99" s="28"/>
      <c r="K99" s="67" t="str">
        <f aca="false">IF(AND(ISNUMBER(J99),ISNUMBER(H99)),J99-H99,"")</f>
        <v/>
      </c>
    </row>
    <row r="100" customFormat="false" ht="15" hidden="false" customHeight="false" outlineLevel="0" collapsed="false">
      <c r="A100" s="4" t="s">
        <v>1398</v>
      </c>
      <c r="B100" s="85" t="n">
        <v>3.9</v>
      </c>
      <c r="D100" s="85" t="n">
        <v>4.05</v>
      </c>
      <c r="E100" s="67" t="n">
        <f aca="false">IF(AND(ISNUMBER(D100),ISNUMBER(B100)),D100-B100,"")</f>
        <v>0.15</v>
      </c>
      <c r="F100" s="85"/>
      <c r="G100" s="67" t="str">
        <f aca="false">IF(AND(ISNUMBER(F100),ISNUMBER(D100)),F100-D100,"")</f>
        <v/>
      </c>
      <c r="H100" s="85"/>
      <c r="I100" s="67" t="str">
        <f aca="false">IF(AND(ISNUMBER(H100),ISNUMBER(F100)),H100-F100,"")</f>
        <v/>
      </c>
      <c r="J100" s="85"/>
      <c r="K100" s="67" t="str">
        <f aca="false">IF(AND(ISNUMBER(J100),ISNUMBER(H100)),J100-H100,"")</f>
        <v/>
      </c>
    </row>
    <row r="101" customFormat="false" ht="15" hidden="false" customHeight="false" outlineLevel="0" collapsed="false">
      <c r="A101" s="78" t="s">
        <v>1399</v>
      </c>
      <c r="B101" s="28" t="n">
        <v>4.2</v>
      </c>
      <c r="D101" s="28" t="n">
        <v>4.175</v>
      </c>
      <c r="E101" s="67" t="n">
        <f aca="false">IF(AND(ISNUMBER(D101),ISNUMBER(B101)),D101-B101,"")</f>
        <v>-0.0250000000000004</v>
      </c>
      <c r="F101" s="28"/>
      <c r="G101" s="67" t="str">
        <f aca="false">IF(AND(ISNUMBER(F101),ISNUMBER(D101)),F101-D101,"")</f>
        <v/>
      </c>
      <c r="H101" s="28"/>
      <c r="I101" s="67" t="str">
        <f aca="false">IF(AND(ISNUMBER(H101),ISNUMBER(F101)),H101-F101,"")</f>
        <v/>
      </c>
      <c r="J101" s="28"/>
      <c r="K101" s="67" t="str">
        <f aca="false">IF(AND(ISNUMBER(J101),ISNUMBER(H101)),J101-H101,"")</f>
        <v/>
      </c>
    </row>
    <row r="102" customFormat="false" ht="15" hidden="false" customHeight="false" outlineLevel="0" collapsed="false">
      <c r="A102" s="78" t="s">
        <v>1400</v>
      </c>
      <c r="B102" s="28" t="n">
        <v>3.5</v>
      </c>
      <c r="D102" s="28" t="n">
        <v>3.55</v>
      </c>
      <c r="E102" s="67" t="n">
        <f aca="false">IF(AND(ISNUMBER(D102),ISNUMBER(B102)),D102-B102,"")</f>
        <v>0.0499999999999998</v>
      </c>
      <c r="F102" s="28"/>
      <c r="G102" s="67" t="str">
        <f aca="false">IF(AND(ISNUMBER(F102),ISNUMBER(D102)),F102-D102,"")</f>
        <v/>
      </c>
      <c r="H102" s="28"/>
      <c r="I102" s="67" t="str">
        <f aca="false">IF(AND(ISNUMBER(H102),ISNUMBER(F102)),H102-F102,"")</f>
        <v/>
      </c>
      <c r="J102" s="28"/>
      <c r="K102" s="67" t="str">
        <f aca="false">IF(AND(ISNUMBER(J102),ISNUMBER(H102)),J102-H102,"")</f>
        <v/>
      </c>
    </row>
    <row r="103" customFormat="false" ht="15" hidden="false" customHeight="false" outlineLevel="0" collapsed="false">
      <c r="A103" s="78" t="s">
        <v>1401</v>
      </c>
      <c r="B103" s="28" t="n">
        <v>3.9</v>
      </c>
      <c r="D103" s="28" t="n">
        <v>3.925</v>
      </c>
      <c r="E103" s="67" t="n">
        <f aca="false">IF(AND(ISNUMBER(D103),ISNUMBER(B103)),D103-B103,"")</f>
        <v>0.0249999999999999</v>
      </c>
      <c r="F103" s="28"/>
      <c r="G103" s="67" t="str">
        <f aca="false">IF(AND(ISNUMBER(F103),ISNUMBER(D103)),F103-D103,"")</f>
        <v/>
      </c>
      <c r="H103" s="28"/>
      <c r="I103" s="67" t="str">
        <f aca="false">IF(AND(ISNUMBER(H103),ISNUMBER(F103)),H103-F103,"")</f>
        <v/>
      </c>
      <c r="J103" s="28"/>
      <c r="K103" s="67" t="str">
        <f aca="false">IF(AND(ISNUMBER(J103),ISNUMBER(H103)),J103-H103,"")</f>
        <v/>
      </c>
    </row>
    <row r="104" customFormat="false" ht="15" hidden="false" customHeight="false" outlineLevel="0" collapsed="false">
      <c r="A104" s="78" t="s">
        <v>1402</v>
      </c>
      <c r="B104" s="28" t="n">
        <v>4.75</v>
      </c>
      <c r="D104" s="28" t="n">
        <v>4.675</v>
      </c>
      <c r="E104" s="67" t="n">
        <f aca="false">IF(AND(ISNUMBER(D104),ISNUMBER(B104)),D104-B104,"")</f>
        <v>-0.0750000000000002</v>
      </c>
      <c r="F104" s="28"/>
      <c r="G104" s="67" t="str">
        <f aca="false">IF(AND(ISNUMBER(F104),ISNUMBER(D104)),F104-D104,"")</f>
        <v/>
      </c>
      <c r="H104" s="28"/>
      <c r="I104" s="67" t="str">
        <f aca="false">IF(AND(ISNUMBER(H104),ISNUMBER(F104)),H104-F104,"")</f>
        <v/>
      </c>
      <c r="J104" s="28"/>
      <c r="K104" s="67" t="str">
        <f aca="false">IF(AND(ISNUMBER(J104),ISNUMBER(H104)),J104-H104,"")</f>
        <v/>
      </c>
    </row>
    <row r="105" customFormat="false" ht="15" hidden="false" customHeight="false" outlineLevel="0" collapsed="false">
      <c r="A105" s="78" t="s">
        <v>1403</v>
      </c>
      <c r="B105" s="28" t="n">
        <v>3.875</v>
      </c>
      <c r="D105" s="28" t="n">
        <v>3.8</v>
      </c>
      <c r="E105" s="67" t="n">
        <f aca="false">IF(AND(ISNUMBER(D105),ISNUMBER(B105)),D105-B105,"")</f>
        <v>-0.0750000000000002</v>
      </c>
      <c r="F105" s="28"/>
      <c r="G105" s="67" t="str">
        <f aca="false">IF(AND(ISNUMBER(F105),ISNUMBER(D105)),F105-D105,"")</f>
        <v/>
      </c>
      <c r="H105" s="28"/>
      <c r="I105" s="67" t="str">
        <f aca="false">IF(AND(ISNUMBER(H105),ISNUMBER(F105)),H105-F105,"")</f>
        <v/>
      </c>
      <c r="J105" s="28"/>
      <c r="K105" s="67" t="str">
        <f aca="false">IF(AND(ISNUMBER(J105),ISNUMBER(H105)),J105-H105,"")</f>
        <v/>
      </c>
    </row>
    <row r="106" customFormat="false" ht="15" hidden="false" customHeight="false" outlineLevel="0" collapsed="false">
      <c r="A106" s="5" t="s">
        <v>1404</v>
      </c>
      <c r="B106" s="27" t="n">
        <f aca="false">IF(COUNT(B98:B105)=0,"",AVERAGE(B98:B105))</f>
        <v>3.984375</v>
      </c>
      <c r="D106" s="27" t="n">
        <f aca="false">IF(COUNT(D98:D105)=0,"",AVERAGE(D98:D105))</f>
        <v>3.996875</v>
      </c>
      <c r="F106" s="27" t="str">
        <f aca="false">IF(COUNT(F98:F105)=0,"",AVERAGE(F98:F105))</f>
        <v/>
      </c>
      <c r="H106" s="27" t="str">
        <f aca="false">IF(COUNT(H98:H105)=0,"",AVERAGE(H98:H105))</f>
        <v/>
      </c>
      <c r="J106" s="27" t="str">
        <f aca="false">IF(COUNT(J98:J105)=0,"",AVERAGE(J98:J105))</f>
        <v/>
      </c>
    </row>
    <row r="107" customFormat="false" ht="15" hidden="false" customHeight="false" outlineLevel="0" collapsed="false">
      <c r="A107" s="20" t="s">
        <v>1405</v>
      </c>
      <c r="B107" s="57" t="n">
        <f aca="false">IF(ISNUMBER(B100),RANK(B100,B98:B105,0),"")</f>
        <v>4</v>
      </c>
      <c r="D107" s="57" t="n">
        <f aca="false">IF(ISNUMBER(D100),RANK(D100,D98:D105,0),"")</f>
        <v>4</v>
      </c>
      <c r="E107" s="68" t="n">
        <f aca="false">IF(AND(ISNUMBER(D107),ISNUMBER(B107)),D107-B107,"")</f>
        <v>0</v>
      </c>
      <c r="F107" s="57" t="str">
        <f aca="false">IF(ISNUMBER(F100),RANK(F100,F98:F105,0),"")</f>
        <v/>
      </c>
      <c r="G107" s="68" t="str">
        <f aca="false">IF(AND(ISNUMBER(F107),ISNUMBER(D107)),F107-D107,"")</f>
        <v/>
      </c>
      <c r="H107" s="57" t="str">
        <f aca="false">IF(ISNUMBER(H100),RANK(H100,H98:H105,0),"")</f>
        <v/>
      </c>
      <c r="I107" s="68" t="str">
        <f aca="false">IF(AND(ISNUMBER(H107),ISNUMBER(F107)),H107-F107,"")</f>
        <v/>
      </c>
      <c r="J107" s="57" t="str">
        <f aca="false">IF(ISNUMBER(J100),RANK(J100,J98:J105,0),"")</f>
        <v/>
      </c>
      <c r="K107" s="68" t="str">
        <f aca="false">IF(AND(ISNUMBER(J107),ISNUMBER(H107)),J107-H107,"")</f>
        <v/>
      </c>
    </row>
    <row r="109" customFormat="false" ht="30" hidden="false" customHeight="true" outlineLevel="0" collapsed="false">
      <c r="A109" s="12" t="s">
        <v>1410</v>
      </c>
      <c r="B109" s="12" t="s">
        <v>1156</v>
      </c>
      <c r="C109" s="12" t="s">
        <v>1325</v>
      </c>
      <c r="D109" s="12" t="s">
        <v>1157</v>
      </c>
      <c r="E109" s="12" t="s">
        <v>1325</v>
      </c>
      <c r="F109" s="12" t="s">
        <v>1158</v>
      </c>
      <c r="G109" s="12" t="s">
        <v>1325</v>
      </c>
      <c r="H109" s="12" t="s">
        <v>1159</v>
      </c>
      <c r="I109" s="12" t="s">
        <v>1325</v>
      </c>
      <c r="J109" s="12" t="s">
        <v>1160</v>
      </c>
      <c r="K109" s="12" t="s">
        <v>1325</v>
      </c>
    </row>
    <row r="110" customFormat="false" ht="15" hidden="false" customHeight="false" outlineLevel="0" collapsed="false">
      <c r="A110" s="78" t="s">
        <v>1396</v>
      </c>
      <c r="B110" s="28" t="n">
        <v>13.6</v>
      </c>
      <c r="D110" s="28" t="n">
        <v>12.875</v>
      </c>
      <c r="E110" s="67" t="n">
        <f aca="false">IF(AND(ISNUMBER(D110),ISNUMBER(B110)),D110-B110,"")</f>
        <v>-0.725</v>
      </c>
      <c r="F110" s="28"/>
      <c r="G110" s="67" t="str">
        <f aca="false">IF(AND(ISNUMBER(F110),ISNUMBER(D110)),F110-D110,"")</f>
        <v/>
      </c>
      <c r="H110" s="28"/>
      <c r="I110" s="67" t="str">
        <f aca="false">IF(AND(ISNUMBER(H110),ISNUMBER(F110)),H110-F110,"")</f>
        <v/>
      </c>
      <c r="J110" s="28"/>
      <c r="K110" s="67" t="str">
        <f aca="false">IF(AND(ISNUMBER(J110),ISNUMBER(H110)),J110-H110,"")</f>
        <v/>
      </c>
    </row>
    <row r="111" customFormat="false" ht="15" hidden="false" customHeight="false" outlineLevel="0" collapsed="false">
      <c r="A111" s="78" t="s">
        <v>1397</v>
      </c>
      <c r="B111" s="28" t="n">
        <v>13.525</v>
      </c>
      <c r="D111" s="28" t="n">
        <v>13.025</v>
      </c>
      <c r="E111" s="67" t="n">
        <f aca="false">IF(AND(ISNUMBER(D111),ISNUMBER(B111)),D111-B111,"")</f>
        <v>-0.5</v>
      </c>
      <c r="F111" s="28"/>
      <c r="G111" s="67" t="str">
        <f aca="false">IF(AND(ISNUMBER(F111),ISNUMBER(D111)),F111-D111,"")</f>
        <v/>
      </c>
      <c r="H111" s="28"/>
      <c r="I111" s="67" t="str">
        <f aca="false">IF(AND(ISNUMBER(H111),ISNUMBER(F111)),H111-F111,"")</f>
        <v/>
      </c>
      <c r="J111" s="28"/>
      <c r="K111" s="67" t="str">
        <f aca="false">IF(AND(ISNUMBER(J111),ISNUMBER(H111)),J111-H111,"")</f>
        <v/>
      </c>
    </row>
    <row r="112" customFormat="false" ht="15" hidden="false" customHeight="false" outlineLevel="0" collapsed="false">
      <c r="A112" s="4" t="s">
        <v>1398</v>
      </c>
      <c r="B112" s="85" t="n">
        <v>14.675</v>
      </c>
      <c r="D112" s="85" t="n">
        <v>15.35</v>
      </c>
      <c r="E112" s="67" t="n">
        <f aca="false">IF(AND(ISNUMBER(D112),ISNUMBER(B112)),D112-B112,"")</f>
        <v>0.674999999999999</v>
      </c>
      <c r="F112" s="85"/>
      <c r="G112" s="67" t="str">
        <f aca="false">IF(AND(ISNUMBER(F112),ISNUMBER(D112)),F112-D112,"")</f>
        <v/>
      </c>
      <c r="H112" s="85"/>
      <c r="I112" s="67" t="str">
        <f aca="false">IF(AND(ISNUMBER(H112),ISNUMBER(F112)),H112-F112,"")</f>
        <v/>
      </c>
      <c r="J112" s="85"/>
      <c r="K112" s="67" t="str">
        <f aca="false">IF(AND(ISNUMBER(J112),ISNUMBER(H112)),J112-H112,"")</f>
        <v/>
      </c>
    </row>
    <row r="113" customFormat="false" ht="15" hidden="false" customHeight="false" outlineLevel="0" collapsed="false">
      <c r="A113" s="78" t="s">
        <v>1399</v>
      </c>
      <c r="B113" s="28" t="n">
        <v>9.9</v>
      </c>
      <c r="D113" s="28" t="n">
        <v>10.175</v>
      </c>
      <c r="E113" s="67" t="n">
        <f aca="false">IF(AND(ISNUMBER(D113),ISNUMBER(B113)),D113-B113,"")</f>
        <v>0.275</v>
      </c>
      <c r="F113" s="28"/>
      <c r="G113" s="67" t="str">
        <f aca="false">IF(AND(ISNUMBER(F113),ISNUMBER(D113)),F113-D113,"")</f>
        <v/>
      </c>
      <c r="H113" s="28"/>
      <c r="I113" s="67" t="str">
        <f aca="false">IF(AND(ISNUMBER(H113),ISNUMBER(F113)),H113-F113,"")</f>
        <v/>
      </c>
      <c r="J113" s="28"/>
      <c r="K113" s="67" t="str">
        <f aca="false">IF(AND(ISNUMBER(J113),ISNUMBER(H113)),J113-H113,"")</f>
        <v/>
      </c>
    </row>
    <row r="114" customFormat="false" ht="15" hidden="false" customHeight="false" outlineLevel="0" collapsed="false">
      <c r="A114" s="78" t="s">
        <v>1400</v>
      </c>
      <c r="B114" s="28" t="n">
        <v>12.65</v>
      </c>
      <c r="D114" s="28" t="n">
        <v>11.95</v>
      </c>
      <c r="E114" s="67" t="n">
        <f aca="false">IF(AND(ISNUMBER(D114),ISNUMBER(B114)),D114-B114,"")</f>
        <v>-0.700000000000001</v>
      </c>
      <c r="F114" s="28"/>
      <c r="G114" s="67" t="str">
        <f aca="false">IF(AND(ISNUMBER(F114),ISNUMBER(D114)),F114-D114,"")</f>
        <v/>
      </c>
      <c r="H114" s="28"/>
      <c r="I114" s="67" t="str">
        <f aca="false">IF(AND(ISNUMBER(H114),ISNUMBER(F114)),H114-F114,"")</f>
        <v/>
      </c>
      <c r="J114" s="28"/>
      <c r="K114" s="67" t="str">
        <f aca="false">IF(AND(ISNUMBER(J114),ISNUMBER(H114)),J114-H114,"")</f>
        <v/>
      </c>
    </row>
    <row r="115" customFormat="false" ht="15" hidden="false" customHeight="false" outlineLevel="0" collapsed="false">
      <c r="A115" s="78" t="s">
        <v>1401</v>
      </c>
      <c r="B115" s="28" t="n">
        <v>12.325</v>
      </c>
      <c r="D115" s="28" t="n">
        <v>12.675</v>
      </c>
      <c r="E115" s="67" t="n">
        <f aca="false">IF(AND(ISNUMBER(D115),ISNUMBER(B115)),D115-B115,"")</f>
        <v>0.350000000000001</v>
      </c>
      <c r="F115" s="28"/>
      <c r="G115" s="67" t="str">
        <f aca="false">IF(AND(ISNUMBER(F115),ISNUMBER(D115)),F115-D115,"")</f>
        <v/>
      </c>
      <c r="H115" s="28"/>
      <c r="I115" s="67" t="str">
        <f aca="false">IF(AND(ISNUMBER(H115),ISNUMBER(F115)),H115-F115,"")</f>
        <v/>
      </c>
      <c r="J115" s="28"/>
      <c r="K115" s="67" t="str">
        <f aca="false">IF(AND(ISNUMBER(J115),ISNUMBER(H115)),J115-H115,"")</f>
        <v/>
      </c>
    </row>
    <row r="116" customFormat="false" ht="15" hidden="false" customHeight="false" outlineLevel="0" collapsed="false">
      <c r="A116" s="78" t="s">
        <v>1402</v>
      </c>
      <c r="B116" s="28" t="n">
        <v>12.35</v>
      </c>
      <c r="D116" s="28" t="n">
        <v>12.975</v>
      </c>
      <c r="E116" s="67" t="n">
        <f aca="false">IF(AND(ISNUMBER(D116),ISNUMBER(B116)),D116-B116,"")</f>
        <v>0.625</v>
      </c>
      <c r="F116" s="28"/>
      <c r="G116" s="67" t="str">
        <f aca="false">IF(AND(ISNUMBER(F116),ISNUMBER(D116)),F116-D116,"")</f>
        <v/>
      </c>
      <c r="H116" s="28"/>
      <c r="I116" s="67" t="str">
        <f aca="false">IF(AND(ISNUMBER(H116),ISNUMBER(F116)),H116-F116,"")</f>
        <v/>
      </c>
      <c r="J116" s="28"/>
      <c r="K116" s="67" t="str">
        <f aca="false">IF(AND(ISNUMBER(J116),ISNUMBER(H116)),J116-H116,"")</f>
        <v/>
      </c>
    </row>
    <row r="117" customFormat="false" ht="15" hidden="false" customHeight="false" outlineLevel="0" collapsed="false">
      <c r="A117" s="78" t="s">
        <v>1403</v>
      </c>
      <c r="B117" s="28" t="n">
        <v>11.025</v>
      </c>
      <c r="D117" s="28" t="n">
        <v>10.95</v>
      </c>
      <c r="E117" s="67" t="n">
        <f aca="false">IF(AND(ISNUMBER(D117),ISNUMBER(B117)),D117-B117,"")</f>
        <v>-0.0750000000000011</v>
      </c>
      <c r="F117" s="28"/>
      <c r="G117" s="67" t="str">
        <f aca="false">IF(AND(ISNUMBER(F117),ISNUMBER(D117)),F117-D117,"")</f>
        <v/>
      </c>
      <c r="H117" s="28"/>
      <c r="I117" s="67" t="str">
        <f aca="false">IF(AND(ISNUMBER(H117),ISNUMBER(F117)),H117-F117,"")</f>
        <v/>
      </c>
      <c r="J117" s="28"/>
      <c r="K117" s="67" t="str">
        <f aca="false">IF(AND(ISNUMBER(J117),ISNUMBER(H117)),J117-H117,"")</f>
        <v/>
      </c>
    </row>
    <row r="118" customFormat="false" ht="15" hidden="false" customHeight="false" outlineLevel="0" collapsed="false">
      <c r="A118" s="5" t="s">
        <v>1404</v>
      </c>
      <c r="B118" s="27" t="n">
        <f aca="false">IF(COUNT(B110:B117)=0,"",AVERAGE(B110:B117))</f>
        <v>12.50625</v>
      </c>
      <c r="D118" s="27" t="n">
        <f aca="false">IF(COUNT(D110:D117)=0,"",AVERAGE(D110:D117))</f>
        <v>12.496875</v>
      </c>
      <c r="F118" s="27" t="str">
        <f aca="false">IF(COUNT(F110:F117)=0,"",AVERAGE(F110:F117))</f>
        <v/>
      </c>
      <c r="H118" s="27" t="str">
        <f aca="false">IF(COUNT(H110:H117)=0,"",AVERAGE(H110:H117))</f>
        <v/>
      </c>
      <c r="J118" s="27" t="str">
        <f aca="false">IF(COUNT(J110:J117)=0,"",AVERAGE(J110:J117))</f>
        <v/>
      </c>
    </row>
    <row r="119" customFormat="false" ht="15" hidden="false" customHeight="false" outlineLevel="0" collapsed="false">
      <c r="A119" s="20" t="s">
        <v>1405</v>
      </c>
      <c r="B119" s="57" t="n">
        <f aca="false">IF(ISNUMBER(B112),RANK(B112,B110:B117,0),"")</f>
        <v>1</v>
      </c>
      <c r="D119" s="57" t="n">
        <f aca="false">IF(ISNUMBER(D112),RANK(D112,D110:D117,0),"")</f>
        <v>1</v>
      </c>
      <c r="E119" s="68" t="n">
        <f aca="false">IF(AND(ISNUMBER(D119),ISNUMBER(B119)),D119-B119,"")</f>
        <v>0</v>
      </c>
      <c r="F119" s="57" t="str">
        <f aca="false">IF(ISNUMBER(F112),RANK(F112,F110:F117,0),"")</f>
        <v/>
      </c>
      <c r="G119" s="68" t="str">
        <f aca="false">IF(AND(ISNUMBER(F119),ISNUMBER(D119)),F119-D119,"")</f>
        <v/>
      </c>
      <c r="H119" s="57" t="str">
        <f aca="false">IF(ISNUMBER(H112),RANK(H112,H110:H117,0),"")</f>
        <v/>
      </c>
      <c r="I119" s="68" t="str">
        <f aca="false">IF(AND(ISNUMBER(H119),ISNUMBER(F119)),H119-F119,"")</f>
        <v/>
      </c>
      <c r="J119" s="57" t="str">
        <f aca="false">IF(ISNUMBER(J112),RANK(J112,J110:J117,0),"")</f>
        <v/>
      </c>
      <c r="K119" s="68" t="str">
        <f aca="false">IF(AND(ISNUMBER(J119),ISNUMBER(H119)),J119-H119,"")</f>
        <v/>
      </c>
    </row>
    <row r="121" customFormat="false" ht="30" hidden="false" customHeight="true" outlineLevel="0" collapsed="false">
      <c r="A121" s="12" t="s">
        <v>1411</v>
      </c>
      <c r="B121" s="12" t="s">
        <v>1156</v>
      </c>
      <c r="C121" s="12" t="s">
        <v>1325</v>
      </c>
      <c r="D121" s="12" t="s">
        <v>1157</v>
      </c>
      <c r="E121" s="12" t="s">
        <v>1325</v>
      </c>
      <c r="F121" s="12" t="s">
        <v>1158</v>
      </c>
      <c r="G121" s="12" t="s">
        <v>1325</v>
      </c>
      <c r="H121" s="12" t="s">
        <v>1159</v>
      </c>
      <c r="I121" s="12" t="s">
        <v>1325</v>
      </c>
      <c r="J121" s="12" t="s">
        <v>1160</v>
      </c>
      <c r="K121" s="12" t="s">
        <v>1325</v>
      </c>
    </row>
    <row r="122" customFormat="false" ht="15" hidden="false" customHeight="false" outlineLevel="0" collapsed="false">
      <c r="A122" s="78" t="s">
        <v>1396</v>
      </c>
      <c r="B122" s="38" t="n">
        <v>1268.25</v>
      </c>
      <c r="D122" s="38" t="n">
        <v>1271.5</v>
      </c>
      <c r="E122" s="74" t="n">
        <f aca="false">IF(AND(ISNUMBER(D122),ISNUMBER(B122)),D122-B122,"")</f>
        <v>3.25</v>
      </c>
      <c r="F122" s="38"/>
      <c r="G122" s="74" t="str">
        <f aca="false">IF(AND(ISNUMBER(F122),ISNUMBER(D122)),F122-D122,"")</f>
        <v/>
      </c>
      <c r="H122" s="38"/>
      <c r="I122" s="74" t="str">
        <f aca="false">IF(AND(ISNUMBER(H122),ISNUMBER(F122)),H122-F122,"")</f>
        <v/>
      </c>
      <c r="J122" s="38"/>
      <c r="K122" s="74" t="str">
        <f aca="false">IF(AND(ISNUMBER(J122),ISNUMBER(H122)),J122-H122,"")</f>
        <v/>
      </c>
    </row>
    <row r="123" customFormat="false" ht="15" hidden="false" customHeight="false" outlineLevel="0" collapsed="false">
      <c r="A123" s="78" t="s">
        <v>1397</v>
      </c>
      <c r="B123" s="38" t="n">
        <v>1016.5</v>
      </c>
      <c r="D123" s="38" t="n">
        <v>1016.75</v>
      </c>
      <c r="E123" s="74" t="n">
        <f aca="false">IF(AND(ISNUMBER(D123),ISNUMBER(B123)),D123-B123,"")</f>
        <v>0.25</v>
      </c>
      <c r="F123" s="38"/>
      <c r="G123" s="74" t="str">
        <f aca="false">IF(AND(ISNUMBER(F123),ISNUMBER(D123)),F123-D123,"")</f>
        <v/>
      </c>
      <c r="H123" s="38"/>
      <c r="I123" s="74" t="str">
        <f aca="false">IF(AND(ISNUMBER(H123),ISNUMBER(F123)),H123-F123,"")</f>
        <v/>
      </c>
      <c r="J123" s="38"/>
      <c r="K123" s="74" t="str">
        <f aca="false">IF(AND(ISNUMBER(J123),ISNUMBER(H123)),J123-H123,"")</f>
        <v/>
      </c>
    </row>
    <row r="124" customFormat="false" ht="15" hidden="false" customHeight="false" outlineLevel="0" collapsed="false">
      <c r="A124" s="4" t="s">
        <v>1398</v>
      </c>
      <c r="B124" s="84" t="n">
        <v>1282.75</v>
      </c>
      <c r="D124" s="84" t="n">
        <v>1288.75</v>
      </c>
      <c r="E124" s="74" t="n">
        <f aca="false">IF(AND(ISNUMBER(D124),ISNUMBER(B124)),D124-B124,"")</f>
        <v>6</v>
      </c>
      <c r="F124" s="84"/>
      <c r="G124" s="74" t="str">
        <f aca="false">IF(AND(ISNUMBER(F124),ISNUMBER(D124)),F124-D124,"")</f>
        <v/>
      </c>
      <c r="H124" s="84"/>
      <c r="I124" s="74" t="str">
        <f aca="false">IF(AND(ISNUMBER(H124),ISNUMBER(F124)),H124-F124,"")</f>
        <v/>
      </c>
      <c r="J124" s="84"/>
      <c r="K124" s="74" t="str">
        <f aca="false">IF(AND(ISNUMBER(J124),ISNUMBER(H124)),J124-H124,"")</f>
        <v/>
      </c>
    </row>
    <row r="125" customFormat="false" ht="15" hidden="false" customHeight="false" outlineLevel="0" collapsed="false">
      <c r="A125" s="78" t="s">
        <v>1399</v>
      </c>
      <c r="B125" s="38" t="n">
        <v>1365.5</v>
      </c>
      <c r="D125" s="38" t="n">
        <v>1328.5</v>
      </c>
      <c r="E125" s="74" t="n">
        <f aca="false">IF(AND(ISNUMBER(D125),ISNUMBER(B125)),D125-B125,"")</f>
        <v>-37</v>
      </c>
      <c r="F125" s="38"/>
      <c r="G125" s="74" t="str">
        <f aca="false">IF(AND(ISNUMBER(F125),ISNUMBER(D125)),F125-D125,"")</f>
        <v/>
      </c>
      <c r="H125" s="38"/>
      <c r="I125" s="74" t="str">
        <f aca="false">IF(AND(ISNUMBER(H125),ISNUMBER(F125)),H125-F125,"")</f>
        <v/>
      </c>
      <c r="J125" s="38"/>
      <c r="K125" s="74" t="str">
        <f aca="false">IF(AND(ISNUMBER(J125),ISNUMBER(H125)),J125-H125,"")</f>
        <v/>
      </c>
    </row>
    <row r="126" customFormat="false" ht="15" hidden="false" customHeight="false" outlineLevel="0" collapsed="false">
      <c r="A126" s="78" t="s">
        <v>1400</v>
      </c>
      <c r="B126" s="38" t="n">
        <v>1073.75</v>
      </c>
      <c r="D126" s="38" t="n">
        <v>1055</v>
      </c>
      <c r="E126" s="74" t="n">
        <f aca="false">IF(AND(ISNUMBER(D126),ISNUMBER(B126)),D126-B126,"")</f>
        <v>-18.75</v>
      </c>
      <c r="F126" s="38"/>
      <c r="G126" s="74" t="str">
        <f aca="false">IF(AND(ISNUMBER(F126),ISNUMBER(D126)),F126-D126,"")</f>
        <v/>
      </c>
      <c r="H126" s="38"/>
      <c r="I126" s="74" t="str">
        <f aca="false">IF(AND(ISNUMBER(H126),ISNUMBER(F126)),H126-F126,"")</f>
        <v/>
      </c>
      <c r="J126" s="38"/>
      <c r="K126" s="74" t="str">
        <f aca="false">IF(AND(ISNUMBER(J126),ISNUMBER(H126)),J126-H126,"")</f>
        <v/>
      </c>
    </row>
    <row r="127" customFormat="false" ht="15" hidden="false" customHeight="false" outlineLevel="0" collapsed="false">
      <c r="A127" s="78" t="s">
        <v>1401</v>
      </c>
      <c r="B127" s="38" t="n">
        <v>1141</v>
      </c>
      <c r="D127" s="38" t="n">
        <v>1181</v>
      </c>
      <c r="E127" s="74" t="n">
        <f aca="false">IF(AND(ISNUMBER(D127),ISNUMBER(B127)),D127-B127,"")</f>
        <v>40</v>
      </c>
      <c r="F127" s="38"/>
      <c r="G127" s="74" t="str">
        <f aca="false">IF(AND(ISNUMBER(F127),ISNUMBER(D127)),F127-D127,"")</f>
        <v/>
      </c>
      <c r="H127" s="38"/>
      <c r="I127" s="74" t="str">
        <f aca="false">IF(AND(ISNUMBER(H127),ISNUMBER(F127)),H127-F127,"")</f>
        <v/>
      </c>
      <c r="J127" s="38"/>
      <c r="K127" s="74" t="str">
        <f aca="false">IF(AND(ISNUMBER(J127),ISNUMBER(H127)),J127-H127,"")</f>
        <v/>
      </c>
    </row>
    <row r="128" customFormat="false" ht="15" hidden="false" customHeight="false" outlineLevel="0" collapsed="false">
      <c r="A128" s="78" t="s">
        <v>1402</v>
      </c>
      <c r="B128" s="38" t="n">
        <v>1389.5</v>
      </c>
      <c r="D128" s="38" t="n">
        <v>1390</v>
      </c>
      <c r="E128" s="74" t="n">
        <f aca="false">IF(AND(ISNUMBER(D128),ISNUMBER(B128)),D128-B128,"")</f>
        <v>0.5</v>
      </c>
      <c r="F128" s="38"/>
      <c r="G128" s="74" t="str">
        <f aca="false">IF(AND(ISNUMBER(F128),ISNUMBER(D128)),F128-D128,"")</f>
        <v/>
      </c>
      <c r="H128" s="38"/>
      <c r="I128" s="74" t="str">
        <f aca="false">IF(AND(ISNUMBER(H128),ISNUMBER(F128)),H128-F128,"")</f>
        <v/>
      </c>
      <c r="J128" s="38"/>
      <c r="K128" s="74" t="str">
        <f aca="false">IF(AND(ISNUMBER(J128),ISNUMBER(H128)),J128-H128,"")</f>
        <v/>
      </c>
    </row>
    <row r="129" customFormat="false" ht="15" hidden="false" customHeight="false" outlineLevel="0" collapsed="false">
      <c r="A129" s="78" t="s">
        <v>1403</v>
      </c>
      <c r="B129" s="38" t="n">
        <v>1205.75</v>
      </c>
      <c r="D129" s="38" t="n">
        <v>1202.25</v>
      </c>
      <c r="E129" s="74" t="n">
        <f aca="false">IF(AND(ISNUMBER(D129),ISNUMBER(B129)),D129-B129,"")</f>
        <v>-3.5</v>
      </c>
      <c r="F129" s="38"/>
      <c r="G129" s="74" t="str">
        <f aca="false">IF(AND(ISNUMBER(F129),ISNUMBER(D129)),F129-D129,"")</f>
        <v/>
      </c>
      <c r="H129" s="38"/>
      <c r="I129" s="74" t="str">
        <f aca="false">IF(AND(ISNUMBER(H129),ISNUMBER(F129)),H129-F129,"")</f>
        <v/>
      </c>
      <c r="J129" s="38"/>
      <c r="K129" s="74" t="str">
        <f aca="false">IF(AND(ISNUMBER(J129),ISNUMBER(H129)),J129-H129,"")</f>
        <v/>
      </c>
    </row>
    <row r="130" customFormat="false" ht="15" hidden="false" customHeight="false" outlineLevel="0" collapsed="false">
      <c r="A130" s="5" t="s">
        <v>1404</v>
      </c>
      <c r="B130" s="35" t="n">
        <f aca="false">IF(COUNT(B122:B129)=0,"",AVERAGE(B122:B129))</f>
        <v>1217.875</v>
      </c>
      <c r="D130" s="35" t="n">
        <f aca="false">IF(COUNT(D122:D129)=0,"",AVERAGE(D122:D129))</f>
        <v>1216.71875</v>
      </c>
      <c r="F130" s="35" t="str">
        <f aca="false">IF(COUNT(F122:F129)=0,"",AVERAGE(F122:F129))</f>
        <v/>
      </c>
      <c r="H130" s="35" t="str">
        <f aca="false">IF(COUNT(H122:H129)=0,"",AVERAGE(H122:H129))</f>
        <v/>
      </c>
      <c r="J130" s="35" t="str">
        <f aca="false">IF(COUNT(J122:J129)=0,"",AVERAGE(J122:J129))</f>
        <v/>
      </c>
    </row>
    <row r="132" customFormat="false" ht="30" hidden="false" customHeight="true" outlineLevel="0" collapsed="false">
      <c r="A132" s="12" t="s">
        <v>1412</v>
      </c>
      <c r="B132" s="12" t="s">
        <v>1156</v>
      </c>
      <c r="C132" s="12" t="s">
        <v>1325</v>
      </c>
      <c r="D132" s="12" t="s">
        <v>1157</v>
      </c>
      <c r="E132" s="12" t="s">
        <v>1325</v>
      </c>
      <c r="F132" s="12" t="s">
        <v>1158</v>
      </c>
      <c r="G132" s="12" t="s">
        <v>1325</v>
      </c>
      <c r="H132" s="12" t="s">
        <v>1159</v>
      </c>
      <c r="I132" s="12" t="s">
        <v>1325</v>
      </c>
      <c r="J132" s="12" t="s">
        <v>1160</v>
      </c>
      <c r="K132" s="12" t="s">
        <v>1325</v>
      </c>
    </row>
    <row r="133" customFormat="false" ht="15" hidden="false" customHeight="false" outlineLevel="0" collapsed="false">
      <c r="A133" s="78" t="s">
        <v>1396</v>
      </c>
      <c r="B133" s="28" t="n">
        <v>4.475</v>
      </c>
      <c r="D133" s="28" t="n">
        <v>4.475</v>
      </c>
      <c r="E133" s="67" t="n">
        <f aca="false">IF(AND(ISNUMBER(D133),ISNUMBER(B133)),D133-B133,"")</f>
        <v>0</v>
      </c>
      <c r="F133" s="28"/>
      <c r="G133" s="67" t="str">
        <f aca="false">IF(AND(ISNUMBER(F133),ISNUMBER(D133)),F133-D133,"")</f>
        <v/>
      </c>
      <c r="H133" s="28"/>
      <c r="I133" s="67" t="str">
        <f aca="false">IF(AND(ISNUMBER(H133),ISNUMBER(F133)),H133-F133,"")</f>
        <v/>
      </c>
      <c r="J133" s="28"/>
      <c r="K133" s="67" t="str">
        <f aca="false">IF(AND(ISNUMBER(J133),ISNUMBER(H133)),J133-H133,"")</f>
        <v/>
      </c>
    </row>
    <row r="134" customFormat="false" ht="15" hidden="false" customHeight="false" outlineLevel="0" collapsed="false">
      <c r="A134" s="78" t="s">
        <v>1397</v>
      </c>
      <c r="B134" s="28" t="n">
        <v>3.475</v>
      </c>
      <c r="D134" s="28" t="n">
        <v>3.55</v>
      </c>
      <c r="E134" s="67" t="n">
        <f aca="false">IF(AND(ISNUMBER(D134),ISNUMBER(B134)),D134-B134,"")</f>
        <v>0.0749999999999997</v>
      </c>
      <c r="F134" s="28"/>
      <c r="G134" s="67" t="str">
        <f aca="false">IF(AND(ISNUMBER(F134),ISNUMBER(D134)),F134-D134,"")</f>
        <v/>
      </c>
      <c r="H134" s="28"/>
      <c r="I134" s="67" t="str">
        <f aca="false">IF(AND(ISNUMBER(H134),ISNUMBER(F134)),H134-F134,"")</f>
        <v/>
      </c>
      <c r="J134" s="28"/>
      <c r="K134" s="67" t="str">
        <f aca="false">IF(AND(ISNUMBER(J134),ISNUMBER(H134)),J134-H134,"")</f>
        <v/>
      </c>
    </row>
    <row r="135" customFormat="false" ht="15" hidden="false" customHeight="false" outlineLevel="0" collapsed="false">
      <c r="A135" s="4" t="s">
        <v>1398</v>
      </c>
      <c r="B135" s="85" t="n">
        <v>4.65</v>
      </c>
      <c r="D135" s="85" t="n">
        <v>4.6</v>
      </c>
      <c r="E135" s="67" t="n">
        <f aca="false">IF(AND(ISNUMBER(D135),ISNUMBER(B135)),D135-B135,"")</f>
        <v>-0.0500000000000007</v>
      </c>
      <c r="F135" s="85"/>
      <c r="G135" s="67" t="str">
        <f aca="false">IF(AND(ISNUMBER(F135),ISNUMBER(D135)),F135-D135,"")</f>
        <v/>
      </c>
      <c r="H135" s="85"/>
      <c r="I135" s="67" t="str">
        <f aca="false">IF(AND(ISNUMBER(H135),ISNUMBER(F135)),H135-F135,"")</f>
        <v/>
      </c>
      <c r="J135" s="85"/>
      <c r="K135" s="67" t="str">
        <f aca="false">IF(AND(ISNUMBER(J135),ISNUMBER(H135)),J135-H135,"")</f>
        <v/>
      </c>
    </row>
    <row r="136" customFormat="false" ht="15" hidden="false" customHeight="false" outlineLevel="0" collapsed="false">
      <c r="A136" s="78" t="s">
        <v>1399</v>
      </c>
      <c r="B136" s="28" t="n">
        <v>4.3</v>
      </c>
      <c r="D136" s="28" t="n">
        <v>4.375</v>
      </c>
      <c r="E136" s="67" t="n">
        <f aca="false">IF(AND(ISNUMBER(D136),ISNUMBER(B136)),D136-B136,"")</f>
        <v>0.0749999999999993</v>
      </c>
      <c r="F136" s="28"/>
      <c r="G136" s="67" t="str">
        <f aca="false">IF(AND(ISNUMBER(F136),ISNUMBER(D136)),F136-D136,"")</f>
        <v/>
      </c>
      <c r="H136" s="28"/>
      <c r="I136" s="67" t="str">
        <f aca="false">IF(AND(ISNUMBER(H136),ISNUMBER(F136)),H136-F136,"")</f>
        <v/>
      </c>
      <c r="J136" s="28"/>
      <c r="K136" s="67" t="str">
        <f aca="false">IF(AND(ISNUMBER(J136),ISNUMBER(H136)),J136-H136,"")</f>
        <v/>
      </c>
    </row>
    <row r="137" customFormat="false" ht="15" hidden="false" customHeight="false" outlineLevel="0" collapsed="false">
      <c r="A137" s="78" t="s">
        <v>1400</v>
      </c>
      <c r="B137" s="28" t="n">
        <v>3.575</v>
      </c>
      <c r="D137" s="28" t="n">
        <v>3.625</v>
      </c>
      <c r="E137" s="67" t="n">
        <f aca="false">IF(AND(ISNUMBER(D137),ISNUMBER(B137)),D137-B137,"")</f>
        <v>0.0499999999999998</v>
      </c>
      <c r="F137" s="28"/>
      <c r="G137" s="67" t="str">
        <f aca="false">IF(AND(ISNUMBER(F137),ISNUMBER(D137)),F137-D137,"")</f>
        <v/>
      </c>
      <c r="H137" s="28"/>
      <c r="I137" s="67" t="str">
        <f aca="false">IF(AND(ISNUMBER(H137),ISNUMBER(F137)),H137-F137,"")</f>
        <v/>
      </c>
      <c r="J137" s="28"/>
      <c r="K137" s="67" t="str">
        <f aca="false">IF(AND(ISNUMBER(J137),ISNUMBER(H137)),J137-H137,"")</f>
        <v/>
      </c>
    </row>
    <row r="138" customFormat="false" ht="15" hidden="false" customHeight="false" outlineLevel="0" collapsed="false">
      <c r="A138" s="78" t="s">
        <v>1401</v>
      </c>
      <c r="B138" s="28" t="n">
        <v>4.05</v>
      </c>
      <c r="D138" s="28" t="n">
        <v>3.925</v>
      </c>
      <c r="E138" s="67" t="n">
        <f aca="false">IF(AND(ISNUMBER(D138),ISNUMBER(B138)),D138-B138,"")</f>
        <v>-0.125</v>
      </c>
      <c r="F138" s="28"/>
      <c r="G138" s="67" t="str">
        <f aca="false">IF(AND(ISNUMBER(F138),ISNUMBER(D138)),F138-D138,"")</f>
        <v/>
      </c>
      <c r="H138" s="28"/>
      <c r="I138" s="67" t="str">
        <f aca="false">IF(AND(ISNUMBER(H138),ISNUMBER(F138)),H138-F138,"")</f>
        <v/>
      </c>
      <c r="J138" s="28"/>
      <c r="K138" s="67" t="str">
        <f aca="false">IF(AND(ISNUMBER(J138),ISNUMBER(H138)),J138-H138,"")</f>
        <v/>
      </c>
    </row>
    <row r="139" customFormat="false" ht="15" hidden="false" customHeight="false" outlineLevel="0" collapsed="false">
      <c r="A139" s="78" t="s">
        <v>1402</v>
      </c>
      <c r="B139" s="28" t="n">
        <v>4.775</v>
      </c>
      <c r="D139" s="28" t="n">
        <v>4.775</v>
      </c>
      <c r="E139" s="67" t="n">
        <f aca="false">IF(AND(ISNUMBER(D139),ISNUMBER(B139)),D139-B139,"")</f>
        <v>0</v>
      </c>
      <c r="F139" s="28"/>
      <c r="G139" s="67" t="str">
        <f aca="false">IF(AND(ISNUMBER(F139),ISNUMBER(D139)),F139-D139,"")</f>
        <v/>
      </c>
      <c r="H139" s="28"/>
      <c r="I139" s="67" t="str">
        <f aca="false">IF(AND(ISNUMBER(H139),ISNUMBER(F139)),H139-F139,"")</f>
        <v/>
      </c>
      <c r="J139" s="28"/>
      <c r="K139" s="67" t="str">
        <f aca="false">IF(AND(ISNUMBER(J139),ISNUMBER(H139)),J139-H139,"")</f>
        <v/>
      </c>
    </row>
    <row r="140" customFormat="false" ht="15" hidden="false" customHeight="false" outlineLevel="0" collapsed="false">
      <c r="A140" s="78" t="s">
        <v>1403</v>
      </c>
      <c r="B140" s="28" t="n">
        <v>3.9</v>
      </c>
      <c r="D140" s="28" t="n">
        <v>3.925</v>
      </c>
      <c r="E140" s="67" t="n">
        <f aca="false">IF(AND(ISNUMBER(D140),ISNUMBER(B140)),D140-B140,"")</f>
        <v>0.0249999999999999</v>
      </c>
      <c r="F140" s="28"/>
      <c r="G140" s="67" t="str">
        <f aca="false">IF(AND(ISNUMBER(F140),ISNUMBER(D140)),F140-D140,"")</f>
        <v/>
      </c>
      <c r="H140" s="28"/>
      <c r="I140" s="67" t="str">
        <f aca="false">IF(AND(ISNUMBER(H140),ISNUMBER(F140)),H140-F140,"")</f>
        <v/>
      </c>
      <c r="J140" s="28"/>
      <c r="K140" s="67" t="str">
        <f aca="false">IF(AND(ISNUMBER(J140),ISNUMBER(H140)),J140-H140,"")</f>
        <v/>
      </c>
    </row>
    <row r="141" customFormat="false" ht="15" hidden="false" customHeight="false" outlineLevel="0" collapsed="false">
      <c r="A141" s="5" t="s">
        <v>1404</v>
      </c>
      <c r="B141" s="27" t="n">
        <f aca="false">IF(COUNT(B133:B140)=0,"",AVERAGE(B133:B140))</f>
        <v>4.15</v>
      </c>
      <c r="D141" s="27" t="n">
        <f aca="false">IF(COUNT(D133:D140)=0,"",AVERAGE(D133:D140))</f>
        <v>4.15625</v>
      </c>
      <c r="F141" s="27" t="str">
        <f aca="false">IF(COUNT(F133:F140)=0,"",AVERAGE(F133:F140))</f>
        <v/>
      </c>
      <c r="H141" s="27" t="str">
        <f aca="false">IF(COUNT(H133:H140)=0,"",AVERAGE(H133:H140))</f>
        <v/>
      </c>
      <c r="J141" s="27" t="str">
        <f aca="false">IF(COUNT(J133:J140)=0,"",AVERAGE(J133:J140))</f>
        <v/>
      </c>
    </row>
    <row r="142" customFormat="false" ht="15" hidden="false" customHeight="false" outlineLevel="0" collapsed="false">
      <c r="A142" s="20" t="s">
        <v>1405</v>
      </c>
      <c r="B142" s="57" t="n">
        <f aca="false">IF(ISNUMBER(B135),RANK(B135,B133:B140,0),"")</f>
        <v>2</v>
      </c>
      <c r="D142" s="57" t="n">
        <f aca="false">IF(ISNUMBER(D135),RANK(D135,D133:D140,0),"")</f>
        <v>2</v>
      </c>
      <c r="E142" s="68" t="n">
        <f aca="false">IF(AND(ISNUMBER(D142),ISNUMBER(B142)),D142-B142,"")</f>
        <v>0</v>
      </c>
      <c r="F142" s="57" t="str">
        <f aca="false">IF(ISNUMBER(F135),RANK(F135,F133:F140,0),"")</f>
        <v/>
      </c>
      <c r="G142" s="68" t="str">
        <f aca="false">IF(AND(ISNUMBER(F142),ISNUMBER(D142)),F142-D142,"")</f>
        <v/>
      </c>
      <c r="H142" s="57" t="str">
        <f aca="false">IF(ISNUMBER(H135),RANK(H135,H133:H140,0),"")</f>
        <v/>
      </c>
      <c r="I142" s="68" t="str">
        <f aca="false">IF(AND(ISNUMBER(H142),ISNUMBER(F142)),H142-F142,"")</f>
        <v/>
      </c>
      <c r="J142" s="57" t="str">
        <f aca="false">IF(ISNUMBER(J135),RANK(J135,J133:J140,0),"")</f>
        <v/>
      </c>
      <c r="K142" s="68" t="str">
        <f aca="false">IF(AND(ISNUMBER(J142),ISNUMBER(H142)),J142-H142,"")</f>
        <v/>
      </c>
    </row>
    <row r="144" customFormat="false" ht="30" hidden="false" customHeight="true" outlineLevel="0" collapsed="false">
      <c r="A144" s="12" t="s">
        <v>1413</v>
      </c>
      <c r="B144" s="12" t="s">
        <v>1156</v>
      </c>
      <c r="C144" s="12" t="s">
        <v>1325</v>
      </c>
      <c r="D144" s="12" t="s">
        <v>1157</v>
      </c>
      <c r="E144" s="12" t="s">
        <v>1325</v>
      </c>
      <c r="F144" s="12" t="s">
        <v>1158</v>
      </c>
      <c r="G144" s="12" t="s">
        <v>1325</v>
      </c>
      <c r="H144" s="12" t="s">
        <v>1159</v>
      </c>
      <c r="I144" s="12" t="s">
        <v>1325</v>
      </c>
      <c r="J144" s="12" t="s">
        <v>1160</v>
      </c>
      <c r="K144" s="12" t="s">
        <v>1325</v>
      </c>
    </row>
    <row r="145" customFormat="false" ht="15" hidden="false" customHeight="false" outlineLevel="0" collapsed="false">
      <c r="A145" s="78" t="s">
        <v>1396</v>
      </c>
      <c r="B145" s="28" t="n">
        <v>13</v>
      </c>
      <c r="D145" s="28" t="n">
        <v>13.225</v>
      </c>
      <c r="E145" s="67" t="n">
        <f aca="false">IF(AND(ISNUMBER(D145),ISNUMBER(B145)),D145-B145,"")</f>
        <v>0.225</v>
      </c>
      <c r="F145" s="28"/>
      <c r="G145" s="67" t="str">
        <f aca="false">IF(AND(ISNUMBER(F145),ISNUMBER(D145)),F145-D145,"")</f>
        <v/>
      </c>
      <c r="H145" s="28"/>
      <c r="I145" s="67" t="str">
        <f aca="false">IF(AND(ISNUMBER(H145),ISNUMBER(F145)),H145-F145,"")</f>
        <v/>
      </c>
      <c r="J145" s="28"/>
      <c r="K145" s="67" t="str">
        <f aca="false">IF(AND(ISNUMBER(J145),ISNUMBER(H145)),J145-H145,"")</f>
        <v/>
      </c>
    </row>
    <row r="146" customFormat="false" ht="15" hidden="false" customHeight="false" outlineLevel="0" collapsed="false">
      <c r="A146" s="78" t="s">
        <v>1397</v>
      </c>
      <c r="B146" s="28" t="n">
        <v>12.925</v>
      </c>
      <c r="D146" s="28" t="n">
        <v>13.15</v>
      </c>
      <c r="E146" s="67" t="n">
        <f aca="false">IF(AND(ISNUMBER(D146),ISNUMBER(B146)),D146-B146,"")</f>
        <v>0.225</v>
      </c>
      <c r="F146" s="28"/>
      <c r="G146" s="67" t="str">
        <f aca="false">IF(AND(ISNUMBER(F146),ISNUMBER(D146)),F146-D146,"")</f>
        <v/>
      </c>
      <c r="H146" s="28"/>
      <c r="I146" s="67" t="str">
        <f aca="false">IF(AND(ISNUMBER(H146),ISNUMBER(F146)),H146-F146,"")</f>
        <v/>
      </c>
      <c r="J146" s="28"/>
      <c r="K146" s="67" t="str">
        <f aca="false">IF(AND(ISNUMBER(J146),ISNUMBER(H146)),J146-H146,"")</f>
        <v/>
      </c>
    </row>
    <row r="147" customFormat="false" ht="15" hidden="false" customHeight="false" outlineLevel="0" collapsed="false">
      <c r="A147" s="4" t="s">
        <v>1398</v>
      </c>
      <c r="B147" s="85" t="n">
        <v>14.725</v>
      </c>
      <c r="D147" s="85" t="n">
        <v>13.275</v>
      </c>
      <c r="E147" s="67" t="n">
        <f aca="false">IF(AND(ISNUMBER(D147),ISNUMBER(B147)),D147-B147,"")</f>
        <v>-1.45</v>
      </c>
      <c r="F147" s="85"/>
      <c r="G147" s="67" t="str">
        <f aca="false">IF(AND(ISNUMBER(F147),ISNUMBER(D147)),F147-D147,"")</f>
        <v/>
      </c>
      <c r="H147" s="85"/>
      <c r="I147" s="67" t="str">
        <f aca="false">IF(AND(ISNUMBER(H147),ISNUMBER(F147)),H147-F147,"")</f>
        <v/>
      </c>
      <c r="J147" s="85"/>
      <c r="K147" s="67" t="str">
        <f aca="false">IF(AND(ISNUMBER(J147),ISNUMBER(H147)),J147-H147,"")</f>
        <v/>
      </c>
    </row>
    <row r="148" customFormat="false" ht="15" hidden="false" customHeight="false" outlineLevel="0" collapsed="false">
      <c r="A148" s="78" t="s">
        <v>1399</v>
      </c>
      <c r="B148" s="28" t="n">
        <v>9.225</v>
      </c>
      <c r="D148" s="28" t="n">
        <v>10.55</v>
      </c>
      <c r="E148" s="67" t="n">
        <f aca="false">IF(AND(ISNUMBER(D148),ISNUMBER(B148)),D148-B148,"")</f>
        <v>1.325</v>
      </c>
      <c r="F148" s="28"/>
      <c r="G148" s="67" t="str">
        <f aca="false">IF(AND(ISNUMBER(F148),ISNUMBER(D148)),F148-D148,"")</f>
        <v/>
      </c>
      <c r="H148" s="28"/>
      <c r="I148" s="67" t="str">
        <f aca="false">IF(AND(ISNUMBER(H148),ISNUMBER(F148)),H148-F148,"")</f>
        <v/>
      </c>
      <c r="J148" s="28"/>
      <c r="K148" s="67" t="str">
        <f aca="false">IF(AND(ISNUMBER(J148),ISNUMBER(H148)),J148-H148,"")</f>
        <v/>
      </c>
    </row>
    <row r="149" customFormat="false" ht="15" hidden="false" customHeight="false" outlineLevel="0" collapsed="false">
      <c r="A149" s="78" t="s">
        <v>1400</v>
      </c>
      <c r="B149" s="28" t="n">
        <v>13.325</v>
      </c>
      <c r="D149" s="28" t="n">
        <v>12.425</v>
      </c>
      <c r="E149" s="67" t="n">
        <f aca="false">IF(AND(ISNUMBER(D149),ISNUMBER(B149)),D149-B149,"")</f>
        <v>-0.899999999999999</v>
      </c>
      <c r="F149" s="28"/>
      <c r="G149" s="67" t="str">
        <f aca="false">IF(AND(ISNUMBER(F149),ISNUMBER(D149)),F149-D149,"")</f>
        <v/>
      </c>
      <c r="H149" s="28"/>
      <c r="I149" s="67" t="str">
        <f aca="false">IF(AND(ISNUMBER(H149),ISNUMBER(F149)),H149-F149,"")</f>
        <v/>
      </c>
      <c r="J149" s="28"/>
      <c r="K149" s="67" t="str">
        <f aca="false">IF(AND(ISNUMBER(J149),ISNUMBER(H149)),J149-H149,"")</f>
        <v/>
      </c>
    </row>
    <row r="150" customFormat="false" ht="15" hidden="false" customHeight="false" outlineLevel="0" collapsed="false">
      <c r="A150" s="78" t="s">
        <v>1401</v>
      </c>
      <c r="B150" s="28" t="n">
        <v>12.775</v>
      </c>
      <c r="D150" s="28" t="n">
        <v>13.075</v>
      </c>
      <c r="E150" s="67" t="n">
        <f aca="false">IF(AND(ISNUMBER(D150),ISNUMBER(B150)),D150-B150,"")</f>
        <v>0.299999999999999</v>
      </c>
      <c r="F150" s="28"/>
      <c r="G150" s="67" t="str">
        <f aca="false">IF(AND(ISNUMBER(F150),ISNUMBER(D150)),F150-D150,"")</f>
        <v/>
      </c>
      <c r="H150" s="28"/>
      <c r="I150" s="67" t="str">
        <f aca="false">IF(AND(ISNUMBER(H150),ISNUMBER(F150)),H150-F150,"")</f>
        <v/>
      </c>
      <c r="J150" s="28"/>
      <c r="K150" s="67" t="str">
        <f aca="false">IF(AND(ISNUMBER(J150),ISNUMBER(H150)),J150-H150,"")</f>
        <v/>
      </c>
    </row>
    <row r="151" customFormat="false" ht="15" hidden="false" customHeight="false" outlineLevel="0" collapsed="false">
      <c r="A151" s="78" t="s">
        <v>1402</v>
      </c>
      <c r="B151" s="28" t="n">
        <v>13.725</v>
      </c>
      <c r="D151" s="28" t="n">
        <v>13.75</v>
      </c>
      <c r="E151" s="67" t="n">
        <f aca="false">IF(AND(ISNUMBER(D151),ISNUMBER(B151)),D151-B151,"")</f>
        <v>0.0250000000000004</v>
      </c>
      <c r="F151" s="28"/>
      <c r="G151" s="67" t="str">
        <f aca="false">IF(AND(ISNUMBER(F151),ISNUMBER(D151)),F151-D151,"")</f>
        <v/>
      </c>
      <c r="H151" s="28"/>
      <c r="I151" s="67" t="str">
        <f aca="false">IF(AND(ISNUMBER(H151),ISNUMBER(F151)),H151-F151,"")</f>
        <v/>
      </c>
      <c r="J151" s="28"/>
      <c r="K151" s="67" t="str">
        <f aca="false">IF(AND(ISNUMBER(J151),ISNUMBER(H151)),J151-H151,"")</f>
        <v/>
      </c>
    </row>
    <row r="152" customFormat="false" ht="15" hidden="false" customHeight="false" outlineLevel="0" collapsed="false">
      <c r="A152" s="78" t="s">
        <v>1403</v>
      </c>
      <c r="B152" s="28" t="n">
        <v>10.25</v>
      </c>
      <c r="D152" s="28" t="n">
        <v>10.45</v>
      </c>
      <c r="E152" s="67" t="n">
        <f aca="false">IF(AND(ISNUMBER(D152),ISNUMBER(B152)),D152-B152,"")</f>
        <v>0.199999999999999</v>
      </c>
      <c r="F152" s="28"/>
      <c r="G152" s="67" t="str">
        <f aca="false">IF(AND(ISNUMBER(F152),ISNUMBER(D152)),F152-D152,"")</f>
        <v/>
      </c>
      <c r="H152" s="28"/>
      <c r="I152" s="67" t="str">
        <f aca="false">IF(AND(ISNUMBER(H152),ISNUMBER(F152)),H152-F152,"")</f>
        <v/>
      </c>
      <c r="J152" s="28"/>
      <c r="K152" s="67" t="str">
        <f aca="false">IF(AND(ISNUMBER(J152),ISNUMBER(H152)),J152-H152,"")</f>
        <v/>
      </c>
    </row>
    <row r="153" customFormat="false" ht="15" hidden="false" customHeight="false" outlineLevel="0" collapsed="false">
      <c r="A153" s="5" t="s">
        <v>1404</v>
      </c>
      <c r="B153" s="27" t="n">
        <f aca="false">IF(COUNT(B145:B152)=0,"",AVERAGE(B145:B152))</f>
        <v>12.49375</v>
      </c>
      <c r="D153" s="27" t="n">
        <f aca="false">IF(COUNT(D145:D152)=0,"",AVERAGE(D145:D152))</f>
        <v>12.4875</v>
      </c>
      <c r="F153" s="27" t="str">
        <f aca="false">IF(COUNT(F145:F152)=0,"",AVERAGE(F145:F152))</f>
        <v/>
      </c>
      <c r="H153" s="27" t="str">
        <f aca="false">IF(COUNT(H145:H152)=0,"",AVERAGE(H145:H152))</f>
        <v/>
      </c>
      <c r="J153" s="27" t="str">
        <f aca="false">IF(COUNT(J145:J152)=0,"",AVERAGE(J145:J152))</f>
        <v/>
      </c>
    </row>
    <row r="154" customFormat="false" ht="15" hidden="false" customHeight="false" outlineLevel="0" collapsed="false">
      <c r="A154" s="20" t="s">
        <v>1405</v>
      </c>
      <c r="B154" s="57" t="n">
        <f aca="false">IF(ISNUMBER(B147),RANK(B147,B145:B152,0),"")</f>
        <v>1</v>
      </c>
      <c r="D154" s="57" t="n">
        <f aca="false">IF(ISNUMBER(D147),RANK(D147,D145:D152,0),"")</f>
        <v>2</v>
      </c>
      <c r="E154" s="68" t="n">
        <f aca="false">IF(AND(ISNUMBER(D154),ISNUMBER(B154)),D154-B154,"")</f>
        <v>1</v>
      </c>
      <c r="F154" s="57" t="str">
        <f aca="false">IF(ISNUMBER(F147),RANK(F147,F145:F152,0),"")</f>
        <v/>
      </c>
      <c r="G154" s="68" t="str">
        <f aca="false">IF(AND(ISNUMBER(F154),ISNUMBER(D154)),F154-D154,"")</f>
        <v/>
      </c>
      <c r="H154" s="57" t="str">
        <f aca="false">IF(ISNUMBER(H147),RANK(H147,H145:H152,0),"")</f>
        <v/>
      </c>
      <c r="I154" s="68" t="str">
        <f aca="false">IF(AND(ISNUMBER(H154),ISNUMBER(F154)),H154-F154,"")</f>
        <v/>
      </c>
      <c r="J154" s="57" t="str">
        <f aca="false">IF(ISNUMBER(J147),RANK(J147,J145:J152,0),"")</f>
        <v/>
      </c>
      <c r="K154" s="68" t="str">
        <f aca="false">IF(AND(ISNUMBER(J154),ISNUMBER(H154)),J154-H154,"")</f>
        <v/>
      </c>
    </row>
  </sheetData>
  <conditionalFormatting sqref="E6 G6 I6 K6">
    <cfRule type="expression" priority="2" aboveAverage="0" equalAverage="0" bottom="0" percent="0" rank="0" text="" dxfId="0">
      <formula>AND(ISNUMBER(E6),E6&gt;0)</formula>
    </cfRule>
    <cfRule type="expression" priority="3" aboveAverage="0" equalAverage="0" bottom="0" percent="0" rank="0" text="" dxfId="2">
      <formula>AND(ISNUMBER(E6),E6&lt;0)</formula>
    </cfRule>
  </conditionalFormatting>
  <conditionalFormatting sqref="E7 G7 I7 K7">
    <cfRule type="expression" priority="4" aboveAverage="0" equalAverage="0" bottom="0" percent="0" rank="0" text="" dxfId="0">
      <formula>AND(ISNUMBER(E7),E7&gt;0)</formula>
    </cfRule>
    <cfRule type="expression" priority="5" aboveAverage="0" equalAverage="0" bottom="0" percent="0" rank="0" text="" dxfId="2">
      <formula>AND(ISNUMBER(E7),E7&lt;0)</formula>
    </cfRule>
  </conditionalFormatting>
  <conditionalFormatting sqref="E8 G8 I8 K8">
    <cfRule type="expression" priority="6" aboveAverage="0" equalAverage="0" bottom="0" percent="0" rank="0" text="" dxfId="0">
      <formula>AND(ISNUMBER(E8),E8&gt;0)</formula>
    </cfRule>
    <cfRule type="expression" priority="7" aboveAverage="0" equalAverage="0" bottom="0" percent="0" rank="0" text="" dxfId="2">
      <formula>AND(ISNUMBER(E8),E8&lt;0)</formula>
    </cfRule>
  </conditionalFormatting>
  <conditionalFormatting sqref="E9 G9 I9 K9">
    <cfRule type="expression" priority="8" aboveAverage="0" equalAverage="0" bottom="0" percent="0" rank="0" text="" dxfId="0">
      <formula>AND(ISNUMBER(E9),E9&gt;0)</formula>
    </cfRule>
    <cfRule type="expression" priority="9" aboveAverage="0" equalAverage="0" bottom="0" percent="0" rank="0" text="" dxfId="2">
      <formula>AND(ISNUMBER(E9),E9&lt;0)</formula>
    </cfRule>
  </conditionalFormatting>
  <conditionalFormatting sqref="E10 G10 I10 K10">
    <cfRule type="expression" priority="10" aboveAverage="0" equalAverage="0" bottom="0" percent="0" rank="0" text="" dxfId="0">
      <formula>AND(ISNUMBER(E10),E10&gt;0)</formula>
    </cfRule>
    <cfRule type="expression" priority="11" aboveAverage="0" equalAverage="0" bottom="0" percent="0" rank="0" text="" dxfId="2">
      <formula>AND(ISNUMBER(E10),E10&lt;0)</formula>
    </cfRule>
  </conditionalFormatting>
  <conditionalFormatting sqref="E11 G11 I11 K11">
    <cfRule type="expression" priority="12" aboveAverage="0" equalAverage="0" bottom="0" percent="0" rank="0" text="" dxfId="0">
      <formula>AND(ISNUMBER(E11),E11&gt;0)</formula>
    </cfRule>
    <cfRule type="expression" priority="13" aboveAverage="0" equalAverage="0" bottom="0" percent="0" rank="0" text="" dxfId="2">
      <formula>AND(ISNUMBER(E11),E11&lt;0)</formula>
    </cfRule>
  </conditionalFormatting>
  <conditionalFormatting sqref="E12 G12 I12 K12">
    <cfRule type="expression" priority="14" aboveAverage="0" equalAverage="0" bottom="0" percent="0" rank="0" text="" dxfId="0">
      <formula>AND(ISNUMBER(E12),E12&gt;0)</formula>
    </cfRule>
    <cfRule type="expression" priority="15" aboveAverage="0" equalAverage="0" bottom="0" percent="0" rank="0" text="" dxfId="2">
      <formula>AND(ISNUMBER(E12),E12&lt;0)</formula>
    </cfRule>
  </conditionalFormatting>
  <conditionalFormatting sqref="E13 G13 I13 K13">
    <cfRule type="expression" priority="16" aboveAverage="0" equalAverage="0" bottom="0" percent="0" rank="0" text="" dxfId="0">
      <formula>AND(ISNUMBER(E13),E13&gt;0)</formula>
    </cfRule>
    <cfRule type="expression" priority="17" aboveAverage="0" equalAverage="0" bottom="0" percent="0" rank="0" text="" dxfId="2">
      <formula>AND(ISNUMBER(E13),E13&lt;0)</formula>
    </cfRule>
  </conditionalFormatting>
  <conditionalFormatting sqref="E15 G15 I15 K15">
    <cfRule type="expression" priority="18" aboveAverage="0" equalAverage="0" bottom="0" percent="0" rank="0" text="" dxfId="0">
      <formula>AND(ISNUMBER(E15),E15&lt;0)</formula>
    </cfRule>
    <cfRule type="expression" priority="19" aboveAverage="0" equalAverage="0" bottom="0" percent="0" rank="0" text="" dxfId="2">
      <formula>AND(ISNUMBER(E15),E15&gt;0)</formula>
    </cfRule>
  </conditionalFormatting>
  <conditionalFormatting sqref="E18 G18 I18 K18">
    <cfRule type="expression" priority="20" aboveAverage="0" equalAverage="0" bottom="0" percent="0" rank="0" text="" dxfId="0">
      <formula>AND(ISNUMBER(E18),E18&lt;0)</formula>
    </cfRule>
    <cfRule type="expression" priority="21" aboveAverage="0" equalAverage="0" bottom="0" percent="0" rank="0" text="" dxfId="2">
      <formula>AND(ISNUMBER(E18),E18&gt;0)</formula>
    </cfRule>
  </conditionalFormatting>
  <conditionalFormatting sqref="E19 G19 I19 K19">
    <cfRule type="expression" priority="22" aboveAverage="0" equalAverage="0" bottom="0" percent="0" rank="0" text="" dxfId="0">
      <formula>AND(ISNUMBER(E19),E19&lt;0)</formula>
    </cfRule>
    <cfRule type="expression" priority="23" aboveAverage="0" equalAverage="0" bottom="0" percent="0" rank="0" text="" dxfId="2">
      <formula>AND(ISNUMBER(E19),E19&gt;0)</formula>
    </cfRule>
  </conditionalFormatting>
  <conditionalFormatting sqref="E20 G20 I20 K20">
    <cfRule type="expression" priority="24" aboveAverage="0" equalAverage="0" bottom="0" percent="0" rank="0" text="" dxfId="0">
      <formula>AND(ISNUMBER(E20),E20&lt;0)</formula>
    </cfRule>
    <cfRule type="expression" priority="25" aboveAverage="0" equalAverage="0" bottom="0" percent="0" rank="0" text="" dxfId="2">
      <formula>AND(ISNUMBER(E20),E20&gt;0)</formula>
    </cfRule>
  </conditionalFormatting>
  <conditionalFormatting sqref="E21 G21 I21 K21">
    <cfRule type="expression" priority="26" aboveAverage="0" equalAverage="0" bottom="0" percent="0" rank="0" text="" dxfId="0">
      <formula>AND(ISNUMBER(E21),E21&lt;0)</formula>
    </cfRule>
    <cfRule type="expression" priority="27" aboveAverage="0" equalAverage="0" bottom="0" percent="0" rank="0" text="" dxfId="2">
      <formula>AND(ISNUMBER(E21),E21&gt;0)</formula>
    </cfRule>
  </conditionalFormatting>
  <conditionalFormatting sqref="E22 G22 I22 K22">
    <cfRule type="expression" priority="28" aboveAverage="0" equalAverage="0" bottom="0" percent="0" rank="0" text="" dxfId="0">
      <formula>AND(ISNUMBER(E22),E22&lt;0)</formula>
    </cfRule>
    <cfRule type="expression" priority="29" aboveAverage="0" equalAverage="0" bottom="0" percent="0" rank="0" text="" dxfId="2">
      <formula>AND(ISNUMBER(E22),E22&gt;0)</formula>
    </cfRule>
  </conditionalFormatting>
  <conditionalFormatting sqref="E23 G23 I23 K23">
    <cfRule type="expression" priority="30" aboveAverage="0" equalAverage="0" bottom="0" percent="0" rank="0" text="" dxfId="0">
      <formula>AND(ISNUMBER(E23),E23&lt;0)</formula>
    </cfRule>
    <cfRule type="expression" priority="31" aboveAverage="0" equalAverage="0" bottom="0" percent="0" rank="0" text="" dxfId="2">
      <formula>AND(ISNUMBER(E23),E23&gt;0)</formula>
    </cfRule>
  </conditionalFormatting>
  <conditionalFormatting sqref="E24 G24 I24 K24">
    <cfRule type="expression" priority="32" aboveAverage="0" equalAverage="0" bottom="0" percent="0" rank="0" text="" dxfId="0">
      <formula>AND(ISNUMBER(E24),E24&lt;0)</formula>
    </cfRule>
    <cfRule type="expression" priority="33" aboveAverage="0" equalAverage="0" bottom="0" percent="0" rank="0" text="" dxfId="2">
      <formula>AND(ISNUMBER(E24),E24&gt;0)</formula>
    </cfRule>
  </conditionalFormatting>
  <conditionalFormatting sqref="E25 G25 I25 K25">
    <cfRule type="expression" priority="34" aboveAverage="0" equalAverage="0" bottom="0" percent="0" rank="0" text="" dxfId="0">
      <formula>AND(ISNUMBER(E25),E25&lt;0)</formula>
    </cfRule>
    <cfRule type="expression" priority="35" aboveAverage="0" equalAverage="0" bottom="0" percent="0" rank="0" text="" dxfId="2">
      <formula>AND(ISNUMBER(E25),E25&gt;0)</formula>
    </cfRule>
  </conditionalFormatting>
  <conditionalFormatting sqref="E29 G29 I29 K29">
    <cfRule type="expression" priority="36" aboveAverage="0" equalAverage="0" bottom="0" percent="0" rank="0" text="" dxfId="0">
      <formula>AND(ISNUMBER(E29),E29&gt;0)</formula>
    </cfRule>
    <cfRule type="expression" priority="37" aboveAverage="0" equalAverage="0" bottom="0" percent="0" rank="0" text="" dxfId="2">
      <formula>AND(ISNUMBER(E29),E29&lt;0)</formula>
    </cfRule>
  </conditionalFormatting>
  <conditionalFormatting sqref="E30 G30 I30 K30">
    <cfRule type="expression" priority="38" aboveAverage="0" equalAverage="0" bottom="0" percent="0" rank="0" text="" dxfId="0">
      <formula>AND(ISNUMBER(E30),E30&gt;0)</formula>
    </cfRule>
    <cfRule type="expression" priority="39" aboveAverage="0" equalAverage="0" bottom="0" percent="0" rank="0" text="" dxfId="2">
      <formula>AND(ISNUMBER(E30),E30&lt;0)</formula>
    </cfRule>
  </conditionalFormatting>
  <conditionalFormatting sqref="E31 G31 I31 K31">
    <cfRule type="expression" priority="40" aboveAverage="0" equalAverage="0" bottom="0" percent="0" rank="0" text="" dxfId="0">
      <formula>AND(ISNUMBER(E31),E31&gt;0)</formula>
    </cfRule>
    <cfRule type="expression" priority="41" aboveAverage="0" equalAverage="0" bottom="0" percent="0" rank="0" text="" dxfId="2">
      <formula>AND(ISNUMBER(E31),E31&lt;0)</formula>
    </cfRule>
  </conditionalFormatting>
  <conditionalFormatting sqref="E32 G32 I32 K32">
    <cfRule type="expression" priority="42" aboveAverage="0" equalAverage="0" bottom="0" percent="0" rank="0" text="" dxfId="0">
      <formula>AND(ISNUMBER(E32),E32&gt;0)</formula>
    </cfRule>
    <cfRule type="expression" priority="43" aboveAverage="0" equalAverage="0" bottom="0" percent="0" rank="0" text="" dxfId="2">
      <formula>AND(ISNUMBER(E32),E32&lt;0)</formula>
    </cfRule>
  </conditionalFormatting>
  <conditionalFormatting sqref="E33 G33 I33 K33">
    <cfRule type="expression" priority="44" aboveAverage="0" equalAverage="0" bottom="0" percent="0" rank="0" text="" dxfId="0">
      <formula>AND(ISNUMBER(E33),E33&gt;0)</formula>
    </cfRule>
    <cfRule type="expression" priority="45" aboveAverage="0" equalAverage="0" bottom="0" percent="0" rank="0" text="" dxfId="2">
      <formula>AND(ISNUMBER(E33),E33&lt;0)</formula>
    </cfRule>
  </conditionalFormatting>
  <conditionalFormatting sqref="E34 G34 I34 K34">
    <cfRule type="expression" priority="46" aboveAverage="0" equalAverage="0" bottom="0" percent="0" rank="0" text="" dxfId="0">
      <formula>AND(ISNUMBER(E34),E34&gt;0)</formula>
    </cfRule>
    <cfRule type="expression" priority="47" aboveAverage="0" equalAverage="0" bottom="0" percent="0" rank="0" text="" dxfId="2">
      <formula>AND(ISNUMBER(E34),E34&lt;0)</formula>
    </cfRule>
  </conditionalFormatting>
  <conditionalFormatting sqref="E35 G35 I35 K35">
    <cfRule type="expression" priority="48" aboveAverage="0" equalAverage="0" bottom="0" percent="0" rank="0" text="" dxfId="0">
      <formula>AND(ISNUMBER(E35),E35&gt;0)</formula>
    </cfRule>
    <cfRule type="expression" priority="49" aboveAverage="0" equalAverage="0" bottom="0" percent="0" rank="0" text="" dxfId="2">
      <formula>AND(ISNUMBER(E35),E35&lt;0)</formula>
    </cfRule>
  </conditionalFormatting>
  <conditionalFormatting sqref="E36 G36 I36 K36">
    <cfRule type="expression" priority="50" aboveAverage="0" equalAverage="0" bottom="0" percent="0" rank="0" text="" dxfId="0">
      <formula>AND(ISNUMBER(E36),E36&gt;0)</formula>
    </cfRule>
    <cfRule type="expression" priority="51" aboveAverage="0" equalAverage="0" bottom="0" percent="0" rank="0" text="" dxfId="2">
      <formula>AND(ISNUMBER(E36),E36&lt;0)</formula>
    </cfRule>
  </conditionalFormatting>
  <conditionalFormatting sqref="E38 G38 I38 K38">
    <cfRule type="expression" priority="52" aboveAverage="0" equalAverage="0" bottom="0" percent="0" rank="0" text="" dxfId="0">
      <formula>AND(ISNUMBER(E38),E38&lt;0)</formula>
    </cfRule>
    <cfRule type="expression" priority="53" aboveAverage="0" equalAverage="0" bottom="0" percent="0" rank="0" text="" dxfId="2">
      <formula>AND(ISNUMBER(E38),E38&gt;0)</formula>
    </cfRule>
  </conditionalFormatting>
  <conditionalFormatting sqref="E41 G41 I41 K41">
    <cfRule type="expression" priority="54" aboveAverage="0" equalAverage="0" bottom="0" percent="0" rank="0" text="" dxfId="0">
      <formula>AND(ISNUMBER(E41),E41&gt;0)</formula>
    </cfRule>
    <cfRule type="expression" priority="55" aboveAverage="0" equalAverage="0" bottom="0" percent="0" rank="0" text="" dxfId="2">
      <formula>AND(ISNUMBER(E41),E41&lt;0)</formula>
    </cfRule>
  </conditionalFormatting>
  <conditionalFormatting sqref="E42 G42 I42 K42">
    <cfRule type="expression" priority="56" aboveAverage="0" equalAverage="0" bottom="0" percent="0" rank="0" text="" dxfId="0">
      <formula>AND(ISNUMBER(E42),E42&gt;0)</formula>
    </cfRule>
    <cfRule type="expression" priority="57" aboveAverage="0" equalAverage="0" bottom="0" percent="0" rank="0" text="" dxfId="2">
      <formula>AND(ISNUMBER(E42),E42&lt;0)</formula>
    </cfRule>
  </conditionalFormatting>
  <conditionalFormatting sqref="E43 G43 I43 K43">
    <cfRule type="expression" priority="58" aboveAverage="0" equalAverage="0" bottom="0" percent="0" rank="0" text="" dxfId="0">
      <formula>AND(ISNUMBER(E43),E43&gt;0)</formula>
    </cfRule>
    <cfRule type="expression" priority="59" aboveAverage="0" equalAverage="0" bottom="0" percent="0" rank="0" text="" dxfId="2">
      <formula>AND(ISNUMBER(E43),E43&lt;0)</formula>
    </cfRule>
  </conditionalFormatting>
  <conditionalFormatting sqref="E44 G44 I44 K44">
    <cfRule type="expression" priority="60" aboveAverage="0" equalAverage="0" bottom="0" percent="0" rank="0" text="" dxfId="0">
      <formula>AND(ISNUMBER(E44),E44&gt;0)</formula>
    </cfRule>
    <cfRule type="expression" priority="61" aboveAverage="0" equalAverage="0" bottom="0" percent="0" rank="0" text="" dxfId="2">
      <formula>AND(ISNUMBER(E44),E44&lt;0)</formula>
    </cfRule>
  </conditionalFormatting>
  <conditionalFormatting sqref="E45 G45 I45 K45">
    <cfRule type="expression" priority="62" aboveAverage="0" equalAverage="0" bottom="0" percent="0" rank="0" text="" dxfId="0">
      <formula>AND(ISNUMBER(E45),E45&gt;0)</formula>
    </cfRule>
    <cfRule type="expression" priority="63" aboveAverage="0" equalAverage="0" bottom="0" percent="0" rank="0" text="" dxfId="2">
      <formula>AND(ISNUMBER(E45),E45&lt;0)</formula>
    </cfRule>
  </conditionalFormatting>
  <conditionalFormatting sqref="E46 G46 I46 K46">
    <cfRule type="expression" priority="64" aboveAverage="0" equalAverage="0" bottom="0" percent="0" rank="0" text="" dxfId="0">
      <formula>AND(ISNUMBER(E46),E46&gt;0)</formula>
    </cfRule>
    <cfRule type="expression" priority="65" aboveAverage="0" equalAverage="0" bottom="0" percent="0" rank="0" text="" dxfId="2">
      <formula>AND(ISNUMBER(E46),E46&lt;0)</formula>
    </cfRule>
  </conditionalFormatting>
  <conditionalFormatting sqref="E47 G47 I47 K47">
    <cfRule type="expression" priority="66" aboveAverage="0" equalAverage="0" bottom="0" percent="0" rank="0" text="" dxfId="0">
      <formula>AND(ISNUMBER(E47),E47&gt;0)</formula>
    </cfRule>
    <cfRule type="expression" priority="67" aboveAverage="0" equalAverage="0" bottom="0" percent="0" rank="0" text="" dxfId="2">
      <formula>AND(ISNUMBER(E47),E47&lt;0)</formula>
    </cfRule>
  </conditionalFormatting>
  <conditionalFormatting sqref="E48 G48 I48 K48">
    <cfRule type="expression" priority="68" aboveAverage="0" equalAverage="0" bottom="0" percent="0" rank="0" text="" dxfId="0">
      <formula>AND(ISNUMBER(E48),E48&gt;0)</formula>
    </cfRule>
    <cfRule type="expression" priority="69" aboveAverage="0" equalAverage="0" bottom="0" percent="0" rank="0" text="" dxfId="2">
      <formula>AND(ISNUMBER(E48),E48&lt;0)</formula>
    </cfRule>
  </conditionalFormatting>
  <conditionalFormatting sqref="E50 G50 I50 K50">
    <cfRule type="expression" priority="70" aboveAverage="0" equalAverage="0" bottom="0" percent="0" rank="0" text="" dxfId="0">
      <formula>AND(ISNUMBER(E50),E50&lt;0)</formula>
    </cfRule>
    <cfRule type="expression" priority="71" aboveAverage="0" equalAverage="0" bottom="0" percent="0" rank="0" text="" dxfId="2">
      <formula>AND(ISNUMBER(E50),E50&gt;0)</formula>
    </cfRule>
  </conditionalFormatting>
  <conditionalFormatting sqref="E53 G53 I53 K53">
    <cfRule type="expression" priority="72" aboveAverage="0" equalAverage="0" bottom="0" percent="0" rank="0" text="" dxfId="0">
      <formula>AND(ISNUMBER(E53),E53&gt;0)</formula>
    </cfRule>
    <cfRule type="expression" priority="73" aboveAverage="0" equalAverage="0" bottom="0" percent="0" rank="0" text="" dxfId="2">
      <formula>AND(ISNUMBER(E53),E53&lt;0)</formula>
    </cfRule>
  </conditionalFormatting>
  <conditionalFormatting sqref="E54 G54 I54 K54">
    <cfRule type="expression" priority="74" aboveAverage="0" equalAverage="0" bottom="0" percent="0" rank="0" text="" dxfId="0">
      <formula>AND(ISNUMBER(E54),E54&gt;0)</formula>
    </cfRule>
    <cfRule type="expression" priority="75" aboveAverage="0" equalAverage="0" bottom="0" percent="0" rank="0" text="" dxfId="2">
      <formula>AND(ISNUMBER(E54),E54&lt;0)</formula>
    </cfRule>
  </conditionalFormatting>
  <conditionalFormatting sqref="E55 G55 I55 K55">
    <cfRule type="expression" priority="76" aboveAverage="0" equalAverage="0" bottom="0" percent="0" rank="0" text="" dxfId="0">
      <formula>AND(ISNUMBER(E55),E55&gt;0)</formula>
    </cfRule>
    <cfRule type="expression" priority="77" aboveAverage="0" equalAverage="0" bottom="0" percent="0" rank="0" text="" dxfId="2">
      <formula>AND(ISNUMBER(E55),E55&lt;0)</formula>
    </cfRule>
  </conditionalFormatting>
  <conditionalFormatting sqref="E56 G56 I56 K56">
    <cfRule type="expression" priority="78" aboveAverage="0" equalAverage="0" bottom="0" percent="0" rank="0" text="" dxfId="0">
      <formula>AND(ISNUMBER(E56),E56&gt;0)</formula>
    </cfRule>
    <cfRule type="expression" priority="79" aboveAverage="0" equalAverage="0" bottom="0" percent="0" rank="0" text="" dxfId="2">
      <formula>AND(ISNUMBER(E56),E56&lt;0)</formula>
    </cfRule>
  </conditionalFormatting>
  <conditionalFormatting sqref="E57 G57 I57 K57">
    <cfRule type="expression" priority="80" aboveAverage="0" equalAverage="0" bottom="0" percent="0" rank="0" text="" dxfId="0">
      <formula>AND(ISNUMBER(E57),E57&gt;0)</formula>
    </cfRule>
    <cfRule type="expression" priority="81" aboveAverage="0" equalAverage="0" bottom="0" percent="0" rank="0" text="" dxfId="2">
      <formula>AND(ISNUMBER(E57),E57&lt;0)</formula>
    </cfRule>
  </conditionalFormatting>
  <conditionalFormatting sqref="E58 G58 I58 K58">
    <cfRule type="expression" priority="82" aboveAverage="0" equalAverage="0" bottom="0" percent="0" rank="0" text="" dxfId="0">
      <formula>AND(ISNUMBER(E58),E58&gt;0)</formula>
    </cfRule>
    <cfRule type="expression" priority="83" aboveAverage="0" equalAverage="0" bottom="0" percent="0" rank="0" text="" dxfId="2">
      <formula>AND(ISNUMBER(E58),E58&lt;0)</formula>
    </cfRule>
  </conditionalFormatting>
  <conditionalFormatting sqref="E59 G59 I59 K59">
    <cfRule type="expression" priority="84" aboveAverage="0" equalAverage="0" bottom="0" percent="0" rank="0" text="" dxfId="0">
      <formula>AND(ISNUMBER(E59),E59&gt;0)</formula>
    </cfRule>
    <cfRule type="expression" priority="85" aboveAverage="0" equalAverage="0" bottom="0" percent="0" rank="0" text="" dxfId="2">
      <formula>AND(ISNUMBER(E59),E59&lt;0)</formula>
    </cfRule>
  </conditionalFormatting>
  <conditionalFormatting sqref="E60 G60 I60 K60">
    <cfRule type="expression" priority="86" aboveAverage="0" equalAverage="0" bottom="0" percent="0" rank="0" text="" dxfId="0">
      <formula>AND(ISNUMBER(E60),E60&gt;0)</formula>
    </cfRule>
    <cfRule type="expression" priority="87" aboveAverage="0" equalAverage="0" bottom="0" percent="0" rank="0" text="" dxfId="2">
      <formula>AND(ISNUMBER(E60),E60&lt;0)</formula>
    </cfRule>
  </conditionalFormatting>
  <conditionalFormatting sqref="E62 G62 I62 K62">
    <cfRule type="expression" priority="88" aboveAverage="0" equalAverage="0" bottom="0" percent="0" rank="0" text="" dxfId="0">
      <formula>AND(ISNUMBER(E62),E62&lt;0)</formula>
    </cfRule>
    <cfRule type="expression" priority="89" aboveAverage="0" equalAverage="0" bottom="0" percent="0" rank="0" text="" dxfId="2">
      <formula>AND(ISNUMBER(E62),E62&gt;0)</formula>
    </cfRule>
  </conditionalFormatting>
  <conditionalFormatting sqref="E65 G65 I65 K65">
    <cfRule type="expression" priority="90" aboveAverage="0" equalAverage="0" bottom="0" percent="0" rank="0" text="" dxfId="0">
      <formula>AND(ISNUMBER(E65),E65&gt;0)</formula>
    </cfRule>
    <cfRule type="expression" priority="91" aboveAverage="0" equalAverage="0" bottom="0" percent="0" rank="0" text="" dxfId="2">
      <formula>AND(ISNUMBER(E65),E65&lt;0)</formula>
    </cfRule>
  </conditionalFormatting>
  <conditionalFormatting sqref="E66 G66 I66 K66">
    <cfRule type="expression" priority="92" aboveAverage="0" equalAverage="0" bottom="0" percent="0" rank="0" text="" dxfId="0">
      <formula>AND(ISNUMBER(E66),E66&gt;0)</formula>
    </cfRule>
    <cfRule type="expression" priority="93" aboveAverage="0" equalAverage="0" bottom="0" percent="0" rank="0" text="" dxfId="2">
      <formula>AND(ISNUMBER(E66),E66&lt;0)</formula>
    </cfRule>
  </conditionalFormatting>
  <conditionalFormatting sqref="E67 G67 I67 K67">
    <cfRule type="expression" priority="94" aboveAverage="0" equalAverage="0" bottom="0" percent="0" rank="0" text="" dxfId="0">
      <formula>AND(ISNUMBER(E67),E67&gt;0)</formula>
    </cfRule>
    <cfRule type="expression" priority="95" aboveAverage="0" equalAverage="0" bottom="0" percent="0" rank="0" text="" dxfId="2">
      <formula>AND(ISNUMBER(E67),E67&lt;0)</formula>
    </cfRule>
  </conditionalFormatting>
  <conditionalFormatting sqref="E68 G68 I68 K68">
    <cfRule type="expression" priority="96" aboveAverage="0" equalAverage="0" bottom="0" percent="0" rank="0" text="" dxfId="0">
      <formula>AND(ISNUMBER(E68),E68&gt;0)</formula>
    </cfRule>
    <cfRule type="expression" priority="97" aboveAverage="0" equalAverage="0" bottom="0" percent="0" rank="0" text="" dxfId="2">
      <formula>AND(ISNUMBER(E68),E68&lt;0)</formula>
    </cfRule>
  </conditionalFormatting>
  <conditionalFormatting sqref="E69 G69 I69 K69">
    <cfRule type="expression" priority="98" aboveAverage="0" equalAverage="0" bottom="0" percent="0" rank="0" text="" dxfId="0">
      <formula>AND(ISNUMBER(E69),E69&gt;0)</formula>
    </cfRule>
    <cfRule type="expression" priority="99" aboveAverage="0" equalAverage="0" bottom="0" percent="0" rank="0" text="" dxfId="2">
      <formula>AND(ISNUMBER(E69),E69&lt;0)</formula>
    </cfRule>
  </conditionalFormatting>
  <conditionalFormatting sqref="E70 G70 I70 K70">
    <cfRule type="expression" priority="100" aboveAverage="0" equalAverage="0" bottom="0" percent="0" rank="0" text="" dxfId="0">
      <formula>AND(ISNUMBER(E70),E70&gt;0)</formula>
    </cfRule>
    <cfRule type="expression" priority="101" aboveAverage="0" equalAverage="0" bottom="0" percent="0" rank="0" text="" dxfId="2">
      <formula>AND(ISNUMBER(E70),E70&lt;0)</formula>
    </cfRule>
  </conditionalFormatting>
  <conditionalFormatting sqref="E71 G71 I71 K71">
    <cfRule type="expression" priority="102" aboveAverage="0" equalAverage="0" bottom="0" percent="0" rank="0" text="" dxfId="0">
      <formula>AND(ISNUMBER(E71),E71&gt;0)</formula>
    </cfRule>
    <cfRule type="expression" priority="103" aboveAverage="0" equalAverage="0" bottom="0" percent="0" rank="0" text="" dxfId="2">
      <formula>AND(ISNUMBER(E71),E71&lt;0)</formula>
    </cfRule>
  </conditionalFormatting>
  <conditionalFormatting sqref="E72 G72 I72 K72">
    <cfRule type="expression" priority="104" aboveAverage="0" equalAverage="0" bottom="0" percent="0" rank="0" text="" dxfId="0">
      <formula>AND(ISNUMBER(E72),E72&gt;0)</formula>
    </cfRule>
    <cfRule type="expression" priority="105" aboveAverage="0" equalAverage="0" bottom="0" percent="0" rank="0" text="" dxfId="2">
      <formula>AND(ISNUMBER(E72),E72&lt;0)</formula>
    </cfRule>
  </conditionalFormatting>
  <conditionalFormatting sqref="E74 G74 I74 K74">
    <cfRule type="expression" priority="106" aboveAverage="0" equalAverage="0" bottom="0" percent="0" rank="0" text="" dxfId="0">
      <formula>AND(ISNUMBER(E74),E74&lt;0)</formula>
    </cfRule>
    <cfRule type="expression" priority="107" aboveAverage="0" equalAverage="0" bottom="0" percent="0" rank="0" text="" dxfId="2">
      <formula>AND(ISNUMBER(E74),E74&gt;0)</formula>
    </cfRule>
  </conditionalFormatting>
  <conditionalFormatting sqref="E98 G98 I98 K98">
    <cfRule type="expression" priority="108" aboveAverage="0" equalAverage="0" bottom="0" percent="0" rank="0" text="" dxfId="0">
      <formula>AND(ISNUMBER(E98),E98&gt;0)</formula>
    </cfRule>
    <cfRule type="expression" priority="109" aboveAverage="0" equalAverage="0" bottom="0" percent="0" rank="0" text="" dxfId="2">
      <formula>AND(ISNUMBER(E98),E98&lt;0)</formula>
    </cfRule>
  </conditionalFormatting>
  <conditionalFormatting sqref="E99 G99 I99 K99">
    <cfRule type="expression" priority="110" aboveAverage="0" equalAverage="0" bottom="0" percent="0" rank="0" text="" dxfId="0">
      <formula>AND(ISNUMBER(E99),E99&gt;0)</formula>
    </cfRule>
    <cfRule type="expression" priority="111" aboveAverage="0" equalAverage="0" bottom="0" percent="0" rank="0" text="" dxfId="2">
      <formula>AND(ISNUMBER(E99),E99&lt;0)</formula>
    </cfRule>
  </conditionalFormatting>
  <conditionalFormatting sqref="E100 G100 I100 K100">
    <cfRule type="expression" priority="112" aboveAverage="0" equalAverage="0" bottom="0" percent="0" rank="0" text="" dxfId="0">
      <formula>AND(ISNUMBER(E100),E100&gt;0)</formula>
    </cfRule>
    <cfRule type="expression" priority="113" aboveAverage="0" equalAverage="0" bottom="0" percent="0" rank="0" text="" dxfId="2">
      <formula>AND(ISNUMBER(E100),E100&lt;0)</formula>
    </cfRule>
  </conditionalFormatting>
  <conditionalFormatting sqref="E101 G101 I101 K101">
    <cfRule type="expression" priority="114" aboveAverage="0" equalAverage="0" bottom="0" percent="0" rank="0" text="" dxfId="0">
      <formula>AND(ISNUMBER(E101),E101&gt;0)</formula>
    </cfRule>
    <cfRule type="expression" priority="115" aboveAverage="0" equalAverage="0" bottom="0" percent="0" rank="0" text="" dxfId="2">
      <formula>AND(ISNUMBER(E101),E101&lt;0)</formula>
    </cfRule>
  </conditionalFormatting>
  <conditionalFormatting sqref="E102 G102 I102 K102">
    <cfRule type="expression" priority="116" aboveAverage="0" equalAverage="0" bottom="0" percent="0" rank="0" text="" dxfId="0">
      <formula>AND(ISNUMBER(E102),E102&gt;0)</formula>
    </cfRule>
    <cfRule type="expression" priority="117" aboveAverage="0" equalAverage="0" bottom="0" percent="0" rank="0" text="" dxfId="2">
      <formula>AND(ISNUMBER(E102),E102&lt;0)</formula>
    </cfRule>
  </conditionalFormatting>
  <conditionalFormatting sqref="E103 G103 I103 K103">
    <cfRule type="expression" priority="118" aboveAverage="0" equalAverage="0" bottom="0" percent="0" rank="0" text="" dxfId="0">
      <formula>AND(ISNUMBER(E103),E103&gt;0)</formula>
    </cfRule>
    <cfRule type="expression" priority="119" aboveAverage="0" equalAverage="0" bottom="0" percent="0" rank="0" text="" dxfId="2">
      <formula>AND(ISNUMBER(E103),E103&lt;0)</formula>
    </cfRule>
  </conditionalFormatting>
  <conditionalFormatting sqref="E104 G104 I104 K104">
    <cfRule type="expression" priority="120" aboveAverage="0" equalAverage="0" bottom="0" percent="0" rank="0" text="" dxfId="0">
      <formula>AND(ISNUMBER(E104),E104&gt;0)</formula>
    </cfRule>
    <cfRule type="expression" priority="121" aboveAverage="0" equalAverage="0" bottom="0" percent="0" rank="0" text="" dxfId="2">
      <formula>AND(ISNUMBER(E104),E104&lt;0)</formula>
    </cfRule>
  </conditionalFormatting>
  <conditionalFormatting sqref="E105 G105 I105 K105">
    <cfRule type="expression" priority="122" aboveAverage="0" equalAverage="0" bottom="0" percent="0" rank="0" text="" dxfId="0">
      <formula>AND(ISNUMBER(E105),E105&gt;0)</formula>
    </cfRule>
    <cfRule type="expression" priority="123" aboveAverage="0" equalAverage="0" bottom="0" percent="0" rank="0" text="" dxfId="2">
      <formula>AND(ISNUMBER(E105),E105&lt;0)</formula>
    </cfRule>
  </conditionalFormatting>
  <conditionalFormatting sqref="E107 G107 I107 K107">
    <cfRule type="expression" priority="124" aboveAverage="0" equalAverage="0" bottom="0" percent="0" rank="0" text="" dxfId="0">
      <formula>AND(ISNUMBER(E107),E107&lt;0)</formula>
    </cfRule>
    <cfRule type="expression" priority="125" aboveAverage="0" equalAverage="0" bottom="0" percent="0" rank="0" text="" dxfId="2">
      <formula>AND(ISNUMBER(E107),E107&gt;0)</formula>
    </cfRule>
  </conditionalFormatting>
  <conditionalFormatting sqref="E110 G110 I110 K110">
    <cfRule type="expression" priority="126" aboveAverage="0" equalAverage="0" bottom="0" percent="0" rank="0" text="" dxfId="0">
      <formula>AND(ISNUMBER(E110),E110&gt;0)</formula>
    </cfRule>
    <cfRule type="expression" priority="127" aboveAverage="0" equalAverage="0" bottom="0" percent="0" rank="0" text="" dxfId="2">
      <formula>AND(ISNUMBER(E110),E110&lt;0)</formula>
    </cfRule>
  </conditionalFormatting>
  <conditionalFormatting sqref="E111 G111 I111 K111">
    <cfRule type="expression" priority="128" aboveAverage="0" equalAverage="0" bottom="0" percent="0" rank="0" text="" dxfId="0">
      <formula>AND(ISNUMBER(E111),E111&gt;0)</formula>
    </cfRule>
    <cfRule type="expression" priority="129" aboveAverage="0" equalAverage="0" bottom="0" percent="0" rank="0" text="" dxfId="2">
      <formula>AND(ISNUMBER(E111),E111&lt;0)</formula>
    </cfRule>
  </conditionalFormatting>
  <conditionalFormatting sqref="E112 G112 I112 K112">
    <cfRule type="expression" priority="130" aboveAverage="0" equalAverage="0" bottom="0" percent="0" rank="0" text="" dxfId="0">
      <formula>AND(ISNUMBER(E112),E112&gt;0)</formula>
    </cfRule>
    <cfRule type="expression" priority="131" aboveAverage="0" equalAverage="0" bottom="0" percent="0" rank="0" text="" dxfId="2">
      <formula>AND(ISNUMBER(E112),E112&lt;0)</formula>
    </cfRule>
  </conditionalFormatting>
  <conditionalFormatting sqref="E113 G113 I113 K113">
    <cfRule type="expression" priority="132" aboveAverage="0" equalAverage="0" bottom="0" percent="0" rank="0" text="" dxfId="0">
      <formula>AND(ISNUMBER(E113),E113&gt;0)</formula>
    </cfRule>
    <cfRule type="expression" priority="133" aboveAverage="0" equalAverage="0" bottom="0" percent="0" rank="0" text="" dxfId="2">
      <formula>AND(ISNUMBER(E113),E113&lt;0)</formula>
    </cfRule>
  </conditionalFormatting>
  <conditionalFormatting sqref="E114 G114 I114 K114">
    <cfRule type="expression" priority="134" aboveAverage="0" equalAverage="0" bottom="0" percent="0" rank="0" text="" dxfId="0">
      <formula>AND(ISNUMBER(E114),E114&gt;0)</formula>
    </cfRule>
    <cfRule type="expression" priority="135" aboveAverage="0" equalAverage="0" bottom="0" percent="0" rank="0" text="" dxfId="2">
      <formula>AND(ISNUMBER(E114),E114&lt;0)</formula>
    </cfRule>
  </conditionalFormatting>
  <conditionalFormatting sqref="E115 G115 I115 K115">
    <cfRule type="expression" priority="136" aboveAverage="0" equalAverage="0" bottom="0" percent="0" rank="0" text="" dxfId="0">
      <formula>AND(ISNUMBER(E115),E115&gt;0)</formula>
    </cfRule>
    <cfRule type="expression" priority="137" aboveAverage="0" equalAverage="0" bottom="0" percent="0" rank="0" text="" dxfId="2">
      <formula>AND(ISNUMBER(E115),E115&lt;0)</formula>
    </cfRule>
  </conditionalFormatting>
  <conditionalFormatting sqref="E116 G116 I116 K116">
    <cfRule type="expression" priority="138" aboveAverage="0" equalAverage="0" bottom="0" percent="0" rank="0" text="" dxfId="0">
      <formula>AND(ISNUMBER(E116),E116&gt;0)</formula>
    </cfRule>
    <cfRule type="expression" priority="139" aboveAverage="0" equalAverage="0" bottom="0" percent="0" rank="0" text="" dxfId="2">
      <formula>AND(ISNUMBER(E116),E116&lt;0)</formula>
    </cfRule>
  </conditionalFormatting>
  <conditionalFormatting sqref="E117 G117 I117 K117">
    <cfRule type="expression" priority="140" aboveAverage="0" equalAverage="0" bottom="0" percent="0" rank="0" text="" dxfId="0">
      <formula>AND(ISNUMBER(E117),E117&gt;0)</formula>
    </cfRule>
    <cfRule type="expression" priority="141" aboveAverage="0" equalAverage="0" bottom="0" percent="0" rank="0" text="" dxfId="2">
      <formula>AND(ISNUMBER(E117),E117&lt;0)</formula>
    </cfRule>
  </conditionalFormatting>
  <conditionalFormatting sqref="E119 G119 I119 K119">
    <cfRule type="expression" priority="142" aboveAverage="0" equalAverage="0" bottom="0" percent="0" rank="0" text="" dxfId="0">
      <formula>AND(ISNUMBER(E119),E119&lt;0)</formula>
    </cfRule>
    <cfRule type="expression" priority="143" aboveAverage="0" equalAverage="0" bottom="0" percent="0" rank="0" text="" dxfId="2">
      <formula>AND(ISNUMBER(E119),E119&gt;0)</formula>
    </cfRule>
  </conditionalFormatting>
  <conditionalFormatting sqref="E133 G133 I133 K133">
    <cfRule type="expression" priority="144" aboveAverage="0" equalAverage="0" bottom="0" percent="0" rank="0" text="" dxfId="0">
      <formula>AND(ISNUMBER(E133),E133&gt;0)</formula>
    </cfRule>
    <cfRule type="expression" priority="145" aboveAverage="0" equalAverage="0" bottom="0" percent="0" rank="0" text="" dxfId="2">
      <formula>AND(ISNUMBER(E133),E133&lt;0)</formula>
    </cfRule>
  </conditionalFormatting>
  <conditionalFormatting sqref="E134 G134 I134 K134">
    <cfRule type="expression" priority="146" aboveAverage="0" equalAverage="0" bottom="0" percent="0" rank="0" text="" dxfId="0">
      <formula>AND(ISNUMBER(E134),E134&gt;0)</formula>
    </cfRule>
    <cfRule type="expression" priority="147" aboveAverage="0" equalAverage="0" bottom="0" percent="0" rank="0" text="" dxfId="2">
      <formula>AND(ISNUMBER(E134),E134&lt;0)</formula>
    </cfRule>
  </conditionalFormatting>
  <conditionalFormatting sqref="E135 G135 I135 K135">
    <cfRule type="expression" priority="148" aboveAverage="0" equalAverage="0" bottom="0" percent="0" rank="0" text="" dxfId="0">
      <formula>AND(ISNUMBER(E135),E135&gt;0)</formula>
    </cfRule>
    <cfRule type="expression" priority="149" aboveAverage="0" equalAverage="0" bottom="0" percent="0" rank="0" text="" dxfId="2">
      <formula>AND(ISNUMBER(E135),E135&lt;0)</formula>
    </cfRule>
  </conditionalFormatting>
  <conditionalFormatting sqref="E136 G136 I136 K136">
    <cfRule type="expression" priority="150" aboveAverage="0" equalAverage="0" bottom="0" percent="0" rank="0" text="" dxfId="0">
      <formula>AND(ISNUMBER(E136),E136&gt;0)</formula>
    </cfRule>
    <cfRule type="expression" priority="151" aboveAverage="0" equalAverage="0" bottom="0" percent="0" rank="0" text="" dxfId="2">
      <formula>AND(ISNUMBER(E136),E136&lt;0)</formula>
    </cfRule>
  </conditionalFormatting>
  <conditionalFormatting sqref="E137 G137 I137 K137">
    <cfRule type="expression" priority="152" aboveAverage="0" equalAverage="0" bottom="0" percent="0" rank="0" text="" dxfId="0">
      <formula>AND(ISNUMBER(E137),E137&gt;0)</formula>
    </cfRule>
    <cfRule type="expression" priority="153" aboveAverage="0" equalAverage="0" bottom="0" percent="0" rank="0" text="" dxfId="2">
      <formula>AND(ISNUMBER(E137),E137&lt;0)</formula>
    </cfRule>
  </conditionalFormatting>
  <conditionalFormatting sqref="E138 G138 I138 K138">
    <cfRule type="expression" priority="154" aboveAverage="0" equalAverage="0" bottom="0" percent="0" rank="0" text="" dxfId="0">
      <formula>AND(ISNUMBER(E138),E138&gt;0)</formula>
    </cfRule>
    <cfRule type="expression" priority="155" aboveAverage="0" equalAverage="0" bottom="0" percent="0" rank="0" text="" dxfId="2">
      <formula>AND(ISNUMBER(E138),E138&lt;0)</formula>
    </cfRule>
  </conditionalFormatting>
  <conditionalFormatting sqref="E139 G139 I139 K139">
    <cfRule type="expression" priority="156" aboveAverage="0" equalAverage="0" bottom="0" percent="0" rank="0" text="" dxfId="0">
      <formula>AND(ISNUMBER(E139),E139&gt;0)</formula>
    </cfRule>
    <cfRule type="expression" priority="157" aboveAverage="0" equalAverage="0" bottom="0" percent="0" rank="0" text="" dxfId="2">
      <formula>AND(ISNUMBER(E139),E139&lt;0)</formula>
    </cfRule>
  </conditionalFormatting>
  <conditionalFormatting sqref="E140 G140 I140 K140">
    <cfRule type="expression" priority="158" aboveAverage="0" equalAverage="0" bottom="0" percent="0" rank="0" text="" dxfId="0">
      <formula>AND(ISNUMBER(E140),E140&gt;0)</formula>
    </cfRule>
    <cfRule type="expression" priority="159" aboveAverage="0" equalAverage="0" bottom="0" percent="0" rank="0" text="" dxfId="2">
      <formula>AND(ISNUMBER(E140),E140&lt;0)</formula>
    </cfRule>
  </conditionalFormatting>
  <conditionalFormatting sqref="E142 G142 I142 K142">
    <cfRule type="expression" priority="160" aboveAverage="0" equalAverage="0" bottom="0" percent="0" rank="0" text="" dxfId="0">
      <formula>AND(ISNUMBER(E142),E142&lt;0)</formula>
    </cfRule>
    <cfRule type="expression" priority="161" aboveAverage="0" equalAverage="0" bottom="0" percent="0" rank="0" text="" dxfId="2">
      <formula>AND(ISNUMBER(E142),E142&gt;0)</formula>
    </cfRule>
  </conditionalFormatting>
  <conditionalFormatting sqref="E145 G145 I145 K145">
    <cfRule type="expression" priority="162" aboveAverage="0" equalAverage="0" bottom="0" percent="0" rank="0" text="" dxfId="0">
      <formula>AND(ISNUMBER(E145),E145&gt;0)</formula>
    </cfRule>
    <cfRule type="expression" priority="163" aboveAverage="0" equalAverage="0" bottom="0" percent="0" rank="0" text="" dxfId="2">
      <formula>AND(ISNUMBER(E145),E145&lt;0)</formula>
    </cfRule>
  </conditionalFormatting>
  <conditionalFormatting sqref="E146 G146 I146 K146">
    <cfRule type="expression" priority="164" aboveAverage="0" equalAverage="0" bottom="0" percent="0" rank="0" text="" dxfId="0">
      <formula>AND(ISNUMBER(E146),E146&gt;0)</formula>
    </cfRule>
    <cfRule type="expression" priority="165" aboveAverage="0" equalAverage="0" bottom="0" percent="0" rank="0" text="" dxfId="2">
      <formula>AND(ISNUMBER(E146),E146&lt;0)</formula>
    </cfRule>
  </conditionalFormatting>
  <conditionalFormatting sqref="E147 G147 I147 K147">
    <cfRule type="expression" priority="166" aboveAverage="0" equalAverage="0" bottom="0" percent="0" rank="0" text="" dxfId="0">
      <formula>AND(ISNUMBER(E147),E147&gt;0)</formula>
    </cfRule>
    <cfRule type="expression" priority="167" aboveAverage="0" equalAverage="0" bottom="0" percent="0" rank="0" text="" dxfId="2">
      <formula>AND(ISNUMBER(E147),E147&lt;0)</formula>
    </cfRule>
  </conditionalFormatting>
  <conditionalFormatting sqref="E148 G148 I148 K148">
    <cfRule type="expression" priority="168" aboveAverage="0" equalAverage="0" bottom="0" percent="0" rank="0" text="" dxfId="0">
      <formula>AND(ISNUMBER(E148),E148&gt;0)</formula>
    </cfRule>
    <cfRule type="expression" priority="169" aboveAverage="0" equalAverage="0" bottom="0" percent="0" rank="0" text="" dxfId="2">
      <formula>AND(ISNUMBER(E148),E148&lt;0)</formula>
    </cfRule>
  </conditionalFormatting>
  <conditionalFormatting sqref="E149 G149 I149 K149">
    <cfRule type="expression" priority="170" aboveAverage="0" equalAverage="0" bottom="0" percent="0" rank="0" text="" dxfId="0">
      <formula>AND(ISNUMBER(E149),E149&gt;0)</formula>
    </cfRule>
    <cfRule type="expression" priority="171" aboveAverage="0" equalAverage="0" bottom="0" percent="0" rank="0" text="" dxfId="2">
      <formula>AND(ISNUMBER(E149),E149&lt;0)</formula>
    </cfRule>
  </conditionalFormatting>
  <conditionalFormatting sqref="E150 G150 I150 K150">
    <cfRule type="expression" priority="172" aboveAverage="0" equalAverage="0" bottom="0" percent="0" rank="0" text="" dxfId="0">
      <formula>AND(ISNUMBER(E150),E150&gt;0)</formula>
    </cfRule>
    <cfRule type="expression" priority="173" aboveAverage="0" equalAverage="0" bottom="0" percent="0" rank="0" text="" dxfId="2">
      <formula>AND(ISNUMBER(E150),E150&lt;0)</formula>
    </cfRule>
  </conditionalFormatting>
  <conditionalFormatting sqref="E151 G151 I151 K151">
    <cfRule type="expression" priority="174" aboveAverage="0" equalAverage="0" bottom="0" percent="0" rank="0" text="" dxfId="0">
      <formula>AND(ISNUMBER(E151),E151&gt;0)</formula>
    </cfRule>
    <cfRule type="expression" priority="175" aboveAverage="0" equalAverage="0" bottom="0" percent="0" rank="0" text="" dxfId="2">
      <formula>AND(ISNUMBER(E151),E151&lt;0)</formula>
    </cfRule>
  </conditionalFormatting>
  <conditionalFormatting sqref="E152 G152 I152 K152">
    <cfRule type="expression" priority="176" aboveAverage="0" equalAverage="0" bottom="0" percent="0" rank="0" text="" dxfId="0">
      <formula>AND(ISNUMBER(E152),E152&gt;0)</formula>
    </cfRule>
    <cfRule type="expression" priority="177" aboveAverage="0" equalAverage="0" bottom="0" percent="0" rank="0" text="" dxfId="2">
      <formula>AND(ISNUMBER(E152),E152&lt;0)</formula>
    </cfRule>
  </conditionalFormatting>
  <conditionalFormatting sqref="E154 G154 I154 K154">
    <cfRule type="expression" priority="178" aboveAverage="0" equalAverage="0" bottom="0" percent="0" rank="0" text="" dxfId="0">
      <formula>AND(ISNUMBER(E154),E154&lt;0)</formula>
    </cfRule>
    <cfRule type="expression" priority="179" aboveAverage="0" equalAverage="0" bottom="0" percent="0" rank="0" text="" dxfId="2">
      <formula>AND(ISNUMBER(E154),E154&gt;0)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C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1"/>
  </cols>
  <sheetData>
    <row r="1" customFormat="false" ht="19.7" hidden="false" customHeight="false" outlineLevel="0" collapsed="false">
      <c r="A1" s="7" t="s">
        <v>1414</v>
      </c>
    </row>
    <row r="2" customFormat="false" ht="15" hidden="false" customHeight="false" outlineLevel="0" collapsed="false">
      <c r="A2" s="3" t="s">
        <v>1415</v>
      </c>
    </row>
    <row r="3" customFormat="false" ht="15" hidden="false" customHeight="false" outlineLevel="0" collapsed="false">
      <c r="A3" s="8" t="s">
        <v>85</v>
      </c>
    </row>
    <row r="58" customFormat="false" ht="15" hidden="false" customHeight="false" outlineLevel="0" collapsed="false">
      <c r="A58" s="20" t="s">
        <v>1416</v>
      </c>
    </row>
    <row r="59" customFormat="false" ht="30" hidden="false" customHeight="true" outlineLevel="0" collapsed="false">
      <c r="A59" s="12" t="s">
        <v>1417</v>
      </c>
      <c r="B59" s="12" t="s">
        <v>1418</v>
      </c>
      <c r="C59" s="12" t="s">
        <v>1419</v>
      </c>
    </row>
    <row r="60" customFormat="false" ht="15" hidden="false" customHeight="false" outlineLevel="0" collapsed="false">
      <c r="A60" s="5" t="s">
        <v>107</v>
      </c>
      <c r="B60" s="81" t="n">
        <f aca="false">IF(ISNUMBER('Season by Year'!D65),'Season by Year'!D65,"")</f>
        <v>1.85</v>
      </c>
      <c r="C60" s="81" t="n">
        <f aca="false">IF(ISNUMBER('Season by Year'!F65),'Season by Year'!F65,"")</f>
        <v>2.1</v>
      </c>
    </row>
    <row r="61" customFormat="false" ht="15" hidden="false" customHeight="false" outlineLevel="0" collapsed="false">
      <c r="A61" s="5" t="s">
        <v>1420</v>
      </c>
      <c r="B61" s="81" t="n">
        <f aca="false">IF(ISNUMBER('Season by Year'!D66),'Season by Year'!D66,"")</f>
        <v>2</v>
      </c>
      <c r="C61" s="81" t="n">
        <f aca="false">IF(ISNUMBER('Season by Year'!F66),'Season by Year'!F66,"")</f>
        <v>2.15</v>
      </c>
    </row>
    <row r="62" customFormat="false" ht="15" hidden="false" customHeight="false" outlineLevel="0" collapsed="false">
      <c r="A62" s="5" t="s">
        <v>1350</v>
      </c>
      <c r="B62" s="39" t="n">
        <f aca="false">IF(ISNUMBER('Season by Year'!D67),'Season by Year'!D67,"")</f>
        <v>0.142</v>
      </c>
      <c r="C62" s="39" t="n">
        <f aca="false">IF(ISNUMBER('Season by Year'!F67),'Season by Year'!F67,"")</f>
        <v>0.155</v>
      </c>
    </row>
    <row r="63" customFormat="false" ht="15" hidden="false" customHeight="false" outlineLevel="0" collapsed="false">
      <c r="A63" s="5" t="s">
        <v>1421</v>
      </c>
      <c r="B63" s="39" t="n">
        <f aca="false">IF(ISNUMBER('Season by Year'!D68),'Season by Year'!D68,"")</f>
        <v>0.15</v>
      </c>
      <c r="C63" s="39" t="n">
        <f aca="false">IF(ISNUMBER('Season by Year'!F68),'Season by Year'!F68,"")</f>
        <v>0.155</v>
      </c>
    </row>
    <row r="64" customFormat="false" ht="15" hidden="false" customHeight="false" outlineLevel="0" collapsed="false">
      <c r="A64" s="5" t="s">
        <v>1352</v>
      </c>
      <c r="B64" s="81" t="n">
        <f aca="false">IF(ISNUMBER('Season by Year'!D69),'Season by Year'!D69,"")</f>
        <v>22.4</v>
      </c>
      <c r="C64" s="81" t="n">
        <f aca="false">IF(ISNUMBER('Season by Year'!F69),'Season by Year'!F69,"")</f>
        <v>26.1</v>
      </c>
    </row>
    <row r="65" customFormat="false" ht="15" hidden="false" customHeight="false" outlineLevel="0" collapsed="false">
      <c r="A65" s="5" t="s">
        <v>1422</v>
      </c>
      <c r="B65" s="81" t="n">
        <f aca="false">IF(ISNUMBER('Season by Year'!D70),'Season by Year'!D70,"")</f>
        <v>25</v>
      </c>
      <c r="C65" s="81" t="n">
        <f aca="false">IF(ISNUMBER('Season by Year'!F70),'Season by Year'!F70,"")</f>
        <v>27</v>
      </c>
    </row>
    <row r="66" customFormat="false" ht="15" hidden="false" customHeight="false" outlineLevel="0" collapsed="false">
      <c r="A66" s="5" t="s">
        <v>115</v>
      </c>
      <c r="B66" s="26" t="n">
        <f aca="false">IF(ISNUMBER('Season by Year'!D74),'Season by Year'!D74,"")</f>
        <v>68</v>
      </c>
      <c r="C66" s="26" t="n">
        <f aca="false">IF(ISNUMBER('Season by Year'!F74),'Season by Year'!F74,"")</f>
        <v>71</v>
      </c>
    </row>
    <row r="67" customFormat="false" ht="15" hidden="false" customHeight="false" outlineLevel="0" collapsed="false">
      <c r="A67" s="5" t="s">
        <v>1423</v>
      </c>
      <c r="B67" s="26" t="n">
        <f aca="false">IF(ISNUMBER('Season by Year'!D75),'Season by Year'!D75,"")</f>
        <v>70</v>
      </c>
      <c r="C67" s="26" t="n">
        <f aca="false">IF(ISNUMBER('Season by Year'!F75),'Season by Year'!F75,"")</f>
        <v>72</v>
      </c>
    </row>
    <row r="68" customFormat="false" ht="15" hidden="false" customHeight="false" outlineLevel="0" collapsed="false">
      <c r="A68" s="5" t="s">
        <v>1355</v>
      </c>
      <c r="B68" s="26" t="n">
        <f aca="false">IF(ISNUMBER('Season by Year'!D73),'Season by Year'!D73,"")</f>
        <v>8</v>
      </c>
      <c r="C68" s="26" t="n">
        <f aca="false">IF(ISNUMBER('Season by Year'!F73),'Season by Year'!F73,"")</f>
        <v>9</v>
      </c>
    </row>
    <row r="69" customFormat="false" ht="15" hidden="false" customHeight="false" outlineLevel="0" collapsed="false">
      <c r="A69" s="5" t="s">
        <v>1357</v>
      </c>
      <c r="B69" s="26" t="n">
        <f aca="false">IF(ISNUMBER('Season by Year'!D76),'Season by Year'!D76,"")</f>
        <v>78</v>
      </c>
      <c r="C69" s="26" t="n">
        <f aca="false">IF(ISNUMBER('Season by Year'!F76),'Season by Year'!F76,"")</f>
        <v>84</v>
      </c>
    </row>
    <row r="70" customFormat="false" ht="15" hidden="false" customHeight="false" outlineLevel="0" collapsed="false">
      <c r="A70" s="5" t="s">
        <v>446</v>
      </c>
      <c r="B70" s="26" t="n">
        <f aca="false">IF(ISNUMBER('Season by Year'!D77),'Season by Year'!D77,"")</f>
        <v>3</v>
      </c>
      <c r="C70" s="26" t="n">
        <f aca="false">IF(ISNUMBER('Season by Year'!F77),'Season by Year'!F77,"")</f>
        <v>2</v>
      </c>
    </row>
    <row r="71" customFormat="false" ht="15" hidden="false" customHeight="false" outlineLevel="0" collapsed="false">
      <c r="A71" s="5" t="s">
        <v>1359</v>
      </c>
      <c r="B71" s="42" t="n">
        <f aca="false">IF(ISNUMBER('Season by Year'!D78),'Season by Year'!D78,"")</f>
        <v>412000</v>
      </c>
      <c r="C71" s="42" t="n">
        <f aca="false">IF(ISNUMBER('Season by Year'!F78),'Season by Year'!F78,"")</f>
        <v>455000</v>
      </c>
    </row>
    <row r="72" customFormat="false" ht="15" hidden="false" customHeight="false" outlineLevel="0" collapsed="false">
      <c r="A72" s="5" t="s">
        <v>1360</v>
      </c>
      <c r="B72" s="42" t="n">
        <f aca="false">IF(ISNUMBER('Season by Year'!D79),'Season by Year'!D79,"")</f>
        <v>18500</v>
      </c>
      <c r="C72" s="42" t="n">
        <f aca="false">IF(ISNUMBER('Season by Year'!F79),'Season by Year'!F79,"")</f>
        <v>21900</v>
      </c>
    </row>
    <row r="73" customFormat="false" ht="15" hidden="false" customHeight="false" outlineLevel="0" collapsed="false">
      <c r="A73" s="5" t="s">
        <v>1424</v>
      </c>
      <c r="B73" s="27" t="n">
        <f aca="false">IF(ISNUMBER('Season by Year'!D95),'Season by Year'!D95,"")</f>
        <v>12.225</v>
      </c>
      <c r="C73" s="27" t="n">
        <f aca="false">IF(ISNUMBER('Season by Year'!F95),'Season by Year'!F95,"")</f>
        <v>12.975</v>
      </c>
    </row>
    <row r="74" customFormat="false" ht="15" hidden="false" customHeight="false" outlineLevel="0" collapsed="false">
      <c r="A74" s="5" t="s">
        <v>1425</v>
      </c>
      <c r="B74" s="27" t="n">
        <f aca="false">IF(ISNUMBER('Season by Year'!D110),'Season by Year'!D110,"")</f>
        <v>11.975</v>
      </c>
      <c r="C74" s="27" t="n">
        <f aca="false">IF(ISNUMBER('Season by Year'!F110),'Season by Year'!F110,"")</f>
        <v>12.55</v>
      </c>
    </row>
    <row r="75" customFormat="false" ht="15" hidden="false" customHeight="false" outlineLevel="0" collapsed="false">
      <c r="A75" s="5" t="s">
        <v>1426</v>
      </c>
      <c r="B75" s="35" t="n">
        <f aca="false">IF(ISNUMBER('Season by Year'!D87),'Season by Year'!D87,"")</f>
        <v>182</v>
      </c>
      <c r="C75" s="35" t="n">
        <f aca="false">IF(ISNUMBER('Season by Year'!F87),'Season by Year'!F87,"")</f>
        <v>176</v>
      </c>
    </row>
    <row r="76" customFormat="false" ht="15" hidden="false" customHeight="false" outlineLevel="0" collapsed="false">
      <c r="A76" s="5" t="s">
        <v>1427</v>
      </c>
      <c r="B76" s="35" t="n">
        <f aca="false">IF(ISNUMBER('Season by Year'!D88),'Season by Year'!D88,"")</f>
        <v>186</v>
      </c>
      <c r="C76" s="35" t="n">
        <f aca="false">IF(ISNUMBER('Season by Year'!F88),'Season by Year'!F88,"")</f>
        <v>184</v>
      </c>
    </row>
    <row r="77" customFormat="false" ht="15" hidden="false" customHeight="false" outlineLevel="0" collapsed="false">
      <c r="A77" s="5" t="s">
        <v>1428</v>
      </c>
      <c r="B77" s="35" t="n">
        <f aca="false">IF(ISNUMBER('Season by Year'!D102),'Season by Year'!D102,"")</f>
        <v>905</v>
      </c>
      <c r="C77" s="35" t="n">
        <f aca="false">IF(ISNUMBER('Season by Year'!F102),'Season by Year'!F102,"")</f>
        <v>884</v>
      </c>
    </row>
    <row r="78" customFormat="false" ht="15" hidden="false" customHeight="false" outlineLevel="0" collapsed="false">
      <c r="A78" s="5" t="s">
        <v>1429</v>
      </c>
      <c r="B78" s="35" t="n">
        <f aca="false">IF(ISNUMBER('Season by Year'!D103),'Season by Year'!D103,"")</f>
        <v>890</v>
      </c>
      <c r="C78" s="35" t="n">
        <f aca="false">IF(ISNUMBER('Season by Year'!F103),'Season by Year'!F103,"")</f>
        <v>879</v>
      </c>
    </row>
    <row r="79" customFormat="false" ht="15" hidden="false" customHeight="false" outlineLevel="0" collapsed="false">
      <c r="A79" s="5" t="s">
        <v>1366</v>
      </c>
      <c r="B79" s="25" t="n">
        <f aca="false">IF(ISNUMBER('Season by Year'!D84),'Season by Year'!D84,"")</f>
        <v>-0.0434782608695652</v>
      </c>
      <c r="C79" s="25" t="n">
        <f aca="false">IF(ISNUMBER('Season by Year'!F84),'Season by Year'!F84,"")</f>
        <v>-0.044280442804428</v>
      </c>
    </row>
    <row r="80" customFormat="false" ht="15" hidden="false" customHeight="false" outlineLevel="0" collapsed="false">
      <c r="A80" s="5" t="s">
        <v>1430</v>
      </c>
      <c r="B80" s="25" t="n">
        <f aca="false">IF(ISNUMBER('Season by Year'!D89),'Season by Year'!D89,"")</f>
        <v>-0.021505376344086</v>
      </c>
      <c r="C80" s="25" t="n">
        <f aca="false">IF(ISNUMBER('Season by Year'!F89),'Season by Year'!F89,"")</f>
        <v>-0.0434782608695652</v>
      </c>
    </row>
    <row r="81" customFormat="false" ht="15" hidden="false" customHeight="false" outlineLevel="0" collapsed="false">
      <c r="A81" s="5" t="s">
        <v>1382</v>
      </c>
      <c r="B81" s="25" t="n">
        <f aca="false">IF(ISNUMBER('Season by Year'!D99),'Season by Year'!D99,"")</f>
        <v>0.0351464435146442</v>
      </c>
      <c r="C81" s="25" t="n">
        <f aca="false">IF(ISNUMBER('Season by Year'!F99),'Season by Year'!F99,"")</f>
        <v>0.0345117845117846</v>
      </c>
    </row>
    <row r="82" customFormat="false" ht="15" hidden="false" customHeight="false" outlineLevel="0" collapsed="false">
      <c r="A82" s="5" t="s">
        <v>1431</v>
      </c>
      <c r="B82" s="25" t="n">
        <f aca="false">IF(ISNUMBER('Season by Year'!D104),'Season by Year'!D104,"")</f>
        <v>0.0168539325842696</v>
      </c>
      <c r="C82" s="25" t="n">
        <f aca="false">IF(ISNUMBER('Season by Year'!F104),'Season by Year'!F104,"")</f>
        <v>0.00568828213879402</v>
      </c>
    </row>
    <row r="83" customFormat="false" ht="15" hidden="false" customHeight="false" outlineLevel="0" collapsed="false">
      <c r="A83" s="5" t="s">
        <v>1372</v>
      </c>
      <c r="B83" s="39" t="n">
        <f aca="false">IF(ISNUMBER('Season by Year'!D90),'Season by Year'!D90,"")</f>
        <v>0.11</v>
      </c>
      <c r="C83" s="39" t="n">
        <f aca="false">IF(ISNUMBER('Season by Year'!F90),'Season by Year'!F90,"")</f>
        <v>0.125</v>
      </c>
    </row>
    <row r="84" customFormat="false" ht="15" hidden="false" customHeight="false" outlineLevel="0" collapsed="false">
      <c r="A84" s="5" t="s">
        <v>1388</v>
      </c>
      <c r="B84" s="39" t="n">
        <f aca="false">IF(ISNUMBER('Season by Year'!D105),'Season by Year'!D105,"")</f>
        <v>0.09</v>
      </c>
      <c r="C84" s="39" t="n">
        <f aca="false">IF(ISNUMBER('Season by Year'!F105),'Season by Year'!F105,"")</f>
        <v>0.105</v>
      </c>
    </row>
    <row r="85" customFormat="false" ht="15" hidden="false" customHeight="false" outlineLevel="0" collapsed="false">
      <c r="A85" s="5" t="s">
        <v>1396</v>
      </c>
      <c r="B85" s="26" t="n">
        <f aca="false">IF(ISNUMBER('Competition by Year'!B6),'Competition by Year'!B6,"")</f>
        <v>81</v>
      </c>
      <c r="C85" s="26" t="n">
        <f aca="false">IF(ISNUMBER('Competition by Year'!D6),'Competition by Year'!D6,"")</f>
        <v>83</v>
      </c>
    </row>
    <row r="86" customFormat="false" ht="15" hidden="false" customHeight="false" outlineLevel="0" collapsed="false">
      <c r="A86" s="5" t="s">
        <v>1397</v>
      </c>
      <c r="B86" s="26" t="n">
        <f aca="false">IF(ISNUMBER('Competition by Year'!B7),'Competition by Year'!B7,"")</f>
        <v>70</v>
      </c>
      <c r="C86" s="26" t="n">
        <f aca="false">IF(ISNUMBER('Competition by Year'!D7),'Competition by Year'!D7,"")</f>
        <v>72</v>
      </c>
    </row>
    <row r="87" customFormat="false" ht="15" hidden="false" customHeight="false" outlineLevel="0" collapsed="false">
      <c r="A87" s="5" t="s">
        <v>1432</v>
      </c>
      <c r="B87" s="26" t="n">
        <f aca="false">IF(ISNUMBER('Competition by Year'!B8),'Competition by Year'!B8,"")</f>
        <v>78</v>
      </c>
      <c r="C87" s="26" t="n">
        <f aca="false">IF(ISNUMBER('Competition by Year'!D8),'Competition by Year'!D8,"")</f>
        <v>84</v>
      </c>
    </row>
    <row r="88" customFormat="false" ht="15" hidden="false" customHeight="false" outlineLevel="0" collapsed="false">
      <c r="A88" s="5" t="s">
        <v>1399</v>
      </c>
      <c r="B88" s="26" t="n">
        <f aca="false">IF(ISNUMBER('Competition by Year'!B9),'Competition by Year'!B9,"")</f>
        <v>83</v>
      </c>
      <c r="C88" s="26" t="n">
        <f aca="false">IF(ISNUMBER('Competition by Year'!D9),'Competition by Year'!D9,"")</f>
        <v>86</v>
      </c>
    </row>
    <row r="89" customFormat="false" ht="15" hidden="false" customHeight="false" outlineLevel="0" collapsed="false">
      <c r="A89" s="5" t="s">
        <v>1400</v>
      </c>
      <c r="B89" s="26" t="n">
        <f aca="false">IF(ISNUMBER('Competition by Year'!B10),'Competition by Year'!B10,"")</f>
        <v>66</v>
      </c>
      <c r="C89" s="26" t="n">
        <f aca="false">IF(ISNUMBER('Competition by Year'!D10),'Competition by Year'!D10,"")</f>
        <v>63</v>
      </c>
    </row>
    <row r="90" customFormat="false" ht="15" hidden="false" customHeight="false" outlineLevel="0" collapsed="false">
      <c r="A90" s="5" t="s">
        <v>1401</v>
      </c>
      <c r="B90" s="26" t="n">
        <f aca="false">IF(ISNUMBER('Competition by Year'!B11),'Competition by Year'!B11,"")</f>
        <v>74</v>
      </c>
      <c r="C90" s="26" t="n">
        <f aca="false">IF(ISNUMBER('Competition by Year'!D11),'Competition by Year'!D11,"")</f>
        <v>75</v>
      </c>
    </row>
    <row r="91" customFormat="false" ht="15" hidden="false" customHeight="false" outlineLevel="0" collapsed="false">
      <c r="A91" s="5" t="s">
        <v>1402</v>
      </c>
      <c r="B91" s="26" t="n">
        <f aca="false">IF(ISNUMBER('Competition by Year'!B12),'Competition by Year'!B12,"")</f>
        <v>77</v>
      </c>
      <c r="C91" s="26" t="n">
        <f aca="false">IF(ISNUMBER('Competition by Year'!D12),'Competition by Year'!D12,"")</f>
        <v>80</v>
      </c>
    </row>
    <row r="92" customFormat="false" ht="15" hidden="false" customHeight="false" outlineLevel="0" collapsed="false">
      <c r="A92" s="5" t="s">
        <v>1403</v>
      </c>
      <c r="B92" s="26" t="n">
        <f aca="false">IF(ISNUMBER('Competition by Year'!B13),'Competition by Year'!B13,"")</f>
        <v>69</v>
      </c>
      <c r="C92" s="26" t="n">
        <f aca="false">IF(ISNUMBER('Competition by Year'!D13),'Competition by Year'!D13,"")</f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4536"/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6" min="5" style="0" width="44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7" t="s">
        <v>1433</v>
      </c>
    </row>
    <row r="2" customFormat="false" ht="15" hidden="false" customHeight="false" outlineLevel="0" collapsed="false">
      <c r="A2" s="3" t="s">
        <v>1434</v>
      </c>
    </row>
    <row r="3" customFormat="false" ht="15" hidden="false" customHeight="false" outlineLevel="0" collapsed="false">
      <c r="A3" s="8" t="s">
        <v>85</v>
      </c>
    </row>
    <row r="5" customFormat="false" ht="30" hidden="false" customHeight="true" outlineLevel="0" collapsed="false">
      <c r="A5" s="12" t="s">
        <v>218</v>
      </c>
      <c r="B5" s="12" t="s">
        <v>550</v>
      </c>
      <c r="C5" s="12" t="s">
        <v>129</v>
      </c>
      <c r="D5" s="12" t="s">
        <v>1435</v>
      </c>
      <c r="E5" s="12" t="s">
        <v>610</v>
      </c>
      <c r="F5" s="12" t="s">
        <v>1436</v>
      </c>
      <c r="G5" s="12" t="s">
        <v>1437</v>
      </c>
      <c r="H5" s="12" t="s">
        <v>588</v>
      </c>
    </row>
    <row r="6" customFormat="false" ht="43.5" hidden="false" customHeight="true" outlineLevel="0" collapsed="false">
      <c r="A6" s="86" t="n">
        <v>7</v>
      </c>
      <c r="B6" s="86" t="s">
        <v>334</v>
      </c>
      <c r="C6" s="86" t="s">
        <v>1362</v>
      </c>
      <c r="D6" s="86" t="s">
        <v>1438</v>
      </c>
      <c r="E6" s="86" t="s">
        <v>1439</v>
      </c>
      <c r="F6" s="86"/>
      <c r="G6" s="11"/>
      <c r="H6" s="11" t="s">
        <v>1440</v>
      </c>
    </row>
    <row r="7" customFormat="false" ht="43.5" hidden="false" customHeight="true" outlineLevel="0" collapsed="false">
      <c r="A7" s="86" t="n">
        <v>7</v>
      </c>
      <c r="B7" s="86" t="s">
        <v>334</v>
      </c>
      <c r="C7" s="86" t="s">
        <v>1378</v>
      </c>
      <c r="D7" s="86" t="s">
        <v>1438</v>
      </c>
      <c r="E7" s="86" t="s">
        <v>1441</v>
      </c>
      <c r="F7" s="86"/>
      <c r="G7" s="11"/>
      <c r="H7" s="11" t="s">
        <v>1440</v>
      </c>
    </row>
    <row r="8" customFormat="false" ht="43.5" hidden="false" customHeight="true" outlineLevel="0" collapsed="false">
      <c r="A8" s="86" t="n">
        <v>7</v>
      </c>
      <c r="B8" s="86" t="s">
        <v>1442</v>
      </c>
      <c r="C8" s="86" t="s">
        <v>1378</v>
      </c>
      <c r="D8" s="86" t="s">
        <v>1443</v>
      </c>
      <c r="E8" s="86" t="s">
        <v>1444</v>
      </c>
      <c r="F8" s="86" t="s">
        <v>1445</v>
      </c>
      <c r="G8" s="11"/>
      <c r="H8" s="11" t="s">
        <v>1440</v>
      </c>
    </row>
    <row r="9" customFormat="false" ht="43.5" hidden="false" customHeight="true" outlineLevel="0" collapsed="false">
      <c r="A9" s="86" t="n">
        <v>7</v>
      </c>
      <c r="B9" s="86" t="s">
        <v>1446</v>
      </c>
      <c r="C9" s="86" t="s">
        <v>107</v>
      </c>
      <c r="D9" s="86" t="s">
        <v>1447</v>
      </c>
      <c r="E9" s="86" t="s">
        <v>1448</v>
      </c>
      <c r="F9" s="86" t="s">
        <v>1449</v>
      </c>
      <c r="G9" s="11"/>
      <c r="H9" s="11" t="s">
        <v>1440</v>
      </c>
    </row>
    <row r="10" customFormat="false" ht="43.5" hidden="false" customHeight="true" outlineLevel="0" collapsed="false">
      <c r="A10" s="86" t="n">
        <v>7</v>
      </c>
      <c r="B10" s="86" t="s">
        <v>1446</v>
      </c>
      <c r="C10" s="86" t="s">
        <v>111</v>
      </c>
      <c r="D10" s="86" t="s">
        <v>1450</v>
      </c>
      <c r="E10" s="86" t="s">
        <v>1451</v>
      </c>
      <c r="F10" s="86" t="s">
        <v>1452</v>
      </c>
      <c r="G10" s="11"/>
      <c r="H10" s="11" t="s">
        <v>1440</v>
      </c>
    </row>
    <row r="11" customFormat="false" ht="43.5" hidden="false" customHeight="true" outlineLevel="0" collapsed="false">
      <c r="A11" s="86" t="n">
        <v>7</v>
      </c>
      <c r="B11" s="86" t="s">
        <v>1446</v>
      </c>
      <c r="C11" s="86" t="s">
        <v>115</v>
      </c>
      <c r="D11" s="86" t="s">
        <v>1453</v>
      </c>
      <c r="E11" s="86" t="s">
        <v>1454</v>
      </c>
      <c r="F11" s="86" t="s">
        <v>1455</v>
      </c>
      <c r="G11" s="11"/>
      <c r="H11" s="11" t="s">
        <v>1440</v>
      </c>
    </row>
    <row r="12" customFormat="false" ht="43.5" hidden="false" customHeight="true" outlineLevel="0" collapsed="false">
      <c r="A12" s="86" t="n">
        <v>7</v>
      </c>
      <c r="B12" s="86" t="s">
        <v>1456</v>
      </c>
      <c r="C12" s="86"/>
      <c r="D12" s="86" t="s">
        <v>1457</v>
      </c>
      <c r="E12" s="86"/>
      <c r="F12" s="86"/>
      <c r="G12" s="11"/>
      <c r="H12" s="11" t="s">
        <v>1440</v>
      </c>
    </row>
    <row r="13" customFormat="false" ht="43.5" hidden="false" customHeight="true" outlineLevel="0" collapsed="false">
      <c r="A13" s="86" t="n">
        <v>7</v>
      </c>
      <c r="B13" s="86" t="s">
        <v>1456</v>
      </c>
      <c r="C13" s="86"/>
      <c r="D13" s="86" t="s">
        <v>1458</v>
      </c>
      <c r="E13" s="86"/>
      <c r="F13" s="86"/>
      <c r="G13" s="11"/>
      <c r="H13" s="11" t="s">
        <v>1440</v>
      </c>
    </row>
    <row r="14" customFormat="false" ht="19.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9.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9.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9.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9.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9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9.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9.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9.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9.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9.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9.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9.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9.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9.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9.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9.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9.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9.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9.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9.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9.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9.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9.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9.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9.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9.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9.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9.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9.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9.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</row>
  </sheetData>
  <conditionalFormatting sqref="H6:H45">
    <cfRule type="expression" priority="2" aboveAverage="0" equalAverage="0" bottom="0" percent="0" rank="0" text="" dxfId="0">
      <formula>OR(H6="Acted on",H6="Closed")</formula>
    </cfRule>
    <cfRule type="expression" priority="3" aboveAverage="0" equalAverage="0" bottom="0" percent="0" rank="0" text="" dxfId="1">
      <formula>H6="Discussed"</formula>
    </cfRule>
    <cfRule type="expression" priority="4" aboveAverage="0" equalAverage="0" bottom="0" percent="0" rank="0" text="" dxfId="2">
      <formula>H6="Open"</formula>
    </cfRule>
  </conditionalFormatting>
  <dataValidations count="2">
    <dataValidation allowBlank="true" errorStyle="stop" operator="between" showDropDown="false" showErrorMessage="false" showInputMessage="false" sqref="B6:B45" type="list">
      <formula1>"Finding,Watch item,Question to consider,Management goal"</formula1>
      <formula2>0</formula2>
    </dataValidation>
    <dataValidation allowBlank="true" errorStyle="stop" operator="between" showDropDown="false" showErrorMessage="false" showInputMessage="false" sqref="H6:H45" type="list">
      <formula1>"Open,Discussed,Acted on,Closed"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1459</v>
      </c>
      <c r="B1" s="0" t="n">
        <v>1</v>
      </c>
      <c r="C1" s="0" t="s">
        <v>1460</v>
      </c>
      <c r="D1" s="0" t="s">
        <v>1461</v>
      </c>
      <c r="E1" s="0" t="s">
        <v>1462</v>
      </c>
    </row>
    <row r="2" customFormat="false" ht="15" hidden="false" customHeight="false" outlineLevel="0" collapsed="false">
      <c r="A2" s="0" t="s">
        <v>1463</v>
      </c>
      <c r="B2" s="0" t="s">
        <v>1464</v>
      </c>
      <c r="C2" s="0" t="s">
        <v>1465</v>
      </c>
      <c r="D2" s="0" t="s">
        <v>1466</v>
      </c>
      <c r="E2" s="0" t="s">
        <v>1467</v>
      </c>
    </row>
    <row r="3" customFormat="false" ht="15" hidden="false" customHeight="false" outlineLevel="0" collapsed="false">
      <c r="A3" s="0" t="s">
        <v>7</v>
      </c>
      <c r="B3" s="0" t="s">
        <v>1468</v>
      </c>
      <c r="C3" s="0" t="s">
        <v>1469</v>
      </c>
      <c r="E3" s="0" t="s">
        <v>1470</v>
      </c>
    </row>
    <row r="4" customFormat="false" ht="15" hidden="false" customHeight="false" outlineLevel="0" collapsed="false">
      <c r="A4" s="0" t="s">
        <v>7</v>
      </c>
      <c r="B4" s="0" t="s">
        <v>1471</v>
      </c>
      <c r="C4" s="0" t="s">
        <v>1472</v>
      </c>
      <c r="E4" s="0" t="s">
        <v>1473</v>
      </c>
    </row>
    <row r="5" customFormat="false" ht="15" hidden="false" customHeight="false" outlineLevel="0" collapsed="false">
      <c r="A5" s="0" t="s">
        <v>7</v>
      </c>
      <c r="B5" s="0" t="s">
        <v>1474</v>
      </c>
      <c r="C5" s="0" t="s">
        <v>1475</v>
      </c>
      <c r="E5" s="0" t="s">
        <v>1476</v>
      </c>
    </row>
    <row r="6" customFormat="false" ht="15" hidden="false" customHeight="false" outlineLevel="0" collapsed="false">
      <c r="A6" s="0" t="s">
        <v>7</v>
      </c>
      <c r="B6" s="0" t="s">
        <v>1477</v>
      </c>
      <c r="C6" s="0" t="s">
        <v>1478</v>
      </c>
      <c r="E6" s="0" t="s">
        <v>1479</v>
      </c>
    </row>
    <row r="7" customFormat="false" ht="15" hidden="false" customHeight="false" outlineLevel="0" collapsed="false">
      <c r="A7" s="0" t="s">
        <v>7</v>
      </c>
      <c r="B7" s="0" t="s">
        <v>1480</v>
      </c>
      <c r="C7" s="0" t="s">
        <v>1481</v>
      </c>
      <c r="E7" s="0" t="s">
        <v>1482</v>
      </c>
    </row>
    <row r="8" customFormat="false" ht="15" hidden="false" customHeight="false" outlineLevel="0" collapsed="false">
      <c r="A8" s="0" t="s">
        <v>7</v>
      </c>
      <c r="B8" s="0" t="s">
        <v>1483</v>
      </c>
      <c r="C8" s="0" t="s">
        <v>1484</v>
      </c>
      <c r="E8" s="0" t="s">
        <v>1485</v>
      </c>
    </row>
    <row r="9" customFormat="false" ht="15" hidden="false" customHeight="false" outlineLevel="0" collapsed="false">
      <c r="A9" s="0" t="s">
        <v>7</v>
      </c>
      <c r="B9" s="0" t="s">
        <v>1486</v>
      </c>
      <c r="C9" s="0" t="s">
        <v>1487</v>
      </c>
      <c r="E9" s="0" t="s">
        <v>1479</v>
      </c>
    </row>
    <row r="10" customFormat="false" ht="15" hidden="false" customHeight="false" outlineLevel="0" collapsed="false">
      <c r="A10" s="0" t="s">
        <v>7</v>
      </c>
      <c r="B10" s="0" t="s">
        <v>1488</v>
      </c>
      <c r="C10" s="0" t="s">
        <v>1489</v>
      </c>
      <c r="E10" s="0" t="s">
        <v>1479</v>
      </c>
    </row>
    <row r="11" customFormat="false" ht="15" hidden="false" customHeight="false" outlineLevel="0" collapsed="false">
      <c r="A11" s="0" t="s">
        <v>7</v>
      </c>
      <c r="B11" s="0" t="s">
        <v>1490</v>
      </c>
      <c r="C11" s="0" t="s">
        <v>1491</v>
      </c>
      <c r="E11" s="0" t="s">
        <v>1479</v>
      </c>
    </row>
    <row r="12" customFormat="false" ht="15" hidden="false" customHeight="false" outlineLevel="0" collapsed="false">
      <c r="A12" s="0" t="s">
        <v>7</v>
      </c>
      <c r="B12" s="0" t="s">
        <v>1492</v>
      </c>
      <c r="C12" s="0" t="s">
        <v>1493</v>
      </c>
      <c r="E12" s="0" t="s">
        <v>1479</v>
      </c>
    </row>
    <row r="13" customFormat="false" ht="15" hidden="false" customHeight="false" outlineLevel="0" collapsed="false">
      <c r="A13" s="0" t="s">
        <v>7</v>
      </c>
      <c r="B13" s="0" t="s">
        <v>1494</v>
      </c>
      <c r="C13" s="0" t="s">
        <v>1495</v>
      </c>
      <c r="E13" s="0" t="s">
        <v>1479</v>
      </c>
    </row>
    <row r="14" customFormat="false" ht="15" hidden="false" customHeight="false" outlineLevel="0" collapsed="false">
      <c r="A14" s="0" t="s">
        <v>7</v>
      </c>
      <c r="B14" s="0" t="s">
        <v>1496</v>
      </c>
      <c r="C14" s="0" t="s">
        <v>1497</v>
      </c>
      <c r="E14" s="0" t="s">
        <v>1479</v>
      </c>
    </row>
    <row r="15" customFormat="false" ht="15" hidden="false" customHeight="false" outlineLevel="0" collapsed="false">
      <c r="A15" s="0" t="s">
        <v>7</v>
      </c>
      <c r="B15" s="0" t="s">
        <v>1498</v>
      </c>
      <c r="C15" s="0" t="s">
        <v>1499</v>
      </c>
      <c r="E15" s="0" t="s">
        <v>1479</v>
      </c>
    </row>
    <row r="16" customFormat="false" ht="15" hidden="false" customHeight="false" outlineLevel="0" collapsed="false">
      <c r="A16" s="0" t="s">
        <v>7</v>
      </c>
      <c r="B16" s="0" t="s">
        <v>1500</v>
      </c>
      <c r="C16" s="0" t="s">
        <v>1501</v>
      </c>
      <c r="E16" s="0" t="s">
        <v>1479</v>
      </c>
    </row>
    <row r="17" customFormat="false" ht="15" hidden="false" customHeight="false" outlineLevel="0" collapsed="false">
      <c r="A17" s="0" t="s">
        <v>7</v>
      </c>
      <c r="B17" s="0" t="s">
        <v>1502</v>
      </c>
      <c r="C17" s="0" t="s">
        <v>1503</v>
      </c>
      <c r="E17" s="0" t="s">
        <v>1479</v>
      </c>
    </row>
    <row r="18" customFormat="false" ht="15" hidden="false" customHeight="false" outlineLevel="0" collapsed="false">
      <c r="A18" s="0" t="s">
        <v>7</v>
      </c>
      <c r="B18" s="0" t="s">
        <v>1504</v>
      </c>
      <c r="C18" s="0" t="s">
        <v>1505</v>
      </c>
      <c r="E18" s="0" t="s">
        <v>1479</v>
      </c>
    </row>
    <row r="19" customFormat="false" ht="15" hidden="false" customHeight="false" outlineLevel="0" collapsed="false">
      <c r="A19" s="0" t="s">
        <v>7</v>
      </c>
      <c r="B19" s="0" t="s">
        <v>1506</v>
      </c>
      <c r="C19" s="0" t="s">
        <v>1507</v>
      </c>
      <c r="E19" s="0" t="s">
        <v>1508</v>
      </c>
    </row>
    <row r="20" customFormat="false" ht="15" hidden="false" customHeight="false" outlineLevel="0" collapsed="false">
      <c r="A20" s="0" t="s">
        <v>7</v>
      </c>
      <c r="B20" s="0" t="s">
        <v>1509</v>
      </c>
      <c r="C20" s="0" t="s">
        <v>1510</v>
      </c>
      <c r="E20" s="0" t="s">
        <v>1511</v>
      </c>
    </row>
    <row r="21" customFormat="false" ht="15" hidden="false" customHeight="false" outlineLevel="0" collapsed="false">
      <c r="A21" s="0" t="s">
        <v>7</v>
      </c>
      <c r="B21" s="0" t="s">
        <v>1512</v>
      </c>
      <c r="C21" s="0" t="s">
        <v>1513</v>
      </c>
      <c r="E21" s="0" t="s">
        <v>1514</v>
      </c>
    </row>
    <row r="22" customFormat="false" ht="15" hidden="false" customHeight="false" outlineLevel="0" collapsed="false">
      <c r="A22" s="0" t="s">
        <v>7</v>
      </c>
      <c r="B22" s="0" t="s">
        <v>1515</v>
      </c>
      <c r="C22" s="0" t="s">
        <v>1516</v>
      </c>
      <c r="E22" s="0" t="s">
        <v>1517</v>
      </c>
    </row>
    <row r="23" customFormat="false" ht="15" hidden="false" customHeight="false" outlineLevel="0" collapsed="false">
      <c r="A23" s="0" t="s">
        <v>7</v>
      </c>
      <c r="B23" s="0" t="s">
        <v>1518</v>
      </c>
      <c r="C23" s="0" t="s">
        <v>1519</v>
      </c>
      <c r="E23" s="0" t="s">
        <v>1520</v>
      </c>
    </row>
    <row r="24" customFormat="false" ht="15" hidden="false" customHeight="false" outlineLevel="0" collapsed="false">
      <c r="A24" s="0" t="s">
        <v>7</v>
      </c>
      <c r="B24" s="0" t="s">
        <v>1521</v>
      </c>
      <c r="C24" s="0" t="s">
        <v>1522</v>
      </c>
      <c r="E24" s="0" t="s">
        <v>1523</v>
      </c>
    </row>
    <row r="25" customFormat="false" ht="15" hidden="false" customHeight="false" outlineLevel="0" collapsed="false">
      <c r="A25" s="0" t="s">
        <v>7</v>
      </c>
      <c r="B25" s="0" t="s">
        <v>1524</v>
      </c>
      <c r="C25" s="0" t="s">
        <v>1525</v>
      </c>
      <c r="E25" s="0" t="s">
        <v>1526</v>
      </c>
    </row>
    <row r="26" customFormat="false" ht="15" hidden="false" customHeight="false" outlineLevel="0" collapsed="false">
      <c r="A26" s="0" t="s">
        <v>7</v>
      </c>
      <c r="B26" s="0" t="s">
        <v>1527</v>
      </c>
      <c r="C26" s="0" t="s">
        <v>1528</v>
      </c>
      <c r="E26" s="0" t="s">
        <v>1517</v>
      </c>
    </row>
    <row r="27" customFormat="false" ht="15" hidden="false" customHeight="false" outlineLevel="0" collapsed="false">
      <c r="A27" s="0" t="s">
        <v>7</v>
      </c>
      <c r="B27" s="0" t="s">
        <v>1529</v>
      </c>
      <c r="C27" s="0" t="s">
        <v>1530</v>
      </c>
      <c r="E27" s="0" t="s">
        <v>1531</v>
      </c>
    </row>
    <row r="28" customFormat="false" ht="15" hidden="false" customHeight="false" outlineLevel="0" collapsed="false">
      <c r="A28" s="0" t="s">
        <v>7</v>
      </c>
      <c r="B28" s="0" t="s">
        <v>1532</v>
      </c>
      <c r="C28" s="0" t="s">
        <v>1533</v>
      </c>
      <c r="E28" s="0" t="s">
        <v>1534</v>
      </c>
    </row>
    <row r="29" customFormat="false" ht="15" hidden="false" customHeight="false" outlineLevel="0" collapsed="false">
      <c r="A29" s="0" t="s">
        <v>7</v>
      </c>
      <c r="B29" s="0" t="s">
        <v>1535</v>
      </c>
      <c r="C29" s="0" t="s">
        <v>1536</v>
      </c>
      <c r="E29" s="0" t="s">
        <v>1514</v>
      </c>
    </row>
    <row r="30" customFormat="false" ht="15" hidden="false" customHeight="false" outlineLevel="0" collapsed="false">
      <c r="A30" s="0" t="s">
        <v>7</v>
      </c>
      <c r="B30" s="0" t="s">
        <v>1537</v>
      </c>
      <c r="C30" s="0" t="s">
        <v>1538</v>
      </c>
      <c r="E30" s="0" t="s">
        <v>1539</v>
      </c>
    </row>
    <row r="31" customFormat="false" ht="15" hidden="false" customHeight="false" outlineLevel="0" collapsed="false">
      <c r="A31" s="0" t="s">
        <v>7</v>
      </c>
      <c r="B31" s="0" t="s">
        <v>1540</v>
      </c>
      <c r="C31" s="0" t="s">
        <v>1541</v>
      </c>
      <c r="E31" s="0" t="s">
        <v>1479</v>
      </c>
    </row>
    <row r="32" customFormat="false" ht="15" hidden="false" customHeight="false" outlineLevel="0" collapsed="false">
      <c r="A32" s="0" t="s">
        <v>7</v>
      </c>
      <c r="B32" s="0" t="s">
        <v>1542</v>
      </c>
      <c r="C32" s="0" t="s">
        <v>1543</v>
      </c>
      <c r="E32" s="0" t="s">
        <v>1479</v>
      </c>
    </row>
    <row r="33" customFormat="false" ht="15" hidden="false" customHeight="false" outlineLevel="0" collapsed="false">
      <c r="A33" s="0" t="s">
        <v>7</v>
      </c>
      <c r="B33" s="0" t="s">
        <v>1544</v>
      </c>
      <c r="C33" s="0" t="s">
        <v>1545</v>
      </c>
      <c r="E33" s="0" t="s">
        <v>1479</v>
      </c>
    </row>
    <row r="34" customFormat="false" ht="15" hidden="false" customHeight="false" outlineLevel="0" collapsed="false">
      <c r="A34" s="0" t="s">
        <v>7</v>
      </c>
      <c r="B34" s="0" t="s">
        <v>1546</v>
      </c>
      <c r="C34" s="0" t="s">
        <v>1547</v>
      </c>
      <c r="E34" s="0" t="s">
        <v>1479</v>
      </c>
    </row>
    <row r="35" customFormat="false" ht="15" hidden="false" customHeight="false" outlineLevel="0" collapsed="false">
      <c r="A35" s="0" t="s">
        <v>7</v>
      </c>
      <c r="B35" s="0" t="s">
        <v>1548</v>
      </c>
      <c r="C35" s="0" t="s">
        <v>1549</v>
      </c>
      <c r="E35" s="0" t="s">
        <v>1479</v>
      </c>
    </row>
    <row r="36" customFormat="false" ht="15" hidden="false" customHeight="false" outlineLevel="0" collapsed="false">
      <c r="A36" s="0" t="s">
        <v>7</v>
      </c>
      <c r="B36" s="0" t="s">
        <v>1550</v>
      </c>
      <c r="C36" s="0" t="s">
        <v>1551</v>
      </c>
      <c r="E36" s="0" t="s">
        <v>1479</v>
      </c>
    </row>
    <row r="37" customFormat="false" ht="15" hidden="false" customHeight="false" outlineLevel="0" collapsed="false">
      <c r="A37" s="0" t="s">
        <v>7</v>
      </c>
      <c r="B37" s="0" t="s">
        <v>1552</v>
      </c>
      <c r="C37" s="0" t="s">
        <v>1553</v>
      </c>
      <c r="E37" s="0" t="s">
        <v>1479</v>
      </c>
    </row>
    <row r="38" customFormat="false" ht="15" hidden="false" customHeight="false" outlineLevel="0" collapsed="false">
      <c r="A38" s="0" t="s">
        <v>7</v>
      </c>
      <c r="B38" s="0" t="s">
        <v>1554</v>
      </c>
      <c r="C38" s="0" t="s">
        <v>1555</v>
      </c>
      <c r="E38" s="0" t="s">
        <v>1479</v>
      </c>
    </row>
    <row r="39" customFormat="false" ht="15" hidden="false" customHeight="false" outlineLevel="0" collapsed="false">
      <c r="A39" s="0" t="s">
        <v>7</v>
      </c>
      <c r="B39" s="0" t="s">
        <v>1556</v>
      </c>
      <c r="C39" s="0" t="s">
        <v>1557</v>
      </c>
      <c r="E39" s="0" t="s">
        <v>1558</v>
      </c>
    </row>
    <row r="40" customFormat="false" ht="15" hidden="false" customHeight="false" outlineLevel="0" collapsed="false">
      <c r="A40" s="0" t="s">
        <v>7</v>
      </c>
      <c r="B40" s="0" t="s">
        <v>1559</v>
      </c>
      <c r="C40" s="0" t="s">
        <v>1560</v>
      </c>
      <c r="E40" s="0" t="s">
        <v>1561</v>
      </c>
    </row>
    <row r="41" customFormat="false" ht="15" hidden="false" customHeight="false" outlineLevel="0" collapsed="false">
      <c r="A41" s="0" t="s">
        <v>7</v>
      </c>
      <c r="B41" s="0" t="s">
        <v>1562</v>
      </c>
      <c r="C41" s="0" t="s">
        <v>1563</v>
      </c>
      <c r="E41" s="0" t="s">
        <v>1479</v>
      </c>
    </row>
    <row r="42" customFormat="false" ht="15" hidden="false" customHeight="false" outlineLevel="0" collapsed="false">
      <c r="A42" s="0" t="s">
        <v>7</v>
      </c>
      <c r="B42" s="0" t="s">
        <v>1564</v>
      </c>
      <c r="C42" s="0" t="s">
        <v>1565</v>
      </c>
      <c r="E42" s="0" t="s">
        <v>1479</v>
      </c>
    </row>
    <row r="43" customFormat="false" ht="15" hidden="false" customHeight="false" outlineLevel="0" collapsed="false">
      <c r="A43" s="0" t="s">
        <v>7</v>
      </c>
      <c r="B43" s="0" t="s">
        <v>1566</v>
      </c>
      <c r="C43" s="0" t="s">
        <v>1567</v>
      </c>
      <c r="E43" s="0" t="s">
        <v>1479</v>
      </c>
    </row>
    <row r="44" customFormat="false" ht="15" hidden="false" customHeight="false" outlineLevel="0" collapsed="false">
      <c r="A44" s="0" t="s">
        <v>7</v>
      </c>
      <c r="B44" s="0" t="s">
        <v>1568</v>
      </c>
      <c r="C44" s="0" t="s">
        <v>1569</v>
      </c>
      <c r="E44" s="0" t="s">
        <v>1479</v>
      </c>
    </row>
    <row r="45" customFormat="false" ht="15" hidden="false" customHeight="false" outlineLevel="0" collapsed="false">
      <c r="A45" s="0" t="s">
        <v>7</v>
      </c>
      <c r="B45" s="0" t="s">
        <v>1570</v>
      </c>
      <c r="C45" s="0" t="s">
        <v>1571</v>
      </c>
      <c r="E45" s="0" t="s">
        <v>1479</v>
      </c>
    </row>
    <row r="46" customFormat="false" ht="15" hidden="false" customHeight="false" outlineLevel="0" collapsed="false">
      <c r="A46" s="0" t="s">
        <v>7</v>
      </c>
      <c r="B46" s="0" t="s">
        <v>1572</v>
      </c>
      <c r="C46" s="0" t="s">
        <v>1573</v>
      </c>
      <c r="E46" s="0" t="s">
        <v>1479</v>
      </c>
    </row>
    <row r="47" customFormat="false" ht="15" hidden="false" customHeight="false" outlineLevel="0" collapsed="false">
      <c r="A47" s="0" t="s">
        <v>7</v>
      </c>
      <c r="B47" s="0" t="s">
        <v>1574</v>
      </c>
      <c r="C47" s="0" t="s">
        <v>1575</v>
      </c>
      <c r="E47" s="0" t="s">
        <v>1479</v>
      </c>
    </row>
    <row r="48" customFormat="false" ht="15" hidden="false" customHeight="false" outlineLevel="0" collapsed="false">
      <c r="A48" s="0" t="s">
        <v>7</v>
      </c>
      <c r="B48" s="0" t="s">
        <v>1576</v>
      </c>
      <c r="C48" s="0" t="s">
        <v>1577</v>
      </c>
      <c r="E48" s="0" t="s">
        <v>1479</v>
      </c>
    </row>
    <row r="49" customFormat="false" ht="15" hidden="false" customHeight="false" outlineLevel="0" collapsed="false">
      <c r="A49" s="0" t="s">
        <v>7</v>
      </c>
      <c r="B49" s="0" t="s">
        <v>1578</v>
      </c>
      <c r="C49" s="0" t="s">
        <v>1579</v>
      </c>
      <c r="E49" s="0" t="s">
        <v>1580</v>
      </c>
    </row>
    <row r="50" customFormat="false" ht="15" hidden="false" customHeight="false" outlineLevel="0" collapsed="false">
      <c r="A50" s="0" t="s">
        <v>7</v>
      </c>
      <c r="B50" s="0" t="s">
        <v>1581</v>
      </c>
      <c r="C50" s="0" t="s">
        <v>1582</v>
      </c>
      <c r="E50" s="0" t="s">
        <v>1583</v>
      </c>
    </row>
    <row r="51" customFormat="false" ht="15" hidden="false" customHeight="false" outlineLevel="0" collapsed="false">
      <c r="A51" s="0" t="s">
        <v>7</v>
      </c>
      <c r="B51" s="0" t="s">
        <v>1584</v>
      </c>
      <c r="C51" s="0" t="s">
        <v>1585</v>
      </c>
      <c r="E51" s="0" t="s">
        <v>1586</v>
      </c>
    </row>
    <row r="52" customFormat="false" ht="15" hidden="false" customHeight="false" outlineLevel="0" collapsed="false">
      <c r="A52" s="0" t="s">
        <v>7</v>
      </c>
      <c r="B52" s="0" t="s">
        <v>1587</v>
      </c>
      <c r="C52" s="0" t="s">
        <v>1588</v>
      </c>
      <c r="E52" s="0" t="s">
        <v>1523</v>
      </c>
    </row>
    <row r="53" customFormat="false" ht="15" hidden="false" customHeight="false" outlineLevel="0" collapsed="false">
      <c r="A53" s="0" t="s">
        <v>7</v>
      </c>
      <c r="B53" s="0" t="s">
        <v>1589</v>
      </c>
      <c r="C53" s="0" t="s">
        <v>1590</v>
      </c>
      <c r="E53" s="0" t="s">
        <v>1591</v>
      </c>
    </row>
    <row r="54" customFormat="false" ht="15" hidden="false" customHeight="false" outlineLevel="0" collapsed="false">
      <c r="A54" s="0" t="s">
        <v>7</v>
      </c>
      <c r="B54" s="0" t="s">
        <v>1592</v>
      </c>
      <c r="C54" s="0" t="s">
        <v>1593</v>
      </c>
      <c r="E54" s="0" t="s">
        <v>1479</v>
      </c>
    </row>
    <row r="55" customFormat="false" ht="15" hidden="false" customHeight="false" outlineLevel="0" collapsed="false">
      <c r="A55" s="0" t="s">
        <v>7</v>
      </c>
      <c r="B55" s="0" t="s">
        <v>1594</v>
      </c>
      <c r="C55" s="0" t="s">
        <v>1595</v>
      </c>
      <c r="E55" s="0" t="s">
        <v>1479</v>
      </c>
    </row>
    <row r="56" customFormat="false" ht="15" hidden="false" customHeight="false" outlineLevel="0" collapsed="false">
      <c r="A56" s="0" t="s">
        <v>7</v>
      </c>
      <c r="B56" s="0" t="s">
        <v>1596</v>
      </c>
      <c r="C56" s="0" t="s">
        <v>1597</v>
      </c>
      <c r="E56" s="0" t="s">
        <v>1479</v>
      </c>
    </row>
    <row r="57" customFormat="false" ht="15" hidden="false" customHeight="false" outlineLevel="0" collapsed="false">
      <c r="A57" s="0" t="s">
        <v>7</v>
      </c>
      <c r="B57" s="0" t="s">
        <v>1598</v>
      </c>
      <c r="C57" s="0" t="s">
        <v>1599</v>
      </c>
      <c r="E57" s="0" t="s">
        <v>1479</v>
      </c>
    </row>
    <row r="58" customFormat="false" ht="15" hidden="false" customHeight="false" outlineLevel="0" collapsed="false">
      <c r="A58" s="0" t="s">
        <v>7</v>
      </c>
      <c r="B58" s="0" t="s">
        <v>1600</v>
      </c>
      <c r="C58" s="0" t="s">
        <v>1601</v>
      </c>
      <c r="E58" s="0" t="s">
        <v>1479</v>
      </c>
    </row>
    <row r="59" customFormat="false" ht="15" hidden="false" customHeight="false" outlineLevel="0" collapsed="false">
      <c r="A59" s="0" t="s">
        <v>7</v>
      </c>
      <c r="B59" s="0" t="s">
        <v>1602</v>
      </c>
      <c r="C59" s="0" t="s">
        <v>1603</v>
      </c>
      <c r="E59" s="0" t="s">
        <v>1479</v>
      </c>
    </row>
    <row r="60" customFormat="false" ht="15" hidden="false" customHeight="false" outlineLevel="0" collapsed="false">
      <c r="A60" s="0" t="s">
        <v>7</v>
      </c>
      <c r="B60" s="0" t="s">
        <v>1604</v>
      </c>
      <c r="C60" s="0" t="s">
        <v>1605</v>
      </c>
      <c r="E60" s="0" t="s">
        <v>1479</v>
      </c>
    </row>
    <row r="61" customFormat="false" ht="15" hidden="false" customHeight="false" outlineLevel="0" collapsed="false">
      <c r="A61" s="0" t="s">
        <v>7</v>
      </c>
      <c r="B61" s="0" t="s">
        <v>1606</v>
      </c>
      <c r="C61" s="0" t="s">
        <v>1607</v>
      </c>
      <c r="E61" s="0" t="s">
        <v>1608</v>
      </c>
    </row>
    <row r="62" customFormat="false" ht="15" hidden="false" customHeight="false" outlineLevel="0" collapsed="false">
      <c r="A62" s="0" t="s">
        <v>7</v>
      </c>
      <c r="B62" s="0" t="s">
        <v>1609</v>
      </c>
      <c r="C62" s="0" t="s">
        <v>1610</v>
      </c>
      <c r="E62" s="0" t="s">
        <v>1514</v>
      </c>
    </row>
    <row r="63" customFormat="false" ht="15" hidden="false" customHeight="false" outlineLevel="0" collapsed="false">
      <c r="A63" s="0" t="s">
        <v>7</v>
      </c>
      <c r="B63" s="0" t="s">
        <v>1611</v>
      </c>
      <c r="C63" s="0" t="s">
        <v>1612</v>
      </c>
      <c r="E63" s="0" t="s">
        <v>1613</v>
      </c>
    </row>
    <row r="64" customFormat="false" ht="15" hidden="false" customHeight="false" outlineLevel="0" collapsed="false">
      <c r="A64" s="0" t="s">
        <v>7</v>
      </c>
      <c r="B64" s="0" t="s">
        <v>1614</v>
      </c>
      <c r="C64" s="0" t="s">
        <v>1615</v>
      </c>
      <c r="E64" s="0" t="s">
        <v>1616</v>
      </c>
    </row>
    <row r="65" customFormat="false" ht="15" hidden="false" customHeight="false" outlineLevel="0" collapsed="false">
      <c r="A65" s="0" t="s">
        <v>7</v>
      </c>
      <c r="B65" s="0" t="s">
        <v>1617</v>
      </c>
      <c r="C65" s="0" t="s">
        <v>1618</v>
      </c>
      <c r="E65" s="0" t="s">
        <v>1619</v>
      </c>
    </row>
    <row r="66" customFormat="false" ht="15" hidden="false" customHeight="false" outlineLevel="0" collapsed="false">
      <c r="A66" s="0" t="s">
        <v>7</v>
      </c>
      <c r="B66" s="0" t="s">
        <v>1620</v>
      </c>
      <c r="C66" s="0" t="s">
        <v>1621</v>
      </c>
      <c r="E66" s="0" t="s">
        <v>1479</v>
      </c>
    </row>
    <row r="67" customFormat="false" ht="15" hidden="false" customHeight="false" outlineLevel="0" collapsed="false">
      <c r="A67" s="0" t="s">
        <v>7</v>
      </c>
      <c r="B67" s="0" t="s">
        <v>1622</v>
      </c>
      <c r="C67" s="0" t="s">
        <v>1623</v>
      </c>
      <c r="E67" s="0" t="s">
        <v>1479</v>
      </c>
    </row>
    <row r="68" customFormat="false" ht="15" hidden="false" customHeight="false" outlineLevel="0" collapsed="false">
      <c r="A68" s="0" t="s">
        <v>7</v>
      </c>
      <c r="B68" s="0" t="s">
        <v>1624</v>
      </c>
      <c r="C68" s="0" t="s">
        <v>1625</v>
      </c>
      <c r="E68" s="0" t="s">
        <v>1479</v>
      </c>
    </row>
    <row r="69" customFormat="false" ht="15" hidden="false" customHeight="false" outlineLevel="0" collapsed="false">
      <c r="A69" s="0" t="s">
        <v>7</v>
      </c>
      <c r="B69" s="0" t="s">
        <v>1626</v>
      </c>
      <c r="C69" s="0" t="s">
        <v>1627</v>
      </c>
      <c r="E69" s="0" t="s">
        <v>1479</v>
      </c>
    </row>
    <row r="70" customFormat="false" ht="15" hidden="false" customHeight="false" outlineLevel="0" collapsed="false">
      <c r="A70" s="0" t="s">
        <v>7</v>
      </c>
      <c r="B70" s="0" t="s">
        <v>1628</v>
      </c>
      <c r="C70" s="0" t="s">
        <v>1629</v>
      </c>
      <c r="E70" s="0" t="s">
        <v>1479</v>
      </c>
    </row>
    <row r="71" customFormat="false" ht="15" hidden="false" customHeight="false" outlineLevel="0" collapsed="false">
      <c r="A71" s="0" t="s">
        <v>7</v>
      </c>
      <c r="B71" s="0" t="s">
        <v>1630</v>
      </c>
      <c r="C71" s="0" t="s">
        <v>1631</v>
      </c>
      <c r="E71" s="0" t="s">
        <v>1479</v>
      </c>
    </row>
    <row r="72" customFormat="false" ht="15" hidden="false" customHeight="false" outlineLevel="0" collapsed="false">
      <c r="A72" s="0" t="s">
        <v>7</v>
      </c>
      <c r="B72" s="0" t="s">
        <v>1632</v>
      </c>
      <c r="C72" s="0" t="s">
        <v>1633</v>
      </c>
      <c r="E72" s="0" t="s">
        <v>1479</v>
      </c>
    </row>
    <row r="73" customFormat="false" ht="15" hidden="false" customHeight="false" outlineLevel="0" collapsed="false">
      <c r="A73" s="0" t="s">
        <v>7</v>
      </c>
      <c r="B73" s="0" t="s">
        <v>1634</v>
      </c>
      <c r="C73" s="0" t="s">
        <v>1635</v>
      </c>
      <c r="E73" s="0" t="s">
        <v>1636</v>
      </c>
    </row>
    <row r="74" customFormat="false" ht="15" hidden="false" customHeight="false" outlineLevel="0" collapsed="false">
      <c r="A74" s="0" t="s">
        <v>7</v>
      </c>
      <c r="B74" s="0" t="s">
        <v>1637</v>
      </c>
      <c r="C74" s="0" t="s">
        <v>1638</v>
      </c>
      <c r="E74" s="0" t="s">
        <v>1514</v>
      </c>
    </row>
    <row r="75" customFormat="false" ht="15" hidden="false" customHeight="false" outlineLevel="0" collapsed="false">
      <c r="A75" s="0" t="s">
        <v>7</v>
      </c>
      <c r="B75" s="0" t="s">
        <v>1639</v>
      </c>
      <c r="C75" s="0" t="s">
        <v>1640</v>
      </c>
      <c r="E75" s="0" t="s">
        <v>1641</v>
      </c>
    </row>
    <row r="76" customFormat="false" ht="15" hidden="false" customHeight="false" outlineLevel="0" collapsed="false">
      <c r="A76" s="0" t="s">
        <v>7</v>
      </c>
      <c r="B76" s="0" t="s">
        <v>1642</v>
      </c>
      <c r="C76" s="0" t="s">
        <v>1643</v>
      </c>
      <c r="E76" s="0" t="s">
        <v>1644</v>
      </c>
    </row>
    <row r="77" customFormat="false" ht="15" hidden="false" customHeight="false" outlineLevel="0" collapsed="false">
      <c r="A77" s="0" t="s">
        <v>7</v>
      </c>
      <c r="B77" s="0" t="s">
        <v>1645</v>
      </c>
      <c r="C77" s="0" t="s">
        <v>1646</v>
      </c>
      <c r="E77" s="0" t="s">
        <v>1591</v>
      </c>
    </row>
    <row r="78" customFormat="false" ht="15" hidden="false" customHeight="false" outlineLevel="0" collapsed="false">
      <c r="A78" s="0" t="s">
        <v>7</v>
      </c>
      <c r="B78" s="0" t="s">
        <v>1647</v>
      </c>
      <c r="C78" s="0" t="s">
        <v>1648</v>
      </c>
      <c r="E78" s="0" t="s">
        <v>1479</v>
      </c>
    </row>
    <row r="79" customFormat="false" ht="15" hidden="false" customHeight="false" outlineLevel="0" collapsed="false">
      <c r="A79" s="0" t="s">
        <v>7</v>
      </c>
      <c r="B79" s="0" t="s">
        <v>1649</v>
      </c>
      <c r="C79" s="0" t="s">
        <v>1650</v>
      </c>
      <c r="E79" s="0" t="s">
        <v>1479</v>
      </c>
    </row>
    <row r="80" customFormat="false" ht="15" hidden="false" customHeight="false" outlineLevel="0" collapsed="false">
      <c r="A80" s="0" t="s">
        <v>7</v>
      </c>
      <c r="B80" s="0" t="s">
        <v>1651</v>
      </c>
      <c r="C80" s="0" t="s">
        <v>1652</v>
      </c>
      <c r="E80" s="0" t="s">
        <v>1479</v>
      </c>
    </row>
    <row r="81" customFormat="false" ht="15" hidden="false" customHeight="false" outlineLevel="0" collapsed="false">
      <c r="A81" s="0" t="s">
        <v>7</v>
      </c>
      <c r="B81" s="0" t="s">
        <v>1653</v>
      </c>
      <c r="C81" s="0" t="s">
        <v>1654</v>
      </c>
      <c r="E81" s="0" t="s">
        <v>1479</v>
      </c>
    </row>
    <row r="82" customFormat="false" ht="15" hidden="false" customHeight="false" outlineLevel="0" collapsed="false">
      <c r="A82" s="0" t="s">
        <v>7</v>
      </c>
      <c r="B82" s="0" t="s">
        <v>1655</v>
      </c>
      <c r="C82" s="0" t="s">
        <v>1656</v>
      </c>
      <c r="E82" s="0" t="s">
        <v>1479</v>
      </c>
    </row>
    <row r="83" customFormat="false" ht="15" hidden="false" customHeight="false" outlineLevel="0" collapsed="false">
      <c r="A83" s="0" t="s">
        <v>7</v>
      </c>
      <c r="B83" s="0" t="s">
        <v>1657</v>
      </c>
      <c r="C83" s="0" t="s">
        <v>1658</v>
      </c>
      <c r="E83" s="0" t="s">
        <v>1479</v>
      </c>
    </row>
    <row r="84" customFormat="false" ht="15" hidden="false" customHeight="false" outlineLevel="0" collapsed="false">
      <c r="A84" s="0" t="s">
        <v>7</v>
      </c>
      <c r="B84" s="0" t="s">
        <v>1659</v>
      </c>
      <c r="C84" s="0" t="s">
        <v>1660</v>
      </c>
      <c r="E84" s="0" t="s">
        <v>1479</v>
      </c>
    </row>
    <row r="85" customFormat="false" ht="15" hidden="false" customHeight="false" outlineLevel="0" collapsed="false">
      <c r="A85" s="0" t="s">
        <v>7</v>
      </c>
      <c r="B85" s="0" t="s">
        <v>1661</v>
      </c>
      <c r="C85" s="0" t="s">
        <v>1662</v>
      </c>
      <c r="E85" s="0" t="s">
        <v>1479</v>
      </c>
    </row>
    <row r="86" customFormat="false" ht="15" hidden="false" customHeight="false" outlineLevel="0" collapsed="false">
      <c r="A86" s="0" t="s">
        <v>7</v>
      </c>
      <c r="B86" s="0" t="s">
        <v>1663</v>
      </c>
      <c r="C86" s="0" t="s">
        <v>1664</v>
      </c>
      <c r="E86" s="0" t="s">
        <v>1479</v>
      </c>
    </row>
    <row r="87" customFormat="false" ht="15" hidden="false" customHeight="false" outlineLevel="0" collapsed="false">
      <c r="A87" s="0" t="s">
        <v>7</v>
      </c>
      <c r="B87" s="0" t="s">
        <v>1665</v>
      </c>
      <c r="C87" s="0" t="s">
        <v>1666</v>
      </c>
      <c r="E87" s="0" t="s">
        <v>1479</v>
      </c>
    </row>
    <row r="88" customFormat="false" ht="15" hidden="false" customHeight="false" outlineLevel="0" collapsed="false">
      <c r="A88" s="0" t="s">
        <v>7</v>
      </c>
      <c r="B88" s="0" t="s">
        <v>1667</v>
      </c>
      <c r="C88" s="0" t="s">
        <v>1668</v>
      </c>
      <c r="E88" s="0" t="s">
        <v>1479</v>
      </c>
    </row>
    <row r="89" customFormat="false" ht="15" hidden="false" customHeight="false" outlineLevel="0" collapsed="false">
      <c r="A89" s="0" t="s">
        <v>7</v>
      </c>
      <c r="B89" s="0" t="s">
        <v>1669</v>
      </c>
      <c r="C89" s="0" t="s">
        <v>1670</v>
      </c>
      <c r="E89" s="0" t="s">
        <v>1479</v>
      </c>
    </row>
    <row r="90" customFormat="false" ht="15" hidden="false" customHeight="false" outlineLevel="0" collapsed="false">
      <c r="A90" s="0" t="s">
        <v>7</v>
      </c>
      <c r="B90" s="0" t="s">
        <v>1671</v>
      </c>
      <c r="C90" s="0" t="s">
        <v>1672</v>
      </c>
      <c r="E90" s="0" t="s">
        <v>1479</v>
      </c>
    </row>
    <row r="91" customFormat="false" ht="15" hidden="false" customHeight="false" outlineLevel="0" collapsed="false">
      <c r="A91" s="0" t="s">
        <v>7</v>
      </c>
      <c r="B91" s="0" t="s">
        <v>1673</v>
      </c>
      <c r="C91" s="0" t="s">
        <v>1674</v>
      </c>
      <c r="E91" s="0" t="s">
        <v>1479</v>
      </c>
    </row>
    <row r="92" customFormat="false" ht="15" hidden="false" customHeight="false" outlineLevel="0" collapsed="false">
      <c r="A92" s="0" t="s">
        <v>7</v>
      </c>
      <c r="B92" s="0" t="s">
        <v>1675</v>
      </c>
      <c r="C92" s="0" t="s">
        <v>1676</v>
      </c>
      <c r="E92" s="0" t="s">
        <v>1479</v>
      </c>
    </row>
    <row r="93" customFormat="false" ht="15" hidden="false" customHeight="false" outlineLevel="0" collapsed="false">
      <c r="A93" s="0" t="s">
        <v>7</v>
      </c>
      <c r="B93" s="0" t="s">
        <v>1677</v>
      </c>
      <c r="C93" s="0" t="s">
        <v>1678</v>
      </c>
      <c r="E93" s="0" t="s">
        <v>1479</v>
      </c>
    </row>
    <row r="94" customFormat="false" ht="15" hidden="false" customHeight="false" outlineLevel="0" collapsed="false">
      <c r="A94" s="0" t="s">
        <v>7</v>
      </c>
      <c r="B94" s="0" t="s">
        <v>1679</v>
      </c>
      <c r="C94" s="0" t="s">
        <v>1680</v>
      </c>
      <c r="E94" s="0" t="s">
        <v>1479</v>
      </c>
    </row>
    <row r="95" customFormat="false" ht="15" hidden="false" customHeight="false" outlineLevel="0" collapsed="false">
      <c r="A95" s="0" t="s">
        <v>7</v>
      </c>
      <c r="B95" s="0" t="s">
        <v>1681</v>
      </c>
      <c r="C95" s="0" t="s">
        <v>1682</v>
      </c>
      <c r="E95" s="0" t="s">
        <v>1479</v>
      </c>
    </row>
    <row r="96" customFormat="false" ht="15" hidden="false" customHeight="false" outlineLevel="0" collapsed="false">
      <c r="A96" s="0" t="s">
        <v>7</v>
      </c>
      <c r="B96" s="0" t="s">
        <v>1683</v>
      </c>
      <c r="C96" s="0" t="s">
        <v>1684</v>
      </c>
      <c r="E96" s="0" t="s">
        <v>1479</v>
      </c>
    </row>
    <row r="97" customFormat="false" ht="15" hidden="false" customHeight="false" outlineLevel="0" collapsed="false">
      <c r="A97" s="0" t="s">
        <v>7</v>
      </c>
      <c r="B97" s="0" t="s">
        <v>1685</v>
      </c>
      <c r="C97" s="0" t="s">
        <v>1686</v>
      </c>
      <c r="E97" s="0" t="s">
        <v>1479</v>
      </c>
    </row>
    <row r="98" customFormat="false" ht="15" hidden="false" customHeight="false" outlineLevel="0" collapsed="false">
      <c r="A98" s="0" t="s">
        <v>7</v>
      </c>
      <c r="B98" s="0" t="s">
        <v>1687</v>
      </c>
      <c r="C98" s="0" t="s">
        <v>1688</v>
      </c>
      <c r="E98" s="0" t="s">
        <v>1479</v>
      </c>
    </row>
    <row r="99" customFormat="false" ht="15" hidden="false" customHeight="false" outlineLevel="0" collapsed="false">
      <c r="A99" s="0" t="s">
        <v>7</v>
      </c>
      <c r="B99" s="0" t="s">
        <v>1689</v>
      </c>
      <c r="C99" s="0" t="s">
        <v>1690</v>
      </c>
      <c r="E99" s="0" t="s">
        <v>1479</v>
      </c>
    </row>
    <row r="100" customFormat="false" ht="15" hidden="false" customHeight="false" outlineLevel="0" collapsed="false">
      <c r="A100" s="0" t="s">
        <v>7</v>
      </c>
      <c r="B100" s="0" t="s">
        <v>1691</v>
      </c>
      <c r="C100" s="0" t="s">
        <v>1692</v>
      </c>
      <c r="E100" s="0" t="s">
        <v>1479</v>
      </c>
    </row>
    <row r="101" customFormat="false" ht="15" hidden="false" customHeight="false" outlineLevel="0" collapsed="false">
      <c r="A101" s="0" t="s">
        <v>7</v>
      </c>
      <c r="B101" s="0" t="s">
        <v>1693</v>
      </c>
      <c r="C101" s="0" t="s">
        <v>1694</v>
      </c>
      <c r="E101" s="0" t="s">
        <v>1479</v>
      </c>
    </row>
    <row r="102" customFormat="false" ht="15" hidden="false" customHeight="false" outlineLevel="0" collapsed="false">
      <c r="A102" s="0" t="s">
        <v>7</v>
      </c>
      <c r="B102" s="0" t="s">
        <v>1695</v>
      </c>
      <c r="C102" s="0" t="s">
        <v>1696</v>
      </c>
      <c r="E102" s="0" t="s">
        <v>1479</v>
      </c>
    </row>
    <row r="103" customFormat="false" ht="15" hidden="false" customHeight="false" outlineLevel="0" collapsed="false">
      <c r="A103" s="0" t="s">
        <v>7</v>
      </c>
      <c r="B103" s="0" t="s">
        <v>1697</v>
      </c>
      <c r="C103" s="0" t="s">
        <v>1698</v>
      </c>
      <c r="E103" s="0" t="s">
        <v>1699</v>
      </c>
    </row>
    <row r="104" customFormat="false" ht="15" hidden="false" customHeight="false" outlineLevel="0" collapsed="false">
      <c r="A104" s="0" t="s">
        <v>7</v>
      </c>
      <c r="B104" s="0" t="s">
        <v>1700</v>
      </c>
      <c r="C104" s="0" t="s">
        <v>1701</v>
      </c>
      <c r="E104" s="0" t="s">
        <v>1702</v>
      </c>
    </row>
    <row r="105" customFormat="false" ht="15" hidden="false" customHeight="false" outlineLevel="0" collapsed="false">
      <c r="A105" s="0" t="s">
        <v>7</v>
      </c>
      <c r="B105" s="0" t="s">
        <v>1703</v>
      </c>
      <c r="C105" s="0" t="s">
        <v>1704</v>
      </c>
      <c r="E105" s="0" t="s">
        <v>1705</v>
      </c>
    </row>
    <row r="106" customFormat="false" ht="15" hidden="false" customHeight="false" outlineLevel="0" collapsed="false">
      <c r="A106" s="0" t="s">
        <v>7</v>
      </c>
      <c r="B106" s="0" t="s">
        <v>1706</v>
      </c>
      <c r="C106" s="0" t="s">
        <v>1707</v>
      </c>
      <c r="E106" s="0" t="s">
        <v>1479</v>
      </c>
    </row>
    <row r="107" customFormat="false" ht="15" hidden="false" customHeight="false" outlineLevel="0" collapsed="false">
      <c r="A107" s="0" t="s">
        <v>7</v>
      </c>
      <c r="B107" s="0" t="s">
        <v>1708</v>
      </c>
      <c r="C107" s="0" t="s">
        <v>1709</v>
      </c>
      <c r="E107" s="0" t="s">
        <v>1479</v>
      </c>
    </row>
    <row r="108" customFormat="false" ht="15" hidden="false" customHeight="false" outlineLevel="0" collapsed="false">
      <c r="A108" s="0" t="s">
        <v>7</v>
      </c>
      <c r="B108" s="0" t="s">
        <v>1710</v>
      </c>
      <c r="C108" s="0" t="s">
        <v>1711</v>
      </c>
      <c r="E108" s="0" t="s">
        <v>1479</v>
      </c>
    </row>
    <row r="109" customFormat="false" ht="15" hidden="false" customHeight="false" outlineLevel="0" collapsed="false">
      <c r="A109" s="0" t="s">
        <v>7</v>
      </c>
      <c r="B109" s="0" t="s">
        <v>1712</v>
      </c>
      <c r="C109" s="0" t="s">
        <v>1713</v>
      </c>
      <c r="E109" s="0" t="s">
        <v>1591</v>
      </c>
    </row>
    <row r="110" customFormat="false" ht="15" hidden="false" customHeight="false" outlineLevel="0" collapsed="false">
      <c r="A110" s="0" t="s">
        <v>7</v>
      </c>
      <c r="B110" s="0" t="s">
        <v>1714</v>
      </c>
      <c r="C110" s="0" t="s">
        <v>1715</v>
      </c>
      <c r="E110" s="0" t="s">
        <v>1479</v>
      </c>
    </row>
    <row r="111" customFormat="false" ht="15" hidden="false" customHeight="false" outlineLevel="0" collapsed="false">
      <c r="A111" s="0" t="s">
        <v>7</v>
      </c>
      <c r="B111" s="0" t="s">
        <v>1716</v>
      </c>
      <c r="C111" s="0" t="s">
        <v>1717</v>
      </c>
      <c r="E111" s="0" t="s">
        <v>1479</v>
      </c>
    </row>
    <row r="112" customFormat="false" ht="15" hidden="false" customHeight="false" outlineLevel="0" collapsed="false">
      <c r="A112" s="0" t="s">
        <v>7</v>
      </c>
      <c r="B112" s="0" t="s">
        <v>1718</v>
      </c>
      <c r="C112" s="0" t="s">
        <v>1719</v>
      </c>
      <c r="E112" s="0" t="s">
        <v>1479</v>
      </c>
    </row>
    <row r="113" customFormat="false" ht="15" hidden="false" customHeight="false" outlineLevel="0" collapsed="false">
      <c r="A113" s="0" t="s">
        <v>7</v>
      </c>
      <c r="B113" s="0" t="s">
        <v>1720</v>
      </c>
      <c r="C113" s="0" t="s">
        <v>1721</v>
      </c>
      <c r="E113" s="0" t="s">
        <v>1479</v>
      </c>
    </row>
    <row r="114" customFormat="false" ht="15" hidden="false" customHeight="false" outlineLevel="0" collapsed="false">
      <c r="A114" s="0" t="s">
        <v>7</v>
      </c>
      <c r="B114" s="0" t="s">
        <v>1722</v>
      </c>
      <c r="C114" s="0" t="s">
        <v>1723</v>
      </c>
      <c r="E114" s="0" t="s">
        <v>1479</v>
      </c>
    </row>
    <row r="115" customFormat="false" ht="15" hidden="false" customHeight="false" outlineLevel="0" collapsed="false">
      <c r="A115" s="0" t="s">
        <v>7</v>
      </c>
      <c r="B115" s="0" t="s">
        <v>1724</v>
      </c>
      <c r="C115" s="0" t="s">
        <v>1725</v>
      </c>
      <c r="E115" s="0" t="s">
        <v>1479</v>
      </c>
    </row>
    <row r="116" customFormat="false" ht="15" hidden="false" customHeight="false" outlineLevel="0" collapsed="false">
      <c r="A116" s="0" t="s">
        <v>7</v>
      </c>
      <c r="B116" s="0" t="s">
        <v>1726</v>
      </c>
      <c r="C116" s="0" t="s">
        <v>1727</v>
      </c>
      <c r="E116" s="0" t="s">
        <v>1479</v>
      </c>
    </row>
    <row r="117" customFormat="false" ht="15" hidden="false" customHeight="false" outlineLevel="0" collapsed="false">
      <c r="A117" s="0" t="s">
        <v>7</v>
      </c>
      <c r="B117" s="0" t="s">
        <v>1728</v>
      </c>
      <c r="C117" s="0" t="s">
        <v>1729</v>
      </c>
      <c r="E117" s="0" t="s">
        <v>1479</v>
      </c>
    </row>
    <row r="118" customFormat="false" ht="15" hidden="false" customHeight="false" outlineLevel="0" collapsed="false">
      <c r="A118" s="0" t="s">
        <v>7</v>
      </c>
      <c r="B118" s="0" t="s">
        <v>1730</v>
      </c>
      <c r="C118" s="0" t="s">
        <v>1731</v>
      </c>
      <c r="E118" s="0" t="s">
        <v>1479</v>
      </c>
    </row>
    <row r="119" customFormat="false" ht="15" hidden="false" customHeight="false" outlineLevel="0" collapsed="false">
      <c r="A119" s="0" t="s">
        <v>7</v>
      </c>
      <c r="B119" s="0" t="s">
        <v>1732</v>
      </c>
      <c r="C119" s="0" t="s">
        <v>1733</v>
      </c>
      <c r="E119" s="0" t="s">
        <v>1479</v>
      </c>
    </row>
    <row r="120" customFormat="false" ht="15" hidden="false" customHeight="false" outlineLevel="0" collapsed="false">
      <c r="A120" s="0" t="s">
        <v>7</v>
      </c>
      <c r="B120" s="0" t="s">
        <v>1734</v>
      </c>
      <c r="C120" s="0" t="s">
        <v>1735</v>
      </c>
      <c r="E120" s="0" t="s">
        <v>1479</v>
      </c>
    </row>
    <row r="121" customFormat="false" ht="15" hidden="false" customHeight="false" outlineLevel="0" collapsed="false">
      <c r="A121" s="0" t="s">
        <v>7</v>
      </c>
      <c r="B121" s="0" t="s">
        <v>1736</v>
      </c>
      <c r="C121" s="0" t="s">
        <v>1737</v>
      </c>
      <c r="E121" s="0" t="s">
        <v>1479</v>
      </c>
    </row>
    <row r="122" customFormat="false" ht="15" hidden="false" customHeight="false" outlineLevel="0" collapsed="false">
      <c r="A122" s="0" t="s">
        <v>7</v>
      </c>
      <c r="B122" s="0" t="s">
        <v>1738</v>
      </c>
      <c r="C122" s="0" t="s">
        <v>1739</v>
      </c>
      <c r="E122" s="0" t="s">
        <v>1479</v>
      </c>
    </row>
    <row r="123" customFormat="false" ht="15" hidden="false" customHeight="false" outlineLevel="0" collapsed="false">
      <c r="A123" s="0" t="s">
        <v>7</v>
      </c>
      <c r="B123" s="0" t="s">
        <v>1740</v>
      </c>
      <c r="C123" s="0" t="s">
        <v>1741</v>
      </c>
      <c r="E123" s="0" t="s">
        <v>1479</v>
      </c>
    </row>
    <row r="124" customFormat="false" ht="15" hidden="false" customHeight="false" outlineLevel="0" collapsed="false">
      <c r="A124" s="0" t="s">
        <v>7</v>
      </c>
      <c r="B124" s="0" t="s">
        <v>1742</v>
      </c>
      <c r="C124" s="0" t="s">
        <v>1743</v>
      </c>
      <c r="E124" s="0" t="s">
        <v>1479</v>
      </c>
    </row>
    <row r="125" customFormat="false" ht="15" hidden="false" customHeight="false" outlineLevel="0" collapsed="false">
      <c r="A125" s="0" t="s">
        <v>7</v>
      </c>
      <c r="B125" s="0" t="s">
        <v>1744</v>
      </c>
      <c r="C125" s="0" t="s">
        <v>1745</v>
      </c>
      <c r="E125" s="0" t="s">
        <v>1479</v>
      </c>
    </row>
    <row r="126" customFormat="false" ht="15" hidden="false" customHeight="false" outlineLevel="0" collapsed="false">
      <c r="A126" s="0" t="s">
        <v>7</v>
      </c>
      <c r="B126" s="0" t="s">
        <v>1746</v>
      </c>
      <c r="C126" s="0" t="s">
        <v>1747</v>
      </c>
      <c r="E126" s="0" t="s">
        <v>1479</v>
      </c>
    </row>
    <row r="127" customFormat="false" ht="15" hidden="false" customHeight="false" outlineLevel="0" collapsed="false">
      <c r="A127" s="0" t="s">
        <v>7</v>
      </c>
      <c r="B127" s="0" t="s">
        <v>1748</v>
      </c>
      <c r="C127" s="0" t="s">
        <v>1749</v>
      </c>
      <c r="E127" s="0" t="s">
        <v>1479</v>
      </c>
    </row>
    <row r="128" customFormat="false" ht="15" hidden="false" customHeight="false" outlineLevel="0" collapsed="false">
      <c r="A128" s="0" t="s">
        <v>7</v>
      </c>
      <c r="B128" s="0" t="s">
        <v>1750</v>
      </c>
      <c r="C128" s="0" t="s">
        <v>1751</v>
      </c>
      <c r="E128" s="0" t="s">
        <v>1479</v>
      </c>
    </row>
    <row r="129" customFormat="false" ht="15" hidden="false" customHeight="false" outlineLevel="0" collapsed="false">
      <c r="A129" s="0" t="s">
        <v>7</v>
      </c>
      <c r="B129" s="0" t="s">
        <v>1752</v>
      </c>
      <c r="C129" s="0" t="s">
        <v>1753</v>
      </c>
      <c r="E129" s="0" t="s">
        <v>1479</v>
      </c>
    </row>
    <row r="130" customFormat="false" ht="15" hidden="false" customHeight="false" outlineLevel="0" collapsed="false">
      <c r="A130" s="0" t="s">
        <v>7</v>
      </c>
      <c r="B130" s="0" t="s">
        <v>1754</v>
      </c>
      <c r="C130" s="0" t="s">
        <v>1755</v>
      </c>
      <c r="E130" s="0" t="s">
        <v>1479</v>
      </c>
    </row>
    <row r="131" customFormat="false" ht="15" hidden="false" customHeight="false" outlineLevel="0" collapsed="false">
      <c r="A131" s="0" t="s">
        <v>7</v>
      </c>
      <c r="B131" s="0" t="s">
        <v>1756</v>
      </c>
      <c r="C131" s="0" t="s">
        <v>1757</v>
      </c>
      <c r="E131" s="0" t="s">
        <v>1479</v>
      </c>
    </row>
    <row r="132" customFormat="false" ht="15" hidden="false" customHeight="false" outlineLevel="0" collapsed="false">
      <c r="A132" s="0" t="s">
        <v>7</v>
      </c>
      <c r="B132" s="0" t="s">
        <v>1758</v>
      </c>
      <c r="C132" s="0" t="s">
        <v>1759</v>
      </c>
      <c r="E132" s="0" t="s">
        <v>1479</v>
      </c>
    </row>
    <row r="133" customFormat="false" ht="15" hidden="false" customHeight="false" outlineLevel="0" collapsed="false">
      <c r="A133" s="0" t="s">
        <v>7</v>
      </c>
      <c r="B133" s="0" t="s">
        <v>1760</v>
      </c>
      <c r="C133" s="0" t="s">
        <v>1761</v>
      </c>
      <c r="E133" s="0" t="s">
        <v>1479</v>
      </c>
    </row>
    <row r="134" customFormat="false" ht="15" hidden="false" customHeight="false" outlineLevel="0" collapsed="false">
      <c r="A134" s="0" t="s">
        <v>7</v>
      </c>
      <c r="B134" s="0" t="s">
        <v>1762</v>
      </c>
      <c r="C134" s="0" t="s">
        <v>1763</v>
      </c>
      <c r="E134" s="0" t="s">
        <v>1479</v>
      </c>
    </row>
    <row r="135" customFormat="false" ht="15" hidden="false" customHeight="false" outlineLevel="0" collapsed="false">
      <c r="A135" s="0" t="s">
        <v>7</v>
      </c>
      <c r="B135" s="0" t="s">
        <v>1764</v>
      </c>
      <c r="C135" s="0" t="s">
        <v>1765</v>
      </c>
      <c r="E135" s="0" t="s">
        <v>1479</v>
      </c>
    </row>
    <row r="136" customFormat="false" ht="15" hidden="false" customHeight="false" outlineLevel="0" collapsed="false">
      <c r="A136" s="0" t="s">
        <v>7</v>
      </c>
      <c r="B136" s="0" t="s">
        <v>1766</v>
      </c>
      <c r="C136" s="0" t="s">
        <v>1767</v>
      </c>
      <c r="E136" s="0" t="s">
        <v>1479</v>
      </c>
    </row>
    <row r="137" customFormat="false" ht="15" hidden="false" customHeight="false" outlineLevel="0" collapsed="false">
      <c r="A137" s="0" t="s">
        <v>7</v>
      </c>
      <c r="B137" s="0" t="s">
        <v>1768</v>
      </c>
      <c r="C137" s="0" t="s">
        <v>1769</v>
      </c>
      <c r="E137" s="0" t="s">
        <v>1479</v>
      </c>
    </row>
    <row r="138" customFormat="false" ht="15" hidden="false" customHeight="false" outlineLevel="0" collapsed="false">
      <c r="A138" s="0" t="s">
        <v>7</v>
      </c>
      <c r="B138" s="0" t="s">
        <v>1770</v>
      </c>
      <c r="C138" s="0" t="s">
        <v>1771</v>
      </c>
      <c r="E138" s="0" t="s">
        <v>1479</v>
      </c>
    </row>
    <row r="139" customFormat="false" ht="15" hidden="false" customHeight="false" outlineLevel="0" collapsed="false">
      <c r="A139" s="0" t="s">
        <v>7</v>
      </c>
      <c r="B139" s="0" t="s">
        <v>1772</v>
      </c>
      <c r="C139" s="0" t="s">
        <v>1773</v>
      </c>
      <c r="E139" s="0" t="s">
        <v>1479</v>
      </c>
    </row>
    <row r="140" customFormat="false" ht="15" hidden="false" customHeight="false" outlineLevel="0" collapsed="false">
      <c r="A140" s="0" t="s">
        <v>7</v>
      </c>
      <c r="B140" s="0" t="s">
        <v>1774</v>
      </c>
      <c r="C140" s="0" t="s">
        <v>1775</v>
      </c>
      <c r="E140" s="0" t="s">
        <v>1479</v>
      </c>
    </row>
    <row r="141" customFormat="false" ht="15" hidden="false" customHeight="false" outlineLevel="0" collapsed="false">
      <c r="A141" s="0" t="s">
        <v>7</v>
      </c>
      <c r="B141" s="0" t="s">
        <v>1776</v>
      </c>
      <c r="C141" s="0" t="s">
        <v>1777</v>
      </c>
      <c r="E141" s="0" t="s">
        <v>1479</v>
      </c>
    </row>
    <row r="142" customFormat="false" ht="15" hidden="false" customHeight="false" outlineLevel="0" collapsed="false">
      <c r="A142" s="0" t="s">
        <v>7</v>
      </c>
      <c r="B142" s="0" t="s">
        <v>1778</v>
      </c>
      <c r="C142" s="0" t="s">
        <v>1779</v>
      </c>
      <c r="E142" s="0" t="s">
        <v>1479</v>
      </c>
    </row>
    <row r="143" customFormat="false" ht="15" hidden="false" customHeight="false" outlineLevel="0" collapsed="false">
      <c r="A143" s="0" t="s">
        <v>7</v>
      </c>
      <c r="B143" s="0" t="s">
        <v>1780</v>
      </c>
      <c r="C143" s="0" t="s">
        <v>1781</v>
      </c>
      <c r="E143" s="0" t="s">
        <v>1479</v>
      </c>
    </row>
    <row r="144" customFormat="false" ht="15" hidden="false" customHeight="false" outlineLevel="0" collapsed="false">
      <c r="A144" s="0" t="s">
        <v>7</v>
      </c>
      <c r="B144" s="0" t="s">
        <v>1782</v>
      </c>
      <c r="C144" s="0" t="s">
        <v>1783</v>
      </c>
      <c r="E144" s="0" t="s">
        <v>1479</v>
      </c>
    </row>
    <row r="145" customFormat="false" ht="15" hidden="false" customHeight="false" outlineLevel="0" collapsed="false">
      <c r="A145" s="0" t="s">
        <v>7</v>
      </c>
      <c r="B145" s="0" t="s">
        <v>1784</v>
      </c>
      <c r="C145" s="0" t="s">
        <v>1785</v>
      </c>
      <c r="E145" s="0" t="s">
        <v>1479</v>
      </c>
    </row>
    <row r="146" customFormat="false" ht="15" hidden="false" customHeight="false" outlineLevel="0" collapsed="false">
      <c r="A146" s="0" t="s">
        <v>7</v>
      </c>
      <c r="B146" s="0" t="s">
        <v>1786</v>
      </c>
      <c r="C146" s="0" t="s">
        <v>1787</v>
      </c>
      <c r="E146" s="0" t="s">
        <v>1479</v>
      </c>
    </row>
    <row r="147" customFormat="false" ht="15" hidden="false" customHeight="false" outlineLevel="0" collapsed="false">
      <c r="A147" s="0" t="s">
        <v>7</v>
      </c>
      <c r="B147" s="0" t="s">
        <v>1788</v>
      </c>
      <c r="C147" s="0" t="s">
        <v>1789</v>
      </c>
      <c r="E147" s="0" t="s">
        <v>1479</v>
      </c>
    </row>
    <row r="148" customFormat="false" ht="15" hidden="false" customHeight="false" outlineLevel="0" collapsed="false">
      <c r="A148" s="0" t="s">
        <v>7</v>
      </c>
      <c r="B148" s="0" t="s">
        <v>1790</v>
      </c>
      <c r="C148" s="0" t="s">
        <v>1791</v>
      </c>
      <c r="E148" s="0" t="s">
        <v>1479</v>
      </c>
    </row>
    <row r="149" customFormat="false" ht="15" hidden="false" customHeight="false" outlineLevel="0" collapsed="false">
      <c r="A149" s="0" t="s">
        <v>7</v>
      </c>
      <c r="B149" s="0" t="s">
        <v>1792</v>
      </c>
      <c r="C149" s="0" t="s">
        <v>1793</v>
      </c>
      <c r="E149" s="0" t="s">
        <v>1479</v>
      </c>
    </row>
    <row r="150" customFormat="false" ht="15" hidden="false" customHeight="false" outlineLevel="0" collapsed="false">
      <c r="A150" s="0" t="s">
        <v>7</v>
      </c>
      <c r="B150" s="0" t="s">
        <v>1794</v>
      </c>
      <c r="C150" s="0" t="s">
        <v>1795</v>
      </c>
      <c r="E150" s="0" t="s">
        <v>1479</v>
      </c>
    </row>
    <row r="151" customFormat="false" ht="15" hidden="false" customHeight="false" outlineLevel="0" collapsed="false">
      <c r="A151" s="0" t="s">
        <v>7</v>
      </c>
      <c r="B151" s="0" t="s">
        <v>1796</v>
      </c>
      <c r="C151" s="0" t="s">
        <v>1797</v>
      </c>
      <c r="E151" s="0" t="s">
        <v>1479</v>
      </c>
    </row>
    <row r="152" customFormat="false" ht="15" hidden="false" customHeight="false" outlineLevel="0" collapsed="false">
      <c r="A152" s="0" t="s">
        <v>7</v>
      </c>
      <c r="B152" s="0" t="s">
        <v>1798</v>
      </c>
      <c r="C152" s="0" t="s">
        <v>1799</v>
      </c>
      <c r="E152" s="0" t="s">
        <v>1479</v>
      </c>
    </row>
    <row r="153" customFormat="false" ht="15" hidden="false" customHeight="false" outlineLevel="0" collapsed="false">
      <c r="A153" s="0" t="s">
        <v>7</v>
      </c>
      <c r="B153" s="0" t="s">
        <v>1800</v>
      </c>
      <c r="C153" s="0" t="s">
        <v>1801</v>
      </c>
      <c r="E153" s="0" t="s">
        <v>1479</v>
      </c>
    </row>
    <row r="154" customFormat="false" ht="15" hidden="false" customHeight="false" outlineLevel="0" collapsed="false">
      <c r="A154" s="0" t="s">
        <v>7</v>
      </c>
      <c r="B154" s="0" t="s">
        <v>1802</v>
      </c>
      <c r="C154" s="0" t="s">
        <v>1803</v>
      </c>
      <c r="E154" s="0" t="s">
        <v>1479</v>
      </c>
    </row>
    <row r="155" customFormat="false" ht="15" hidden="false" customHeight="false" outlineLevel="0" collapsed="false">
      <c r="A155" s="0" t="s">
        <v>7</v>
      </c>
      <c r="B155" s="0" t="s">
        <v>1804</v>
      </c>
      <c r="C155" s="0" t="s">
        <v>1805</v>
      </c>
      <c r="E155" s="0" t="s">
        <v>1479</v>
      </c>
    </row>
    <row r="156" customFormat="false" ht="15" hidden="false" customHeight="false" outlineLevel="0" collapsed="false">
      <c r="A156" s="0" t="s">
        <v>7</v>
      </c>
      <c r="B156" s="0" t="s">
        <v>1806</v>
      </c>
      <c r="C156" s="0" t="s">
        <v>1807</v>
      </c>
      <c r="E156" s="0" t="s">
        <v>1479</v>
      </c>
    </row>
    <row r="157" customFormat="false" ht="15" hidden="false" customHeight="false" outlineLevel="0" collapsed="false">
      <c r="A157" s="0" t="s">
        <v>7</v>
      </c>
      <c r="B157" s="0" t="s">
        <v>1808</v>
      </c>
      <c r="C157" s="0" t="s">
        <v>1809</v>
      </c>
      <c r="E157" s="0" t="s">
        <v>1479</v>
      </c>
    </row>
    <row r="158" customFormat="false" ht="15" hidden="false" customHeight="false" outlineLevel="0" collapsed="false">
      <c r="A158" s="0" t="s">
        <v>7</v>
      </c>
      <c r="B158" s="0" t="s">
        <v>1810</v>
      </c>
      <c r="C158" s="0" t="s">
        <v>1811</v>
      </c>
      <c r="E158" s="0" t="s">
        <v>1479</v>
      </c>
    </row>
    <row r="159" customFormat="false" ht="15" hidden="false" customHeight="false" outlineLevel="0" collapsed="false">
      <c r="A159" s="0" t="s">
        <v>7</v>
      </c>
      <c r="B159" s="0" t="s">
        <v>1812</v>
      </c>
      <c r="C159" s="0" t="s">
        <v>1813</v>
      </c>
      <c r="E159" s="0" t="s">
        <v>1479</v>
      </c>
    </row>
    <row r="160" customFormat="false" ht="15" hidden="false" customHeight="false" outlineLevel="0" collapsed="false">
      <c r="A160" s="0" t="s">
        <v>7</v>
      </c>
      <c r="B160" s="0" t="s">
        <v>1814</v>
      </c>
      <c r="C160" s="0" t="s">
        <v>1815</v>
      </c>
      <c r="E160" s="0" t="s">
        <v>1479</v>
      </c>
    </row>
    <row r="161" customFormat="false" ht="15" hidden="false" customHeight="false" outlineLevel="0" collapsed="false">
      <c r="A161" s="0" t="s">
        <v>7</v>
      </c>
      <c r="B161" s="0" t="s">
        <v>1816</v>
      </c>
      <c r="C161" s="0" t="s">
        <v>1817</v>
      </c>
      <c r="E161" s="0" t="s">
        <v>1479</v>
      </c>
    </row>
    <row r="162" customFormat="false" ht="15" hidden="false" customHeight="false" outlineLevel="0" collapsed="false">
      <c r="A162" s="0" t="s">
        <v>7</v>
      </c>
      <c r="B162" s="0" t="s">
        <v>1818</v>
      </c>
      <c r="C162" s="0" t="s">
        <v>1819</v>
      </c>
      <c r="E162" s="0" t="s">
        <v>1479</v>
      </c>
    </row>
    <row r="163" customFormat="false" ht="15" hidden="false" customHeight="false" outlineLevel="0" collapsed="false">
      <c r="A163" s="0" t="s">
        <v>7</v>
      </c>
      <c r="B163" s="0" t="s">
        <v>1820</v>
      </c>
      <c r="C163" s="0" t="s">
        <v>1821</v>
      </c>
      <c r="E163" s="0" t="s">
        <v>1479</v>
      </c>
    </row>
    <row r="164" customFormat="false" ht="15" hidden="false" customHeight="false" outlineLevel="0" collapsed="false">
      <c r="A164" s="0" t="s">
        <v>7</v>
      </c>
      <c r="B164" s="0" t="s">
        <v>1822</v>
      </c>
      <c r="C164" s="0" t="s">
        <v>1823</v>
      </c>
      <c r="E164" s="0" t="s">
        <v>1479</v>
      </c>
    </row>
    <row r="165" customFormat="false" ht="15" hidden="false" customHeight="false" outlineLevel="0" collapsed="false">
      <c r="A165" s="0" t="s">
        <v>7</v>
      </c>
      <c r="B165" s="0" t="s">
        <v>1824</v>
      </c>
      <c r="C165" s="0" t="s">
        <v>1825</v>
      </c>
      <c r="E165" s="0" t="s">
        <v>1479</v>
      </c>
    </row>
    <row r="166" customFormat="false" ht="15" hidden="false" customHeight="false" outlineLevel="0" collapsed="false">
      <c r="A166" s="0" t="s">
        <v>7</v>
      </c>
      <c r="B166" s="0" t="s">
        <v>1826</v>
      </c>
      <c r="C166" s="0" t="s">
        <v>1827</v>
      </c>
      <c r="E166" s="0" t="s">
        <v>1479</v>
      </c>
    </row>
    <row r="167" customFormat="false" ht="15" hidden="false" customHeight="false" outlineLevel="0" collapsed="false">
      <c r="A167" s="0" t="s">
        <v>7</v>
      </c>
      <c r="B167" s="0" t="s">
        <v>1828</v>
      </c>
      <c r="C167" s="0" t="s">
        <v>1829</v>
      </c>
      <c r="E167" s="0" t="s">
        <v>1830</v>
      </c>
    </row>
    <row r="168" customFormat="false" ht="15" hidden="false" customHeight="false" outlineLevel="0" collapsed="false">
      <c r="A168" s="0" t="s">
        <v>7</v>
      </c>
      <c r="B168" s="0" t="s">
        <v>1831</v>
      </c>
      <c r="C168" s="0" t="s">
        <v>1832</v>
      </c>
      <c r="E168" s="0" t="s">
        <v>1833</v>
      </c>
    </row>
    <row r="169" customFormat="false" ht="15" hidden="false" customHeight="false" outlineLevel="0" collapsed="false">
      <c r="A169" s="0" t="s">
        <v>7</v>
      </c>
      <c r="B169" s="0" t="s">
        <v>1834</v>
      </c>
      <c r="C169" s="0" t="s">
        <v>1835</v>
      </c>
      <c r="E169" s="0" t="s">
        <v>1836</v>
      </c>
    </row>
    <row r="170" customFormat="false" ht="15" hidden="false" customHeight="false" outlineLevel="0" collapsed="false">
      <c r="A170" s="0" t="s">
        <v>7</v>
      </c>
      <c r="B170" s="0" t="s">
        <v>1837</v>
      </c>
      <c r="C170" s="0" t="s">
        <v>1838</v>
      </c>
      <c r="E170" s="0" t="s">
        <v>1839</v>
      </c>
    </row>
    <row r="171" customFormat="false" ht="15" hidden="false" customHeight="false" outlineLevel="0" collapsed="false">
      <c r="A171" s="0" t="s">
        <v>7</v>
      </c>
      <c r="B171" s="0" t="s">
        <v>1840</v>
      </c>
      <c r="C171" s="0" t="s">
        <v>1841</v>
      </c>
      <c r="E171" s="0" t="s">
        <v>1842</v>
      </c>
    </row>
    <row r="172" customFormat="false" ht="15" hidden="false" customHeight="false" outlineLevel="0" collapsed="false">
      <c r="A172" s="0" t="s">
        <v>7</v>
      </c>
      <c r="B172" s="0" t="s">
        <v>1843</v>
      </c>
      <c r="C172" s="0" t="s">
        <v>1844</v>
      </c>
      <c r="E172" s="0" t="s">
        <v>1845</v>
      </c>
    </row>
    <row r="173" customFormat="false" ht="15" hidden="false" customHeight="false" outlineLevel="0" collapsed="false">
      <c r="A173" s="0" t="s">
        <v>7</v>
      </c>
      <c r="B173" s="0" t="s">
        <v>1846</v>
      </c>
      <c r="C173" s="0" t="s">
        <v>1847</v>
      </c>
      <c r="E173" s="0" t="s">
        <v>1479</v>
      </c>
    </row>
    <row r="174" customFormat="false" ht="15" hidden="false" customHeight="false" outlineLevel="0" collapsed="false">
      <c r="A174" s="0" t="s">
        <v>7</v>
      </c>
      <c r="B174" s="0" t="s">
        <v>1848</v>
      </c>
      <c r="C174" s="0" t="s">
        <v>1849</v>
      </c>
      <c r="E174" s="0" t="s">
        <v>1479</v>
      </c>
    </row>
    <row r="175" customFormat="false" ht="15" hidden="false" customHeight="false" outlineLevel="0" collapsed="false">
      <c r="A175" s="0" t="s">
        <v>7</v>
      </c>
      <c r="B175" s="0" t="s">
        <v>1850</v>
      </c>
      <c r="C175" s="0" t="s">
        <v>1851</v>
      </c>
      <c r="E175" s="0" t="s">
        <v>1479</v>
      </c>
    </row>
    <row r="176" customFormat="false" ht="15" hidden="false" customHeight="false" outlineLevel="0" collapsed="false">
      <c r="A176" s="0" t="s">
        <v>7</v>
      </c>
      <c r="B176" s="0" t="s">
        <v>1852</v>
      </c>
      <c r="C176" s="0" t="s">
        <v>1853</v>
      </c>
      <c r="E176" s="0" t="s">
        <v>1479</v>
      </c>
    </row>
    <row r="177" customFormat="false" ht="15" hidden="false" customHeight="false" outlineLevel="0" collapsed="false">
      <c r="A177" s="0" t="s">
        <v>7</v>
      </c>
      <c r="B177" s="0" t="s">
        <v>1854</v>
      </c>
      <c r="C177" s="0" t="s">
        <v>1855</v>
      </c>
      <c r="E177" s="0" t="s">
        <v>1479</v>
      </c>
    </row>
    <row r="178" customFormat="false" ht="15" hidden="false" customHeight="false" outlineLevel="0" collapsed="false">
      <c r="A178" s="0" t="s">
        <v>7</v>
      </c>
      <c r="B178" s="0" t="s">
        <v>1856</v>
      </c>
      <c r="C178" s="0" t="s">
        <v>1857</v>
      </c>
      <c r="E178" s="0" t="s">
        <v>1479</v>
      </c>
    </row>
    <row r="179" customFormat="false" ht="15" hidden="false" customHeight="false" outlineLevel="0" collapsed="false">
      <c r="A179" s="0" t="s">
        <v>7</v>
      </c>
      <c r="B179" s="0" t="s">
        <v>1858</v>
      </c>
      <c r="C179" s="0" t="s">
        <v>1859</v>
      </c>
      <c r="E179" s="0" t="s">
        <v>1479</v>
      </c>
    </row>
    <row r="180" customFormat="false" ht="15" hidden="false" customHeight="false" outlineLevel="0" collapsed="false">
      <c r="A180" s="0" t="s">
        <v>7</v>
      </c>
      <c r="B180" s="0" t="s">
        <v>1860</v>
      </c>
      <c r="C180" s="0" t="s">
        <v>1861</v>
      </c>
      <c r="E180" s="0" t="s">
        <v>1479</v>
      </c>
    </row>
    <row r="181" customFormat="false" ht="15" hidden="false" customHeight="false" outlineLevel="0" collapsed="false">
      <c r="A181" s="0" t="s">
        <v>7</v>
      </c>
      <c r="B181" s="0" t="s">
        <v>1862</v>
      </c>
      <c r="C181" s="0" t="s">
        <v>1863</v>
      </c>
      <c r="E181" s="0" t="s">
        <v>1479</v>
      </c>
    </row>
    <row r="182" customFormat="false" ht="15" hidden="false" customHeight="false" outlineLevel="0" collapsed="false">
      <c r="A182" s="0" t="s">
        <v>10</v>
      </c>
      <c r="B182" s="0" t="s">
        <v>1864</v>
      </c>
      <c r="C182" s="0" t="s">
        <v>1865</v>
      </c>
      <c r="E182" s="0" t="s">
        <v>1866</v>
      </c>
    </row>
    <row r="183" customFormat="false" ht="15" hidden="false" customHeight="false" outlineLevel="0" collapsed="false">
      <c r="A183" s="0" t="s">
        <v>10</v>
      </c>
      <c r="B183" s="0" t="s">
        <v>1867</v>
      </c>
      <c r="C183" s="0" t="s">
        <v>1868</v>
      </c>
      <c r="E183" s="0" t="s">
        <v>1869</v>
      </c>
    </row>
    <row r="184" customFormat="false" ht="15" hidden="false" customHeight="false" outlineLevel="0" collapsed="false">
      <c r="A184" s="0" t="s">
        <v>10</v>
      </c>
      <c r="B184" s="0" t="s">
        <v>1870</v>
      </c>
      <c r="C184" s="0" t="s">
        <v>1871</v>
      </c>
      <c r="E184" s="0" t="s">
        <v>1872</v>
      </c>
    </row>
    <row r="185" customFormat="false" ht="15" hidden="false" customHeight="false" outlineLevel="0" collapsed="false">
      <c r="A185" s="0" t="s">
        <v>10</v>
      </c>
      <c r="B185" s="0" t="s">
        <v>1471</v>
      </c>
      <c r="C185" s="0" t="s">
        <v>1873</v>
      </c>
      <c r="E185" s="0" t="s">
        <v>1874</v>
      </c>
    </row>
    <row r="186" customFormat="false" ht="15" hidden="false" customHeight="false" outlineLevel="0" collapsed="false">
      <c r="A186" s="0" t="s">
        <v>10</v>
      </c>
      <c r="B186" s="0" t="s">
        <v>1480</v>
      </c>
      <c r="C186" s="0" t="s">
        <v>1875</v>
      </c>
      <c r="D186" s="0" t="s">
        <v>1876</v>
      </c>
      <c r="E186" s="0" t="s">
        <v>1877</v>
      </c>
    </row>
    <row r="187" customFormat="false" ht="15" hidden="false" customHeight="false" outlineLevel="0" collapsed="false">
      <c r="A187" s="0" t="s">
        <v>10</v>
      </c>
      <c r="B187" s="0" t="s">
        <v>1488</v>
      </c>
      <c r="C187" s="0" t="s">
        <v>1878</v>
      </c>
      <c r="E187" s="0" t="s">
        <v>1879</v>
      </c>
    </row>
    <row r="188" customFormat="false" ht="15" hidden="false" customHeight="false" outlineLevel="0" collapsed="false">
      <c r="A188" s="0" t="s">
        <v>10</v>
      </c>
      <c r="B188" s="0" t="s">
        <v>1880</v>
      </c>
      <c r="C188" s="0" t="s">
        <v>1881</v>
      </c>
      <c r="E188" s="0" t="s">
        <v>1882</v>
      </c>
    </row>
    <row r="189" customFormat="false" ht="15" hidden="false" customHeight="false" outlineLevel="0" collapsed="false">
      <c r="A189" s="0" t="s">
        <v>10</v>
      </c>
      <c r="B189" s="0" t="s">
        <v>1883</v>
      </c>
      <c r="C189" s="0" t="s">
        <v>1884</v>
      </c>
      <c r="E189" s="0" t="s">
        <v>1885</v>
      </c>
    </row>
    <row r="190" customFormat="false" ht="15" hidden="false" customHeight="false" outlineLevel="0" collapsed="false">
      <c r="A190" s="0" t="s">
        <v>10</v>
      </c>
      <c r="B190" s="0" t="s">
        <v>1886</v>
      </c>
      <c r="C190" s="0" t="s">
        <v>1887</v>
      </c>
      <c r="E190" s="0" t="s">
        <v>237</v>
      </c>
    </row>
    <row r="191" customFormat="false" ht="15" hidden="false" customHeight="false" outlineLevel="0" collapsed="false">
      <c r="A191" s="0" t="s">
        <v>10</v>
      </c>
      <c r="B191" s="0" t="s">
        <v>1888</v>
      </c>
      <c r="C191" s="0" t="s">
        <v>1889</v>
      </c>
      <c r="E191" s="0" t="s">
        <v>1890</v>
      </c>
    </row>
    <row r="192" customFormat="false" ht="15" hidden="false" customHeight="false" outlineLevel="0" collapsed="false">
      <c r="A192" s="0" t="s">
        <v>10</v>
      </c>
      <c r="B192" s="0" t="s">
        <v>1891</v>
      </c>
      <c r="C192" s="0" t="s">
        <v>1892</v>
      </c>
      <c r="E192" s="0" t="s">
        <v>1893</v>
      </c>
    </row>
    <row r="193" customFormat="false" ht="15" hidden="false" customHeight="false" outlineLevel="0" collapsed="false">
      <c r="A193" s="0" t="s">
        <v>10</v>
      </c>
      <c r="B193" s="0" t="s">
        <v>1894</v>
      </c>
      <c r="C193" s="0" t="s">
        <v>1895</v>
      </c>
      <c r="D193" s="0" t="s">
        <v>1896</v>
      </c>
      <c r="E193" s="0" t="s">
        <v>1897</v>
      </c>
    </row>
    <row r="194" customFormat="false" ht="15" hidden="false" customHeight="false" outlineLevel="0" collapsed="false">
      <c r="A194" s="0" t="s">
        <v>10</v>
      </c>
      <c r="B194" s="0" t="s">
        <v>1898</v>
      </c>
      <c r="C194" s="0" t="s">
        <v>1899</v>
      </c>
      <c r="E194" s="0" t="s">
        <v>1068</v>
      </c>
    </row>
    <row r="195" customFormat="false" ht="15" hidden="false" customHeight="false" outlineLevel="0" collapsed="false">
      <c r="A195" s="0" t="s">
        <v>10</v>
      </c>
      <c r="B195" s="0" t="s">
        <v>1506</v>
      </c>
      <c r="C195" s="0" t="s">
        <v>1900</v>
      </c>
      <c r="E195" s="0" t="s">
        <v>1885</v>
      </c>
    </row>
    <row r="196" customFormat="false" ht="15" hidden="false" customHeight="false" outlineLevel="0" collapsed="false">
      <c r="A196" s="0" t="s">
        <v>10</v>
      </c>
      <c r="B196" s="0" t="s">
        <v>1901</v>
      </c>
      <c r="C196" s="0" t="s">
        <v>1902</v>
      </c>
      <c r="E196" s="0" t="s">
        <v>237</v>
      </c>
    </row>
    <row r="197" customFormat="false" ht="15" hidden="false" customHeight="false" outlineLevel="0" collapsed="false">
      <c r="A197" s="0" t="s">
        <v>10</v>
      </c>
      <c r="B197" s="0" t="s">
        <v>1509</v>
      </c>
      <c r="C197" s="0" t="s">
        <v>1903</v>
      </c>
      <c r="E197" s="0" t="s">
        <v>1904</v>
      </c>
    </row>
    <row r="198" customFormat="false" ht="15" hidden="false" customHeight="false" outlineLevel="0" collapsed="false">
      <c r="A198" s="0" t="s">
        <v>10</v>
      </c>
      <c r="B198" s="0" t="s">
        <v>1512</v>
      </c>
      <c r="C198" s="0" t="s">
        <v>1905</v>
      </c>
      <c r="E198" s="0" t="s">
        <v>1906</v>
      </c>
    </row>
    <row r="199" customFormat="false" ht="15" hidden="false" customHeight="false" outlineLevel="0" collapsed="false">
      <c r="A199" s="0" t="s">
        <v>10</v>
      </c>
      <c r="B199" s="0" t="s">
        <v>1515</v>
      </c>
      <c r="C199" s="0" t="s">
        <v>1907</v>
      </c>
      <c r="D199" s="0" t="s">
        <v>1896</v>
      </c>
      <c r="E199" s="0" t="s">
        <v>1908</v>
      </c>
    </row>
    <row r="200" customFormat="false" ht="15" hidden="false" customHeight="false" outlineLevel="0" collapsed="false">
      <c r="A200" s="0" t="s">
        <v>10</v>
      </c>
      <c r="B200" s="0" t="s">
        <v>1909</v>
      </c>
      <c r="C200" s="0" t="s">
        <v>1910</v>
      </c>
      <c r="E200" s="0" t="s">
        <v>1479</v>
      </c>
    </row>
    <row r="201" customFormat="false" ht="15" hidden="false" customHeight="false" outlineLevel="0" collapsed="false">
      <c r="A201" s="0" t="s">
        <v>10</v>
      </c>
      <c r="B201" s="0" t="s">
        <v>1518</v>
      </c>
      <c r="C201" s="0" t="s">
        <v>1911</v>
      </c>
      <c r="E201" s="0" t="s">
        <v>1479</v>
      </c>
    </row>
    <row r="202" customFormat="false" ht="15" hidden="false" customHeight="false" outlineLevel="0" collapsed="false">
      <c r="A202" s="0" t="s">
        <v>10</v>
      </c>
      <c r="B202" s="0" t="s">
        <v>1912</v>
      </c>
      <c r="C202" s="0" t="s">
        <v>1913</v>
      </c>
      <c r="E202" s="0" t="s">
        <v>1479</v>
      </c>
    </row>
    <row r="203" customFormat="false" ht="15" hidden="false" customHeight="false" outlineLevel="0" collapsed="false">
      <c r="A203" s="0" t="s">
        <v>10</v>
      </c>
      <c r="B203" s="0" t="s">
        <v>1521</v>
      </c>
      <c r="C203" s="0" t="s">
        <v>1914</v>
      </c>
      <c r="E203" s="0" t="s">
        <v>1479</v>
      </c>
    </row>
    <row r="204" customFormat="false" ht="15" hidden="false" customHeight="false" outlineLevel="0" collapsed="false">
      <c r="A204" s="0" t="s">
        <v>10</v>
      </c>
      <c r="B204" s="0" t="s">
        <v>1524</v>
      </c>
      <c r="C204" s="0" t="s">
        <v>1915</v>
      </c>
      <c r="E204" s="0" t="s">
        <v>1479</v>
      </c>
    </row>
    <row r="205" customFormat="false" ht="15" hidden="false" customHeight="false" outlineLevel="0" collapsed="false">
      <c r="A205" s="0" t="s">
        <v>10</v>
      </c>
      <c r="B205" s="0" t="s">
        <v>1527</v>
      </c>
      <c r="C205" s="0" t="s">
        <v>1916</v>
      </c>
      <c r="D205" s="0" t="s">
        <v>1896</v>
      </c>
      <c r="E205" s="0" t="s">
        <v>1479</v>
      </c>
    </row>
    <row r="206" customFormat="false" ht="15" hidden="false" customHeight="false" outlineLevel="0" collapsed="false">
      <c r="A206" s="0" t="s">
        <v>10</v>
      </c>
      <c r="B206" s="0" t="s">
        <v>1917</v>
      </c>
      <c r="C206" s="0" t="s">
        <v>1918</v>
      </c>
      <c r="E206" s="0" t="s">
        <v>1479</v>
      </c>
    </row>
    <row r="207" customFormat="false" ht="15" hidden="false" customHeight="false" outlineLevel="0" collapsed="false">
      <c r="A207" s="0" t="s">
        <v>10</v>
      </c>
      <c r="B207" s="0" t="s">
        <v>1529</v>
      </c>
      <c r="C207" s="0" t="s">
        <v>1919</v>
      </c>
      <c r="E207" s="0" t="s">
        <v>1479</v>
      </c>
    </row>
    <row r="208" customFormat="false" ht="15" hidden="false" customHeight="false" outlineLevel="0" collapsed="false">
      <c r="A208" s="0" t="s">
        <v>10</v>
      </c>
      <c r="B208" s="0" t="s">
        <v>1920</v>
      </c>
      <c r="C208" s="0" t="s">
        <v>1921</v>
      </c>
      <c r="E208" s="0" t="s">
        <v>1479</v>
      </c>
    </row>
    <row r="209" customFormat="false" ht="15" hidden="false" customHeight="false" outlineLevel="0" collapsed="false">
      <c r="A209" s="0" t="s">
        <v>10</v>
      </c>
      <c r="B209" s="0" t="s">
        <v>1532</v>
      </c>
      <c r="C209" s="0" t="s">
        <v>1922</v>
      </c>
      <c r="E209" s="0" t="s">
        <v>1479</v>
      </c>
    </row>
    <row r="210" customFormat="false" ht="15" hidden="false" customHeight="false" outlineLevel="0" collapsed="false">
      <c r="A210" s="0" t="s">
        <v>10</v>
      </c>
      <c r="B210" s="0" t="s">
        <v>1535</v>
      </c>
      <c r="C210" s="0" t="s">
        <v>1923</v>
      </c>
      <c r="E210" s="0" t="s">
        <v>1479</v>
      </c>
    </row>
    <row r="211" customFormat="false" ht="15" hidden="false" customHeight="false" outlineLevel="0" collapsed="false">
      <c r="A211" s="0" t="s">
        <v>10</v>
      </c>
      <c r="B211" s="0" t="s">
        <v>1537</v>
      </c>
      <c r="C211" s="0" t="s">
        <v>1924</v>
      </c>
      <c r="D211" s="0" t="s">
        <v>1896</v>
      </c>
      <c r="E211" s="0" t="s">
        <v>1479</v>
      </c>
    </row>
    <row r="212" customFormat="false" ht="15" hidden="false" customHeight="false" outlineLevel="0" collapsed="false">
      <c r="A212" s="0" t="s">
        <v>10</v>
      </c>
      <c r="B212" s="0" t="s">
        <v>1925</v>
      </c>
      <c r="C212" s="0" t="s">
        <v>1926</v>
      </c>
      <c r="E212" s="0" t="s">
        <v>1479</v>
      </c>
    </row>
    <row r="213" customFormat="false" ht="15" hidden="false" customHeight="false" outlineLevel="0" collapsed="false">
      <c r="A213" s="0" t="s">
        <v>10</v>
      </c>
      <c r="B213" s="0" t="s">
        <v>1540</v>
      </c>
      <c r="C213" s="0" t="s">
        <v>1927</v>
      </c>
      <c r="E213" s="0" t="s">
        <v>1479</v>
      </c>
    </row>
    <row r="214" customFormat="false" ht="15" hidden="false" customHeight="false" outlineLevel="0" collapsed="false">
      <c r="A214" s="0" t="s">
        <v>10</v>
      </c>
      <c r="B214" s="0" t="s">
        <v>1928</v>
      </c>
      <c r="C214" s="0" t="s">
        <v>1929</v>
      </c>
      <c r="E214" s="0" t="s">
        <v>1479</v>
      </c>
    </row>
    <row r="215" customFormat="false" ht="15" hidden="false" customHeight="false" outlineLevel="0" collapsed="false">
      <c r="A215" s="0" t="s">
        <v>10</v>
      </c>
      <c r="B215" s="0" t="s">
        <v>1542</v>
      </c>
      <c r="C215" s="0" t="s">
        <v>1930</v>
      </c>
      <c r="E215" s="0" t="s">
        <v>1479</v>
      </c>
    </row>
    <row r="216" customFormat="false" ht="15" hidden="false" customHeight="false" outlineLevel="0" collapsed="false">
      <c r="A216" s="0" t="s">
        <v>10</v>
      </c>
      <c r="B216" s="0" t="s">
        <v>1544</v>
      </c>
      <c r="C216" s="0" t="s">
        <v>1931</v>
      </c>
      <c r="E216" s="0" t="s">
        <v>1479</v>
      </c>
    </row>
    <row r="217" customFormat="false" ht="15" hidden="false" customHeight="false" outlineLevel="0" collapsed="false">
      <c r="A217" s="0" t="s">
        <v>10</v>
      </c>
      <c r="B217" s="0" t="s">
        <v>1546</v>
      </c>
      <c r="C217" s="0" t="s">
        <v>1932</v>
      </c>
      <c r="D217" s="0" t="s">
        <v>1896</v>
      </c>
      <c r="E217" s="0" t="s">
        <v>1479</v>
      </c>
    </row>
    <row r="218" customFormat="false" ht="15" hidden="false" customHeight="false" outlineLevel="0" collapsed="false">
      <c r="A218" s="0" t="s">
        <v>10</v>
      </c>
      <c r="B218" s="0" t="s">
        <v>1933</v>
      </c>
      <c r="C218" s="0" t="s">
        <v>1934</v>
      </c>
      <c r="E218" s="0" t="s">
        <v>1890</v>
      </c>
    </row>
    <row r="219" customFormat="false" ht="15" hidden="false" customHeight="false" outlineLevel="0" collapsed="false">
      <c r="A219" s="0" t="s">
        <v>10</v>
      </c>
      <c r="B219" s="0" t="s">
        <v>1935</v>
      </c>
      <c r="C219" s="0" t="s">
        <v>1936</v>
      </c>
      <c r="E219" s="0" t="s">
        <v>1937</v>
      </c>
    </row>
    <row r="220" customFormat="false" ht="15" hidden="false" customHeight="false" outlineLevel="0" collapsed="false">
      <c r="A220" s="0" t="s">
        <v>10</v>
      </c>
      <c r="B220" s="0" t="s">
        <v>1938</v>
      </c>
      <c r="C220" s="0" t="s">
        <v>1939</v>
      </c>
      <c r="E220" s="0" t="s">
        <v>1940</v>
      </c>
    </row>
    <row r="221" customFormat="false" ht="15" hidden="false" customHeight="false" outlineLevel="0" collapsed="false">
      <c r="A221" s="0" t="s">
        <v>10</v>
      </c>
      <c r="B221" s="0" t="s">
        <v>1941</v>
      </c>
      <c r="C221" s="0" t="s">
        <v>1942</v>
      </c>
      <c r="E221" s="0" t="s">
        <v>1943</v>
      </c>
    </row>
    <row r="222" customFormat="false" ht="15" hidden="false" customHeight="false" outlineLevel="0" collapsed="false">
      <c r="A222" s="0" t="s">
        <v>10</v>
      </c>
      <c r="B222" s="0" t="s">
        <v>1944</v>
      </c>
      <c r="C222" s="0" t="s">
        <v>1945</v>
      </c>
      <c r="E222" s="0" t="s">
        <v>1946</v>
      </c>
    </row>
    <row r="223" customFormat="false" ht="15" hidden="false" customHeight="false" outlineLevel="0" collapsed="false">
      <c r="A223" s="0" t="s">
        <v>10</v>
      </c>
      <c r="B223" s="0" t="s">
        <v>1947</v>
      </c>
      <c r="C223" s="0" t="s">
        <v>1948</v>
      </c>
      <c r="E223" s="0" t="s">
        <v>1949</v>
      </c>
    </row>
    <row r="224" customFormat="false" ht="15" hidden="false" customHeight="false" outlineLevel="0" collapsed="false">
      <c r="A224" s="0" t="s">
        <v>10</v>
      </c>
      <c r="B224" s="0" t="s">
        <v>1950</v>
      </c>
      <c r="C224" s="0" t="s">
        <v>1951</v>
      </c>
      <c r="E224" s="0" t="s">
        <v>1940</v>
      </c>
    </row>
    <row r="225" customFormat="false" ht="15" hidden="false" customHeight="false" outlineLevel="0" collapsed="false">
      <c r="A225" s="0" t="s">
        <v>10</v>
      </c>
      <c r="B225" s="0" t="s">
        <v>1952</v>
      </c>
      <c r="C225" s="0" t="s">
        <v>1953</v>
      </c>
      <c r="E225" s="0" t="s">
        <v>1943</v>
      </c>
    </row>
    <row r="226" customFormat="false" ht="15" hidden="false" customHeight="false" outlineLevel="0" collapsed="false">
      <c r="A226" s="0" t="s">
        <v>10</v>
      </c>
      <c r="B226" s="0" t="s">
        <v>1954</v>
      </c>
      <c r="C226" s="0" t="s">
        <v>1955</v>
      </c>
      <c r="E226" s="0" t="s">
        <v>1479</v>
      </c>
    </row>
    <row r="227" customFormat="false" ht="15" hidden="false" customHeight="false" outlineLevel="0" collapsed="false">
      <c r="A227" s="0" t="s">
        <v>10</v>
      </c>
      <c r="B227" s="0" t="s">
        <v>1956</v>
      </c>
      <c r="C227" s="0" t="s">
        <v>1957</v>
      </c>
      <c r="E227" s="0" t="s">
        <v>1479</v>
      </c>
    </row>
    <row r="228" customFormat="false" ht="15" hidden="false" customHeight="false" outlineLevel="0" collapsed="false">
      <c r="A228" s="0" t="s">
        <v>10</v>
      </c>
      <c r="B228" s="0" t="s">
        <v>1958</v>
      </c>
      <c r="C228" s="0" t="s">
        <v>1959</v>
      </c>
      <c r="E228" s="0" t="s">
        <v>1479</v>
      </c>
    </row>
    <row r="229" customFormat="false" ht="15" hidden="false" customHeight="false" outlineLevel="0" collapsed="false">
      <c r="A229" s="0" t="s">
        <v>10</v>
      </c>
      <c r="B229" s="0" t="s">
        <v>1960</v>
      </c>
      <c r="C229" s="0" t="s">
        <v>1961</v>
      </c>
      <c r="E229" s="0" t="s">
        <v>1479</v>
      </c>
    </row>
    <row r="230" customFormat="false" ht="15" hidden="false" customHeight="false" outlineLevel="0" collapsed="false">
      <c r="A230" s="0" t="s">
        <v>10</v>
      </c>
      <c r="B230" s="0" t="s">
        <v>1962</v>
      </c>
      <c r="C230" s="0" t="s">
        <v>1963</v>
      </c>
      <c r="E230" s="0" t="s">
        <v>1479</v>
      </c>
    </row>
    <row r="231" customFormat="false" ht="15" hidden="false" customHeight="false" outlineLevel="0" collapsed="false">
      <c r="A231" s="0" t="s">
        <v>10</v>
      </c>
      <c r="B231" s="0" t="s">
        <v>1964</v>
      </c>
      <c r="C231" s="0" t="s">
        <v>1965</v>
      </c>
      <c r="E231" s="0" t="s">
        <v>1479</v>
      </c>
    </row>
    <row r="232" customFormat="false" ht="15" hidden="false" customHeight="false" outlineLevel="0" collapsed="false">
      <c r="A232" s="0" t="s">
        <v>10</v>
      </c>
      <c r="B232" s="0" t="s">
        <v>1966</v>
      </c>
      <c r="C232" s="0" t="s">
        <v>1967</v>
      </c>
      <c r="E232" s="0" t="s">
        <v>1479</v>
      </c>
    </row>
    <row r="233" customFormat="false" ht="15" hidden="false" customHeight="false" outlineLevel="0" collapsed="false">
      <c r="A233" s="0" t="s">
        <v>10</v>
      </c>
      <c r="B233" s="0" t="s">
        <v>1578</v>
      </c>
      <c r="C233" s="0" t="s">
        <v>1968</v>
      </c>
      <c r="E233" s="0" t="s">
        <v>1479</v>
      </c>
    </row>
    <row r="234" customFormat="false" ht="15" hidden="false" customHeight="false" outlineLevel="0" collapsed="false">
      <c r="A234" s="0" t="s">
        <v>10</v>
      </c>
      <c r="B234" s="0" t="s">
        <v>1969</v>
      </c>
      <c r="C234" s="0" t="s">
        <v>1970</v>
      </c>
      <c r="E234" s="0" t="s">
        <v>1971</v>
      </c>
    </row>
    <row r="235" customFormat="false" ht="15" hidden="false" customHeight="false" outlineLevel="0" collapsed="false">
      <c r="A235" s="0" t="s">
        <v>10</v>
      </c>
      <c r="B235" s="0" t="s">
        <v>1972</v>
      </c>
      <c r="C235" s="0" t="s">
        <v>1973</v>
      </c>
      <c r="E235" s="0" t="s">
        <v>1974</v>
      </c>
    </row>
    <row r="236" customFormat="false" ht="15" hidden="false" customHeight="false" outlineLevel="0" collapsed="false">
      <c r="A236" s="0" t="s">
        <v>10</v>
      </c>
      <c r="B236" s="0" t="s">
        <v>1975</v>
      </c>
      <c r="C236" s="0" t="s">
        <v>1976</v>
      </c>
      <c r="E236" s="0" t="s">
        <v>1977</v>
      </c>
    </row>
    <row r="237" customFormat="false" ht="15" hidden="false" customHeight="false" outlineLevel="0" collapsed="false">
      <c r="A237" s="0" t="s">
        <v>10</v>
      </c>
      <c r="B237" s="0" t="s">
        <v>1634</v>
      </c>
      <c r="C237" s="0" t="s">
        <v>1978</v>
      </c>
      <c r="E237" s="0" t="s">
        <v>1979</v>
      </c>
    </row>
    <row r="238" customFormat="false" ht="15" hidden="false" customHeight="false" outlineLevel="0" collapsed="false">
      <c r="A238" s="0" t="s">
        <v>10</v>
      </c>
      <c r="B238" s="0" t="s">
        <v>1980</v>
      </c>
      <c r="C238" s="0" t="s">
        <v>1981</v>
      </c>
      <c r="E238" s="0" t="s">
        <v>1982</v>
      </c>
    </row>
    <row r="239" customFormat="false" ht="15" hidden="false" customHeight="false" outlineLevel="0" collapsed="false">
      <c r="A239" s="0" t="s">
        <v>10</v>
      </c>
      <c r="B239" s="0" t="s">
        <v>1983</v>
      </c>
      <c r="C239" s="0" t="s">
        <v>1984</v>
      </c>
      <c r="E239" s="0" t="s">
        <v>1985</v>
      </c>
    </row>
    <row r="240" customFormat="false" ht="15" hidden="false" customHeight="false" outlineLevel="0" collapsed="false">
      <c r="A240" s="0" t="s">
        <v>10</v>
      </c>
      <c r="B240" s="0" t="s">
        <v>1986</v>
      </c>
      <c r="C240" s="0" t="s">
        <v>1987</v>
      </c>
      <c r="E240" s="0" t="s">
        <v>1988</v>
      </c>
    </row>
    <row r="241" customFormat="false" ht="15" hidden="false" customHeight="false" outlineLevel="0" collapsed="false">
      <c r="A241" s="0" t="s">
        <v>10</v>
      </c>
      <c r="B241" s="0" t="s">
        <v>1649</v>
      </c>
      <c r="C241" s="0" t="s">
        <v>1989</v>
      </c>
      <c r="E241" s="0" t="s">
        <v>1990</v>
      </c>
    </row>
    <row r="242" customFormat="false" ht="15" hidden="false" customHeight="false" outlineLevel="0" collapsed="false">
      <c r="A242" s="0" t="s">
        <v>10</v>
      </c>
      <c r="B242" s="0" t="s">
        <v>1991</v>
      </c>
      <c r="C242" s="0" t="s">
        <v>1992</v>
      </c>
      <c r="E242" s="0" t="s">
        <v>1993</v>
      </c>
    </row>
    <row r="243" customFormat="false" ht="15" hidden="false" customHeight="false" outlineLevel="0" collapsed="false">
      <c r="A243" s="0" t="s">
        <v>10</v>
      </c>
      <c r="B243" s="0" t="s">
        <v>1994</v>
      </c>
      <c r="C243" s="0" t="s">
        <v>1995</v>
      </c>
      <c r="E243" s="0" t="s">
        <v>1996</v>
      </c>
    </row>
    <row r="244" customFormat="false" ht="15" hidden="false" customHeight="false" outlineLevel="0" collapsed="false">
      <c r="A244" s="0" t="s">
        <v>10</v>
      </c>
      <c r="B244" s="0" t="s">
        <v>1997</v>
      </c>
      <c r="C244" s="0" t="s">
        <v>1998</v>
      </c>
      <c r="E244" s="0" t="s">
        <v>1999</v>
      </c>
    </row>
    <row r="245" customFormat="false" ht="15" hidden="false" customHeight="false" outlineLevel="0" collapsed="false">
      <c r="A245" s="0" t="s">
        <v>10</v>
      </c>
      <c r="B245" s="0" t="s">
        <v>1661</v>
      </c>
      <c r="C245" s="0" t="s">
        <v>2000</v>
      </c>
      <c r="E245" s="0" t="s">
        <v>2001</v>
      </c>
    </row>
    <row r="246" customFormat="false" ht="15" hidden="false" customHeight="false" outlineLevel="0" collapsed="false">
      <c r="A246" s="0" t="s">
        <v>10</v>
      </c>
      <c r="B246" s="0" t="s">
        <v>2002</v>
      </c>
      <c r="C246" s="0" t="s">
        <v>2003</v>
      </c>
      <c r="E246" s="0" t="s">
        <v>2004</v>
      </c>
    </row>
    <row r="247" customFormat="false" ht="15" hidden="false" customHeight="false" outlineLevel="0" collapsed="false">
      <c r="A247" s="0" t="s">
        <v>10</v>
      </c>
      <c r="B247" s="0" t="s">
        <v>2005</v>
      </c>
      <c r="C247" s="0" t="s">
        <v>2006</v>
      </c>
      <c r="E247" s="0" t="s">
        <v>2007</v>
      </c>
    </row>
    <row r="248" customFormat="false" ht="15" hidden="false" customHeight="false" outlineLevel="0" collapsed="false">
      <c r="A248" s="0" t="s">
        <v>10</v>
      </c>
      <c r="B248" s="0" t="s">
        <v>2008</v>
      </c>
      <c r="C248" s="0" t="s">
        <v>2009</v>
      </c>
      <c r="E248" s="0" t="s">
        <v>1977</v>
      </c>
    </row>
    <row r="249" customFormat="false" ht="15" hidden="false" customHeight="false" outlineLevel="0" collapsed="false">
      <c r="A249" s="0" t="s">
        <v>10</v>
      </c>
      <c r="B249" s="0" t="s">
        <v>1673</v>
      </c>
      <c r="C249" s="0" t="s">
        <v>2010</v>
      </c>
      <c r="E249" s="0" t="s">
        <v>2011</v>
      </c>
    </row>
    <row r="250" customFormat="false" ht="15" hidden="false" customHeight="false" outlineLevel="0" collapsed="false">
      <c r="A250" s="0" t="s">
        <v>10</v>
      </c>
      <c r="B250" s="0" t="s">
        <v>2012</v>
      </c>
      <c r="C250" s="0" t="s">
        <v>2013</v>
      </c>
      <c r="E250" s="0" t="s">
        <v>1479</v>
      </c>
    </row>
    <row r="251" customFormat="false" ht="15" hidden="false" customHeight="false" outlineLevel="0" collapsed="false">
      <c r="A251" s="0" t="s">
        <v>10</v>
      </c>
      <c r="B251" s="0" t="s">
        <v>2014</v>
      </c>
      <c r="C251" s="0" t="s">
        <v>2015</v>
      </c>
      <c r="E251" s="0" t="s">
        <v>1479</v>
      </c>
    </row>
    <row r="252" customFormat="false" ht="15" hidden="false" customHeight="false" outlineLevel="0" collapsed="false">
      <c r="A252" s="0" t="s">
        <v>10</v>
      </c>
      <c r="B252" s="0" t="s">
        <v>2016</v>
      </c>
      <c r="C252" s="0" t="s">
        <v>2017</v>
      </c>
      <c r="E252" s="0" t="s">
        <v>1479</v>
      </c>
    </row>
    <row r="253" customFormat="false" ht="15" hidden="false" customHeight="false" outlineLevel="0" collapsed="false">
      <c r="A253" s="0" t="s">
        <v>10</v>
      </c>
      <c r="B253" s="0" t="s">
        <v>1685</v>
      </c>
      <c r="C253" s="0" t="s">
        <v>2018</v>
      </c>
      <c r="E253" s="0" t="s">
        <v>1479</v>
      </c>
    </row>
    <row r="254" customFormat="false" ht="15" hidden="false" customHeight="false" outlineLevel="0" collapsed="false">
      <c r="A254" s="0" t="s">
        <v>10</v>
      </c>
      <c r="B254" s="0" t="s">
        <v>2019</v>
      </c>
      <c r="C254" s="0" t="s">
        <v>2020</v>
      </c>
      <c r="E254" s="0" t="s">
        <v>1879</v>
      </c>
    </row>
    <row r="255" customFormat="false" ht="15" hidden="false" customHeight="false" outlineLevel="0" collapsed="false">
      <c r="A255" s="0" t="s">
        <v>10</v>
      </c>
      <c r="B255" s="0" t="s">
        <v>1697</v>
      </c>
      <c r="C255" s="0" t="s">
        <v>2021</v>
      </c>
      <c r="E255" s="0" t="s">
        <v>2022</v>
      </c>
    </row>
    <row r="256" customFormat="false" ht="15" hidden="false" customHeight="false" outlineLevel="0" collapsed="false">
      <c r="A256" s="0" t="s">
        <v>10</v>
      </c>
      <c r="B256" s="0" t="s">
        <v>2023</v>
      </c>
      <c r="C256" s="0" t="s">
        <v>2024</v>
      </c>
      <c r="E256" s="0" t="s">
        <v>2025</v>
      </c>
    </row>
    <row r="257" customFormat="false" ht="15" hidden="false" customHeight="false" outlineLevel="0" collapsed="false">
      <c r="A257" s="0" t="s">
        <v>10</v>
      </c>
      <c r="B257" s="0" t="s">
        <v>1716</v>
      </c>
      <c r="C257" s="0" t="s">
        <v>2026</v>
      </c>
      <c r="E257" s="0" t="s">
        <v>1949</v>
      </c>
    </row>
    <row r="258" customFormat="false" ht="15" hidden="false" customHeight="false" outlineLevel="0" collapsed="false">
      <c r="A258" s="0" t="s">
        <v>10</v>
      </c>
      <c r="B258" s="0" t="s">
        <v>2027</v>
      </c>
      <c r="C258" s="0" t="s">
        <v>2028</v>
      </c>
      <c r="E258" s="0" t="s">
        <v>2029</v>
      </c>
    </row>
    <row r="259" customFormat="false" ht="15" hidden="false" customHeight="false" outlineLevel="0" collapsed="false">
      <c r="A259" s="0" t="s">
        <v>10</v>
      </c>
      <c r="B259" s="0" t="s">
        <v>1732</v>
      </c>
      <c r="C259" s="0" t="s">
        <v>2030</v>
      </c>
      <c r="E259" s="0" t="s">
        <v>2031</v>
      </c>
    </row>
    <row r="260" customFormat="false" ht="15" hidden="false" customHeight="false" outlineLevel="0" collapsed="false">
      <c r="A260" s="0" t="s">
        <v>10</v>
      </c>
      <c r="B260" s="0" t="s">
        <v>2032</v>
      </c>
      <c r="C260" s="0" t="s">
        <v>2033</v>
      </c>
      <c r="E260" s="0" t="s">
        <v>2034</v>
      </c>
    </row>
    <row r="261" customFormat="false" ht="15" hidden="false" customHeight="false" outlineLevel="0" collapsed="false">
      <c r="A261" s="0" t="s">
        <v>10</v>
      </c>
      <c r="B261" s="0" t="s">
        <v>1748</v>
      </c>
      <c r="C261" s="0" t="s">
        <v>2035</v>
      </c>
      <c r="E261" s="0" t="s">
        <v>2036</v>
      </c>
    </row>
    <row r="262" customFormat="false" ht="15" hidden="false" customHeight="false" outlineLevel="0" collapsed="false">
      <c r="A262" s="0" t="s">
        <v>10</v>
      </c>
      <c r="B262" s="0" t="s">
        <v>2037</v>
      </c>
      <c r="C262" s="0" t="s">
        <v>2038</v>
      </c>
      <c r="E262" s="0" t="s">
        <v>2039</v>
      </c>
    </row>
    <row r="263" customFormat="false" ht="15" hidden="false" customHeight="false" outlineLevel="0" collapsed="false">
      <c r="A263" s="0" t="s">
        <v>10</v>
      </c>
      <c r="B263" s="0" t="s">
        <v>1764</v>
      </c>
      <c r="C263" s="0" t="s">
        <v>2040</v>
      </c>
      <c r="E263" s="0" t="s">
        <v>2041</v>
      </c>
    </row>
    <row r="264" customFormat="false" ht="15" hidden="false" customHeight="false" outlineLevel="0" collapsed="false">
      <c r="A264" s="0" t="s">
        <v>10</v>
      </c>
      <c r="B264" s="0" t="s">
        <v>2042</v>
      </c>
      <c r="C264" s="0" t="s">
        <v>2043</v>
      </c>
      <c r="E264" s="0" t="s">
        <v>2044</v>
      </c>
    </row>
    <row r="265" customFormat="false" ht="15" hidden="false" customHeight="false" outlineLevel="0" collapsed="false">
      <c r="A265" s="0" t="s">
        <v>10</v>
      </c>
      <c r="B265" s="0" t="s">
        <v>1780</v>
      </c>
      <c r="C265" s="0" t="s">
        <v>2045</v>
      </c>
      <c r="E265" s="0" t="s">
        <v>2046</v>
      </c>
    </row>
    <row r="266" customFormat="false" ht="15" hidden="false" customHeight="false" outlineLevel="0" collapsed="false">
      <c r="A266" s="0" t="s">
        <v>10</v>
      </c>
      <c r="B266" s="0" t="s">
        <v>2047</v>
      </c>
      <c r="C266" s="0" t="s">
        <v>2048</v>
      </c>
      <c r="E266" s="0" t="s">
        <v>1479</v>
      </c>
    </row>
    <row r="267" customFormat="false" ht="15" hidden="false" customHeight="false" outlineLevel="0" collapsed="false">
      <c r="A267" s="0" t="s">
        <v>10</v>
      </c>
      <c r="B267" s="0" t="s">
        <v>1796</v>
      </c>
      <c r="C267" s="0" t="s">
        <v>2049</v>
      </c>
      <c r="E267" s="0" t="s">
        <v>1479</v>
      </c>
    </row>
    <row r="268" customFormat="false" ht="15" hidden="false" customHeight="false" outlineLevel="0" collapsed="false">
      <c r="A268" s="0" t="s">
        <v>10</v>
      </c>
      <c r="B268" s="0" t="s">
        <v>2050</v>
      </c>
      <c r="C268" s="0" t="s">
        <v>2051</v>
      </c>
      <c r="E268" s="0" t="s">
        <v>1479</v>
      </c>
    </row>
    <row r="269" customFormat="false" ht="15" hidden="false" customHeight="false" outlineLevel="0" collapsed="false">
      <c r="A269" s="0" t="s">
        <v>10</v>
      </c>
      <c r="B269" s="0" t="s">
        <v>1812</v>
      </c>
      <c r="C269" s="0" t="s">
        <v>2052</v>
      </c>
      <c r="E269" s="0" t="s">
        <v>1479</v>
      </c>
    </row>
    <row r="270" customFormat="false" ht="15" hidden="false" customHeight="false" outlineLevel="0" collapsed="false">
      <c r="A270" s="0" t="s">
        <v>10</v>
      </c>
      <c r="B270" s="0" t="s">
        <v>2053</v>
      </c>
      <c r="C270" s="0" t="s">
        <v>2054</v>
      </c>
      <c r="E270" s="0" t="s">
        <v>2055</v>
      </c>
    </row>
    <row r="271" customFormat="false" ht="15" hidden="false" customHeight="false" outlineLevel="0" collapsed="false">
      <c r="A271" s="0" t="s">
        <v>10</v>
      </c>
      <c r="B271" s="0" t="s">
        <v>1828</v>
      </c>
      <c r="C271" s="0" t="s">
        <v>2056</v>
      </c>
      <c r="E271" s="0" t="s">
        <v>2057</v>
      </c>
    </row>
    <row r="272" customFormat="false" ht="15" hidden="false" customHeight="false" outlineLevel="0" collapsed="false">
      <c r="A272" s="0" t="s">
        <v>10</v>
      </c>
      <c r="B272" s="0" t="s">
        <v>2058</v>
      </c>
      <c r="C272" s="0" t="s">
        <v>2059</v>
      </c>
      <c r="E272" s="0" t="s">
        <v>2060</v>
      </c>
    </row>
    <row r="273" customFormat="false" ht="15" hidden="false" customHeight="false" outlineLevel="0" collapsed="false">
      <c r="A273" s="0" t="s">
        <v>10</v>
      </c>
      <c r="B273" s="0" t="s">
        <v>2061</v>
      </c>
      <c r="C273" s="0" t="s">
        <v>2062</v>
      </c>
      <c r="E273" s="0" t="s">
        <v>2063</v>
      </c>
    </row>
    <row r="274" customFormat="false" ht="15" hidden="false" customHeight="false" outlineLevel="0" collapsed="false">
      <c r="A274" s="0" t="s">
        <v>10</v>
      </c>
      <c r="B274" s="0" t="s">
        <v>1837</v>
      </c>
      <c r="C274" s="0" t="s">
        <v>2064</v>
      </c>
      <c r="E274" s="0" t="s">
        <v>2065</v>
      </c>
    </row>
    <row r="275" customFormat="false" ht="15" hidden="false" customHeight="false" outlineLevel="0" collapsed="false">
      <c r="A275" s="0" t="s">
        <v>10</v>
      </c>
      <c r="B275" s="0" t="s">
        <v>2066</v>
      </c>
      <c r="C275" s="0" t="s">
        <v>2067</v>
      </c>
      <c r="E275" s="0" t="s">
        <v>2068</v>
      </c>
    </row>
    <row r="276" customFormat="false" ht="15" hidden="false" customHeight="false" outlineLevel="0" collapsed="false">
      <c r="A276" s="0" t="s">
        <v>10</v>
      </c>
      <c r="B276" s="0" t="s">
        <v>2069</v>
      </c>
      <c r="C276" s="0" t="s">
        <v>2070</v>
      </c>
      <c r="E276" s="0" t="s">
        <v>2071</v>
      </c>
    </row>
    <row r="277" customFormat="false" ht="15" hidden="false" customHeight="false" outlineLevel="0" collapsed="false">
      <c r="A277" s="0" t="s">
        <v>10</v>
      </c>
      <c r="B277" s="0" t="s">
        <v>1846</v>
      </c>
      <c r="C277" s="0" t="s">
        <v>2072</v>
      </c>
      <c r="E277" s="0" t="s">
        <v>2073</v>
      </c>
    </row>
    <row r="278" customFormat="false" ht="15" hidden="false" customHeight="false" outlineLevel="0" collapsed="false">
      <c r="A278" s="0" t="s">
        <v>10</v>
      </c>
      <c r="B278" s="0" t="s">
        <v>2074</v>
      </c>
      <c r="C278" s="0" t="s">
        <v>2075</v>
      </c>
      <c r="E278" s="0" t="s">
        <v>2076</v>
      </c>
    </row>
    <row r="279" customFormat="false" ht="15" hidden="false" customHeight="false" outlineLevel="0" collapsed="false">
      <c r="A279" s="0" t="s">
        <v>10</v>
      </c>
      <c r="B279" s="0" t="s">
        <v>2077</v>
      </c>
      <c r="C279" s="0" t="s">
        <v>2078</v>
      </c>
      <c r="E279" s="0" t="s">
        <v>2079</v>
      </c>
    </row>
    <row r="280" customFormat="false" ht="15" hidden="false" customHeight="false" outlineLevel="0" collapsed="false">
      <c r="A280" s="0" t="s">
        <v>10</v>
      </c>
      <c r="B280" s="0" t="s">
        <v>1852</v>
      </c>
      <c r="C280" s="0" t="s">
        <v>2080</v>
      </c>
      <c r="E280" s="0" t="s">
        <v>2081</v>
      </c>
    </row>
    <row r="281" customFormat="false" ht="15" hidden="false" customHeight="false" outlineLevel="0" collapsed="false">
      <c r="A281" s="0" t="s">
        <v>10</v>
      </c>
      <c r="B281" s="0" t="s">
        <v>2082</v>
      </c>
      <c r="C281" s="0" t="s">
        <v>2083</v>
      </c>
      <c r="E281" s="0" t="s">
        <v>2084</v>
      </c>
    </row>
    <row r="282" customFormat="false" ht="15" hidden="false" customHeight="false" outlineLevel="0" collapsed="false">
      <c r="A282" s="0" t="s">
        <v>10</v>
      </c>
      <c r="B282" s="0" t="s">
        <v>2085</v>
      </c>
      <c r="C282" s="0" t="s">
        <v>2086</v>
      </c>
      <c r="E282" s="0" t="s">
        <v>1479</v>
      </c>
    </row>
    <row r="283" customFormat="false" ht="15" hidden="false" customHeight="false" outlineLevel="0" collapsed="false">
      <c r="A283" s="0" t="s">
        <v>10</v>
      </c>
      <c r="B283" s="0" t="s">
        <v>1858</v>
      </c>
      <c r="C283" s="0" t="s">
        <v>2087</v>
      </c>
      <c r="E283" s="0" t="s">
        <v>1479</v>
      </c>
    </row>
    <row r="284" customFormat="false" ht="15" hidden="false" customHeight="false" outlineLevel="0" collapsed="false">
      <c r="A284" s="0" t="s">
        <v>10</v>
      </c>
      <c r="B284" s="0" t="s">
        <v>2088</v>
      </c>
      <c r="C284" s="0" t="s">
        <v>2089</v>
      </c>
      <c r="E284" s="0" t="s">
        <v>1479</v>
      </c>
    </row>
    <row r="285" customFormat="false" ht="15" hidden="false" customHeight="false" outlineLevel="0" collapsed="false">
      <c r="A285" s="0" t="s">
        <v>10</v>
      </c>
      <c r="B285" s="0" t="s">
        <v>2090</v>
      </c>
      <c r="C285" s="0" t="s">
        <v>2091</v>
      </c>
      <c r="E285" s="0" t="s">
        <v>1479</v>
      </c>
    </row>
    <row r="286" customFormat="false" ht="15" hidden="false" customHeight="false" outlineLevel="0" collapsed="false">
      <c r="A286" s="0" t="s">
        <v>10</v>
      </c>
      <c r="B286" s="0" t="s">
        <v>2092</v>
      </c>
      <c r="C286" s="0" t="s">
        <v>2093</v>
      </c>
      <c r="E286" s="0" t="s">
        <v>1479</v>
      </c>
    </row>
    <row r="287" customFormat="false" ht="15" hidden="false" customHeight="false" outlineLevel="0" collapsed="false">
      <c r="A287" s="0" t="s">
        <v>10</v>
      </c>
      <c r="B287" s="0" t="s">
        <v>2094</v>
      </c>
      <c r="C287" s="0" t="s">
        <v>2095</v>
      </c>
      <c r="E287" s="0" t="s">
        <v>1479</v>
      </c>
    </row>
    <row r="288" customFormat="false" ht="15" hidden="false" customHeight="false" outlineLevel="0" collapsed="false">
      <c r="A288" s="0" t="s">
        <v>10</v>
      </c>
      <c r="B288" s="0" t="s">
        <v>2096</v>
      </c>
      <c r="C288" s="0" t="s">
        <v>2097</v>
      </c>
      <c r="E288" s="0" t="s">
        <v>1479</v>
      </c>
    </row>
    <row r="289" customFormat="false" ht="15" hidden="false" customHeight="false" outlineLevel="0" collapsed="false">
      <c r="A289" s="0" t="s">
        <v>10</v>
      </c>
      <c r="B289" s="0" t="s">
        <v>2098</v>
      </c>
      <c r="C289" s="0" t="s">
        <v>2099</v>
      </c>
      <c r="E289" s="0" t="s">
        <v>1479</v>
      </c>
    </row>
    <row r="290" customFormat="false" ht="15" hidden="false" customHeight="false" outlineLevel="0" collapsed="false">
      <c r="A290" s="0" t="s">
        <v>10</v>
      </c>
      <c r="B290" s="0" t="s">
        <v>2100</v>
      </c>
      <c r="C290" s="0" t="s">
        <v>2101</v>
      </c>
      <c r="E290" s="0" t="s">
        <v>1479</v>
      </c>
    </row>
    <row r="291" customFormat="false" ht="15" hidden="false" customHeight="false" outlineLevel="0" collapsed="false">
      <c r="A291" s="0" t="s">
        <v>10</v>
      </c>
      <c r="B291" s="0" t="s">
        <v>2102</v>
      </c>
      <c r="C291" s="0" t="s">
        <v>2103</v>
      </c>
      <c r="E291" s="0" t="s">
        <v>1479</v>
      </c>
    </row>
    <row r="292" customFormat="false" ht="15" hidden="false" customHeight="false" outlineLevel="0" collapsed="false">
      <c r="A292" s="0" t="s">
        <v>10</v>
      </c>
      <c r="B292" s="0" t="s">
        <v>2104</v>
      </c>
      <c r="C292" s="0" t="s">
        <v>2105</v>
      </c>
      <c r="E292" s="0" t="s">
        <v>1479</v>
      </c>
    </row>
    <row r="293" customFormat="false" ht="15" hidden="false" customHeight="false" outlineLevel="0" collapsed="false">
      <c r="A293" s="0" t="s">
        <v>10</v>
      </c>
      <c r="B293" s="0" t="s">
        <v>2106</v>
      </c>
      <c r="C293" s="0" t="s">
        <v>2107</v>
      </c>
      <c r="E293" s="0" t="s">
        <v>1479</v>
      </c>
    </row>
    <row r="294" customFormat="false" ht="15" hidden="false" customHeight="false" outlineLevel="0" collapsed="false">
      <c r="A294" s="0" t="s">
        <v>10</v>
      </c>
      <c r="B294" s="0" t="s">
        <v>2108</v>
      </c>
      <c r="C294" s="0" t="s">
        <v>2109</v>
      </c>
      <c r="E294" s="0" t="s">
        <v>2110</v>
      </c>
    </row>
    <row r="295" customFormat="false" ht="15" hidden="false" customHeight="false" outlineLevel="0" collapsed="false">
      <c r="A295" s="0" t="s">
        <v>10</v>
      </c>
      <c r="B295" s="0" t="s">
        <v>2111</v>
      </c>
      <c r="C295" s="0" t="s">
        <v>2112</v>
      </c>
      <c r="E295" s="0" t="s">
        <v>2113</v>
      </c>
    </row>
    <row r="296" customFormat="false" ht="15" hidden="false" customHeight="false" outlineLevel="0" collapsed="false">
      <c r="A296" s="0" t="s">
        <v>12</v>
      </c>
      <c r="B296" s="0" t="s">
        <v>509</v>
      </c>
      <c r="C296" s="0" t="s">
        <v>2114</v>
      </c>
      <c r="E296" s="0" t="s">
        <v>1879</v>
      </c>
    </row>
    <row r="297" customFormat="false" ht="15" hidden="false" customHeight="false" outlineLevel="0" collapsed="false">
      <c r="A297" s="0" t="s">
        <v>12</v>
      </c>
      <c r="B297" s="0" t="s">
        <v>1867</v>
      </c>
      <c r="C297" s="0" t="s">
        <v>2115</v>
      </c>
      <c r="E297" s="0" t="s">
        <v>2116</v>
      </c>
    </row>
    <row r="298" customFormat="false" ht="15" hidden="false" customHeight="false" outlineLevel="0" collapsed="false">
      <c r="A298" s="0" t="s">
        <v>12</v>
      </c>
      <c r="B298" s="0" t="s">
        <v>2117</v>
      </c>
      <c r="C298" s="0" t="s">
        <v>2118</v>
      </c>
      <c r="E298" s="0" t="s">
        <v>2119</v>
      </c>
    </row>
    <row r="299" customFormat="false" ht="15" hidden="false" customHeight="false" outlineLevel="0" collapsed="false">
      <c r="A299" s="0" t="s">
        <v>12</v>
      </c>
      <c r="B299" s="0" t="s">
        <v>2120</v>
      </c>
      <c r="C299" s="0" t="s">
        <v>2121</v>
      </c>
      <c r="E299" s="0" t="s">
        <v>2122</v>
      </c>
    </row>
    <row r="300" customFormat="false" ht="15" hidden="false" customHeight="false" outlineLevel="0" collapsed="false">
      <c r="A300" s="0" t="s">
        <v>12</v>
      </c>
      <c r="B300" s="0" t="s">
        <v>2123</v>
      </c>
      <c r="C300" s="0" t="s">
        <v>2124</v>
      </c>
      <c r="E300" s="0" t="s">
        <v>2125</v>
      </c>
    </row>
    <row r="301" customFormat="false" ht="15" hidden="false" customHeight="false" outlineLevel="0" collapsed="false">
      <c r="A301" s="0" t="s">
        <v>12</v>
      </c>
      <c r="B301" s="0" t="s">
        <v>2126</v>
      </c>
      <c r="C301" s="0" t="s">
        <v>2127</v>
      </c>
      <c r="E301" s="0" t="s">
        <v>2128</v>
      </c>
    </row>
    <row r="302" customFormat="false" ht="15" hidden="false" customHeight="false" outlineLevel="0" collapsed="false">
      <c r="A302" s="0" t="s">
        <v>12</v>
      </c>
      <c r="B302" s="0" t="s">
        <v>2129</v>
      </c>
      <c r="C302" s="0" t="s">
        <v>2130</v>
      </c>
      <c r="E302" s="0" t="s">
        <v>2036</v>
      </c>
    </row>
    <row r="303" customFormat="false" ht="15" hidden="false" customHeight="false" outlineLevel="0" collapsed="false">
      <c r="A303" s="0" t="s">
        <v>12</v>
      </c>
      <c r="B303" s="0" t="s">
        <v>2131</v>
      </c>
      <c r="C303" s="0" t="s">
        <v>2132</v>
      </c>
      <c r="E303" s="0" t="s">
        <v>2133</v>
      </c>
    </row>
    <row r="304" customFormat="false" ht="15" hidden="false" customHeight="false" outlineLevel="0" collapsed="false">
      <c r="A304" s="0" t="s">
        <v>12</v>
      </c>
      <c r="B304" s="0" t="s">
        <v>2134</v>
      </c>
      <c r="C304" s="0" t="s">
        <v>2135</v>
      </c>
      <c r="E304" s="0" t="s">
        <v>2136</v>
      </c>
    </row>
    <row r="305" customFormat="false" ht="15" hidden="false" customHeight="false" outlineLevel="0" collapsed="false">
      <c r="A305" s="0" t="s">
        <v>12</v>
      </c>
      <c r="B305" s="0" t="s">
        <v>2137</v>
      </c>
      <c r="C305" s="0" t="s">
        <v>2138</v>
      </c>
      <c r="E305" s="0" t="s">
        <v>2139</v>
      </c>
    </row>
    <row r="306" customFormat="false" ht="15" hidden="false" customHeight="false" outlineLevel="0" collapsed="false">
      <c r="A306" s="0" t="s">
        <v>12</v>
      </c>
      <c r="B306" s="0" t="s">
        <v>2140</v>
      </c>
      <c r="C306" s="0" t="s">
        <v>2141</v>
      </c>
      <c r="E306" s="0" t="s">
        <v>2136</v>
      </c>
    </row>
    <row r="307" customFormat="false" ht="15" hidden="false" customHeight="false" outlineLevel="0" collapsed="false">
      <c r="A307" s="0" t="s">
        <v>12</v>
      </c>
      <c r="B307" s="0" t="s">
        <v>2142</v>
      </c>
      <c r="C307" s="0" t="s">
        <v>2143</v>
      </c>
      <c r="E307" s="0" t="s">
        <v>2144</v>
      </c>
    </row>
    <row r="308" customFormat="false" ht="15" hidden="false" customHeight="false" outlineLevel="0" collapsed="false">
      <c r="A308" s="0" t="s">
        <v>12</v>
      </c>
      <c r="B308" s="0" t="s">
        <v>2145</v>
      </c>
      <c r="C308" s="0" t="s">
        <v>2146</v>
      </c>
      <c r="E308" s="0" t="s">
        <v>2025</v>
      </c>
    </row>
    <row r="309" customFormat="false" ht="15" hidden="false" customHeight="false" outlineLevel="0" collapsed="false">
      <c r="A309" s="0" t="s">
        <v>12</v>
      </c>
      <c r="B309" s="0" t="s">
        <v>1870</v>
      </c>
      <c r="C309" s="0" t="s">
        <v>2147</v>
      </c>
      <c r="E309" s="0" t="s">
        <v>2116</v>
      </c>
    </row>
    <row r="310" customFormat="false" ht="15" hidden="false" customHeight="false" outlineLevel="0" collapsed="false">
      <c r="A310" s="0" t="s">
        <v>12</v>
      </c>
      <c r="B310" s="0" t="s">
        <v>2148</v>
      </c>
      <c r="C310" s="0" t="s">
        <v>2149</v>
      </c>
      <c r="E310" s="0" t="s">
        <v>2119</v>
      </c>
    </row>
    <row r="311" customFormat="false" ht="15" hidden="false" customHeight="false" outlineLevel="0" collapsed="false">
      <c r="A311" s="0" t="s">
        <v>12</v>
      </c>
      <c r="B311" s="0" t="s">
        <v>2150</v>
      </c>
      <c r="C311" s="0" t="s">
        <v>2151</v>
      </c>
      <c r="E311" s="0" t="s">
        <v>2152</v>
      </c>
    </row>
    <row r="312" customFormat="false" ht="15" hidden="false" customHeight="false" outlineLevel="0" collapsed="false">
      <c r="A312" s="0" t="s">
        <v>12</v>
      </c>
      <c r="B312" s="0" t="s">
        <v>2153</v>
      </c>
      <c r="C312" s="0" t="s">
        <v>2154</v>
      </c>
      <c r="E312" s="0" t="s">
        <v>1996</v>
      </c>
    </row>
    <row r="313" customFormat="false" ht="15" hidden="false" customHeight="false" outlineLevel="0" collapsed="false">
      <c r="A313" s="0" t="s">
        <v>12</v>
      </c>
      <c r="B313" s="0" t="s">
        <v>2155</v>
      </c>
      <c r="C313" s="0" t="s">
        <v>2156</v>
      </c>
      <c r="E313" s="0" t="s">
        <v>2036</v>
      </c>
    </row>
    <row r="314" customFormat="false" ht="15" hidden="false" customHeight="false" outlineLevel="0" collapsed="false">
      <c r="A314" s="0" t="s">
        <v>12</v>
      </c>
      <c r="B314" s="0" t="s">
        <v>2157</v>
      </c>
      <c r="C314" s="0" t="s">
        <v>2158</v>
      </c>
      <c r="E314" s="0" t="s">
        <v>2159</v>
      </c>
    </row>
    <row r="315" customFormat="false" ht="15" hidden="false" customHeight="false" outlineLevel="0" collapsed="false">
      <c r="A315" s="0" t="s">
        <v>12</v>
      </c>
      <c r="B315" s="0" t="s">
        <v>2160</v>
      </c>
      <c r="C315" s="0" t="s">
        <v>2161</v>
      </c>
      <c r="E315" s="0" t="s">
        <v>2136</v>
      </c>
    </row>
    <row r="316" customFormat="false" ht="15" hidden="false" customHeight="false" outlineLevel="0" collapsed="false">
      <c r="A316" s="0" t="s">
        <v>12</v>
      </c>
      <c r="B316" s="0" t="s">
        <v>2162</v>
      </c>
      <c r="C316" s="0" t="s">
        <v>2163</v>
      </c>
      <c r="E316" s="0" t="s">
        <v>2136</v>
      </c>
    </row>
    <row r="317" customFormat="false" ht="15" hidden="false" customHeight="false" outlineLevel="0" collapsed="false">
      <c r="A317" s="0" t="s">
        <v>12</v>
      </c>
      <c r="B317" s="0" t="s">
        <v>2164</v>
      </c>
      <c r="C317" s="0" t="s">
        <v>2165</v>
      </c>
      <c r="E317" s="0" t="s">
        <v>2139</v>
      </c>
    </row>
    <row r="318" customFormat="false" ht="15" hidden="false" customHeight="false" outlineLevel="0" collapsed="false">
      <c r="A318" s="0" t="s">
        <v>12</v>
      </c>
      <c r="B318" s="0" t="s">
        <v>2166</v>
      </c>
      <c r="C318" s="0" t="s">
        <v>2167</v>
      </c>
      <c r="E318" s="0" t="s">
        <v>2139</v>
      </c>
    </row>
    <row r="319" customFormat="false" ht="15" hidden="false" customHeight="false" outlineLevel="0" collapsed="false">
      <c r="A319" s="0" t="s">
        <v>12</v>
      </c>
      <c r="B319" s="0" t="s">
        <v>2168</v>
      </c>
      <c r="C319" s="0" t="s">
        <v>2169</v>
      </c>
      <c r="E319" s="0" t="s">
        <v>2170</v>
      </c>
    </row>
    <row r="320" customFormat="false" ht="15" hidden="false" customHeight="false" outlineLevel="0" collapsed="false">
      <c r="A320" s="0" t="s">
        <v>12</v>
      </c>
      <c r="B320" s="0" t="s">
        <v>2171</v>
      </c>
      <c r="C320" s="0" t="s">
        <v>2172</v>
      </c>
      <c r="E320" s="0" t="s">
        <v>2034</v>
      </c>
    </row>
    <row r="321" customFormat="false" ht="15" hidden="false" customHeight="false" outlineLevel="0" collapsed="false">
      <c r="A321" s="0" t="s">
        <v>12</v>
      </c>
      <c r="B321" s="0" t="s">
        <v>1471</v>
      </c>
      <c r="C321" s="0" t="s">
        <v>2173</v>
      </c>
      <c r="E321" s="0" t="s">
        <v>2116</v>
      </c>
    </row>
    <row r="322" customFormat="false" ht="15" hidden="false" customHeight="false" outlineLevel="0" collapsed="false">
      <c r="A322" s="0" t="s">
        <v>12</v>
      </c>
      <c r="B322" s="0" t="s">
        <v>2174</v>
      </c>
      <c r="C322" s="0" t="s">
        <v>2175</v>
      </c>
      <c r="E322" s="0" t="s">
        <v>2119</v>
      </c>
    </row>
    <row r="323" customFormat="false" ht="15" hidden="false" customHeight="false" outlineLevel="0" collapsed="false">
      <c r="A323" s="0" t="s">
        <v>12</v>
      </c>
      <c r="B323" s="0" t="s">
        <v>1474</v>
      </c>
      <c r="C323" s="0" t="s">
        <v>2176</v>
      </c>
      <c r="E323" s="0" t="s">
        <v>2177</v>
      </c>
    </row>
    <row r="324" customFormat="false" ht="15" hidden="false" customHeight="false" outlineLevel="0" collapsed="false">
      <c r="A324" s="0" t="s">
        <v>12</v>
      </c>
      <c r="B324" s="0" t="s">
        <v>1477</v>
      </c>
      <c r="C324" s="0" t="s">
        <v>2178</v>
      </c>
      <c r="E324" s="0" t="s">
        <v>1996</v>
      </c>
    </row>
    <row r="325" customFormat="false" ht="15" hidden="false" customHeight="false" outlineLevel="0" collapsed="false">
      <c r="A325" s="0" t="s">
        <v>12</v>
      </c>
      <c r="B325" s="0" t="s">
        <v>2179</v>
      </c>
      <c r="C325" s="0" t="s">
        <v>2180</v>
      </c>
      <c r="E325" s="0" t="s">
        <v>2128</v>
      </c>
    </row>
    <row r="326" customFormat="false" ht="15" hidden="false" customHeight="false" outlineLevel="0" collapsed="false">
      <c r="A326" s="0" t="s">
        <v>12</v>
      </c>
      <c r="B326" s="0" t="s">
        <v>2181</v>
      </c>
      <c r="C326" s="0" t="s">
        <v>2182</v>
      </c>
      <c r="E326" s="0" t="s">
        <v>2128</v>
      </c>
    </row>
    <row r="327" customFormat="false" ht="15" hidden="false" customHeight="false" outlineLevel="0" collapsed="false">
      <c r="A327" s="0" t="s">
        <v>12</v>
      </c>
      <c r="B327" s="0" t="s">
        <v>2183</v>
      </c>
      <c r="C327" s="0" t="s">
        <v>2184</v>
      </c>
      <c r="E327" s="0" t="s">
        <v>2133</v>
      </c>
    </row>
    <row r="328" customFormat="false" ht="15" hidden="false" customHeight="false" outlineLevel="0" collapsed="false">
      <c r="A328" s="0" t="s">
        <v>12</v>
      </c>
      <c r="B328" s="0" t="s">
        <v>2185</v>
      </c>
      <c r="C328" s="0" t="s">
        <v>2186</v>
      </c>
      <c r="E328" s="0" t="s">
        <v>2136</v>
      </c>
    </row>
    <row r="329" customFormat="false" ht="15" hidden="false" customHeight="false" outlineLevel="0" collapsed="false">
      <c r="A329" s="0" t="s">
        <v>12</v>
      </c>
      <c r="B329" s="0" t="s">
        <v>2187</v>
      </c>
      <c r="C329" s="0" t="s">
        <v>2188</v>
      </c>
      <c r="E329" s="0" t="s">
        <v>2139</v>
      </c>
    </row>
    <row r="330" customFormat="false" ht="15" hidden="false" customHeight="false" outlineLevel="0" collapsed="false">
      <c r="A330" s="0" t="s">
        <v>12</v>
      </c>
      <c r="B330" s="0" t="s">
        <v>2189</v>
      </c>
      <c r="C330" s="0" t="s">
        <v>2190</v>
      </c>
      <c r="E330" s="0" t="s">
        <v>2139</v>
      </c>
    </row>
    <row r="331" customFormat="false" ht="15" hidden="false" customHeight="false" outlineLevel="0" collapsed="false">
      <c r="A331" s="0" t="s">
        <v>12</v>
      </c>
      <c r="B331" s="0" t="s">
        <v>2191</v>
      </c>
      <c r="C331" s="0" t="s">
        <v>2192</v>
      </c>
      <c r="E331" s="0" t="s">
        <v>2193</v>
      </c>
    </row>
    <row r="332" customFormat="false" ht="15" hidden="false" customHeight="false" outlineLevel="0" collapsed="false">
      <c r="A332" s="0" t="s">
        <v>12</v>
      </c>
      <c r="B332" s="0" t="s">
        <v>2194</v>
      </c>
      <c r="C332" s="0" t="s">
        <v>2195</v>
      </c>
      <c r="E332" s="0" t="s">
        <v>2029</v>
      </c>
    </row>
    <row r="333" customFormat="false" ht="15" hidden="false" customHeight="false" outlineLevel="0" collapsed="false">
      <c r="A333" s="0" t="s">
        <v>12</v>
      </c>
      <c r="B333" s="0" t="s">
        <v>1480</v>
      </c>
      <c r="C333" s="0" t="s">
        <v>2196</v>
      </c>
      <c r="E333" s="0" t="s">
        <v>2116</v>
      </c>
    </row>
    <row r="334" customFormat="false" ht="15" hidden="false" customHeight="false" outlineLevel="0" collapsed="false">
      <c r="A334" s="0" t="s">
        <v>12</v>
      </c>
      <c r="B334" s="0" t="s">
        <v>2197</v>
      </c>
      <c r="C334" s="0" t="s">
        <v>2198</v>
      </c>
      <c r="E334" s="0" t="s">
        <v>2119</v>
      </c>
    </row>
    <row r="335" customFormat="false" ht="15" hidden="false" customHeight="false" outlineLevel="0" collapsed="false">
      <c r="A335" s="0" t="s">
        <v>12</v>
      </c>
      <c r="B335" s="0" t="s">
        <v>1483</v>
      </c>
      <c r="C335" s="0" t="s">
        <v>2199</v>
      </c>
      <c r="E335" s="0" t="s">
        <v>2200</v>
      </c>
    </row>
    <row r="336" customFormat="false" ht="15" hidden="false" customHeight="false" outlineLevel="0" collapsed="false">
      <c r="A336" s="0" t="s">
        <v>12</v>
      </c>
      <c r="B336" s="0" t="s">
        <v>1486</v>
      </c>
      <c r="C336" s="0" t="s">
        <v>2201</v>
      </c>
      <c r="E336" s="0" t="s">
        <v>2202</v>
      </c>
    </row>
    <row r="337" customFormat="false" ht="15" hidden="false" customHeight="false" outlineLevel="0" collapsed="false">
      <c r="A337" s="0" t="s">
        <v>12</v>
      </c>
      <c r="B337" s="0" t="s">
        <v>2203</v>
      </c>
      <c r="C337" s="0" t="s">
        <v>2204</v>
      </c>
      <c r="E337" s="0" t="s">
        <v>2041</v>
      </c>
    </row>
    <row r="338" customFormat="false" ht="15" hidden="false" customHeight="false" outlineLevel="0" collapsed="false">
      <c r="A338" s="0" t="s">
        <v>12</v>
      </c>
      <c r="B338" s="0" t="s">
        <v>2205</v>
      </c>
      <c r="C338" s="0" t="s">
        <v>2206</v>
      </c>
      <c r="E338" s="0" t="s">
        <v>2159</v>
      </c>
    </row>
    <row r="339" customFormat="false" ht="15" hidden="false" customHeight="false" outlineLevel="0" collapsed="false">
      <c r="A339" s="0" t="s">
        <v>12</v>
      </c>
      <c r="B339" s="0" t="s">
        <v>2207</v>
      </c>
      <c r="C339" s="0" t="s">
        <v>2208</v>
      </c>
      <c r="E339" s="0" t="s">
        <v>2133</v>
      </c>
    </row>
    <row r="340" customFormat="false" ht="15" hidden="false" customHeight="false" outlineLevel="0" collapsed="false">
      <c r="A340" s="0" t="s">
        <v>12</v>
      </c>
      <c r="B340" s="0" t="s">
        <v>2209</v>
      </c>
      <c r="C340" s="0" t="s">
        <v>2210</v>
      </c>
      <c r="E340" s="0" t="s">
        <v>2133</v>
      </c>
    </row>
    <row r="341" customFormat="false" ht="15" hidden="false" customHeight="false" outlineLevel="0" collapsed="false">
      <c r="A341" s="0" t="s">
        <v>12</v>
      </c>
      <c r="B341" s="0" t="s">
        <v>2211</v>
      </c>
      <c r="C341" s="0" t="s">
        <v>2212</v>
      </c>
      <c r="E341" s="0" t="s">
        <v>2136</v>
      </c>
    </row>
    <row r="342" customFormat="false" ht="15" hidden="false" customHeight="false" outlineLevel="0" collapsed="false">
      <c r="A342" s="0" t="s">
        <v>12</v>
      </c>
      <c r="B342" s="0" t="s">
        <v>2213</v>
      </c>
      <c r="C342" s="0" t="s">
        <v>2214</v>
      </c>
      <c r="E342" s="0" t="s">
        <v>2136</v>
      </c>
    </row>
    <row r="343" customFormat="false" ht="15" hidden="false" customHeight="false" outlineLevel="0" collapsed="false">
      <c r="A343" s="0" t="s">
        <v>12</v>
      </c>
      <c r="B343" s="0" t="s">
        <v>2215</v>
      </c>
      <c r="C343" s="0" t="s">
        <v>2216</v>
      </c>
      <c r="E343" s="0" t="s">
        <v>2217</v>
      </c>
    </row>
    <row r="344" customFormat="false" ht="15" hidden="false" customHeight="false" outlineLevel="0" collapsed="false">
      <c r="A344" s="0" t="s">
        <v>12</v>
      </c>
      <c r="B344" s="0" t="s">
        <v>2218</v>
      </c>
      <c r="C344" s="0" t="s">
        <v>2219</v>
      </c>
      <c r="E344" s="0" t="s">
        <v>2044</v>
      </c>
    </row>
    <row r="345" customFormat="false" ht="15" hidden="false" customHeight="false" outlineLevel="0" collapsed="false">
      <c r="A345" s="0" t="s">
        <v>12</v>
      </c>
      <c r="B345" s="0" t="s">
        <v>1488</v>
      </c>
      <c r="C345" s="0" t="s">
        <v>2220</v>
      </c>
      <c r="E345" s="0" t="s">
        <v>2116</v>
      </c>
    </row>
    <row r="346" customFormat="false" ht="15" hidden="false" customHeight="false" outlineLevel="0" collapsed="false">
      <c r="A346" s="0" t="s">
        <v>12</v>
      </c>
      <c r="B346" s="0" t="s">
        <v>2221</v>
      </c>
      <c r="C346" s="0" t="s">
        <v>2222</v>
      </c>
      <c r="E346" s="0" t="s">
        <v>2119</v>
      </c>
    </row>
    <row r="347" customFormat="false" ht="15" hidden="false" customHeight="false" outlineLevel="0" collapsed="false">
      <c r="A347" s="0" t="s">
        <v>12</v>
      </c>
      <c r="B347" s="0" t="s">
        <v>1490</v>
      </c>
      <c r="C347" s="0" t="s">
        <v>2223</v>
      </c>
      <c r="E347" s="0" t="s">
        <v>2224</v>
      </c>
    </row>
    <row r="348" customFormat="false" ht="15" hidden="false" customHeight="false" outlineLevel="0" collapsed="false">
      <c r="A348" s="0" t="s">
        <v>12</v>
      </c>
      <c r="B348" s="0" t="s">
        <v>1492</v>
      </c>
      <c r="C348" s="0" t="s">
        <v>2225</v>
      </c>
      <c r="E348" s="0" t="s">
        <v>2226</v>
      </c>
    </row>
    <row r="349" customFormat="false" ht="15" hidden="false" customHeight="false" outlineLevel="0" collapsed="false">
      <c r="A349" s="0" t="s">
        <v>12</v>
      </c>
      <c r="B349" s="0" t="s">
        <v>2227</v>
      </c>
      <c r="C349" s="0" t="s">
        <v>2228</v>
      </c>
      <c r="E349" s="0" t="s">
        <v>2229</v>
      </c>
    </row>
    <row r="350" customFormat="false" ht="15" hidden="false" customHeight="false" outlineLevel="0" collapsed="false">
      <c r="A350" s="0" t="s">
        <v>12</v>
      </c>
      <c r="B350" s="0" t="s">
        <v>2230</v>
      </c>
      <c r="C350" s="0" t="s">
        <v>2231</v>
      </c>
      <c r="E350" s="0" t="s">
        <v>2232</v>
      </c>
    </row>
    <row r="351" customFormat="false" ht="15" hidden="false" customHeight="false" outlineLevel="0" collapsed="false">
      <c r="A351" s="0" t="s">
        <v>12</v>
      </c>
      <c r="B351" s="0" t="s">
        <v>2233</v>
      </c>
      <c r="C351" s="0" t="s">
        <v>2234</v>
      </c>
      <c r="E351" s="0" t="s">
        <v>2139</v>
      </c>
    </row>
    <row r="352" customFormat="false" ht="15" hidden="false" customHeight="false" outlineLevel="0" collapsed="false">
      <c r="A352" s="0" t="s">
        <v>12</v>
      </c>
      <c r="B352" s="0" t="s">
        <v>2235</v>
      </c>
      <c r="C352" s="0" t="s">
        <v>2236</v>
      </c>
      <c r="E352" s="0" t="s">
        <v>2139</v>
      </c>
    </row>
    <row r="353" customFormat="false" ht="15" hidden="false" customHeight="false" outlineLevel="0" collapsed="false">
      <c r="A353" s="0" t="s">
        <v>12</v>
      </c>
      <c r="B353" s="0" t="s">
        <v>2237</v>
      </c>
      <c r="C353" s="0" t="s">
        <v>2238</v>
      </c>
      <c r="E353" s="0" t="s">
        <v>2133</v>
      </c>
    </row>
    <row r="354" customFormat="false" ht="15" hidden="false" customHeight="false" outlineLevel="0" collapsed="false">
      <c r="A354" s="0" t="s">
        <v>12</v>
      </c>
      <c r="B354" s="0" t="s">
        <v>2239</v>
      </c>
      <c r="C354" s="0" t="s">
        <v>2240</v>
      </c>
      <c r="E354" s="0" t="s">
        <v>2136</v>
      </c>
    </row>
    <row r="355" customFormat="false" ht="15" hidden="false" customHeight="false" outlineLevel="0" collapsed="false">
      <c r="A355" s="0" t="s">
        <v>12</v>
      </c>
      <c r="B355" s="0" t="s">
        <v>2241</v>
      </c>
      <c r="C355" s="0" t="s">
        <v>2242</v>
      </c>
      <c r="E355" s="0" t="s">
        <v>2243</v>
      </c>
    </row>
    <row r="356" customFormat="false" ht="15" hidden="false" customHeight="false" outlineLevel="0" collapsed="false">
      <c r="A356" s="0" t="s">
        <v>12</v>
      </c>
      <c r="B356" s="0" t="s">
        <v>2244</v>
      </c>
      <c r="C356" s="0" t="s">
        <v>2245</v>
      </c>
      <c r="E356" s="0" t="s">
        <v>2039</v>
      </c>
    </row>
    <row r="357" customFormat="false" ht="15" hidden="false" customHeight="false" outlineLevel="0" collapsed="false">
      <c r="A357" s="0" t="s">
        <v>12</v>
      </c>
      <c r="B357" s="0" t="s">
        <v>1494</v>
      </c>
      <c r="C357" s="0" t="s">
        <v>2246</v>
      </c>
      <c r="E357" s="0" t="s">
        <v>2116</v>
      </c>
    </row>
    <row r="358" customFormat="false" ht="15" hidden="false" customHeight="false" outlineLevel="0" collapsed="false">
      <c r="A358" s="0" t="s">
        <v>12</v>
      </c>
      <c r="B358" s="0" t="s">
        <v>2247</v>
      </c>
      <c r="C358" s="0" t="s">
        <v>2248</v>
      </c>
      <c r="E358" s="0" t="s">
        <v>2119</v>
      </c>
    </row>
    <row r="359" customFormat="false" ht="15" hidden="false" customHeight="false" outlineLevel="0" collapsed="false">
      <c r="A359" s="0" t="s">
        <v>12</v>
      </c>
      <c r="B359" s="0" t="s">
        <v>1496</v>
      </c>
      <c r="C359" s="0" t="s">
        <v>2249</v>
      </c>
      <c r="E359" s="0" t="s">
        <v>2250</v>
      </c>
    </row>
    <row r="360" customFormat="false" ht="15" hidden="false" customHeight="false" outlineLevel="0" collapsed="false">
      <c r="A360" s="0" t="s">
        <v>12</v>
      </c>
      <c r="B360" s="0" t="s">
        <v>1498</v>
      </c>
      <c r="C360" s="0" t="s">
        <v>2251</v>
      </c>
      <c r="E360" s="0" t="s">
        <v>2252</v>
      </c>
    </row>
    <row r="361" customFormat="false" ht="15" hidden="false" customHeight="false" outlineLevel="0" collapsed="false">
      <c r="A361" s="0" t="s">
        <v>12</v>
      </c>
      <c r="B361" s="0" t="s">
        <v>2253</v>
      </c>
      <c r="C361" s="0" t="s">
        <v>2254</v>
      </c>
      <c r="E361" s="0" t="s">
        <v>2159</v>
      </c>
    </row>
    <row r="362" customFormat="false" ht="15" hidden="false" customHeight="false" outlineLevel="0" collapsed="false">
      <c r="A362" s="0" t="s">
        <v>12</v>
      </c>
      <c r="B362" s="0" t="s">
        <v>2255</v>
      </c>
      <c r="C362" s="0" t="s">
        <v>2256</v>
      </c>
      <c r="E362" s="0" t="s">
        <v>2041</v>
      </c>
    </row>
    <row r="363" customFormat="false" ht="15" hidden="false" customHeight="false" outlineLevel="0" collapsed="false">
      <c r="A363" s="0" t="s">
        <v>12</v>
      </c>
      <c r="B363" s="0" t="s">
        <v>2257</v>
      </c>
      <c r="C363" s="0" t="s">
        <v>2258</v>
      </c>
      <c r="E363" s="0" t="s">
        <v>2133</v>
      </c>
    </row>
    <row r="364" customFormat="false" ht="15" hidden="false" customHeight="false" outlineLevel="0" collapsed="false">
      <c r="A364" s="0" t="s">
        <v>12</v>
      </c>
      <c r="B364" s="0" t="s">
        <v>2259</v>
      </c>
      <c r="C364" s="0" t="s">
        <v>2260</v>
      </c>
      <c r="E364" s="0" t="s">
        <v>2136</v>
      </c>
    </row>
    <row r="365" customFormat="false" ht="15" hidden="false" customHeight="false" outlineLevel="0" collapsed="false">
      <c r="A365" s="0" t="s">
        <v>12</v>
      </c>
      <c r="B365" s="0" t="s">
        <v>2261</v>
      </c>
      <c r="C365" s="0" t="s">
        <v>2262</v>
      </c>
      <c r="E365" s="0" t="s">
        <v>2139</v>
      </c>
    </row>
    <row r="366" customFormat="false" ht="15" hidden="false" customHeight="false" outlineLevel="0" collapsed="false">
      <c r="A366" s="0" t="s">
        <v>12</v>
      </c>
      <c r="B366" s="0" t="s">
        <v>2263</v>
      </c>
      <c r="C366" s="0" t="s">
        <v>2264</v>
      </c>
      <c r="E366" s="0" t="s">
        <v>2136</v>
      </c>
    </row>
    <row r="367" customFormat="false" ht="15" hidden="false" customHeight="false" outlineLevel="0" collapsed="false">
      <c r="A367" s="0" t="s">
        <v>12</v>
      </c>
      <c r="B367" s="0" t="s">
        <v>2265</v>
      </c>
      <c r="C367" s="0" t="s">
        <v>2266</v>
      </c>
      <c r="E367" s="0" t="s">
        <v>2267</v>
      </c>
    </row>
    <row r="368" customFormat="false" ht="15" hidden="false" customHeight="false" outlineLevel="0" collapsed="false">
      <c r="A368" s="0" t="s">
        <v>12</v>
      </c>
      <c r="B368" s="0" t="s">
        <v>2268</v>
      </c>
      <c r="C368" s="0" t="s">
        <v>2269</v>
      </c>
      <c r="E368" s="0" t="s">
        <v>1479</v>
      </c>
    </row>
    <row r="369" customFormat="false" ht="15" hidden="false" customHeight="false" outlineLevel="0" collapsed="false">
      <c r="A369" s="0" t="s">
        <v>12</v>
      </c>
      <c r="B369" s="0" t="s">
        <v>1500</v>
      </c>
      <c r="C369" s="0" t="s">
        <v>2270</v>
      </c>
      <c r="E369" s="0" t="s">
        <v>1479</v>
      </c>
    </row>
    <row r="370" customFormat="false" ht="15" hidden="false" customHeight="false" outlineLevel="0" collapsed="false">
      <c r="A370" s="0" t="s">
        <v>12</v>
      </c>
      <c r="B370" s="0" t="s">
        <v>2271</v>
      </c>
      <c r="C370" s="0" t="s">
        <v>2272</v>
      </c>
      <c r="E370" s="0" t="s">
        <v>1479</v>
      </c>
    </row>
    <row r="371" customFormat="false" ht="15" hidden="false" customHeight="false" outlineLevel="0" collapsed="false">
      <c r="A371" s="0" t="s">
        <v>12</v>
      </c>
      <c r="B371" s="0" t="s">
        <v>1502</v>
      </c>
      <c r="C371" s="0" t="s">
        <v>2273</v>
      </c>
      <c r="E371" s="0" t="s">
        <v>1479</v>
      </c>
    </row>
    <row r="372" customFormat="false" ht="15" hidden="false" customHeight="false" outlineLevel="0" collapsed="false">
      <c r="A372" s="0" t="s">
        <v>12</v>
      </c>
      <c r="B372" s="0" t="s">
        <v>1504</v>
      </c>
      <c r="C372" s="0" t="s">
        <v>2274</v>
      </c>
      <c r="E372" s="0" t="s">
        <v>1479</v>
      </c>
    </row>
    <row r="373" customFormat="false" ht="15" hidden="false" customHeight="false" outlineLevel="0" collapsed="false">
      <c r="A373" s="0" t="s">
        <v>12</v>
      </c>
      <c r="B373" s="0" t="s">
        <v>2275</v>
      </c>
      <c r="C373" s="0" t="s">
        <v>2276</v>
      </c>
      <c r="E373" s="0" t="s">
        <v>1479</v>
      </c>
    </row>
    <row r="374" customFormat="false" ht="15" hidden="false" customHeight="false" outlineLevel="0" collapsed="false">
      <c r="A374" s="0" t="s">
        <v>12</v>
      </c>
      <c r="B374" s="0" t="s">
        <v>2277</v>
      </c>
      <c r="C374" s="0" t="s">
        <v>2278</v>
      </c>
      <c r="E374" s="0" t="s">
        <v>1479</v>
      </c>
    </row>
    <row r="375" customFormat="false" ht="15" hidden="false" customHeight="false" outlineLevel="0" collapsed="false">
      <c r="A375" s="0" t="s">
        <v>12</v>
      </c>
      <c r="B375" s="0" t="s">
        <v>2279</v>
      </c>
      <c r="C375" s="0" t="s">
        <v>2280</v>
      </c>
      <c r="E375" s="0" t="s">
        <v>1479</v>
      </c>
    </row>
    <row r="376" customFormat="false" ht="15" hidden="false" customHeight="false" outlineLevel="0" collapsed="false">
      <c r="A376" s="0" t="s">
        <v>12</v>
      </c>
      <c r="B376" s="0" t="s">
        <v>2281</v>
      </c>
      <c r="C376" s="0" t="s">
        <v>2282</v>
      </c>
      <c r="E376" s="0" t="s">
        <v>1479</v>
      </c>
    </row>
    <row r="377" customFormat="false" ht="15" hidden="false" customHeight="false" outlineLevel="0" collapsed="false">
      <c r="A377" s="0" t="s">
        <v>12</v>
      </c>
      <c r="B377" s="0" t="s">
        <v>2283</v>
      </c>
      <c r="C377" s="0" t="s">
        <v>2284</v>
      </c>
      <c r="E377" s="0" t="s">
        <v>1479</v>
      </c>
    </row>
    <row r="378" customFormat="false" ht="15" hidden="false" customHeight="false" outlineLevel="0" collapsed="false">
      <c r="A378" s="0" t="s">
        <v>12</v>
      </c>
      <c r="B378" s="0" t="s">
        <v>2285</v>
      </c>
      <c r="C378" s="0" t="s">
        <v>2286</v>
      </c>
      <c r="E378" s="0" t="s">
        <v>1479</v>
      </c>
    </row>
    <row r="379" customFormat="false" ht="15" hidden="false" customHeight="false" outlineLevel="0" collapsed="false">
      <c r="A379" s="0" t="s">
        <v>12</v>
      </c>
      <c r="B379" s="0" t="s">
        <v>2287</v>
      </c>
      <c r="C379" s="0" t="s">
        <v>2288</v>
      </c>
      <c r="E379" s="0" t="s">
        <v>1479</v>
      </c>
    </row>
    <row r="380" customFormat="false" ht="15" hidden="false" customHeight="false" outlineLevel="0" collapsed="false">
      <c r="A380" s="0" t="s">
        <v>12</v>
      </c>
      <c r="B380" s="0" t="s">
        <v>2289</v>
      </c>
      <c r="C380" s="0" t="s">
        <v>2290</v>
      </c>
      <c r="E380" s="0" t="s">
        <v>1479</v>
      </c>
    </row>
    <row r="381" customFormat="false" ht="15" hidden="false" customHeight="false" outlineLevel="0" collapsed="false">
      <c r="A381" s="0" t="s">
        <v>12</v>
      </c>
      <c r="B381" s="0" t="s">
        <v>2291</v>
      </c>
      <c r="C381" s="0" t="s">
        <v>2292</v>
      </c>
      <c r="E381" s="0" t="s">
        <v>1479</v>
      </c>
    </row>
    <row r="382" customFormat="false" ht="15" hidden="false" customHeight="false" outlineLevel="0" collapsed="false">
      <c r="A382" s="0" t="s">
        <v>12</v>
      </c>
      <c r="B382" s="0" t="s">
        <v>2293</v>
      </c>
      <c r="C382" s="0" t="s">
        <v>2294</v>
      </c>
      <c r="E382" s="0" t="s">
        <v>1479</v>
      </c>
    </row>
    <row r="383" customFormat="false" ht="15" hidden="false" customHeight="false" outlineLevel="0" collapsed="false">
      <c r="A383" s="0" t="s">
        <v>12</v>
      </c>
      <c r="B383" s="0" t="s">
        <v>2295</v>
      </c>
      <c r="C383" s="0" t="s">
        <v>2296</v>
      </c>
      <c r="E383" s="0" t="s">
        <v>1479</v>
      </c>
    </row>
    <row r="384" customFormat="false" ht="15" hidden="false" customHeight="false" outlineLevel="0" collapsed="false">
      <c r="A384" s="0" t="s">
        <v>12</v>
      </c>
      <c r="B384" s="0" t="s">
        <v>2297</v>
      </c>
      <c r="C384" s="0" t="s">
        <v>2298</v>
      </c>
      <c r="E384" s="0" t="s">
        <v>1479</v>
      </c>
    </row>
    <row r="385" customFormat="false" ht="15" hidden="false" customHeight="false" outlineLevel="0" collapsed="false">
      <c r="A385" s="0" t="s">
        <v>12</v>
      </c>
      <c r="B385" s="0" t="s">
        <v>2299</v>
      </c>
      <c r="C385" s="0" t="s">
        <v>2300</v>
      </c>
      <c r="E385" s="0" t="s">
        <v>1479</v>
      </c>
    </row>
    <row r="386" customFormat="false" ht="15" hidden="false" customHeight="false" outlineLevel="0" collapsed="false">
      <c r="A386" s="0" t="s">
        <v>12</v>
      </c>
      <c r="B386" s="0" t="s">
        <v>2301</v>
      </c>
      <c r="C386" s="0" t="s">
        <v>2302</v>
      </c>
      <c r="E386" s="0" t="s">
        <v>1479</v>
      </c>
    </row>
    <row r="387" customFormat="false" ht="15" hidden="false" customHeight="false" outlineLevel="0" collapsed="false">
      <c r="A387" s="0" t="s">
        <v>12</v>
      </c>
      <c r="B387" s="0" t="s">
        <v>2303</v>
      </c>
      <c r="C387" s="0" t="s">
        <v>2304</v>
      </c>
      <c r="E387" s="0" t="s">
        <v>1479</v>
      </c>
    </row>
    <row r="388" customFormat="false" ht="15" hidden="false" customHeight="false" outlineLevel="0" collapsed="false">
      <c r="A388" s="0" t="s">
        <v>12</v>
      </c>
      <c r="B388" s="0" t="s">
        <v>2305</v>
      </c>
      <c r="C388" s="0" t="s">
        <v>2306</v>
      </c>
      <c r="E388" s="0" t="s">
        <v>1479</v>
      </c>
    </row>
    <row r="389" customFormat="false" ht="15" hidden="false" customHeight="false" outlineLevel="0" collapsed="false">
      <c r="A389" s="0" t="s">
        <v>12</v>
      </c>
      <c r="B389" s="0" t="s">
        <v>2307</v>
      </c>
      <c r="C389" s="0" t="s">
        <v>2308</v>
      </c>
      <c r="E389" s="0" t="s">
        <v>1479</v>
      </c>
    </row>
    <row r="390" customFormat="false" ht="15" hidden="false" customHeight="false" outlineLevel="0" collapsed="false">
      <c r="A390" s="0" t="s">
        <v>12</v>
      </c>
      <c r="B390" s="0" t="s">
        <v>2309</v>
      </c>
      <c r="C390" s="0" t="s">
        <v>2310</v>
      </c>
      <c r="E390" s="0" t="s">
        <v>1479</v>
      </c>
    </row>
    <row r="391" customFormat="false" ht="15" hidden="false" customHeight="false" outlineLevel="0" collapsed="false">
      <c r="A391" s="0" t="s">
        <v>12</v>
      </c>
      <c r="B391" s="0" t="s">
        <v>2311</v>
      </c>
      <c r="C391" s="0" t="s">
        <v>2312</v>
      </c>
      <c r="E391" s="0" t="s">
        <v>1479</v>
      </c>
    </row>
    <row r="392" customFormat="false" ht="15" hidden="false" customHeight="false" outlineLevel="0" collapsed="false">
      <c r="A392" s="0" t="s">
        <v>12</v>
      </c>
      <c r="B392" s="0" t="s">
        <v>1880</v>
      </c>
      <c r="C392" s="0" t="s">
        <v>2313</v>
      </c>
      <c r="E392" s="0" t="s">
        <v>1479</v>
      </c>
    </row>
    <row r="393" customFormat="false" ht="15" hidden="false" customHeight="false" outlineLevel="0" collapsed="false">
      <c r="A393" s="0" t="s">
        <v>12</v>
      </c>
      <c r="B393" s="0" t="s">
        <v>1883</v>
      </c>
      <c r="C393" s="0" t="s">
        <v>2314</v>
      </c>
      <c r="E393" s="0" t="s">
        <v>1479</v>
      </c>
    </row>
    <row r="394" customFormat="false" ht="15" hidden="false" customHeight="false" outlineLevel="0" collapsed="false">
      <c r="A394" s="0" t="s">
        <v>12</v>
      </c>
      <c r="B394" s="0" t="s">
        <v>1886</v>
      </c>
      <c r="C394" s="0" t="s">
        <v>2315</v>
      </c>
      <c r="E394" s="0" t="s">
        <v>1479</v>
      </c>
    </row>
    <row r="395" customFormat="false" ht="15" hidden="false" customHeight="false" outlineLevel="0" collapsed="false">
      <c r="A395" s="0" t="s">
        <v>12</v>
      </c>
      <c r="B395" s="0" t="s">
        <v>1888</v>
      </c>
      <c r="C395" s="0" t="s">
        <v>2316</v>
      </c>
      <c r="E395" s="0" t="s">
        <v>1479</v>
      </c>
    </row>
    <row r="396" customFormat="false" ht="15" hidden="false" customHeight="false" outlineLevel="0" collapsed="false">
      <c r="A396" s="0" t="s">
        <v>12</v>
      </c>
      <c r="B396" s="0" t="s">
        <v>1891</v>
      </c>
      <c r="C396" s="0" t="s">
        <v>2317</v>
      </c>
      <c r="E396" s="0" t="s">
        <v>1479</v>
      </c>
    </row>
    <row r="397" customFormat="false" ht="15" hidden="false" customHeight="false" outlineLevel="0" collapsed="false">
      <c r="A397" s="0" t="s">
        <v>12</v>
      </c>
      <c r="B397" s="0" t="s">
        <v>1894</v>
      </c>
      <c r="C397" s="0" t="s">
        <v>2318</v>
      </c>
      <c r="E397" s="0" t="s">
        <v>1479</v>
      </c>
    </row>
    <row r="398" customFormat="false" ht="15" hidden="false" customHeight="false" outlineLevel="0" collapsed="false">
      <c r="A398" s="0" t="s">
        <v>12</v>
      </c>
      <c r="B398" s="0" t="s">
        <v>2319</v>
      </c>
      <c r="C398" s="0" t="s">
        <v>2320</v>
      </c>
      <c r="E398" s="0" t="s">
        <v>1479</v>
      </c>
    </row>
    <row r="399" customFormat="false" ht="15" hidden="false" customHeight="false" outlineLevel="0" collapsed="false">
      <c r="A399" s="0" t="s">
        <v>12</v>
      </c>
      <c r="B399" s="0" t="s">
        <v>2321</v>
      </c>
      <c r="C399" s="0" t="s">
        <v>2322</v>
      </c>
      <c r="E399" s="0" t="s">
        <v>1479</v>
      </c>
    </row>
    <row r="400" customFormat="false" ht="15" hidden="false" customHeight="false" outlineLevel="0" collapsed="false">
      <c r="A400" s="0" t="s">
        <v>12</v>
      </c>
      <c r="B400" s="0" t="s">
        <v>2323</v>
      </c>
      <c r="C400" s="0" t="s">
        <v>2324</v>
      </c>
      <c r="E400" s="0" t="s">
        <v>1479</v>
      </c>
    </row>
    <row r="401" customFormat="false" ht="15" hidden="false" customHeight="false" outlineLevel="0" collapsed="false">
      <c r="A401" s="0" t="s">
        <v>12</v>
      </c>
      <c r="B401" s="0" t="s">
        <v>2325</v>
      </c>
      <c r="C401" s="0" t="s">
        <v>2326</v>
      </c>
      <c r="E401" s="0" t="s">
        <v>1479</v>
      </c>
    </row>
    <row r="402" customFormat="false" ht="15" hidden="false" customHeight="false" outlineLevel="0" collapsed="false">
      <c r="A402" s="0" t="s">
        <v>12</v>
      </c>
      <c r="B402" s="0" t="s">
        <v>2327</v>
      </c>
      <c r="C402" s="0" t="s">
        <v>2328</v>
      </c>
      <c r="E402" s="0" t="s">
        <v>1479</v>
      </c>
    </row>
    <row r="403" customFormat="false" ht="15" hidden="false" customHeight="false" outlineLevel="0" collapsed="false">
      <c r="A403" s="0" t="s">
        <v>12</v>
      </c>
      <c r="B403" s="0" t="s">
        <v>2329</v>
      </c>
      <c r="C403" s="0" t="s">
        <v>2330</v>
      </c>
      <c r="E403" s="0" t="s">
        <v>1479</v>
      </c>
    </row>
    <row r="404" customFormat="false" ht="15" hidden="false" customHeight="false" outlineLevel="0" collapsed="false">
      <c r="A404" s="0" t="s">
        <v>12</v>
      </c>
      <c r="B404" s="0" t="s">
        <v>1898</v>
      </c>
      <c r="C404" s="0" t="s">
        <v>2331</v>
      </c>
      <c r="E404" s="0" t="s">
        <v>1479</v>
      </c>
    </row>
    <row r="405" customFormat="false" ht="15" hidden="false" customHeight="false" outlineLevel="0" collapsed="false">
      <c r="A405" s="0" t="s">
        <v>12</v>
      </c>
      <c r="B405" s="0" t="s">
        <v>1506</v>
      </c>
      <c r="C405" s="0" t="s">
        <v>2332</v>
      </c>
      <c r="E405" s="0" t="s">
        <v>1479</v>
      </c>
    </row>
    <row r="406" customFormat="false" ht="15" hidden="false" customHeight="false" outlineLevel="0" collapsed="false">
      <c r="A406" s="0" t="s">
        <v>12</v>
      </c>
      <c r="B406" s="0" t="s">
        <v>1901</v>
      </c>
      <c r="C406" s="0" t="s">
        <v>2333</v>
      </c>
      <c r="E406" s="0" t="s">
        <v>1479</v>
      </c>
    </row>
    <row r="407" customFormat="false" ht="15" hidden="false" customHeight="false" outlineLevel="0" collapsed="false">
      <c r="A407" s="0" t="s">
        <v>12</v>
      </c>
      <c r="B407" s="0" t="s">
        <v>1509</v>
      </c>
      <c r="C407" s="0" t="s">
        <v>2334</v>
      </c>
      <c r="E407" s="0" t="s">
        <v>1479</v>
      </c>
    </row>
    <row r="408" customFormat="false" ht="15" hidden="false" customHeight="false" outlineLevel="0" collapsed="false">
      <c r="A408" s="0" t="s">
        <v>12</v>
      </c>
      <c r="B408" s="0" t="s">
        <v>1512</v>
      </c>
      <c r="C408" s="0" t="s">
        <v>2335</v>
      </c>
      <c r="E408" s="0" t="s">
        <v>1479</v>
      </c>
    </row>
    <row r="409" customFormat="false" ht="15" hidden="false" customHeight="false" outlineLevel="0" collapsed="false">
      <c r="A409" s="0" t="s">
        <v>12</v>
      </c>
      <c r="B409" s="0" t="s">
        <v>1515</v>
      </c>
      <c r="C409" s="0" t="s">
        <v>2336</v>
      </c>
      <c r="E409" s="0" t="s">
        <v>1479</v>
      </c>
    </row>
    <row r="410" customFormat="false" ht="15" hidden="false" customHeight="false" outlineLevel="0" collapsed="false">
      <c r="A410" s="0" t="s">
        <v>12</v>
      </c>
      <c r="B410" s="0" t="s">
        <v>2337</v>
      </c>
      <c r="C410" s="0" t="s">
        <v>2338</v>
      </c>
      <c r="E410" s="0" t="s">
        <v>1479</v>
      </c>
    </row>
    <row r="411" customFormat="false" ht="15" hidden="false" customHeight="false" outlineLevel="0" collapsed="false">
      <c r="A411" s="0" t="s">
        <v>12</v>
      </c>
      <c r="B411" s="0" t="s">
        <v>2339</v>
      </c>
      <c r="C411" s="0" t="s">
        <v>2340</v>
      </c>
      <c r="E411" s="0" t="s">
        <v>1479</v>
      </c>
    </row>
    <row r="412" customFormat="false" ht="15" hidden="false" customHeight="false" outlineLevel="0" collapsed="false">
      <c r="A412" s="0" t="s">
        <v>12</v>
      </c>
      <c r="B412" s="0" t="s">
        <v>2341</v>
      </c>
      <c r="C412" s="0" t="s">
        <v>2342</v>
      </c>
      <c r="E412" s="0" t="s">
        <v>1479</v>
      </c>
    </row>
    <row r="413" customFormat="false" ht="15" hidden="false" customHeight="false" outlineLevel="0" collapsed="false">
      <c r="A413" s="0" t="s">
        <v>12</v>
      </c>
      <c r="B413" s="0" t="s">
        <v>2343</v>
      </c>
      <c r="C413" s="0" t="s">
        <v>2344</v>
      </c>
      <c r="E413" s="0" t="s">
        <v>1479</v>
      </c>
    </row>
    <row r="414" customFormat="false" ht="15" hidden="false" customHeight="false" outlineLevel="0" collapsed="false">
      <c r="A414" s="0" t="s">
        <v>12</v>
      </c>
      <c r="B414" s="0" t="s">
        <v>2345</v>
      </c>
      <c r="C414" s="0" t="s">
        <v>2346</v>
      </c>
      <c r="E414" s="0" t="s">
        <v>1479</v>
      </c>
    </row>
    <row r="415" customFormat="false" ht="15" hidden="false" customHeight="false" outlineLevel="0" collapsed="false">
      <c r="A415" s="0" t="s">
        <v>12</v>
      </c>
      <c r="B415" s="0" t="s">
        <v>2347</v>
      </c>
      <c r="C415" s="0" t="s">
        <v>2348</v>
      </c>
      <c r="E415" s="0" t="s">
        <v>1479</v>
      </c>
    </row>
    <row r="416" customFormat="false" ht="15" hidden="false" customHeight="false" outlineLevel="0" collapsed="false">
      <c r="A416" s="0" t="s">
        <v>12</v>
      </c>
      <c r="B416" s="0" t="s">
        <v>2349</v>
      </c>
      <c r="C416" s="0" t="s">
        <v>2350</v>
      </c>
      <c r="E416" s="0" t="s">
        <v>2351</v>
      </c>
    </row>
    <row r="417" customFormat="false" ht="15" hidden="false" customHeight="false" outlineLevel="0" collapsed="false">
      <c r="A417" s="0" t="s">
        <v>12</v>
      </c>
      <c r="B417" s="0" t="s">
        <v>2352</v>
      </c>
      <c r="C417" s="0" t="s">
        <v>2353</v>
      </c>
      <c r="E417" s="0" t="s">
        <v>2354</v>
      </c>
    </row>
    <row r="418" customFormat="false" ht="15" hidden="false" customHeight="false" outlineLevel="0" collapsed="false">
      <c r="A418" s="0" t="s">
        <v>12</v>
      </c>
      <c r="B418" s="0" t="s">
        <v>1630</v>
      </c>
      <c r="C418" s="0" t="s">
        <v>2355</v>
      </c>
      <c r="E418" s="0" t="s">
        <v>2356</v>
      </c>
    </row>
    <row r="419" customFormat="false" ht="15" hidden="false" customHeight="false" outlineLevel="0" collapsed="false">
      <c r="A419" s="0" t="s">
        <v>12</v>
      </c>
      <c r="B419" s="0" t="s">
        <v>1972</v>
      </c>
      <c r="C419" s="0" t="s">
        <v>2357</v>
      </c>
      <c r="E419" s="0" t="s">
        <v>2358</v>
      </c>
    </row>
    <row r="420" customFormat="false" ht="15" hidden="false" customHeight="false" outlineLevel="0" collapsed="false">
      <c r="A420" s="0" t="s">
        <v>12</v>
      </c>
      <c r="B420" s="0" t="s">
        <v>1975</v>
      </c>
      <c r="C420" s="0" t="s">
        <v>2359</v>
      </c>
      <c r="E420" s="0" t="s">
        <v>2360</v>
      </c>
    </row>
    <row r="421" customFormat="false" ht="15" hidden="false" customHeight="false" outlineLevel="0" collapsed="false">
      <c r="A421" s="0" t="s">
        <v>12</v>
      </c>
      <c r="B421" s="0" t="s">
        <v>1645</v>
      </c>
      <c r="C421" s="0" t="s">
        <v>2361</v>
      </c>
      <c r="E421" s="0" t="s">
        <v>2362</v>
      </c>
    </row>
    <row r="422" customFormat="false" ht="15" hidden="false" customHeight="false" outlineLevel="0" collapsed="false">
      <c r="A422" s="0" t="s">
        <v>12</v>
      </c>
      <c r="B422" s="0" t="s">
        <v>1983</v>
      </c>
      <c r="C422" s="0" t="s">
        <v>2363</v>
      </c>
      <c r="E422" s="0" t="s">
        <v>2364</v>
      </c>
    </row>
    <row r="423" customFormat="false" ht="15" hidden="false" customHeight="false" outlineLevel="0" collapsed="false">
      <c r="A423" s="0" t="s">
        <v>12</v>
      </c>
      <c r="B423" s="0" t="s">
        <v>1986</v>
      </c>
      <c r="C423" s="0" t="s">
        <v>2365</v>
      </c>
      <c r="E423" s="0" t="s">
        <v>2366</v>
      </c>
    </row>
    <row r="424" customFormat="false" ht="15" hidden="false" customHeight="false" outlineLevel="0" collapsed="false">
      <c r="A424" s="0" t="s">
        <v>12</v>
      </c>
      <c r="B424" s="0" t="s">
        <v>1657</v>
      </c>
      <c r="C424" s="0" t="s">
        <v>2367</v>
      </c>
      <c r="E424" s="0" t="s">
        <v>2368</v>
      </c>
    </row>
    <row r="425" customFormat="false" ht="15" hidden="false" customHeight="false" outlineLevel="0" collapsed="false">
      <c r="A425" s="0" t="s">
        <v>12</v>
      </c>
      <c r="B425" s="0" t="s">
        <v>1994</v>
      </c>
      <c r="C425" s="0" t="s">
        <v>2369</v>
      </c>
      <c r="E425" s="0" t="s">
        <v>2370</v>
      </c>
    </row>
    <row r="426" customFormat="false" ht="15" hidden="false" customHeight="false" outlineLevel="0" collapsed="false">
      <c r="A426" s="0" t="s">
        <v>12</v>
      </c>
      <c r="B426" s="0" t="s">
        <v>1997</v>
      </c>
      <c r="C426" s="0" t="s">
        <v>2371</v>
      </c>
      <c r="E426" s="0" t="s">
        <v>2372</v>
      </c>
    </row>
    <row r="427" customFormat="false" ht="15" hidden="false" customHeight="false" outlineLevel="0" collapsed="false">
      <c r="A427" s="0" t="s">
        <v>12</v>
      </c>
      <c r="B427" s="0" t="s">
        <v>1669</v>
      </c>
      <c r="C427" s="0" t="s">
        <v>2373</v>
      </c>
      <c r="E427" s="0" t="s">
        <v>2374</v>
      </c>
    </row>
    <row r="428" customFormat="false" ht="15" hidden="false" customHeight="false" outlineLevel="0" collapsed="false">
      <c r="A428" s="0" t="s">
        <v>12</v>
      </c>
      <c r="B428" s="0" t="s">
        <v>2005</v>
      </c>
      <c r="C428" s="0" t="s">
        <v>2375</v>
      </c>
      <c r="E428" s="0" t="s">
        <v>1479</v>
      </c>
    </row>
    <row r="429" customFormat="false" ht="15" hidden="false" customHeight="false" outlineLevel="0" collapsed="false">
      <c r="A429" s="0" t="s">
        <v>12</v>
      </c>
      <c r="B429" s="0" t="s">
        <v>2008</v>
      </c>
      <c r="C429" s="0" t="s">
        <v>2376</v>
      </c>
      <c r="E429" s="0" t="s">
        <v>1479</v>
      </c>
    </row>
    <row r="430" customFormat="false" ht="15" hidden="false" customHeight="false" outlineLevel="0" collapsed="false">
      <c r="A430" s="0" t="s">
        <v>12</v>
      </c>
      <c r="B430" s="0" t="s">
        <v>1681</v>
      </c>
      <c r="C430" s="0" t="s">
        <v>2377</v>
      </c>
      <c r="E430" s="0" t="s">
        <v>1479</v>
      </c>
    </row>
    <row r="431" customFormat="false" ht="15" hidden="false" customHeight="false" outlineLevel="0" collapsed="false">
      <c r="A431" s="0" t="s">
        <v>12</v>
      </c>
      <c r="B431" s="0" t="s">
        <v>2014</v>
      </c>
      <c r="C431" s="0" t="s">
        <v>2375</v>
      </c>
      <c r="E431" s="0" t="s">
        <v>1479</v>
      </c>
    </row>
    <row r="432" customFormat="false" ht="15" hidden="false" customHeight="false" outlineLevel="0" collapsed="false">
      <c r="A432" s="0" t="s">
        <v>12</v>
      </c>
      <c r="B432" s="0" t="s">
        <v>2016</v>
      </c>
      <c r="C432" s="0" t="s">
        <v>2376</v>
      </c>
      <c r="E432" s="0" t="s">
        <v>1479</v>
      </c>
    </row>
    <row r="433" customFormat="false" ht="15" hidden="false" customHeight="false" outlineLevel="0" collapsed="false">
      <c r="A433" s="0" t="s">
        <v>12</v>
      </c>
      <c r="B433" s="0" t="s">
        <v>1693</v>
      </c>
      <c r="C433" s="0" t="s">
        <v>2377</v>
      </c>
      <c r="E433" s="0" t="s">
        <v>1479</v>
      </c>
    </row>
    <row r="434" customFormat="false" ht="15" hidden="false" customHeight="false" outlineLevel="0" collapsed="false">
      <c r="A434" s="0" t="s">
        <v>12</v>
      </c>
      <c r="B434" s="0" t="s">
        <v>2378</v>
      </c>
      <c r="C434" s="0" t="s">
        <v>2375</v>
      </c>
      <c r="E434" s="0" t="s">
        <v>1479</v>
      </c>
    </row>
    <row r="435" customFormat="false" ht="15" hidden="false" customHeight="false" outlineLevel="0" collapsed="false">
      <c r="A435" s="0" t="s">
        <v>12</v>
      </c>
      <c r="B435" s="0" t="s">
        <v>2379</v>
      </c>
      <c r="C435" s="0" t="s">
        <v>2376</v>
      </c>
      <c r="E435" s="0" t="s">
        <v>1479</v>
      </c>
    </row>
    <row r="436" customFormat="false" ht="15" hidden="false" customHeight="false" outlineLevel="0" collapsed="false">
      <c r="A436" s="0" t="s">
        <v>12</v>
      </c>
      <c r="B436" s="0" t="s">
        <v>2380</v>
      </c>
      <c r="C436" s="0" t="s">
        <v>2377</v>
      </c>
      <c r="E436" s="0" t="s">
        <v>1479</v>
      </c>
    </row>
    <row r="437" customFormat="false" ht="15" hidden="false" customHeight="false" outlineLevel="0" collapsed="false">
      <c r="A437" s="0" t="s">
        <v>12</v>
      </c>
      <c r="B437" s="0" t="s">
        <v>2381</v>
      </c>
      <c r="C437" s="0" t="s">
        <v>2375</v>
      </c>
      <c r="E437" s="0" t="s">
        <v>1479</v>
      </c>
    </row>
    <row r="438" customFormat="false" ht="15" hidden="false" customHeight="false" outlineLevel="0" collapsed="false">
      <c r="A438" s="0" t="s">
        <v>12</v>
      </c>
      <c r="B438" s="0" t="s">
        <v>2382</v>
      </c>
      <c r="C438" s="0" t="s">
        <v>2376</v>
      </c>
      <c r="E438" s="0" t="s">
        <v>1479</v>
      </c>
    </row>
    <row r="439" customFormat="false" ht="15" hidden="false" customHeight="false" outlineLevel="0" collapsed="false">
      <c r="A439" s="0" t="s">
        <v>12</v>
      </c>
      <c r="B439" s="0" t="s">
        <v>2383</v>
      </c>
      <c r="C439" s="0" t="s">
        <v>2377</v>
      </c>
      <c r="E439" s="0" t="s">
        <v>1479</v>
      </c>
    </row>
    <row r="440" customFormat="false" ht="15" hidden="false" customHeight="false" outlineLevel="0" collapsed="false">
      <c r="A440" s="0" t="s">
        <v>12</v>
      </c>
      <c r="B440" s="0" t="s">
        <v>2384</v>
      </c>
      <c r="C440" s="0" t="s">
        <v>2375</v>
      </c>
      <c r="E440" s="0" t="s">
        <v>1479</v>
      </c>
    </row>
    <row r="441" customFormat="false" ht="15" hidden="false" customHeight="false" outlineLevel="0" collapsed="false">
      <c r="A441" s="0" t="s">
        <v>12</v>
      </c>
      <c r="B441" s="0" t="s">
        <v>2385</v>
      </c>
      <c r="C441" s="0" t="s">
        <v>2376</v>
      </c>
      <c r="E441" s="0" t="s">
        <v>1479</v>
      </c>
    </row>
    <row r="442" customFormat="false" ht="15" hidden="false" customHeight="false" outlineLevel="0" collapsed="false">
      <c r="A442" s="0" t="s">
        <v>12</v>
      </c>
      <c r="B442" s="0" t="s">
        <v>2386</v>
      </c>
      <c r="C442" s="0" t="s">
        <v>2377</v>
      </c>
      <c r="E442" s="0" t="s">
        <v>1479</v>
      </c>
    </row>
    <row r="443" customFormat="false" ht="15" hidden="false" customHeight="false" outlineLevel="0" collapsed="false">
      <c r="A443" s="0" t="s">
        <v>12</v>
      </c>
      <c r="B443" s="0" t="s">
        <v>1697</v>
      </c>
      <c r="C443" s="0" t="s">
        <v>2375</v>
      </c>
      <c r="E443" s="0" t="s">
        <v>1479</v>
      </c>
    </row>
    <row r="444" customFormat="false" ht="15" hidden="false" customHeight="false" outlineLevel="0" collapsed="false">
      <c r="A444" s="0" t="s">
        <v>12</v>
      </c>
      <c r="B444" s="0" t="s">
        <v>1700</v>
      </c>
      <c r="C444" s="0" t="s">
        <v>2376</v>
      </c>
      <c r="E444" s="0" t="s">
        <v>1479</v>
      </c>
    </row>
    <row r="445" customFormat="false" ht="15" hidden="false" customHeight="false" outlineLevel="0" collapsed="false">
      <c r="A445" s="0" t="s">
        <v>12</v>
      </c>
      <c r="B445" s="0" t="s">
        <v>1712</v>
      </c>
      <c r="C445" s="0" t="s">
        <v>2377</v>
      </c>
      <c r="E445" s="0" t="s">
        <v>1479</v>
      </c>
    </row>
    <row r="446" customFormat="false" ht="15" hidden="false" customHeight="false" outlineLevel="0" collapsed="false">
      <c r="A446" s="0" t="s">
        <v>12</v>
      </c>
      <c r="B446" s="0" t="s">
        <v>2037</v>
      </c>
      <c r="C446" s="0" t="s">
        <v>2387</v>
      </c>
      <c r="E446" s="0" t="s">
        <v>1479</v>
      </c>
    </row>
    <row r="447" customFormat="false" ht="15" hidden="false" customHeight="false" outlineLevel="0" collapsed="false">
      <c r="A447" s="0" t="s">
        <v>12</v>
      </c>
      <c r="B447" s="0" t="s">
        <v>1764</v>
      </c>
      <c r="C447" s="0" t="s">
        <v>2388</v>
      </c>
      <c r="E447" s="0" t="s">
        <v>1479</v>
      </c>
    </row>
    <row r="448" customFormat="false" ht="15" hidden="false" customHeight="false" outlineLevel="0" collapsed="false">
      <c r="A448" s="0" t="s">
        <v>12</v>
      </c>
      <c r="B448" s="0" t="s">
        <v>1766</v>
      </c>
      <c r="C448" s="0" t="s">
        <v>2389</v>
      </c>
      <c r="E448" s="0" t="s">
        <v>1479</v>
      </c>
    </row>
    <row r="449" customFormat="false" ht="15" hidden="false" customHeight="false" outlineLevel="0" collapsed="false">
      <c r="A449" s="0" t="s">
        <v>12</v>
      </c>
      <c r="B449" s="0" t="s">
        <v>1768</v>
      </c>
      <c r="C449" s="0" t="s">
        <v>2390</v>
      </c>
      <c r="E449" s="0" t="s">
        <v>1479</v>
      </c>
    </row>
    <row r="450" customFormat="false" ht="15" hidden="false" customHeight="false" outlineLevel="0" collapsed="false">
      <c r="A450" s="0" t="s">
        <v>12</v>
      </c>
      <c r="B450" s="0" t="s">
        <v>2042</v>
      </c>
      <c r="C450" s="0" t="s">
        <v>2391</v>
      </c>
      <c r="E450" s="0" t="s">
        <v>1479</v>
      </c>
    </row>
    <row r="451" customFormat="false" ht="15" hidden="false" customHeight="false" outlineLevel="0" collapsed="false">
      <c r="A451" s="0" t="s">
        <v>12</v>
      </c>
      <c r="B451" s="0" t="s">
        <v>1780</v>
      </c>
      <c r="C451" s="0" t="s">
        <v>2392</v>
      </c>
      <c r="E451" s="0" t="s">
        <v>1479</v>
      </c>
    </row>
    <row r="452" customFormat="false" ht="15" hidden="false" customHeight="false" outlineLevel="0" collapsed="false">
      <c r="A452" s="0" t="s">
        <v>12</v>
      </c>
      <c r="B452" s="0" t="s">
        <v>1782</v>
      </c>
      <c r="C452" s="0" t="s">
        <v>2393</v>
      </c>
      <c r="E452" s="0" t="s">
        <v>1479</v>
      </c>
    </row>
    <row r="453" customFormat="false" ht="15" hidden="false" customHeight="false" outlineLevel="0" collapsed="false">
      <c r="A453" s="0" t="s">
        <v>12</v>
      </c>
      <c r="B453" s="0" t="s">
        <v>1784</v>
      </c>
      <c r="C453" s="0" t="s">
        <v>2394</v>
      </c>
      <c r="E453" s="0" t="s">
        <v>1479</v>
      </c>
    </row>
    <row r="454" customFormat="false" ht="15" hidden="false" customHeight="false" outlineLevel="0" collapsed="false">
      <c r="A454" s="0" t="s">
        <v>12</v>
      </c>
      <c r="B454" s="0" t="s">
        <v>2047</v>
      </c>
      <c r="C454" s="0" t="s">
        <v>2395</v>
      </c>
      <c r="E454" s="0" t="s">
        <v>1479</v>
      </c>
    </row>
    <row r="455" customFormat="false" ht="15" hidden="false" customHeight="false" outlineLevel="0" collapsed="false">
      <c r="A455" s="0" t="s">
        <v>12</v>
      </c>
      <c r="B455" s="0" t="s">
        <v>1796</v>
      </c>
      <c r="C455" s="0" t="s">
        <v>2396</v>
      </c>
      <c r="E455" s="0" t="s">
        <v>1479</v>
      </c>
    </row>
    <row r="456" customFormat="false" ht="15" hidden="false" customHeight="false" outlineLevel="0" collapsed="false">
      <c r="A456" s="0" t="s">
        <v>12</v>
      </c>
      <c r="B456" s="0" t="s">
        <v>1798</v>
      </c>
      <c r="C456" s="0" t="s">
        <v>2397</v>
      </c>
      <c r="E456" s="0" t="s">
        <v>1479</v>
      </c>
    </row>
    <row r="457" customFormat="false" ht="15" hidden="false" customHeight="false" outlineLevel="0" collapsed="false">
      <c r="A457" s="0" t="s">
        <v>12</v>
      </c>
      <c r="B457" s="0" t="s">
        <v>1800</v>
      </c>
      <c r="C457" s="0" t="s">
        <v>2398</v>
      </c>
      <c r="E457" s="0" t="s">
        <v>1479</v>
      </c>
    </row>
    <row r="458" customFormat="false" ht="15" hidden="false" customHeight="false" outlineLevel="0" collapsed="false">
      <c r="A458" s="0" t="s">
        <v>12</v>
      </c>
      <c r="B458" s="0" t="s">
        <v>2050</v>
      </c>
      <c r="C458" s="0" t="s">
        <v>2399</v>
      </c>
      <c r="E458" s="0" t="s">
        <v>1479</v>
      </c>
    </row>
    <row r="459" customFormat="false" ht="15" hidden="false" customHeight="false" outlineLevel="0" collapsed="false">
      <c r="A459" s="0" t="s">
        <v>12</v>
      </c>
      <c r="B459" s="0" t="s">
        <v>1812</v>
      </c>
      <c r="C459" s="0" t="s">
        <v>2400</v>
      </c>
      <c r="E459" s="0" t="s">
        <v>1479</v>
      </c>
    </row>
    <row r="460" customFormat="false" ht="15" hidden="false" customHeight="false" outlineLevel="0" collapsed="false">
      <c r="A460" s="0" t="s">
        <v>12</v>
      </c>
      <c r="B460" s="0" t="s">
        <v>1814</v>
      </c>
      <c r="C460" s="0" t="s">
        <v>2401</v>
      </c>
      <c r="E460" s="0" t="s">
        <v>1479</v>
      </c>
    </row>
    <row r="461" customFormat="false" ht="15" hidden="false" customHeight="false" outlineLevel="0" collapsed="false">
      <c r="A461" s="0" t="s">
        <v>12</v>
      </c>
      <c r="B461" s="0" t="s">
        <v>1816</v>
      </c>
      <c r="C461" s="0" t="s">
        <v>2402</v>
      </c>
      <c r="E461" s="0" t="s">
        <v>1479</v>
      </c>
    </row>
    <row r="462" customFormat="false" ht="15" hidden="false" customHeight="false" outlineLevel="0" collapsed="false">
      <c r="A462" s="0" t="s">
        <v>12</v>
      </c>
      <c r="B462" s="0" t="s">
        <v>2403</v>
      </c>
      <c r="C462" s="0" t="s">
        <v>2404</v>
      </c>
      <c r="E462" s="0" t="s">
        <v>1479</v>
      </c>
    </row>
    <row r="463" customFormat="false" ht="15" hidden="false" customHeight="false" outlineLevel="0" collapsed="false">
      <c r="A463" s="0" t="s">
        <v>12</v>
      </c>
      <c r="B463" s="0" t="s">
        <v>2405</v>
      </c>
      <c r="C463" s="0" t="s">
        <v>2406</v>
      </c>
      <c r="E463" s="0" t="s">
        <v>1479</v>
      </c>
    </row>
    <row r="464" customFormat="false" ht="15" hidden="false" customHeight="false" outlineLevel="0" collapsed="false">
      <c r="A464" s="0" t="s">
        <v>12</v>
      </c>
      <c r="B464" s="0" t="s">
        <v>2407</v>
      </c>
      <c r="C464" s="0" t="s">
        <v>2408</v>
      </c>
      <c r="E464" s="0" t="s">
        <v>1479</v>
      </c>
    </row>
    <row r="465" customFormat="false" ht="15" hidden="false" customHeight="false" outlineLevel="0" collapsed="false">
      <c r="A465" s="0" t="s">
        <v>12</v>
      </c>
      <c r="B465" s="0" t="s">
        <v>2409</v>
      </c>
      <c r="C465" s="0" t="s">
        <v>2410</v>
      </c>
      <c r="E465" s="0" t="s">
        <v>1479</v>
      </c>
    </row>
    <row r="466" customFormat="false" ht="15" hidden="false" customHeight="false" outlineLevel="0" collapsed="false">
      <c r="A466" s="0" t="s">
        <v>12</v>
      </c>
      <c r="B466" s="0" t="s">
        <v>2411</v>
      </c>
      <c r="C466" s="0" t="s">
        <v>2412</v>
      </c>
      <c r="E466" s="0" t="s">
        <v>1479</v>
      </c>
    </row>
    <row r="467" customFormat="false" ht="15" hidden="false" customHeight="false" outlineLevel="0" collapsed="false">
      <c r="A467" s="0" t="s">
        <v>12</v>
      </c>
      <c r="B467" s="0" t="s">
        <v>2413</v>
      </c>
      <c r="C467" s="0" t="s">
        <v>2414</v>
      </c>
      <c r="E467" s="0" t="s">
        <v>1479</v>
      </c>
    </row>
    <row r="468" customFormat="false" ht="15" hidden="false" customHeight="false" outlineLevel="0" collapsed="false">
      <c r="A468" s="0" t="s">
        <v>12</v>
      </c>
      <c r="B468" s="0" t="s">
        <v>2415</v>
      </c>
      <c r="C468" s="0" t="s">
        <v>2416</v>
      </c>
      <c r="E468" s="0" t="s">
        <v>1479</v>
      </c>
    </row>
    <row r="469" customFormat="false" ht="15" hidden="false" customHeight="false" outlineLevel="0" collapsed="false">
      <c r="A469" s="0" t="s">
        <v>12</v>
      </c>
      <c r="B469" s="0" t="s">
        <v>2417</v>
      </c>
      <c r="C469" s="0" t="s">
        <v>2418</v>
      </c>
      <c r="E469" s="0" t="s">
        <v>1479</v>
      </c>
    </row>
    <row r="470" customFormat="false" ht="15" hidden="false" customHeight="false" outlineLevel="0" collapsed="false">
      <c r="A470" s="0" t="s">
        <v>12</v>
      </c>
      <c r="B470" s="0" t="s">
        <v>2419</v>
      </c>
      <c r="C470" s="0" t="s">
        <v>2420</v>
      </c>
      <c r="E470" s="0" t="s">
        <v>1479</v>
      </c>
    </row>
    <row r="471" customFormat="false" ht="15" hidden="false" customHeight="false" outlineLevel="0" collapsed="false">
      <c r="A471" s="0" t="s">
        <v>12</v>
      </c>
      <c r="B471" s="0" t="s">
        <v>2421</v>
      </c>
      <c r="C471" s="0" t="s">
        <v>2422</v>
      </c>
      <c r="E471" s="0" t="s">
        <v>1479</v>
      </c>
    </row>
    <row r="472" customFormat="false" ht="15" hidden="false" customHeight="false" outlineLevel="0" collapsed="false">
      <c r="A472" s="0" t="s">
        <v>12</v>
      </c>
      <c r="B472" s="0" t="s">
        <v>2423</v>
      </c>
      <c r="C472" s="0" t="s">
        <v>2424</v>
      </c>
      <c r="E472" s="0" t="s">
        <v>1479</v>
      </c>
    </row>
    <row r="473" customFormat="false" ht="15" hidden="false" customHeight="false" outlineLevel="0" collapsed="false">
      <c r="A473" s="0" t="s">
        <v>12</v>
      </c>
      <c r="B473" s="0" t="s">
        <v>2425</v>
      </c>
      <c r="C473" s="0" t="s">
        <v>2426</v>
      </c>
      <c r="E473" s="0" t="s">
        <v>1479</v>
      </c>
    </row>
    <row r="474" customFormat="false" ht="15" hidden="false" customHeight="false" outlineLevel="0" collapsed="false">
      <c r="A474" s="0" t="s">
        <v>12</v>
      </c>
      <c r="B474" s="0" t="s">
        <v>2053</v>
      </c>
      <c r="C474" s="0" t="s">
        <v>2427</v>
      </c>
      <c r="E474" s="0" t="s">
        <v>1479</v>
      </c>
    </row>
    <row r="475" customFormat="false" ht="15" hidden="false" customHeight="false" outlineLevel="0" collapsed="false">
      <c r="A475" s="0" t="s">
        <v>12</v>
      </c>
      <c r="B475" s="0" t="s">
        <v>1828</v>
      </c>
      <c r="C475" s="0" t="s">
        <v>2428</v>
      </c>
      <c r="E475" s="0" t="s">
        <v>1479</v>
      </c>
    </row>
    <row r="476" customFormat="false" ht="15" hidden="false" customHeight="false" outlineLevel="0" collapsed="false">
      <c r="A476" s="0" t="s">
        <v>12</v>
      </c>
      <c r="B476" s="0" t="s">
        <v>2058</v>
      </c>
      <c r="C476" s="0" t="s">
        <v>2429</v>
      </c>
      <c r="E476" s="0" t="s">
        <v>1479</v>
      </c>
    </row>
    <row r="477" customFormat="false" ht="15" hidden="false" customHeight="false" outlineLevel="0" collapsed="false">
      <c r="A477" s="0" t="s">
        <v>12</v>
      </c>
      <c r="B477" s="0" t="s">
        <v>1831</v>
      </c>
      <c r="C477" s="0" t="s">
        <v>2430</v>
      </c>
      <c r="E477" s="0" t="s">
        <v>1479</v>
      </c>
    </row>
    <row r="478" customFormat="false" ht="15" hidden="false" customHeight="false" outlineLevel="0" collapsed="false">
      <c r="A478" s="0" t="s">
        <v>14</v>
      </c>
      <c r="B478" s="0" t="s">
        <v>506</v>
      </c>
      <c r="C478" s="0" t="s">
        <v>2431</v>
      </c>
      <c r="E478" s="0" t="s">
        <v>2432</v>
      </c>
    </row>
    <row r="479" customFormat="false" ht="15" hidden="false" customHeight="false" outlineLevel="0" collapsed="false">
      <c r="A479" s="0" t="s">
        <v>14</v>
      </c>
      <c r="B479" s="0" t="s">
        <v>1864</v>
      </c>
      <c r="C479" s="0" t="s">
        <v>2433</v>
      </c>
      <c r="D479" s="0" t="s">
        <v>2434</v>
      </c>
      <c r="E479" s="0" t="s">
        <v>2435</v>
      </c>
    </row>
    <row r="480" customFormat="false" ht="15" hidden="false" customHeight="false" outlineLevel="0" collapsed="false">
      <c r="A480" s="0" t="s">
        <v>14</v>
      </c>
      <c r="B480" s="0" t="s">
        <v>1468</v>
      </c>
      <c r="C480" s="0" t="s">
        <v>2436</v>
      </c>
      <c r="E480" s="0" t="s">
        <v>2437</v>
      </c>
    </row>
    <row r="481" customFormat="false" ht="15" hidden="false" customHeight="false" outlineLevel="0" collapsed="false">
      <c r="A481" s="0" t="s">
        <v>14</v>
      </c>
      <c r="B481" s="0" t="s">
        <v>2438</v>
      </c>
      <c r="C481" s="0" t="s">
        <v>2439</v>
      </c>
      <c r="E481" s="0" t="s">
        <v>2440</v>
      </c>
    </row>
    <row r="482" customFormat="false" ht="15" hidden="false" customHeight="false" outlineLevel="0" collapsed="false">
      <c r="A482" s="0" t="s">
        <v>14</v>
      </c>
      <c r="B482" s="0" t="s">
        <v>2441</v>
      </c>
      <c r="C482" s="0" t="s">
        <v>2442</v>
      </c>
      <c r="E482" s="0" t="s">
        <v>1059</v>
      </c>
    </row>
    <row r="483" customFormat="false" ht="15" hidden="false" customHeight="false" outlineLevel="0" collapsed="false">
      <c r="A483" s="0" t="s">
        <v>14</v>
      </c>
      <c r="B483" s="0" t="s">
        <v>2443</v>
      </c>
      <c r="C483" s="0" t="s">
        <v>2444</v>
      </c>
      <c r="E483" s="0" t="s">
        <v>1057</v>
      </c>
    </row>
    <row r="484" customFormat="false" ht="15" hidden="false" customHeight="false" outlineLevel="0" collapsed="false">
      <c r="A484" s="0" t="s">
        <v>14</v>
      </c>
      <c r="B484" s="0" t="s">
        <v>2445</v>
      </c>
      <c r="C484" s="0" t="s">
        <v>2446</v>
      </c>
      <c r="E484" s="0" t="s">
        <v>2447</v>
      </c>
    </row>
    <row r="485" customFormat="false" ht="15" hidden="false" customHeight="false" outlineLevel="0" collapsed="false">
      <c r="A485" s="0" t="s">
        <v>14</v>
      </c>
      <c r="B485" s="0" t="s">
        <v>2448</v>
      </c>
      <c r="C485" s="0" t="s">
        <v>2449</v>
      </c>
      <c r="D485" s="0" t="s">
        <v>1876</v>
      </c>
      <c r="E485" s="0" t="s">
        <v>2450</v>
      </c>
    </row>
    <row r="486" customFormat="false" ht="15" hidden="false" customHeight="false" outlineLevel="0" collapsed="false">
      <c r="A486" s="0" t="s">
        <v>14</v>
      </c>
      <c r="B486" s="0" t="s">
        <v>509</v>
      </c>
      <c r="C486" s="0" t="s">
        <v>2451</v>
      </c>
      <c r="E486" s="0" t="s">
        <v>2452</v>
      </c>
    </row>
    <row r="487" customFormat="false" ht="15" hidden="false" customHeight="false" outlineLevel="0" collapsed="false">
      <c r="A487" s="0" t="s">
        <v>14</v>
      </c>
      <c r="B487" s="0" t="s">
        <v>1867</v>
      </c>
      <c r="C487" s="0" t="s">
        <v>2453</v>
      </c>
      <c r="D487" s="0" t="s">
        <v>2434</v>
      </c>
      <c r="E487" s="0" t="s">
        <v>2454</v>
      </c>
    </row>
    <row r="488" customFormat="false" ht="15" hidden="false" customHeight="false" outlineLevel="0" collapsed="false">
      <c r="A488" s="0" t="s">
        <v>14</v>
      </c>
      <c r="B488" s="0" t="s">
        <v>2117</v>
      </c>
      <c r="C488" s="0" t="s">
        <v>2455</v>
      </c>
      <c r="E488" s="0" t="s">
        <v>2456</v>
      </c>
    </row>
    <row r="489" customFormat="false" ht="15" hidden="false" customHeight="false" outlineLevel="0" collapsed="false">
      <c r="A489" s="0" t="s">
        <v>14</v>
      </c>
      <c r="B489" s="0" t="s">
        <v>2120</v>
      </c>
      <c r="C489" s="0" t="s">
        <v>2457</v>
      </c>
      <c r="E489" s="0" t="s">
        <v>2458</v>
      </c>
    </row>
    <row r="490" customFormat="false" ht="15" hidden="false" customHeight="false" outlineLevel="0" collapsed="false">
      <c r="A490" s="0" t="s">
        <v>14</v>
      </c>
      <c r="B490" s="0" t="s">
        <v>2123</v>
      </c>
      <c r="C490" s="0" t="s">
        <v>2459</v>
      </c>
      <c r="E490" s="0" t="s">
        <v>1059</v>
      </c>
    </row>
    <row r="491" customFormat="false" ht="15" hidden="false" customHeight="false" outlineLevel="0" collapsed="false">
      <c r="A491" s="0" t="s">
        <v>14</v>
      </c>
      <c r="B491" s="0" t="s">
        <v>2126</v>
      </c>
      <c r="C491" s="0" t="s">
        <v>2460</v>
      </c>
      <c r="E491" s="0" t="s">
        <v>1059</v>
      </c>
    </row>
    <row r="492" customFormat="false" ht="15" hidden="false" customHeight="false" outlineLevel="0" collapsed="false">
      <c r="A492" s="0" t="s">
        <v>14</v>
      </c>
      <c r="B492" s="0" t="s">
        <v>2131</v>
      </c>
      <c r="C492" s="0" t="s">
        <v>2461</v>
      </c>
      <c r="E492" s="0" t="s">
        <v>2462</v>
      </c>
    </row>
    <row r="493" customFormat="false" ht="15" hidden="false" customHeight="false" outlineLevel="0" collapsed="false">
      <c r="A493" s="0" t="s">
        <v>14</v>
      </c>
      <c r="B493" s="0" t="s">
        <v>2134</v>
      </c>
      <c r="C493" s="0" t="s">
        <v>2463</v>
      </c>
      <c r="D493" s="0" t="s">
        <v>1876</v>
      </c>
      <c r="E493" s="0" t="s">
        <v>2464</v>
      </c>
    </row>
    <row r="494" customFormat="false" ht="15" hidden="false" customHeight="false" outlineLevel="0" collapsed="false">
      <c r="A494" s="0" t="s">
        <v>14</v>
      </c>
      <c r="B494" s="0" t="s">
        <v>2145</v>
      </c>
      <c r="C494" s="0" t="s">
        <v>2465</v>
      </c>
      <c r="E494" s="0" t="s">
        <v>2466</v>
      </c>
    </row>
    <row r="495" customFormat="false" ht="15" hidden="false" customHeight="false" outlineLevel="0" collapsed="false">
      <c r="A495" s="0" t="s">
        <v>14</v>
      </c>
      <c r="B495" s="0" t="s">
        <v>1870</v>
      </c>
      <c r="C495" s="0" t="s">
        <v>2467</v>
      </c>
      <c r="D495" s="0" t="s">
        <v>2434</v>
      </c>
      <c r="E495" s="0" t="s">
        <v>2468</v>
      </c>
    </row>
    <row r="496" customFormat="false" ht="15" hidden="false" customHeight="false" outlineLevel="0" collapsed="false">
      <c r="A496" s="0" t="s">
        <v>14</v>
      </c>
      <c r="B496" s="0" t="s">
        <v>2148</v>
      </c>
      <c r="C496" s="0" t="s">
        <v>2469</v>
      </c>
      <c r="E496" s="0" t="s">
        <v>2470</v>
      </c>
    </row>
    <row r="497" customFormat="false" ht="15" hidden="false" customHeight="false" outlineLevel="0" collapsed="false">
      <c r="A497" s="0" t="s">
        <v>14</v>
      </c>
      <c r="B497" s="0" t="s">
        <v>2150</v>
      </c>
      <c r="C497" s="0" t="s">
        <v>2471</v>
      </c>
      <c r="E497" s="0" t="s">
        <v>2440</v>
      </c>
    </row>
    <row r="498" customFormat="false" ht="15" hidden="false" customHeight="false" outlineLevel="0" collapsed="false">
      <c r="A498" s="0" t="s">
        <v>14</v>
      </c>
      <c r="B498" s="0" t="s">
        <v>2153</v>
      </c>
      <c r="C498" s="0" t="s">
        <v>2472</v>
      </c>
      <c r="E498" s="0" t="s">
        <v>1059</v>
      </c>
    </row>
    <row r="499" customFormat="false" ht="15" hidden="false" customHeight="false" outlineLevel="0" collapsed="false">
      <c r="A499" s="0" t="s">
        <v>14</v>
      </c>
      <c r="B499" s="0" t="s">
        <v>2155</v>
      </c>
      <c r="C499" s="0" t="s">
        <v>2473</v>
      </c>
      <c r="E499" s="0" t="s">
        <v>1057</v>
      </c>
    </row>
    <row r="500" customFormat="false" ht="15" hidden="false" customHeight="false" outlineLevel="0" collapsed="false">
      <c r="A500" s="0" t="s">
        <v>14</v>
      </c>
      <c r="B500" s="0" t="s">
        <v>2160</v>
      </c>
      <c r="C500" s="0" t="s">
        <v>2474</v>
      </c>
      <c r="E500" s="0" t="s">
        <v>2475</v>
      </c>
    </row>
    <row r="501" customFormat="false" ht="15" hidden="false" customHeight="false" outlineLevel="0" collapsed="false">
      <c r="A501" s="0" t="s">
        <v>14</v>
      </c>
      <c r="B501" s="0" t="s">
        <v>2162</v>
      </c>
      <c r="C501" s="0" t="s">
        <v>2476</v>
      </c>
      <c r="D501" s="0" t="s">
        <v>1876</v>
      </c>
      <c r="E501" s="0" t="s">
        <v>2477</v>
      </c>
    </row>
    <row r="502" customFormat="false" ht="15" hidden="false" customHeight="false" outlineLevel="0" collapsed="false">
      <c r="A502" s="0" t="s">
        <v>14</v>
      </c>
      <c r="B502" s="0" t="s">
        <v>2171</v>
      </c>
      <c r="C502" s="0" t="s">
        <v>2478</v>
      </c>
      <c r="E502" s="0" t="s">
        <v>2479</v>
      </c>
    </row>
    <row r="503" customFormat="false" ht="15" hidden="false" customHeight="false" outlineLevel="0" collapsed="false">
      <c r="A503" s="0" t="s">
        <v>14</v>
      </c>
      <c r="B503" s="0" t="s">
        <v>1471</v>
      </c>
      <c r="C503" s="0" t="s">
        <v>2480</v>
      </c>
      <c r="D503" s="0" t="s">
        <v>2434</v>
      </c>
      <c r="E503" s="0" t="s">
        <v>2481</v>
      </c>
    </row>
    <row r="504" customFormat="false" ht="15" hidden="false" customHeight="false" outlineLevel="0" collapsed="false">
      <c r="A504" s="0" t="s">
        <v>14</v>
      </c>
      <c r="B504" s="0" t="s">
        <v>2174</v>
      </c>
      <c r="C504" s="0" t="s">
        <v>2482</v>
      </c>
      <c r="E504" s="0" t="s">
        <v>2483</v>
      </c>
    </row>
    <row r="505" customFormat="false" ht="15" hidden="false" customHeight="false" outlineLevel="0" collapsed="false">
      <c r="A505" s="0" t="s">
        <v>14</v>
      </c>
      <c r="B505" s="0" t="s">
        <v>1474</v>
      </c>
      <c r="C505" s="0" t="s">
        <v>2484</v>
      </c>
      <c r="E505" s="0" t="s">
        <v>2458</v>
      </c>
    </row>
    <row r="506" customFormat="false" ht="15" hidden="false" customHeight="false" outlineLevel="0" collapsed="false">
      <c r="A506" s="0" t="s">
        <v>14</v>
      </c>
      <c r="B506" s="0" t="s">
        <v>1477</v>
      </c>
      <c r="C506" s="0" t="s">
        <v>2485</v>
      </c>
      <c r="E506" s="0" t="s">
        <v>1057</v>
      </c>
    </row>
    <row r="507" customFormat="false" ht="15" hidden="false" customHeight="false" outlineLevel="0" collapsed="false">
      <c r="A507" s="0" t="s">
        <v>14</v>
      </c>
      <c r="B507" s="0" t="s">
        <v>2179</v>
      </c>
      <c r="C507" s="0" t="s">
        <v>2486</v>
      </c>
      <c r="E507" s="0" t="s">
        <v>1057</v>
      </c>
    </row>
    <row r="508" customFormat="false" ht="15" hidden="false" customHeight="false" outlineLevel="0" collapsed="false">
      <c r="A508" s="0" t="s">
        <v>14</v>
      </c>
      <c r="B508" s="0" t="s">
        <v>2183</v>
      </c>
      <c r="C508" s="0" t="s">
        <v>2487</v>
      </c>
      <c r="E508" s="0" t="s">
        <v>2488</v>
      </c>
    </row>
    <row r="509" customFormat="false" ht="15" hidden="false" customHeight="false" outlineLevel="0" collapsed="false">
      <c r="A509" s="0" t="s">
        <v>14</v>
      </c>
      <c r="B509" s="0" t="s">
        <v>2185</v>
      </c>
      <c r="C509" s="0" t="s">
        <v>2489</v>
      </c>
      <c r="D509" s="0" t="s">
        <v>1876</v>
      </c>
      <c r="E509" s="0" t="s">
        <v>2490</v>
      </c>
    </row>
    <row r="510" customFormat="false" ht="15" hidden="false" customHeight="false" outlineLevel="0" collapsed="false">
      <c r="A510" s="0" t="s">
        <v>14</v>
      </c>
      <c r="B510" s="0" t="s">
        <v>2194</v>
      </c>
      <c r="C510" s="0" t="s">
        <v>2491</v>
      </c>
      <c r="E510" s="0" t="s">
        <v>2492</v>
      </c>
    </row>
    <row r="511" customFormat="false" ht="15" hidden="false" customHeight="false" outlineLevel="0" collapsed="false">
      <c r="A511" s="0" t="s">
        <v>14</v>
      </c>
      <c r="B511" s="0" t="s">
        <v>1480</v>
      </c>
      <c r="C511" s="0" t="s">
        <v>2493</v>
      </c>
      <c r="D511" s="0" t="s">
        <v>2434</v>
      </c>
      <c r="E511" s="0" t="s">
        <v>2494</v>
      </c>
    </row>
    <row r="512" customFormat="false" ht="15" hidden="false" customHeight="false" outlineLevel="0" collapsed="false">
      <c r="A512" s="0" t="s">
        <v>14</v>
      </c>
      <c r="B512" s="0" t="s">
        <v>2197</v>
      </c>
      <c r="C512" s="0" t="s">
        <v>2495</v>
      </c>
      <c r="E512" s="0" t="s">
        <v>2496</v>
      </c>
    </row>
    <row r="513" customFormat="false" ht="15" hidden="false" customHeight="false" outlineLevel="0" collapsed="false">
      <c r="A513" s="0" t="s">
        <v>14</v>
      </c>
      <c r="B513" s="0" t="s">
        <v>1483</v>
      </c>
      <c r="C513" s="0" t="s">
        <v>2497</v>
      </c>
      <c r="E513" s="0" t="s">
        <v>2440</v>
      </c>
    </row>
    <row r="514" customFormat="false" ht="15" hidden="false" customHeight="false" outlineLevel="0" collapsed="false">
      <c r="A514" s="0" t="s">
        <v>14</v>
      </c>
      <c r="B514" s="0" t="s">
        <v>1486</v>
      </c>
      <c r="C514" s="0" t="s">
        <v>2498</v>
      </c>
      <c r="E514" s="0" t="s">
        <v>1057</v>
      </c>
    </row>
    <row r="515" customFormat="false" ht="15" hidden="false" customHeight="false" outlineLevel="0" collapsed="false">
      <c r="A515" s="0" t="s">
        <v>14</v>
      </c>
      <c r="B515" s="0" t="s">
        <v>2203</v>
      </c>
      <c r="C515" s="0" t="s">
        <v>2499</v>
      </c>
      <c r="E515" s="0" t="s">
        <v>1059</v>
      </c>
    </row>
    <row r="516" customFormat="false" ht="15" hidden="false" customHeight="false" outlineLevel="0" collapsed="false">
      <c r="A516" s="0" t="s">
        <v>14</v>
      </c>
      <c r="B516" s="0" t="s">
        <v>2207</v>
      </c>
      <c r="C516" s="0" t="s">
        <v>2500</v>
      </c>
      <c r="E516" s="0" t="s">
        <v>2488</v>
      </c>
    </row>
    <row r="517" customFormat="false" ht="15" hidden="false" customHeight="false" outlineLevel="0" collapsed="false">
      <c r="A517" s="0" t="s">
        <v>14</v>
      </c>
      <c r="B517" s="0" t="s">
        <v>2209</v>
      </c>
      <c r="C517" s="0" t="s">
        <v>2501</v>
      </c>
      <c r="D517" s="0" t="s">
        <v>1876</v>
      </c>
      <c r="E517" s="0" t="s">
        <v>2502</v>
      </c>
    </row>
    <row r="518" customFormat="false" ht="15" hidden="false" customHeight="false" outlineLevel="0" collapsed="false">
      <c r="A518" s="0" t="s">
        <v>14</v>
      </c>
      <c r="B518" s="0" t="s">
        <v>2218</v>
      </c>
      <c r="C518" s="0" t="s">
        <v>2503</v>
      </c>
      <c r="E518" s="0" t="s">
        <v>2504</v>
      </c>
    </row>
    <row r="519" customFormat="false" ht="15" hidden="false" customHeight="false" outlineLevel="0" collapsed="false">
      <c r="A519" s="0" t="s">
        <v>14</v>
      </c>
      <c r="B519" s="0" t="s">
        <v>1488</v>
      </c>
      <c r="C519" s="0" t="s">
        <v>2505</v>
      </c>
      <c r="D519" s="0" t="s">
        <v>2434</v>
      </c>
      <c r="E519" s="0" t="s">
        <v>2506</v>
      </c>
    </row>
    <row r="520" customFormat="false" ht="15" hidden="false" customHeight="false" outlineLevel="0" collapsed="false">
      <c r="A520" s="0" t="s">
        <v>14</v>
      </c>
      <c r="B520" s="0" t="s">
        <v>2221</v>
      </c>
      <c r="C520" s="0" t="s">
        <v>2507</v>
      </c>
      <c r="E520" s="0" t="s">
        <v>2508</v>
      </c>
    </row>
    <row r="521" customFormat="false" ht="15" hidden="false" customHeight="false" outlineLevel="0" collapsed="false">
      <c r="A521" s="0" t="s">
        <v>14</v>
      </c>
      <c r="B521" s="0" t="s">
        <v>1490</v>
      </c>
      <c r="C521" s="0" t="s">
        <v>2509</v>
      </c>
      <c r="E521" s="0" t="s">
        <v>2458</v>
      </c>
    </row>
    <row r="522" customFormat="false" ht="15" hidden="false" customHeight="false" outlineLevel="0" collapsed="false">
      <c r="A522" s="0" t="s">
        <v>14</v>
      </c>
      <c r="B522" s="0" t="s">
        <v>1492</v>
      </c>
      <c r="C522" s="0" t="s">
        <v>2510</v>
      </c>
      <c r="E522" s="0" t="s">
        <v>1057</v>
      </c>
    </row>
    <row r="523" customFormat="false" ht="15" hidden="false" customHeight="false" outlineLevel="0" collapsed="false">
      <c r="A523" s="0" t="s">
        <v>14</v>
      </c>
      <c r="B523" s="0" t="s">
        <v>2227</v>
      </c>
      <c r="C523" s="0" t="s">
        <v>2511</v>
      </c>
      <c r="E523" s="0" t="s">
        <v>1057</v>
      </c>
    </row>
    <row r="524" customFormat="false" ht="15" hidden="false" customHeight="false" outlineLevel="0" collapsed="false">
      <c r="A524" s="0" t="s">
        <v>14</v>
      </c>
      <c r="B524" s="0" t="s">
        <v>2233</v>
      </c>
      <c r="C524" s="0" t="s">
        <v>2512</v>
      </c>
      <c r="E524" s="0" t="s">
        <v>2513</v>
      </c>
    </row>
    <row r="525" customFormat="false" ht="15" hidden="false" customHeight="false" outlineLevel="0" collapsed="false">
      <c r="A525" s="0" t="s">
        <v>14</v>
      </c>
      <c r="B525" s="0" t="s">
        <v>2235</v>
      </c>
      <c r="C525" s="0" t="s">
        <v>2514</v>
      </c>
      <c r="D525" s="0" t="s">
        <v>1876</v>
      </c>
      <c r="E525" s="0" t="s">
        <v>2464</v>
      </c>
    </row>
    <row r="526" customFormat="false" ht="15" hidden="false" customHeight="false" outlineLevel="0" collapsed="false">
      <c r="A526" s="0" t="s">
        <v>14</v>
      </c>
      <c r="B526" s="0" t="s">
        <v>2244</v>
      </c>
      <c r="C526" s="0" t="s">
        <v>2515</v>
      </c>
      <c r="E526" s="0" t="s">
        <v>1479</v>
      </c>
    </row>
    <row r="527" customFormat="false" ht="15" hidden="false" customHeight="false" outlineLevel="0" collapsed="false">
      <c r="A527" s="0" t="s">
        <v>14</v>
      </c>
      <c r="B527" s="0" t="s">
        <v>1494</v>
      </c>
      <c r="C527" s="0" t="s">
        <v>2516</v>
      </c>
      <c r="D527" s="0" t="s">
        <v>2434</v>
      </c>
      <c r="E527" s="0" t="s">
        <v>1479</v>
      </c>
    </row>
    <row r="528" customFormat="false" ht="15" hidden="false" customHeight="false" outlineLevel="0" collapsed="false">
      <c r="A528" s="0" t="s">
        <v>14</v>
      </c>
      <c r="B528" s="0" t="s">
        <v>2247</v>
      </c>
      <c r="C528" s="0" t="s">
        <v>2517</v>
      </c>
      <c r="E528" s="0" t="s">
        <v>1479</v>
      </c>
    </row>
    <row r="529" customFormat="false" ht="15" hidden="false" customHeight="false" outlineLevel="0" collapsed="false">
      <c r="A529" s="0" t="s">
        <v>14</v>
      </c>
      <c r="B529" s="0" t="s">
        <v>1496</v>
      </c>
      <c r="C529" s="0" t="s">
        <v>2518</v>
      </c>
      <c r="E529" s="0" t="s">
        <v>1479</v>
      </c>
    </row>
    <row r="530" customFormat="false" ht="15" hidden="false" customHeight="false" outlineLevel="0" collapsed="false">
      <c r="A530" s="0" t="s">
        <v>14</v>
      </c>
      <c r="B530" s="0" t="s">
        <v>1498</v>
      </c>
      <c r="C530" s="0" t="s">
        <v>2519</v>
      </c>
      <c r="E530" s="0" t="s">
        <v>1479</v>
      </c>
    </row>
    <row r="531" customFormat="false" ht="15" hidden="false" customHeight="false" outlineLevel="0" collapsed="false">
      <c r="A531" s="0" t="s">
        <v>14</v>
      </c>
      <c r="B531" s="0" t="s">
        <v>2253</v>
      </c>
      <c r="C531" s="0" t="s">
        <v>2520</v>
      </c>
      <c r="E531" s="0" t="s">
        <v>1479</v>
      </c>
    </row>
    <row r="532" customFormat="false" ht="15" hidden="false" customHeight="false" outlineLevel="0" collapsed="false">
      <c r="A532" s="0" t="s">
        <v>14</v>
      </c>
      <c r="B532" s="0" t="s">
        <v>2257</v>
      </c>
      <c r="C532" s="0" t="s">
        <v>2521</v>
      </c>
      <c r="E532" s="0" t="s">
        <v>1479</v>
      </c>
    </row>
    <row r="533" customFormat="false" ht="15" hidden="false" customHeight="false" outlineLevel="0" collapsed="false">
      <c r="A533" s="0" t="s">
        <v>14</v>
      </c>
      <c r="B533" s="0" t="s">
        <v>2259</v>
      </c>
      <c r="C533" s="0" t="s">
        <v>2522</v>
      </c>
      <c r="D533" s="0" t="s">
        <v>1876</v>
      </c>
      <c r="E533" s="0" t="s">
        <v>1479</v>
      </c>
    </row>
    <row r="534" customFormat="false" ht="15" hidden="false" customHeight="false" outlineLevel="0" collapsed="false">
      <c r="A534" s="0" t="s">
        <v>14</v>
      </c>
      <c r="B534" s="0" t="s">
        <v>2268</v>
      </c>
      <c r="C534" s="0" t="s">
        <v>2523</v>
      </c>
      <c r="E534" s="0" t="s">
        <v>1479</v>
      </c>
    </row>
    <row r="535" customFormat="false" ht="15" hidden="false" customHeight="false" outlineLevel="0" collapsed="false">
      <c r="A535" s="0" t="s">
        <v>14</v>
      </c>
      <c r="B535" s="0" t="s">
        <v>1500</v>
      </c>
      <c r="C535" s="0" t="s">
        <v>2524</v>
      </c>
      <c r="D535" s="0" t="s">
        <v>2434</v>
      </c>
      <c r="E535" s="0" t="s">
        <v>1479</v>
      </c>
    </row>
    <row r="536" customFormat="false" ht="15" hidden="false" customHeight="false" outlineLevel="0" collapsed="false">
      <c r="A536" s="0" t="s">
        <v>14</v>
      </c>
      <c r="B536" s="0" t="s">
        <v>2271</v>
      </c>
      <c r="C536" s="0" t="s">
        <v>2525</v>
      </c>
      <c r="E536" s="0" t="s">
        <v>1479</v>
      </c>
    </row>
    <row r="537" customFormat="false" ht="15" hidden="false" customHeight="false" outlineLevel="0" collapsed="false">
      <c r="A537" s="0" t="s">
        <v>14</v>
      </c>
      <c r="B537" s="0" t="s">
        <v>1502</v>
      </c>
      <c r="C537" s="0" t="s">
        <v>2526</v>
      </c>
      <c r="E537" s="0" t="s">
        <v>1479</v>
      </c>
    </row>
    <row r="538" customFormat="false" ht="15" hidden="false" customHeight="false" outlineLevel="0" collapsed="false">
      <c r="A538" s="0" t="s">
        <v>14</v>
      </c>
      <c r="B538" s="0" t="s">
        <v>1504</v>
      </c>
      <c r="C538" s="0" t="s">
        <v>2527</v>
      </c>
      <c r="E538" s="0" t="s">
        <v>1479</v>
      </c>
    </row>
    <row r="539" customFormat="false" ht="15" hidden="false" customHeight="false" outlineLevel="0" collapsed="false">
      <c r="A539" s="0" t="s">
        <v>14</v>
      </c>
      <c r="B539" s="0" t="s">
        <v>2275</v>
      </c>
      <c r="C539" s="0" t="s">
        <v>2528</v>
      </c>
      <c r="E539" s="0" t="s">
        <v>1479</v>
      </c>
    </row>
    <row r="540" customFormat="false" ht="15" hidden="false" customHeight="false" outlineLevel="0" collapsed="false">
      <c r="A540" s="0" t="s">
        <v>14</v>
      </c>
      <c r="B540" s="0" t="s">
        <v>2279</v>
      </c>
      <c r="C540" s="0" t="s">
        <v>2529</v>
      </c>
      <c r="E540" s="0" t="s">
        <v>1479</v>
      </c>
    </row>
    <row r="541" customFormat="false" ht="15" hidden="false" customHeight="false" outlineLevel="0" collapsed="false">
      <c r="A541" s="0" t="s">
        <v>14</v>
      </c>
      <c r="B541" s="0" t="s">
        <v>2281</v>
      </c>
      <c r="C541" s="0" t="s">
        <v>2530</v>
      </c>
      <c r="D541" s="0" t="s">
        <v>1876</v>
      </c>
      <c r="E541" s="0" t="s">
        <v>1479</v>
      </c>
    </row>
    <row r="542" customFormat="false" ht="15" hidden="false" customHeight="false" outlineLevel="0" collapsed="false">
      <c r="A542" s="0" t="s">
        <v>14</v>
      </c>
      <c r="B542" s="0" t="s">
        <v>2289</v>
      </c>
      <c r="C542" s="0" t="s">
        <v>2531</v>
      </c>
      <c r="E542" s="0" t="s">
        <v>1479</v>
      </c>
    </row>
    <row r="543" customFormat="false" ht="15" hidden="false" customHeight="false" outlineLevel="0" collapsed="false">
      <c r="A543" s="0" t="s">
        <v>14</v>
      </c>
      <c r="B543" s="0" t="s">
        <v>2291</v>
      </c>
      <c r="C543" s="0" t="s">
        <v>2532</v>
      </c>
      <c r="D543" s="0" t="s">
        <v>2434</v>
      </c>
      <c r="E543" s="0" t="s">
        <v>1479</v>
      </c>
    </row>
    <row r="544" customFormat="false" ht="15" hidden="false" customHeight="false" outlineLevel="0" collapsed="false">
      <c r="A544" s="0" t="s">
        <v>14</v>
      </c>
      <c r="B544" s="0" t="s">
        <v>2293</v>
      </c>
      <c r="C544" s="0" t="s">
        <v>2533</v>
      </c>
      <c r="E544" s="0" t="s">
        <v>1479</v>
      </c>
    </row>
    <row r="545" customFormat="false" ht="15" hidden="false" customHeight="false" outlineLevel="0" collapsed="false">
      <c r="A545" s="0" t="s">
        <v>14</v>
      </c>
      <c r="B545" s="0" t="s">
        <v>2295</v>
      </c>
      <c r="C545" s="0" t="s">
        <v>2534</v>
      </c>
      <c r="E545" s="0" t="s">
        <v>1479</v>
      </c>
    </row>
    <row r="546" customFormat="false" ht="15" hidden="false" customHeight="false" outlineLevel="0" collapsed="false">
      <c r="A546" s="0" t="s">
        <v>14</v>
      </c>
      <c r="B546" s="0" t="s">
        <v>2297</v>
      </c>
      <c r="C546" s="0" t="s">
        <v>2535</v>
      </c>
      <c r="E546" s="0" t="s">
        <v>1479</v>
      </c>
    </row>
    <row r="547" customFormat="false" ht="15" hidden="false" customHeight="false" outlineLevel="0" collapsed="false">
      <c r="A547" s="0" t="s">
        <v>14</v>
      </c>
      <c r="B547" s="0" t="s">
        <v>2299</v>
      </c>
      <c r="C547" s="0" t="s">
        <v>2536</v>
      </c>
      <c r="E547" s="0" t="s">
        <v>1479</v>
      </c>
    </row>
    <row r="548" customFormat="false" ht="15" hidden="false" customHeight="false" outlineLevel="0" collapsed="false">
      <c r="A548" s="0" t="s">
        <v>14</v>
      </c>
      <c r="B548" s="0" t="s">
        <v>2303</v>
      </c>
      <c r="C548" s="0" t="s">
        <v>2537</v>
      </c>
      <c r="E548" s="0" t="s">
        <v>1479</v>
      </c>
    </row>
    <row r="549" customFormat="false" ht="15" hidden="false" customHeight="false" outlineLevel="0" collapsed="false">
      <c r="A549" s="0" t="s">
        <v>14</v>
      </c>
      <c r="B549" s="0" t="s">
        <v>2305</v>
      </c>
      <c r="C549" s="0" t="s">
        <v>2538</v>
      </c>
      <c r="D549" s="0" t="s">
        <v>1876</v>
      </c>
      <c r="E549" s="0" t="s">
        <v>1479</v>
      </c>
    </row>
    <row r="550" customFormat="false" ht="15" hidden="false" customHeight="false" outlineLevel="0" collapsed="false">
      <c r="A550" s="0" t="s">
        <v>14</v>
      </c>
      <c r="B550" s="0" t="s">
        <v>1880</v>
      </c>
      <c r="C550" s="0" t="s">
        <v>2539</v>
      </c>
      <c r="E550" s="0" t="s">
        <v>1479</v>
      </c>
    </row>
    <row r="551" customFormat="false" ht="15" hidden="false" customHeight="false" outlineLevel="0" collapsed="false">
      <c r="A551" s="0" t="s">
        <v>14</v>
      </c>
      <c r="B551" s="0" t="s">
        <v>1883</v>
      </c>
      <c r="C551" s="0" t="s">
        <v>2540</v>
      </c>
      <c r="D551" s="0" t="s">
        <v>2434</v>
      </c>
      <c r="E551" s="0" t="s">
        <v>1479</v>
      </c>
    </row>
    <row r="552" customFormat="false" ht="15" hidden="false" customHeight="false" outlineLevel="0" collapsed="false">
      <c r="A552" s="0" t="s">
        <v>14</v>
      </c>
      <c r="B552" s="0" t="s">
        <v>1886</v>
      </c>
      <c r="C552" s="0" t="s">
        <v>2541</v>
      </c>
      <c r="E552" s="0" t="s">
        <v>1479</v>
      </c>
    </row>
    <row r="553" customFormat="false" ht="15" hidden="false" customHeight="false" outlineLevel="0" collapsed="false">
      <c r="A553" s="0" t="s">
        <v>14</v>
      </c>
      <c r="B553" s="0" t="s">
        <v>1888</v>
      </c>
      <c r="C553" s="0" t="s">
        <v>2542</v>
      </c>
      <c r="E553" s="0" t="s">
        <v>1479</v>
      </c>
    </row>
    <row r="554" customFormat="false" ht="15" hidden="false" customHeight="false" outlineLevel="0" collapsed="false">
      <c r="A554" s="0" t="s">
        <v>14</v>
      </c>
      <c r="B554" s="0" t="s">
        <v>1891</v>
      </c>
      <c r="C554" s="0" t="s">
        <v>2543</v>
      </c>
      <c r="E554" s="0" t="s">
        <v>1479</v>
      </c>
    </row>
    <row r="555" customFormat="false" ht="15" hidden="false" customHeight="false" outlineLevel="0" collapsed="false">
      <c r="A555" s="0" t="s">
        <v>14</v>
      </c>
      <c r="B555" s="0" t="s">
        <v>1894</v>
      </c>
      <c r="C555" s="0" t="s">
        <v>2544</v>
      </c>
      <c r="E555" s="0" t="s">
        <v>1479</v>
      </c>
    </row>
    <row r="556" customFormat="false" ht="15" hidden="false" customHeight="false" outlineLevel="0" collapsed="false">
      <c r="A556" s="0" t="s">
        <v>14</v>
      </c>
      <c r="B556" s="0" t="s">
        <v>2321</v>
      </c>
      <c r="C556" s="0" t="s">
        <v>2545</v>
      </c>
      <c r="E556" s="0" t="s">
        <v>1479</v>
      </c>
    </row>
    <row r="557" customFormat="false" ht="15" hidden="false" customHeight="false" outlineLevel="0" collapsed="false">
      <c r="A557" s="0" t="s">
        <v>14</v>
      </c>
      <c r="B557" s="0" t="s">
        <v>2323</v>
      </c>
      <c r="C557" s="0" t="s">
        <v>2546</v>
      </c>
      <c r="D557" s="0" t="s">
        <v>1876</v>
      </c>
      <c r="E557" s="0" t="s">
        <v>1479</v>
      </c>
    </row>
    <row r="558" customFormat="false" ht="15" hidden="false" customHeight="false" outlineLevel="0" collapsed="false">
      <c r="A558" s="0" t="s">
        <v>14</v>
      </c>
      <c r="B558" s="0" t="s">
        <v>1898</v>
      </c>
      <c r="C558" s="0" t="s">
        <v>2547</v>
      </c>
      <c r="E558" s="0" t="s">
        <v>1479</v>
      </c>
    </row>
    <row r="559" customFormat="false" ht="15" hidden="false" customHeight="false" outlineLevel="0" collapsed="false">
      <c r="A559" s="0" t="s">
        <v>14</v>
      </c>
      <c r="B559" s="0" t="s">
        <v>1506</v>
      </c>
      <c r="C559" s="0" t="s">
        <v>2548</v>
      </c>
      <c r="D559" s="0" t="s">
        <v>2434</v>
      </c>
      <c r="E559" s="0" t="s">
        <v>1479</v>
      </c>
    </row>
    <row r="560" customFormat="false" ht="15" hidden="false" customHeight="false" outlineLevel="0" collapsed="false">
      <c r="A560" s="0" t="s">
        <v>14</v>
      </c>
      <c r="B560" s="0" t="s">
        <v>1901</v>
      </c>
      <c r="C560" s="0" t="s">
        <v>2549</v>
      </c>
      <c r="E560" s="0" t="s">
        <v>1479</v>
      </c>
    </row>
    <row r="561" customFormat="false" ht="15" hidden="false" customHeight="false" outlineLevel="0" collapsed="false">
      <c r="A561" s="0" t="s">
        <v>14</v>
      </c>
      <c r="B561" s="0" t="s">
        <v>1509</v>
      </c>
      <c r="C561" s="0" t="s">
        <v>2550</v>
      </c>
      <c r="E561" s="0" t="s">
        <v>1479</v>
      </c>
    </row>
    <row r="562" customFormat="false" ht="15" hidden="false" customHeight="false" outlineLevel="0" collapsed="false">
      <c r="A562" s="0" t="s">
        <v>14</v>
      </c>
      <c r="B562" s="0" t="s">
        <v>1512</v>
      </c>
      <c r="C562" s="0" t="s">
        <v>2551</v>
      </c>
      <c r="E562" s="0" t="s">
        <v>1479</v>
      </c>
    </row>
    <row r="563" customFormat="false" ht="15" hidden="false" customHeight="false" outlineLevel="0" collapsed="false">
      <c r="A563" s="0" t="s">
        <v>14</v>
      </c>
      <c r="B563" s="0" t="s">
        <v>1515</v>
      </c>
      <c r="C563" s="0" t="s">
        <v>2552</v>
      </c>
      <c r="E563" s="0" t="s">
        <v>1479</v>
      </c>
    </row>
    <row r="564" customFormat="false" ht="15" hidden="false" customHeight="false" outlineLevel="0" collapsed="false">
      <c r="A564" s="0" t="s">
        <v>14</v>
      </c>
      <c r="B564" s="0" t="s">
        <v>2339</v>
      </c>
      <c r="C564" s="0" t="s">
        <v>2553</v>
      </c>
      <c r="E564" s="0" t="s">
        <v>1479</v>
      </c>
    </row>
    <row r="565" customFormat="false" ht="15" hidden="false" customHeight="false" outlineLevel="0" collapsed="false">
      <c r="A565" s="0" t="s">
        <v>14</v>
      </c>
      <c r="B565" s="0" t="s">
        <v>2341</v>
      </c>
      <c r="C565" s="0" t="s">
        <v>2554</v>
      </c>
      <c r="D565" s="0" t="s">
        <v>1876</v>
      </c>
      <c r="E565" s="0" t="s">
        <v>1479</v>
      </c>
    </row>
    <row r="566" customFormat="false" ht="15" hidden="false" customHeight="false" outlineLevel="0" collapsed="false">
      <c r="A566" s="0" t="s">
        <v>14</v>
      </c>
      <c r="B566" s="0" t="s">
        <v>1909</v>
      </c>
      <c r="C566" s="0" t="s">
        <v>2555</v>
      </c>
      <c r="E566" s="0" t="s">
        <v>1479</v>
      </c>
    </row>
    <row r="567" customFormat="false" ht="15" hidden="false" customHeight="false" outlineLevel="0" collapsed="false">
      <c r="A567" s="0" t="s">
        <v>14</v>
      </c>
      <c r="B567" s="0" t="s">
        <v>1518</v>
      </c>
      <c r="C567" s="0" t="s">
        <v>2556</v>
      </c>
      <c r="D567" s="0" t="s">
        <v>2434</v>
      </c>
      <c r="E567" s="0" t="s">
        <v>1479</v>
      </c>
    </row>
    <row r="568" customFormat="false" ht="15" hidden="false" customHeight="false" outlineLevel="0" collapsed="false">
      <c r="A568" s="0" t="s">
        <v>14</v>
      </c>
      <c r="B568" s="0" t="s">
        <v>1912</v>
      </c>
      <c r="C568" s="0" t="s">
        <v>2557</v>
      </c>
      <c r="E568" s="0" t="s">
        <v>1479</v>
      </c>
    </row>
    <row r="569" customFormat="false" ht="15" hidden="false" customHeight="false" outlineLevel="0" collapsed="false">
      <c r="A569" s="0" t="s">
        <v>14</v>
      </c>
      <c r="B569" s="0" t="s">
        <v>1521</v>
      </c>
      <c r="C569" s="0" t="s">
        <v>2558</v>
      </c>
      <c r="E569" s="0" t="s">
        <v>1479</v>
      </c>
    </row>
    <row r="570" customFormat="false" ht="15" hidden="false" customHeight="false" outlineLevel="0" collapsed="false">
      <c r="A570" s="0" t="s">
        <v>14</v>
      </c>
      <c r="B570" s="0" t="s">
        <v>1524</v>
      </c>
      <c r="C570" s="0" t="s">
        <v>2559</v>
      </c>
      <c r="E570" s="0" t="s">
        <v>1479</v>
      </c>
    </row>
    <row r="571" customFormat="false" ht="15" hidden="false" customHeight="false" outlineLevel="0" collapsed="false">
      <c r="A571" s="0" t="s">
        <v>14</v>
      </c>
      <c r="B571" s="0" t="s">
        <v>1527</v>
      </c>
      <c r="C571" s="0" t="s">
        <v>2560</v>
      </c>
      <c r="E571" s="0" t="s">
        <v>1479</v>
      </c>
    </row>
    <row r="572" customFormat="false" ht="15" hidden="false" customHeight="false" outlineLevel="0" collapsed="false">
      <c r="A572" s="0" t="s">
        <v>14</v>
      </c>
      <c r="B572" s="0" t="s">
        <v>2561</v>
      </c>
      <c r="C572" s="0" t="s">
        <v>2562</v>
      </c>
      <c r="E572" s="0" t="s">
        <v>1479</v>
      </c>
    </row>
    <row r="573" customFormat="false" ht="15" hidden="false" customHeight="false" outlineLevel="0" collapsed="false">
      <c r="A573" s="0" t="s">
        <v>14</v>
      </c>
      <c r="B573" s="0" t="s">
        <v>2563</v>
      </c>
      <c r="C573" s="0" t="s">
        <v>2564</v>
      </c>
      <c r="D573" s="0" t="s">
        <v>1876</v>
      </c>
      <c r="E573" s="0" t="s">
        <v>1479</v>
      </c>
    </row>
    <row r="574" customFormat="false" ht="15" hidden="false" customHeight="false" outlineLevel="0" collapsed="false">
      <c r="A574" s="0" t="s">
        <v>14</v>
      </c>
      <c r="B574" s="0" t="s">
        <v>1917</v>
      </c>
      <c r="C574" s="0" t="s">
        <v>2565</v>
      </c>
      <c r="E574" s="0" t="s">
        <v>1479</v>
      </c>
    </row>
    <row r="575" customFormat="false" ht="15" hidden="false" customHeight="false" outlineLevel="0" collapsed="false">
      <c r="A575" s="0" t="s">
        <v>14</v>
      </c>
      <c r="B575" s="0" t="s">
        <v>1529</v>
      </c>
      <c r="C575" s="0" t="s">
        <v>2566</v>
      </c>
      <c r="D575" s="0" t="s">
        <v>2434</v>
      </c>
      <c r="E575" s="0" t="s">
        <v>1479</v>
      </c>
    </row>
    <row r="576" customFormat="false" ht="15" hidden="false" customHeight="false" outlineLevel="0" collapsed="false">
      <c r="A576" s="0" t="s">
        <v>14</v>
      </c>
      <c r="B576" s="0" t="s">
        <v>1920</v>
      </c>
      <c r="C576" s="0" t="s">
        <v>2567</v>
      </c>
      <c r="E576" s="0" t="s">
        <v>1479</v>
      </c>
    </row>
    <row r="577" customFormat="false" ht="15" hidden="false" customHeight="false" outlineLevel="0" collapsed="false">
      <c r="A577" s="0" t="s">
        <v>14</v>
      </c>
      <c r="B577" s="0" t="s">
        <v>1532</v>
      </c>
      <c r="C577" s="0" t="s">
        <v>2568</v>
      </c>
      <c r="E577" s="0" t="s">
        <v>1479</v>
      </c>
    </row>
    <row r="578" customFormat="false" ht="15" hidden="false" customHeight="false" outlineLevel="0" collapsed="false">
      <c r="A578" s="0" t="s">
        <v>14</v>
      </c>
      <c r="B578" s="0" t="s">
        <v>1535</v>
      </c>
      <c r="C578" s="0" t="s">
        <v>2569</v>
      </c>
      <c r="E578" s="0" t="s">
        <v>1479</v>
      </c>
    </row>
    <row r="579" customFormat="false" ht="15" hidden="false" customHeight="false" outlineLevel="0" collapsed="false">
      <c r="A579" s="0" t="s">
        <v>14</v>
      </c>
      <c r="B579" s="0" t="s">
        <v>1537</v>
      </c>
      <c r="C579" s="0" t="s">
        <v>2570</v>
      </c>
      <c r="E579" s="0" t="s">
        <v>1479</v>
      </c>
    </row>
    <row r="580" customFormat="false" ht="15" hidden="false" customHeight="false" outlineLevel="0" collapsed="false">
      <c r="A580" s="0" t="s">
        <v>14</v>
      </c>
      <c r="B580" s="0" t="s">
        <v>2571</v>
      </c>
      <c r="C580" s="0" t="s">
        <v>2572</v>
      </c>
      <c r="E580" s="0" t="s">
        <v>1479</v>
      </c>
    </row>
    <row r="581" customFormat="false" ht="15" hidden="false" customHeight="false" outlineLevel="0" collapsed="false">
      <c r="A581" s="0" t="s">
        <v>14</v>
      </c>
      <c r="B581" s="0" t="s">
        <v>2573</v>
      </c>
      <c r="C581" s="0" t="s">
        <v>2574</v>
      </c>
      <c r="D581" s="0" t="s">
        <v>1876</v>
      </c>
      <c r="E581" s="0" t="s">
        <v>1479</v>
      </c>
    </row>
    <row r="582" customFormat="false" ht="15" hidden="false" customHeight="false" outlineLevel="0" collapsed="false">
      <c r="A582" s="0" t="s">
        <v>14</v>
      </c>
      <c r="B582" s="0" t="s">
        <v>1925</v>
      </c>
      <c r="C582" s="0" t="s">
        <v>2575</v>
      </c>
      <c r="E582" s="0" t="s">
        <v>1479</v>
      </c>
    </row>
    <row r="583" customFormat="false" ht="15" hidden="false" customHeight="false" outlineLevel="0" collapsed="false">
      <c r="A583" s="0" t="s">
        <v>14</v>
      </c>
      <c r="B583" s="0" t="s">
        <v>1540</v>
      </c>
      <c r="C583" s="0" t="s">
        <v>2576</v>
      </c>
      <c r="D583" s="0" t="s">
        <v>2434</v>
      </c>
      <c r="E583" s="0" t="s">
        <v>1479</v>
      </c>
    </row>
    <row r="584" customFormat="false" ht="15" hidden="false" customHeight="false" outlineLevel="0" collapsed="false">
      <c r="A584" s="0" t="s">
        <v>14</v>
      </c>
      <c r="B584" s="0" t="s">
        <v>1928</v>
      </c>
      <c r="C584" s="0" t="s">
        <v>2577</v>
      </c>
      <c r="E584" s="0" t="s">
        <v>1479</v>
      </c>
    </row>
    <row r="585" customFormat="false" ht="15" hidden="false" customHeight="false" outlineLevel="0" collapsed="false">
      <c r="A585" s="0" t="s">
        <v>14</v>
      </c>
      <c r="B585" s="0" t="s">
        <v>1542</v>
      </c>
      <c r="C585" s="0" t="s">
        <v>2578</v>
      </c>
      <c r="E585" s="0" t="s">
        <v>1479</v>
      </c>
    </row>
    <row r="586" customFormat="false" ht="15" hidden="false" customHeight="false" outlineLevel="0" collapsed="false">
      <c r="A586" s="0" t="s">
        <v>14</v>
      </c>
      <c r="B586" s="0" t="s">
        <v>1544</v>
      </c>
      <c r="C586" s="0" t="s">
        <v>2579</v>
      </c>
      <c r="E586" s="0" t="s">
        <v>1479</v>
      </c>
    </row>
    <row r="587" customFormat="false" ht="15" hidden="false" customHeight="false" outlineLevel="0" collapsed="false">
      <c r="A587" s="0" t="s">
        <v>14</v>
      </c>
      <c r="B587" s="0" t="s">
        <v>1546</v>
      </c>
      <c r="C587" s="0" t="s">
        <v>2580</v>
      </c>
      <c r="E587" s="0" t="s">
        <v>1479</v>
      </c>
    </row>
    <row r="588" customFormat="false" ht="15" hidden="false" customHeight="false" outlineLevel="0" collapsed="false">
      <c r="A588" s="0" t="s">
        <v>14</v>
      </c>
      <c r="B588" s="0" t="s">
        <v>2581</v>
      </c>
      <c r="C588" s="0" t="s">
        <v>2582</v>
      </c>
      <c r="E588" s="0" t="s">
        <v>1479</v>
      </c>
    </row>
    <row r="589" customFormat="false" ht="15" hidden="false" customHeight="false" outlineLevel="0" collapsed="false">
      <c r="A589" s="0" t="s">
        <v>14</v>
      </c>
      <c r="B589" s="0" t="s">
        <v>2583</v>
      </c>
      <c r="C589" s="0" t="s">
        <v>2584</v>
      </c>
      <c r="D589" s="0" t="s">
        <v>1876</v>
      </c>
      <c r="E589" s="0" t="s">
        <v>1479</v>
      </c>
    </row>
    <row r="590" customFormat="false" ht="15" hidden="false" customHeight="false" outlineLevel="0" collapsed="false">
      <c r="A590" s="0" t="s">
        <v>14</v>
      </c>
      <c r="B590" s="0" t="s">
        <v>2585</v>
      </c>
      <c r="C590" s="0" t="s">
        <v>2586</v>
      </c>
      <c r="E590" s="0" t="s">
        <v>1479</v>
      </c>
    </row>
    <row r="591" customFormat="false" ht="15" hidden="false" customHeight="false" outlineLevel="0" collapsed="false">
      <c r="A591" s="0" t="s">
        <v>14</v>
      </c>
      <c r="B591" s="0" t="s">
        <v>1548</v>
      </c>
      <c r="C591" s="0" t="s">
        <v>2587</v>
      </c>
      <c r="D591" s="0" t="s">
        <v>2434</v>
      </c>
      <c r="E591" s="0" t="s">
        <v>1479</v>
      </c>
    </row>
    <row r="592" customFormat="false" ht="15" hidden="false" customHeight="false" outlineLevel="0" collapsed="false">
      <c r="A592" s="0" t="s">
        <v>14</v>
      </c>
      <c r="B592" s="0" t="s">
        <v>2588</v>
      </c>
      <c r="C592" s="0" t="s">
        <v>2589</v>
      </c>
      <c r="E592" s="0" t="s">
        <v>1479</v>
      </c>
    </row>
    <row r="593" customFormat="false" ht="15" hidden="false" customHeight="false" outlineLevel="0" collapsed="false">
      <c r="A593" s="0" t="s">
        <v>14</v>
      </c>
      <c r="B593" s="0" t="s">
        <v>1550</v>
      </c>
      <c r="C593" s="0" t="s">
        <v>2590</v>
      </c>
      <c r="E593" s="0" t="s">
        <v>1479</v>
      </c>
    </row>
    <row r="594" customFormat="false" ht="15" hidden="false" customHeight="false" outlineLevel="0" collapsed="false">
      <c r="A594" s="0" t="s">
        <v>14</v>
      </c>
      <c r="B594" s="0" t="s">
        <v>1552</v>
      </c>
      <c r="C594" s="0" t="s">
        <v>2591</v>
      </c>
      <c r="E594" s="0" t="s">
        <v>1479</v>
      </c>
    </row>
    <row r="595" customFormat="false" ht="15" hidden="false" customHeight="false" outlineLevel="0" collapsed="false">
      <c r="A595" s="0" t="s">
        <v>14</v>
      </c>
      <c r="B595" s="0" t="s">
        <v>1554</v>
      </c>
      <c r="C595" s="0" t="s">
        <v>2592</v>
      </c>
      <c r="E595" s="0" t="s">
        <v>1479</v>
      </c>
    </row>
    <row r="596" customFormat="false" ht="15" hidden="false" customHeight="false" outlineLevel="0" collapsed="false">
      <c r="A596" s="0" t="s">
        <v>14</v>
      </c>
      <c r="B596" s="0" t="s">
        <v>2593</v>
      </c>
      <c r="C596" s="0" t="s">
        <v>2594</v>
      </c>
      <c r="E596" s="0" t="s">
        <v>1479</v>
      </c>
    </row>
    <row r="597" customFormat="false" ht="15" hidden="false" customHeight="false" outlineLevel="0" collapsed="false">
      <c r="A597" s="0" t="s">
        <v>14</v>
      </c>
      <c r="B597" s="0" t="s">
        <v>2595</v>
      </c>
      <c r="C597" s="0" t="s">
        <v>2596</v>
      </c>
      <c r="D597" s="0" t="s">
        <v>1876</v>
      </c>
      <c r="E597" s="0" t="s">
        <v>1479</v>
      </c>
    </row>
    <row r="598" customFormat="false" ht="15" hidden="false" customHeight="false" outlineLevel="0" collapsed="false">
      <c r="A598" s="0" t="s">
        <v>14</v>
      </c>
      <c r="B598" s="0" t="s">
        <v>2597</v>
      </c>
      <c r="C598" s="0" t="s">
        <v>2598</v>
      </c>
      <c r="E598" s="0" t="s">
        <v>1479</v>
      </c>
    </row>
    <row r="599" customFormat="false" ht="15" hidden="false" customHeight="false" outlineLevel="0" collapsed="false">
      <c r="A599" s="0" t="s">
        <v>14</v>
      </c>
      <c r="B599" s="0" t="s">
        <v>2599</v>
      </c>
      <c r="C599" s="0" t="s">
        <v>2600</v>
      </c>
      <c r="D599" s="0" t="s">
        <v>2434</v>
      </c>
      <c r="E599" s="0" t="s">
        <v>1479</v>
      </c>
    </row>
    <row r="600" customFormat="false" ht="15" hidden="false" customHeight="false" outlineLevel="0" collapsed="false">
      <c r="A600" s="0" t="s">
        <v>14</v>
      </c>
      <c r="B600" s="0" t="s">
        <v>2601</v>
      </c>
      <c r="C600" s="0" t="s">
        <v>2602</v>
      </c>
      <c r="E600" s="0" t="s">
        <v>1479</v>
      </c>
    </row>
    <row r="601" customFormat="false" ht="15" hidden="false" customHeight="false" outlineLevel="0" collapsed="false">
      <c r="A601" s="0" t="s">
        <v>14</v>
      </c>
      <c r="B601" s="0" t="s">
        <v>2603</v>
      </c>
      <c r="C601" s="0" t="s">
        <v>2604</v>
      </c>
      <c r="E601" s="0" t="s">
        <v>1479</v>
      </c>
    </row>
    <row r="602" customFormat="false" ht="15" hidden="false" customHeight="false" outlineLevel="0" collapsed="false">
      <c r="A602" s="0" t="s">
        <v>14</v>
      </c>
      <c r="B602" s="0" t="s">
        <v>2605</v>
      </c>
      <c r="C602" s="0" t="s">
        <v>2606</v>
      </c>
      <c r="E602" s="0" t="s">
        <v>1479</v>
      </c>
    </row>
    <row r="603" customFormat="false" ht="15" hidden="false" customHeight="false" outlineLevel="0" collapsed="false">
      <c r="A603" s="0" t="s">
        <v>14</v>
      </c>
      <c r="B603" s="0" t="s">
        <v>2607</v>
      </c>
      <c r="C603" s="0" t="s">
        <v>2608</v>
      </c>
      <c r="E603" s="0" t="s">
        <v>1479</v>
      </c>
    </row>
    <row r="604" customFormat="false" ht="15" hidden="false" customHeight="false" outlineLevel="0" collapsed="false">
      <c r="A604" s="0" t="s">
        <v>14</v>
      </c>
      <c r="B604" s="0" t="s">
        <v>2609</v>
      </c>
      <c r="C604" s="0" t="s">
        <v>2610</v>
      </c>
      <c r="E604" s="0" t="s">
        <v>1479</v>
      </c>
    </row>
    <row r="605" customFormat="false" ht="15" hidden="false" customHeight="false" outlineLevel="0" collapsed="false">
      <c r="A605" s="0" t="s">
        <v>14</v>
      </c>
      <c r="B605" s="0" t="s">
        <v>2611</v>
      </c>
      <c r="C605" s="0" t="s">
        <v>2612</v>
      </c>
      <c r="D605" s="0" t="s">
        <v>1876</v>
      </c>
      <c r="E605" s="0" t="s">
        <v>1479</v>
      </c>
    </row>
    <row r="606" customFormat="false" ht="15" hidden="false" customHeight="false" outlineLevel="0" collapsed="false">
      <c r="A606" s="0" t="s">
        <v>14</v>
      </c>
      <c r="B606" s="0" t="s">
        <v>2613</v>
      </c>
      <c r="C606" s="0" t="s">
        <v>2614</v>
      </c>
      <c r="E606" s="0" t="s">
        <v>1479</v>
      </c>
    </row>
    <row r="607" customFormat="false" ht="15" hidden="false" customHeight="false" outlineLevel="0" collapsed="false">
      <c r="A607" s="0" t="s">
        <v>14</v>
      </c>
      <c r="B607" s="0" t="s">
        <v>2615</v>
      </c>
      <c r="C607" s="0" t="s">
        <v>2616</v>
      </c>
      <c r="D607" s="0" t="s">
        <v>2434</v>
      </c>
      <c r="E607" s="0" t="s">
        <v>1479</v>
      </c>
    </row>
    <row r="608" customFormat="false" ht="15" hidden="false" customHeight="false" outlineLevel="0" collapsed="false">
      <c r="A608" s="0" t="s">
        <v>14</v>
      </c>
      <c r="B608" s="0" t="s">
        <v>2617</v>
      </c>
      <c r="C608" s="0" t="s">
        <v>2618</v>
      </c>
      <c r="E608" s="0" t="s">
        <v>1479</v>
      </c>
    </row>
    <row r="609" customFormat="false" ht="15" hidden="false" customHeight="false" outlineLevel="0" collapsed="false">
      <c r="A609" s="0" t="s">
        <v>14</v>
      </c>
      <c r="B609" s="0" t="s">
        <v>2619</v>
      </c>
      <c r="C609" s="0" t="s">
        <v>2620</v>
      </c>
      <c r="E609" s="0" t="s">
        <v>1479</v>
      </c>
    </row>
    <row r="610" customFormat="false" ht="15" hidden="false" customHeight="false" outlineLevel="0" collapsed="false">
      <c r="A610" s="0" t="s">
        <v>14</v>
      </c>
      <c r="B610" s="0" t="s">
        <v>2621</v>
      </c>
      <c r="C610" s="0" t="s">
        <v>2622</v>
      </c>
      <c r="E610" s="0" t="s">
        <v>1479</v>
      </c>
    </row>
    <row r="611" customFormat="false" ht="15" hidden="false" customHeight="false" outlineLevel="0" collapsed="false">
      <c r="A611" s="0" t="s">
        <v>14</v>
      </c>
      <c r="B611" s="0" t="s">
        <v>2623</v>
      </c>
      <c r="C611" s="0" t="s">
        <v>2624</v>
      </c>
      <c r="E611" s="0" t="s">
        <v>1479</v>
      </c>
    </row>
    <row r="612" customFormat="false" ht="15" hidden="false" customHeight="false" outlineLevel="0" collapsed="false">
      <c r="A612" s="0" t="s">
        <v>14</v>
      </c>
      <c r="B612" s="0" t="s">
        <v>2625</v>
      </c>
      <c r="C612" s="0" t="s">
        <v>2626</v>
      </c>
      <c r="E612" s="0" t="s">
        <v>1479</v>
      </c>
    </row>
    <row r="613" customFormat="false" ht="15" hidden="false" customHeight="false" outlineLevel="0" collapsed="false">
      <c r="A613" s="0" t="s">
        <v>14</v>
      </c>
      <c r="B613" s="0" t="s">
        <v>2627</v>
      </c>
      <c r="C613" s="0" t="s">
        <v>2628</v>
      </c>
      <c r="D613" s="0" t="s">
        <v>1876</v>
      </c>
      <c r="E613" s="0" t="s">
        <v>1479</v>
      </c>
    </row>
    <row r="614" customFormat="false" ht="15" hidden="false" customHeight="false" outlineLevel="0" collapsed="false">
      <c r="A614" s="0" t="s">
        <v>14</v>
      </c>
      <c r="B614" s="0" t="s">
        <v>2629</v>
      </c>
      <c r="C614" s="0" t="s">
        <v>2630</v>
      </c>
      <c r="E614" s="0" t="s">
        <v>1479</v>
      </c>
    </row>
    <row r="615" customFormat="false" ht="15" hidden="false" customHeight="false" outlineLevel="0" collapsed="false">
      <c r="A615" s="0" t="s">
        <v>14</v>
      </c>
      <c r="B615" s="0" t="s">
        <v>1556</v>
      </c>
      <c r="C615" s="0" t="s">
        <v>2631</v>
      </c>
      <c r="D615" s="0" t="s">
        <v>2434</v>
      </c>
      <c r="E615" s="0" t="s">
        <v>1479</v>
      </c>
    </row>
    <row r="616" customFormat="false" ht="15" hidden="false" customHeight="false" outlineLevel="0" collapsed="false">
      <c r="A616" s="0" t="s">
        <v>14</v>
      </c>
      <c r="B616" s="0" t="s">
        <v>2632</v>
      </c>
      <c r="C616" s="0" t="s">
        <v>2633</v>
      </c>
      <c r="E616" s="0" t="s">
        <v>1479</v>
      </c>
    </row>
    <row r="617" customFormat="false" ht="15" hidden="false" customHeight="false" outlineLevel="0" collapsed="false">
      <c r="A617" s="0" t="s">
        <v>14</v>
      </c>
      <c r="B617" s="0" t="s">
        <v>1559</v>
      </c>
      <c r="C617" s="0" t="s">
        <v>2634</v>
      </c>
      <c r="E617" s="0" t="s">
        <v>1479</v>
      </c>
    </row>
    <row r="618" customFormat="false" ht="15" hidden="false" customHeight="false" outlineLevel="0" collapsed="false">
      <c r="A618" s="0" t="s">
        <v>14</v>
      </c>
      <c r="B618" s="0" t="s">
        <v>2635</v>
      </c>
      <c r="C618" s="0" t="s">
        <v>2636</v>
      </c>
      <c r="E618" s="0" t="s">
        <v>1479</v>
      </c>
    </row>
    <row r="619" customFormat="false" ht="15" hidden="false" customHeight="false" outlineLevel="0" collapsed="false">
      <c r="A619" s="0" t="s">
        <v>14</v>
      </c>
      <c r="B619" s="0" t="s">
        <v>2637</v>
      </c>
      <c r="C619" s="0" t="s">
        <v>2638</v>
      </c>
      <c r="E619" s="0" t="s">
        <v>1479</v>
      </c>
    </row>
    <row r="620" customFormat="false" ht="15" hidden="false" customHeight="false" outlineLevel="0" collapsed="false">
      <c r="A620" s="0" t="s">
        <v>14</v>
      </c>
      <c r="B620" s="0" t="s">
        <v>2639</v>
      </c>
      <c r="C620" s="0" t="s">
        <v>2640</v>
      </c>
      <c r="E620" s="0" t="s">
        <v>1479</v>
      </c>
    </row>
    <row r="621" customFormat="false" ht="15" hidden="false" customHeight="false" outlineLevel="0" collapsed="false">
      <c r="A621" s="0" t="s">
        <v>14</v>
      </c>
      <c r="B621" s="0" t="s">
        <v>2641</v>
      </c>
      <c r="C621" s="0" t="s">
        <v>2642</v>
      </c>
      <c r="D621" s="0" t="s">
        <v>1876</v>
      </c>
      <c r="E621" s="0" t="s">
        <v>1479</v>
      </c>
    </row>
    <row r="622" customFormat="false" ht="15" hidden="false" customHeight="false" outlineLevel="0" collapsed="false">
      <c r="A622" s="0" t="s">
        <v>14</v>
      </c>
      <c r="B622" s="0" t="s">
        <v>2643</v>
      </c>
      <c r="C622" s="0" t="s">
        <v>2644</v>
      </c>
      <c r="E622" s="0" t="s">
        <v>1479</v>
      </c>
    </row>
    <row r="623" customFormat="false" ht="15" hidden="false" customHeight="false" outlineLevel="0" collapsed="false">
      <c r="A623" s="0" t="s">
        <v>14</v>
      </c>
      <c r="B623" s="0" t="s">
        <v>1562</v>
      </c>
      <c r="C623" s="0" t="s">
        <v>2645</v>
      </c>
      <c r="D623" s="0" t="s">
        <v>2434</v>
      </c>
      <c r="E623" s="0" t="s">
        <v>1479</v>
      </c>
    </row>
    <row r="624" customFormat="false" ht="15" hidden="false" customHeight="false" outlineLevel="0" collapsed="false">
      <c r="A624" s="0" t="s">
        <v>14</v>
      </c>
      <c r="B624" s="0" t="s">
        <v>2646</v>
      </c>
      <c r="C624" s="0" t="s">
        <v>2647</v>
      </c>
      <c r="E624" s="0" t="s">
        <v>1479</v>
      </c>
    </row>
    <row r="625" customFormat="false" ht="15" hidden="false" customHeight="false" outlineLevel="0" collapsed="false">
      <c r="A625" s="0" t="s">
        <v>14</v>
      </c>
      <c r="B625" s="0" t="s">
        <v>1564</v>
      </c>
      <c r="C625" s="0" t="s">
        <v>2648</v>
      </c>
      <c r="E625" s="0" t="s">
        <v>1479</v>
      </c>
    </row>
    <row r="626" customFormat="false" ht="15" hidden="false" customHeight="false" outlineLevel="0" collapsed="false">
      <c r="A626" s="0" t="s">
        <v>14</v>
      </c>
      <c r="B626" s="0" t="s">
        <v>2649</v>
      </c>
      <c r="C626" s="0" t="s">
        <v>2650</v>
      </c>
      <c r="E626" s="0" t="s">
        <v>1479</v>
      </c>
    </row>
    <row r="627" customFormat="false" ht="15" hidden="false" customHeight="false" outlineLevel="0" collapsed="false">
      <c r="A627" s="0" t="s">
        <v>14</v>
      </c>
      <c r="B627" s="0" t="s">
        <v>2651</v>
      </c>
      <c r="C627" s="0" t="s">
        <v>2652</v>
      </c>
      <c r="E627" s="0" t="s">
        <v>1479</v>
      </c>
    </row>
    <row r="628" customFormat="false" ht="15" hidden="false" customHeight="false" outlineLevel="0" collapsed="false">
      <c r="A628" s="0" t="s">
        <v>14</v>
      </c>
      <c r="B628" s="0" t="s">
        <v>2653</v>
      </c>
      <c r="C628" s="0" t="s">
        <v>2654</v>
      </c>
      <c r="E628" s="0" t="s">
        <v>1479</v>
      </c>
    </row>
    <row r="629" customFormat="false" ht="15" hidden="false" customHeight="false" outlineLevel="0" collapsed="false">
      <c r="A629" s="0" t="s">
        <v>14</v>
      </c>
      <c r="B629" s="0" t="s">
        <v>2655</v>
      </c>
      <c r="C629" s="0" t="s">
        <v>2656</v>
      </c>
      <c r="D629" s="0" t="s">
        <v>1876</v>
      </c>
      <c r="E629" s="0" t="s">
        <v>1479</v>
      </c>
    </row>
    <row r="630" customFormat="false" ht="15" hidden="false" customHeight="false" outlineLevel="0" collapsed="false">
      <c r="A630" s="0" t="s">
        <v>14</v>
      </c>
      <c r="B630" s="0" t="s">
        <v>2657</v>
      </c>
      <c r="C630" s="0" t="s">
        <v>2658</v>
      </c>
      <c r="E630" s="0" t="s">
        <v>1479</v>
      </c>
    </row>
    <row r="631" customFormat="false" ht="15" hidden="false" customHeight="false" outlineLevel="0" collapsed="false">
      <c r="A631" s="0" t="s">
        <v>14</v>
      </c>
      <c r="B631" s="0" t="s">
        <v>1566</v>
      </c>
      <c r="C631" s="0" t="s">
        <v>2659</v>
      </c>
      <c r="D631" s="0" t="s">
        <v>2434</v>
      </c>
      <c r="E631" s="0" t="s">
        <v>1479</v>
      </c>
    </row>
    <row r="632" customFormat="false" ht="15" hidden="false" customHeight="false" outlineLevel="0" collapsed="false">
      <c r="A632" s="0" t="s">
        <v>14</v>
      </c>
      <c r="B632" s="0" t="s">
        <v>2660</v>
      </c>
      <c r="C632" s="0" t="s">
        <v>2661</v>
      </c>
      <c r="E632" s="0" t="s">
        <v>1479</v>
      </c>
    </row>
    <row r="633" customFormat="false" ht="15" hidden="false" customHeight="false" outlineLevel="0" collapsed="false">
      <c r="A633" s="0" t="s">
        <v>14</v>
      </c>
      <c r="B633" s="0" t="s">
        <v>1568</v>
      </c>
      <c r="C633" s="0" t="s">
        <v>2662</v>
      </c>
      <c r="E633" s="0" t="s">
        <v>1479</v>
      </c>
    </row>
    <row r="634" customFormat="false" ht="15" hidden="false" customHeight="false" outlineLevel="0" collapsed="false">
      <c r="A634" s="0" t="s">
        <v>14</v>
      </c>
      <c r="B634" s="0" t="s">
        <v>2663</v>
      </c>
      <c r="C634" s="0" t="s">
        <v>2664</v>
      </c>
      <c r="E634" s="0" t="s">
        <v>1479</v>
      </c>
    </row>
    <row r="635" customFormat="false" ht="15" hidden="false" customHeight="false" outlineLevel="0" collapsed="false">
      <c r="A635" s="0" t="s">
        <v>14</v>
      </c>
      <c r="B635" s="0" t="s">
        <v>2665</v>
      </c>
      <c r="C635" s="0" t="s">
        <v>2666</v>
      </c>
      <c r="E635" s="0" t="s">
        <v>1479</v>
      </c>
    </row>
    <row r="636" customFormat="false" ht="15" hidden="false" customHeight="false" outlineLevel="0" collapsed="false">
      <c r="A636" s="0" t="s">
        <v>14</v>
      </c>
      <c r="B636" s="0" t="s">
        <v>2667</v>
      </c>
      <c r="C636" s="0" t="s">
        <v>2668</v>
      </c>
      <c r="E636" s="0" t="s">
        <v>1479</v>
      </c>
    </row>
    <row r="637" customFormat="false" ht="15" hidden="false" customHeight="false" outlineLevel="0" collapsed="false">
      <c r="A637" s="0" t="s">
        <v>14</v>
      </c>
      <c r="B637" s="0" t="s">
        <v>2669</v>
      </c>
      <c r="C637" s="0" t="s">
        <v>2670</v>
      </c>
      <c r="D637" s="0" t="s">
        <v>1876</v>
      </c>
      <c r="E637" s="0" t="s">
        <v>1479</v>
      </c>
    </row>
    <row r="638" customFormat="false" ht="15" hidden="false" customHeight="false" outlineLevel="0" collapsed="false">
      <c r="A638" s="0" t="s">
        <v>14</v>
      </c>
      <c r="B638" s="0" t="s">
        <v>2671</v>
      </c>
      <c r="C638" s="0" t="s">
        <v>2672</v>
      </c>
      <c r="E638" s="0" t="s">
        <v>1479</v>
      </c>
    </row>
    <row r="639" customFormat="false" ht="15" hidden="false" customHeight="false" outlineLevel="0" collapsed="false">
      <c r="A639" s="0" t="s">
        <v>14</v>
      </c>
      <c r="B639" s="0" t="s">
        <v>1570</v>
      </c>
      <c r="C639" s="0" t="s">
        <v>2673</v>
      </c>
      <c r="D639" s="0" t="s">
        <v>2434</v>
      </c>
      <c r="E639" s="0" t="s">
        <v>1479</v>
      </c>
    </row>
    <row r="640" customFormat="false" ht="15" hidden="false" customHeight="false" outlineLevel="0" collapsed="false">
      <c r="A640" s="0" t="s">
        <v>14</v>
      </c>
      <c r="B640" s="0" t="s">
        <v>2674</v>
      </c>
      <c r="C640" s="0" t="s">
        <v>2675</v>
      </c>
      <c r="E640" s="0" t="s">
        <v>1479</v>
      </c>
    </row>
    <row r="641" customFormat="false" ht="15" hidden="false" customHeight="false" outlineLevel="0" collapsed="false">
      <c r="A641" s="0" t="s">
        <v>14</v>
      </c>
      <c r="B641" s="0" t="s">
        <v>1572</v>
      </c>
      <c r="C641" s="0" t="s">
        <v>2676</v>
      </c>
      <c r="E641" s="0" t="s">
        <v>1479</v>
      </c>
    </row>
    <row r="642" customFormat="false" ht="15" hidden="false" customHeight="false" outlineLevel="0" collapsed="false">
      <c r="A642" s="0" t="s">
        <v>14</v>
      </c>
      <c r="B642" s="0" t="s">
        <v>2677</v>
      </c>
      <c r="C642" s="0" t="s">
        <v>2678</v>
      </c>
      <c r="E642" s="0" t="s">
        <v>1479</v>
      </c>
    </row>
    <row r="643" customFormat="false" ht="15" hidden="false" customHeight="false" outlineLevel="0" collapsed="false">
      <c r="A643" s="0" t="s">
        <v>14</v>
      </c>
      <c r="B643" s="0" t="s">
        <v>2679</v>
      </c>
      <c r="C643" s="0" t="s">
        <v>2680</v>
      </c>
      <c r="E643" s="0" t="s">
        <v>1479</v>
      </c>
    </row>
    <row r="644" customFormat="false" ht="15" hidden="false" customHeight="false" outlineLevel="0" collapsed="false">
      <c r="A644" s="0" t="s">
        <v>14</v>
      </c>
      <c r="B644" s="0" t="s">
        <v>2681</v>
      </c>
      <c r="C644" s="0" t="s">
        <v>2682</v>
      </c>
      <c r="E644" s="0" t="s">
        <v>1479</v>
      </c>
    </row>
    <row r="645" customFormat="false" ht="15" hidden="false" customHeight="false" outlineLevel="0" collapsed="false">
      <c r="A645" s="0" t="s">
        <v>14</v>
      </c>
      <c r="B645" s="0" t="s">
        <v>2683</v>
      </c>
      <c r="C645" s="0" t="s">
        <v>2684</v>
      </c>
      <c r="D645" s="0" t="s">
        <v>1876</v>
      </c>
      <c r="E645" s="0" t="s">
        <v>1479</v>
      </c>
    </row>
    <row r="646" customFormat="false" ht="15" hidden="false" customHeight="false" outlineLevel="0" collapsed="false">
      <c r="A646" s="0" t="s">
        <v>14</v>
      </c>
      <c r="B646" s="0" t="s">
        <v>2685</v>
      </c>
      <c r="C646" s="0" t="s">
        <v>2686</v>
      </c>
      <c r="E646" s="0" t="s">
        <v>1479</v>
      </c>
    </row>
    <row r="647" customFormat="false" ht="15" hidden="false" customHeight="false" outlineLevel="0" collapsed="false">
      <c r="A647" s="0" t="s">
        <v>14</v>
      </c>
      <c r="B647" s="0" t="s">
        <v>1574</v>
      </c>
      <c r="C647" s="0" t="s">
        <v>2687</v>
      </c>
      <c r="D647" s="0" t="s">
        <v>2434</v>
      </c>
      <c r="E647" s="0" t="s">
        <v>1479</v>
      </c>
    </row>
    <row r="648" customFormat="false" ht="15" hidden="false" customHeight="false" outlineLevel="0" collapsed="false">
      <c r="A648" s="0" t="s">
        <v>14</v>
      </c>
      <c r="B648" s="0" t="s">
        <v>2688</v>
      </c>
      <c r="C648" s="0" t="s">
        <v>2689</v>
      </c>
      <c r="E648" s="0" t="s">
        <v>1479</v>
      </c>
    </row>
    <row r="649" customFormat="false" ht="15" hidden="false" customHeight="false" outlineLevel="0" collapsed="false">
      <c r="A649" s="0" t="s">
        <v>14</v>
      </c>
      <c r="B649" s="0" t="s">
        <v>1576</v>
      </c>
      <c r="C649" s="0" t="s">
        <v>2690</v>
      </c>
      <c r="E649" s="0" t="s">
        <v>1479</v>
      </c>
    </row>
    <row r="650" customFormat="false" ht="15" hidden="false" customHeight="false" outlineLevel="0" collapsed="false">
      <c r="A650" s="0" t="s">
        <v>14</v>
      </c>
      <c r="B650" s="0" t="s">
        <v>2691</v>
      </c>
      <c r="C650" s="0" t="s">
        <v>2692</v>
      </c>
      <c r="E650" s="0" t="s">
        <v>1479</v>
      </c>
    </row>
    <row r="651" customFormat="false" ht="15" hidden="false" customHeight="false" outlineLevel="0" collapsed="false">
      <c r="A651" s="0" t="s">
        <v>14</v>
      </c>
      <c r="B651" s="0" t="s">
        <v>2693</v>
      </c>
      <c r="C651" s="0" t="s">
        <v>2694</v>
      </c>
      <c r="E651" s="0" t="s">
        <v>1479</v>
      </c>
    </row>
    <row r="652" customFormat="false" ht="15" hidden="false" customHeight="false" outlineLevel="0" collapsed="false">
      <c r="A652" s="0" t="s">
        <v>14</v>
      </c>
      <c r="B652" s="0" t="s">
        <v>2695</v>
      </c>
      <c r="C652" s="0" t="s">
        <v>2696</v>
      </c>
      <c r="E652" s="0" t="s">
        <v>1479</v>
      </c>
    </row>
    <row r="653" customFormat="false" ht="15" hidden="false" customHeight="false" outlineLevel="0" collapsed="false">
      <c r="A653" s="0" t="s">
        <v>14</v>
      </c>
      <c r="B653" s="0" t="s">
        <v>2697</v>
      </c>
      <c r="C653" s="0" t="s">
        <v>2698</v>
      </c>
      <c r="D653" s="0" t="s">
        <v>1876</v>
      </c>
      <c r="E653" s="0" t="s">
        <v>1479</v>
      </c>
    </row>
    <row r="654" customFormat="false" ht="15" hidden="false" customHeight="false" outlineLevel="0" collapsed="false">
      <c r="A654" s="0" t="s">
        <v>14</v>
      </c>
      <c r="B654" s="0" t="s">
        <v>1933</v>
      </c>
      <c r="C654" s="0" t="s">
        <v>2699</v>
      </c>
      <c r="E654" s="0" t="s">
        <v>1479</v>
      </c>
    </row>
    <row r="655" customFormat="false" ht="15" hidden="false" customHeight="false" outlineLevel="0" collapsed="false">
      <c r="A655" s="0" t="s">
        <v>14</v>
      </c>
      <c r="B655" s="0" t="s">
        <v>1935</v>
      </c>
      <c r="C655" s="0" t="s">
        <v>2700</v>
      </c>
      <c r="D655" s="0" t="s">
        <v>2434</v>
      </c>
      <c r="E655" s="0" t="s">
        <v>1479</v>
      </c>
    </row>
    <row r="656" customFormat="false" ht="15" hidden="false" customHeight="false" outlineLevel="0" collapsed="false">
      <c r="A656" s="0" t="s">
        <v>14</v>
      </c>
      <c r="B656" s="0" t="s">
        <v>1938</v>
      </c>
      <c r="C656" s="0" t="s">
        <v>2701</v>
      </c>
      <c r="E656" s="0" t="s">
        <v>1479</v>
      </c>
    </row>
    <row r="657" customFormat="false" ht="15" hidden="false" customHeight="false" outlineLevel="0" collapsed="false">
      <c r="A657" s="0" t="s">
        <v>14</v>
      </c>
      <c r="B657" s="0" t="s">
        <v>1941</v>
      </c>
      <c r="C657" s="0" t="s">
        <v>2702</v>
      </c>
      <c r="E657" s="0" t="s">
        <v>1479</v>
      </c>
    </row>
    <row r="658" customFormat="false" ht="15" hidden="false" customHeight="false" outlineLevel="0" collapsed="false">
      <c r="A658" s="0" t="s">
        <v>14</v>
      </c>
      <c r="B658" s="0" t="s">
        <v>2703</v>
      </c>
      <c r="C658" s="0" t="s">
        <v>2704</v>
      </c>
      <c r="E658" s="0" t="s">
        <v>1479</v>
      </c>
    </row>
    <row r="659" customFormat="false" ht="15" hidden="false" customHeight="false" outlineLevel="0" collapsed="false">
      <c r="A659" s="0" t="s">
        <v>14</v>
      </c>
      <c r="B659" s="0" t="s">
        <v>2705</v>
      </c>
      <c r="C659" s="0" t="s">
        <v>2706</v>
      </c>
      <c r="E659" s="0" t="s">
        <v>1479</v>
      </c>
    </row>
    <row r="660" customFormat="false" ht="15" hidden="false" customHeight="false" outlineLevel="0" collapsed="false">
      <c r="A660" s="0" t="s">
        <v>14</v>
      </c>
      <c r="B660" s="0" t="s">
        <v>2707</v>
      </c>
      <c r="C660" s="0" t="s">
        <v>2708</v>
      </c>
      <c r="E660" s="0" t="s">
        <v>1479</v>
      </c>
    </row>
    <row r="661" customFormat="false" ht="15" hidden="false" customHeight="false" outlineLevel="0" collapsed="false">
      <c r="A661" s="0" t="s">
        <v>14</v>
      </c>
      <c r="B661" s="0" t="s">
        <v>2709</v>
      </c>
      <c r="C661" s="0" t="s">
        <v>2710</v>
      </c>
      <c r="D661" s="0" t="s">
        <v>1876</v>
      </c>
      <c r="E661" s="0" t="s">
        <v>1479</v>
      </c>
    </row>
    <row r="662" customFormat="false" ht="15" hidden="false" customHeight="false" outlineLevel="0" collapsed="false">
      <c r="A662" s="0" t="s">
        <v>14</v>
      </c>
      <c r="B662" s="0" t="s">
        <v>1944</v>
      </c>
      <c r="C662" s="0" t="s">
        <v>2711</v>
      </c>
      <c r="E662" s="0" t="s">
        <v>1479</v>
      </c>
    </row>
    <row r="663" customFormat="false" ht="15" hidden="false" customHeight="false" outlineLevel="0" collapsed="false">
      <c r="A663" s="0" t="s">
        <v>14</v>
      </c>
      <c r="B663" s="0" t="s">
        <v>1947</v>
      </c>
      <c r="C663" s="0" t="s">
        <v>2712</v>
      </c>
      <c r="D663" s="0" t="s">
        <v>2434</v>
      </c>
      <c r="E663" s="0" t="s">
        <v>1479</v>
      </c>
    </row>
    <row r="664" customFormat="false" ht="15" hidden="false" customHeight="false" outlineLevel="0" collapsed="false">
      <c r="A664" s="0" t="s">
        <v>14</v>
      </c>
      <c r="B664" s="0" t="s">
        <v>1950</v>
      </c>
      <c r="C664" s="0" t="s">
        <v>2713</v>
      </c>
      <c r="E664" s="0" t="s">
        <v>1479</v>
      </c>
    </row>
    <row r="665" customFormat="false" ht="15" hidden="false" customHeight="false" outlineLevel="0" collapsed="false">
      <c r="A665" s="0" t="s">
        <v>14</v>
      </c>
      <c r="B665" s="0" t="s">
        <v>1952</v>
      </c>
      <c r="C665" s="0" t="s">
        <v>2714</v>
      </c>
      <c r="E665" s="0" t="s">
        <v>1479</v>
      </c>
    </row>
    <row r="666" customFormat="false" ht="15" hidden="false" customHeight="false" outlineLevel="0" collapsed="false">
      <c r="A666" s="0" t="s">
        <v>14</v>
      </c>
      <c r="B666" s="0" t="s">
        <v>2715</v>
      </c>
      <c r="C666" s="0" t="s">
        <v>2716</v>
      </c>
      <c r="E666" s="0" t="s">
        <v>1479</v>
      </c>
    </row>
    <row r="667" customFormat="false" ht="15" hidden="false" customHeight="false" outlineLevel="0" collapsed="false">
      <c r="A667" s="0" t="s">
        <v>14</v>
      </c>
      <c r="B667" s="0" t="s">
        <v>2717</v>
      </c>
      <c r="C667" s="0" t="s">
        <v>2718</v>
      </c>
      <c r="E667" s="0" t="s">
        <v>1479</v>
      </c>
    </row>
    <row r="668" customFormat="false" ht="15" hidden="false" customHeight="false" outlineLevel="0" collapsed="false">
      <c r="A668" s="0" t="s">
        <v>14</v>
      </c>
      <c r="B668" s="0" t="s">
        <v>2719</v>
      </c>
      <c r="C668" s="0" t="s">
        <v>2720</v>
      </c>
      <c r="E668" s="0" t="s">
        <v>1479</v>
      </c>
    </row>
    <row r="669" customFormat="false" ht="15" hidden="false" customHeight="false" outlineLevel="0" collapsed="false">
      <c r="A669" s="0" t="s">
        <v>14</v>
      </c>
      <c r="B669" s="0" t="s">
        <v>2721</v>
      </c>
      <c r="C669" s="0" t="s">
        <v>2722</v>
      </c>
      <c r="D669" s="0" t="s">
        <v>1876</v>
      </c>
      <c r="E669" s="0" t="s">
        <v>1479</v>
      </c>
    </row>
    <row r="670" customFormat="false" ht="15" hidden="false" customHeight="false" outlineLevel="0" collapsed="false">
      <c r="A670" s="0" t="s">
        <v>14</v>
      </c>
      <c r="B670" s="0" t="s">
        <v>1954</v>
      </c>
      <c r="C670" s="0" t="s">
        <v>2723</v>
      </c>
      <c r="E670" s="0" t="s">
        <v>1479</v>
      </c>
    </row>
    <row r="671" customFormat="false" ht="15" hidden="false" customHeight="false" outlineLevel="0" collapsed="false">
      <c r="A671" s="0" t="s">
        <v>14</v>
      </c>
      <c r="B671" s="0" t="s">
        <v>1956</v>
      </c>
      <c r="C671" s="0" t="s">
        <v>2724</v>
      </c>
      <c r="D671" s="0" t="s">
        <v>2434</v>
      </c>
      <c r="E671" s="0" t="s">
        <v>1479</v>
      </c>
    </row>
    <row r="672" customFormat="false" ht="15" hidden="false" customHeight="false" outlineLevel="0" collapsed="false">
      <c r="A672" s="0" t="s">
        <v>14</v>
      </c>
      <c r="B672" s="0" t="s">
        <v>1958</v>
      </c>
      <c r="C672" s="0" t="s">
        <v>2725</v>
      </c>
      <c r="E672" s="0" t="s">
        <v>1479</v>
      </c>
    </row>
    <row r="673" customFormat="false" ht="15" hidden="false" customHeight="false" outlineLevel="0" collapsed="false">
      <c r="A673" s="0" t="s">
        <v>14</v>
      </c>
      <c r="B673" s="0" t="s">
        <v>1960</v>
      </c>
      <c r="C673" s="0" t="s">
        <v>2726</v>
      </c>
      <c r="E673" s="0" t="s">
        <v>1479</v>
      </c>
    </row>
    <row r="674" customFormat="false" ht="15" hidden="false" customHeight="false" outlineLevel="0" collapsed="false">
      <c r="A674" s="0" t="s">
        <v>14</v>
      </c>
      <c r="B674" s="0" t="s">
        <v>2727</v>
      </c>
      <c r="C674" s="0" t="s">
        <v>2728</v>
      </c>
      <c r="E674" s="0" t="s">
        <v>1479</v>
      </c>
    </row>
    <row r="675" customFormat="false" ht="15" hidden="false" customHeight="false" outlineLevel="0" collapsed="false">
      <c r="A675" s="0" t="s">
        <v>14</v>
      </c>
      <c r="B675" s="0" t="s">
        <v>2729</v>
      </c>
      <c r="C675" s="0" t="s">
        <v>2730</v>
      </c>
      <c r="E675" s="0" t="s">
        <v>1479</v>
      </c>
    </row>
    <row r="676" customFormat="false" ht="15" hidden="false" customHeight="false" outlineLevel="0" collapsed="false">
      <c r="A676" s="0" t="s">
        <v>14</v>
      </c>
      <c r="B676" s="0" t="s">
        <v>2731</v>
      </c>
      <c r="C676" s="0" t="s">
        <v>2732</v>
      </c>
      <c r="E676" s="0" t="s">
        <v>1479</v>
      </c>
    </row>
    <row r="677" customFormat="false" ht="15" hidden="false" customHeight="false" outlineLevel="0" collapsed="false">
      <c r="A677" s="0" t="s">
        <v>14</v>
      </c>
      <c r="B677" s="0" t="s">
        <v>2733</v>
      </c>
      <c r="C677" s="0" t="s">
        <v>2734</v>
      </c>
      <c r="D677" s="0" t="s">
        <v>1876</v>
      </c>
      <c r="E677" s="0" t="s">
        <v>1479</v>
      </c>
    </row>
    <row r="678" customFormat="false" ht="15" hidden="false" customHeight="false" outlineLevel="0" collapsed="false">
      <c r="A678" s="0" t="s">
        <v>16</v>
      </c>
      <c r="B678" s="0" t="s">
        <v>1468</v>
      </c>
      <c r="C678" s="0" t="s">
        <v>2735</v>
      </c>
      <c r="E678" s="0" t="s">
        <v>1479</v>
      </c>
    </row>
    <row r="679" customFormat="false" ht="15" hidden="false" customHeight="false" outlineLevel="0" collapsed="false">
      <c r="A679" s="0" t="s">
        <v>16</v>
      </c>
      <c r="B679" s="0" t="s">
        <v>2438</v>
      </c>
      <c r="C679" s="0" t="s">
        <v>2736</v>
      </c>
      <c r="E679" s="0" t="s">
        <v>1479</v>
      </c>
    </row>
    <row r="680" customFormat="false" ht="15" hidden="false" customHeight="false" outlineLevel="0" collapsed="false">
      <c r="A680" s="0" t="s">
        <v>16</v>
      </c>
      <c r="B680" s="0" t="s">
        <v>2117</v>
      </c>
      <c r="C680" s="0" t="s">
        <v>2737</v>
      </c>
      <c r="E680" s="0" t="s">
        <v>1479</v>
      </c>
    </row>
    <row r="681" customFormat="false" ht="15" hidden="false" customHeight="false" outlineLevel="0" collapsed="false">
      <c r="A681" s="0" t="s">
        <v>16</v>
      </c>
      <c r="B681" s="0" t="s">
        <v>2120</v>
      </c>
      <c r="C681" s="0" t="s">
        <v>2738</v>
      </c>
      <c r="E681" s="0" t="s">
        <v>1479</v>
      </c>
    </row>
    <row r="682" customFormat="false" ht="15" hidden="false" customHeight="false" outlineLevel="0" collapsed="false">
      <c r="A682" s="0" t="s">
        <v>16</v>
      </c>
      <c r="B682" s="0" t="s">
        <v>2148</v>
      </c>
      <c r="C682" s="0" t="s">
        <v>2739</v>
      </c>
      <c r="E682" s="0" t="s">
        <v>1479</v>
      </c>
    </row>
    <row r="683" customFormat="false" ht="15" hidden="false" customHeight="false" outlineLevel="0" collapsed="false">
      <c r="A683" s="0" t="s">
        <v>16</v>
      </c>
      <c r="B683" s="0" t="s">
        <v>2150</v>
      </c>
      <c r="C683" s="0" t="s">
        <v>2740</v>
      </c>
      <c r="E683" s="0" t="s">
        <v>1479</v>
      </c>
    </row>
    <row r="684" customFormat="false" ht="15" hidden="false" customHeight="false" outlineLevel="0" collapsed="false">
      <c r="A684" s="0" t="s">
        <v>16</v>
      </c>
      <c r="B684" s="0" t="s">
        <v>2174</v>
      </c>
      <c r="C684" s="0" t="s">
        <v>2741</v>
      </c>
      <c r="E684" s="0" t="s">
        <v>1479</v>
      </c>
    </row>
    <row r="685" customFormat="false" ht="15" hidden="false" customHeight="false" outlineLevel="0" collapsed="false">
      <c r="A685" s="0" t="s">
        <v>16</v>
      </c>
      <c r="B685" s="0" t="s">
        <v>1474</v>
      </c>
      <c r="C685" s="0" t="s">
        <v>2742</v>
      </c>
      <c r="E685" s="0" t="s">
        <v>1479</v>
      </c>
    </row>
    <row r="686" customFormat="false" ht="15" hidden="false" customHeight="false" outlineLevel="0" collapsed="false">
      <c r="A686" s="0" t="s">
        <v>16</v>
      </c>
      <c r="B686" s="0" t="s">
        <v>2197</v>
      </c>
      <c r="C686" s="0" t="s">
        <v>2743</v>
      </c>
      <c r="E686" s="0" t="s">
        <v>1479</v>
      </c>
    </row>
    <row r="687" customFormat="false" ht="15" hidden="false" customHeight="false" outlineLevel="0" collapsed="false">
      <c r="A687" s="0" t="s">
        <v>16</v>
      </c>
      <c r="B687" s="0" t="s">
        <v>1483</v>
      </c>
      <c r="C687" s="0" t="s">
        <v>2744</v>
      </c>
      <c r="E687" s="0" t="s">
        <v>1479</v>
      </c>
    </row>
    <row r="688" customFormat="false" ht="15" hidden="false" customHeight="false" outlineLevel="0" collapsed="false">
      <c r="A688" s="0" t="s">
        <v>16</v>
      </c>
      <c r="B688" s="0" t="s">
        <v>2221</v>
      </c>
      <c r="C688" s="0" t="s">
        <v>2745</v>
      </c>
      <c r="E688" s="0" t="s">
        <v>1479</v>
      </c>
    </row>
    <row r="689" customFormat="false" ht="15" hidden="false" customHeight="false" outlineLevel="0" collapsed="false">
      <c r="A689" s="0" t="s">
        <v>16</v>
      </c>
      <c r="B689" s="0" t="s">
        <v>1490</v>
      </c>
      <c r="C689" s="0" t="s">
        <v>2746</v>
      </c>
      <c r="E689" s="0" t="s">
        <v>1479</v>
      </c>
    </row>
    <row r="690" customFormat="false" ht="15" hidden="false" customHeight="false" outlineLevel="0" collapsed="false">
      <c r="A690" s="0" t="s">
        <v>16</v>
      </c>
      <c r="B690" s="0" t="s">
        <v>2247</v>
      </c>
      <c r="C690" s="0" t="s">
        <v>2747</v>
      </c>
      <c r="E690" s="0" t="s">
        <v>1479</v>
      </c>
    </row>
    <row r="691" customFormat="false" ht="15" hidden="false" customHeight="false" outlineLevel="0" collapsed="false">
      <c r="A691" s="0" t="s">
        <v>16</v>
      </c>
      <c r="B691" s="0" t="s">
        <v>1496</v>
      </c>
      <c r="C691" s="0" t="s">
        <v>2748</v>
      </c>
      <c r="E691" s="0" t="s">
        <v>1479</v>
      </c>
    </row>
    <row r="692" customFormat="false" ht="15" hidden="false" customHeight="false" outlineLevel="0" collapsed="false">
      <c r="A692" s="0" t="s">
        <v>16</v>
      </c>
      <c r="B692" s="0" t="s">
        <v>2271</v>
      </c>
      <c r="C692" s="0" t="s">
        <v>2749</v>
      </c>
      <c r="E692" s="0" t="s">
        <v>1479</v>
      </c>
    </row>
    <row r="693" customFormat="false" ht="15" hidden="false" customHeight="false" outlineLevel="0" collapsed="false">
      <c r="A693" s="0" t="s">
        <v>16</v>
      </c>
      <c r="B693" s="0" t="s">
        <v>1502</v>
      </c>
      <c r="C693" s="0" t="s">
        <v>2750</v>
      </c>
      <c r="E693" s="0" t="s">
        <v>1479</v>
      </c>
    </row>
    <row r="694" customFormat="false" ht="15" hidden="false" customHeight="false" outlineLevel="0" collapsed="false">
      <c r="A694" s="0" t="s">
        <v>16</v>
      </c>
      <c r="B694" s="0" t="s">
        <v>2293</v>
      </c>
      <c r="C694" s="0" t="s">
        <v>2751</v>
      </c>
      <c r="E694" s="0" t="s">
        <v>1479</v>
      </c>
    </row>
    <row r="695" customFormat="false" ht="15" hidden="false" customHeight="false" outlineLevel="0" collapsed="false">
      <c r="A695" s="0" t="s">
        <v>16</v>
      </c>
      <c r="B695" s="0" t="s">
        <v>2295</v>
      </c>
      <c r="C695" s="0" t="s">
        <v>2752</v>
      </c>
      <c r="E695" s="0" t="s">
        <v>1479</v>
      </c>
    </row>
    <row r="696" customFormat="false" ht="15" hidden="false" customHeight="false" outlineLevel="0" collapsed="false">
      <c r="A696" s="0" t="s">
        <v>16</v>
      </c>
      <c r="B696" s="0" t="s">
        <v>1886</v>
      </c>
      <c r="C696" s="0" t="s">
        <v>2753</v>
      </c>
      <c r="E696" s="0" t="s">
        <v>1479</v>
      </c>
    </row>
    <row r="697" customFormat="false" ht="15" hidden="false" customHeight="false" outlineLevel="0" collapsed="false">
      <c r="A697" s="0" t="s">
        <v>16</v>
      </c>
      <c r="B697" s="0" t="s">
        <v>1888</v>
      </c>
      <c r="C697" s="0" t="s">
        <v>2754</v>
      </c>
      <c r="E697" s="0" t="s">
        <v>1479</v>
      </c>
    </row>
    <row r="698" customFormat="false" ht="15" hidden="false" customHeight="false" outlineLevel="0" collapsed="false">
      <c r="A698" s="0" t="s">
        <v>16</v>
      </c>
      <c r="B698" s="0" t="s">
        <v>1901</v>
      </c>
      <c r="C698" s="0" t="s">
        <v>2755</v>
      </c>
      <c r="E698" s="0" t="s">
        <v>1479</v>
      </c>
    </row>
    <row r="699" customFormat="false" ht="15" hidden="false" customHeight="false" outlineLevel="0" collapsed="false">
      <c r="A699" s="0" t="s">
        <v>16</v>
      </c>
      <c r="B699" s="0" t="s">
        <v>1509</v>
      </c>
      <c r="C699" s="0" t="s">
        <v>2756</v>
      </c>
      <c r="E699" s="0" t="s">
        <v>1479</v>
      </c>
    </row>
    <row r="700" customFormat="false" ht="15" hidden="false" customHeight="false" outlineLevel="0" collapsed="false">
      <c r="A700" s="0" t="s">
        <v>16</v>
      </c>
      <c r="B700" s="0" t="s">
        <v>1912</v>
      </c>
      <c r="C700" s="0" t="s">
        <v>2757</v>
      </c>
      <c r="E700" s="0" t="s">
        <v>1479</v>
      </c>
    </row>
    <row r="701" customFormat="false" ht="15" hidden="false" customHeight="false" outlineLevel="0" collapsed="false">
      <c r="A701" s="0" t="s">
        <v>16</v>
      </c>
      <c r="B701" s="0" t="s">
        <v>1521</v>
      </c>
      <c r="C701" s="0" t="s">
        <v>2758</v>
      </c>
      <c r="E701" s="0" t="s">
        <v>1479</v>
      </c>
    </row>
    <row r="702" customFormat="false" ht="15" hidden="false" customHeight="false" outlineLevel="0" collapsed="false">
      <c r="A702" s="0" t="s">
        <v>16</v>
      </c>
      <c r="B702" s="0" t="s">
        <v>1920</v>
      </c>
      <c r="C702" s="0" t="s">
        <v>2759</v>
      </c>
      <c r="E702" s="0" t="s">
        <v>1479</v>
      </c>
    </row>
    <row r="703" customFormat="false" ht="15" hidden="false" customHeight="false" outlineLevel="0" collapsed="false">
      <c r="A703" s="0" t="s">
        <v>16</v>
      </c>
      <c r="B703" s="0" t="s">
        <v>1532</v>
      </c>
      <c r="C703" s="0" t="s">
        <v>2760</v>
      </c>
      <c r="E703" s="0" t="s">
        <v>1479</v>
      </c>
    </row>
    <row r="704" customFormat="false" ht="15" hidden="false" customHeight="false" outlineLevel="0" collapsed="false">
      <c r="A704" s="0" t="s">
        <v>16</v>
      </c>
      <c r="B704" s="0" t="s">
        <v>1928</v>
      </c>
      <c r="C704" s="0" t="s">
        <v>2761</v>
      </c>
      <c r="E704" s="0" t="s">
        <v>1479</v>
      </c>
    </row>
    <row r="705" customFormat="false" ht="15" hidden="false" customHeight="false" outlineLevel="0" collapsed="false">
      <c r="A705" s="0" t="s">
        <v>16</v>
      </c>
      <c r="B705" s="0" t="s">
        <v>1542</v>
      </c>
      <c r="C705" s="0" t="s">
        <v>2762</v>
      </c>
      <c r="E705" s="0" t="s">
        <v>1479</v>
      </c>
    </row>
    <row r="706" customFormat="false" ht="15" hidden="false" customHeight="false" outlineLevel="0" collapsed="false">
      <c r="A706" s="0" t="s">
        <v>16</v>
      </c>
      <c r="B706" s="0" t="s">
        <v>2588</v>
      </c>
      <c r="C706" s="0" t="s">
        <v>2763</v>
      </c>
      <c r="E706" s="0" t="s">
        <v>1479</v>
      </c>
    </row>
    <row r="707" customFormat="false" ht="15" hidden="false" customHeight="false" outlineLevel="0" collapsed="false">
      <c r="A707" s="0" t="s">
        <v>16</v>
      </c>
      <c r="B707" s="0" t="s">
        <v>1550</v>
      </c>
      <c r="C707" s="0" t="s">
        <v>2764</v>
      </c>
      <c r="E707" s="0" t="s">
        <v>1479</v>
      </c>
    </row>
    <row r="708" customFormat="false" ht="15" hidden="false" customHeight="false" outlineLevel="0" collapsed="false">
      <c r="A708" s="0" t="s">
        <v>16</v>
      </c>
      <c r="B708" s="0" t="s">
        <v>2601</v>
      </c>
      <c r="C708" s="0" t="s">
        <v>2765</v>
      </c>
      <c r="E708" s="0" t="s">
        <v>1479</v>
      </c>
    </row>
    <row r="709" customFormat="false" ht="15" hidden="false" customHeight="false" outlineLevel="0" collapsed="false">
      <c r="A709" s="0" t="s">
        <v>16</v>
      </c>
      <c r="B709" s="0" t="s">
        <v>2603</v>
      </c>
      <c r="C709" s="0" t="s">
        <v>2766</v>
      </c>
      <c r="E709" s="0" t="s">
        <v>1479</v>
      </c>
    </row>
    <row r="710" customFormat="false" ht="15" hidden="false" customHeight="false" outlineLevel="0" collapsed="false">
      <c r="A710" s="0" t="s">
        <v>16</v>
      </c>
      <c r="B710" s="0" t="s">
        <v>2617</v>
      </c>
      <c r="C710" s="0" t="s">
        <v>2767</v>
      </c>
      <c r="E710" s="0" t="s">
        <v>1479</v>
      </c>
    </row>
    <row r="711" customFormat="false" ht="15" hidden="false" customHeight="false" outlineLevel="0" collapsed="false">
      <c r="A711" s="0" t="s">
        <v>16</v>
      </c>
      <c r="B711" s="0" t="s">
        <v>2619</v>
      </c>
      <c r="C711" s="0" t="s">
        <v>2768</v>
      </c>
      <c r="E711" s="0" t="s">
        <v>1479</v>
      </c>
    </row>
    <row r="712" customFormat="false" ht="15" hidden="false" customHeight="false" outlineLevel="0" collapsed="false">
      <c r="A712" s="0" t="s">
        <v>16</v>
      </c>
      <c r="B712" s="0" t="s">
        <v>2632</v>
      </c>
      <c r="C712" s="0" t="s">
        <v>2769</v>
      </c>
      <c r="E712" s="0" t="s">
        <v>1479</v>
      </c>
    </row>
    <row r="713" customFormat="false" ht="15" hidden="false" customHeight="false" outlineLevel="0" collapsed="false">
      <c r="A713" s="0" t="s">
        <v>16</v>
      </c>
      <c r="B713" s="0" t="s">
        <v>1559</v>
      </c>
      <c r="C713" s="0" t="s">
        <v>2770</v>
      </c>
      <c r="E713" s="0" t="s">
        <v>1479</v>
      </c>
    </row>
    <row r="714" customFormat="false" ht="15" hidden="false" customHeight="false" outlineLevel="0" collapsed="false">
      <c r="A714" s="0" t="s">
        <v>16</v>
      </c>
      <c r="B714" s="0" t="s">
        <v>2646</v>
      </c>
      <c r="C714" s="0" t="s">
        <v>2771</v>
      </c>
      <c r="E714" s="0" t="s">
        <v>1479</v>
      </c>
    </row>
    <row r="715" customFormat="false" ht="15" hidden="false" customHeight="false" outlineLevel="0" collapsed="false">
      <c r="A715" s="0" t="s">
        <v>16</v>
      </c>
      <c r="B715" s="0" t="s">
        <v>1564</v>
      </c>
      <c r="C715" s="0" t="s">
        <v>2772</v>
      </c>
      <c r="E715" s="0" t="s">
        <v>1479</v>
      </c>
    </row>
    <row r="716" customFormat="false" ht="15" hidden="false" customHeight="false" outlineLevel="0" collapsed="false">
      <c r="A716" s="0" t="s">
        <v>16</v>
      </c>
      <c r="B716" s="0" t="s">
        <v>2660</v>
      </c>
      <c r="C716" s="0" t="s">
        <v>2773</v>
      </c>
      <c r="E716" s="0" t="s">
        <v>1479</v>
      </c>
    </row>
    <row r="717" customFormat="false" ht="15" hidden="false" customHeight="false" outlineLevel="0" collapsed="false">
      <c r="A717" s="0" t="s">
        <v>16</v>
      </c>
      <c r="B717" s="0" t="s">
        <v>1568</v>
      </c>
      <c r="C717" s="0" t="s">
        <v>2774</v>
      </c>
      <c r="E717" s="0" t="s">
        <v>1479</v>
      </c>
    </row>
    <row r="718" customFormat="false" ht="15" hidden="false" customHeight="false" outlineLevel="0" collapsed="false">
      <c r="A718" s="0" t="s">
        <v>16</v>
      </c>
      <c r="B718" s="0" t="s">
        <v>1938</v>
      </c>
      <c r="C718" s="0" t="s">
        <v>2775</v>
      </c>
      <c r="E718" s="0" t="s">
        <v>1059</v>
      </c>
    </row>
    <row r="719" customFormat="false" ht="15" hidden="false" customHeight="false" outlineLevel="0" collapsed="false">
      <c r="A719" s="0" t="s">
        <v>16</v>
      </c>
      <c r="B719" s="0" t="s">
        <v>2705</v>
      </c>
      <c r="C719" s="0" t="s">
        <v>2776</v>
      </c>
      <c r="E719" s="0" t="s">
        <v>1059</v>
      </c>
    </row>
    <row r="720" customFormat="false" ht="15" hidden="false" customHeight="false" outlineLevel="0" collapsed="false">
      <c r="A720" s="0" t="s">
        <v>16</v>
      </c>
      <c r="B720" s="0" t="s">
        <v>1950</v>
      </c>
      <c r="C720" s="0" t="s">
        <v>2777</v>
      </c>
      <c r="E720" s="0" t="s">
        <v>1058</v>
      </c>
    </row>
    <row r="721" customFormat="false" ht="15" hidden="false" customHeight="false" outlineLevel="0" collapsed="false">
      <c r="A721" s="0" t="s">
        <v>16</v>
      </c>
      <c r="B721" s="0" t="s">
        <v>2717</v>
      </c>
      <c r="C721" s="0" t="s">
        <v>2778</v>
      </c>
      <c r="E721" s="0" t="s">
        <v>1057</v>
      </c>
    </row>
    <row r="722" customFormat="false" ht="15" hidden="false" customHeight="false" outlineLevel="0" collapsed="false">
      <c r="A722" s="0" t="s">
        <v>16</v>
      </c>
      <c r="B722" s="0" t="s">
        <v>1958</v>
      </c>
      <c r="C722" s="0" t="s">
        <v>2779</v>
      </c>
      <c r="E722" s="0" t="s">
        <v>1057</v>
      </c>
    </row>
    <row r="723" customFormat="false" ht="15" hidden="false" customHeight="false" outlineLevel="0" collapsed="false">
      <c r="A723" s="0" t="s">
        <v>16</v>
      </c>
      <c r="B723" s="0" t="s">
        <v>2729</v>
      </c>
      <c r="C723" s="0" t="s">
        <v>2780</v>
      </c>
      <c r="E723" s="0" t="s">
        <v>1058</v>
      </c>
    </row>
    <row r="724" customFormat="false" ht="15" hidden="false" customHeight="false" outlineLevel="0" collapsed="false">
      <c r="A724" s="0" t="s">
        <v>16</v>
      </c>
      <c r="B724" s="0" t="s">
        <v>1966</v>
      </c>
      <c r="C724" s="0" t="s">
        <v>2781</v>
      </c>
      <c r="E724" s="0" t="s">
        <v>1058</v>
      </c>
    </row>
    <row r="725" customFormat="false" ht="15" hidden="false" customHeight="false" outlineLevel="0" collapsed="false">
      <c r="A725" s="0" t="s">
        <v>16</v>
      </c>
      <c r="B725" s="0" t="s">
        <v>1584</v>
      </c>
      <c r="C725" s="0" t="s">
        <v>2782</v>
      </c>
      <c r="E725" s="0" t="s">
        <v>1058</v>
      </c>
    </row>
    <row r="726" customFormat="false" ht="15" hidden="false" customHeight="false" outlineLevel="0" collapsed="false">
      <c r="A726" s="0" t="s">
        <v>16</v>
      </c>
      <c r="B726" s="0" t="s">
        <v>2783</v>
      </c>
      <c r="C726" s="0" t="s">
        <v>2784</v>
      </c>
      <c r="E726" s="0" t="s">
        <v>1056</v>
      </c>
    </row>
    <row r="727" customFormat="false" ht="15" hidden="false" customHeight="false" outlineLevel="0" collapsed="false">
      <c r="A727" s="0" t="s">
        <v>16</v>
      </c>
      <c r="B727" s="0" t="s">
        <v>1598</v>
      </c>
      <c r="C727" s="0" t="s">
        <v>2785</v>
      </c>
      <c r="E727" s="0" t="s">
        <v>1056</v>
      </c>
    </row>
    <row r="728" customFormat="false" ht="15" hidden="false" customHeight="false" outlineLevel="0" collapsed="false">
      <c r="A728" s="0" t="s">
        <v>18</v>
      </c>
      <c r="B728" s="0" t="s">
        <v>506</v>
      </c>
      <c r="C728" s="0" t="s">
        <v>2786</v>
      </c>
      <c r="E728" s="0" t="s">
        <v>2787</v>
      </c>
    </row>
    <row r="729" customFormat="false" ht="15" hidden="false" customHeight="false" outlineLevel="0" collapsed="false">
      <c r="A729" s="0" t="s">
        <v>18</v>
      </c>
      <c r="B729" s="0" t="s">
        <v>1864</v>
      </c>
      <c r="C729" s="0" t="s">
        <v>2788</v>
      </c>
      <c r="E729" s="0" t="s">
        <v>2789</v>
      </c>
    </row>
    <row r="730" customFormat="false" ht="15" hidden="false" customHeight="false" outlineLevel="0" collapsed="false">
      <c r="A730" s="0" t="s">
        <v>18</v>
      </c>
      <c r="B730" s="0" t="s">
        <v>1468</v>
      </c>
      <c r="C730" s="0" t="s">
        <v>2790</v>
      </c>
      <c r="D730" s="0" t="s">
        <v>1876</v>
      </c>
      <c r="E730" s="0" t="s">
        <v>2432</v>
      </c>
    </row>
    <row r="731" customFormat="false" ht="15" hidden="false" customHeight="false" outlineLevel="0" collapsed="false">
      <c r="A731" s="0" t="s">
        <v>18</v>
      </c>
      <c r="B731" s="0" t="s">
        <v>2438</v>
      </c>
      <c r="C731" s="0" t="s">
        <v>2791</v>
      </c>
      <c r="E731" s="0" t="s">
        <v>2792</v>
      </c>
    </row>
    <row r="732" customFormat="false" ht="15" hidden="false" customHeight="false" outlineLevel="0" collapsed="false">
      <c r="A732" s="0" t="s">
        <v>18</v>
      </c>
      <c r="B732" s="0" t="s">
        <v>2441</v>
      </c>
      <c r="C732" s="0" t="s">
        <v>2793</v>
      </c>
      <c r="E732" s="0" t="s">
        <v>2447</v>
      </c>
    </row>
    <row r="733" customFormat="false" ht="15" hidden="false" customHeight="false" outlineLevel="0" collapsed="false">
      <c r="A733" s="0" t="s">
        <v>18</v>
      </c>
      <c r="B733" s="0" t="s">
        <v>2443</v>
      </c>
      <c r="C733" s="0" t="s">
        <v>2794</v>
      </c>
      <c r="D733" s="0" t="s">
        <v>1876</v>
      </c>
      <c r="E733" s="0" t="s">
        <v>2795</v>
      </c>
    </row>
    <row r="734" customFormat="false" ht="15" hidden="false" customHeight="false" outlineLevel="0" collapsed="false">
      <c r="A734" s="0" t="s">
        <v>18</v>
      </c>
      <c r="B734" s="0" t="s">
        <v>2796</v>
      </c>
      <c r="C734" s="0" t="s">
        <v>2797</v>
      </c>
      <c r="D734" s="0" t="s">
        <v>1896</v>
      </c>
      <c r="E734" s="0" t="s">
        <v>1897</v>
      </c>
    </row>
    <row r="735" customFormat="false" ht="15" hidden="false" customHeight="false" outlineLevel="0" collapsed="false">
      <c r="A735" s="0" t="s">
        <v>18</v>
      </c>
      <c r="B735" s="0" t="s">
        <v>2445</v>
      </c>
      <c r="C735" s="0" t="s">
        <v>2798</v>
      </c>
      <c r="D735" s="0" t="s">
        <v>1896</v>
      </c>
      <c r="E735" s="0" t="s">
        <v>1897</v>
      </c>
    </row>
    <row r="736" customFormat="false" ht="15" hidden="false" customHeight="false" outlineLevel="0" collapsed="false">
      <c r="A736" s="0" t="s">
        <v>18</v>
      </c>
      <c r="B736" s="0" t="s">
        <v>2448</v>
      </c>
      <c r="C736" s="0" t="s">
        <v>2799</v>
      </c>
      <c r="D736" s="0" t="s">
        <v>1896</v>
      </c>
      <c r="E736" s="0" t="s">
        <v>1897</v>
      </c>
    </row>
    <row r="737" customFormat="false" ht="15" hidden="false" customHeight="false" outlineLevel="0" collapsed="false">
      <c r="A737" s="0" t="s">
        <v>18</v>
      </c>
      <c r="B737" s="0" t="s">
        <v>2800</v>
      </c>
      <c r="C737" s="0" t="s">
        <v>2801</v>
      </c>
      <c r="D737" s="0" t="s">
        <v>1896</v>
      </c>
      <c r="E737" s="0" t="s">
        <v>1897</v>
      </c>
    </row>
    <row r="738" customFormat="false" ht="15" hidden="false" customHeight="false" outlineLevel="0" collapsed="false">
      <c r="A738" s="0" t="s">
        <v>18</v>
      </c>
      <c r="B738" s="0" t="s">
        <v>2802</v>
      </c>
      <c r="C738" s="0" t="s">
        <v>2803</v>
      </c>
      <c r="E738" s="0" t="s">
        <v>2804</v>
      </c>
    </row>
    <row r="739" customFormat="false" ht="15" hidden="false" customHeight="false" outlineLevel="0" collapsed="false">
      <c r="A739" s="0" t="s">
        <v>18</v>
      </c>
      <c r="B739" s="0" t="s">
        <v>509</v>
      </c>
      <c r="C739" s="0" t="s">
        <v>2805</v>
      </c>
      <c r="E739" s="0" t="s">
        <v>2806</v>
      </c>
    </row>
    <row r="740" customFormat="false" ht="15" hidden="false" customHeight="false" outlineLevel="0" collapsed="false">
      <c r="A740" s="0" t="s">
        <v>18</v>
      </c>
      <c r="B740" s="0" t="s">
        <v>1867</v>
      </c>
      <c r="C740" s="0" t="s">
        <v>2807</v>
      </c>
      <c r="E740" s="0" t="s">
        <v>2808</v>
      </c>
    </row>
    <row r="741" customFormat="false" ht="15" hidden="false" customHeight="false" outlineLevel="0" collapsed="false">
      <c r="A741" s="0" t="s">
        <v>18</v>
      </c>
      <c r="B741" s="0" t="s">
        <v>2117</v>
      </c>
      <c r="C741" s="0" t="s">
        <v>2809</v>
      </c>
      <c r="D741" s="0" t="s">
        <v>1876</v>
      </c>
      <c r="E741" s="0" t="s">
        <v>2810</v>
      </c>
    </row>
    <row r="742" customFormat="false" ht="15" hidden="false" customHeight="false" outlineLevel="0" collapsed="false">
      <c r="A742" s="0" t="s">
        <v>18</v>
      </c>
      <c r="B742" s="0" t="s">
        <v>2120</v>
      </c>
      <c r="C742" s="0" t="s">
        <v>2811</v>
      </c>
      <c r="E742" s="0" t="s">
        <v>1479</v>
      </c>
    </row>
    <row r="743" customFormat="false" ht="15" hidden="false" customHeight="false" outlineLevel="0" collapsed="false">
      <c r="A743" s="0" t="s">
        <v>18</v>
      </c>
      <c r="B743" s="0" t="s">
        <v>2123</v>
      </c>
      <c r="C743" s="0" t="s">
        <v>2812</v>
      </c>
      <c r="E743" s="0" t="s">
        <v>2488</v>
      </c>
    </row>
    <row r="744" customFormat="false" ht="15" hidden="false" customHeight="false" outlineLevel="0" collapsed="false">
      <c r="A744" s="0" t="s">
        <v>18</v>
      </c>
      <c r="B744" s="0" t="s">
        <v>2126</v>
      </c>
      <c r="C744" s="0" t="s">
        <v>2813</v>
      </c>
      <c r="D744" s="0" t="s">
        <v>1876</v>
      </c>
      <c r="E744" s="0" t="s">
        <v>1514</v>
      </c>
    </row>
    <row r="745" customFormat="false" ht="15" hidden="false" customHeight="false" outlineLevel="0" collapsed="false">
      <c r="A745" s="0" t="s">
        <v>18</v>
      </c>
      <c r="B745" s="0" t="s">
        <v>2129</v>
      </c>
      <c r="C745" s="0" t="s">
        <v>2814</v>
      </c>
      <c r="D745" s="0" t="s">
        <v>1896</v>
      </c>
      <c r="E745" s="0" t="s">
        <v>1897</v>
      </c>
    </row>
    <row r="746" customFormat="false" ht="15" hidden="false" customHeight="false" outlineLevel="0" collapsed="false">
      <c r="A746" s="0" t="s">
        <v>18</v>
      </c>
      <c r="B746" s="0" t="s">
        <v>2131</v>
      </c>
      <c r="C746" s="0" t="s">
        <v>2815</v>
      </c>
      <c r="D746" s="0" t="s">
        <v>1896</v>
      </c>
      <c r="E746" s="0" t="s">
        <v>1897</v>
      </c>
    </row>
    <row r="747" customFormat="false" ht="15" hidden="false" customHeight="false" outlineLevel="0" collapsed="false">
      <c r="A747" s="0" t="s">
        <v>18</v>
      </c>
      <c r="B747" s="0" t="s">
        <v>2134</v>
      </c>
      <c r="C747" s="0" t="s">
        <v>2816</v>
      </c>
      <c r="D747" s="0" t="s">
        <v>1896</v>
      </c>
      <c r="E747" s="0" t="s">
        <v>1897</v>
      </c>
    </row>
    <row r="748" customFormat="false" ht="15" hidden="false" customHeight="false" outlineLevel="0" collapsed="false">
      <c r="A748" s="0" t="s">
        <v>18</v>
      </c>
      <c r="B748" s="0" t="s">
        <v>2137</v>
      </c>
      <c r="C748" s="0" t="s">
        <v>2817</v>
      </c>
      <c r="D748" s="0" t="s">
        <v>1896</v>
      </c>
      <c r="E748" s="0" t="s">
        <v>1897</v>
      </c>
    </row>
    <row r="749" customFormat="false" ht="15" hidden="false" customHeight="false" outlineLevel="0" collapsed="false">
      <c r="A749" s="0" t="s">
        <v>18</v>
      </c>
      <c r="B749" s="0" t="s">
        <v>2142</v>
      </c>
      <c r="C749" s="0" t="s">
        <v>2818</v>
      </c>
      <c r="E749" s="0" t="s">
        <v>2804</v>
      </c>
    </row>
    <row r="750" customFormat="false" ht="15" hidden="false" customHeight="false" outlineLevel="0" collapsed="false">
      <c r="A750" s="0" t="s">
        <v>18</v>
      </c>
      <c r="B750" s="0" t="s">
        <v>2145</v>
      </c>
      <c r="C750" s="0" t="s">
        <v>2819</v>
      </c>
      <c r="E750" s="0" t="s">
        <v>2820</v>
      </c>
    </row>
    <row r="751" customFormat="false" ht="15" hidden="false" customHeight="false" outlineLevel="0" collapsed="false">
      <c r="A751" s="0" t="s">
        <v>18</v>
      </c>
      <c r="B751" s="0" t="s">
        <v>1870</v>
      </c>
      <c r="C751" s="0" t="s">
        <v>2821</v>
      </c>
      <c r="E751" s="0" t="s">
        <v>2822</v>
      </c>
    </row>
    <row r="752" customFormat="false" ht="15" hidden="false" customHeight="false" outlineLevel="0" collapsed="false">
      <c r="A752" s="0" t="s">
        <v>18</v>
      </c>
      <c r="B752" s="0" t="s">
        <v>2148</v>
      </c>
      <c r="C752" s="0" t="s">
        <v>2823</v>
      </c>
      <c r="D752" s="0" t="s">
        <v>1876</v>
      </c>
      <c r="E752" s="0" t="s">
        <v>2466</v>
      </c>
    </row>
    <row r="753" customFormat="false" ht="15" hidden="false" customHeight="false" outlineLevel="0" collapsed="false">
      <c r="A753" s="0" t="s">
        <v>18</v>
      </c>
      <c r="B753" s="0" t="s">
        <v>2150</v>
      </c>
      <c r="C753" s="0" t="s">
        <v>2824</v>
      </c>
      <c r="E753" s="0" t="s">
        <v>1479</v>
      </c>
    </row>
    <row r="754" customFormat="false" ht="15" hidden="false" customHeight="false" outlineLevel="0" collapsed="false">
      <c r="A754" s="0" t="s">
        <v>18</v>
      </c>
      <c r="B754" s="0" t="s">
        <v>2153</v>
      </c>
      <c r="C754" s="0" t="s">
        <v>2825</v>
      </c>
      <c r="E754" s="0" t="s">
        <v>2488</v>
      </c>
    </row>
    <row r="755" customFormat="false" ht="15" hidden="false" customHeight="false" outlineLevel="0" collapsed="false">
      <c r="A755" s="0" t="s">
        <v>18</v>
      </c>
      <c r="B755" s="0" t="s">
        <v>2155</v>
      </c>
      <c r="C755" s="0" t="s">
        <v>2826</v>
      </c>
      <c r="D755" s="0" t="s">
        <v>1876</v>
      </c>
      <c r="E755" s="0" t="s">
        <v>1514</v>
      </c>
    </row>
    <row r="756" customFormat="false" ht="15" hidden="false" customHeight="false" outlineLevel="0" collapsed="false">
      <c r="A756" s="0" t="s">
        <v>18</v>
      </c>
      <c r="B756" s="0" t="s">
        <v>2157</v>
      </c>
      <c r="C756" s="0" t="s">
        <v>2827</v>
      </c>
      <c r="D756" s="0" t="s">
        <v>1896</v>
      </c>
      <c r="E756" s="0" t="s">
        <v>1897</v>
      </c>
    </row>
    <row r="757" customFormat="false" ht="15" hidden="false" customHeight="false" outlineLevel="0" collapsed="false">
      <c r="A757" s="0" t="s">
        <v>18</v>
      </c>
      <c r="B757" s="0" t="s">
        <v>2160</v>
      </c>
      <c r="C757" s="0" t="s">
        <v>2828</v>
      </c>
      <c r="D757" s="0" t="s">
        <v>1896</v>
      </c>
      <c r="E757" s="0" t="s">
        <v>1897</v>
      </c>
    </row>
    <row r="758" customFormat="false" ht="15" hidden="false" customHeight="false" outlineLevel="0" collapsed="false">
      <c r="A758" s="0" t="s">
        <v>18</v>
      </c>
      <c r="B758" s="0" t="s">
        <v>2162</v>
      </c>
      <c r="C758" s="0" t="s">
        <v>2829</v>
      </c>
      <c r="D758" s="0" t="s">
        <v>1896</v>
      </c>
      <c r="E758" s="0" t="s">
        <v>1897</v>
      </c>
    </row>
    <row r="759" customFormat="false" ht="15" hidden="false" customHeight="false" outlineLevel="0" collapsed="false">
      <c r="A759" s="0" t="s">
        <v>18</v>
      </c>
      <c r="B759" s="0" t="s">
        <v>2164</v>
      </c>
      <c r="C759" s="0" t="s">
        <v>2830</v>
      </c>
      <c r="D759" s="0" t="s">
        <v>1896</v>
      </c>
      <c r="E759" s="0" t="s">
        <v>1897</v>
      </c>
    </row>
    <row r="760" customFormat="false" ht="15" hidden="false" customHeight="false" outlineLevel="0" collapsed="false">
      <c r="A760" s="0" t="s">
        <v>18</v>
      </c>
      <c r="B760" s="0" t="s">
        <v>2168</v>
      </c>
      <c r="C760" s="0" t="s">
        <v>2831</v>
      </c>
      <c r="E760" s="0" t="s">
        <v>2804</v>
      </c>
    </row>
    <row r="761" customFormat="false" ht="15" hidden="false" customHeight="false" outlineLevel="0" collapsed="false">
      <c r="A761" s="0" t="s">
        <v>18</v>
      </c>
      <c r="B761" s="0" t="s">
        <v>2171</v>
      </c>
      <c r="C761" s="0" t="s">
        <v>2832</v>
      </c>
      <c r="E761" s="0" t="s">
        <v>1479</v>
      </c>
    </row>
    <row r="762" customFormat="false" ht="15" hidden="false" customHeight="false" outlineLevel="0" collapsed="false">
      <c r="A762" s="0" t="s">
        <v>18</v>
      </c>
      <c r="B762" s="0" t="s">
        <v>1471</v>
      </c>
      <c r="C762" s="0" t="s">
        <v>2833</v>
      </c>
      <c r="E762" s="0" t="s">
        <v>1479</v>
      </c>
    </row>
    <row r="763" customFormat="false" ht="15" hidden="false" customHeight="false" outlineLevel="0" collapsed="false">
      <c r="A763" s="0" t="s">
        <v>18</v>
      </c>
      <c r="B763" s="0" t="s">
        <v>2174</v>
      </c>
      <c r="C763" s="0" t="s">
        <v>2834</v>
      </c>
      <c r="D763" s="0" t="s">
        <v>1876</v>
      </c>
      <c r="E763" s="0" t="s">
        <v>1479</v>
      </c>
    </row>
    <row r="764" customFormat="false" ht="15" hidden="false" customHeight="false" outlineLevel="0" collapsed="false">
      <c r="A764" s="0" t="s">
        <v>18</v>
      </c>
      <c r="B764" s="0" t="s">
        <v>1474</v>
      </c>
      <c r="C764" s="0" t="s">
        <v>2835</v>
      </c>
      <c r="E764" s="0" t="s">
        <v>1479</v>
      </c>
    </row>
    <row r="765" customFormat="false" ht="15" hidden="false" customHeight="false" outlineLevel="0" collapsed="false">
      <c r="A765" s="0" t="s">
        <v>18</v>
      </c>
      <c r="B765" s="0" t="s">
        <v>1477</v>
      </c>
      <c r="C765" s="0" t="s">
        <v>2836</v>
      </c>
      <c r="E765" s="0" t="s">
        <v>1479</v>
      </c>
    </row>
    <row r="766" customFormat="false" ht="15" hidden="false" customHeight="false" outlineLevel="0" collapsed="false">
      <c r="A766" s="0" t="s">
        <v>18</v>
      </c>
      <c r="B766" s="0" t="s">
        <v>2179</v>
      </c>
      <c r="C766" s="0" t="s">
        <v>2837</v>
      </c>
      <c r="D766" s="0" t="s">
        <v>1876</v>
      </c>
      <c r="E766" s="0" t="s">
        <v>1479</v>
      </c>
    </row>
    <row r="767" customFormat="false" ht="15" hidden="false" customHeight="false" outlineLevel="0" collapsed="false">
      <c r="A767" s="0" t="s">
        <v>18</v>
      </c>
      <c r="B767" s="0" t="s">
        <v>2181</v>
      </c>
      <c r="C767" s="0" t="s">
        <v>2838</v>
      </c>
      <c r="D767" s="0" t="s">
        <v>1896</v>
      </c>
      <c r="E767" s="0" t="s">
        <v>1479</v>
      </c>
    </row>
    <row r="768" customFormat="false" ht="15" hidden="false" customHeight="false" outlineLevel="0" collapsed="false">
      <c r="A768" s="0" t="s">
        <v>18</v>
      </c>
      <c r="B768" s="0" t="s">
        <v>2183</v>
      </c>
      <c r="C768" s="0" t="s">
        <v>2839</v>
      </c>
      <c r="D768" s="0" t="s">
        <v>1896</v>
      </c>
      <c r="E768" s="0" t="s">
        <v>1479</v>
      </c>
    </row>
    <row r="769" customFormat="false" ht="15" hidden="false" customHeight="false" outlineLevel="0" collapsed="false">
      <c r="A769" s="0" t="s">
        <v>18</v>
      </c>
      <c r="B769" s="0" t="s">
        <v>2185</v>
      </c>
      <c r="C769" s="0" t="s">
        <v>2840</v>
      </c>
      <c r="D769" s="0" t="s">
        <v>1896</v>
      </c>
      <c r="E769" s="0" t="s">
        <v>1479</v>
      </c>
    </row>
    <row r="770" customFormat="false" ht="15" hidden="false" customHeight="false" outlineLevel="0" collapsed="false">
      <c r="A770" s="0" t="s">
        <v>18</v>
      </c>
      <c r="B770" s="0" t="s">
        <v>2187</v>
      </c>
      <c r="C770" s="0" t="s">
        <v>2841</v>
      </c>
      <c r="D770" s="0" t="s">
        <v>1896</v>
      </c>
      <c r="E770" s="0" t="s">
        <v>1479</v>
      </c>
    </row>
    <row r="771" customFormat="false" ht="15" hidden="false" customHeight="false" outlineLevel="0" collapsed="false">
      <c r="A771" s="0" t="s">
        <v>18</v>
      </c>
      <c r="B771" s="0" t="s">
        <v>2191</v>
      </c>
      <c r="C771" s="0" t="s">
        <v>2842</v>
      </c>
      <c r="E771" s="0" t="s">
        <v>1479</v>
      </c>
    </row>
    <row r="772" customFormat="false" ht="15" hidden="false" customHeight="false" outlineLevel="0" collapsed="false">
      <c r="A772" s="0" t="s">
        <v>18</v>
      </c>
      <c r="B772" s="0" t="s">
        <v>2194</v>
      </c>
      <c r="C772" s="0" t="s">
        <v>2843</v>
      </c>
      <c r="E772" s="0" t="s">
        <v>1479</v>
      </c>
    </row>
    <row r="773" customFormat="false" ht="15" hidden="false" customHeight="false" outlineLevel="0" collapsed="false">
      <c r="A773" s="0" t="s">
        <v>18</v>
      </c>
      <c r="B773" s="0" t="s">
        <v>1480</v>
      </c>
      <c r="C773" s="0" t="s">
        <v>2844</v>
      </c>
      <c r="E773" s="0" t="s">
        <v>1479</v>
      </c>
    </row>
    <row r="774" customFormat="false" ht="15" hidden="false" customHeight="false" outlineLevel="0" collapsed="false">
      <c r="A774" s="0" t="s">
        <v>18</v>
      </c>
      <c r="B774" s="0" t="s">
        <v>2197</v>
      </c>
      <c r="C774" s="0" t="s">
        <v>2845</v>
      </c>
      <c r="D774" s="0" t="s">
        <v>1876</v>
      </c>
      <c r="E774" s="0" t="s">
        <v>1479</v>
      </c>
    </row>
    <row r="775" customFormat="false" ht="15" hidden="false" customHeight="false" outlineLevel="0" collapsed="false">
      <c r="A775" s="0" t="s">
        <v>18</v>
      </c>
      <c r="B775" s="0" t="s">
        <v>1483</v>
      </c>
      <c r="C775" s="0" t="s">
        <v>2846</v>
      </c>
      <c r="E775" s="0" t="s">
        <v>1479</v>
      </c>
    </row>
    <row r="776" customFormat="false" ht="15" hidden="false" customHeight="false" outlineLevel="0" collapsed="false">
      <c r="A776" s="0" t="s">
        <v>18</v>
      </c>
      <c r="B776" s="0" t="s">
        <v>1486</v>
      </c>
      <c r="C776" s="0" t="s">
        <v>2847</v>
      </c>
      <c r="E776" s="0" t="s">
        <v>1479</v>
      </c>
    </row>
    <row r="777" customFormat="false" ht="15" hidden="false" customHeight="false" outlineLevel="0" collapsed="false">
      <c r="A777" s="0" t="s">
        <v>18</v>
      </c>
      <c r="B777" s="0" t="s">
        <v>2203</v>
      </c>
      <c r="C777" s="0" t="s">
        <v>2848</v>
      </c>
      <c r="D777" s="0" t="s">
        <v>1876</v>
      </c>
      <c r="E777" s="0" t="s">
        <v>1479</v>
      </c>
    </row>
    <row r="778" customFormat="false" ht="15" hidden="false" customHeight="false" outlineLevel="0" collapsed="false">
      <c r="A778" s="0" t="s">
        <v>18</v>
      </c>
      <c r="B778" s="0" t="s">
        <v>2205</v>
      </c>
      <c r="C778" s="0" t="s">
        <v>2849</v>
      </c>
      <c r="D778" s="0" t="s">
        <v>1896</v>
      </c>
      <c r="E778" s="0" t="s">
        <v>1479</v>
      </c>
    </row>
    <row r="779" customFormat="false" ht="15" hidden="false" customHeight="false" outlineLevel="0" collapsed="false">
      <c r="A779" s="0" t="s">
        <v>18</v>
      </c>
      <c r="B779" s="0" t="s">
        <v>2207</v>
      </c>
      <c r="C779" s="0" t="s">
        <v>2850</v>
      </c>
      <c r="D779" s="0" t="s">
        <v>1896</v>
      </c>
      <c r="E779" s="0" t="s">
        <v>1479</v>
      </c>
    </row>
    <row r="780" customFormat="false" ht="15" hidden="false" customHeight="false" outlineLevel="0" collapsed="false">
      <c r="A780" s="0" t="s">
        <v>18</v>
      </c>
      <c r="B780" s="0" t="s">
        <v>2209</v>
      </c>
      <c r="C780" s="0" t="s">
        <v>2851</v>
      </c>
      <c r="D780" s="0" t="s">
        <v>1896</v>
      </c>
      <c r="E780" s="0" t="s">
        <v>1479</v>
      </c>
    </row>
    <row r="781" customFormat="false" ht="15" hidden="false" customHeight="false" outlineLevel="0" collapsed="false">
      <c r="A781" s="0" t="s">
        <v>18</v>
      </c>
      <c r="B781" s="0" t="s">
        <v>2211</v>
      </c>
      <c r="C781" s="0" t="s">
        <v>2852</v>
      </c>
      <c r="D781" s="0" t="s">
        <v>1896</v>
      </c>
      <c r="E781" s="0" t="s">
        <v>1479</v>
      </c>
    </row>
    <row r="782" customFormat="false" ht="15" hidden="false" customHeight="false" outlineLevel="0" collapsed="false">
      <c r="A782" s="0" t="s">
        <v>18</v>
      </c>
      <c r="B782" s="0" t="s">
        <v>2215</v>
      </c>
      <c r="C782" s="0" t="s">
        <v>2853</v>
      </c>
      <c r="E782" s="0" t="s">
        <v>1479</v>
      </c>
    </row>
    <row r="783" customFormat="false" ht="15" hidden="false" customHeight="false" outlineLevel="0" collapsed="false">
      <c r="A783" s="0" t="s">
        <v>18</v>
      </c>
      <c r="B783" s="0" t="s">
        <v>2218</v>
      </c>
      <c r="C783" s="0" t="s">
        <v>2854</v>
      </c>
      <c r="E783" s="0" t="s">
        <v>1479</v>
      </c>
    </row>
    <row r="784" customFormat="false" ht="15" hidden="false" customHeight="false" outlineLevel="0" collapsed="false">
      <c r="A784" s="0" t="s">
        <v>18</v>
      </c>
      <c r="B784" s="0" t="s">
        <v>1488</v>
      </c>
      <c r="C784" s="0" t="s">
        <v>2855</v>
      </c>
      <c r="E784" s="0" t="s">
        <v>1479</v>
      </c>
    </row>
    <row r="785" customFormat="false" ht="15" hidden="false" customHeight="false" outlineLevel="0" collapsed="false">
      <c r="A785" s="0" t="s">
        <v>18</v>
      </c>
      <c r="B785" s="0" t="s">
        <v>2221</v>
      </c>
      <c r="C785" s="0" t="s">
        <v>2856</v>
      </c>
      <c r="D785" s="0" t="s">
        <v>1876</v>
      </c>
      <c r="E785" s="0" t="s">
        <v>1479</v>
      </c>
    </row>
    <row r="786" customFormat="false" ht="15" hidden="false" customHeight="false" outlineLevel="0" collapsed="false">
      <c r="A786" s="0" t="s">
        <v>18</v>
      </c>
      <c r="B786" s="0" t="s">
        <v>1490</v>
      </c>
      <c r="C786" s="0" t="s">
        <v>2857</v>
      </c>
      <c r="E786" s="0" t="s">
        <v>1479</v>
      </c>
    </row>
    <row r="787" customFormat="false" ht="15" hidden="false" customHeight="false" outlineLevel="0" collapsed="false">
      <c r="A787" s="0" t="s">
        <v>18</v>
      </c>
      <c r="B787" s="0" t="s">
        <v>1492</v>
      </c>
      <c r="C787" s="0" t="s">
        <v>2858</v>
      </c>
      <c r="E787" s="0" t="s">
        <v>1479</v>
      </c>
    </row>
    <row r="788" customFormat="false" ht="15" hidden="false" customHeight="false" outlineLevel="0" collapsed="false">
      <c r="A788" s="0" t="s">
        <v>18</v>
      </c>
      <c r="B788" s="0" t="s">
        <v>2227</v>
      </c>
      <c r="C788" s="0" t="s">
        <v>2859</v>
      </c>
      <c r="D788" s="0" t="s">
        <v>1876</v>
      </c>
      <c r="E788" s="0" t="s">
        <v>1479</v>
      </c>
    </row>
    <row r="789" customFormat="false" ht="15" hidden="false" customHeight="false" outlineLevel="0" collapsed="false">
      <c r="A789" s="0" t="s">
        <v>18</v>
      </c>
      <c r="B789" s="0" t="s">
        <v>2230</v>
      </c>
      <c r="C789" s="0" t="s">
        <v>2860</v>
      </c>
      <c r="D789" s="0" t="s">
        <v>1896</v>
      </c>
      <c r="E789" s="0" t="s">
        <v>1479</v>
      </c>
    </row>
    <row r="790" customFormat="false" ht="15" hidden="false" customHeight="false" outlineLevel="0" collapsed="false">
      <c r="A790" s="0" t="s">
        <v>18</v>
      </c>
      <c r="B790" s="0" t="s">
        <v>2233</v>
      </c>
      <c r="C790" s="0" t="s">
        <v>2861</v>
      </c>
      <c r="D790" s="0" t="s">
        <v>1896</v>
      </c>
      <c r="E790" s="0" t="s">
        <v>1479</v>
      </c>
    </row>
    <row r="791" customFormat="false" ht="15" hidden="false" customHeight="false" outlineLevel="0" collapsed="false">
      <c r="A791" s="0" t="s">
        <v>18</v>
      </c>
      <c r="B791" s="0" t="s">
        <v>2235</v>
      </c>
      <c r="C791" s="0" t="s">
        <v>2862</v>
      </c>
      <c r="D791" s="0" t="s">
        <v>1896</v>
      </c>
      <c r="E791" s="0" t="s">
        <v>1479</v>
      </c>
    </row>
    <row r="792" customFormat="false" ht="15" hidden="false" customHeight="false" outlineLevel="0" collapsed="false">
      <c r="A792" s="0" t="s">
        <v>18</v>
      </c>
      <c r="B792" s="0" t="s">
        <v>2237</v>
      </c>
      <c r="C792" s="0" t="s">
        <v>2863</v>
      </c>
      <c r="D792" s="0" t="s">
        <v>1896</v>
      </c>
      <c r="E792" s="0" t="s">
        <v>1479</v>
      </c>
    </row>
    <row r="793" customFormat="false" ht="15" hidden="false" customHeight="false" outlineLevel="0" collapsed="false">
      <c r="A793" s="0" t="s">
        <v>18</v>
      </c>
      <c r="B793" s="0" t="s">
        <v>2241</v>
      </c>
      <c r="C793" s="0" t="s">
        <v>2864</v>
      </c>
      <c r="E793" s="0" t="s">
        <v>1479</v>
      </c>
    </row>
    <row r="794" customFormat="false" ht="15" hidden="false" customHeight="false" outlineLevel="0" collapsed="false">
      <c r="A794" s="0" t="s">
        <v>18</v>
      </c>
      <c r="B794" s="0" t="s">
        <v>2244</v>
      </c>
      <c r="C794" s="0" t="s">
        <v>2865</v>
      </c>
      <c r="E794" s="0" t="s">
        <v>1479</v>
      </c>
    </row>
    <row r="795" customFormat="false" ht="15" hidden="false" customHeight="false" outlineLevel="0" collapsed="false">
      <c r="A795" s="0" t="s">
        <v>18</v>
      </c>
      <c r="B795" s="0" t="s">
        <v>1494</v>
      </c>
      <c r="C795" s="0" t="s">
        <v>2866</v>
      </c>
      <c r="E795" s="0" t="s">
        <v>1479</v>
      </c>
    </row>
    <row r="796" customFormat="false" ht="15" hidden="false" customHeight="false" outlineLevel="0" collapsed="false">
      <c r="A796" s="0" t="s">
        <v>18</v>
      </c>
      <c r="B796" s="0" t="s">
        <v>2247</v>
      </c>
      <c r="C796" s="0" t="s">
        <v>2867</v>
      </c>
      <c r="D796" s="0" t="s">
        <v>1876</v>
      </c>
      <c r="E796" s="0" t="s">
        <v>1479</v>
      </c>
    </row>
    <row r="797" customFormat="false" ht="15" hidden="false" customHeight="false" outlineLevel="0" collapsed="false">
      <c r="A797" s="0" t="s">
        <v>18</v>
      </c>
      <c r="B797" s="0" t="s">
        <v>1496</v>
      </c>
      <c r="C797" s="0" t="s">
        <v>2868</v>
      </c>
      <c r="E797" s="0" t="s">
        <v>1479</v>
      </c>
    </row>
    <row r="798" customFormat="false" ht="15" hidden="false" customHeight="false" outlineLevel="0" collapsed="false">
      <c r="A798" s="0" t="s">
        <v>18</v>
      </c>
      <c r="B798" s="0" t="s">
        <v>1498</v>
      </c>
      <c r="C798" s="0" t="s">
        <v>2869</v>
      </c>
      <c r="E798" s="0" t="s">
        <v>1479</v>
      </c>
    </row>
    <row r="799" customFormat="false" ht="15" hidden="false" customHeight="false" outlineLevel="0" collapsed="false">
      <c r="A799" s="0" t="s">
        <v>18</v>
      </c>
      <c r="B799" s="0" t="s">
        <v>2253</v>
      </c>
      <c r="C799" s="0" t="s">
        <v>2870</v>
      </c>
      <c r="D799" s="0" t="s">
        <v>1876</v>
      </c>
      <c r="E799" s="0" t="s">
        <v>1479</v>
      </c>
    </row>
    <row r="800" customFormat="false" ht="15" hidden="false" customHeight="false" outlineLevel="0" collapsed="false">
      <c r="A800" s="0" t="s">
        <v>18</v>
      </c>
      <c r="B800" s="0" t="s">
        <v>2255</v>
      </c>
      <c r="C800" s="0" t="s">
        <v>2871</v>
      </c>
      <c r="D800" s="0" t="s">
        <v>1896</v>
      </c>
      <c r="E800" s="0" t="s">
        <v>1479</v>
      </c>
    </row>
    <row r="801" customFormat="false" ht="15" hidden="false" customHeight="false" outlineLevel="0" collapsed="false">
      <c r="A801" s="0" t="s">
        <v>18</v>
      </c>
      <c r="B801" s="0" t="s">
        <v>2257</v>
      </c>
      <c r="C801" s="0" t="s">
        <v>2872</v>
      </c>
      <c r="D801" s="0" t="s">
        <v>1896</v>
      </c>
      <c r="E801" s="0" t="s">
        <v>1479</v>
      </c>
    </row>
    <row r="802" customFormat="false" ht="15" hidden="false" customHeight="false" outlineLevel="0" collapsed="false">
      <c r="A802" s="0" t="s">
        <v>18</v>
      </c>
      <c r="B802" s="0" t="s">
        <v>2259</v>
      </c>
      <c r="C802" s="0" t="s">
        <v>2873</v>
      </c>
      <c r="D802" s="0" t="s">
        <v>1896</v>
      </c>
      <c r="E802" s="0" t="s">
        <v>1479</v>
      </c>
    </row>
    <row r="803" customFormat="false" ht="15" hidden="false" customHeight="false" outlineLevel="0" collapsed="false">
      <c r="A803" s="0" t="s">
        <v>18</v>
      </c>
      <c r="B803" s="0" t="s">
        <v>2261</v>
      </c>
      <c r="C803" s="0" t="s">
        <v>2874</v>
      </c>
      <c r="D803" s="0" t="s">
        <v>1896</v>
      </c>
      <c r="E803" s="0" t="s">
        <v>1479</v>
      </c>
    </row>
    <row r="804" customFormat="false" ht="15" hidden="false" customHeight="false" outlineLevel="0" collapsed="false">
      <c r="A804" s="0" t="s">
        <v>18</v>
      </c>
      <c r="B804" s="0" t="s">
        <v>2265</v>
      </c>
      <c r="C804" s="0" t="s">
        <v>2875</v>
      </c>
      <c r="E804" s="0" t="s">
        <v>1479</v>
      </c>
    </row>
    <row r="805" customFormat="false" ht="15" hidden="false" customHeight="false" outlineLevel="0" collapsed="false">
      <c r="A805" s="0" t="s">
        <v>18</v>
      </c>
      <c r="B805" s="0" t="s">
        <v>2268</v>
      </c>
      <c r="C805" s="0" t="s">
        <v>2876</v>
      </c>
      <c r="E805" s="0" t="s">
        <v>1479</v>
      </c>
    </row>
    <row r="806" customFormat="false" ht="15" hidden="false" customHeight="false" outlineLevel="0" collapsed="false">
      <c r="A806" s="0" t="s">
        <v>18</v>
      </c>
      <c r="B806" s="0" t="s">
        <v>1500</v>
      </c>
      <c r="C806" s="0" t="s">
        <v>2877</v>
      </c>
      <c r="E806" s="0" t="s">
        <v>1479</v>
      </c>
    </row>
    <row r="807" customFormat="false" ht="15" hidden="false" customHeight="false" outlineLevel="0" collapsed="false">
      <c r="A807" s="0" t="s">
        <v>18</v>
      </c>
      <c r="B807" s="0" t="s">
        <v>2271</v>
      </c>
      <c r="C807" s="0" t="s">
        <v>2878</v>
      </c>
      <c r="D807" s="0" t="s">
        <v>1876</v>
      </c>
      <c r="E807" s="0" t="s">
        <v>1479</v>
      </c>
    </row>
    <row r="808" customFormat="false" ht="15" hidden="false" customHeight="false" outlineLevel="0" collapsed="false">
      <c r="A808" s="0" t="s">
        <v>18</v>
      </c>
      <c r="B808" s="0" t="s">
        <v>1502</v>
      </c>
      <c r="C808" s="0" t="s">
        <v>2879</v>
      </c>
      <c r="E808" s="0" t="s">
        <v>1479</v>
      </c>
    </row>
    <row r="809" customFormat="false" ht="15" hidden="false" customHeight="false" outlineLevel="0" collapsed="false">
      <c r="A809" s="0" t="s">
        <v>18</v>
      </c>
      <c r="B809" s="0" t="s">
        <v>1504</v>
      </c>
      <c r="C809" s="0" t="s">
        <v>2880</v>
      </c>
      <c r="E809" s="0" t="s">
        <v>1479</v>
      </c>
    </row>
    <row r="810" customFormat="false" ht="15" hidden="false" customHeight="false" outlineLevel="0" collapsed="false">
      <c r="A810" s="0" t="s">
        <v>18</v>
      </c>
      <c r="B810" s="0" t="s">
        <v>2275</v>
      </c>
      <c r="C810" s="0" t="s">
        <v>2881</v>
      </c>
      <c r="D810" s="0" t="s">
        <v>1876</v>
      </c>
      <c r="E810" s="0" t="s">
        <v>1479</v>
      </c>
    </row>
    <row r="811" customFormat="false" ht="15" hidden="false" customHeight="false" outlineLevel="0" collapsed="false">
      <c r="A811" s="0" t="s">
        <v>18</v>
      </c>
      <c r="B811" s="0" t="s">
        <v>2277</v>
      </c>
      <c r="C811" s="0" t="s">
        <v>2882</v>
      </c>
      <c r="D811" s="0" t="s">
        <v>1896</v>
      </c>
      <c r="E811" s="0" t="s">
        <v>1479</v>
      </c>
    </row>
    <row r="812" customFormat="false" ht="15" hidden="false" customHeight="false" outlineLevel="0" collapsed="false">
      <c r="A812" s="0" t="s">
        <v>18</v>
      </c>
      <c r="B812" s="0" t="s">
        <v>2279</v>
      </c>
      <c r="C812" s="0" t="s">
        <v>2883</v>
      </c>
      <c r="D812" s="0" t="s">
        <v>1896</v>
      </c>
      <c r="E812" s="0" t="s">
        <v>1479</v>
      </c>
    </row>
    <row r="813" customFormat="false" ht="15" hidden="false" customHeight="false" outlineLevel="0" collapsed="false">
      <c r="A813" s="0" t="s">
        <v>18</v>
      </c>
      <c r="B813" s="0" t="s">
        <v>2281</v>
      </c>
      <c r="C813" s="0" t="s">
        <v>2884</v>
      </c>
      <c r="D813" s="0" t="s">
        <v>1896</v>
      </c>
      <c r="E813" s="0" t="s">
        <v>1479</v>
      </c>
    </row>
    <row r="814" customFormat="false" ht="15" hidden="false" customHeight="false" outlineLevel="0" collapsed="false">
      <c r="A814" s="0" t="s">
        <v>18</v>
      </c>
      <c r="B814" s="0" t="s">
        <v>2283</v>
      </c>
      <c r="C814" s="0" t="s">
        <v>2885</v>
      </c>
      <c r="D814" s="0" t="s">
        <v>1896</v>
      </c>
      <c r="E814" s="0" t="s">
        <v>1479</v>
      </c>
    </row>
    <row r="815" customFormat="false" ht="15" hidden="false" customHeight="false" outlineLevel="0" collapsed="false">
      <c r="A815" s="0" t="s">
        <v>18</v>
      </c>
      <c r="B815" s="0" t="s">
        <v>2287</v>
      </c>
      <c r="C815" s="0" t="s">
        <v>2886</v>
      </c>
      <c r="E815" s="0" t="s">
        <v>1479</v>
      </c>
    </row>
    <row r="816" customFormat="false" ht="15" hidden="false" customHeight="false" outlineLevel="0" collapsed="false">
      <c r="A816" s="0" t="s">
        <v>18</v>
      </c>
      <c r="B816" s="0" t="s">
        <v>2289</v>
      </c>
      <c r="C816" s="0" t="s">
        <v>2887</v>
      </c>
      <c r="E816" s="0" t="s">
        <v>1479</v>
      </c>
    </row>
    <row r="817" customFormat="false" ht="15" hidden="false" customHeight="false" outlineLevel="0" collapsed="false">
      <c r="A817" s="0" t="s">
        <v>18</v>
      </c>
      <c r="B817" s="0" t="s">
        <v>2291</v>
      </c>
      <c r="C817" s="0" t="s">
        <v>2888</v>
      </c>
      <c r="E817" s="0" t="s">
        <v>1479</v>
      </c>
    </row>
    <row r="818" customFormat="false" ht="15" hidden="false" customHeight="false" outlineLevel="0" collapsed="false">
      <c r="A818" s="0" t="s">
        <v>18</v>
      </c>
      <c r="B818" s="0" t="s">
        <v>2293</v>
      </c>
      <c r="C818" s="0" t="s">
        <v>2889</v>
      </c>
      <c r="D818" s="0" t="s">
        <v>1876</v>
      </c>
      <c r="E818" s="0" t="s">
        <v>1479</v>
      </c>
    </row>
    <row r="819" customFormat="false" ht="15" hidden="false" customHeight="false" outlineLevel="0" collapsed="false">
      <c r="A819" s="0" t="s">
        <v>18</v>
      </c>
      <c r="B819" s="0" t="s">
        <v>2295</v>
      </c>
      <c r="C819" s="0" t="s">
        <v>2890</v>
      </c>
      <c r="E819" s="0" t="s">
        <v>1479</v>
      </c>
    </row>
    <row r="820" customFormat="false" ht="15" hidden="false" customHeight="false" outlineLevel="0" collapsed="false">
      <c r="A820" s="0" t="s">
        <v>18</v>
      </c>
      <c r="B820" s="0" t="s">
        <v>2297</v>
      </c>
      <c r="C820" s="0" t="s">
        <v>2891</v>
      </c>
      <c r="E820" s="0" t="s">
        <v>1479</v>
      </c>
    </row>
    <row r="821" customFormat="false" ht="15" hidden="false" customHeight="false" outlineLevel="0" collapsed="false">
      <c r="A821" s="0" t="s">
        <v>18</v>
      </c>
      <c r="B821" s="0" t="s">
        <v>2299</v>
      </c>
      <c r="C821" s="0" t="s">
        <v>2892</v>
      </c>
      <c r="D821" s="0" t="s">
        <v>1876</v>
      </c>
      <c r="E821" s="0" t="s">
        <v>1479</v>
      </c>
    </row>
    <row r="822" customFormat="false" ht="15" hidden="false" customHeight="false" outlineLevel="0" collapsed="false">
      <c r="A822" s="0" t="s">
        <v>18</v>
      </c>
      <c r="B822" s="0" t="s">
        <v>2301</v>
      </c>
      <c r="C822" s="0" t="s">
        <v>2893</v>
      </c>
      <c r="D822" s="0" t="s">
        <v>1896</v>
      </c>
      <c r="E822" s="0" t="s">
        <v>1479</v>
      </c>
    </row>
    <row r="823" customFormat="false" ht="15" hidden="false" customHeight="false" outlineLevel="0" collapsed="false">
      <c r="A823" s="0" t="s">
        <v>18</v>
      </c>
      <c r="B823" s="0" t="s">
        <v>2303</v>
      </c>
      <c r="C823" s="0" t="s">
        <v>2894</v>
      </c>
      <c r="D823" s="0" t="s">
        <v>1896</v>
      </c>
      <c r="E823" s="0" t="s">
        <v>1479</v>
      </c>
    </row>
    <row r="824" customFormat="false" ht="15" hidden="false" customHeight="false" outlineLevel="0" collapsed="false">
      <c r="A824" s="0" t="s">
        <v>18</v>
      </c>
      <c r="B824" s="0" t="s">
        <v>2305</v>
      </c>
      <c r="C824" s="0" t="s">
        <v>2895</v>
      </c>
      <c r="D824" s="0" t="s">
        <v>1896</v>
      </c>
      <c r="E824" s="0" t="s">
        <v>1479</v>
      </c>
    </row>
    <row r="825" customFormat="false" ht="15" hidden="false" customHeight="false" outlineLevel="0" collapsed="false">
      <c r="A825" s="0" t="s">
        <v>18</v>
      </c>
      <c r="B825" s="0" t="s">
        <v>2307</v>
      </c>
      <c r="C825" s="0" t="s">
        <v>2896</v>
      </c>
      <c r="D825" s="0" t="s">
        <v>1896</v>
      </c>
      <c r="E825" s="0" t="s">
        <v>1479</v>
      </c>
    </row>
    <row r="826" customFormat="false" ht="15" hidden="false" customHeight="false" outlineLevel="0" collapsed="false">
      <c r="A826" s="0" t="s">
        <v>18</v>
      </c>
      <c r="B826" s="0" t="s">
        <v>2311</v>
      </c>
      <c r="C826" s="0" t="s">
        <v>2897</v>
      </c>
      <c r="E826" s="0" t="s">
        <v>1479</v>
      </c>
    </row>
    <row r="827" customFormat="false" ht="15" hidden="false" customHeight="false" outlineLevel="0" collapsed="false">
      <c r="A827" s="0" t="s">
        <v>18</v>
      </c>
      <c r="B827" s="0" t="s">
        <v>1880</v>
      </c>
      <c r="C827" s="0" t="s">
        <v>2898</v>
      </c>
      <c r="E827" s="0" t="s">
        <v>1479</v>
      </c>
    </row>
    <row r="828" customFormat="false" ht="15" hidden="false" customHeight="false" outlineLevel="0" collapsed="false">
      <c r="A828" s="0" t="s">
        <v>18</v>
      </c>
      <c r="B828" s="0" t="s">
        <v>1883</v>
      </c>
      <c r="C828" s="0" t="s">
        <v>2899</v>
      </c>
      <c r="E828" s="0" t="s">
        <v>1479</v>
      </c>
    </row>
    <row r="829" customFormat="false" ht="15" hidden="false" customHeight="false" outlineLevel="0" collapsed="false">
      <c r="A829" s="0" t="s">
        <v>18</v>
      </c>
      <c r="B829" s="0" t="s">
        <v>1886</v>
      </c>
      <c r="C829" s="0" t="s">
        <v>2900</v>
      </c>
      <c r="D829" s="0" t="s">
        <v>1876</v>
      </c>
      <c r="E829" s="0" t="s">
        <v>1479</v>
      </c>
    </row>
    <row r="830" customFormat="false" ht="15" hidden="false" customHeight="false" outlineLevel="0" collapsed="false">
      <c r="A830" s="0" t="s">
        <v>18</v>
      </c>
      <c r="B830" s="0" t="s">
        <v>1888</v>
      </c>
      <c r="C830" s="0" t="s">
        <v>2901</v>
      </c>
      <c r="E830" s="0" t="s">
        <v>1479</v>
      </c>
    </row>
    <row r="831" customFormat="false" ht="15" hidden="false" customHeight="false" outlineLevel="0" collapsed="false">
      <c r="A831" s="0" t="s">
        <v>18</v>
      </c>
      <c r="B831" s="0" t="s">
        <v>1891</v>
      </c>
      <c r="C831" s="0" t="s">
        <v>2902</v>
      </c>
      <c r="E831" s="0" t="s">
        <v>1479</v>
      </c>
    </row>
    <row r="832" customFormat="false" ht="15" hidden="false" customHeight="false" outlineLevel="0" collapsed="false">
      <c r="A832" s="0" t="s">
        <v>18</v>
      </c>
      <c r="B832" s="0" t="s">
        <v>1894</v>
      </c>
      <c r="C832" s="0" t="s">
        <v>2903</v>
      </c>
      <c r="D832" s="0" t="s">
        <v>1876</v>
      </c>
      <c r="E832" s="0" t="s">
        <v>1479</v>
      </c>
    </row>
    <row r="833" customFormat="false" ht="15" hidden="false" customHeight="false" outlineLevel="0" collapsed="false">
      <c r="A833" s="0" t="s">
        <v>18</v>
      </c>
      <c r="B833" s="0" t="s">
        <v>2319</v>
      </c>
      <c r="C833" s="0" t="s">
        <v>2904</v>
      </c>
      <c r="D833" s="0" t="s">
        <v>1896</v>
      </c>
      <c r="E833" s="0" t="s">
        <v>1479</v>
      </c>
    </row>
    <row r="834" customFormat="false" ht="15" hidden="false" customHeight="false" outlineLevel="0" collapsed="false">
      <c r="A834" s="0" t="s">
        <v>18</v>
      </c>
      <c r="B834" s="0" t="s">
        <v>2321</v>
      </c>
      <c r="C834" s="0" t="s">
        <v>2905</v>
      </c>
      <c r="D834" s="0" t="s">
        <v>1896</v>
      </c>
      <c r="E834" s="0" t="s">
        <v>1479</v>
      </c>
    </row>
    <row r="835" customFormat="false" ht="15" hidden="false" customHeight="false" outlineLevel="0" collapsed="false">
      <c r="A835" s="0" t="s">
        <v>18</v>
      </c>
      <c r="B835" s="0" t="s">
        <v>2323</v>
      </c>
      <c r="C835" s="0" t="s">
        <v>2906</v>
      </c>
      <c r="D835" s="0" t="s">
        <v>1896</v>
      </c>
      <c r="E835" s="0" t="s">
        <v>1479</v>
      </c>
    </row>
    <row r="836" customFormat="false" ht="15" hidden="false" customHeight="false" outlineLevel="0" collapsed="false">
      <c r="A836" s="0" t="s">
        <v>18</v>
      </c>
      <c r="B836" s="0" t="s">
        <v>2325</v>
      </c>
      <c r="C836" s="0" t="s">
        <v>2907</v>
      </c>
      <c r="D836" s="0" t="s">
        <v>1896</v>
      </c>
      <c r="E836" s="0" t="s">
        <v>1479</v>
      </c>
    </row>
    <row r="837" customFormat="false" ht="15" hidden="false" customHeight="false" outlineLevel="0" collapsed="false">
      <c r="A837" s="0" t="s">
        <v>18</v>
      </c>
      <c r="B837" s="0" t="s">
        <v>2329</v>
      </c>
      <c r="C837" s="0" t="s">
        <v>2908</v>
      </c>
      <c r="E837" s="0" t="s">
        <v>1479</v>
      </c>
    </row>
    <row r="838" customFormat="false" ht="15" hidden="false" customHeight="false" outlineLevel="0" collapsed="false">
      <c r="A838" s="0" t="s">
        <v>18</v>
      </c>
      <c r="B838" s="0" t="s">
        <v>1898</v>
      </c>
      <c r="C838" s="0" t="s">
        <v>2909</v>
      </c>
      <c r="E838" s="0" t="s">
        <v>1479</v>
      </c>
    </row>
    <row r="839" customFormat="false" ht="15" hidden="false" customHeight="false" outlineLevel="0" collapsed="false">
      <c r="A839" s="0" t="s">
        <v>18</v>
      </c>
      <c r="B839" s="0" t="s">
        <v>1506</v>
      </c>
      <c r="C839" s="0" t="s">
        <v>2910</v>
      </c>
      <c r="E839" s="0" t="s">
        <v>1479</v>
      </c>
    </row>
    <row r="840" customFormat="false" ht="15" hidden="false" customHeight="false" outlineLevel="0" collapsed="false">
      <c r="A840" s="0" t="s">
        <v>18</v>
      </c>
      <c r="B840" s="0" t="s">
        <v>1901</v>
      </c>
      <c r="C840" s="0" t="s">
        <v>2911</v>
      </c>
      <c r="D840" s="0" t="s">
        <v>1876</v>
      </c>
      <c r="E840" s="0" t="s">
        <v>1479</v>
      </c>
    </row>
    <row r="841" customFormat="false" ht="15" hidden="false" customHeight="false" outlineLevel="0" collapsed="false">
      <c r="A841" s="0" t="s">
        <v>18</v>
      </c>
      <c r="B841" s="0" t="s">
        <v>1509</v>
      </c>
      <c r="C841" s="0" t="s">
        <v>2912</v>
      </c>
      <c r="E841" s="0" t="s">
        <v>1479</v>
      </c>
    </row>
    <row r="842" customFormat="false" ht="15" hidden="false" customHeight="false" outlineLevel="0" collapsed="false">
      <c r="A842" s="0" t="s">
        <v>18</v>
      </c>
      <c r="B842" s="0" t="s">
        <v>1512</v>
      </c>
      <c r="C842" s="0" t="s">
        <v>2913</v>
      </c>
      <c r="E842" s="0" t="s">
        <v>1479</v>
      </c>
    </row>
    <row r="843" customFormat="false" ht="15" hidden="false" customHeight="false" outlineLevel="0" collapsed="false">
      <c r="A843" s="0" t="s">
        <v>18</v>
      </c>
      <c r="B843" s="0" t="s">
        <v>1515</v>
      </c>
      <c r="C843" s="0" t="s">
        <v>2914</v>
      </c>
      <c r="D843" s="0" t="s">
        <v>1876</v>
      </c>
      <c r="E843" s="0" t="s">
        <v>1479</v>
      </c>
    </row>
    <row r="844" customFormat="false" ht="15" hidden="false" customHeight="false" outlineLevel="0" collapsed="false">
      <c r="A844" s="0" t="s">
        <v>18</v>
      </c>
      <c r="B844" s="0" t="s">
        <v>2337</v>
      </c>
      <c r="C844" s="0" t="s">
        <v>2915</v>
      </c>
      <c r="D844" s="0" t="s">
        <v>1896</v>
      </c>
      <c r="E844" s="0" t="s">
        <v>1479</v>
      </c>
    </row>
    <row r="845" customFormat="false" ht="15" hidden="false" customHeight="false" outlineLevel="0" collapsed="false">
      <c r="A845" s="0" t="s">
        <v>18</v>
      </c>
      <c r="B845" s="0" t="s">
        <v>2339</v>
      </c>
      <c r="C845" s="0" t="s">
        <v>2916</v>
      </c>
      <c r="D845" s="0" t="s">
        <v>1896</v>
      </c>
      <c r="E845" s="0" t="s">
        <v>1479</v>
      </c>
    </row>
    <row r="846" customFormat="false" ht="15" hidden="false" customHeight="false" outlineLevel="0" collapsed="false">
      <c r="A846" s="0" t="s">
        <v>18</v>
      </c>
      <c r="B846" s="0" t="s">
        <v>2341</v>
      </c>
      <c r="C846" s="0" t="s">
        <v>2917</v>
      </c>
      <c r="D846" s="0" t="s">
        <v>1896</v>
      </c>
      <c r="E846" s="0" t="s">
        <v>1479</v>
      </c>
    </row>
    <row r="847" customFormat="false" ht="15" hidden="false" customHeight="false" outlineLevel="0" collapsed="false">
      <c r="A847" s="0" t="s">
        <v>18</v>
      </c>
      <c r="B847" s="0" t="s">
        <v>2343</v>
      </c>
      <c r="C847" s="0" t="s">
        <v>2918</v>
      </c>
      <c r="D847" s="0" t="s">
        <v>1896</v>
      </c>
      <c r="E847" s="0" t="s">
        <v>1479</v>
      </c>
    </row>
    <row r="848" customFormat="false" ht="15" hidden="false" customHeight="false" outlineLevel="0" collapsed="false">
      <c r="A848" s="0" t="s">
        <v>18</v>
      </c>
      <c r="B848" s="0" t="s">
        <v>2347</v>
      </c>
      <c r="C848" s="0" t="s">
        <v>2919</v>
      </c>
      <c r="E848" s="0" t="s">
        <v>1479</v>
      </c>
    </row>
    <row r="849" customFormat="false" ht="15" hidden="false" customHeight="false" outlineLevel="0" collapsed="false">
      <c r="A849" s="0" t="s">
        <v>18</v>
      </c>
      <c r="B849" s="0" t="s">
        <v>1909</v>
      </c>
      <c r="C849" s="0" t="s">
        <v>2920</v>
      </c>
      <c r="E849" s="0" t="s">
        <v>1479</v>
      </c>
    </row>
    <row r="850" customFormat="false" ht="15" hidden="false" customHeight="false" outlineLevel="0" collapsed="false">
      <c r="A850" s="0" t="s">
        <v>18</v>
      </c>
      <c r="B850" s="0" t="s">
        <v>1518</v>
      </c>
      <c r="C850" s="0" t="s">
        <v>2921</v>
      </c>
      <c r="E850" s="0" t="s">
        <v>1479</v>
      </c>
    </row>
    <row r="851" customFormat="false" ht="15" hidden="false" customHeight="false" outlineLevel="0" collapsed="false">
      <c r="A851" s="0" t="s">
        <v>18</v>
      </c>
      <c r="B851" s="0" t="s">
        <v>1912</v>
      </c>
      <c r="C851" s="0" t="s">
        <v>2922</v>
      </c>
      <c r="D851" s="0" t="s">
        <v>1876</v>
      </c>
      <c r="E851" s="0" t="s">
        <v>1479</v>
      </c>
    </row>
    <row r="852" customFormat="false" ht="15" hidden="false" customHeight="false" outlineLevel="0" collapsed="false">
      <c r="A852" s="0" t="s">
        <v>18</v>
      </c>
      <c r="B852" s="0" t="s">
        <v>1521</v>
      </c>
      <c r="C852" s="0" t="s">
        <v>2923</v>
      </c>
      <c r="E852" s="0" t="s">
        <v>1479</v>
      </c>
    </row>
    <row r="853" customFormat="false" ht="15" hidden="false" customHeight="false" outlineLevel="0" collapsed="false">
      <c r="A853" s="0" t="s">
        <v>18</v>
      </c>
      <c r="B853" s="0" t="s">
        <v>1524</v>
      </c>
      <c r="C853" s="0" t="s">
        <v>2924</v>
      </c>
      <c r="E853" s="0" t="s">
        <v>1479</v>
      </c>
    </row>
    <row r="854" customFormat="false" ht="15" hidden="false" customHeight="false" outlineLevel="0" collapsed="false">
      <c r="A854" s="0" t="s">
        <v>18</v>
      </c>
      <c r="B854" s="0" t="s">
        <v>1527</v>
      </c>
      <c r="C854" s="0" t="s">
        <v>2925</v>
      </c>
      <c r="D854" s="0" t="s">
        <v>1876</v>
      </c>
      <c r="E854" s="0" t="s">
        <v>1479</v>
      </c>
    </row>
    <row r="855" customFormat="false" ht="15" hidden="false" customHeight="false" outlineLevel="0" collapsed="false">
      <c r="A855" s="0" t="s">
        <v>18</v>
      </c>
      <c r="B855" s="0" t="s">
        <v>2926</v>
      </c>
      <c r="C855" s="0" t="s">
        <v>2927</v>
      </c>
      <c r="D855" s="0" t="s">
        <v>1896</v>
      </c>
      <c r="E855" s="0" t="s">
        <v>1479</v>
      </c>
    </row>
    <row r="856" customFormat="false" ht="15" hidden="false" customHeight="false" outlineLevel="0" collapsed="false">
      <c r="A856" s="0" t="s">
        <v>18</v>
      </c>
      <c r="B856" s="0" t="s">
        <v>2561</v>
      </c>
      <c r="C856" s="0" t="s">
        <v>2928</v>
      </c>
      <c r="D856" s="0" t="s">
        <v>1896</v>
      </c>
      <c r="E856" s="0" t="s">
        <v>1479</v>
      </c>
    </row>
    <row r="857" customFormat="false" ht="15" hidden="false" customHeight="false" outlineLevel="0" collapsed="false">
      <c r="A857" s="0" t="s">
        <v>18</v>
      </c>
      <c r="B857" s="0" t="s">
        <v>2563</v>
      </c>
      <c r="C857" s="0" t="s">
        <v>2929</v>
      </c>
      <c r="D857" s="0" t="s">
        <v>1896</v>
      </c>
      <c r="E857" s="0" t="s">
        <v>1479</v>
      </c>
    </row>
    <row r="858" customFormat="false" ht="15" hidden="false" customHeight="false" outlineLevel="0" collapsed="false">
      <c r="A858" s="0" t="s">
        <v>18</v>
      </c>
      <c r="B858" s="0" t="s">
        <v>2930</v>
      </c>
      <c r="C858" s="0" t="s">
        <v>2931</v>
      </c>
      <c r="D858" s="0" t="s">
        <v>1896</v>
      </c>
      <c r="E858" s="0" t="s">
        <v>1479</v>
      </c>
    </row>
    <row r="859" customFormat="false" ht="15" hidden="false" customHeight="false" outlineLevel="0" collapsed="false">
      <c r="A859" s="0" t="s">
        <v>18</v>
      </c>
      <c r="B859" s="0" t="s">
        <v>2932</v>
      </c>
      <c r="C859" s="0" t="s">
        <v>2933</v>
      </c>
      <c r="E859" s="0" t="s">
        <v>1479</v>
      </c>
    </row>
    <row r="860" customFormat="false" ht="15" hidden="false" customHeight="false" outlineLevel="0" collapsed="false">
      <c r="A860" s="0" t="s">
        <v>20</v>
      </c>
      <c r="B860" s="0" t="s">
        <v>2934</v>
      </c>
      <c r="C860" s="0" t="s">
        <v>2114</v>
      </c>
      <c r="E860" s="0" t="s">
        <v>1879</v>
      </c>
    </row>
    <row r="861" customFormat="false" ht="15" hidden="false" customHeight="false" outlineLevel="0" collapsed="false">
      <c r="A861" s="0" t="s">
        <v>20</v>
      </c>
      <c r="B861" s="0" t="s">
        <v>2935</v>
      </c>
      <c r="C861" s="0" t="s">
        <v>2146</v>
      </c>
      <c r="E861" s="0" t="s">
        <v>2025</v>
      </c>
    </row>
    <row r="862" customFormat="false" ht="15" hidden="false" customHeight="false" outlineLevel="0" collapsed="false">
      <c r="A862" s="0" t="s">
        <v>20</v>
      </c>
      <c r="B862" s="0" t="s">
        <v>2936</v>
      </c>
      <c r="C862" s="0" t="s">
        <v>2172</v>
      </c>
      <c r="E862" s="0" t="s">
        <v>2034</v>
      </c>
    </row>
    <row r="863" customFormat="false" ht="15" hidden="false" customHeight="false" outlineLevel="0" collapsed="false">
      <c r="A863" s="0" t="s">
        <v>20</v>
      </c>
      <c r="B863" s="0" t="s">
        <v>2937</v>
      </c>
      <c r="C863" s="0" t="s">
        <v>2195</v>
      </c>
      <c r="E863" s="0" t="s">
        <v>2029</v>
      </c>
    </row>
    <row r="864" customFormat="false" ht="15" hidden="false" customHeight="false" outlineLevel="0" collapsed="false">
      <c r="A864" s="0" t="s">
        <v>20</v>
      </c>
      <c r="B864" s="0" t="s">
        <v>2938</v>
      </c>
      <c r="C864" s="0" t="s">
        <v>2219</v>
      </c>
      <c r="E864" s="0" t="s">
        <v>2044</v>
      </c>
    </row>
    <row r="865" customFormat="false" ht="15" hidden="false" customHeight="false" outlineLevel="0" collapsed="false">
      <c r="A865" s="0" t="s">
        <v>20</v>
      </c>
      <c r="B865" s="0" t="s">
        <v>2939</v>
      </c>
      <c r="C865" s="0" t="s">
        <v>2245</v>
      </c>
      <c r="E865" s="0" t="s">
        <v>2039</v>
      </c>
    </row>
    <row r="866" customFormat="false" ht="15" hidden="false" customHeight="false" outlineLevel="0" collapsed="false">
      <c r="A866" s="0" t="s">
        <v>20</v>
      </c>
      <c r="B866" s="0" t="s">
        <v>2441</v>
      </c>
      <c r="C866" s="0" t="s">
        <v>2940</v>
      </c>
      <c r="E866" s="0" t="s">
        <v>1059</v>
      </c>
    </row>
    <row r="867" customFormat="false" ht="15" hidden="false" customHeight="false" outlineLevel="0" collapsed="false">
      <c r="A867" s="0" t="s">
        <v>20</v>
      </c>
      <c r="B867" s="0" t="s">
        <v>2443</v>
      </c>
      <c r="C867" s="0" t="s">
        <v>2941</v>
      </c>
      <c r="E867" s="0" t="s">
        <v>1058</v>
      </c>
    </row>
    <row r="868" customFormat="false" ht="15" hidden="false" customHeight="false" outlineLevel="0" collapsed="false">
      <c r="A868" s="0" t="s">
        <v>20</v>
      </c>
      <c r="B868" s="0" t="s">
        <v>2796</v>
      </c>
      <c r="C868" s="0" t="s">
        <v>2942</v>
      </c>
      <c r="E868" s="0" t="s">
        <v>1057</v>
      </c>
    </row>
    <row r="869" customFormat="false" ht="15" hidden="false" customHeight="false" outlineLevel="0" collapsed="false">
      <c r="A869" s="0" t="s">
        <v>20</v>
      </c>
      <c r="B869" s="0" t="s">
        <v>2445</v>
      </c>
      <c r="C869" s="0" t="s">
        <v>2943</v>
      </c>
      <c r="E869" s="0" t="s">
        <v>1058</v>
      </c>
    </row>
    <row r="870" customFormat="false" ht="15" hidden="false" customHeight="false" outlineLevel="0" collapsed="false">
      <c r="A870" s="0" t="s">
        <v>20</v>
      </c>
      <c r="B870" s="0" t="s">
        <v>2448</v>
      </c>
      <c r="C870" s="0" t="s">
        <v>2944</v>
      </c>
      <c r="E870" s="0" t="s">
        <v>1057</v>
      </c>
    </row>
    <row r="871" customFormat="false" ht="15" hidden="false" customHeight="false" outlineLevel="0" collapsed="false">
      <c r="A871" s="0" t="s">
        <v>20</v>
      </c>
      <c r="B871" s="0" t="s">
        <v>2800</v>
      </c>
      <c r="C871" s="0" t="s">
        <v>2945</v>
      </c>
      <c r="E871" s="0" t="s">
        <v>1056</v>
      </c>
    </row>
    <row r="872" customFormat="false" ht="15" hidden="false" customHeight="false" outlineLevel="0" collapsed="false">
      <c r="A872" s="0" t="s">
        <v>20</v>
      </c>
      <c r="B872" s="0" t="s">
        <v>506</v>
      </c>
      <c r="C872" s="0" t="s">
        <v>2946</v>
      </c>
      <c r="E872" s="0" t="s">
        <v>2947</v>
      </c>
    </row>
    <row r="873" customFormat="false" ht="15" hidden="false" customHeight="false" outlineLevel="0" collapsed="false">
      <c r="A873" s="0" t="s">
        <v>20</v>
      </c>
      <c r="B873" s="0" t="s">
        <v>1864</v>
      </c>
      <c r="C873" s="0" t="s">
        <v>2948</v>
      </c>
      <c r="E873" s="0" t="s">
        <v>2949</v>
      </c>
    </row>
    <row r="874" customFormat="false" ht="15" hidden="false" customHeight="false" outlineLevel="0" collapsed="false">
      <c r="A874" s="0" t="s">
        <v>20</v>
      </c>
      <c r="B874" s="0" t="s">
        <v>1468</v>
      </c>
      <c r="C874" s="0" t="s">
        <v>2950</v>
      </c>
      <c r="E874" s="0" t="s">
        <v>2951</v>
      </c>
    </row>
    <row r="875" customFormat="false" ht="15" hidden="false" customHeight="false" outlineLevel="0" collapsed="false">
      <c r="A875" s="0" t="s">
        <v>20</v>
      </c>
      <c r="B875" s="0" t="s">
        <v>2123</v>
      </c>
      <c r="C875" s="0" t="s">
        <v>2940</v>
      </c>
      <c r="E875" s="0" t="s">
        <v>1057</v>
      </c>
    </row>
    <row r="876" customFormat="false" ht="15" hidden="false" customHeight="false" outlineLevel="0" collapsed="false">
      <c r="A876" s="0" t="s">
        <v>20</v>
      </c>
      <c r="B876" s="0" t="s">
        <v>2126</v>
      </c>
      <c r="C876" s="0" t="s">
        <v>2941</v>
      </c>
      <c r="E876" s="0" t="s">
        <v>1059</v>
      </c>
    </row>
    <row r="877" customFormat="false" ht="15" hidden="false" customHeight="false" outlineLevel="0" collapsed="false">
      <c r="A877" s="0" t="s">
        <v>20</v>
      </c>
      <c r="B877" s="0" t="s">
        <v>2129</v>
      </c>
      <c r="C877" s="0" t="s">
        <v>2942</v>
      </c>
      <c r="E877" s="0" t="s">
        <v>1056</v>
      </c>
    </row>
    <row r="878" customFormat="false" ht="15" hidden="false" customHeight="false" outlineLevel="0" collapsed="false">
      <c r="A878" s="0" t="s">
        <v>20</v>
      </c>
      <c r="B878" s="0" t="s">
        <v>2131</v>
      </c>
      <c r="C878" s="0" t="s">
        <v>2943</v>
      </c>
      <c r="E878" s="0" t="s">
        <v>1057</v>
      </c>
    </row>
    <row r="879" customFormat="false" ht="15" hidden="false" customHeight="false" outlineLevel="0" collapsed="false">
      <c r="A879" s="0" t="s">
        <v>20</v>
      </c>
      <c r="B879" s="0" t="s">
        <v>2134</v>
      </c>
      <c r="C879" s="0" t="s">
        <v>2944</v>
      </c>
      <c r="E879" s="0" t="s">
        <v>1059</v>
      </c>
    </row>
    <row r="880" customFormat="false" ht="15" hidden="false" customHeight="false" outlineLevel="0" collapsed="false">
      <c r="A880" s="0" t="s">
        <v>20</v>
      </c>
      <c r="B880" s="0" t="s">
        <v>2137</v>
      </c>
      <c r="C880" s="0" t="s">
        <v>2945</v>
      </c>
      <c r="E880" s="0" t="s">
        <v>1056</v>
      </c>
    </row>
    <row r="881" customFormat="false" ht="15" hidden="false" customHeight="false" outlineLevel="0" collapsed="false">
      <c r="A881" s="0" t="s">
        <v>20</v>
      </c>
      <c r="B881" s="0" t="s">
        <v>509</v>
      </c>
      <c r="C881" s="0" t="s">
        <v>2952</v>
      </c>
      <c r="E881" s="0" t="s">
        <v>2953</v>
      </c>
    </row>
    <row r="882" customFormat="false" ht="15" hidden="false" customHeight="false" outlineLevel="0" collapsed="false">
      <c r="A882" s="0" t="s">
        <v>20</v>
      </c>
      <c r="B882" s="0" t="s">
        <v>1867</v>
      </c>
      <c r="C882" s="0" t="s">
        <v>2954</v>
      </c>
      <c r="E882" s="0" t="s">
        <v>2955</v>
      </c>
    </row>
    <row r="883" customFormat="false" ht="15" hidden="false" customHeight="false" outlineLevel="0" collapsed="false">
      <c r="A883" s="0" t="s">
        <v>20</v>
      </c>
      <c r="B883" s="0" t="s">
        <v>2117</v>
      </c>
      <c r="C883" s="0" t="s">
        <v>2956</v>
      </c>
      <c r="E883" s="0" t="s">
        <v>2957</v>
      </c>
    </row>
    <row r="884" customFormat="false" ht="15" hidden="false" customHeight="false" outlineLevel="0" collapsed="false">
      <c r="A884" s="0" t="s">
        <v>20</v>
      </c>
      <c r="B884" s="0" t="s">
        <v>2153</v>
      </c>
      <c r="C884" s="0" t="s">
        <v>2940</v>
      </c>
      <c r="E884" s="0" t="s">
        <v>1056</v>
      </c>
    </row>
    <row r="885" customFormat="false" ht="15" hidden="false" customHeight="false" outlineLevel="0" collapsed="false">
      <c r="A885" s="0" t="s">
        <v>20</v>
      </c>
      <c r="B885" s="0" t="s">
        <v>2155</v>
      </c>
      <c r="C885" s="0" t="s">
        <v>2941</v>
      </c>
      <c r="E885" s="0" t="s">
        <v>1058</v>
      </c>
    </row>
    <row r="886" customFormat="false" ht="15" hidden="false" customHeight="false" outlineLevel="0" collapsed="false">
      <c r="A886" s="0" t="s">
        <v>20</v>
      </c>
      <c r="B886" s="0" t="s">
        <v>2157</v>
      </c>
      <c r="C886" s="0" t="s">
        <v>2942</v>
      </c>
      <c r="E886" s="0" t="s">
        <v>1059</v>
      </c>
    </row>
    <row r="887" customFormat="false" ht="15" hidden="false" customHeight="false" outlineLevel="0" collapsed="false">
      <c r="A887" s="0" t="s">
        <v>20</v>
      </c>
      <c r="B887" s="0" t="s">
        <v>2160</v>
      </c>
      <c r="C887" s="0" t="s">
        <v>2943</v>
      </c>
      <c r="E887" s="0" t="s">
        <v>1057</v>
      </c>
    </row>
    <row r="888" customFormat="false" ht="15" hidden="false" customHeight="false" outlineLevel="0" collapsed="false">
      <c r="A888" s="0" t="s">
        <v>20</v>
      </c>
      <c r="B888" s="0" t="s">
        <v>2162</v>
      </c>
      <c r="C888" s="0" t="s">
        <v>2944</v>
      </c>
      <c r="E888" s="0" t="s">
        <v>1055</v>
      </c>
    </row>
    <row r="889" customFormat="false" ht="15" hidden="false" customHeight="false" outlineLevel="0" collapsed="false">
      <c r="A889" s="0" t="s">
        <v>20</v>
      </c>
      <c r="B889" s="0" t="s">
        <v>2164</v>
      </c>
      <c r="C889" s="0" t="s">
        <v>2945</v>
      </c>
      <c r="E889" s="0" t="s">
        <v>1059</v>
      </c>
    </row>
    <row r="890" customFormat="false" ht="15" hidden="false" customHeight="false" outlineLevel="0" collapsed="false">
      <c r="A890" s="0" t="s">
        <v>20</v>
      </c>
      <c r="B890" s="0" t="s">
        <v>2145</v>
      </c>
      <c r="C890" s="0" t="s">
        <v>2958</v>
      </c>
      <c r="E890" s="0" t="s">
        <v>2959</v>
      </c>
    </row>
    <row r="891" customFormat="false" ht="15" hidden="false" customHeight="false" outlineLevel="0" collapsed="false">
      <c r="A891" s="0" t="s">
        <v>20</v>
      </c>
      <c r="B891" s="0" t="s">
        <v>1870</v>
      </c>
      <c r="C891" s="0" t="s">
        <v>2960</v>
      </c>
      <c r="E891" s="0" t="s">
        <v>2961</v>
      </c>
    </row>
    <row r="892" customFormat="false" ht="15" hidden="false" customHeight="false" outlineLevel="0" collapsed="false">
      <c r="A892" s="0" t="s">
        <v>20</v>
      </c>
      <c r="B892" s="0" t="s">
        <v>2148</v>
      </c>
      <c r="C892" s="0" t="s">
        <v>2962</v>
      </c>
      <c r="E892" s="0" t="s">
        <v>2125</v>
      </c>
    </row>
    <row r="893" customFormat="false" ht="15" hidden="false" customHeight="false" outlineLevel="0" collapsed="false">
      <c r="A893" s="0" t="s">
        <v>20</v>
      </c>
      <c r="B893" s="0" t="s">
        <v>1477</v>
      </c>
      <c r="C893" s="0" t="s">
        <v>2940</v>
      </c>
      <c r="E893" s="0" t="s">
        <v>1056</v>
      </c>
    </row>
    <row r="894" customFormat="false" ht="15" hidden="false" customHeight="false" outlineLevel="0" collapsed="false">
      <c r="A894" s="0" t="s">
        <v>20</v>
      </c>
      <c r="B894" s="0" t="s">
        <v>2179</v>
      </c>
      <c r="C894" s="0" t="s">
        <v>2941</v>
      </c>
      <c r="E894" s="0" t="s">
        <v>1057</v>
      </c>
    </row>
    <row r="895" customFormat="false" ht="15" hidden="false" customHeight="false" outlineLevel="0" collapsed="false">
      <c r="A895" s="0" t="s">
        <v>20</v>
      </c>
      <c r="B895" s="0" t="s">
        <v>2181</v>
      </c>
      <c r="C895" s="0" t="s">
        <v>2942</v>
      </c>
      <c r="E895" s="0" t="s">
        <v>1059</v>
      </c>
    </row>
    <row r="896" customFormat="false" ht="15" hidden="false" customHeight="false" outlineLevel="0" collapsed="false">
      <c r="A896" s="0" t="s">
        <v>20</v>
      </c>
      <c r="B896" s="0" t="s">
        <v>2183</v>
      </c>
      <c r="C896" s="0" t="s">
        <v>2943</v>
      </c>
      <c r="E896" s="0" t="s">
        <v>1057</v>
      </c>
    </row>
    <row r="897" customFormat="false" ht="15" hidden="false" customHeight="false" outlineLevel="0" collapsed="false">
      <c r="A897" s="0" t="s">
        <v>20</v>
      </c>
      <c r="B897" s="0" t="s">
        <v>2185</v>
      </c>
      <c r="C897" s="0" t="s">
        <v>2944</v>
      </c>
      <c r="E897" s="0" t="s">
        <v>1056</v>
      </c>
    </row>
    <row r="898" customFormat="false" ht="15" hidden="false" customHeight="false" outlineLevel="0" collapsed="false">
      <c r="A898" s="0" t="s">
        <v>20</v>
      </c>
      <c r="B898" s="0" t="s">
        <v>2187</v>
      </c>
      <c r="C898" s="0" t="s">
        <v>2945</v>
      </c>
      <c r="E898" s="0" t="s">
        <v>1058</v>
      </c>
    </row>
    <row r="899" customFormat="false" ht="15" hidden="false" customHeight="false" outlineLevel="0" collapsed="false">
      <c r="A899" s="0" t="s">
        <v>20</v>
      </c>
      <c r="B899" s="0" t="s">
        <v>2171</v>
      </c>
      <c r="C899" s="0" t="s">
        <v>2963</v>
      </c>
      <c r="E899" s="0" t="s">
        <v>2964</v>
      </c>
    </row>
    <row r="900" customFormat="false" ht="15" hidden="false" customHeight="false" outlineLevel="0" collapsed="false">
      <c r="A900" s="0" t="s">
        <v>20</v>
      </c>
      <c r="B900" s="0" t="s">
        <v>1471</v>
      </c>
      <c r="C900" s="0" t="s">
        <v>2965</v>
      </c>
      <c r="E900" s="0" t="s">
        <v>2966</v>
      </c>
    </row>
    <row r="901" customFormat="false" ht="15" hidden="false" customHeight="false" outlineLevel="0" collapsed="false">
      <c r="A901" s="0" t="s">
        <v>20</v>
      </c>
      <c r="B901" s="0" t="s">
        <v>2174</v>
      </c>
      <c r="C901" s="0" t="s">
        <v>2967</v>
      </c>
      <c r="E901" s="0" t="s">
        <v>2968</v>
      </c>
    </row>
    <row r="902" customFormat="false" ht="15" hidden="false" customHeight="false" outlineLevel="0" collapsed="false">
      <c r="A902" s="0" t="s">
        <v>20</v>
      </c>
      <c r="B902" s="0" t="s">
        <v>1486</v>
      </c>
      <c r="C902" s="0" t="s">
        <v>2940</v>
      </c>
      <c r="E902" s="0" t="s">
        <v>1057</v>
      </c>
    </row>
    <row r="903" customFormat="false" ht="15" hidden="false" customHeight="false" outlineLevel="0" collapsed="false">
      <c r="A903" s="0" t="s">
        <v>20</v>
      </c>
      <c r="B903" s="0" t="s">
        <v>2203</v>
      </c>
      <c r="C903" s="0" t="s">
        <v>2941</v>
      </c>
      <c r="E903" s="0" t="s">
        <v>1059</v>
      </c>
    </row>
    <row r="904" customFormat="false" ht="15" hidden="false" customHeight="false" outlineLevel="0" collapsed="false">
      <c r="A904" s="0" t="s">
        <v>20</v>
      </c>
      <c r="B904" s="0" t="s">
        <v>2205</v>
      </c>
      <c r="C904" s="0" t="s">
        <v>2942</v>
      </c>
      <c r="E904" s="0" t="s">
        <v>1058</v>
      </c>
    </row>
    <row r="905" customFormat="false" ht="15" hidden="false" customHeight="false" outlineLevel="0" collapsed="false">
      <c r="A905" s="0" t="s">
        <v>20</v>
      </c>
      <c r="B905" s="0" t="s">
        <v>2207</v>
      </c>
      <c r="C905" s="0" t="s">
        <v>2943</v>
      </c>
      <c r="E905" s="0" t="s">
        <v>1057</v>
      </c>
    </row>
    <row r="906" customFormat="false" ht="15" hidden="false" customHeight="false" outlineLevel="0" collapsed="false">
      <c r="A906" s="0" t="s">
        <v>20</v>
      </c>
      <c r="B906" s="0" t="s">
        <v>2209</v>
      </c>
      <c r="C906" s="0" t="s">
        <v>2944</v>
      </c>
      <c r="E906" s="0" t="s">
        <v>1056</v>
      </c>
    </row>
    <row r="907" customFormat="false" ht="15" hidden="false" customHeight="false" outlineLevel="0" collapsed="false">
      <c r="A907" s="0" t="s">
        <v>20</v>
      </c>
      <c r="B907" s="0" t="s">
        <v>2211</v>
      </c>
      <c r="C907" s="0" t="s">
        <v>2945</v>
      </c>
      <c r="E907" s="0" t="s">
        <v>1057</v>
      </c>
    </row>
    <row r="908" customFormat="false" ht="15" hidden="false" customHeight="false" outlineLevel="0" collapsed="false">
      <c r="A908" s="0" t="s">
        <v>20</v>
      </c>
      <c r="B908" s="0" t="s">
        <v>2194</v>
      </c>
      <c r="C908" s="0" t="s">
        <v>2969</v>
      </c>
      <c r="E908" s="0" t="s">
        <v>2970</v>
      </c>
    </row>
    <row r="909" customFormat="false" ht="15" hidden="false" customHeight="false" outlineLevel="0" collapsed="false">
      <c r="A909" s="0" t="s">
        <v>20</v>
      </c>
      <c r="B909" s="0" t="s">
        <v>1480</v>
      </c>
      <c r="C909" s="0" t="s">
        <v>2971</v>
      </c>
      <c r="E909" s="0" t="s">
        <v>2972</v>
      </c>
    </row>
    <row r="910" customFormat="false" ht="15" hidden="false" customHeight="false" outlineLevel="0" collapsed="false">
      <c r="A910" s="0" t="s">
        <v>20</v>
      </c>
      <c r="B910" s="0" t="s">
        <v>2197</v>
      </c>
      <c r="C910" s="0" t="s">
        <v>2973</v>
      </c>
      <c r="E910" s="0" t="s">
        <v>2007</v>
      </c>
    </row>
    <row r="911" customFormat="false" ht="15" hidden="false" customHeight="false" outlineLevel="0" collapsed="false">
      <c r="A911" s="0" t="s">
        <v>20</v>
      </c>
      <c r="B911" s="0" t="s">
        <v>1492</v>
      </c>
      <c r="C911" s="0" t="s">
        <v>2940</v>
      </c>
      <c r="E911" s="0" t="s">
        <v>1479</v>
      </c>
    </row>
    <row r="912" customFormat="false" ht="15" hidden="false" customHeight="false" outlineLevel="0" collapsed="false">
      <c r="A912" s="0" t="s">
        <v>20</v>
      </c>
      <c r="B912" s="0" t="s">
        <v>2227</v>
      </c>
      <c r="C912" s="0" t="s">
        <v>2941</v>
      </c>
      <c r="E912" s="0" t="s">
        <v>1479</v>
      </c>
    </row>
    <row r="913" customFormat="false" ht="15" hidden="false" customHeight="false" outlineLevel="0" collapsed="false">
      <c r="A913" s="0" t="s">
        <v>20</v>
      </c>
      <c r="B913" s="0" t="s">
        <v>2230</v>
      </c>
      <c r="C913" s="0" t="s">
        <v>2942</v>
      </c>
      <c r="E913" s="0" t="s">
        <v>1479</v>
      </c>
    </row>
    <row r="914" customFormat="false" ht="15" hidden="false" customHeight="false" outlineLevel="0" collapsed="false">
      <c r="A914" s="0" t="s">
        <v>20</v>
      </c>
      <c r="B914" s="0" t="s">
        <v>2233</v>
      </c>
      <c r="C914" s="0" t="s">
        <v>2943</v>
      </c>
      <c r="E914" s="0" t="s">
        <v>1479</v>
      </c>
    </row>
    <row r="915" customFormat="false" ht="15" hidden="false" customHeight="false" outlineLevel="0" collapsed="false">
      <c r="A915" s="0" t="s">
        <v>20</v>
      </c>
      <c r="B915" s="0" t="s">
        <v>2235</v>
      </c>
      <c r="C915" s="0" t="s">
        <v>2944</v>
      </c>
      <c r="E915" s="0" t="s">
        <v>1479</v>
      </c>
    </row>
    <row r="916" customFormat="false" ht="15" hidden="false" customHeight="false" outlineLevel="0" collapsed="false">
      <c r="A916" s="0" t="s">
        <v>20</v>
      </c>
      <c r="B916" s="0" t="s">
        <v>2237</v>
      </c>
      <c r="C916" s="0" t="s">
        <v>2945</v>
      </c>
      <c r="E916" s="0" t="s">
        <v>1479</v>
      </c>
    </row>
    <row r="917" customFormat="false" ht="15" hidden="false" customHeight="false" outlineLevel="0" collapsed="false">
      <c r="A917" s="0" t="s">
        <v>20</v>
      </c>
      <c r="B917" s="0" t="s">
        <v>2218</v>
      </c>
      <c r="C917" s="0" t="s">
        <v>2974</v>
      </c>
      <c r="E917" s="0" t="s">
        <v>1479</v>
      </c>
    </row>
    <row r="918" customFormat="false" ht="15" hidden="false" customHeight="false" outlineLevel="0" collapsed="false">
      <c r="A918" s="0" t="s">
        <v>20</v>
      </c>
      <c r="B918" s="0" t="s">
        <v>1488</v>
      </c>
      <c r="C918" s="0" t="s">
        <v>2975</v>
      </c>
      <c r="E918" s="0" t="s">
        <v>1479</v>
      </c>
    </row>
    <row r="919" customFormat="false" ht="15" hidden="false" customHeight="false" outlineLevel="0" collapsed="false">
      <c r="A919" s="0" t="s">
        <v>20</v>
      </c>
      <c r="B919" s="0" t="s">
        <v>2221</v>
      </c>
      <c r="C919" s="0" t="s">
        <v>2976</v>
      </c>
      <c r="E919" s="0" t="s">
        <v>1479</v>
      </c>
    </row>
    <row r="920" customFormat="false" ht="15" hidden="false" customHeight="false" outlineLevel="0" collapsed="false">
      <c r="A920" s="0" t="s">
        <v>20</v>
      </c>
      <c r="B920" s="0" t="s">
        <v>1498</v>
      </c>
      <c r="C920" s="0" t="s">
        <v>2940</v>
      </c>
      <c r="E920" s="0" t="s">
        <v>1479</v>
      </c>
    </row>
    <row r="921" customFormat="false" ht="15" hidden="false" customHeight="false" outlineLevel="0" collapsed="false">
      <c r="A921" s="0" t="s">
        <v>20</v>
      </c>
      <c r="B921" s="0" t="s">
        <v>2253</v>
      </c>
      <c r="C921" s="0" t="s">
        <v>2941</v>
      </c>
      <c r="E921" s="0" t="s">
        <v>1479</v>
      </c>
    </row>
    <row r="922" customFormat="false" ht="15" hidden="false" customHeight="false" outlineLevel="0" collapsed="false">
      <c r="A922" s="0" t="s">
        <v>20</v>
      </c>
      <c r="B922" s="0" t="s">
        <v>2255</v>
      </c>
      <c r="C922" s="0" t="s">
        <v>2942</v>
      </c>
      <c r="E922" s="0" t="s">
        <v>1479</v>
      </c>
    </row>
    <row r="923" customFormat="false" ht="15" hidden="false" customHeight="false" outlineLevel="0" collapsed="false">
      <c r="A923" s="0" t="s">
        <v>20</v>
      </c>
      <c r="B923" s="0" t="s">
        <v>2257</v>
      </c>
      <c r="C923" s="0" t="s">
        <v>2943</v>
      </c>
      <c r="E923" s="0" t="s">
        <v>1479</v>
      </c>
    </row>
    <row r="924" customFormat="false" ht="15" hidden="false" customHeight="false" outlineLevel="0" collapsed="false">
      <c r="A924" s="0" t="s">
        <v>20</v>
      </c>
      <c r="B924" s="0" t="s">
        <v>2259</v>
      </c>
      <c r="C924" s="0" t="s">
        <v>2944</v>
      </c>
      <c r="E924" s="0" t="s">
        <v>1479</v>
      </c>
    </row>
    <row r="925" customFormat="false" ht="15" hidden="false" customHeight="false" outlineLevel="0" collapsed="false">
      <c r="A925" s="0" t="s">
        <v>20</v>
      </c>
      <c r="B925" s="0" t="s">
        <v>2261</v>
      </c>
      <c r="C925" s="0" t="s">
        <v>2945</v>
      </c>
      <c r="E925" s="0" t="s">
        <v>1479</v>
      </c>
    </row>
    <row r="926" customFormat="false" ht="15" hidden="false" customHeight="false" outlineLevel="0" collapsed="false">
      <c r="A926" s="0" t="s">
        <v>20</v>
      </c>
      <c r="B926" s="0" t="s">
        <v>2244</v>
      </c>
      <c r="C926" s="0" t="s">
        <v>2977</v>
      </c>
      <c r="E926" s="0" t="s">
        <v>1479</v>
      </c>
    </row>
    <row r="927" customFormat="false" ht="15" hidden="false" customHeight="false" outlineLevel="0" collapsed="false">
      <c r="A927" s="0" t="s">
        <v>20</v>
      </c>
      <c r="B927" s="0" t="s">
        <v>1494</v>
      </c>
      <c r="C927" s="0" t="s">
        <v>2978</v>
      </c>
      <c r="E927" s="0" t="s">
        <v>1479</v>
      </c>
    </row>
    <row r="928" customFormat="false" ht="15" hidden="false" customHeight="false" outlineLevel="0" collapsed="false">
      <c r="A928" s="0" t="s">
        <v>20</v>
      </c>
      <c r="B928" s="0" t="s">
        <v>2247</v>
      </c>
      <c r="C928" s="0" t="s">
        <v>2979</v>
      </c>
      <c r="E928" s="0" t="s">
        <v>1479</v>
      </c>
    </row>
    <row r="929" customFormat="false" ht="15" hidden="false" customHeight="false" outlineLevel="0" collapsed="false">
      <c r="A929" s="0" t="s">
        <v>20</v>
      </c>
      <c r="B929" s="0" t="s">
        <v>1504</v>
      </c>
      <c r="C929" s="0" t="s">
        <v>2940</v>
      </c>
      <c r="E929" s="0" t="s">
        <v>1479</v>
      </c>
    </row>
    <row r="930" customFormat="false" ht="15" hidden="false" customHeight="false" outlineLevel="0" collapsed="false">
      <c r="A930" s="0" t="s">
        <v>20</v>
      </c>
      <c r="B930" s="0" t="s">
        <v>2275</v>
      </c>
      <c r="C930" s="0" t="s">
        <v>2941</v>
      </c>
      <c r="E930" s="0" t="s">
        <v>1479</v>
      </c>
    </row>
    <row r="931" customFormat="false" ht="15" hidden="false" customHeight="false" outlineLevel="0" collapsed="false">
      <c r="A931" s="0" t="s">
        <v>20</v>
      </c>
      <c r="B931" s="0" t="s">
        <v>2277</v>
      </c>
      <c r="C931" s="0" t="s">
        <v>2942</v>
      </c>
      <c r="E931" s="0" t="s">
        <v>1479</v>
      </c>
    </row>
    <row r="932" customFormat="false" ht="15" hidden="false" customHeight="false" outlineLevel="0" collapsed="false">
      <c r="A932" s="0" t="s">
        <v>20</v>
      </c>
      <c r="B932" s="0" t="s">
        <v>2279</v>
      </c>
      <c r="C932" s="0" t="s">
        <v>2943</v>
      </c>
      <c r="E932" s="0" t="s">
        <v>1479</v>
      </c>
    </row>
    <row r="933" customFormat="false" ht="15" hidden="false" customHeight="false" outlineLevel="0" collapsed="false">
      <c r="A933" s="0" t="s">
        <v>20</v>
      </c>
      <c r="B933" s="0" t="s">
        <v>2281</v>
      </c>
      <c r="C933" s="0" t="s">
        <v>2944</v>
      </c>
      <c r="E933" s="0" t="s">
        <v>1479</v>
      </c>
    </row>
    <row r="934" customFormat="false" ht="15" hidden="false" customHeight="false" outlineLevel="0" collapsed="false">
      <c r="A934" s="0" t="s">
        <v>20</v>
      </c>
      <c r="B934" s="0" t="s">
        <v>2283</v>
      </c>
      <c r="C934" s="0" t="s">
        <v>2945</v>
      </c>
      <c r="E934" s="0" t="s">
        <v>1479</v>
      </c>
    </row>
    <row r="935" customFormat="false" ht="15" hidden="false" customHeight="false" outlineLevel="0" collapsed="false">
      <c r="A935" s="0" t="s">
        <v>20</v>
      </c>
      <c r="B935" s="0" t="s">
        <v>2268</v>
      </c>
      <c r="C935" s="0" t="s">
        <v>2980</v>
      </c>
      <c r="E935" s="0" t="s">
        <v>1479</v>
      </c>
    </row>
    <row r="936" customFormat="false" ht="15" hidden="false" customHeight="false" outlineLevel="0" collapsed="false">
      <c r="A936" s="0" t="s">
        <v>20</v>
      </c>
      <c r="B936" s="0" t="s">
        <v>1500</v>
      </c>
      <c r="C936" s="0" t="s">
        <v>2981</v>
      </c>
      <c r="E936" s="0" t="s">
        <v>1479</v>
      </c>
    </row>
    <row r="937" customFormat="false" ht="15" hidden="false" customHeight="false" outlineLevel="0" collapsed="false">
      <c r="A937" s="0" t="s">
        <v>20</v>
      </c>
      <c r="B937" s="0" t="s">
        <v>2271</v>
      </c>
      <c r="C937" s="0" t="s">
        <v>2982</v>
      </c>
      <c r="E937" s="0" t="s">
        <v>1479</v>
      </c>
    </row>
    <row r="938" customFormat="false" ht="15" hidden="false" customHeight="false" outlineLevel="0" collapsed="false">
      <c r="A938" s="0" t="s">
        <v>20</v>
      </c>
      <c r="B938" s="0" t="s">
        <v>2297</v>
      </c>
      <c r="C938" s="0" t="s">
        <v>2940</v>
      </c>
      <c r="E938" s="0" t="s">
        <v>1479</v>
      </c>
    </row>
    <row r="939" customFormat="false" ht="15" hidden="false" customHeight="false" outlineLevel="0" collapsed="false">
      <c r="A939" s="0" t="s">
        <v>20</v>
      </c>
      <c r="B939" s="0" t="s">
        <v>2299</v>
      </c>
      <c r="C939" s="0" t="s">
        <v>2941</v>
      </c>
      <c r="E939" s="0" t="s">
        <v>1479</v>
      </c>
    </row>
    <row r="940" customFormat="false" ht="15" hidden="false" customHeight="false" outlineLevel="0" collapsed="false">
      <c r="A940" s="0" t="s">
        <v>20</v>
      </c>
      <c r="B940" s="0" t="s">
        <v>2301</v>
      </c>
      <c r="C940" s="0" t="s">
        <v>2942</v>
      </c>
      <c r="E940" s="0" t="s">
        <v>1479</v>
      </c>
    </row>
    <row r="941" customFormat="false" ht="15" hidden="false" customHeight="false" outlineLevel="0" collapsed="false">
      <c r="A941" s="0" t="s">
        <v>20</v>
      </c>
      <c r="B941" s="0" t="s">
        <v>2303</v>
      </c>
      <c r="C941" s="0" t="s">
        <v>2943</v>
      </c>
      <c r="E941" s="0" t="s">
        <v>1479</v>
      </c>
    </row>
    <row r="942" customFormat="false" ht="15" hidden="false" customHeight="false" outlineLevel="0" collapsed="false">
      <c r="A942" s="0" t="s">
        <v>20</v>
      </c>
      <c r="B942" s="0" t="s">
        <v>2305</v>
      </c>
      <c r="C942" s="0" t="s">
        <v>2944</v>
      </c>
      <c r="E942" s="0" t="s">
        <v>1479</v>
      </c>
    </row>
    <row r="943" customFormat="false" ht="15" hidden="false" customHeight="false" outlineLevel="0" collapsed="false">
      <c r="A943" s="0" t="s">
        <v>20</v>
      </c>
      <c r="B943" s="0" t="s">
        <v>2307</v>
      </c>
      <c r="C943" s="0" t="s">
        <v>2945</v>
      </c>
      <c r="E943" s="0" t="s">
        <v>1479</v>
      </c>
    </row>
    <row r="944" customFormat="false" ht="15" hidden="false" customHeight="false" outlineLevel="0" collapsed="false">
      <c r="A944" s="0" t="s">
        <v>20</v>
      </c>
      <c r="B944" s="0" t="s">
        <v>2289</v>
      </c>
      <c r="C944" s="0" t="s">
        <v>2983</v>
      </c>
      <c r="E944" s="0" t="s">
        <v>1479</v>
      </c>
    </row>
    <row r="945" customFormat="false" ht="15" hidden="false" customHeight="false" outlineLevel="0" collapsed="false">
      <c r="A945" s="0" t="s">
        <v>20</v>
      </c>
      <c r="B945" s="0" t="s">
        <v>2291</v>
      </c>
      <c r="C945" s="0" t="s">
        <v>2984</v>
      </c>
      <c r="E945" s="0" t="s">
        <v>1479</v>
      </c>
    </row>
    <row r="946" customFormat="false" ht="15" hidden="false" customHeight="false" outlineLevel="0" collapsed="false">
      <c r="A946" s="0" t="s">
        <v>20</v>
      </c>
      <c r="B946" s="0" t="s">
        <v>2293</v>
      </c>
      <c r="C946" s="0" t="s">
        <v>2985</v>
      </c>
      <c r="E946" s="0" t="s">
        <v>1479</v>
      </c>
    </row>
    <row r="947" customFormat="false" ht="15" hidden="false" customHeight="false" outlineLevel="0" collapsed="false">
      <c r="A947" s="0" t="s">
        <v>20</v>
      </c>
      <c r="B947" s="0" t="s">
        <v>1891</v>
      </c>
      <c r="C947" s="0" t="s">
        <v>2940</v>
      </c>
      <c r="E947" s="0" t="s">
        <v>1479</v>
      </c>
    </row>
    <row r="948" customFormat="false" ht="15" hidden="false" customHeight="false" outlineLevel="0" collapsed="false">
      <c r="A948" s="0" t="s">
        <v>20</v>
      </c>
      <c r="B948" s="0" t="s">
        <v>1894</v>
      </c>
      <c r="C948" s="0" t="s">
        <v>2941</v>
      </c>
      <c r="E948" s="0" t="s">
        <v>1479</v>
      </c>
    </row>
    <row r="949" customFormat="false" ht="15" hidden="false" customHeight="false" outlineLevel="0" collapsed="false">
      <c r="A949" s="0" t="s">
        <v>20</v>
      </c>
      <c r="B949" s="0" t="s">
        <v>2319</v>
      </c>
      <c r="C949" s="0" t="s">
        <v>2942</v>
      </c>
      <c r="E949" s="0" t="s">
        <v>1479</v>
      </c>
    </row>
    <row r="950" customFormat="false" ht="15" hidden="false" customHeight="false" outlineLevel="0" collapsed="false">
      <c r="A950" s="0" t="s">
        <v>20</v>
      </c>
      <c r="B950" s="0" t="s">
        <v>2321</v>
      </c>
      <c r="C950" s="0" t="s">
        <v>2943</v>
      </c>
      <c r="E950" s="0" t="s">
        <v>1479</v>
      </c>
    </row>
    <row r="951" customFormat="false" ht="15" hidden="false" customHeight="false" outlineLevel="0" collapsed="false">
      <c r="A951" s="0" t="s">
        <v>20</v>
      </c>
      <c r="B951" s="0" t="s">
        <v>2323</v>
      </c>
      <c r="C951" s="0" t="s">
        <v>2944</v>
      </c>
      <c r="E951" s="0" t="s">
        <v>1479</v>
      </c>
    </row>
    <row r="952" customFormat="false" ht="15" hidden="false" customHeight="false" outlineLevel="0" collapsed="false">
      <c r="A952" s="0" t="s">
        <v>20</v>
      </c>
      <c r="B952" s="0" t="s">
        <v>2325</v>
      </c>
      <c r="C952" s="0" t="s">
        <v>2945</v>
      </c>
      <c r="E952" s="0" t="s">
        <v>1479</v>
      </c>
    </row>
    <row r="953" customFormat="false" ht="15" hidden="false" customHeight="false" outlineLevel="0" collapsed="false">
      <c r="A953" s="0" t="s">
        <v>20</v>
      </c>
      <c r="B953" s="0" t="s">
        <v>1880</v>
      </c>
      <c r="C953" s="0" t="s">
        <v>2986</v>
      </c>
      <c r="E953" s="0" t="s">
        <v>1479</v>
      </c>
    </row>
    <row r="954" customFormat="false" ht="15" hidden="false" customHeight="false" outlineLevel="0" collapsed="false">
      <c r="A954" s="0" t="s">
        <v>20</v>
      </c>
      <c r="B954" s="0" t="s">
        <v>1883</v>
      </c>
      <c r="C954" s="0" t="s">
        <v>2987</v>
      </c>
      <c r="E954" s="0" t="s">
        <v>1479</v>
      </c>
    </row>
    <row r="955" customFormat="false" ht="15" hidden="false" customHeight="false" outlineLevel="0" collapsed="false">
      <c r="A955" s="0" t="s">
        <v>20</v>
      </c>
      <c r="B955" s="0" t="s">
        <v>1886</v>
      </c>
      <c r="C955" s="0" t="s">
        <v>2988</v>
      </c>
      <c r="E955" s="0" t="s">
        <v>1479</v>
      </c>
    </row>
    <row r="956" customFormat="false" ht="15" hidden="false" customHeight="false" outlineLevel="0" collapsed="false">
      <c r="A956" s="0" t="s">
        <v>22</v>
      </c>
      <c r="B956" s="0" t="s">
        <v>118</v>
      </c>
      <c r="C956" s="0" t="s">
        <v>2989</v>
      </c>
      <c r="E956" s="0" t="s">
        <v>2990</v>
      </c>
    </row>
    <row r="957" customFormat="false" ht="15" hidden="false" customHeight="false" outlineLevel="0" collapsed="false">
      <c r="A957" s="0" t="s">
        <v>22</v>
      </c>
      <c r="B957" s="0" t="s">
        <v>1864</v>
      </c>
      <c r="C957" s="0" t="s">
        <v>2991</v>
      </c>
      <c r="E957" s="0" t="s">
        <v>2992</v>
      </c>
    </row>
    <row r="958" customFormat="false" ht="15" hidden="false" customHeight="false" outlineLevel="0" collapsed="false">
      <c r="A958" s="0" t="s">
        <v>22</v>
      </c>
      <c r="B958" s="0" t="s">
        <v>2171</v>
      </c>
      <c r="C958" s="0" t="s">
        <v>2114</v>
      </c>
      <c r="E958" s="0" t="s">
        <v>1879</v>
      </c>
    </row>
    <row r="959" customFormat="false" ht="15" hidden="false" customHeight="false" outlineLevel="0" collapsed="false">
      <c r="A959" s="0" t="s">
        <v>22</v>
      </c>
      <c r="B959" s="0" t="s">
        <v>1471</v>
      </c>
      <c r="C959" s="0" t="s">
        <v>2993</v>
      </c>
      <c r="E959" s="0" t="s">
        <v>2994</v>
      </c>
    </row>
    <row r="960" customFormat="false" ht="15" hidden="false" customHeight="false" outlineLevel="0" collapsed="false">
      <c r="A960" s="0" t="s">
        <v>22</v>
      </c>
      <c r="B960" s="0" t="s">
        <v>2174</v>
      </c>
      <c r="C960" s="0" t="s">
        <v>2995</v>
      </c>
      <c r="E960" s="0" t="s">
        <v>2996</v>
      </c>
    </row>
    <row r="961" customFormat="false" ht="15" hidden="false" customHeight="false" outlineLevel="0" collapsed="false">
      <c r="A961" s="0" t="s">
        <v>22</v>
      </c>
      <c r="B961" s="0" t="s">
        <v>1474</v>
      </c>
      <c r="C961" s="0" t="s">
        <v>2997</v>
      </c>
      <c r="E961" s="0" t="s">
        <v>2998</v>
      </c>
    </row>
    <row r="962" customFormat="false" ht="15" hidden="false" customHeight="false" outlineLevel="0" collapsed="false">
      <c r="A962" s="0" t="s">
        <v>22</v>
      </c>
      <c r="B962" s="0" t="s">
        <v>2194</v>
      </c>
      <c r="C962" s="0" t="s">
        <v>2146</v>
      </c>
      <c r="E962" s="0" t="s">
        <v>2025</v>
      </c>
    </row>
    <row r="963" customFormat="false" ht="15" hidden="false" customHeight="false" outlineLevel="0" collapsed="false">
      <c r="A963" s="0" t="s">
        <v>22</v>
      </c>
      <c r="B963" s="0" t="s">
        <v>1480</v>
      </c>
      <c r="C963" s="0" t="s">
        <v>2999</v>
      </c>
      <c r="E963" s="0" t="s">
        <v>3000</v>
      </c>
    </row>
    <row r="964" customFormat="false" ht="15" hidden="false" customHeight="false" outlineLevel="0" collapsed="false">
      <c r="A964" s="0" t="s">
        <v>22</v>
      </c>
      <c r="B964" s="0" t="s">
        <v>2197</v>
      </c>
      <c r="C964" s="0" t="s">
        <v>3001</v>
      </c>
      <c r="E964" s="0" t="s">
        <v>3002</v>
      </c>
    </row>
    <row r="965" customFormat="false" ht="15" hidden="false" customHeight="false" outlineLevel="0" collapsed="false">
      <c r="A965" s="0" t="s">
        <v>22</v>
      </c>
      <c r="B965" s="0" t="s">
        <v>1483</v>
      </c>
      <c r="C965" s="0" t="s">
        <v>3003</v>
      </c>
      <c r="E965" s="0" t="s">
        <v>3004</v>
      </c>
    </row>
    <row r="966" customFormat="false" ht="15" hidden="false" customHeight="false" outlineLevel="0" collapsed="false">
      <c r="A966" s="0" t="s">
        <v>22</v>
      </c>
      <c r="B966" s="0" t="s">
        <v>2218</v>
      </c>
      <c r="C966" s="0" t="s">
        <v>2172</v>
      </c>
      <c r="E966" s="0" t="s">
        <v>2034</v>
      </c>
    </row>
    <row r="967" customFormat="false" ht="15" hidden="false" customHeight="false" outlineLevel="0" collapsed="false">
      <c r="A967" s="0" t="s">
        <v>22</v>
      </c>
      <c r="B967" s="0" t="s">
        <v>1488</v>
      </c>
      <c r="C967" s="0" t="s">
        <v>3005</v>
      </c>
      <c r="E967" s="0" t="s">
        <v>3006</v>
      </c>
    </row>
    <row r="968" customFormat="false" ht="15" hidden="false" customHeight="false" outlineLevel="0" collapsed="false">
      <c r="A968" s="0" t="s">
        <v>22</v>
      </c>
      <c r="B968" s="0" t="s">
        <v>2221</v>
      </c>
      <c r="C968" s="0" t="s">
        <v>3007</v>
      </c>
      <c r="E968" s="0" t="s">
        <v>3008</v>
      </c>
    </row>
    <row r="969" customFormat="false" ht="15" hidden="false" customHeight="false" outlineLevel="0" collapsed="false">
      <c r="A969" s="0" t="s">
        <v>22</v>
      </c>
      <c r="B969" s="0" t="s">
        <v>1490</v>
      </c>
      <c r="C969" s="0" t="s">
        <v>3009</v>
      </c>
      <c r="E969" s="0" t="s">
        <v>3010</v>
      </c>
    </row>
    <row r="970" customFormat="false" ht="15" hidden="false" customHeight="false" outlineLevel="0" collapsed="false">
      <c r="A970" s="0" t="s">
        <v>22</v>
      </c>
      <c r="B970" s="0" t="s">
        <v>2244</v>
      </c>
      <c r="C970" s="0" t="s">
        <v>2195</v>
      </c>
      <c r="E970" s="0" t="s">
        <v>2029</v>
      </c>
    </row>
    <row r="971" customFormat="false" ht="15" hidden="false" customHeight="false" outlineLevel="0" collapsed="false">
      <c r="A971" s="0" t="s">
        <v>22</v>
      </c>
      <c r="B971" s="0" t="s">
        <v>1494</v>
      </c>
      <c r="C971" s="0" t="s">
        <v>3011</v>
      </c>
      <c r="E971" s="0" t="s">
        <v>3008</v>
      </c>
    </row>
    <row r="972" customFormat="false" ht="15" hidden="false" customHeight="false" outlineLevel="0" collapsed="false">
      <c r="A972" s="0" t="s">
        <v>22</v>
      </c>
      <c r="B972" s="0" t="s">
        <v>2247</v>
      </c>
      <c r="C972" s="0" t="s">
        <v>3012</v>
      </c>
      <c r="E972" s="0" t="s">
        <v>2996</v>
      </c>
    </row>
    <row r="973" customFormat="false" ht="15" hidden="false" customHeight="false" outlineLevel="0" collapsed="false">
      <c r="A973" s="0" t="s">
        <v>22</v>
      </c>
      <c r="B973" s="0" t="s">
        <v>1496</v>
      </c>
      <c r="C973" s="0" t="s">
        <v>3013</v>
      </c>
      <c r="E973" s="0" t="s">
        <v>3014</v>
      </c>
    </row>
    <row r="974" customFormat="false" ht="15" hidden="false" customHeight="false" outlineLevel="0" collapsed="false">
      <c r="A974" s="0" t="s">
        <v>22</v>
      </c>
      <c r="B974" s="0" t="s">
        <v>2268</v>
      </c>
      <c r="C974" s="0" t="s">
        <v>2219</v>
      </c>
      <c r="E974" s="0" t="s">
        <v>2044</v>
      </c>
    </row>
    <row r="975" customFormat="false" ht="15" hidden="false" customHeight="false" outlineLevel="0" collapsed="false">
      <c r="A975" s="0" t="s">
        <v>22</v>
      </c>
      <c r="B975" s="0" t="s">
        <v>1500</v>
      </c>
      <c r="C975" s="0" t="s">
        <v>3015</v>
      </c>
      <c r="E975" s="0" t="s">
        <v>2996</v>
      </c>
    </row>
    <row r="976" customFormat="false" ht="15" hidden="false" customHeight="false" outlineLevel="0" collapsed="false">
      <c r="A976" s="0" t="s">
        <v>22</v>
      </c>
      <c r="B976" s="0" t="s">
        <v>2271</v>
      </c>
      <c r="C976" s="0" t="s">
        <v>3016</v>
      </c>
      <c r="E976" s="0" t="s">
        <v>3002</v>
      </c>
    </row>
    <row r="977" customFormat="false" ht="15" hidden="false" customHeight="false" outlineLevel="0" collapsed="false">
      <c r="A977" s="0" t="s">
        <v>22</v>
      </c>
      <c r="B977" s="0" t="s">
        <v>1502</v>
      </c>
      <c r="C977" s="0" t="s">
        <v>3017</v>
      </c>
      <c r="E977" s="0" t="s">
        <v>3018</v>
      </c>
    </row>
    <row r="978" customFormat="false" ht="15" hidden="false" customHeight="false" outlineLevel="0" collapsed="false">
      <c r="A978" s="0" t="s">
        <v>22</v>
      </c>
      <c r="B978" s="0" t="s">
        <v>2289</v>
      </c>
      <c r="C978" s="0" t="s">
        <v>2245</v>
      </c>
      <c r="E978" s="0" t="s">
        <v>2039</v>
      </c>
    </row>
    <row r="979" customFormat="false" ht="15" hidden="false" customHeight="false" outlineLevel="0" collapsed="false">
      <c r="A979" s="0" t="s">
        <v>22</v>
      </c>
      <c r="B979" s="0" t="s">
        <v>2291</v>
      </c>
      <c r="C979" s="0" t="s">
        <v>3019</v>
      </c>
      <c r="E979" s="0" t="s">
        <v>2996</v>
      </c>
    </row>
    <row r="980" customFormat="false" ht="15" hidden="false" customHeight="false" outlineLevel="0" collapsed="false">
      <c r="A980" s="0" t="s">
        <v>22</v>
      </c>
      <c r="B980" s="0" t="s">
        <v>2293</v>
      </c>
      <c r="C980" s="0" t="s">
        <v>3020</v>
      </c>
      <c r="E980" s="0" t="s">
        <v>2994</v>
      </c>
    </row>
    <row r="981" customFormat="false" ht="15" hidden="false" customHeight="false" outlineLevel="0" collapsed="false">
      <c r="A981" s="0" t="s">
        <v>22</v>
      </c>
      <c r="B981" s="0" t="s">
        <v>2295</v>
      </c>
      <c r="C981" s="0" t="s">
        <v>3021</v>
      </c>
      <c r="E981" s="0" t="s">
        <v>3008</v>
      </c>
    </row>
    <row r="982" customFormat="false" ht="15" hidden="false" customHeight="false" outlineLevel="0" collapsed="false">
      <c r="A982" s="0" t="s">
        <v>22</v>
      </c>
      <c r="B982" s="0" t="s">
        <v>1880</v>
      </c>
      <c r="C982" s="0" t="s">
        <v>2269</v>
      </c>
      <c r="E982" s="0" t="s">
        <v>1479</v>
      </c>
    </row>
    <row r="983" customFormat="false" ht="15" hidden="false" customHeight="false" outlineLevel="0" collapsed="false">
      <c r="A983" s="0" t="s">
        <v>22</v>
      </c>
      <c r="B983" s="0" t="s">
        <v>1883</v>
      </c>
      <c r="C983" s="0" t="s">
        <v>3022</v>
      </c>
      <c r="E983" s="0" t="s">
        <v>1479</v>
      </c>
    </row>
    <row r="984" customFormat="false" ht="15" hidden="false" customHeight="false" outlineLevel="0" collapsed="false">
      <c r="A984" s="0" t="s">
        <v>22</v>
      </c>
      <c r="B984" s="0" t="s">
        <v>1886</v>
      </c>
      <c r="C984" s="0" t="s">
        <v>3023</v>
      </c>
      <c r="E984" s="0" t="s">
        <v>1479</v>
      </c>
    </row>
    <row r="985" customFormat="false" ht="15" hidden="false" customHeight="false" outlineLevel="0" collapsed="false">
      <c r="A985" s="0" t="s">
        <v>22</v>
      </c>
      <c r="B985" s="0" t="s">
        <v>1888</v>
      </c>
      <c r="C985" s="0" t="s">
        <v>3024</v>
      </c>
      <c r="E985" s="0" t="s">
        <v>1479</v>
      </c>
    </row>
    <row r="986" customFormat="false" ht="15" hidden="false" customHeight="false" outlineLevel="0" collapsed="false">
      <c r="A986" s="0" t="s">
        <v>22</v>
      </c>
      <c r="B986" s="0" t="s">
        <v>1898</v>
      </c>
      <c r="C986" s="0" t="s">
        <v>2290</v>
      </c>
      <c r="E986" s="0" t="s">
        <v>1479</v>
      </c>
    </row>
    <row r="987" customFormat="false" ht="15" hidden="false" customHeight="false" outlineLevel="0" collapsed="false">
      <c r="A987" s="0" t="s">
        <v>22</v>
      </c>
      <c r="B987" s="0" t="s">
        <v>1506</v>
      </c>
      <c r="C987" s="0" t="s">
        <v>3025</v>
      </c>
      <c r="E987" s="0" t="s">
        <v>1479</v>
      </c>
    </row>
    <row r="988" customFormat="false" ht="15" hidden="false" customHeight="false" outlineLevel="0" collapsed="false">
      <c r="A988" s="0" t="s">
        <v>22</v>
      </c>
      <c r="B988" s="0" t="s">
        <v>1901</v>
      </c>
      <c r="C988" s="0" t="s">
        <v>3026</v>
      </c>
      <c r="E988" s="0" t="s">
        <v>1479</v>
      </c>
    </row>
    <row r="989" customFormat="false" ht="15" hidden="false" customHeight="false" outlineLevel="0" collapsed="false">
      <c r="A989" s="0" t="s">
        <v>22</v>
      </c>
      <c r="B989" s="0" t="s">
        <v>1509</v>
      </c>
      <c r="C989" s="0" t="s">
        <v>3027</v>
      </c>
      <c r="E989" s="0" t="s">
        <v>1479</v>
      </c>
    </row>
    <row r="990" customFormat="false" ht="15" hidden="false" customHeight="false" outlineLevel="0" collapsed="false">
      <c r="A990" s="0" t="s">
        <v>22</v>
      </c>
      <c r="B990" s="0" t="s">
        <v>1909</v>
      </c>
      <c r="C990" s="0" t="s">
        <v>2313</v>
      </c>
      <c r="E990" s="0" t="s">
        <v>1479</v>
      </c>
    </row>
    <row r="991" customFormat="false" ht="15" hidden="false" customHeight="false" outlineLevel="0" collapsed="false">
      <c r="A991" s="0" t="s">
        <v>22</v>
      </c>
      <c r="B991" s="0" t="s">
        <v>1518</v>
      </c>
      <c r="C991" s="0" t="s">
        <v>3028</v>
      </c>
      <c r="E991" s="0" t="s">
        <v>1479</v>
      </c>
    </row>
    <row r="992" customFormat="false" ht="15" hidden="false" customHeight="false" outlineLevel="0" collapsed="false">
      <c r="A992" s="0" t="s">
        <v>22</v>
      </c>
      <c r="B992" s="0" t="s">
        <v>1912</v>
      </c>
      <c r="C992" s="0" t="s">
        <v>3029</v>
      </c>
      <c r="E992" s="0" t="s">
        <v>1479</v>
      </c>
    </row>
    <row r="993" customFormat="false" ht="15" hidden="false" customHeight="false" outlineLevel="0" collapsed="false">
      <c r="A993" s="0" t="s">
        <v>22</v>
      </c>
      <c r="B993" s="0" t="s">
        <v>1521</v>
      </c>
      <c r="C993" s="0" t="s">
        <v>3030</v>
      </c>
      <c r="E993" s="0" t="s">
        <v>1479</v>
      </c>
    </row>
    <row r="994" customFormat="false" ht="15" hidden="false" customHeight="false" outlineLevel="0" collapsed="false">
      <c r="A994" s="0" t="s">
        <v>22</v>
      </c>
      <c r="B994" s="0" t="s">
        <v>1917</v>
      </c>
      <c r="C994" s="0" t="s">
        <v>2331</v>
      </c>
      <c r="E994" s="0" t="s">
        <v>1479</v>
      </c>
    </row>
    <row r="995" customFormat="false" ht="15" hidden="false" customHeight="false" outlineLevel="0" collapsed="false">
      <c r="A995" s="0" t="s">
        <v>22</v>
      </c>
      <c r="B995" s="0" t="s">
        <v>1529</v>
      </c>
      <c r="C995" s="0" t="s">
        <v>3031</v>
      </c>
      <c r="E995" s="0" t="s">
        <v>1479</v>
      </c>
    </row>
    <row r="996" customFormat="false" ht="15" hidden="false" customHeight="false" outlineLevel="0" collapsed="false">
      <c r="A996" s="0" t="s">
        <v>22</v>
      </c>
      <c r="B996" s="0" t="s">
        <v>1920</v>
      </c>
      <c r="C996" s="0" t="s">
        <v>3032</v>
      </c>
      <c r="E996" s="0" t="s">
        <v>1479</v>
      </c>
    </row>
    <row r="997" customFormat="false" ht="15" hidden="false" customHeight="false" outlineLevel="0" collapsed="false">
      <c r="A997" s="0" t="s">
        <v>22</v>
      </c>
      <c r="B997" s="0" t="s">
        <v>1532</v>
      </c>
      <c r="C997" s="0" t="s">
        <v>3033</v>
      </c>
      <c r="E997" s="0" t="s">
        <v>1479</v>
      </c>
    </row>
    <row r="998" customFormat="false" ht="15" hidden="false" customHeight="false" outlineLevel="0" collapsed="false">
      <c r="A998" s="0" t="s">
        <v>22</v>
      </c>
      <c r="B998" s="0" t="s">
        <v>3034</v>
      </c>
      <c r="C998" s="0" t="s">
        <v>3035</v>
      </c>
      <c r="E998" s="0" t="s">
        <v>1055</v>
      </c>
    </row>
    <row r="999" customFormat="false" ht="15" hidden="false" customHeight="false" outlineLevel="0" collapsed="false">
      <c r="A999" s="0" t="s">
        <v>22</v>
      </c>
      <c r="B999" s="0" t="s">
        <v>3036</v>
      </c>
      <c r="C999" s="0" t="s">
        <v>3037</v>
      </c>
      <c r="E999" s="0" t="s">
        <v>1057</v>
      </c>
    </row>
    <row r="1000" customFormat="false" ht="15" hidden="false" customHeight="false" outlineLevel="0" collapsed="false">
      <c r="A1000" s="0" t="s">
        <v>22</v>
      </c>
      <c r="B1000" s="0" t="s">
        <v>2783</v>
      </c>
      <c r="C1000" s="0" t="s">
        <v>3038</v>
      </c>
      <c r="E1000" s="0" t="s">
        <v>1061</v>
      </c>
    </row>
    <row r="1001" customFormat="false" ht="15" hidden="false" customHeight="false" outlineLevel="0" collapsed="false">
      <c r="A1001" s="0" t="s">
        <v>22</v>
      </c>
      <c r="B1001" s="0" t="s">
        <v>1594</v>
      </c>
      <c r="C1001" s="0" t="s">
        <v>3039</v>
      </c>
      <c r="E1001" s="0" t="s">
        <v>3040</v>
      </c>
    </row>
    <row r="1002" customFormat="false" ht="15" hidden="false" customHeight="false" outlineLevel="0" collapsed="false">
      <c r="A1002" s="0" t="s">
        <v>22</v>
      </c>
      <c r="B1002" s="0" t="s">
        <v>1596</v>
      </c>
      <c r="C1002" s="0" t="s">
        <v>3041</v>
      </c>
      <c r="E1002" s="0" t="s">
        <v>3042</v>
      </c>
    </row>
    <row r="1003" customFormat="false" ht="15" hidden="false" customHeight="false" outlineLevel="0" collapsed="false">
      <c r="A1003" s="0" t="s">
        <v>22</v>
      </c>
      <c r="B1003" s="0" t="s">
        <v>1598</v>
      </c>
      <c r="C1003" s="0" t="s">
        <v>3043</v>
      </c>
      <c r="D1003" s="0" t="s">
        <v>1876</v>
      </c>
      <c r="E1003" s="0" t="s">
        <v>3044</v>
      </c>
    </row>
    <row r="1004" customFormat="false" ht="15" hidden="false" customHeight="false" outlineLevel="0" collapsed="false">
      <c r="A1004" s="0" t="s">
        <v>22</v>
      </c>
      <c r="B1004" s="0" t="s">
        <v>1600</v>
      </c>
      <c r="C1004" s="0" t="s">
        <v>3045</v>
      </c>
      <c r="D1004" s="0" t="s">
        <v>1876</v>
      </c>
      <c r="E1004" s="0" t="s">
        <v>3046</v>
      </c>
    </row>
    <row r="1005" customFormat="false" ht="15" hidden="false" customHeight="false" outlineLevel="0" collapsed="false">
      <c r="A1005" s="0" t="s">
        <v>22</v>
      </c>
      <c r="B1005" s="0" t="s">
        <v>1602</v>
      </c>
      <c r="C1005" s="0" t="s">
        <v>3047</v>
      </c>
      <c r="D1005" s="0" t="s">
        <v>1876</v>
      </c>
      <c r="E1005" s="0" t="s">
        <v>3048</v>
      </c>
    </row>
    <row r="1006" customFormat="false" ht="15" hidden="false" customHeight="false" outlineLevel="0" collapsed="false">
      <c r="A1006" s="0" t="s">
        <v>22</v>
      </c>
      <c r="B1006" s="0" t="s">
        <v>1604</v>
      </c>
      <c r="C1006" s="0" t="s">
        <v>3049</v>
      </c>
      <c r="D1006" s="0" t="s">
        <v>1876</v>
      </c>
      <c r="E1006" s="0" t="s">
        <v>3050</v>
      </c>
    </row>
    <row r="1007" customFormat="false" ht="15" hidden="false" customHeight="false" outlineLevel="0" collapsed="false">
      <c r="A1007" s="0" t="s">
        <v>22</v>
      </c>
      <c r="B1007" s="0" t="s">
        <v>3051</v>
      </c>
      <c r="C1007" s="0" t="s">
        <v>3052</v>
      </c>
      <c r="E1007" s="0" t="s">
        <v>3053</v>
      </c>
    </row>
    <row r="1008" customFormat="false" ht="15" hidden="false" customHeight="false" outlineLevel="0" collapsed="false">
      <c r="A1008" s="0" t="s">
        <v>22</v>
      </c>
      <c r="B1008" s="0" t="s">
        <v>3054</v>
      </c>
      <c r="C1008" s="0" t="s">
        <v>3055</v>
      </c>
      <c r="E1008" s="0" t="s">
        <v>1056</v>
      </c>
    </row>
    <row r="1009" customFormat="false" ht="15" hidden="false" customHeight="false" outlineLevel="0" collapsed="false">
      <c r="A1009" s="0" t="s">
        <v>22</v>
      </c>
      <c r="B1009" s="0" t="s">
        <v>3056</v>
      </c>
      <c r="C1009" s="0" t="s">
        <v>3057</v>
      </c>
      <c r="E1009" s="0" t="s">
        <v>1062</v>
      </c>
    </row>
    <row r="1010" customFormat="false" ht="15" hidden="false" customHeight="false" outlineLevel="0" collapsed="false">
      <c r="A1010" s="0" t="s">
        <v>22</v>
      </c>
      <c r="B1010" s="0" t="s">
        <v>3058</v>
      </c>
      <c r="C1010" s="0" t="s">
        <v>3059</v>
      </c>
      <c r="E1010" s="0" t="s">
        <v>1063</v>
      </c>
    </row>
    <row r="1011" customFormat="false" ht="15" hidden="false" customHeight="false" outlineLevel="0" collapsed="false">
      <c r="A1011" s="0" t="s">
        <v>22</v>
      </c>
      <c r="B1011" s="0" t="s">
        <v>1606</v>
      </c>
      <c r="C1011" s="0" t="s">
        <v>3060</v>
      </c>
      <c r="E1011" s="0" t="s">
        <v>3061</v>
      </c>
    </row>
    <row r="1012" customFormat="false" ht="15" hidden="false" customHeight="false" outlineLevel="0" collapsed="false">
      <c r="A1012" s="0" t="s">
        <v>22</v>
      </c>
      <c r="B1012" s="0" t="s">
        <v>1609</v>
      </c>
      <c r="C1012" s="0" t="s">
        <v>3062</v>
      </c>
      <c r="E1012" s="0" t="s">
        <v>3063</v>
      </c>
    </row>
    <row r="1013" customFormat="false" ht="15" hidden="false" customHeight="false" outlineLevel="0" collapsed="false">
      <c r="A1013" s="0" t="s">
        <v>22</v>
      </c>
      <c r="B1013" s="0" t="s">
        <v>1611</v>
      </c>
      <c r="C1013" s="0" t="s">
        <v>3064</v>
      </c>
      <c r="D1013" s="0" t="s">
        <v>1876</v>
      </c>
      <c r="E1013" s="0" t="s">
        <v>1514</v>
      </c>
    </row>
    <row r="1014" customFormat="false" ht="15" hidden="false" customHeight="false" outlineLevel="0" collapsed="false">
      <c r="A1014" s="0" t="s">
        <v>22</v>
      </c>
      <c r="B1014" s="0" t="s">
        <v>1614</v>
      </c>
      <c r="C1014" s="0" t="s">
        <v>3065</v>
      </c>
      <c r="D1014" s="0" t="s">
        <v>1876</v>
      </c>
      <c r="E1014" s="0" t="s">
        <v>3066</v>
      </c>
    </row>
    <row r="1015" customFormat="false" ht="15" hidden="false" customHeight="false" outlineLevel="0" collapsed="false">
      <c r="A1015" s="0" t="s">
        <v>22</v>
      </c>
      <c r="B1015" s="0" t="s">
        <v>1617</v>
      </c>
      <c r="C1015" s="0" t="s">
        <v>3067</v>
      </c>
      <c r="D1015" s="0" t="s">
        <v>1876</v>
      </c>
      <c r="E1015" s="0" t="s">
        <v>3068</v>
      </c>
    </row>
    <row r="1016" customFormat="false" ht="15" hidden="false" customHeight="false" outlineLevel="0" collapsed="false">
      <c r="A1016" s="0" t="s">
        <v>22</v>
      </c>
      <c r="B1016" s="0" t="s">
        <v>1620</v>
      </c>
      <c r="C1016" s="0" t="s">
        <v>3069</v>
      </c>
      <c r="D1016" s="0" t="s">
        <v>1876</v>
      </c>
      <c r="E1016" s="0" t="s">
        <v>3070</v>
      </c>
    </row>
    <row r="1017" customFormat="false" ht="15" hidden="false" customHeight="false" outlineLevel="0" collapsed="false">
      <c r="A1017" s="0" t="s">
        <v>22</v>
      </c>
      <c r="B1017" s="0" t="s">
        <v>3071</v>
      </c>
      <c r="C1017" s="0" t="s">
        <v>3072</v>
      </c>
      <c r="E1017" s="0" t="s">
        <v>3073</v>
      </c>
    </row>
    <row r="1018" customFormat="false" ht="15" hidden="false" customHeight="false" outlineLevel="0" collapsed="false">
      <c r="A1018" s="0" t="s">
        <v>22</v>
      </c>
      <c r="B1018" s="0" t="s">
        <v>3074</v>
      </c>
      <c r="C1018" s="0" t="s">
        <v>3075</v>
      </c>
      <c r="E1018" s="0" t="s">
        <v>1479</v>
      </c>
    </row>
    <row r="1019" customFormat="false" ht="15" hidden="false" customHeight="false" outlineLevel="0" collapsed="false">
      <c r="A1019" s="0" t="s">
        <v>22</v>
      </c>
      <c r="B1019" s="0" t="s">
        <v>2349</v>
      </c>
      <c r="C1019" s="0" t="s">
        <v>3076</v>
      </c>
      <c r="E1019" s="0" t="s">
        <v>1479</v>
      </c>
    </row>
    <row r="1020" customFormat="false" ht="15" hidden="false" customHeight="false" outlineLevel="0" collapsed="false">
      <c r="A1020" s="0" t="s">
        <v>22</v>
      </c>
      <c r="B1020" s="0" t="s">
        <v>2352</v>
      </c>
      <c r="C1020" s="0" t="s">
        <v>3077</v>
      </c>
      <c r="E1020" s="0" t="s">
        <v>1479</v>
      </c>
    </row>
    <row r="1021" customFormat="false" ht="15" hidden="false" customHeight="false" outlineLevel="0" collapsed="false">
      <c r="A1021" s="0" t="s">
        <v>22</v>
      </c>
      <c r="B1021" s="0" t="s">
        <v>1622</v>
      </c>
      <c r="C1021" s="0" t="s">
        <v>3078</v>
      </c>
      <c r="E1021" s="0" t="s">
        <v>1479</v>
      </c>
    </row>
    <row r="1022" customFormat="false" ht="15" hidden="false" customHeight="false" outlineLevel="0" collapsed="false">
      <c r="A1022" s="0" t="s">
        <v>22</v>
      </c>
      <c r="B1022" s="0" t="s">
        <v>1624</v>
      </c>
      <c r="C1022" s="0" t="s">
        <v>3079</v>
      </c>
      <c r="E1022" s="0" t="s">
        <v>1479</v>
      </c>
    </row>
    <row r="1023" customFormat="false" ht="15" hidden="false" customHeight="false" outlineLevel="0" collapsed="false">
      <c r="A1023" s="0" t="s">
        <v>22</v>
      </c>
      <c r="B1023" s="0" t="s">
        <v>1626</v>
      </c>
      <c r="C1023" s="0" t="s">
        <v>3080</v>
      </c>
      <c r="D1023" s="0" t="s">
        <v>1876</v>
      </c>
      <c r="E1023" s="0" t="s">
        <v>1479</v>
      </c>
    </row>
    <row r="1024" customFormat="false" ht="15" hidden="false" customHeight="false" outlineLevel="0" collapsed="false">
      <c r="A1024" s="0" t="s">
        <v>22</v>
      </c>
      <c r="B1024" s="0" t="s">
        <v>1628</v>
      </c>
      <c r="C1024" s="0" t="s">
        <v>3081</v>
      </c>
      <c r="D1024" s="0" t="s">
        <v>1876</v>
      </c>
      <c r="E1024" s="0" t="s">
        <v>1479</v>
      </c>
    </row>
    <row r="1025" customFormat="false" ht="15" hidden="false" customHeight="false" outlineLevel="0" collapsed="false">
      <c r="A1025" s="0" t="s">
        <v>22</v>
      </c>
      <c r="B1025" s="0" t="s">
        <v>1630</v>
      </c>
      <c r="C1025" s="0" t="s">
        <v>3082</v>
      </c>
      <c r="D1025" s="0" t="s">
        <v>1876</v>
      </c>
      <c r="E1025" s="0" t="s">
        <v>1479</v>
      </c>
    </row>
    <row r="1026" customFormat="false" ht="15" hidden="false" customHeight="false" outlineLevel="0" collapsed="false">
      <c r="A1026" s="0" t="s">
        <v>22</v>
      </c>
      <c r="B1026" s="0" t="s">
        <v>1632</v>
      </c>
      <c r="C1026" s="0" t="s">
        <v>3083</v>
      </c>
      <c r="D1026" s="0" t="s">
        <v>1876</v>
      </c>
      <c r="E1026" s="0" t="s">
        <v>1479</v>
      </c>
    </row>
    <row r="1027" customFormat="false" ht="15" hidden="false" customHeight="false" outlineLevel="0" collapsed="false">
      <c r="A1027" s="0" t="s">
        <v>22</v>
      </c>
      <c r="B1027" s="0" t="s">
        <v>3084</v>
      </c>
      <c r="C1027" s="0" t="s">
        <v>3085</v>
      </c>
      <c r="E1027" s="0" t="s">
        <v>1479</v>
      </c>
    </row>
    <row r="1028" customFormat="false" ht="15" hidden="false" customHeight="false" outlineLevel="0" collapsed="false">
      <c r="A1028" s="0" t="s">
        <v>22</v>
      </c>
      <c r="B1028" s="0" t="s">
        <v>1969</v>
      </c>
      <c r="C1028" s="0" t="s">
        <v>3086</v>
      </c>
      <c r="E1028" s="0" t="s">
        <v>1479</v>
      </c>
    </row>
    <row r="1029" customFormat="false" ht="15" hidden="false" customHeight="false" outlineLevel="0" collapsed="false">
      <c r="A1029" s="0" t="s">
        <v>22</v>
      </c>
      <c r="B1029" s="0" t="s">
        <v>1972</v>
      </c>
      <c r="C1029" s="0" t="s">
        <v>3087</v>
      </c>
      <c r="E1029" s="0" t="s">
        <v>1479</v>
      </c>
    </row>
    <row r="1030" customFormat="false" ht="15" hidden="false" customHeight="false" outlineLevel="0" collapsed="false">
      <c r="A1030" s="0" t="s">
        <v>22</v>
      </c>
      <c r="B1030" s="0" t="s">
        <v>1975</v>
      </c>
      <c r="C1030" s="0" t="s">
        <v>3088</v>
      </c>
      <c r="E1030" s="0" t="s">
        <v>1479</v>
      </c>
    </row>
    <row r="1031" customFormat="false" ht="15" hidden="false" customHeight="false" outlineLevel="0" collapsed="false">
      <c r="A1031" s="0" t="s">
        <v>22</v>
      </c>
      <c r="B1031" s="0" t="s">
        <v>1634</v>
      </c>
      <c r="C1031" s="0" t="s">
        <v>3089</v>
      </c>
      <c r="E1031" s="0" t="s">
        <v>1479</v>
      </c>
    </row>
    <row r="1032" customFormat="false" ht="15" hidden="false" customHeight="false" outlineLevel="0" collapsed="false">
      <c r="A1032" s="0" t="s">
        <v>22</v>
      </c>
      <c r="B1032" s="0" t="s">
        <v>1637</v>
      </c>
      <c r="C1032" s="0" t="s">
        <v>3090</v>
      </c>
      <c r="E1032" s="0" t="s">
        <v>1479</v>
      </c>
    </row>
    <row r="1033" customFormat="false" ht="15" hidden="false" customHeight="false" outlineLevel="0" collapsed="false">
      <c r="A1033" s="0" t="s">
        <v>22</v>
      </c>
      <c r="B1033" s="0" t="s">
        <v>1639</v>
      </c>
      <c r="C1033" s="0" t="s">
        <v>3091</v>
      </c>
      <c r="D1033" s="0" t="s">
        <v>1876</v>
      </c>
      <c r="E1033" s="0" t="s">
        <v>1479</v>
      </c>
    </row>
    <row r="1034" customFormat="false" ht="15" hidden="false" customHeight="false" outlineLevel="0" collapsed="false">
      <c r="A1034" s="0" t="s">
        <v>22</v>
      </c>
      <c r="B1034" s="0" t="s">
        <v>1642</v>
      </c>
      <c r="C1034" s="0" t="s">
        <v>3092</v>
      </c>
      <c r="D1034" s="0" t="s">
        <v>1876</v>
      </c>
      <c r="E1034" s="0" t="s">
        <v>1479</v>
      </c>
    </row>
    <row r="1035" customFormat="false" ht="15" hidden="false" customHeight="false" outlineLevel="0" collapsed="false">
      <c r="A1035" s="0" t="s">
        <v>22</v>
      </c>
      <c r="B1035" s="0" t="s">
        <v>1645</v>
      </c>
      <c r="C1035" s="0" t="s">
        <v>3093</v>
      </c>
      <c r="D1035" s="0" t="s">
        <v>1876</v>
      </c>
      <c r="E1035" s="0" t="s">
        <v>1479</v>
      </c>
    </row>
    <row r="1036" customFormat="false" ht="15" hidden="false" customHeight="false" outlineLevel="0" collapsed="false">
      <c r="A1036" s="0" t="s">
        <v>22</v>
      </c>
      <c r="B1036" s="0" t="s">
        <v>1647</v>
      </c>
      <c r="C1036" s="0" t="s">
        <v>3094</v>
      </c>
      <c r="D1036" s="0" t="s">
        <v>1876</v>
      </c>
      <c r="E1036" s="0" t="s">
        <v>1479</v>
      </c>
    </row>
    <row r="1037" customFormat="false" ht="15" hidden="false" customHeight="false" outlineLevel="0" collapsed="false">
      <c r="A1037" s="0" t="s">
        <v>22</v>
      </c>
      <c r="B1037" s="0" t="s">
        <v>3095</v>
      </c>
      <c r="C1037" s="0" t="s">
        <v>3096</v>
      </c>
      <c r="E1037" s="0" t="s">
        <v>1479</v>
      </c>
    </row>
    <row r="1038" customFormat="false" ht="15" hidden="false" customHeight="false" outlineLevel="0" collapsed="false">
      <c r="A1038" s="0" t="s">
        <v>22</v>
      </c>
      <c r="B1038" s="0" t="s">
        <v>1980</v>
      </c>
      <c r="C1038" s="0" t="s">
        <v>3097</v>
      </c>
      <c r="E1038" s="0" t="s">
        <v>1479</v>
      </c>
    </row>
    <row r="1039" customFormat="false" ht="15" hidden="false" customHeight="false" outlineLevel="0" collapsed="false">
      <c r="A1039" s="0" t="s">
        <v>22</v>
      </c>
      <c r="B1039" s="0" t="s">
        <v>1983</v>
      </c>
      <c r="C1039" s="0" t="s">
        <v>3098</v>
      </c>
      <c r="E1039" s="0" t="s">
        <v>1479</v>
      </c>
    </row>
    <row r="1040" customFormat="false" ht="15" hidden="false" customHeight="false" outlineLevel="0" collapsed="false">
      <c r="A1040" s="0" t="s">
        <v>22</v>
      </c>
      <c r="B1040" s="0" t="s">
        <v>1986</v>
      </c>
      <c r="C1040" s="0" t="s">
        <v>3099</v>
      </c>
      <c r="E1040" s="0" t="s">
        <v>1479</v>
      </c>
    </row>
    <row r="1041" customFormat="false" ht="15" hidden="false" customHeight="false" outlineLevel="0" collapsed="false">
      <c r="A1041" s="0" t="s">
        <v>22</v>
      </c>
      <c r="B1041" s="0" t="s">
        <v>1649</v>
      </c>
      <c r="C1041" s="0" t="s">
        <v>3100</v>
      </c>
      <c r="E1041" s="0" t="s">
        <v>1479</v>
      </c>
    </row>
    <row r="1042" customFormat="false" ht="15" hidden="false" customHeight="false" outlineLevel="0" collapsed="false">
      <c r="A1042" s="0" t="s">
        <v>22</v>
      </c>
      <c r="B1042" s="0" t="s">
        <v>1651</v>
      </c>
      <c r="C1042" s="0" t="s">
        <v>3101</v>
      </c>
      <c r="E1042" s="0" t="s">
        <v>1479</v>
      </c>
    </row>
    <row r="1043" customFormat="false" ht="15" hidden="false" customHeight="false" outlineLevel="0" collapsed="false">
      <c r="A1043" s="0" t="s">
        <v>22</v>
      </c>
      <c r="B1043" s="0" t="s">
        <v>1653</v>
      </c>
      <c r="C1043" s="0" t="s">
        <v>3102</v>
      </c>
      <c r="D1043" s="0" t="s">
        <v>1876</v>
      </c>
      <c r="E1043" s="0" t="s">
        <v>1479</v>
      </c>
    </row>
    <row r="1044" customFormat="false" ht="15" hidden="false" customHeight="false" outlineLevel="0" collapsed="false">
      <c r="A1044" s="0" t="s">
        <v>22</v>
      </c>
      <c r="B1044" s="0" t="s">
        <v>1655</v>
      </c>
      <c r="C1044" s="0" t="s">
        <v>3103</v>
      </c>
      <c r="D1044" s="0" t="s">
        <v>1876</v>
      </c>
      <c r="E1044" s="0" t="s">
        <v>1479</v>
      </c>
    </row>
    <row r="1045" customFormat="false" ht="15" hidden="false" customHeight="false" outlineLevel="0" collapsed="false">
      <c r="A1045" s="0" t="s">
        <v>22</v>
      </c>
      <c r="B1045" s="0" t="s">
        <v>1657</v>
      </c>
      <c r="C1045" s="0" t="s">
        <v>3104</v>
      </c>
      <c r="D1045" s="0" t="s">
        <v>1876</v>
      </c>
      <c r="E1045" s="0" t="s">
        <v>1479</v>
      </c>
    </row>
    <row r="1046" customFormat="false" ht="15" hidden="false" customHeight="false" outlineLevel="0" collapsed="false">
      <c r="A1046" s="0" t="s">
        <v>22</v>
      </c>
      <c r="B1046" s="0" t="s">
        <v>1659</v>
      </c>
      <c r="C1046" s="0" t="s">
        <v>3105</v>
      </c>
      <c r="D1046" s="0" t="s">
        <v>1876</v>
      </c>
      <c r="E1046" s="0" t="s">
        <v>1479</v>
      </c>
    </row>
    <row r="1047" customFormat="false" ht="15" hidden="false" customHeight="false" outlineLevel="0" collapsed="false">
      <c r="A1047" s="0" t="s">
        <v>22</v>
      </c>
      <c r="B1047" s="0" t="s">
        <v>3106</v>
      </c>
      <c r="C1047" s="0" t="s">
        <v>3107</v>
      </c>
      <c r="E1047" s="0" t="s">
        <v>1479</v>
      </c>
    </row>
    <row r="1048" customFormat="false" ht="15" hidden="false" customHeight="false" outlineLevel="0" collapsed="false">
      <c r="A1048" s="0" t="s">
        <v>25</v>
      </c>
      <c r="B1048" s="0" t="s">
        <v>506</v>
      </c>
      <c r="C1048" s="0" t="s">
        <v>3108</v>
      </c>
      <c r="E1048" s="0" t="s">
        <v>3109</v>
      </c>
    </row>
    <row r="1049" customFormat="false" ht="15" hidden="false" customHeight="false" outlineLevel="0" collapsed="false">
      <c r="A1049" s="0" t="s">
        <v>25</v>
      </c>
      <c r="B1049" s="0" t="s">
        <v>1864</v>
      </c>
      <c r="C1049" s="0" t="s">
        <v>3110</v>
      </c>
      <c r="E1049" s="0" t="s">
        <v>3111</v>
      </c>
    </row>
    <row r="1050" customFormat="false" ht="15" hidden="false" customHeight="false" outlineLevel="0" collapsed="false">
      <c r="A1050" s="0" t="s">
        <v>25</v>
      </c>
      <c r="B1050" s="0" t="s">
        <v>1468</v>
      </c>
      <c r="C1050" s="0" t="s">
        <v>3112</v>
      </c>
      <c r="E1050" s="0" t="s">
        <v>3113</v>
      </c>
    </row>
    <row r="1051" customFormat="false" ht="15" hidden="false" customHeight="false" outlineLevel="0" collapsed="false">
      <c r="A1051" s="0" t="s">
        <v>25</v>
      </c>
      <c r="B1051" s="0" t="s">
        <v>2438</v>
      </c>
      <c r="C1051" s="0" t="s">
        <v>3114</v>
      </c>
      <c r="E1051" s="0" t="s">
        <v>3115</v>
      </c>
    </row>
    <row r="1052" customFormat="false" ht="15" hidden="false" customHeight="false" outlineLevel="0" collapsed="false">
      <c r="A1052" s="0" t="s">
        <v>25</v>
      </c>
      <c r="B1052" s="0" t="s">
        <v>2441</v>
      </c>
      <c r="C1052" s="0" t="s">
        <v>3116</v>
      </c>
      <c r="E1052" s="0" t="s">
        <v>3117</v>
      </c>
    </row>
    <row r="1053" customFormat="false" ht="15" hidden="false" customHeight="false" outlineLevel="0" collapsed="false">
      <c r="A1053" s="0" t="s">
        <v>25</v>
      </c>
      <c r="B1053" s="0" t="s">
        <v>2443</v>
      </c>
      <c r="C1053" s="0" t="s">
        <v>3118</v>
      </c>
      <c r="E1053" s="0" t="s">
        <v>3119</v>
      </c>
    </row>
    <row r="1054" customFormat="false" ht="15" hidden="false" customHeight="false" outlineLevel="0" collapsed="false">
      <c r="A1054" s="0" t="s">
        <v>25</v>
      </c>
      <c r="B1054" s="0" t="s">
        <v>2796</v>
      </c>
      <c r="C1054" s="0" t="s">
        <v>3120</v>
      </c>
      <c r="E1054" s="0" t="s">
        <v>2951</v>
      </c>
    </row>
    <row r="1055" customFormat="false" ht="15" hidden="false" customHeight="false" outlineLevel="0" collapsed="false">
      <c r="A1055" s="0" t="s">
        <v>25</v>
      </c>
      <c r="B1055" s="0" t="s">
        <v>2800</v>
      </c>
      <c r="C1055" s="0" t="s">
        <v>3121</v>
      </c>
      <c r="D1055" s="0" t="s">
        <v>1876</v>
      </c>
      <c r="E1055" s="0" t="s">
        <v>2947</v>
      </c>
    </row>
    <row r="1056" customFormat="false" ht="15" hidden="false" customHeight="false" outlineLevel="0" collapsed="false">
      <c r="A1056" s="0" t="s">
        <v>25</v>
      </c>
      <c r="B1056" s="0" t="s">
        <v>509</v>
      </c>
      <c r="C1056" s="0" t="s">
        <v>3122</v>
      </c>
      <c r="E1056" s="0" t="s">
        <v>3123</v>
      </c>
    </row>
    <row r="1057" customFormat="false" ht="15" hidden="false" customHeight="false" outlineLevel="0" collapsed="false">
      <c r="A1057" s="0" t="s">
        <v>25</v>
      </c>
      <c r="B1057" s="0" t="s">
        <v>1867</v>
      </c>
      <c r="C1057" s="0" t="s">
        <v>3124</v>
      </c>
      <c r="E1057" s="0" t="s">
        <v>3125</v>
      </c>
    </row>
    <row r="1058" customFormat="false" ht="15" hidden="false" customHeight="false" outlineLevel="0" collapsed="false">
      <c r="A1058" s="0" t="s">
        <v>25</v>
      </c>
      <c r="B1058" s="0" t="s">
        <v>2117</v>
      </c>
      <c r="C1058" s="0" t="s">
        <v>3126</v>
      </c>
      <c r="E1058" s="0" t="s">
        <v>3113</v>
      </c>
    </row>
    <row r="1059" customFormat="false" ht="15" hidden="false" customHeight="false" outlineLevel="0" collapsed="false">
      <c r="A1059" s="0" t="s">
        <v>25</v>
      </c>
      <c r="B1059" s="0" t="s">
        <v>2120</v>
      </c>
      <c r="C1059" s="0" t="s">
        <v>3127</v>
      </c>
      <c r="E1059" s="0" t="s">
        <v>3128</v>
      </c>
    </row>
    <row r="1060" customFormat="false" ht="15" hidden="false" customHeight="false" outlineLevel="0" collapsed="false">
      <c r="A1060" s="0" t="s">
        <v>25</v>
      </c>
      <c r="B1060" s="0" t="s">
        <v>2123</v>
      </c>
      <c r="C1060" s="0" t="s">
        <v>3129</v>
      </c>
      <c r="E1060" s="0" t="s">
        <v>3117</v>
      </c>
    </row>
    <row r="1061" customFormat="false" ht="15" hidden="false" customHeight="false" outlineLevel="0" collapsed="false">
      <c r="A1061" s="0" t="s">
        <v>25</v>
      </c>
      <c r="B1061" s="0" t="s">
        <v>2126</v>
      </c>
      <c r="C1061" s="0" t="s">
        <v>3130</v>
      </c>
      <c r="E1061" s="0" t="s">
        <v>2957</v>
      </c>
    </row>
    <row r="1062" customFormat="false" ht="15" hidden="false" customHeight="false" outlineLevel="0" collapsed="false">
      <c r="A1062" s="0" t="s">
        <v>25</v>
      </c>
      <c r="B1062" s="0" t="s">
        <v>2129</v>
      </c>
      <c r="C1062" s="0" t="s">
        <v>3131</v>
      </c>
      <c r="E1062" s="0" t="s">
        <v>2968</v>
      </c>
    </row>
    <row r="1063" customFormat="false" ht="15" hidden="false" customHeight="false" outlineLevel="0" collapsed="false">
      <c r="A1063" s="0" t="s">
        <v>25</v>
      </c>
      <c r="B1063" s="0" t="s">
        <v>2137</v>
      </c>
      <c r="C1063" s="0" t="s">
        <v>3132</v>
      </c>
      <c r="D1063" s="0" t="s">
        <v>1876</v>
      </c>
      <c r="E1063" s="0" t="s">
        <v>2959</v>
      </c>
    </row>
    <row r="1064" customFormat="false" ht="15" hidden="false" customHeight="false" outlineLevel="0" collapsed="false">
      <c r="A1064" s="0" t="s">
        <v>25</v>
      </c>
      <c r="B1064" s="0" t="s">
        <v>2145</v>
      </c>
      <c r="C1064" s="0" t="s">
        <v>3133</v>
      </c>
      <c r="E1064" s="0" t="s">
        <v>3134</v>
      </c>
    </row>
    <row r="1065" customFormat="false" ht="15" hidden="false" customHeight="false" outlineLevel="0" collapsed="false">
      <c r="A1065" s="0" t="s">
        <v>25</v>
      </c>
      <c r="B1065" s="0" t="s">
        <v>1870</v>
      </c>
      <c r="C1065" s="0" t="s">
        <v>3135</v>
      </c>
      <c r="E1065" s="0" t="s">
        <v>3136</v>
      </c>
    </row>
    <row r="1066" customFormat="false" ht="15" hidden="false" customHeight="false" outlineLevel="0" collapsed="false">
      <c r="A1066" s="0" t="s">
        <v>25</v>
      </c>
      <c r="B1066" s="0" t="s">
        <v>2148</v>
      </c>
      <c r="C1066" s="0" t="s">
        <v>3137</v>
      </c>
      <c r="E1066" s="0" t="s">
        <v>3138</v>
      </c>
    </row>
    <row r="1067" customFormat="false" ht="15" hidden="false" customHeight="false" outlineLevel="0" collapsed="false">
      <c r="A1067" s="0" t="s">
        <v>25</v>
      </c>
      <c r="B1067" s="0" t="s">
        <v>2150</v>
      </c>
      <c r="C1067" s="0" t="s">
        <v>3139</v>
      </c>
      <c r="E1067" s="0" t="s">
        <v>3140</v>
      </c>
    </row>
    <row r="1068" customFormat="false" ht="15" hidden="false" customHeight="false" outlineLevel="0" collapsed="false">
      <c r="A1068" s="0" t="s">
        <v>25</v>
      </c>
      <c r="B1068" s="0" t="s">
        <v>2153</v>
      </c>
      <c r="C1068" s="0" t="s">
        <v>3141</v>
      </c>
      <c r="E1068" s="0" t="s">
        <v>3142</v>
      </c>
    </row>
    <row r="1069" customFormat="false" ht="15" hidden="false" customHeight="false" outlineLevel="0" collapsed="false">
      <c r="A1069" s="0" t="s">
        <v>25</v>
      </c>
      <c r="B1069" s="0" t="s">
        <v>2155</v>
      </c>
      <c r="C1069" s="0" t="s">
        <v>3143</v>
      </c>
      <c r="E1069" s="0" t="s">
        <v>2031</v>
      </c>
    </row>
    <row r="1070" customFormat="false" ht="15" hidden="false" customHeight="false" outlineLevel="0" collapsed="false">
      <c r="A1070" s="0" t="s">
        <v>25</v>
      </c>
      <c r="B1070" s="0" t="s">
        <v>2157</v>
      </c>
      <c r="C1070" s="0" t="s">
        <v>3144</v>
      </c>
      <c r="E1070" s="0" t="s">
        <v>1996</v>
      </c>
    </row>
    <row r="1071" customFormat="false" ht="15" hidden="false" customHeight="false" outlineLevel="0" collapsed="false">
      <c r="A1071" s="0" t="s">
        <v>25</v>
      </c>
      <c r="B1071" s="0" t="s">
        <v>2164</v>
      </c>
      <c r="C1071" s="0" t="s">
        <v>3145</v>
      </c>
      <c r="D1071" s="0" t="s">
        <v>1876</v>
      </c>
      <c r="E1071" s="0" t="s">
        <v>2953</v>
      </c>
    </row>
    <row r="1072" customFormat="false" ht="15" hidden="false" customHeight="false" outlineLevel="0" collapsed="false">
      <c r="A1072" s="0" t="s">
        <v>25</v>
      </c>
      <c r="B1072" s="0" t="s">
        <v>2171</v>
      </c>
      <c r="C1072" s="0" t="s">
        <v>3146</v>
      </c>
      <c r="E1072" s="0" t="s">
        <v>3147</v>
      </c>
    </row>
    <row r="1073" customFormat="false" ht="15" hidden="false" customHeight="false" outlineLevel="0" collapsed="false">
      <c r="A1073" s="0" t="s">
        <v>25</v>
      </c>
      <c r="B1073" s="0" t="s">
        <v>1471</v>
      </c>
      <c r="C1073" s="0" t="s">
        <v>3148</v>
      </c>
      <c r="E1073" s="0" t="s">
        <v>3149</v>
      </c>
    </row>
    <row r="1074" customFormat="false" ht="15" hidden="false" customHeight="false" outlineLevel="0" collapsed="false">
      <c r="A1074" s="0" t="s">
        <v>25</v>
      </c>
      <c r="B1074" s="0" t="s">
        <v>2174</v>
      </c>
      <c r="C1074" s="0" t="s">
        <v>3150</v>
      </c>
      <c r="E1074" s="0" t="s">
        <v>3138</v>
      </c>
    </row>
    <row r="1075" customFormat="false" ht="15" hidden="false" customHeight="false" outlineLevel="0" collapsed="false">
      <c r="A1075" s="0" t="s">
        <v>25</v>
      </c>
      <c r="B1075" s="0" t="s">
        <v>1474</v>
      </c>
      <c r="C1075" s="0" t="s">
        <v>3151</v>
      </c>
      <c r="E1075" s="0" t="s">
        <v>3115</v>
      </c>
    </row>
    <row r="1076" customFormat="false" ht="15" hidden="false" customHeight="false" outlineLevel="0" collapsed="false">
      <c r="A1076" s="0" t="s">
        <v>25</v>
      </c>
      <c r="B1076" s="0" t="s">
        <v>1477</v>
      </c>
      <c r="C1076" s="0" t="s">
        <v>3152</v>
      </c>
      <c r="E1076" s="0" t="s">
        <v>3117</v>
      </c>
    </row>
    <row r="1077" customFormat="false" ht="15" hidden="false" customHeight="false" outlineLevel="0" collapsed="false">
      <c r="A1077" s="0" t="s">
        <v>25</v>
      </c>
      <c r="B1077" s="0" t="s">
        <v>2179</v>
      </c>
      <c r="C1077" s="0" t="s">
        <v>3153</v>
      </c>
      <c r="E1077" s="0" t="s">
        <v>2007</v>
      </c>
    </row>
    <row r="1078" customFormat="false" ht="15" hidden="false" customHeight="false" outlineLevel="0" collapsed="false">
      <c r="A1078" s="0" t="s">
        <v>25</v>
      </c>
      <c r="B1078" s="0" t="s">
        <v>2181</v>
      </c>
      <c r="C1078" s="0" t="s">
        <v>3154</v>
      </c>
      <c r="E1078" s="0" t="s">
        <v>3155</v>
      </c>
    </row>
    <row r="1079" customFormat="false" ht="15" hidden="false" customHeight="false" outlineLevel="0" collapsed="false">
      <c r="A1079" s="0" t="s">
        <v>25</v>
      </c>
      <c r="B1079" s="0" t="s">
        <v>2187</v>
      </c>
      <c r="C1079" s="0" t="s">
        <v>3156</v>
      </c>
      <c r="D1079" s="0" t="s">
        <v>1876</v>
      </c>
      <c r="E1079" s="0" t="s">
        <v>3157</v>
      </c>
    </row>
    <row r="1080" customFormat="false" ht="15" hidden="false" customHeight="false" outlineLevel="0" collapsed="false">
      <c r="A1080" s="0" t="s">
        <v>25</v>
      </c>
      <c r="B1080" s="0" t="s">
        <v>2194</v>
      </c>
      <c r="C1080" s="0" t="s">
        <v>3158</v>
      </c>
      <c r="E1080" s="0" t="s">
        <v>3159</v>
      </c>
    </row>
    <row r="1081" customFormat="false" ht="15" hidden="false" customHeight="false" outlineLevel="0" collapsed="false">
      <c r="A1081" s="0" t="s">
        <v>25</v>
      </c>
      <c r="B1081" s="0" t="s">
        <v>1480</v>
      </c>
      <c r="C1081" s="0" t="s">
        <v>3160</v>
      </c>
      <c r="E1081" s="0" t="s">
        <v>3161</v>
      </c>
    </row>
    <row r="1082" customFormat="false" ht="15" hidden="false" customHeight="false" outlineLevel="0" collapsed="false">
      <c r="A1082" s="0" t="s">
        <v>25</v>
      </c>
      <c r="B1082" s="0" t="s">
        <v>2197</v>
      </c>
      <c r="C1082" s="0" t="s">
        <v>3162</v>
      </c>
      <c r="E1082" s="0" t="s">
        <v>3163</v>
      </c>
    </row>
    <row r="1083" customFormat="false" ht="15" hidden="false" customHeight="false" outlineLevel="0" collapsed="false">
      <c r="A1083" s="0" t="s">
        <v>25</v>
      </c>
      <c r="B1083" s="0" t="s">
        <v>1483</v>
      </c>
      <c r="C1083" s="0" t="s">
        <v>3164</v>
      </c>
      <c r="E1083" s="0" t="s">
        <v>3128</v>
      </c>
    </row>
    <row r="1084" customFormat="false" ht="15" hidden="false" customHeight="false" outlineLevel="0" collapsed="false">
      <c r="A1084" s="0" t="s">
        <v>25</v>
      </c>
      <c r="B1084" s="0" t="s">
        <v>1486</v>
      </c>
      <c r="C1084" s="0" t="s">
        <v>3165</v>
      </c>
      <c r="E1084" s="0" t="s">
        <v>3166</v>
      </c>
    </row>
    <row r="1085" customFormat="false" ht="15" hidden="false" customHeight="false" outlineLevel="0" collapsed="false">
      <c r="A1085" s="0" t="s">
        <v>25</v>
      </c>
      <c r="B1085" s="0" t="s">
        <v>2203</v>
      </c>
      <c r="C1085" s="0" t="s">
        <v>3167</v>
      </c>
      <c r="E1085" s="0" t="s">
        <v>2036</v>
      </c>
    </row>
    <row r="1086" customFormat="false" ht="15" hidden="false" customHeight="false" outlineLevel="0" collapsed="false">
      <c r="A1086" s="0" t="s">
        <v>25</v>
      </c>
      <c r="B1086" s="0" t="s">
        <v>2205</v>
      </c>
      <c r="C1086" s="0" t="s">
        <v>3168</v>
      </c>
      <c r="E1086" s="0" t="s">
        <v>3169</v>
      </c>
    </row>
    <row r="1087" customFormat="false" ht="15" hidden="false" customHeight="false" outlineLevel="0" collapsed="false">
      <c r="A1087" s="0" t="s">
        <v>25</v>
      </c>
      <c r="B1087" s="0" t="s">
        <v>2211</v>
      </c>
      <c r="C1087" s="0" t="s">
        <v>3170</v>
      </c>
      <c r="D1087" s="0" t="s">
        <v>1876</v>
      </c>
      <c r="E1087" s="0" t="s">
        <v>1514</v>
      </c>
    </row>
    <row r="1088" customFormat="false" ht="15" hidden="false" customHeight="false" outlineLevel="0" collapsed="false">
      <c r="A1088" s="0" t="s">
        <v>25</v>
      </c>
      <c r="B1088" s="0" t="s">
        <v>2218</v>
      </c>
      <c r="C1088" s="0" t="s">
        <v>3171</v>
      </c>
      <c r="E1088" s="0" t="s">
        <v>3172</v>
      </c>
    </row>
    <row r="1089" customFormat="false" ht="15" hidden="false" customHeight="false" outlineLevel="0" collapsed="false">
      <c r="A1089" s="0" t="s">
        <v>25</v>
      </c>
      <c r="B1089" s="0" t="s">
        <v>1488</v>
      </c>
      <c r="C1089" s="0" t="s">
        <v>3173</v>
      </c>
      <c r="E1089" s="0" t="s">
        <v>3174</v>
      </c>
    </row>
    <row r="1090" customFormat="false" ht="15" hidden="false" customHeight="false" outlineLevel="0" collapsed="false">
      <c r="A1090" s="0" t="s">
        <v>25</v>
      </c>
      <c r="B1090" s="0" t="s">
        <v>2221</v>
      </c>
      <c r="C1090" s="0" t="s">
        <v>3175</v>
      </c>
      <c r="E1090" s="0" t="s">
        <v>3176</v>
      </c>
    </row>
    <row r="1091" customFormat="false" ht="15" hidden="false" customHeight="false" outlineLevel="0" collapsed="false">
      <c r="A1091" s="0" t="s">
        <v>25</v>
      </c>
      <c r="B1091" s="0" t="s">
        <v>1490</v>
      </c>
      <c r="C1091" s="0" t="s">
        <v>3177</v>
      </c>
      <c r="E1091" s="0" t="s">
        <v>3115</v>
      </c>
    </row>
    <row r="1092" customFormat="false" ht="15" hidden="false" customHeight="false" outlineLevel="0" collapsed="false">
      <c r="A1092" s="0" t="s">
        <v>25</v>
      </c>
      <c r="B1092" s="0" t="s">
        <v>1492</v>
      </c>
      <c r="C1092" s="0" t="s">
        <v>3178</v>
      </c>
      <c r="E1092" s="0" t="s">
        <v>3142</v>
      </c>
    </row>
    <row r="1093" customFormat="false" ht="15" hidden="false" customHeight="false" outlineLevel="0" collapsed="false">
      <c r="A1093" s="0" t="s">
        <v>25</v>
      </c>
      <c r="B1093" s="0" t="s">
        <v>2227</v>
      </c>
      <c r="C1093" s="0" t="s">
        <v>3179</v>
      </c>
      <c r="E1093" s="0" t="s">
        <v>2007</v>
      </c>
    </row>
    <row r="1094" customFormat="false" ht="15" hidden="false" customHeight="false" outlineLevel="0" collapsed="false">
      <c r="A1094" s="0" t="s">
        <v>25</v>
      </c>
      <c r="B1094" s="0" t="s">
        <v>2230</v>
      </c>
      <c r="C1094" s="0" t="s">
        <v>3180</v>
      </c>
      <c r="E1094" s="0" t="s">
        <v>1937</v>
      </c>
    </row>
    <row r="1095" customFormat="false" ht="15" hidden="false" customHeight="false" outlineLevel="0" collapsed="false">
      <c r="A1095" s="0" t="s">
        <v>25</v>
      </c>
      <c r="B1095" s="0" t="s">
        <v>2237</v>
      </c>
      <c r="C1095" s="0" t="s">
        <v>3181</v>
      </c>
      <c r="D1095" s="0" t="s">
        <v>1876</v>
      </c>
      <c r="E1095" s="0" t="s">
        <v>2964</v>
      </c>
    </row>
    <row r="1096" customFormat="false" ht="15" hidden="false" customHeight="false" outlineLevel="0" collapsed="false">
      <c r="A1096" s="0" t="s">
        <v>25</v>
      </c>
      <c r="B1096" s="0" t="s">
        <v>2244</v>
      </c>
      <c r="C1096" s="0" t="s">
        <v>3182</v>
      </c>
      <c r="E1096" s="0" t="s">
        <v>3183</v>
      </c>
    </row>
    <row r="1097" customFormat="false" ht="15" hidden="false" customHeight="false" outlineLevel="0" collapsed="false">
      <c r="A1097" s="0" t="s">
        <v>25</v>
      </c>
      <c r="B1097" s="0" t="s">
        <v>1494</v>
      </c>
      <c r="C1097" s="0" t="s">
        <v>3184</v>
      </c>
      <c r="E1097" s="0" t="s">
        <v>3185</v>
      </c>
    </row>
    <row r="1098" customFormat="false" ht="15" hidden="false" customHeight="false" outlineLevel="0" collapsed="false">
      <c r="A1098" s="0" t="s">
        <v>25</v>
      </c>
      <c r="B1098" s="0" t="s">
        <v>2247</v>
      </c>
      <c r="C1098" s="0" t="s">
        <v>3186</v>
      </c>
      <c r="E1098" s="0" t="s">
        <v>3187</v>
      </c>
    </row>
    <row r="1099" customFormat="false" ht="15" hidden="false" customHeight="false" outlineLevel="0" collapsed="false">
      <c r="A1099" s="0" t="s">
        <v>25</v>
      </c>
      <c r="B1099" s="0" t="s">
        <v>1496</v>
      </c>
      <c r="C1099" s="0" t="s">
        <v>3188</v>
      </c>
      <c r="E1099" s="0" t="s">
        <v>3115</v>
      </c>
    </row>
    <row r="1100" customFormat="false" ht="15" hidden="false" customHeight="false" outlineLevel="0" collapsed="false">
      <c r="A1100" s="0" t="s">
        <v>25</v>
      </c>
      <c r="B1100" s="0" t="s">
        <v>1498</v>
      </c>
      <c r="C1100" s="0" t="s">
        <v>3189</v>
      </c>
      <c r="E1100" s="0" t="s">
        <v>3166</v>
      </c>
    </row>
    <row r="1101" customFormat="false" ht="15" hidden="false" customHeight="false" outlineLevel="0" collapsed="false">
      <c r="A1101" s="0" t="s">
        <v>25</v>
      </c>
      <c r="B1101" s="0" t="s">
        <v>2253</v>
      </c>
      <c r="C1101" s="0" t="s">
        <v>3190</v>
      </c>
      <c r="E1101" s="0" t="s">
        <v>2159</v>
      </c>
    </row>
    <row r="1102" customFormat="false" ht="15" hidden="false" customHeight="false" outlineLevel="0" collapsed="false">
      <c r="A1102" s="0" t="s">
        <v>25</v>
      </c>
      <c r="B1102" s="0" t="s">
        <v>2255</v>
      </c>
      <c r="C1102" s="0" t="s">
        <v>3191</v>
      </c>
      <c r="E1102" s="0" t="s">
        <v>2031</v>
      </c>
    </row>
    <row r="1103" customFormat="false" ht="15" hidden="false" customHeight="false" outlineLevel="0" collapsed="false">
      <c r="A1103" s="0" t="s">
        <v>25</v>
      </c>
      <c r="B1103" s="0" t="s">
        <v>2261</v>
      </c>
      <c r="C1103" s="0" t="s">
        <v>3192</v>
      </c>
      <c r="D1103" s="0" t="s">
        <v>1876</v>
      </c>
      <c r="E1103" s="0" t="s">
        <v>2964</v>
      </c>
    </row>
    <row r="1104" customFormat="false" ht="15" hidden="false" customHeight="false" outlineLevel="0" collapsed="false">
      <c r="A1104" s="0" t="s">
        <v>25</v>
      </c>
      <c r="B1104" s="0" t="s">
        <v>2268</v>
      </c>
      <c r="C1104" s="0" t="s">
        <v>3193</v>
      </c>
      <c r="E1104" s="0" t="s">
        <v>1479</v>
      </c>
    </row>
    <row r="1105" customFormat="false" ht="15" hidden="false" customHeight="false" outlineLevel="0" collapsed="false">
      <c r="A1105" s="0" t="s">
        <v>25</v>
      </c>
      <c r="B1105" s="0" t="s">
        <v>1500</v>
      </c>
      <c r="C1105" s="0" t="s">
        <v>3194</v>
      </c>
      <c r="E1105" s="0" t="s">
        <v>1479</v>
      </c>
    </row>
    <row r="1106" customFormat="false" ht="15" hidden="false" customHeight="false" outlineLevel="0" collapsed="false">
      <c r="A1106" s="0" t="s">
        <v>25</v>
      </c>
      <c r="B1106" s="0" t="s">
        <v>2271</v>
      </c>
      <c r="C1106" s="0" t="s">
        <v>3195</v>
      </c>
      <c r="E1106" s="0" t="s">
        <v>1479</v>
      </c>
    </row>
    <row r="1107" customFormat="false" ht="15" hidden="false" customHeight="false" outlineLevel="0" collapsed="false">
      <c r="A1107" s="0" t="s">
        <v>25</v>
      </c>
      <c r="B1107" s="0" t="s">
        <v>1502</v>
      </c>
      <c r="C1107" s="0" t="s">
        <v>3196</v>
      </c>
      <c r="E1107" s="0" t="s">
        <v>1479</v>
      </c>
    </row>
    <row r="1108" customFormat="false" ht="15" hidden="false" customHeight="false" outlineLevel="0" collapsed="false">
      <c r="A1108" s="0" t="s">
        <v>25</v>
      </c>
      <c r="B1108" s="0" t="s">
        <v>1504</v>
      </c>
      <c r="C1108" s="0" t="s">
        <v>3197</v>
      </c>
      <c r="E1108" s="0" t="s">
        <v>1479</v>
      </c>
    </row>
    <row r="1109" customFormat="false" ht="15" hidden="false" customHeight="false" outlineLevel="0" collapsed="false">
      <c r="A1109" s="0" t="s">
        <v>25</v>
      </c>
      <c r="B1109" s="0" t="s">
        <v>2275</v>
      </c>
      <c r="C1109" s="0" t="s">
        <v>3198</v>
      </c>
      <c r="E1109" s="0" t="s">
        <v>1479</v>
      </c>
    </row>
    <row r="1110" customFormat="false" ht="15" hidden="false" customHeight="false" outlineLevel="0" collapsed="false">
      <c r="A1110" s="0" t="s">
        <v>25</v>
      </c>
      <c r="B1110" s="0" t="s">
        <v>2277</v>
      </c>
      <c r="C1110" s="0" t="s">
        <v>3199</v>
      </c>
      <c r="E1110" s="0" t="s">
        <v>1479</v>
      </c>
    </row>
    <row r="1111" customFormat="false" ht="15" hidden="false" customHeight="false" outlineLevel="0" collapsed="false">
      <c r="A1111" s="0" t="s">
        <v>25</v>
      </c>
      <c r="B1111" s="0" t="s">
        <v>2283</v>
      </c>
      <c r="C1111" s="0" t="s">
        <v>3200</v>
      </c>
      <c r="D1111" s="0" t="s">
        <v>1876</v>
      </c>
      <c r="E1111" s="0" t="s">
        <v>1479</v>
      </c>
    </row>
    <row r="1112" customFormat="false" ht="15" hidden="false" customHeight="false" outlineLevel="0" collapsed="false">
      <c r="A1112" s="0" t="s">
        <v>25</v>
      </c>
      <c r="B1112" s="0" t="s">
        <v>2289</v>
      </c>
      <c r="C1112" s="0" t="s">
        <v>3201</v>
      </c>
      <c r="E1112" s="0" t="s">
        <v>1479</v>
      </c>
    </row>
    <row r="1113" customFormat="false" ht="15" hidden="false" customHeight="false" outlineLevel="0" collapsed="false">
      <c r="A1113" s="0" t="s">
        <v>25</v>
      </c>
      <c r="B1113" s="0" t="s">
        <v>2291</v>
      </c>
      <c r="C1113" s="0" t="s">
        <v>3202</v>
      </c>
      <c r="E1113" s="0" t="s">
        <v>1479</v>
      </c>
    </row>
    <row r="1114" customFormat="false" ht="15" hidden="false" customHeight="false" outlineLevel="0" collapsed="false">
      <c r="A1114" s="0" t="s">
        <v>25</v>
      </c>
      <c r="B1114" s="0" t="s">
        <v>2293</v>
      </c>
      <c r="C1114" s="0" t="s">
        <v>3203</v>
      </c>
      <c r="E1114" s="0" t="s">
        <v>1479</v>
      </c>
    </row>
    <row r="1115" customFormat="false" ht="15" hidden="false" customHeight="false" outlineLevel="0" collapsed="false">
      <c r="A1115" s="0" t="s">
        <v>25</v>
      </c>
      <c r="B1115" s="0" t="s">
        <v>2295</v>
      </c>
      <c r="C1115" s="0" t="s">
        <v>3204</v>
      </c>
      <c r="E1115" s="0" t="s">
        <v>1479</v>
      </c>
    </row>
    <row r="1116" customFormat="false" ht="15" hidden="false" customHeight="false" outlineLevel="0" collapsed="false">
      <c r="A1116" s="0" t="s">
        <v>25</v>
      </c>
      <c r="B1116" s="0" t="s">
        <v>2297</v>
      </c>
      <c r="C1116" s="0" t="s">
        <v>3205</v>
      </c>
      <c r="E1116" s="0" t="s">
        <v>1479</v>
      </c>
    </row>
    <row r="1117" customFormat="false" ht="15" hidden="false" customHeight="false" outlineLevel="0" collapsed="false">
      <c r="A1117" s="0" t="s">
        <v>25</v>
      </c>
      <c r="B1117" s="0" t="s">
        <v>2299</v>
      </c>
      <c r="C1117" s="0" t="s">
        <v>3206</v>
      </c>
      <c r="E1117" s="0" t="s">
        <v>1479</v>
      </c>
    </row>
    <row r="1118" customFormat="false" ht="15" hidden="false" customHeight="false" outlineLevel="0" collapsed="false">
      <c r="A1118" s="0" t="s">
        <v>25</v>
      </c>
      <c r="B1118" s="0" t="s">
        <v>2301</v>
      </c>
      <c r="C1118" s="0" t="s">
        <v>3207</v>
      </c>
      <c r="E1118" s="0" t="s">
        <v>1479</v>
      </c>
    </row>
    <row r="1119" customFormat="false" ht="15" hidden="false" customHeight="false" outlineLevel="0" collapsed="false">
      <c r="A1119" s="0" t="s">
        <v>25</v>
      </c>
      <c r="B1119" s="0" t="s">
        <v>2307</v>
      </c>
      <c r="C1119" s="0" t="s">
        <v>3208</v>
      </c>
      <c r="D1119" s="0" t="s">
        <v>1876</v>
      </c>
      <c r="E1119" s="0" t="s">
        <v>1479</v>
      </c>
    </row>
    <row r="1120" customFormat="false" ht="15" hidden="false" customHeight="false" outlineLevel="0" collapsed="false">
      <c r="A1120" s="0" t="s">
        <v>25</v>
      </c>
      <c r="B1120" s="0" t="s">
        <v>1880</v>
      </c>
      <c r="C1120" s="0" t="s">
        <v>3209</v>
      </c>
      <c r="E1120" s="0" t="s">
        <v>1479</v>
      </c>
    </row>
    <row r="1121" customFormat="false" ht="15" hidden="false" customHeight="false" outlineLevel="0" collapsed="false">
      <c r="A1121" s="0" t="s">
        <v>25</v>
      </c>
      <c r="B1121" s="0" t="s">
        <v>1883</v>
      </c>
      <c r="C1121" s="0" t="s">
        <v>3210</v>
      </c>
      <c r="E1121" s="0" t="s">
        <v>1479</v>
      </c>
    </row>
    <row r="1122" customFormat="false" ht="15" hidden="false" customHeight="false" outlineLevel="0" collapsed="false">
      <c r="A1122" s="0" t="s">
        <v>25</v>
      </c>
      <c r="B1122" s="0" t="s">
        <v>1886</v>
      </c>
      <c r="C1122" s="0" t="s">
        <v>3211</v>
      </c>
      <c r="E1122" s="0" t="s">
        <v>1479</v>
      </c>
    </row>
    <row r="1123" customFormat="false" ht="15" hidden="false" customHeight="false" outlineLevel="0" collapsed="false">
      <c r="A1123" s="0" t="s">
        <v>25</v>
      </c>
      <c r="B1123" s="0" t="s">
        <v>1888</v>
      </c>
      <c r="C1123" s="0" t="s">
        <v>3212</v>
      </c>
      <c r="E1123" s="0" t="s">
        <v>1479</v>
      </c>
    </row>
    <row r="1124" customFormat="false" ht="15" hidden="false" customHeight="false" outlineLevel="0" collapsed="false">
      <c r="A1124" s="0" t="s">
        <v>25</v>
      </c>
      <c r="B1124" s="0" t="s">
        <v>1891</v>
      </c>
      <c r="C1124" s="0" t="s">
        <v>3213</v>
      </c>
      <c r="E1124" s="0" t="s">
        <v>1479</v>
      </c>
    </row>
    <row r="1125" customFormat="false" ht="15" hidden="false" customHeight="false" outlineLevel="0" collapsed="false">
      <c r="A1125" s="0" t="s">
        <v>25</v>
      </c>
      <c r="B1125" s="0" t="s">
        <v>1894</v>
      </c>
      <c r="C1125" s="0" t="s">
        <v>3214</v>
      </c>
      <c r="E1125" s="0" t="s">
        <v>1479</v>
      </c>
    </row>
    <row r="1126" customFormat="false" ht="15" hidden="false" customHeight="false" outlineLevel="0" collapsed="false">
      <c r="A1126" s="0" t="s">
        <v>25</v>
      </c>
      <c r="B1126" s="0" t="s">
        <v>2319</v>
      </c>
      <c r="C1126" s="0" t="s">
        <v>3215</v>
      </c>
      <c r="E1126" s="0" t="s">
        <v>1479</v>
      </c>
    </row>
    <row r="1127" customFormat="false" ht="15" hidden="false" customHeight="false" outlineLevel="0" collapsed="false">
      <c r="A1127" s="0" t="s">
        <v>25</v>
      </c>
      <c r="B1127" s="0" t="s">
        <v>2325</v>
      </c>
      <c r="C1127" s="0" t="s">
        <v>3216</v>
      </c>
      <c r="D1127" s="0" t="s">
        <v>1876</v>
      </c>
      <c r="E1127" s="0" t="s">
        <v>1479</v>
      </c>
    </row>
    <row r="1128" customFormat="false" ht="15" hidden="false" customHeight="false" outlineLevel="0" collapsed="false">
      <c r="A1128" s="0" t="s">
        <v>25</v>
      </c>
      <c r="B1128" s="0" t="s">
        <v>1898</v>
      </c>
      <c r="C1128" s="0" t="s">
        <v>3217</v>
      </c>
      <c r="E1128" s="0" t="s">
        <v>1479</v>
      </c>
    </row>
    <row r="1129" customFormat="false" ht="15" hidden="false" customHeight="false" outlineLevel="0" collapsed="false">
      <c r="A1129" s="0" t="s">
        <v>25</v>
      </c>
      <c r="B1129" s="0" t="s">
        <v>1506</v>
      </c>
      <c r="C1129" s="0" t="s">
        <v>3218</v>
      </c>
      <c r="E1129" s="0" t="s">
        <v>1479</v>
      </c>
    </row>
    <row r="1130" customFormat="false" ht="15" hidden="false" customHeight="false" outlineLevel="0" collapsed="false">
      <c r="A1130" s="0" t="s">
        <v>25</v>
      </c>
      <c r="B1130" s="0" t="s">
        <v>1901</v>
      </c>
      <c r="C1130" s="0" t="s">
        <v>3219</v>
      </c>
      <c r="E1130" s="0" t="s">
        <v>1479</v>
      </c>
    </row>
    <row r="1131" customFormat="false" ht="15" hidden="false" customHeight="false" outlineLevel="0" collapsed="false">
      <c r="A1131" s="0" t="s">
        <v>25</v>
      </c>
      <c r="B1131" s="0" t="s">
        <v>1509</v>
      </c>
      <c r="C1131" s="0" t="s">
        <v>3220</v>
      </c>
      <c r="E1131" s="0" t="s">
        <v>1479</v>
      </c>
    </row>
    <row r="1132" customFormat="false" ht="15" hidden="false" customHeight="false" outlineLevel="0" collapsed="false">
      <c r="A1132" s="0" t="s">
        <v>25</v>
      </c>
      <c r="B1132" s="0" t="s">
        <v>1512</v>
      </c>
      <c r="C1132" s="0" t="s">
        <v>3221</v>
      </c>
      <c r="E1132" s="0" t="s">
        <v>1479</v>
      </c>
    </row>
    <row r="1133" customFormat="false" ht="15" hidden="false" customHeight="false" outlineLevel="0" collapsed="false">
      <c r="A1133" s="0" t="s">
        <v>25</v>
      </c>
      <c r="B1133" s="0" t="s">
        <v>1515</v>
      </c>
      <c r="C1133" s="0" t="s">
        <v>3222</v>
      </c>
      <c r="E1133" s="0" t="s">
        <v>1479</v>
      </c>
    </row>
    <row r="1134" customFormat="false" ht="15" hidden="false" customHeight="false" outlineLevel="0" collapsed="false">
      <c r="A1134" s="0" t="s">
        <v>25</v>
      </c>
      <c r="B1134" s="0" t="s">
        <v>2337</v>
      </c>
      <c r="C1134" s="0" t="s">
        <v>3223</v>
      </c>
      <c r="E1134" s="0" t="s">
        <v>1479</v>
      </c>
    </row>
    <row r="1135" customFormat="false" ht="15" hidden="false" customHeight="false" outlineLevel="0" collapsed="false">
      <c r="A1135" s="0" t="s">
        <v>25</v>
      </c>
      <c r="B1135" s="0" t="s">
        <v>2343</v>
      </c>
      <c r="C1135" s="0" t="s">
        <v>3224</v>
      </c>
      <c r="D1135" s="0" t="s">
        <v>1876</v>
      </c>
      <c r="E1135" s="0" t="s">
        <v>1479</v>
      </c>
    </row>
    <row r="1136" customFormat="false" ht="15" hidden="false" customHeight="false" outlineLevel="0" collapsed="false">
      <c r="A1136" s="0" t="s">
        <v>25</v>
      </c>
      <c r="B1136" s="0" t="s">
        <v>1909</v>
      </c>
      <c r="C1136" s="0" t="s">
        <v>3225</v>
      </c>
      <c r="E1136" s="0" t="s">
        <v>1479</v>
      </c>
    </row>
    <row r="1137" customFormat="false" ht="15" hidden="false" customHeight="false" outlineLevel="0" collapsed="false">
      <c r="A1137" s="0" t="s">
        <v>25</v>
      </c>
      <c r="B1137" s="0" t="s">
        <v>1518</v>
      </c>
      <c r="C1137" s="0" t="s">
        <v>3226</v>
      </c>
      <c r="E1137" s="0" t="s">
        <v>1479</v>
      </c>
    </row>
    <row r="1138" customFormat="false" ht="15" hidden="false" customHeight="false" outlineLevel="0" collapsed="false">
      <c r="A1138" s="0" t="s">
        <v>25</v>
      </c>
      <c r="B1138" s="0" t="s">
        <v>1912</v>
      </c>
      <c r="C1138" s="0" t="s">
        <v>3227</v>
      </c>
      <c r="E1138" s="0" t="s">
        <v>1479</v>
      </c>
    </row>
    <row r="1139" customFormat="false" ht="15" hidden="false" customHeight="false" outlineLevel="0" collapsed="false">
      <c r="A1139" s="0" t="s">
        <v>25</v>
      </c>
      <c r="B1139" s="0" t="s">
        <v>1521</v>
      </c>
      <c r="C1139" s="0" t="s">
        <v>3228</v>
      </c>
      <c r="E1139" s="0" t="s">
        <v>1479</v>
      </c>
    </row>
    <row r="1140" customFormat="false" ht="15" hidden="false" customHeight="false" outlineLevel="0" collapsed="false">
      <c r="A1140" s="0" t="s">
        <v>25</v>
      </c>
      <c r="B1140" s="0" t="s">
        <v>1524</v>
      </c>
      <c r="C1140" s="0" t="s">
        <v>3229</v>
      </c>
      <c r="E1140" s="0" t="s">
        <v>1479</v>
      </c>
    </row>
    <row r="1141" customFormat="false" ht="15" hidden="false" customHeight="false" outlineLevel="0" collapsed="false">
      <c r="A1141" s="0" t="s">
        <v>25</v>
      </c>
      <c r="B1141" s="0" t="s">
        <v>1527</v>
      </c>
      <c r="C1141" s="0" t="s">
        <v>3230</v>
      </c>
      <c r="E1141" s="0" t="s">
        <v>1479</v>
      </c>
    </row>
    <row r="1142" customFormat="false" ht="15" hidden="false" customHeight="false" outlineLevel="0" collapsed="false">
      <c r="A1142" s="0" t="s">
        <v>25</v>
      </c>
      <c r="B1142" s="0" t="s">
        <v>2926</v>
      </c>
      <c r="C1142" s="0" t="s">
        <v>3231</v>
      </c>
      <c r="E1142" s="0" t="s">
        <v>1479</v>
      </c>
    </row>
    <row r="1143" customFormat="false" ht="15" hidden="false" customHeight="false" outlineLevel="0" collapsed="false">
      <c r="A1143" s="0" t="s">
        <v>25</v>
      </c>
      <c r="B1143" s="0" t="s">
        <v>2930</v>
      </c>
      <c r="C1143" s="0" t="s">
        <v>3232</v>
      </c>
      <c r="D1143" s="0" t="s">
        <v>1876</v>
      </c>
      <c r="E1143" s="0" t="s">
        <v>1479</v>
      </c>
    </row>
    <row r="1144" customFormat="false" ht="15" hidden="false" customHeight="false" outlineLevel="0" collapsed="false">
      <c r="A1144" s="0" t="s">
        <v>27</v>
      </c>
      <c r="B1144" s="0" t="s">
        <v>1864</v>
      </c>
      <c r="C1144" s="0" t="s">
        <v>3233</v>
      </c>
      <c r="E1144" s="0" t="s">
        <v>3234</v>
      </c>
    </row>
    <row r="1145" customFormat="false" ht="15" hidden="false" customHeight="false" outlineLevel="0" collapsed="false">
      <c r="A1145" s="0" t="s">
        <v>27</v>
      </c>
      <c r="B1145" s="0" t="s">
        <v>1867</v>
      </c>
      <c r="C1145" s="0" t="s">
        <v>3235</v>
      </c>
      <c r="E1145" s="0" t="s">
        <v>3236</v>
      </c>
    </row>
    <row r="1146" customFormat="false" ht="15" hidden="false" customHeight="false" outlineLevel="0" collapsed="false">
      <c r="A1146" s="0" t="s">
        <v>27</v>
      </c>
      <c r="B1146" s="0" t="s">
        <v>1870</v>
      </c>
      <c r="C1146" s="0" t="s">
        <v>3237</v>
      </c>
      <c r="E1146" s="0" t="s">
        <v>3238</v>
      </c>
    </row>
    <row r="1147" customFormat="false" ht="15" hidden="false" customHeight="false" outlineLevel="0" collapsed="false">
      <c r="A1147" s="0" t="s">
        <v>27</v>
      </c>
      <c r="B1147" s="0" t="s">
        <v>1471</v>
      </c>
      <c r="C1147" s="0" t="s">
        <v>3239</v>
      </c>
      <c r="E1147" s="0" t="s">
        <v>3240</v>
      </c>
    </row>
    <row r="1148" customFormat="false" ht="15" hidden="false" customHeight="false" outlineLevel="0" collapsed="false">
      <c r="A1148" s="0" t="s">
        <v>27</v>
      </c>
      <c r="B1148" s="0" t="s">
        <v>1480</v>
      </c>
      <c r="C1148" s="0" t="s">
        <v>3241</v>
      </c>
      <c r="E1148" s="0" t="s">
        <v>3242</v>
      </c>
    </row>
    <row r="1149" customFormat="false" ht="15" hidden="false" customHeight="false" outlineLevel="0" collapsed="false">
      <c r="A1149" s="0" t="s">
        <v>27</v>
      </c>
      <c r="B1149" s="0" t="s">
        <v>1488</v>
      </c>
      <c r="C1149" s="0" t="s">
        <v>3243</v>
      </c>
      <c r="E1149" s="0" t="s">
        <v>3244</v>
      </c>
    </row>
    <row r="1150" customFormat="false" ht="15" hidden="false" customHeight="false" outlineLevel="0" collapsed="false">
      <c r="A1150" s="0" t="s">
        <v>27</v>
      </c>
      <c r="B1150" s="0" t="s">
        <v>1494</v>
      </c>
      <c r="C1150" s="0" t="s">
        <v>3245</v>
      </c>
      <c r="E1150" s="0" t="s">
        <v>2125</v>
      </c>
    </row>
    <row r="1151" customFormat="false" ht="15" hidden="false" customHeight="false" outlineLevel="0" collapsed="false">
      <c r="A1151" s="0" t="s">
        <v>27</v>
      </c>
      <c r="B1151" s="0" t="s">
        <v>1500</v>
      </c>
      <c r="C1151" s="0" t="s">
        <v>3246</v>
      </c>
      <c r="E1151" s="0" t="s">
        <v>3247</v>
      </c>
    </row>
    <row r="1152" customFormat="false" ht="15" hidden="false" customHeight="false" outlineLevel="0" collapsed="false">
      <c r="A1152" s="0" t="s">
        <v>27</v>
      </c>
      <c r="B1152" s="0" t="s">
        <v>2291</v>
      </c>
      <c r="C1152" s="0" t="s">
        <v>3248</v>
      </c>
      <c r="E1152" s="0" t="s">
        <v>2007</v>
      </c>
    </row>
    <row r="1153" customFormat="false" ht="15" hidden="false" customHeight="false" outlineLevel="0" collapsed="false">
      <c r="A1153" s="0" t="s">
        <v>27</v>
      </c>
      <c r="B1153" s="0" t="s">
        <v>1883</v>
      </c>
      <c r="C1153" s="0" t="s">
        <v>3249</v>
      </c>
      <c r="E1153" s="0" t="s">
        <v>3250</v>
      </c>
    </row>
    <row r="1154" customFormat="false" ht="15" hidden="false" customHeight="false" outlineLevel="0" collapsed="false">
      <c r="A1154" s="0" t="s">
        <v>29</v>
      </c>
      <c r="B1154" s="0" t="s">
        <v>509</v>
      </c>
      <c r="C1154" s="0" t="s">
        <v>3251</v>
      </c>
      <c r="E1154" s="0" t="s">
        <v>3252</v>
      </c>
    </row>
    <row r="1155" customFormat="false" ht="15" hidden="false" customHeight="false" outlineLevel="0" collapsed="false">
      <c r="A1155" s="0" t="s">
        <v>29</v>
      </c>
      <c r="B1155" s="0" t="s">
        <v>1867</v>
      </c>
      <c r="C1155" s="0" t="s">
        <v>3253</v>
      </c>
      <c r="E1155" s="0" t="s">
        <v>3254</v>
      </c>
    </row>
    <row r="1156" customFormat="false" ht="15" hidden="false" customHeight="false" outlineLevel="0" collapsed="false">
      <c r="A1156" s="0" t="s">
        <v>29</v>
      </c>
      <c r="B1156" s="0" t="s">
        <v>2117</v>
      </c>
      <c r="C1156" s="0" t="s">
        <v>3255</v>
      </c>
      <c r="E1156" s="0" t="s">
        <v>3256</v>
      </c>
    </row>
    <row r="1157" customFormat="false" ht="15" hidden="false" customHeight="false" outlineLevel="0" collapsed="false">
      <c r="A1157" s="0" t="s">
        <v>29</v>
      </c>
      <c r="B1157" s="0" t="s">
        <v>2120</v>
      </c>
      <c r="C1157" s="0" t="s">
        <v>3257</v>
      </c>
      <c r="E1157" s="0" t="s">
        <v>3258</v>
      </c>
    </row>
    <row r="1158" customFormat="false" ht="15" hidden="false" customHeight="false" outlineLevel="0" collapsed="false">
      <c r="A1158" s="0" t="s">
        <v>29</v>
      </c>
      <c r="B1158" s="0" t="s">
        <v>2145</v>
      </c>
      <c r="C1158" s="0" t="s">
        <v>3259</v>
      </c>
      <c r="E1158" s="0" t="s">
        <v>3260</v>
      </c>
    </row>
    <row r="1159" customFormat="false" ht="15" hidden="false" customHeight="false" outlineLevel="0" collapsed="false">
      <c r="A1159" s="0" t="s">
        <v>29</v>
      </c>
      <c r="B1159" s="0" t="s">
        <v>1870</v>
      </c>
      <c r="C1159" s="0" t="s">
        <v>3261</v>
      </c>
      <c r="E1159" s="0" t="s">
        <v>3262</v>
      </c>
    </row>
    <row r="1160" customFormat="false" ht="15" hidden="false" customHeight="false" outlineLevel="0" collapsed="false">
      <c r="A1160" s="0" t="s">
        <v>29</v>
      </c>
      <c r="B1160" s="0" t="s">
        <v>2148</v>
      </c>
      <c r="C1160" s="0" t="s">
        <v>3263</v>
      </c>
      <c r="E1160" s="0" t="s">
        <v>3256</v>
      </c>
    </row>
    <row r="1161" customFormat="false" ht="15" hidden="false" customHeight="false" outlineLevel="0" collapsed="false">
      <c r="A1161" s="0" t="s">
        <v>29</v>
      </c>
      <c r="B1161" s="0" t="s">
        <v>2150</v>
      </c>
      <c r="C1161" s="0" t="s">
        <v>3264</v>
      </c>
      <c r="E1161" s="0" t="s">
        <v>3265</v>
      </c>
    </row>
    <row r="1162" customFormat="false" ht="15" hidden="false" customHeight="false" outlineLevel="0" collapsed="false">
      <c r="A1162" s="0" t="s">
        <v>29</v>
      </c>
      <c r="B1162" s="0" t="s">
        <v>2171</v>
      </c>
      <c r="C1162" s="0" t="s">
        <v>3266</v>
      </c>
      <c r="E1162" s="0" t="s">
        <v>3267</v>
      </c>
    </row>
    <row r="1163" customFormat="false" ht="15" hidden="false" customHeight="false" outlineLevel="0" collapsed="false">
      <c r="A1163" s="0" t="s">
        <v>29</v>
      </c>
      <c r="B1163" s="0" t="s">
        <v>1471</v>
      </c>
      <c r="C1163" s="0" t="s">
        <v>3268</v>
      </c>
      <c r="E1163" s="0" t="s">
        <v>3269</v>
      </c>
    </row>
    <row r="1164" customFormat="false" ht="15" hidden="false" customHeight="false" outlineLevel="0" collapsed="false">
      <c r="A1164" s="0" t="s">
        <v>29</v>
      </c>
      <c r="B1164" s="0" t="s">
        <v>2174</v>
      </c>
      <c r="C1164" s="0" t="s">
        <v>3270</v>
      </c>
      <c r="E1164" s="0" t="s">
        <v>3271</v>
      </c>
    </row>
    <row r="1165" customFormat="false" ht="15" hidden="false" customHeight="false" outlineLevel="0" collapsed="false">
      <c r="A1165" s="0" t="s">
        <v>29</v>
      </c>
      <c r="B1165" s="0" t="s">
        <v>1474</v>
      </c>
      <c r="C1165" s="0" t="s">
        <v>3272</v>
      </c>
      <c r="E1165" s="0" t="s">
        <v>3273</v>
      </c>
    </row>
    <row r="1166" customFormat="false" ht="15" hidden="false" customHeight="false" outlineLevel="0" collapsed="false">
      <c r="A1166" s="0" t="s">
        <v>29</v>
      </c>
      <c r="B1166" s="0" t="s">
        <v>2194</v>
      </c>
      <c r="C1166" s="0" t="s">
        <v>3274</v>
      </c>
      <c r="E1166" s="0" t="s">
        <v>3275</v>
      </c>
    </row>
    <row r="1167" customFormat="false" ht="15" hidden="false" customHeight="false" outlineLevel="0" collapsed="false">
      <c r="A1167" s="0" t="s">
        <v>29</v>
      </c>
      <c r="B1167" s="0" t="s">
        <v>1480</v>
      </c>
      <c r="C1167" s="0" t="s">
        <v>3276</v>
      </c>
      <c r="E1167" s="0" t="s">
        <v>3277</v>
      </c>
    </row>
    <row r="1168" customFormat="false" ht="15" hidden="false" customHeight="false" outlineLevel="0" collapsed="false">
      <c r="A1168" s="0" t="s">
        <v>29</v>
      </c>
      <c r="B1168" s="0" t="s">
        <v>2197</v>
      </c>
      <c r="C1168" s="0" t="s">
        <v>3278</v>
      </c>
      <c r="E1168" s="0" t="s">
        <v>3256</v>
      </c>
    </row>
    <row r="1169" customFormat="false" ht="15" hidden="false" customHeight="false" outlineLevel="0" collapsed="false">
      <c r="A1169" s="0" t="s">
        <v>29</v>
      </c>
      <c r="B1169" s="0" t="s">
        <v>1483</v>
      </c>
      <c r="C1169" s="0" t="s">
        <v>3279</v>
      </c>
      <c r="E1169" s="0" t="s">
        <v>3280</v>
      </c>
    </row>
    <row r="1170" customFormat="false" ht="15" hidden="false" customHeight="false" outlineLevel="0" collapsed="false">
      <c r="A1170" s="0" t="s">
        <v>29</v>
      </c>
      <c r="B1170" s="0" t="s">
        <v>2218</v>
      </c>
      <c r="C1170" s="0" t="s">
        <v>3281</v>
      </c>
      <c r="E1170" s="0" t="s">
        <v>1479</v>
      </c>
    </row>
    <row r="1171" customFormat="false" ht="15" hidden="false" customHeight="false" outlineLevel="0" collapsed="false">
      <c r="A1171" s="0" t="s">
        <v>29</v>
      </c>
      <c r="B1171" s="0" t="s">
        <v>1488</v>
      </c>
      <c r="C1171" s="0" t="s">
        <v>3282</v>
      </c>
      <c r="E1171" s="0" t="s">
        <v>1479</v>
      </c>
    </row>
    <row r="1172" customFormat="false" ht="15" hidden="false" customHeight="false" outlineLevel="0" collapsed="false">
      <c r="A1172" s="0" t="s">
        <v>29</v>
      </c>
      <c r="B1172" s="0" t="s">
        <v>2221</v>
      </c>
      <c r="C1172" s="0" t="s">
        <v>3283</v>
      </c>
      <c r="E1172" s="0" t="s">
        <v>1479</v>
      </c>
    </row>
    <row r="1173" customFormat="false" ht="15" hidden="false" customHeight="false" outlineLevel="0" collapsed="false">
      <c r="A1173" s="0" t="s">
        <v>29</v>
      </c>
      <c r="B1173" s="0" t="s">
        <v>1490</v>
      </c>
      <c r="C1173" s="0" t="s">
        <v>3284</v>
      </c>
      <c r="E1173" s="0" t="s">
        <v>1479</v>
      </c>
    </row>
    <row r="1174" customFormat="false" ht="15" hidden="false" customHeight="false" outlineLevel="0" collapsed="false">
      <c r="A1174" s="0" t="s">
        <v>29</v>
      </c>
      <c r="B1174" s="0" t="s">
        <v>2244</v>
      </c>
      <c r="C1174" s="0" t="s">
        <v>3285</v>
      </c>
      <c r="E1174" s="0" t="s">
        <v>1479</v>
      </c>
    </row>
    <row r="1175" customFormat="false" ht="15" hidden="false" customHeight="false" outlineLevel="0" collapsed="false">
      <c r="A1175" s="0" t="s">
        <v>29</v>
      </c>
      <c r="B1175" s="0" t="s">
        <v>1494</v>
      </c>
      <c r="C1175" s="0" t="s">
        <v>3286</v>
      </c>
      <c r="E1175" s="0" t="s">
        <v>1479</v>
      </c>
    </row>
    <row r="1176" customFormat="false" ht="15" hidden="false" customHeight="false" outlineLevel="0" collapsed="false">
      <c r="A1176" s="0" t="s">
        <v>29</v>
      </c>
      <c r="B1176" s="0" t="s">
        <v>2247</v>
      </c>
      <c r="C1176" s="0" t="s">
        <v>3287</v>
      </c>
      <c r="E1176" s="0" t="s">
        <v>1479</v>
      </c>
    </row>
    <row r="1177" customFormat="false" ht="15" hidden="false" customHeight="false" outlineLevel="0" collapsed="false">
      <c r="A1177" s="0" t="s">
        <v>29</v>
      </c>
      <c r="B1177" s="0" t="s">
        <v>1496</v>
      </c>
      <c r="C1177" s="0" t="s">
        <v>3288</v>
      </c>
      <c r="E1177" s="0" t="s">
        <v>1479</v>
      </c>
    </row>
    <row r="1178" customFormat="false" ht="15" hidden="false" customHeight="false" outlineLevel="0" collapsed="false">
      <c r="A1178" s="0" t="s">
        <v>29</v>
      </c>
      <c r="B1178" s="0" t="s">
        <v>2268</v>
      </c>
      <c r="C1178" s="0" t="s">
        <v>3289</v>
      </c>
      <c r="E1178" s="0" t="s">
        <v>1479</v>
      </c>
    </row>
    <row r="1179" customFormat="false" ht="15" hidden="false" customHeight="false" outlineLevel="0" collapsed="false">
      <c r="A1179" s="0" t="s">
        <v>29</v>
      </c>
      <c r="B1179" s="0" t="s">
        <v>1500</v>
      </c>
      <c r="C1179" s="0" t="s">
        <v>3290</v>
      </c>
      <c r="E1179" s="0" t="s">
        <v>1479</v>
      </c>
    </row>
    <row r="1180" customFormat="false" ht="15" hidden="false" customHeight="false" outlineLevel="0" collapsed="false">
      <c r="A1180" s="0" t="s">
        <v>29</v>
      </c>
      <c r="B1180" s="0" t="s">
        <v>2271</v>
      </c>
      <c r="C1180" s="0" t="s">
        <v>3291</v>
      </c>
      <c r="E1180" s="0" t="s">
        <v>1479</v>
      </c>
    </row>
    <row r="1181" customFormat="false" ht="15" hidden="false" customHeight="false" outlineLevel="0" collapsed="false">
      <c r="A1181" s="0" t="s">
        <v>29</v>
      </c>
      <c r="B1181" s="0" t="s">
        <v>1502</v>
      </c>
      <c r="C1181" s="0" t="s">
        <v>3292</v>
      </c>
      <c r="E1181" s="0" t="s">
        <v>1479</v>
      </c>
    </row>
    <row r="1182" customFormat="false" ht="15" hidden="false" customHeight="false" outlineLevel="0" collapsed="false">
      <c r="A1182" s="0" t="s">
        <v>29</v>
      </c>
      <c r="B1182" s="0" t="s">
        <v>2289</v>
      </c>
      <c r="C1182" s="0" t="s">
        <v>3293</v>
      </c>
      <c r="E1182" s="0" t="s">
        <v>1479</v>
      </c>
    </row>
    <row r="1183" customFormat="false" ht="15" hidden="false" customHeight="false" outlineLevel="0" collapsed="false">
      <c r="A1183" s="0" t="s">
        <v>29</v>
      </c>
      <c r="B1183" s="0" t="s">
        <v>2291</v>
      </c>
      <c r="C1183" s="0" t="s">
        <v>3294</v>
      </c>
      <c r="E1183" s="0" t="s">
        <v>1479</v>
      </c>
    </row>
    <row r="1184" customFormat="false" ht="15" hidden="false" customHeight="false" outlineLevel="0" collapsed="false">
      <c r="A1184" s="0" t="s">
        <v>29</v>
      </c>
      <c r="B1184" s="0" t="s">
        <v>2293</v>
      </c>
      <c r="C1184" s="0" t="s">
        <v>3295</v>
      </c>
      <c r="E1184" s="0" t="s">
        <v>1479</v>
      </c>
    </row>
    <row r="1185" customFormat="false" ht="15" hidden="false" customHeight="false" outlineLevel="0" collapsed="false">
      <c r="A1185" s="0" t="s">
        <v>29</v>
      </c>
      <c r="B1185" s="0" t="s">
        <v>2295</v>
      </c>
      <c r="C1185" s="0" t="s">
        <v>3296</v>
      </c>
      <c r="E1185" s="0" t="s">
        <v>1479</v>
      </c>
    </row>
    <row r="1186" customFormat="false" ht="15" hidden="false" customHeight="false" outlineLevel="0" collapsed="false">
      <c r="A1186" s="0" t="s">
        <v>29</v>
      </c>
      <c r="B1186" s="0" t="s">
        <v>1917</v>
      </c>
      <c r="C1186" s="0" t="s">
        <v>3297</v>
      </c>
      <c r="E1186" s="0" t="s">
        <v>3298</v>
      </c>
    </row>
    <row r="1187" customFormat="false" ht="15" hidden="false" customHeight="false" outlineLevel="0" collapsed="false">
      <c r="A1187" s="0" t="s">
        <v>29</v>
      </c>
      <c r="B1187" s="0" t="s">
        <v>1529</v>
      </c>
      <c r="C1187" s="0" t="s">
        <v>3299</v>
      </c>
      <c r="E1187" s="0" t="s">
        <v>3300</v>
      </c>
    </row>
    <row r="1188" customFormat="false" ht="15" hidden="false" customHeight="false" outlineLevel="0" collapsed="false">
      <c r="A1188" s="0" t="s">
        <v>29</v>
      </c>
      <c r="B1188" s="0" t="s">
        <v>1920</v>
      </c>
      <c r="C1188" s="0" t="s">
        <v>3301</v>
      </c>
      <c r="D1188" s="0" t="s">
        <v>1876</v>
      </c>
      <c r="E1188" s="0" t="s">
        <v>3302</v>
      </c>
    </row>
    <row r="1189" customFormat="false" ht="15" hidden="false" customHeight="false" outlineLevel="0" collapsed="false">
      <c r="A1189" s="0" t="s">
        <v>29</v>
      </c>
      <c r="B1189" s="0" t="s">
        <v>1532</v>
      </c>
      <c r="C1189" s="0" t="s">
        <v>3303</v>
      </c>
      <c r="E1189" s="0" t="s">
        <v>3304</v>
      </c>
    </row>
    <row r="1190" customFormat="false" ht="15" hidden="false" customHeight="false" outlineLevel="0" collapsed="false">
      <c r="A1190" s="0" t="s">
        <v>29</v>
      </c>
      <c r="B1190" s="0" t="s">
        <v>1535</v>
      </c>
      <c r="C1190" s="0" t="s">
        <v>3305</v>
      </c>
      <c r="D1190" s="0" t="s">
        <v>1876</v>
      </c>
      <c r="E1190" s="0" t="s">
        <v>3109</v>
      </c>
    </row>
    <row r="1191" customFormat="false" ht="15" hidden="false" customHeight="false" outlineLevel="0" collapsed="false">
      <c r="A1191" s="0" t="s">
        <v>29</v>
      </c>
      <c r="B1191" s="0" t="s">
        <v>1537</v>
      </c>
      <c r="C1191" s="0" t="s">
        <v>3306</v>
      </c>
      <c r="E1191" s="0" t="s">
        <v>3307</v>
      </c>
    </row>
    <row r="1192" customFormat="false" ht="15" hidden="false" customHeight="false" outlineLevel="0" collapsed="false">
      <c r="A1192" s="0" t="s">
        <v>29</v>
      </c>
      <c r="B1192" s="0" t="s">
        <v>1925</v>
      </c>
      <c r="C1192" s="0" t="s">
        <v>3308</v>
      </c>
      <c r="E1192" s="0" t="s">
        <v>3309</v>
      </c>
    </row>
    <row r="1193" customFormat="false" ht="15" hidden="false" customHeight="false" outlineLevel="0" collapsed="false">
      <c r="A1193" s="0" t="s">
        <v>29</v>
      </c>
      <c r="B1193" s="0" t="s">
        <v>1540</v>
      </c>
      <c r="C1193" s="0" t="s">
        <v>3310</v>
      </c>
      <c r="E1193" s="0" t="s">
        <v>3311</v>
      </c>
    </row>
    <row r="1194" customFormat="false" ht="15" hidden="false" customHeight="false" outlineLevel="0" collapsed="false">
      <c r="A1194" s="0" t="s">
        <v>29</v>
      </c>
      <c r="B1194" s="0" t="s">
        <v>1928</v>
      </c>
      <c r="C1194" s="0" t="s">
        <v>3312</v>
      </c>
      <c r="D1194" s="0" t="s">
        <v>1876</v>
      </c>
      <c r="E1194" s="0" t="s">
        <v>3260</v>
      </c>
    </row>
    <row r="1195" customFormat="false" ht="15" hidden="false" customHeight="false" outlineLevel="0" collapsed="false">
      <c r="A1195" s="0" t="s">
        <v>29</v>
      </c>
      <c r="B1195" s="0" t="s">
        <v>1542</v>
      </c>
      <c r="C1195" s="0" t="s">
        <v>3313</v>
      </c>
      <c r="E1195" s="0" t="s">
        <v>3314</v>
      </c>
    </row>
    <row r="1196" customFormat="false" ht="15" hidden="false" customHeight="false" outlineLevel="0" collapsed="false">
      <c r="A1196" s="0" t="s">
        <v>29</v>
      </c>
      <c r="B1196" s="0" t="s">
        <v>1544</v>
      </c>
      <c r="C1196" s="0" t="s">
        <v>3315</v>
      </c>
      <c r="D1196" s="0" t="s">
        <v>1876</v>
      </c>
      <c r="E1196" s="0" t="s">
        <v>3147</v>
      </c>
    </row>
    <row r="1197" customFormat="false" ht="15" hidden="false" customHeight="false" outlineLevel="0" collapsed="false">
      <c r="A1197" s="0" t="s">
        <v>29</v>
      </c>
      <c r="B1197" s="0" t="s">
        <v>1546</v>
      </c>
      <c r="C1197" s="0" t="s">
        <v>3316</v>
      </c>
      <c r="E1197" s="0" t="s">
        <v>3307</v>
      </c>
    </row>
    <row r="1198" customFormat="false" ht="15" hidden="false" customHeight="false" outlineLevel="0" collapsed="false">
      <c r="A1198" s="0" t="s">
        <v>29</v>
      </c>
      <c r="B1198" s="0" t="s">
        <v>2585</v>
      </c>
      <c r="C1198" s="0" t="s">
        <v>3317</v>
      </c>
      <c r="E1198" s="0" t="s">
        <v>3318</v>
      </c>
    </row>
    <row r="1199" customFormat="false" ht="15" hidden="false" customHeight="false" outlineLevel="0" collapsed="false">
      <c r="A1199" s="0" t="s">
        <v>29</v>
      </c>
      <c r="B1199" s="0" t="s">
        <v>1548</v>
      </c>
      <c r="C1199" s="0" t="s">
        <v>3319</v>
      </c>
      <c r="E1199" s="0" t="s">
        <v>3320</v>
      </c>
    </row>
    <row r="1200" customFormat="false" ht="15" hidden="false" customHeight="false" outlineLevel="0" collapsed="false">
      <c r="A1200" s="0" t="s">
        <v>29</v>
      </c>
      <c r="B1200" s="0" t="s">
        <v>2588</v>
      </c>
      <c r="C1200" s="0" t="s">
        <v>3321</v>
      </c>
      <c r="D1200" s="0" t="s">
        <v>1876</v>
      </c>
      <c r="E1200" s="0" t="s">
        <v>1514</v>
      </c>
    </row>
    <row r="1201" customFormat="false" ht="15" hidden="false" customHeight="false" outlineLevel="0" collapsed="false">
      <c r="A1201" s="0" t="s">
        <v>29</v>
      </c>
      <c r="B1201" s="0" t="s">
        <v>1550</v>
      </c>
      <c r="C1201" s="0" t="s">
        <v>3322</v>
      </c>
      <c r="E1201" s="0" t="s">
        <v>3323</v>
      </c>
    </row>
    <row r="1202" customFormat="false" ht="15" hidden="false" customHeight="false" outlineLevel="0" collapsed="false">
      <c r="A1202" s="0" t="s">
        <v>29</v>
      </c>
      <c r="B1202" s="0" t="s">
        <v>1552</v>
      </c>
      <c r="C1202" s="0" t="s">
        <v>3324</v>
      </c>
      <c r="D1202" s="0" t="s">
        <v>1876</v>
      </c>
      <c r="E1202" s="0" t="s">
        <v>3134</v>
      </c>
    </row>
    <row r="1203" customFormat="false" ht="15" hidden="false" customHeight="false" outlineLevel="0" collapsed="false">
      <c r="A1203" s="0" t="s">
        <v>29</v>
      </c>
      <c r="B1203" s="0" t="s">
        <v>1554</v>
      </c>
      <c r="C1203" s="0" t="s">
        <v>3325</v>
      </c>
      <c r="E1203" s="0" t="s">
        <v>3326</v>
      </c>
    </row>
    <row r="1204" customFormat="false" ht="15" hidden="false" customHeight="false" outlineLevel="0" collapsed="false">
      <c r="A1204" s="0" t="s">
        <v>29</v>
      </c>
      <c r="B1204" s="0" t="s">
        <v>2597</v>
      </c>
      <c r="C1204" s="0" t="s">
        <v>3327</v>
      </c>
      <c r="E1204" s="0" t="s">
        <v>1479</v>
      </c>
    </row>
    <row r="1205" customFormat="false" ht="15" hidden="false" customHeight="false" outlineLevel="0" collapsed="false">
      <c r="A1205" s="0" t="s">
        <v>29</v>
      </c>
      <c r="B1205" s="0" t="s">
        <v>2599</v>
      </c>
      <c r="C1205" s="0" t="s">
        <v>3328</v>
      </c>
      <c r="E1205" s="0" t="s">
        <v>1479</v>
      </c>
    </row>
    <row r="1206" customFormat="false" ht="15" hidden="false" customHeight="false" outlineLevel="0" collapsed="false">
      <c r="A1206" s="0" t="s">
        <v>29</v>
      </c>
      <c r="B1206" s="0" t="s">
        <v>2601</v>
      </c>
      <c r="C1206" s="0" t="s">
        <v>3329</v>
      </c>
      <c r="D1206" s="0" t="s">
        <v>1876</v>
      </c>
      <c r="E1206" s="0" t="s">
        <v>1479</v>
      </c>
    </row>
    <row r="1207" customFormat="false" ht="15" hidden="false" customHeight="false" outlineLevel="0" collapsed="false">
      <c r="A1207" s="0" t="s">
        <v>29</v>
      </c>
      <c r="B1207" s="0" t="s">
        <v>2603</v>
      </c>
      <c r="C1207" s="0" t="s">
        <v>3330</v>
      </c>
      <c r="E1207" s="0" t="s">
        <v>1479</v>
      </c>
    </row>
    <row r="1208" customFormat="false" ht="15" hidden="false" customHeight="false" outlineLevel="0" collapsed="false">
      <c r="A1208" s="0" t="s">
        <v>29</v>
      </c>
      <c r="B1208" s="0" t="s">
        <v>2605</v>
      </c>
      <c r="C1208" s="0" t="s">
        <v>3331</v>
      </c>
      <c r="D1208" s="0" t="s">
        <v>1876</v>
      </c>
      <c r="E1208" s="0" t="s">
        <v>1479</v>
      </c>
    </row>
    <row r="1209" customFormat="false" ht="15" hidden="false" customHeight="false" outlineLevel="0" collapsed="false">
      <c r="A1209" s="0" t="s">
        <v>29</v>
      </c>
      <c r="B1209" s="0" t="s">
        <v>2607</v>
      </c>
      <c r="C1209" s="0" t="s">
        <v>3332</v>
      </c>
      <c r="E1209" s="0" t="s">
        <v>1479</v>
      </c>
    </row>
    <row r="1210" customFormat="false" ht="15" hidden="false" customHeight="false" outlineLevel="0" collapsed="false">
      <c r="A1210" s="0" t="s">
        <v>29</v>
      </c>
      <c r="B1210" s="0" t="s">
        <v>2613</v>
      </c>
      <c r="C1210" s="0" t="s">
        <v>3333</v>
      </c>
      <c r="E1210" s="0" t="s">
        <v>1479</v>
      </c>
    </row>
    <row r="1211" customFormat="false" ht="15" hidden="false" customHeight="false" outlineLevel="0" collapsed="false">
      <c r="A1211" s="0" t="s">
        <v>29</v>
      </c>
      <c r="B1211" s="0" t="s">
        <v>2615</v>
      </c>
      <c r="C1211" s="0" t="s">
        <v>3334</v>
      </c>
      <c r="E1211" s="0" t="s">
        <v>1479</v>
      </c>
    </row>
    <row r="1212" customFormat="false" ht="15" hidden="false" customHeight="false" outlineLevel="0" collapsed="false">
      <c r="A1212" s="0" t="s">
        <v>29</v>
      </c>
      <c r="B1212" s="0" t="s">
        <v>2617</v>
      </c>
      <c r="C1212" s="0" t="s">
        <v>3335</v>
      </c>
      <c r="D1212" s="0" t="s">
        <v>1876</v>
      </c>
      <c r="E1212" s="0" t="s">
        <v>1479</v>
      </c>
    </row>
    <row r="1213" customFormat="false" ht="15" hidden="false" customHeight="false" outlineLevel="0" collapsed="false">
      <c r="A1213" s="0" t="s">
        <v>29</v>
      </c>
      <c r="B1213" s="0" t="s">
        <v>2619</v>
      </c>
      <c r="C1213" s="0" t="s">
        <v>3336</v>
      </c>
      <c r="E1213" s="0" t="s">
        <v>1479</v>
      </c>
    </row>
    <row r="1214" customFormat="false" ht="15" hidden="false" customHeight="false" outlineLevel="0" collapsed="false">
      <c r="A1214" s="0" t="s">
        <v>29</v>
      </c>
      <c r="B1214" s="0" t="s">
        <v>2621</v>
      </c>
      <c r="C1214" s="0" t="s">
        <v>3337</v>
      </c>
      <c r="D1214" s="0" t="s">
        <v>1876</v>
      </c>
      <c r="E1214" s="0" t="s">
        <v>1479</v>
      </c>
    </row>
    <row r="1215" customFormat="false" ht="15" hidden="false" customHeight="false" outlineLevel="0" collapsed="false">
      <c r="A1215" s="0" t="s">
        <v>29</v>
      </c>
      <c r="B1215" s="0" t="s">
        <v>2623</v>
      </c>
      <c r="C1215" s="0" t="s">
        <v>3338</v>
      </c>
      <c r="E1215" s="0" t="s">
        <v>1479</v>
      </c>
    </row>
    <row r="1216" customFormat="false" ht="15" hidden="false" customHeight="false" outlineLevel="0" collapsed="false">
      <c r="A1216" s="0" t="s">
        <v>29</v>
      </c>
      <c r="B1216" s="0" t="s">
        <v>2629</v>
      </c>
      <c r="C1216" s="0" t="s">
        <v>3339</v>
      </c>
      <c r="E1216" s="0" t="s">
        <v>1479</v>
      </c>
    </row>
    <row r="1217" customFormat="false" ht="15" hidden="false" customHeight="false" outlineLevel="0" collapsed="false">
      <c r="A1217" s="0" t="s">
        <v>29</v>
      </c>
      <c r="B1217" s="0" t="s">
        <v>1556</v>
      </c>
      <c r="C1217" s="0" t="s">
        <v>3340</v>
      </c>
      <c r="E1217" s="0" t="s">
        <v>1479</v>
      </c>
    </row>
    <row r="1218" customFormat="false" ht="15" hidden="false" customHeight="false" outlineLevel="0" collapsed="false">
      <c r="A1218" s="0" t="s">
        <v>29</v>
      </c>
      <c r="B1218" s="0" t="s">
        <v>2632</v>
      </c>
      <c r="C1218" s="0" t="s">
        <v>3341</v>
      </c>
      <c r="D1218" s="0" t="s">
        <v>1876</v>
      </c>
      <c r="E1218" s="0" t="s">
        <v>1479</v>
      </c>
    </row>
    <row r="1219" customFormat="false" ht="15" hidden="false" customHeight="false" outlineLevel="0" collapsed="false">
      <c r="A1219" s="0" t="s">
        <v>29</v>
      </c>
      <c r="B1219" s="0" t="s">
        <v>1559</v>
      </c>
      <c r="C1219" s="0" t="s">
        <v>3342</v>
      </c>
      <c r="E1219" s="0" t="s">
        <v>1479</v>
      </c>
    </row>
    <row r="1220" customFormat="false" ht="15" hidden="false" customHeight="false" outlineLevel="0" collapsed="false">
      <c r="A1220" s="0" t="s">
        <v>29</v>
      </c>
      <c r="B1220" s="0" t="s">
        <v>2635</v>
      </c>
      <c r="C1220" s="0" t="s">
        <v>3343</v>
      </c>
      <c r="D1220" s="0" t="s">
        <v>1876</v>
      </c>
      <c r="E1220" s="0" t="s">
        <v>1479</v>
      </c>
    </row>
    <row r="1221" customFormat="false" ht="15" hidden="false" customHeight="false" outlineLevel="0" collapsed="false">
      <c r="A1221" s="0" t="s">
        <v>29</v>
      </c>
      <c r="B1221" s="0" t="s">
        <v>2637</v>
      </c>
      <c r="C1221" s="0" t="s">
        <v>3344</v>
      </c>
      <c r="E1221" s="0" t="s">
        <v>1479</v>
      </c>
    </row>
    <row r="1222" customFormat="false" ht="15" hidden="false" customHeight="false" outlineLevel="0" collapsed="false">
      <c r="A1222" s="0" t="s">
        <v>29</v>
      </c>
      <c r="B1222" s="0" t="s">
        <v>2643</v>
      </c>
      <c r="C1222" s="0" t="s">
        <v>3345</v>
      </c>
      <c r="E1222" s="0" t="s">
        <v>1479</v>
      </c>
    </row>
    <row r="1223" customFormat="false" ht="15" hidden="false" customHeight="false" outlineLevel="0" collapsed="false">
      <c r="A1223" s="0" t="s">
        <v>29</v>
      </c>
      <c r="B1223" s="0" t="s">
        <v>1562</v>
      </c>
      <c r="C1223" s="0" t="s">
        <v>3346</v>
      </c>
      <c r="E1223" s="0" t="s">
        <v>1479</v>
      </c>
    </row>
    <row r="1224" customFormat="false" ht="15" hidden="false" customHeight="false" outlineLevel="0" collapsed="false">
      <c r="A1224" s="0" t="s">
        <v>29</v>
      </c>
      <c r="B1224" s="0" t="s">
        <v>2646</v>
      </c>
      <c r="C1224" s="0" t="s">
        <v>3347</v>
      </c>
      <c r="D1224" s="0" t="s">
        <v>1876</v>
      </c>
      <c r="E1224" s="0" t="s">
        <v>1479</v>
      </c>
    </row>
    <row r="1225" customFormat="false" ht="15" hidden="false" customHeight="false" outlineLevel="0" collapsed="false">
      <c r="A1225" s="0" t="s">
        <v>29</v>
      </c>
      <c r="B1225" s="0" t="s">
        <v>1564</v>
      </c>
      <c r="C1225" s="0" t="s">
        <v>3348</v>
      </c>
      <c r="E1225" s="0" t="s">
        <v>1479</v>
      </c>
    </row>
    <row r="1226" customFormat="false" ht="15" hidden="false" customHeight="false" outlineLevel="0" collapsed="false">
      <c r="A1226" s="0" t="s">
        <v>29</v>
      </c>
      <c r="B1226" s="0" t="s">
        <v>2649</v>
      </c>
      <c r="C1226" s="0" t="s">
        <v>3349</v>
      </c>
      <c r="D1226" s="0" t="s">
        <v>1876</v>
      </c>
      <c r="E1226" s="0" t="s">
        <v>1479</v>
      </c>
    </row>
    <row r="1227" customFormat="false" ht="15" hidden="false" customHeight="false" outlineLevel="0" collapsed="false">
      <c r="A1227" s="0" t="s">
        <v>29</v>
      </c>
      <c r="B1227" s="0" t="s">
        <v>2651</v>
      </c>
      <c r="C1227" s="0" t="s">
        <v>3350</v>
      </c>
      <c r="E1227" s="0" t="s">
        <v>1479</v>
      </c>
    </row>
    <row r="1228" customFormat="false" ht="15" hidden="false" customHeight="false" outlineLevel="0" collapsed="false">
      <c r="A1228" s="0" t="s">
        <v>29</v>
      </c>
      <c r="B1228" s="0" t="s">
        <v>2657</v>
      </c>
      <c r="C1228" s="0" t="s">
        <v>3351</v>
      </c>
      <c r="E1228" s="0" t="s">
        <v>1479</v>
      </c>
    </row>
    <row r="1229" customFormat="false" ht="15" hidden="false" customHeight="false" outlineLevel="0" collapsed="false">
      <c r="A1229" s="0" t="s">
        <v>29</v>
      </c>
      <c r="B1229" s="0" t="s">
        <v>1566</v>
      </c>
      <c r="C1229" s="0" t="s">
        <v>3352</v>
      </c>
      <c r="E1229" s="0" t="s">
        <v>1479</v>
      </c>
    </row>
    <row r="1230" customFormat="false" ht="15" hidden="false" customHeight="false" outlineLevel="0" collapsed="false">
      <c r="A1230" s="0" t="s">
        <v>29</v>
      </c>
      <c r="B1230" s="0" t="s">
        <v>2660</v>
      </c>
      <c r="C1230" s="0" t="s">
        <v>3353</v>
      </c>
      <c r="D1230" s="0" t="s">
        <v>1876</v>
      </c>
      <c r="E1230" s="0" t="s">
        <v>1479</v>
      </c>
    </row>
    <row r="1231" customFormat="false" ht="15" hidden="false" customHeight="false" outlineLevel="0" collapsed="false">
      <c r="A1231" s="0" t="s">
        <v>29</v>
      </c>
      <c r="B1231" s="0" t="s">
        <v>1568</v>
      </c>
      <c r="C1231" s="0" t="s">
        <v>3354</v>
      </c>
      <c r="E1231" s="0" t="s">
        <v>1479</v>
      </c>
    </row>
    <row r="1232" customFormat="false" ht="15" hidden="false" customHeight="false" outlineLevel="0" collapsed="false">
      <c r="A1232" s="0" t="s">
        <v>29</v>
      </c>
      <c r="B1232" s="0" t="s">
        <v>2663</v>
      </c>
      <c r="C1232" s="0" t="s">
        <v>3355</v>
      </c>
      <c r="D1232" s="0" t="s">
        <v>1876</v>
      </c>
      <c r="E1232" s="0" t="s">
        <v>1479</v>
      </c>
    </row>
    <row r="1233" customFormat="false" ht="15" hidden="false" customHeight="false" outlineLevel="0" collapsed="false">
      <c r="A1233" s="0" t="s">
        <v>29</v>
      </c>
      <c r="B1233" s="0" t="s">
        <v>2665</v>
      </c>
      <c r="C1233" s="0" t="s">
        <v>3356</v>
      </c>
      <c r="E1233" s="0" t="s">
        <v>1479</v>
      </c>
    </row>
    <row r="1234" customFormat="false" ht="15" hidden="false" customHeight="false" outlineLevel="0" collapsed="false">
      <c r="A1234" s="0" t="s">
        <v>29</v>
      </c>
      <c r="B1234" s="0" t="s">
        <v>1944</v>
      </c>
      <c r="C1234" s="0" t="s">
        <v>3357</v>
      </c>
      <c r="E1234" s="0" t="s">
        <v>3358</v>
      </c>
    </row>
    <row r="1235" customFormat="false" ht="15" hidden="false" customHeight="false" outlineLevel="0" collapsed="false">
      <c r="A1235" s="0" t="s">
        <v>29</v>
      </c>
      <c r="B1235" s="0" t="s">
        <v>1947</v>
      </c>
      <c r="C1235" s="0" t="s">
        <v>3359</v>
      </c>
      <c r="E1235" s="0" t="s">
        <v>3360</v>
      </c>
    </row>
    <row r="1236" customFormat="false" ht="15" hidden="false" customHeight="false" outlineLevel="0" collapsed="false">
      <c r="A1236" s="0" t="s">
        <v>29</v>
      </c>
      <c r="B1236" s="0" t="s">
        <v>1950</v>
      </c>
      <c r="C1236" s="0" t="s">
        <v>3361</v>
      </c>
      <c r="E1236" s="0" t="s">
        <v>3362</v>
      </c>
    </row>
    <row r="1237" customFormat="false" ht="15" hidden="false" customHeight="false" outlineLevel="0" collapsed="false">
      <c r="A1237" s="0" t="s">
        <v>29</v>
      </c>
      <c r="B1237" s="0" t="s">
        <v>1952</v>
      </c>
      <c r="C1237" s="0" t="s">
        <v>3363</v>
      </c>
      <c r="E1237" s="0" t="s">
        <v>3364</v>
      </c>
    </row>
    <row r="1238" customFormat="false" ht="15" hidden="false" customHeight="false" outlineLevel="0" collapsed="false">
      <c r="A1238" s="0" t="s">
        <v>29</v>
      </c>
      <c r="B1238" s="0" t="s">
        <v>2715</v>
      </c>
      <c r="C1238" s="0" t="s">
        <v>3365</v>
      </c>
      <c r="E1238" s="0" t="s">
        <v>3366</v>
      </c>
    </row>
    <row r="1239" customFormat="false" ht="15" hidden="false" customHeight="false" outlineLevel="0" collapsed="false">
      <c r="A1239" s="0" t="s">
        <v>29</v>
      </c>
      <c r="B1239" s="0" t="s">
        <v>1954</v>
      </c>
      <c r="C1239" s="0" t="s">
        <v>3367</v>
      </c>
      <c r="E1239" s="0" t="s">
        <v>3368</v>
      </c>
    </row>
    <row r="1240" customFormat="false" ht="15" hidden="false" customHeight="false" outlineLevel="0" collapsed="false">
      <c r="A1240" s="0" t="s">
        <v>29</v>
      </c>
      <c r="B1240" s="0" t="s">
        <v>1956</v>
      </c>
      <c r="C1240" s="0" t="s">
        <v>3369</v>
      </c>
      <c r="E1240" s="0" t="s">
        <v>3370</v>
      </c>
    </row>
    <row r="1241" customFormat="false" ht="15" hidden="false" customHeight="false" outlineLevel="0" collapsed="false">
      <c r="A1241" s="0" t="s">
        <v>29</v>
      </c>
      <c r="B1241" s="0" t="s">
        <v>1958</v>
      </c>
      <c r="C1241" s="0" t="s">
        <v>3371</v>
      </c>
      <c r="E1241" s="0" t="s">
        <v>3372</v>
      </c>
    </row>
    <row r="1242" customFormat="false" ht="15" hidden="false" customHeight="false" outlineLevel="0" collapsed="false">
      <c r="A1242" s="0" t="s">
        <v>29</v>
      </c>
      <c r="B1242" s="0" t="s">
        <v>1960</v>
      </c>
      <c r="C1242" s="0" t="s">
        <v>3373</v>
      </c>
      <c r="E1242" s="0" t="s">
        <v>3374</v>
      </c>
    </row>
    <row r="1243" customFormat="false" ht="15" hidden="false" customHeight="false" outlineLevel="0" collapsed="false">
      <c r="A1243" s="0" t="s">
        <v>29</v>
      </c>
      <c r="B1243" s="0" t="s">
        <v>2727</v>
      </c>
      <c r="C1243" s="0" t="s">
        <v>3375</v>
      </c>
      <c r="E1243" s="0" t="s">
        <v>3376</v>
      </c>
    </row>
    <row r="1244" customFormat="false" ht="15" hidden="false" customHeight="false" outlineLevel="0" collapsed="false">
      <c r="A1244" s="0" t="s">
        <v>29</v>
      </c>
      <c r="B1244" s="0" t="s">
        <v>1962</v>
      </c>
      <c r="C1244" s="0" t="s">
        <v>3377</v>
      </c>
      <c r="E1244" s="0" t="s">
        <v>1479</v>
      </c>
    </row>
    <row r="1245" customFormat="false" ht="15" hidden="false" customHeight="false" outlineLevel="0" collapsed="false">
      <c r="A1245" s="0" t="s">
        <v>29</v>
      </c>
      <c r="B1245" s="0" t="s">
        <v>1964</v>
      </c>
      <c r="C1245" s="0" t="s">
        <v>3378</v>
      </c>
      <c r="E1245" s="0" t="s">
        <v>1479</v>
      </c>
    </row>
    <row r="1246" customFormat="false" ht="15" hidden="false" customHeight="false" outlineLevel="0" collapsed="false">
      <c r="A1246" s="0" t="s">
        <v>29</v>
      </c>
      <c r="B1246" s="0" t="s">
        <v>1966</v>
      </c>
      <c r="C1246" s="0" t="s">
        <v>3379</v>
      </c>
      <c r="E1246" s="0" t="s">
        <v>1479</v>
      </c>
    </row>
    <row r="1247" customFormat="false" ht="15" hidden="false" customHeight="false" outlineLevel="0" collapsed="false">
      <c r="A1247" s="0" t="s">
        <v>29</v>
      </c>
      <c r="B1247" s="0" t="s">
        <v>1578</v>
      </c>
      <c r="C1247" s="0" t="s">
        <v>3380</v>
      </c>
      <c r="E1247" s="0" t="s">
        <v>1479</v>
      </c>
    </row>
    <row r="1248" customFormat="false" ht="15" hidden="false" customHeight="false" outlineLevel="0" collapsed="false">
      <c r="A1248" s="0" t="s">
        <v>29</v>
      </c>
      <c r="B1248" s="0" t="s">
        <v>1581</v>
      </c>
      <c r="C1248" s="0" t="s">
        <v>3381</v>
      </c>
      <c r="E1248" s="0" t="s">
        <v>1479</v>
      </c>
    </row>
    <row r="1249" customFormat="false" ht="15" hidden="false" customHeight="false" outlineLevel="0" collapsed="false">
      <c r="A1249" s="0" t="s">
        <v>29</v>
      </c>
      <c r="B1249" s="0" t="s">
        <v>3034</v>
      </c>
      <c r="C1249" s="0" t="s">
        <v>3382</v>
      </c>
      <c r="E1249" s="0" t="s">
        <v>1479</v>
      </c>
    </row>
    <row r="1250" customFormat="false" ht="15" hidden="false" customHeight="false" outlineLevel="0" collapsed="false">
      <c r="A1250" s="0" t="s">
        <v>29</v>
      </c>
      <c r="B1250" s="0" t="s">
        <v>3036</v>
      </c>
      <c r="C1250" s="0" t="s">
        <v>3383</v>
      </c>
      <c r="E1250" s="0" t="s">
        <v>1479</v>
      </c>
    </row>
    <row r="1251" customFormat="false" ht="15" hidden="false" customHeight="false" outlineLevel="0" collapsed="false">
      <c r="A1251" s="0" t="s">
        <v>29</v>
      </c>
      <c r="B1251" s="0" t="s">
        <v>2783</v>
      </c>
      <c r="C1251" s="0" t="s">
        <v>3384</v>
      </c>
      <c r="E1251" s="0" t="s">
        <v>1479</v>
      </c>
    </row>
    <row r="1252" customFormat="false" ht="15" hidden="false" customHeight="false" outlineLevel="0" collapsed="false">
      <c r="A1252" s="0" t="s">
        <v>29</v>
      </c>
      <c r="B1252" s="0" t="s">
        <v>1594</v>
      </c>
      <c r="C1252" s="0" t="s">
        <v>3385</v>
      </c>
      <c r="E1252" s="0" t="s">
        <v>1479</v>
      </c>
    </row>
    <row r="1253" customFormat="false" ht="15" hidden="false" customHeight="false" outlineLevel="0" collapsed="false">
      <c r="A1253" s="0" t="s">
        <v>29</v>
      </c>
      <c r="B1253" s="0" t="s">
        <v>1596</v>
      </c>
      <c r="C1253" s="0" t="s">
        <v>3386</v>
      </c>
      <c r="E1253" s="0" t="s">
        <v>1479</v>
      </c>
    </row>
    <row r="1254" customFormat="false" ht="15" hidden="false" customHeight="false" outlineLevel="0" collapsed="false">
      <c r="A1254" s="0" t="s">
        <v>29</v>
      </c>
      <c r="B1254" s="0" t="s">
        <v>3054</v>
      </c>
      <c r="C1254" s="0" t="s">
        <v>3387</v>
      </c>
      <c r="E1254" s="0" t="s">
        <v>1479</v>
      </c>
    </row>
    <row r="1255" customFormat="false" ht="15" hidden="false" customHeight="false" outlineLevel="0" collapsed="false">
      <c r="A1255" s="0" t="s">
        <v>29</v>
      </c>
      <c r="B1255" s="0" t="s">
        <v>3056</v>
      </c>
      <c r="C1255" s="0" t="s">
        <v>3388</v>
      </c>
      <c r="E1255" s="0" t="s">
        <v>1479</v>
      </c>
    </row>
    <row r="1256" customFormat="false" ht="15" hidden="false" customHeight="false" outlineLevel="0" collapsed="false">
      <c r="A1256" s="0" t="s">
        <v>29</v>
      </c>
      <c r="B1256" s="0" t="s">
        <v>3058</v>
      </c>
      <c r="C1256" s="0" t="s">
        <v>3389</v>
      </c>
      <c r="E1256" s="0" t="s">
        <v>1479</v>
      </c>
    </row>
    <row r="1257" customFormat="false" ht="15" hidden="false" customHeight="false" outlineLevel="0" collapsed="false">
      <c r="A1257" s="0" t="s">
        <v>29</v>
      </c>
      <c r="B1257" s="0" t="s">
        <v>1606</v>
      </c>
      <c r="C1257" s="0" t="s">
        <v>3390</v>
      </c>
      <c r="E1257" s="0" t="s">
        <v>1479</v>
      </c>
    </row>
    <row r="1258" customFormat="false" ht="15" hidden="false" customHeight="false" outlineLevel="0" collapsed="false">
      <c r="A1258" s="0" t="s">
        <v>29</v>
      </c>
      <c r="B1258" s="0" t="s">
        <v>1609</v>
      </c>
      <c r="C1258" s="0" t="s">
        <v>3391</v>
      </c>
      <c r="E1258" s="0" t="s">
        <v>1479</v>
      </c>
    </row>
    <row r="1259" customFormat="false" ht="15" hidden="false" customHeight="false" outlineLevel="0" collapsed="false">
      <c r="A1259" s="0" t="s">
        <v>31</v>
      </c>
      <c r="B1259" s="0" t="s">
        <v>506</v>
      </c>
      <c r="C1259" s="0" t="s">
        <v>3392</v>
      </c>
      <c r="E1259" s="0" t="s">
        <v>3300</v>
      </c>
    </row>
    <row r="1260" customFormat="false" ht="15" hidden="false" customHeight="false" outlineLevel="0" collapsed="false">
      <c r="A1260" s="0" t="s">
        <v>31</v>
      </c>
      <c r="B1260" s="0" t="s">
        <v>1864</v>
      </c>
      <c r="C1260" s="0" t="s">
        <v>3393</v>
      </c>
      <c r="E1260" s="0" t="s">
        <v>3394</v>
      </c>
    </row>
    <row r="1261" customFormat="false" ht="15" hidden="false" customHeight="false" outlineLevel="0" collapsed="false">
      <c r="A1261" s="0" t="s">
        <v>31</v>
      </c>
      <c r="B1261" s="0" t="s">
        <v>1468</v>
      </c>
      <c r="C1261" s="0" t="s">
        <v>3395</v>
      </c>
      <c r="D1261" s="0" t="s">
        <v>3396</v>
      </c>
      <c r="E1261" s="0" t="s">
        <v>1897</v>
      </c>
    </row>
    <row r="1262" customFormat="false" ht="15" hidden="false" customHeight="false" outlineLevel="0" collapsed="false">
      <c r="A1262" s="0" t="s">
        <v>31</v>
      </c>
      <c r="B1262" s="0" t="s">
        <v>2438</v>
      </c>
      <c r="C1262" s="0" t="s">
        <v>3397</v>
      </c>
      <c r="D1262" s="0" t="s">
        <v>3396</v>
      </c>
      <c r="E1262" s="0" t="s">
        <v>1897</v>
      </c>
    </row>
    <row r="1263" customFormat="false" ht="15" hidden="false" customHeight="false" outlineLevel="0" collapsed="false">
      <c r="A1263" s="0" t="s">
        <v>31</v>
      </c>
      <c r="B1263" s="0" t="s">
        <v>2441</v>
      </c>
      <c r="C1263" s="0" t="s">
        <v>3398</v>
      </c>
      <c r="D1263" s="0" t="s">
        <v>3396</v>
      </c>
      <c r="E1263" s="0" t="s">
        <v>1897</v>
      </c>
    </row>
    <row r="1264" customFormat="false" ht="15" hidden="false" customHeight="false" outlineLevel="0" collapsed="false">
      <c r="A1264" s="0" t="s">
        <v>31</v>
      </c>
      <c r="B1264" s="0" t="s">
        <v>2443</v>
      </c>
      <c r="C1264" s="0" t="s">
        <v>3399</v>
      </c>
      <c r="D1264" s="0" t="s">
        <v>3396</v>
      </c>
      <c r="E1264" s="0" t="s">
        <v>1897</v>
      </c>
    </row>
    <row r="1265" customFormat="false" ht="15" hidden="false" customHeight="false" outlineLevel="0" collapsed="false">
      <c r="A1265" s="0" t="s">
        <v>31</v>
      </c>
      <c r="B1265" s="0" t="s">
        <v>2445</v>
      </c>
      <c r="C1265" s="0" t="s">
        <v>3400</v>
      </c>
      <c r="D1265" s="0" t="s">
        <v>1876</v>
      </c>
      <c r="E1265" s="0" t="s">
        <v>2947</v>
      </c>
    </row>
    <row r="1266" customFormat="false" ht="15" hidden="false" customHeight="false" outlineLevel="0" collapsed="false">
      <c r="A1266" s="0" t="s">
        <v>31</v>
      </c>
      <c r="B1266" s="0" t="s">
        <v>2448</v>
      </c>
      <c r="C1266" s="0" t="s">
        <v>3401</v>
      </c>
      <c r="E1266" s="0" t="s">
        <v>2951</v>
      </c>
    </row>
    <row r="1267" customFormat="false" ht="15" hidden="false" customHeight="false" outlineLevel="0" collapsed="false">
      <c r="A1267" s="0" t="s">
        <v>31</v>
      </c>
      <c r="B1267" s="0" t="s">
        <v>3402</v>
      </c>
      <c r="C1267" s="0" t="s">
        <v>3403</v>
      </c>
      <c r="D1267" s="0" t="s">
        <v>1876</v>
      </c>
      <c r="E1267" s="0" t="s">
        <v>3404</v>
      </c>
    </row>
    <row r="1268" customFormat="false" ht="15" hidden="false" customHeight="false" outlineLevel="0" collapsed="false">
      <c r="A1268" s="0" t="s">
        <v>31</v>
      </c>
      <c r="B1268" s="0" t="s">
        <v>509</v>
      </c>
      <c r="C1268" s="0" t="s">
        <v>3405</v>
      </c>
      <c r="E1268" s="0" t="s">
        <v>3311</v>
      </c>
    </row>
    <row r="1269" customFormat="false" ht="15" hidden="false" customHeight="false" outlineLevel="0" collapsed="false">
      <c r="A1269" s="0" t="s">
        <v>31</v>
      </c>
      <c r="B1269" s="0" t="s">
        <v>1867</v>
      </c>
      <c r="C1269" s="0" t="s">
        <v>3406</v>
      </c>
      <c r="E1269" s="0" t="s">
        <v>3394</v>
      </c>
    </row>
    <row r="1270" customFormat="false" ht="15" hidden="false" customHeight="false" outlineLevel="0" collapsed="false">
      <c r="A1270" s="0" t="s">
        <v>31</v>
      </c>
      <c r="B1270" s="0" t="s">
        <v>2117</v>
      </c>
      <c r="C1270" s="0" t="s">
        <v>3407</v>
      </c>
      <c r="D1270" s="0" t="s">
        <v>3396</v>
      </c>
      <c r="E1270" s="0" t="s">
        <v>1897</v>
      </c>
    </row>
    <row r="1271" customFormat="false" ht="15" hidden="false" customHeight="false" outlineLevel="0" collapsed="false">
      <c r="A1271" s="0" t="s">
        <v>31</v>
      </c>
      <c r="B1271" s="0" t="s">
        <v>2120</v>
      </c>
      <c r="C1271" s="0" t="s">
        <v>3408</v>
      </c>
      <c r="D1271" s="0" t="s">
        <v>3396</v>
      </c>
      <c r="E1271" s="0" t="s">
        <v>1897</v>
      </c>
    </row>
    <row r="1272" customFormat="false" ht="15" hidden="false" customHeight="false" outlineLevel="0" collapsed="false">
      <c r="A1272" s="0" t="s">
        <v>31</v>
      </c>
      <c r="B1272" s="0" t="s">
        <v>2123</v>
      </c>
      <c r="C1272" s="0" t="s">
        <v>3409</v>
      </c>
      <c r="D1272" s="0" t="s">
        <v>3396</v>
      </c>
      <c r="E1272" s="0" t="s">
        <v>1908</v>
      </c>
    </row>
    <row r="1273" customFormat="false" ht="15" hidden="false" customHeight="false" outlineLevel="0" collapsed="false">
      <c r="A1273" s="0" t="s">
        <v>31</v>
      </c>
      <c r="B1273" s="0" t="s">
        <v>2126</v>
      </c>
      <c r="C1273" s="0" t="s">
        <v>3410</v>
      </c>
      <c r="D1273" s="0" t="s">
        <v>3396</v>
      </c>
      <c r="E1273" s="0" t="s">
        <v>1897</v>
      </c>
    </row>
    <row r="1274" customFormat="false" ht="15" hidden="false" customHeight="false" outlineLevel="0" collapsed="false">
      <c r="A1274" s="0" t="s">
        <v>31</v>
      </c>
      <c r="B1274" s="0" t="s">
        <v>2131</v>
      </c>
      <c r="C1274" s="0" t="s">
        <v>3411</v>
      </c>
      <c r="D1274" s="0" t="s">
        <v>1876</v>
      </c>
      <c r="E1274" s="0" t="s">
        <v>2953</v>
      </c>
    </row>
    <row r="1275" customFormat="false" ht="15" hidden="false" customHeight="false" outlineLevel="0" collapsed="false">
      <c r="A1275" s="0" t="s">
        <v>31</v>
      </c>
      <c r="B1275" s="0" t="s">
        <v>2134</v>
      </c>
      <c r="C1275" s="0" t="s">
        <v>3412</v>
      </c>
      <c r="E1275" s="0" t="s">
        <v>2957</v>
      </c>
    </row>
    <row r="1276" customFormat="false" ht="15" hidden="false" customHeight="false" outlineLevel="0" collapsed="false">
      <c r="A1276" s="0" t="s">
        <v>31</v>
      </c>
      <c r="B1276" s="0" t="s">
        <v>2140</v>
      </c>
      <c r="C1276" s="0" t="s">
        <v>3413</v>
      </c>
      <c r="D1276" s="0" t="s">
        <v>1876</v>
      </c>
      <c r="E1276" s="0" t="s">
        <v>3414</v>
      </c>
    </row>
    <row r="1277" customFormat="false" ht="15" hidden="false" customHeight="false" outlineLevel="0" collapsed="false">
      <c r="A1277" s="0" t="s">
        <v>31</v>
      </c>
      <c r="B1277" s="0" t="s">
        <v>2145</v>
      </c>
      <c r="C1277" s="0" t="s">
        <v>3415</v>
      </c>
      <c r="E1277" s="0" t="s">
        <v>3320</v>
      </c>
    </row>
    <row r="1278" customFormat="false" ht="15" hidden="false" customHeight="false" outlineLevel="0" collapsed="false">
      <c r="A1278" s="0" t="s">
        <v>31</v>
      </c>
      <c r="B1278" s="0" t="s">
        <v>1870</v>
      </c>
      <c r="C1278" s="0" t="s">
        <v>3416</v>
      </c>
      <c r="E1278" s="0" t="s">
        <v>3394</v>
      </c>
    </row>
    <row r="1279" customFormat="false" ht="15" hidden="false" customHeight="false" outlineLevel="0" collapsed="false">
      <c r="A1279" s="0" t="s">
        <v>31</v>
      </c>
      <c r="B1279" s="0" t="s">
        <v>2148</v>
      </c>
      <c r="C1279" s="0" t="s">
        <v>3417</v>
      </c>
      <c r="D1279" s="0" t="s">
        <v>3396</v>
      </c>
      <c r="E1279" s="0" t="s">
        <v>1897</v>
      </c>
    </row>
    <row r="1280" customFormat="false" ht="15" hidden="false" customHeight="false" outlineLevel="0" collapsed="false">
      <c r="A1280" s="0" t="s">
        <v>31</v>
      </c>
      <c r="B1280" s="0" t="s">
        <v>2150</v>
      </c>
      <c r="C1280" s="0" t="s">
        <v>3418</v>
      </c>
      <c r="D1280" s="0" t="s">
        <v>3396</v>
      </c>
      <c r="E1280" s="0" t="s">
        <v>1908</v>
      </c>
    </row>
    <row r="1281" customFormat="false" ht="15" hidden="false" customHeight="false" outlineLevel="0" collapsed="false">
      <c r="A1281" s="0" t="s">
        <v>31</v>
      </c>
      <c r="B1281" s="0" t="s">
        <v>2153</v>
      </c>
      <c r="C1281" s="0" t="s">
        <v>3419</v>
      </c>
      <c r="D1281" s="0" t="s">
        <v>3396</v>
      </c>
      <c r="E1281" s="0" t="s">
        <v>1908</v>
      </c>
    </row>
    <row r="1282" customFormat="false" ht="15" hidden="false" customHeight="false" outlineLevel="0" collapsed="false">
      <c r="A1282" s="0" t="s">
        <v>31</v>
      </c>
      <c r="B1282" s="0" t="s">
        <v>2155</v>
      </c>
      <c r="C1282" s="0" t="s">
        <v>3420</v>
      </c>
      <c r="D1282" s="0" t="s">
        <v>3396</v>
      </c>
      <c r="E1282" s="0" t="s">
        <v>3421</v>
      </c>
    </row>
    <row r="1283" customFormat="false" ht="15" hidden="false" customHeight="false" outlineLevel="0" collapsed="false">
      <c r="A1283" s="0" t="s">
        <v>31</v>
      </c>
      <c r="B1283" s="0" t="s">
        <v>2160</v>
      </c>
      <c r="C1283" s="0" t="s">
        <v>3422</v>
      </c>
      <c r="D1283" s="0" t="s">
        <v>1876</v>
      </c>
      <c r="E1283" s="0" t="s">
        <v>2953</v>
      </c>
    </row>
    <row r="1284" customFormat="false" ht="15" hidden="false" customHeight="false" outlineLevel="0" collapsed="false">
      <c r="A1284" s="0" t="s">
        <v>31</v>
      </c>
      <c r="B1284" s="0" t="s">
        <v>2162</v>
      </c>
      <c r="C1284" s="0" t="s">
        <v>3423</v>
      </c>
      <c r="E1284" s="0" t="s">
        <v>2957</v>
      </c>
    </row>
    <row r="1285" customFormat="false" ht="15" hidden="false" customHeight="false" outlineLevel="0" collapsed="false">
      <c r="A1285" s="0" t="s">
        <v>31</v>
      </c>
      <c r="B1285" s="0" t="s">
        <v>2166</v>
      </c>
      <c r="C1285" s="0" t="s">
        <v>3424</v>
      </c>
      <c r="D1285" s="0" t="s">
        <v>1876</v>
      </c>
      <c r="E1285" s="0" t="s">
        <v>2477</v>
      </c>
    </row>
    <row r="1286" customFormat="false" ht="15" hidden="false" customHeight="false" outlineLevel="0" collapsed="false">
      <c r="A1286" s="0" t="s">
        <v>31</v>
      </c>
      <c r="B1286" s="0" t="s">
        <v>2171</v>
      </c>
      <c r="C1286" s="0" t="s">
        <v>3425</v>
      </c>
      <c r="E1286" s="0" t="s">
        <v>3262</v>
      </c>
    </row>
    <row r="1287" customFormat="false" ht="15" hidden="false" customHeight="false" outlineLevel="0" collapsed="false">
      <c r="A1287" s="0" t="s">
        <v>31</v>
      </c>
      <c r="B1287" s="0" t="s">
        <v>1471</v>
      </c>
      <c r="C1287" s="0" t="s">
        <v>3426</v>
      </c>
      <c r="E1287" s="0" t="s">
        <v>3427</v>
      </c>
    </row>
    <row r="1288" customFormat="false" ht="15" hidden="false" customHeight="false" outlineLevel="0" collapsed="false">
      <c r="A1288" s="0" t="s">
        <v>31</v>
      </c>
      <c r="B1288" s="0" t="s">
        <v>2174</v>
      </c>
      <c r="C1288" s="0" t="s">
        <v>3428</v>
      </c>
      <c r="D1288" s="0" t="s">
        <v>3396</v>
      </c>
      <c r="E1288" s="0" t="s">
        <v>1897</v>
      </c>
    </row>
    <row r="1289" customFormat="false" ht="15" hidden="false" customHeight="false" outlineLevel="0" collapsed="false">
      <c r="A1289" s="0" t="s">
        <v>31</v>
      </c>
      <c r="B1289" s="0" t="s">
        <v>1474</v>
      </c>
      <c r="C1289" s="0" t="s">
        <v>3429</v>
      </c>
      <c r="D1289" s="0" t="s">
        <v>3396</v>
      </c>
      <c r="E1289" s="0" t="s">
        <v>1897</v>
      </c>
    </row>
    <row r="1290" customFormat="false" ht="15" hidden="false" customHeight="false" outlineLevel="0" collapsed="false">
      <c r="A1290" s="0" t="s">
        <v>31</v>
      </c>
      <c r="B1290" s="0" t="s">
        <v>1477</v>
      </c>
      <c r="C1290" s="0" t="s">
        <v>3430</v>
      </c>
      <c r="D1290" s="0" t="s">
        <v>3396</v>
      </c>
      <c r="E1290" s="0" t="s">
        <v>3421</v>
      </c>
    </row>
    <row r="1291" customFormat="false" ht="15" hidden="false" customHeight="false" outlineLevel="0" collapsed="false">
      <c r="A1291" s="0" t="s">
        <v>31</v>
      </c>
      <c r="B1291" s="0" t="s">
        <v>2179</v>
      </c>
      <c r="C1291" s="0" t="s">
        <v>3431</v>
      </c>
      <c r="D1291" s="0" t="s">
        <v>3396</v>
      </c>
      <c r="E1291" s="0" t="s">
        <v>1897</v>
      </c>
    </row>
    <row r="1292" customFormat="false" ht="15" hidden="false" customHeight="false" outlineLevel="0" collapsed="false">
      <c r="A1292" s="0" t="s">
        <v>31</v>
      </c>
      <c r="B1292" s="0" t="s">
        <v>2183</v>
      </c>
      <c r="C1292" s="0" t="s">
        <v>3432</v>
      </c>
      <c r="D1292" s="0" t="s">
        <v>1876</v>
      </c>
      <c r="E1292" s="0" t="s">
        <v>2947</v>
      </c>
    </row>
    <row r="1293" customFormat="false" ht="15" hidden="false" customHeight="false" outlineLevel="0" collapsed="false">
      <c r="A1293" s="0" t="s">
        <v>31</v>
      </c>
      <c r="B1293" s="0" t="s">
        <v>2185</v>
      </c>
      <c r="C1293" s="0" t="s">
        <v>3433</v>
      </c>
      <c r="E1293" s="0" t="s">
        <v>2951</v>
      </c>
    </row>
    <row r="1294" customFormat="false" ht="15" hidden="false" customHeight="false" outlineLevel="0" collapsed="false">
      <c r="A1294" s="0" t="s">
        <v>31</v>
      </c>
      <c r="B1294" s="0" t="s">
        <v>2189</v>
      </c>
      <c r="C1294" s="0" t="s">
        <v>3434</v>
      </c>
      <c r="D1294" s="0" t="s">
        <v>1876</v>
      </c>
      <c r="E1294" s="0" t="s">
        <v>3414</v>
      </c>
    </row>
    <row r="1295" customFormat="false" ht="15" hidden="false" customHeight="false" outlineLevel="0" collapsed="false">
      <c r="A1295" s="0" t="s">
        <v>31</v>
      </c>
      <c r="B1295" s="0" t="s">
        <v>2194</v>
      </c>
      <c r="C1295" s="0" t="s">
        <v>3435</v>
      </c>
      <c r="E1295" s="0" t="s">
        <v>1479</v>
      </c>
    </row>
    <row r="1296" customFormat="false" ht="15" hidden="false" customHeight="false" outlineLevel="0" collapsed="false">
      <c r="A1296" s="0" t="s">
        <v>31</v>
      </c>
      <c r="B1296" s="0" t="s">
        <v>1480</v>
      </c>
      <c r="C1296" s="0" t="s">
        <v>3436</v>
      </c>
      <c r="E1296" s="0" t="s">
        <v>1479</v>
      </c>
    </row>
    <row r="1297" customFormat="false" ht="15" hidden="false" customHeight="false" outlineLevel="0" collapsed="false">
      <c r="A1297" s="0" t="s">
        <v>31</v>
      </c>
      <c r="B1297" s="0" t="s">
        <v>2197</v>
      </c>
      <c r="C1297" s="0" t="s">
        <v>3437</v>
      </c>
      <c r="D1297" s="0" t="s">
        <v>3396</v>
      </c>
      <c r="E1297" s="0" t="s">
        <v>1479</v>
      </c>
    </row>
    <row r="1298" customFormat="false" ht="15" hidden="false" customHeight="false" outlineLevel="0" collapsed="false">
      <c r="A1298" s="0" t="s">
        <v>31</v>
      </c>
      <c r="B1298" s="0" t="s">
        <v>1483</v>
      </c>
      <c r="C1298" s="0" t="s">
        <v>3438</v>
      </c>
      <c r="D1298" s="0" t="s">
        <v>3396</v>
      </c>
      <c r="E1298" s="0" t="s">
        <v>1479</v>
      </c>
    </row>
    <row r="1299" customFormat="false" ht="15" hidden="false" customHeight="false" outlineLevel="0" collapsed="false">
      <c r="A1299" s="0" t="s">
        <v>31</v>
      </c>
      <c r="B1299" s="0" t="s">
        <v>1486</v>
      </c>
      <c r="C1299" s="0" t="s">
        <v>3439</v>
      </c>
      <c r="D1299" s="0" t="s">
        <v>3396</v>
      </c>
      <c r="E1299" s="0" t="s">
        <v>1479</v>
      </c>
    </row>
    <row r="1300" customFormat="false" ht="15" hidden="false" customHeight="false" outlineLevel="0" collapsed="false">
      <c r="A1300" s="0" t="s">
        <v>31</v>
      </c>
      <c r="B1300" s="0" t="s">
        <v>2203</v>
      </c>
      <c r="C1300" s="0" t="s">
        <v>3440</v>
      </c>
      <c r="D1300" s="0" t="s">
        <v>3396</v>
      </c>
      <c r="E1300" s="0" t="s">
        <v>1479</v>
      </c>
    </row>
    <row r="1301" customFormat="false" ht="15" hidden="false" customHeight="false" outlineLevel="0" collapsed="false">
      <c r="A1301" s="0" t="s">
        <v>31</v>
      </c>
      <c r="B1301" s="0" t="s">
        <v>2207</v>
      </c>
      <c r="C1301" s="0" t="s">
        <v>3441</v>
      </c>
      <c r="D1301" s="0" t="s">
        <v>1876</v>
      </c>
      <c r="E1301" s="0" t="s">
        <v>1479</v>
      </c>
    </row>
    <row r="1302" customFormat="false" ht="15" hidden="false" customHeight="false" outlineLevel="0" collapsed="false">
      <c r="A1302" s="0" t="s">
        <v>31</v>
      </c>
      <c r="B1302" s="0" t="s">
        <v>2209</v>
      </c>
      <c r="C1302" s="0" t="s">
        <v>3442</v>
      </c>
      <c r="E1302" s="0" t="s">
        <v>1479</v>
      </c>
    </row>
    <row r="1303" customFormat="false" ht="15" hidden="false" customHeight="false" outlineLevel="0" collapsed="false">
      <c r="A1303" s="0" t="s">
        <v>31</v>
      </c>
      <c r="B1303" s="0" t="s">
        <v>2213</v>
      </c>
      <c r="C1303" s="0" t="s">
        <v>3443</v>
      </c>
      <c r="D1303" s="0" t="s">
        <v>1876</v>
      </c>
      <c r="E1303" s="0" t="s">
        <v>1479</v>
      </c>
    </row>
    <row r="1304" customFormat="false" ht="15" hidden="false" customHeight="false" outlineLevel="0" collapsed="false">
      <c r="A1304" s="0" t="s">
        <v>31</v>
      </c>
      <c r="B1304" s="0" t="s">
        <v>2218</v>
      </c>
      <c r="C1304" s="0" t="s">
        <v>3444</v>
      </c>
      <c r="E1304" s="0" t="s">
        <v>1479</v>
      </c>
    </row>
    <row r="1305" customFormat="false" ht="15" hidden="false" customHeight="false" outlineLevel="0" collapsed="false">
      <c r="A1305" s="0" t="s">
        <v>31</v>
      </c>
      <c r="B1305" s="0" t="s">
        <v>1488</v>
      </c>
      <c r="C1305" s="0" t="s">
        <v>3445</v>
      </c>
      <c r="E1305" s="0" t="s">
        <v>1479</v>
      </c>
    </row>
    <row r="1306" customFormat="false" ht="15" hidden="false" customHeight="false" outlineLevel="0" collapsed="false">
      <c r="A1306" s="0" t="s">
        <v>31</v>
      </c>
      <c r="B1306" s="0" t="s">
        <v>2221</v>
      </c>
      <c r="C1306" s="0" t="s">
        <v>3446</v>
      </c>
      <c r="D1306" s="0" t="s">
        <v>3396</v>
      </c>
      <c r="E1306" s="0" t="s">
        <v>1479</v>
      </c>
    </row>
    <row r="1307" customFormat="false" ht="15" hidden="false" customHeight="false" outlineLevel="0" collapsed="false">
      <c r="A1307" s="0" t="s">
        <v>31</v>
      </c>
      <c r="B1307" s="0" t="s">
        <v>1490</v>
      </c>
      <c r="C1307" s="0" t="s">
        <v>3447</v>
      </c>
      <c r="D1307" s="0" t="s">
        <v>3396</v>
      </c>
      <c r="E1307" s="0" t="s">
        <v>1479</v>
      </c>
    </row>
    <row r="1308" customFormat="false" ht="15" hidden="false" customHeight="false" outlineLevel="0" collapsed="false">
      <c r="A1308" s="0" t="s">
        <v>31</v>
      </c>
      <c r="B1308" s="0" t="s">
        <v>1492</v>
      </c>
      <c r="C1308" s="0" t="s">
        <v>3448</v>
      </c>
      <c r="D1308" s="0" t="s">
        <v>3396</v>
      </c>
      <c r="E1308" s="0" t="s">
        <v>1479</v>
      </c>
    </row>
    <row r="1309" customFormat="false" ht="15" hidden="false" customHeight="false" outlineLevel="0" collapsed="false">
      <c r="A1309" s="0" t="s">
        <v>31</v>
      </c>
      <c r="B1309" s="0" t="s">
        <v>2227</v>
      </c>
      <c r="C1309" s="0" t="s">
        <v>3449</v>
      </c>
      <c r="D1309" s="0" t="s">
        <v>3396</v>
      </c>
      <c r="E1309" s="0" t="s">
        <v>1479</v>
      </c>
    </row>
    <row r="1310" customFormat="false" ht="15" hidden="false" customHeight="false" outlineLevel="0" collapsed="false">
      <c r="A1310" s="0" t="s">
        <v>31</v>
      </c>
      <c r="B1310" s="0" t="s">
        <v>2233</v>
      </c>
      <c r="C1310" s="0" t="s">
        <v>3450</v>
      </c>
      <c r="D1310" s="0" t="s">
        <v>1876</v>
      </c>
      <c r="E1310" s="0" t="s">
        <v>1479</v>
      </c>
    </row>
    <row r="1311" customFormat="false" ht="15" hidden="false" customHeight="false" outlineLevel="0" collapsed="false">
      <c r="A1311" s="0" t="s">
        <v>31</v>
      </c>
      <c r="B1311" s="0" t="s">
        <v>2235</v>
      </c>
      <c r="C1311" s="0" t="s">
        <v>3451</v>
      </c>
      <c r="E1311" s="0" t="s">
        <v>1479</v>
      </c>
    </row>
    <row r="1312" customFormat="false" ht="15" hidden="false" customHeight="false" outlineLevel="0" collapsed="false">
      <c r="A1312" s="0" t="s">
        <v>31</v>
      </c>
      <c r="B1312" s="0" t="s">
        <v>2239</v>
      </c>
      <c r="C1312" s="0" t="s">
        <v>3452</v>
      </c>
      <c r="D1312" s="0" t="s">
        <v>1876</v>
      </c>
      <c r="E1312" s="0" t="s">
        <v>1479</v>
      </c>
    </row>
    <row r="1313" customFormat="false" ht="15" hidden="false" customHeight="false" outlineLevel="0" collapsed="false">
      <c r="A1313" s="0" t="s">
        <v>31</v>
      </c>
      <c r="B1313" s="0" t="s">
        <v>2244</v>
      </c>
      <c r="C1313" s="0" t="s">
        <v>3453</v>
      </c>
      <c r="E1313" s="0" t="s">
        <v>1479</v>
      </c>
    </row>
    <row r="1314" customFormat="false" ht="15" hidden="false" customHeight="false" outlineLevel="0" collapsed="false">
      <c r="A1314" s="0" t="s">
        <v>31</v>
      </c>
      <c r="B1314" s="0" t="s">
        <v>1494</v>
      </c>
      <c r="C1314" s="0" t="s">
        <v>3454</v>
      </c>
      <c r="E1314" s="0" t="s">
        <v>1479</v>
      </c>
    </row>
    <row r="1315" customFormat="false" ht="15" hidden="false" customHeight="false" outlineLevel="0" collapsed="false">
      <c r="A1315" s="0" t="s">
        <v>31</v>
      </c>
      <c r="B1315" s="0" t="s">
        <v>2247</v>
      </c>
      <c r="C1315" s="0" t="s">
        <v>3455</v>
      </c>
      <c r="D1315" s="0" t="s">
        <v>3396</v>
      </c>
      <c r="E1315" s="0" t="s">
        <v>1479</v>
      </c>
    </row>
    <row r="1316" customFormat="false" ht="15" hidden="false" customHeight="false" outlineLevel="0" collapsed="false">
      <c r="A1316" s="0" t="s">
        <v>31</v>
      </c>
      <c r="B1316" s="0" t="s">
        <v>1496</v>
      </c>
      <c r="C1316" s="0" t="s">
        <v>3456</v>
      </c>
      <c r="D1316" s="0" t="s">
        <v>3396</v>
      </c>
      <c r="E1316" s="0" t="s">
        <v>1479</v>
      </c>
    </row>
    <row r="1317" customFormat="false" ht="15" hidden="false" customHeight="false" outlineLevel="0" collapsed="false">
      <c r="A1317" s="0" t="s">
        <v>31</v>
      </c>
      <c r="B1317" s="0" t="s">
        <v>1498</v>
      </c>
      <c r="C1317" s="0" t="s">
        <v>3457</v>
      </c>
      <c r="D1317" s="0" t="s">
        <v>3396</v>
      </c>
      <c r="E1317" s="0" t="s">
        <v>1479</v>
      </c>
    </row>
    <row r="1318" customFormat="false" ht="15" hidden="false" customHeight="false" outlineLevel="0" collapsed="false">
      <c r="A1318" s="0" t="s">
        <v>31</v>
      </c>
      <c r="B1318" s="0" t="s">
        <v>2253</v>
      </c>
      <c r="C1318" s="0" t="s">
        <v>3458</v>
      </c>
      <c r="D1318" s="0" t="s">
        <v>3396</v>
      </c>
      <c r="E1318" s="0" t="s">
        <v>1479</v>
      </c>
    </row>
    <row r="1319" customFormat="false" ht="15" hidden="false" customHeight="false" outlineLevel="0" collapsed="false">
      <c r="A1319" s="0" t="s">
        <v>31</v>
      </c>
      <c r="B1319" s="0" t="s">
        <v>2257</v>
      </c>
      <c r="C1319" s="0" t="s">
        <v>3459</v>
      </c>
      <c r="D1319" s="0" t="s">
        <v>1876</v>
      </c>
      <c r="E1319" s="0" t="s">
        <v>1479</v>
      </c>
    </row>
    <row r="1320" customFormat="false" ht="15" hidden="false" customHeight="false" outlineLevel="0" collapsed="false">
      <c r="A1320" s="0" t="s">
        <v>31</v>
      </c>
      <c r="B1320" s="0" t="s">
        <v>2259</v>
      </c>
      <c r="C1320" s="0" t="s">
        <v>3460</v>
      </c>
      <c r="E1320" s="0" t="s">
        <v>1479</v>
      </c>
    </row>
    <row r="1321" customFormat="false" ht="15" hidden="false" customHeight="false" outlineLevel="0" collapsed="false">
      <c r="A1321" s="0" t="s">
        <v>31</v>
      </c>
      <c r="B1321" s="0" t="s">
        <v>2263</v>
      </c>
      <c r="C1321" s="0" t="s">
        <v>3461</v>
      </c>
      <c r="D1321" s="0" t="s">
        <v>1876</v>
      </c>
      <c r="E1321" s="0" t="s">
        <v>1479</v>
      </c>
    </row>
    <row r="1322" customFormat="false" ht="15" hidden="false" customHeight="false" outlineLevel="0" collapsed="false">
      <c r="A1322" s="0" t="s">
        <v>31</v>
      </c>
      <c r="B1322" s="0" t="s">
        <v>2268</v>
      </c>
      <c r="C1322" s="0" t="s">
        <v>3462</v>
      </c>
      <c r="E1322" s="0" t="s">
        <v>1479</v>
      </c>
    </row>
    <row r="1323" customFormat="false" ht="15" hidden="false" customHeight="false" outlineLevel="0" collapsed="false">
      <c r="A1323" s="0" t="s">
        <v>31</v>
      </c>
      <c r="B1323" s="0" t="s">
        <v>1500</v>
      </c>
      <c r="C1323" s="0" t="s">
        <v>3463</v>
      </c>
      <c r="E1323" s="0" t="s">
        <v>1479</v>
      </c>
    </row>
    <row r="1324" customFormat="false" ht="15" hidden="false" customHeight="false" outlineLevel="0" collapsed="false">
      <c r="A1324" s="0" t="s">
        <v>31</v>
      </c>
      <c r="B1324" s="0" t="s">
        <v>2271</v>
      </c>
      <c r="C1324" s="0" t="s">
        <v>3464</v>
      </c>
      <c r="D1324" s="0" t="s">
        <v>3396</v>
      </c>
      <c r="E1324" s="0" t="s">
        <v>1479</v>
      </c>
    </row>
    <row r="1325" customFormat="false" ht="15" hidden="false" customHeight="false" outlineLevel="0" collapsed="false">
      <c r="A1325" s="0" t="s">
        <v>31</v>
      </c>
      <c r="B1325" s="0" t="s">
        <v>1502</v>
      </c>
      <c r="C1325" s="0" t="s">
        <v>3465</v>
      </c>
      <c r="D1325" s="0" t="s">
        <v>3396</v>
      </c>
      <c r="E1325" s="0" t="s">
        <v>1479</v>
      </c>
    </row>
    <row r="1326" customFormat="false" ht="15" hidden="false" customHeight="false" outlineLevel="0" collapsed="false">
      <c r="A1326" s="0" t="s">
        <v>31</v>
      </c>
      <c r="B1326" s="0" t="s">
        <v>1504</v>
      </c>
      <c r="C1326" s="0" t="s">
        <v>3466</v>
      </c>
      <c r="D1326" s="0" t="s">
        <v>3396</v>
      </c>
      <c r="E1326" s="0" t="s">
        <v>1479</v>
      </c>
    </row>
    <row r="1327" customFormat="false" ht="15" hidden="false" customHeight="false" outlineLevel="0" collapsed="false">
      <c r="A1327" s="0" t="s">
        <v>31</v>
      </c>
      <c r="B1327" s="0" t="s">
        <v>2275</v>
      </c>
      <c r="C1327" s="0" t="s">
        <v>3467</v>
      </c>
      <c r="D1327" s="0" t="s">
        <v>3396</v>
      </c>
      <c r="E1327" s="0" t="s">
        <v>1479</v>
      </c>
    </row>
    <row r="1328" customFormat="false" ht="15" hidden="false" customHeight="false" outlineLevel="0" collapsed="false">
      <c r="A1328" s="0" t="s">
        <v>31</v>
      </c>
      <c r="B1328" s="0" t="s">
        <v>2279</v>
      </c>
      <c r="C1328" s="0" t="s">
        <v>3468</v>
      </c>
      <c r="D1328" s="0" t="s">
        <v>1876</v>
      </c>
      <c r="E1328" s="0" t="s">
        <v>1479</v>
      </c>
    </row>
    <row r="1329" customFormat="false" ht="15" hidden="false" customHeight="false" outlineLevel="0" collapsed="false">
      <c r="A1329" s="0" t="s">
        <v>31</v>
      </c>
      <c r="B1329" s="0" t="s">
        <v>2281</v>
      </c>
      <c r="C1329" s="0" t="s">
        <v>3469</v>
      </c>
      <c r="E1329" s="0" t="s">
        <v>1479</v>
      </c>
    </row>
    <row r="1330" customFormat="false" ht="15" hidden="false" customHeight="false" outlineLevel="0" collapsed="false">
      <c r="A1330" s="0" t="s">
        <v>31</v>
      </c>
      <c r="B1330" s="0" t="s">
        <v>2285</v>
      </c>
      <c r="C1330" s="0" t="s">
        <v>3470</v>
      </c>
      <c r="D1330" s="0" t="s">
        <v>1876</v>
      </c>
      <c r="E1330" s="0" t="s">
        <v>1479</v>
      </c>
    </row>
    <row r="1331" customFormat="false" ht="15" hidden="false" customHeight="false" outlineLevel="0" collapsed="false">
      <c r="A1331" s="0" t="s">
        <v>31</v>
      </c>
      <c r="B1331" s="0" t="s">
        <v>2289</v>
      </c>
      <c r="C1331" s="0" t="s">
        <v>3471</v>
      </c>
      <c r="E1331" s="0" t="s">
        <v>1479</v>
      </c>
    </row>
    <row r="1332" customFormat="false" ht="15" hidden="false" customHeight="false" outlineLevel="0" collapsed="false">
      <c r="A1332" s="0" t="s">
        <v>31</v>
      </c>
      <c r="B1332" s="0" t="s">
        <v>2291</v>
      </c>
      <c r="C1332" s="0" t="s">
        <v>3472</v>
      </c>
      <c r="E1332" s="0" t="s">
        <v>1479</v>
      </c>
    </row>
    <row r="1333" customFormat="false" ht="15" hidden="false" customHeight="false" outlineLevel="0" collapsed="false">
      <c r="A1333" s="0" t="s">
        <v>31</v>
      </c>
      <c r="B1333" s="0" t="s">
        <v>2293</v>
      </c>
      <c r="C1333" s="0" t="s">
        <v>3473</v>
      </c>
      <c r="D1333" s="0" t="s">
        <v>3396</v>
      </c>
      <c r="E1333" s="0" t="s">
        <v>1479</v>
      </c>
    </row>
    <row r="1334" customFormat="false" ht="15" hidden="false" customHeight="false" outlineLevel="0" collapsed="false">
      <c r="A1334" s="0" t="s">
        <v>31</v>
      </c>
      <c r="B1334" s="0" t="s">
        <v>2295</v>
      </c>
      <c r="C1334" s="0" t="s">
        <v>3474</v>
      </c>
      <c r="D1334" s="0" t="s">
        <v>3396</v>
      </c>
      <c r="E1334" s="0" t="s">
        <v>1479</v>
      </c>
    </row>
    <row r="1335" customFormat="false" ht="15" hidden="false" customHeight="false" outlineLevel="0" collapsed="false">
      <c r="A1335" s="0" t="s">
        <v>31</v>
      </c>
      <c r="B1335" s="0" t="s">
        <v>2297</v>
      </c>
      <c r="C1335" s="0" t="s">
        <v>3475</v>
      </c>
      <c r="D1335" s="0" t="s">
        <v>3396</v>
      </c>
      <c r="E1335" s="0" t="s">
        <v>1479</v>
      </c>
    </row>
    <row r="1336" customFormat="false" ht="15" hidden="false" customHeight="false" outlineLevel="0" collapsed="false">
      <c r="A1336" s="0" t="s">
        <v>31</v>
      </c>
      <c r="B1336" s="0" t="s">
        <v>2299</v>
      </c>
      <c r="C1336" s="0" t="s">
        <v>3476</v>
      </c>
      <c r="D1336" s="0" t="s">
        <v>3396</v>
      </c>
      <c r="E1336" s="0" t="s">
        <v>1479</v>
      </c>
    </row>
    <row r="1337" customFormat="false" ht="15" hidden="false" customHeight="false" outlineLevel="0" collapsed="false">
      <c r="A1337" s="0" t="s">
        <v>31</v>
      </c>
      <c r="B1337" s="0" t="s">
        <v>2303</v>
      </c>
      <c r="C1337" s="0" t="s">
        <v>3477</v>
      </c>
      <c r="D1337" s="0" t="s">
        <v>1876</v>
      </c>
      <c r="E1337" s="0" t="s">
        <v>1479</v>
      </c>
    </row>
    <row r="1338" customFormat="false" ht="15" hidden="false" customHeight="false" outlineLevel="0" collapsed="false">
      <c r="A1338" s="0" t="s">
        <v>31</v>
      </c>
      <c r="B1338" s="0" t="s">
        <v>2305</v>
      </c>
      <c r="C1338" s="0" t="s">
        <v>3478</v>
      </c>
      <c r="E1338" s="0" t="s">
        <v>1479</v>
      </c>
    </row>
    <row r="1339" customFormat="false" ht="15" hidden="false" customHeight="false" outlineLevel="0" collapsed="false">
      <c r="A1339" s="0" t="s">
        <v>31</v>
      </c>
      <c r="B1339" s="0" t="s">
        <v>2309</v>
      </c>
      <c r="C1339" s="0" t="s">
        <v>3479</v>
      </c>
      <c r="D1339" s="0" t="s">
        <v>1876</v>
      </c>
      <c r="E1339" s="0" t="s">
        <v>1479</v>
      </c>
    </row>
    <row r="1340" customFormat="false" ht="15" hidden="false" customHeight="false" outlineLevel="0" collapsed="false">
      <c r="A1340" s="0" t="s">
        <v>31</v>
      </c>
      <c r="B1340" s="0" t="s">
        <v>1880</v>
      </c>
      <c r="C1340" s="0" t="s">
        <v>3480</v>
      </c>
      <c r="E1340" s="0" t="s">
        <v>1479</v>
      </c>
    </row>
    <row r="1341" customFormat="false" ht="15" hidden="false" customHeight="false" outlineLevel="0" collapsed="false">
      <c r="A1341" s="0" t="s">
        <v>31</v>
      </c>
      <c r="B1341" s="0" t="s">
        <v>1883</v>
      </c>
      <c r="C1341" s="0" t="s">
        <v>3481</v>
      </c>
      <c r="E1341" s="0" t="s">
        <v>1479</v>
      </c>
    </row>
    <row r="1342" customFormat="false" ht="15" hidden="false" customHeight="false" outlineLevel="0" collapsed="false">
      <c r="A1342" s="0" t="s">
        <v>31</v>
      </c>
      <c r="B1342" s="0" t="s">
        <v>1886</v>
      </c>
      <c r="C1342" s="0" t="s">
        <v>3482</v>
      </c>
      <c r="D1342" s="0" t="s">
        <v>3396</v>
      </c>
      <c r="E1342" s="0" t="s">
        <v>1479</v>
      </c>
    </row>
    <row r="1343" customFormat="false" ht="15" hidden="false" customHeight="false" outlineLevel="0" collapsed="false">
      <c r="A1343" s="0" t="s">
        <v>31</v>
      </c>
      <c r="B1343" s="0" t="s">
        <v>1888</v>
      </c>
      <c r="C1343" s="0" t="s">
        <v>3483</v>
      </c>
      <c r="D1343" s="0" t="s">
        <v>3396</v>
      </c>
      <c r="E1343" s="0" t="s">
        <v>1479</v>
      </c>
    </row>
    <row r="1344" customFormat="false" ht="15" hidden="false" customHeight="false" outlineLevel="0" collapsed="false">
      <c r="A1344" s="0" t="s">
        <v>31</v>
      </c>
      <c r="B1344" s="0" t="s">
        <v>1891</v>
      </c>
      <c r="C1344" s="0" t="s">
        <v>3484</v>
      </c>
      <c r="D1344" s="0" t="s">
        <v>3396</v>
      </c>
      <c r="E1344" s="0" t="s">
        <v>1479</v>
      </c>
    </row>
    <row r="1345" customFormat="false" ht="15" hidden="false" customHeight="false" outlineLevel="0" collapsed="false">
      <c r="A1345" s="0" t="s">
        <v>31</v>
      </c>
      <c r="B1345" s="0" t="s">
        <v>1894</v>
      </c>
      <c r="C1345" s="0" t="s">
        <v>3485</v>
      </c>
      <c r="D1345" s="0" t="s">
        <v>3396</v>
      </c>
      <c r="E1345" s="0" t="s">
        <v>1479</v>
      </c>
    </row>
    <row r="1346" customFormat="false" ht="15" hidden="false" customHeight="false" outlineLevel="0" collapsed="false">
      <c r="A1346" s="0" t="s">
        <v>31</v>
      </c>
      <c r="B1346" s="0" t="s">
        <v>2321</v>
      </c>
      <c r="C1346" s="0" t="s">
        <v>3486</v>
      </c>
      <c r="D1346" s="0" t="s">
        <v>1876</v>
      </c>
      <c r="E1346" s="0" t="s">
        <v>1479</v>
      </c>
    </row>
    <row r="1347" customFormat="false" ht="15" hidden="false" customHeight="false" outlineLevel="0" collapsed="false">
      <c r="A1347" s="0" t="s">
        <v>31</v>
      </c>
      <c r="B1347" s="0" t="s">
        <v>2323</v>
      </c>
      <c r="C1347" s="0" t="s">
        <v>3487</v>
      </c>
      <c r="E1347" s="0" t="s">
        <v>1479</v>
      </c>
    </row>
    <row r="1348" customFormat="false" ht="15" hidden="false" customHeight="false" outlineLevel="0" collapsed="false">
      <c r="A1348" s="0" t="s">
        <v>31</v>
      </c>
      <c r="B1348" s="0" t="s">
        <v>2327</v>
      </c>
      <c r="C1348" s="0" t="s">
        <v>3488</v>
      </c>
      <c r="D1348" s="0" t="s">
        <v>1876</v>
      </c>
      <c r="E1348" s="0" t="s">
        <v>1479</v>
      </c>
    </row>
    <row r="1349" customFormat="false" ht="15" hidden="false" customHeight="false" outlineLevel="0" collapsed="false">
      <c r="A1349" s="0" t="s">
        <v>31</v>
      </c>
      <c r="B1349" s="0" t="s">
        <v>1898</v>
      </c>
      <c r="C1349" s="0" t="s">
        <v>3489</v>
      </c>
      <c r="E1349" s="0" t="s">
        <v>1479</v>
      </c>
    </row>
    <row r="1350" customFormat="false" ht="15" hidden="false" customHeight="false" outlineLevel="0" collapsed="false">
      <c r="A1350" s="0" t="s">
        <v>31</v>
      </c>
      <c r="B1350" s="0" t="s">
        <v>1506</v>
      </c>
      <c r="C1350" s="0" t="s">
        <v>3490</v>
      </c>
      <c r="E1350" s="0" t="s">
        <v>1479</v>
      </c>
    </row>
    <row r="1351" customFormat="false" ht="15" hidden="false" customHeight="false" outlineLevel="0" collapsed="false">
      <c r="A1351" s="0" t="s">
        <v>31</v>
      </c>
      <c r="B1351" s="0" t="s">
        <v>1901</v>
      </c>
      <c r="C1351" s="0" t="s">
        <v>3491</v>
      </c>
      <c r="D1351" s="0" t="s">
        <v>3396</v>
      </c>
      <c r="E1351" s="0" t="s">
        <v>1479</v>
      </c>
    </row>
    <row r="1352" customFormat="false" ht="15" hidden="false" customHeight="false" outlineLevel="0" collapsed="false">
      <c r="A1352" s="0" t="s">
        <v>31</v>
      </c>
      <c r="B1352" s="0" t="s">
        <v>1509</v>
      </c>
      <c r="C1352" s="0" t="s">
        <v>3492</v>
      </c>
      <c r="D1352" s="0" t="s">
        <v>3396</v>
      </c>
      <c r="E1352" s="0" t="s">
        <v>1479</v>
      </c>
    </row>
    <row r="1353" customFormat="false" ht="15" hidden="false" customHeight="false" outlineLevel="0" collapsed="false">
      <c r="A1353" s="0" t="s">
        <v>31</v>
      </c>
      <c r="B1353" s="0" t="s">
        <v>1512</v>
      </c>
      <c r="C1353" s="0" t="s">
        <v>3493</v>
      </c>
      <c r="D1353" s="0" t="s">
        <v>3396</v>
      </c>
      <c r="E1353" s="0" t="s">
        <v>1479</v>
      </c>
    </row>
    <row r="1354" customFormat="false" ht="15" hidden="false" customHeight="false" outlineLevel="0" collapsed="false">
      <c r="A1354" s="0" t="s">
        <v>31</v>
      </c>
      <c r="B1354" s="0" t="s">
        <v>1515</v>
      </c>
      <c r="C1354" s="0" t="s">
        <v>3494</v>
      </c>
      <c r="D1354" s="0" t="s">
        <v>3396</v>
      </c>
      <c r="E1354" s="0" t="s">
        <v>1479</v>
      </c>
    </row>
    <row r="1355" customFormat="false" ht="15" hidden="false" customHeight="false" outlineLevel="0" collapsed="false">
      <c r="A1355" s="0" t="s">
        <v>31</v>
      </c>
      <c r="B1355" s="0" t="s">
        <v>2339</v>
      </c>
      <c r="C1355" s="0" t="s">
        <v>3495</v>
      </c>
      <c r="D1355" s="0" t="s">
        <v>1876</v>
      </c>
      <c r="E1355" s="0" t="s">
        <v>1479</v>
      </c>
    </row>
    <row r="1356" customFormat="false" ht="15" hidden="false" customHeight="false" outlineLevel="0" collapsed="false">
      <c r="A1356" s="0" t="s">
        <v>31</v>
      </c>
      <c r="B1356" s="0" t="s">
        <v>2341</v>
      </c>
      <c r="C1356" s="0" t="s">
        <v>3496</v>
      </c>
      <c r="E1356" s="0" t="s">
        <v>1479</v>
      </c>
    </row>
    <row r="1357" customFormat="false" ht="15" hidden="false" customHeight="false" outlineLevel="0" collapsed="false">
      <c r="A1357" s="0" t="s">
        <v>31</v>
      </c>
      <c r="B1357" s="0" t="s">
        <v>2345</v>
      </c>
      <c r="C1357" s="0" t="s">
        <v>3497</v>
      </c>
      <c r="D1357" s="0" t="s">
        <v>1876</v>
      </c>
      <c r="E1357" s="0" t="s">
        <v>1479</v>
      </c>
    </row>
    <row r="1358" customFormat="false" ht="15" hidden="false" customHeight="false" outlineLevel="0" collapsed="false">
      <c r="A1358" s="0" t="s">
        <v>31</v>
      </c>
      <c r="B1358" s="0" t="s">
        <v>1909</v>
      </c>
      <c r="C1358" s="0" t="s">
        <v>3498</v>
      </c>
      <c r="E1358" s="0" t="s">
        <v>1479</v>
      </c>
    </row>
    <row r="1359" customFormat="false" ht="15" hidden="false" customHeight="false" outlineLevel="0" collapsed="false">
      <c r="A1359" s="0" t="s">
        <v>31</v>
      </c>
      <c r="B1359" s="0" t="s">
        <v>1518</v>
      </c>
      <c r="C1359" s="0" t="s">
        <v>3499</v>
      </c>
      <c r="E1359" s="0" t="s">
        <v>1479</v>
      </c>
    </row>
    <row r="1360" customFormat="false" ht="15" hidden="false" customHeight="false" outlineLevel="0" collapsed="false">
      <c r="A1360" s="0" t="s">
        <v>31</v>
      </c>
      <c r="B1360" s="0" t="s">
        <v>1912</v>
      </c>
      <c r="C1360" s="0" t="s">
        <v>3500</v>
      </c>
      <c r="D1360" s="0" t="s">
        <v>3396</v>
      </c>
      <c r="E1360" s="0" t="s">
        <v>1479</v>
      </c>
    </row>
    <row r="1361" customFormat="false" ht="15" hidden="false" customHeight="false" outlineLevel="0" collapsed="false">
      <c r="A1361" s="0" t="s">
        <v>31</v>
      </c>
      <c r="B1361" s="0" t="s">
        <v>1521</v>
      </c>
      <c r="C1361" s="0" t="s">
        <v>3501</v>
      </c>
      <c r="D1361" s="0" t="s">
        <v>3396</v>
      </c>
      <c r="E1361" s="0" t="s">
        <v>1479</v>
      </c>
    </row>
    <row r="1362" customFormat="false" ht="15" hidden="false" customHeight="false" outlineLevel="0" collapsed="false">
      <c r="A1362" s="0" t="s">
        <v>31</v>
      </c>
      <c r="B1362" s="0" t="s">
        <v>1524</v>
      </c>
      <c r="C1362" s="0" t="s">
        <v>3502</v>
      </c>
      <c r="D1362" s="0" t="s">
        <v>3396</v>
      </c>
      <c r="E1362" s="0" t="s">
        <v>1479</v>
      </c>
    </row>
    <row r="1363" customFormat="false" ht="15" hidden="false" customHeight="false" outlineLevel="0" collapsed="false">
      <c r="A1363" s="0" t="s">
        <v>31</v>
      </c>
      <c r="B1363" s="0" t="s">
        <v>1527</v>
      </c>
      <c r="C1363" s="0" t="s">
        <v>3503</v>
      </c>
      <c r="D1363" s="0" t="s">
        <v>3396</v>
      </c>
      <c r="E1363" s="0" t="s">
        <v>1479</v>
      </c>
    </row>
    <row r="1364" customFormat="false" ht="15" hidden="false" customHeight="false" outlineLevel="0" collapsed="false">
      <c r="A1364" s="0" t="s">
        <v>31</v>
      </c>
      <c r="B1364" s="0" t="s">
        <v>2561</v>
      </c>
      <c r="C1364" s="0" t="s">
        <v>3504</v>
      </c>
      <c r="D1364" s="0" t="s">
        <v>1876</v>
      </c>
      <c r="E1364" s="0" t="s">
        <v>1479</v>
      </c>
    </row>
    <row r="1365" customFormat="false" ht="15" hidden="false" customHeight="false" outlineLevel="0" collapsed="false">
      <c r="A1365" s="0" t="s">
        <v>31</v>
      </c>
      <c r="B1365" s="0" t="s">
        <v>2563</v>
      </c>
      <c r="C1365" s="0" t="s">
        <v>3505</v>
      </c>
      <c r="E1365" s="0" t="s">
        <v>1479</v>
      </c>
    </row>
    <row r="1366" customFormat="false" ht="15" hidden="false" customHeight="false" outlineLevel="0" collapsed="false">
      <c r="A1366" s="0" t="s">
        <v>31</v>
      </c>
      <c r="B1366" s="0" t="s">
        <v>3506</v>
      </c>
      <c r="C1366" s="0" t="s">
        <v>3507</v>
      </c>
      <c r="D1366" s="0" t="s">
        <v>1876</v>
      </c>
      <c r="E1366" s="0" t="s">
        <v>1479</v>
      </c>
    </row>
    <row r="1367" customFormat="false" ht="15" hidden="false" customHeight="false" outlineLevel="0" collapsed="false">
      <c r="A1367" s="0" t="s">
        <v>31</v>
      </c>
      <c r="B1367" s="0" t="s">
        <v>1917</v>
      </c>
      <c r="C1367" s="0" t="s">
        <v>3508</v>
      </c>
      <c r="E1367" s="0" t="s">
        <v>1479</v>
      </c>
    </row>
    <row r="1368" customFormat="false" ht="15" hidden="false" customHeight="false" outlineLevel="0" collapsed="false">
      <c r="A1368" s="0" t="s">
        <v>31</v>
      </c>
      <c r="B1368" s="0" t="s">
        <v>1529</v>
      </c>
      <c r="C1368" s="0" t="s">
        <v>3509</v>
      </c>
      <c r="E1368" s="0" t="s">
        <v>1479</v>
      </c>
    </row>
    <row r="1369" customFormat="false" ht="15" hidden="false" customHeight="false" outlineLevel="0" collapsed="false">
      <c r="A1369" s="0" t="s">
        <v>31</v>
      </c>
      <c r="B1369" s="0" t="s">
        <v>1920</v>
      </c>
      <c r="C1369" s="0" t="s">
        <v>3510</v>
      </c>
      <c r="D1369" s="0" t="s">
        <v>3396</v>
      </c>
      <c r="E1369" s="0" t="s">
        <v>1479</v>
      </c>
    </row>
    <row r="1370" customFormat="false" ht="15" hidden="false" customHeight="false" outlineLevel="0" collapsed="false">
      <c r="A1370" s="0" t="s">
        <v>31</v>
      </c>
      <c r="B1370" s="0" t="s">
        <v>1532</v>
      </c>
      <c r="C1370" s="0" t="s">
        <v>3511</v>
      </c>
      <c r="D1370" s="0" t="s">
        <v>3396</v>
      </c>
      <c r="E1370" s="0" t="s">
        <v>1479</v>
      </c>
    </row>
    <row r="1371" customFormat="false" ht="15" hidden="false" customHeight="false" outlineLevel="0" collapsed="false">
      <c r="A1371" s="0" t="s">
        <v>31</v>
      </c>
      <c r="B1371" s="0" t="s">
        <v>1535</v>
      </c>
      <c r="C1371" s="0" t="s">
        <v>3512</v>
      </c>
      <c r="D1371" s="0" t="s">
        <v>3396</v>
      </c>
      <c r="E1371" s="0" t="s">
        <v>1479</v>
      </c>
    </row>
    <row r="1372" customFormat="false" ht="15" hidden="false" customHeight="false" outlineLevel="0" collapsed="false">
      <c r="A1372" s="0" t="s">
        <v>31</v>
      </c>
      <c r="B1372" s="0" t="s">
        <v>1537</v>
      </c>
      <c r="C1372" s="0" t="s">
        <v>3513</v>
      </c>
      <c r="D1372" s="0" t="s">
        <v>3396</v>
      </c>
      <c r="E1372" s="0" t="s">
        <v>1479</v>
      </c>
    </row>
    <row r="1373" customFormat="false" ht="15" hidden="false" customHeight="false" outlineLevel="0" collapsed="false">
      <c r="A1373" s="0" t="s">
        <v>31</v>
      </c>
      <c r="B1373" s="0" t="s">
        <v>2571</v>
      </c>
      <c r="C1373" s="0" t="s">
        <v>3514</v>
      </c>
      <c r="D1373" s="0" t="s">
        <v>1876</v>
      </c>
      <c r="E1373" s="0" t="s">
        <v>1479</v>
      </c>
    </row>
    <row r="1374" customFormat="false" ht="15" hidden="false" customHeight="false" outlineLevel="0" collapsed="false">
      <c r="A1374" s="0" t="s">
        <v>31</v>
      </c>
      <c r="B1374" s="0" t="s">
        <v>2573</v>
      </c>
      <c r="C1374" s="0" t="s">
        <v>3515</v>
      </c>
      <c r="E1374" s="0" t="s">
        <v>1479</v>
      </c>
    </row>
    <row r="1375" customFormat="false" ht="15" hidden="false" customHeight="false" outlineLevel="0" collapsed="false">
      <c r="A1375" s="0" t="s">
        <v>31</v>
      </c>
      <c r="B1375" s="0" t="s">
        <v>3516</v>
      </c>
      <c r="C1375" s="0" t="s">
        <v>3517</v>
      </c>
      <c r="D1375" s="0" t="s">
        <v>1876</v>
      </c>
      <c r="E1375" s="0" t="s">
        <v>1479</v>
      </c>
    </row>
    <row r="1376" customFormat="false" ht="15" hidden="false" customHeight="false" outlineLevel="0" collapsed="false">
      <c r="A1376" s="0" t="s">
        <v>31</v>
      </c>
      <c r="B1376" s="0" t="s">
        <v>1925</v>
      </c>
      <c r="C1376" s="0" t="s">
        <v>3518</v>
      </c>
      <c r="E1376" s="0" t="s">
        <v>1479</v>
      </c>
    </row>
    <row r="1377" customFormat="false" ht="15" hidden="false" customHeight="false" outlineLevel="0" collapsed="false">
      <c r="A1377" s="0" t="s">
        <v>31</v>
      </c>
      <c r="B1377" s="0" t="s">
        <v>1540</v>
      </c>
      <c r="C1377" s="0" t="s">
        <v>3519</v>
      </c>
      <c r="E1377" s="0" t="s">
        <v>1479</v>
      </c>
    </row>
    <row r="1378" customFormat="false" ht="15" hidden="false" customHeight="false" outlineLevel="0" collapsed="false">
      <c r="A1378" s="0" t="s">
        <v>31</v>
      </c>
      <c r="B1378" s="0" t="s">
        <v>1928</v>
      </c>
      <c r="C1378" s="0" t="s">
        <v>3520</v>
      </c>
      <c r="D1378" s="0" t="s">
        <v>3396</v>
      </c>
      <c r="E1378" s="0" t="s">
        <v>1479</v>
      </c>
    </row>
    <row r="1379" customFormat="false" ht="15" hidden="false" customHeight="false" outlineLevel="0" collapsed="false">
      <c r="A1379" s="0" t="s">
        <v>31</v>
      </c>
      <c r="B1379" s="0" t="s">
        <v>1542</v>
      </c>
      <c r="C1379" s="0" t="s">
        <v>3521</v>
      </c>
      <c r="D1379" s="0" t="s">
        <v>3396</v>
      </c>
      <c r="E1379" s="0" t="s">
        <v>1479</v>
      </c>
    </row>
    <row r="1380" customFormat="false" ht="15" hidden="false" customHeight="false" outlineLevel="0" collapsed="false">
      <c r="A1380" s="0" t="s">
        <v>31</v>
      </c>
      <c r="B1380" s="0" t="s">
        <v>1544</v>
      </c>
      <c r="C1380" s="0" t="s">
        <v>3522</v>
      </c>
      <c r="D1380" s="0" t="s">
        <v>3396</v>
      </c>
      <c r="E1380" s="0" t="s">
        <v>1479</v>
      </c>
    </row>
    <row r="1381" customFormat="false" ht="15" hidden="false" customHeight="false" outlineLevel="0" collapsed="false">
      <c r="A1381" s="0" t="s">
        <v>31</v>
      </c>
      <c r="B1381" s="0" t="s">
        <v>1546</v>
      </c>
      <c r="C1381" s="0" t="s">
        <v>3523</v>
      </c>
      <c r="D1381" s="0" t="s">
        <v>3396</v>
      </c>
      <c r="E1381" s="0" t="s">
        <v>1479</v>
      </c>
    </row>
    <row r="1382" customFormat="false" ht="15" hidden="false" customHeight="false" outlineLevel="0" collapsed="false">
      <c r="A1382" s="0" t="s">
        <v>31</v>
      </c>
      <c r="B1382" s="0" t="s">
        <v>2581</v>
      </c>
      <c r="C1382" s="0" t="s">
        <v>3524</v>
      </c>
      <c r="D1382" s="0" t="s">
        <v>1876</v>
      </c>
      <c r="E1382" s="0" t="s">
        <v>1479</v>
      </c>
    </row>
    <row r="1383" customFormat="false" ht="15" hidden="false" customHeight="false" outlineLevel="0" collapsed="false">
      <c r="A1383" s="0" t="s">
        <v>31</v>
      </c>
      <c r="B1383" s="0" t="s">
        <v>2583</v>
      </c>
      <c r="C1383" s="0" t="s">
        <v>3525</v>
      </c>
      <c r="E1383" s="0" t="s">
        <v>1479</v>
      </c>
    </row>
    <row r="1384" customFormat="false" ht="15" hidden="false" customHeight="false" outlineLevel="0" collapsed="false">
      <c r="A1384" s="0" t="s">
        <v>31</v>
      </c>
      <c r="B1384" s="0" t="s">
        <v>3526</v>
      </c>
      <c r="C1384" s="0" t="s">
        <v>3527</v>
      </c>
      <c r="D1384" s="0" t="s">
        <v>1876</v>
      </c>
      <c r="E1384" s="0" t="s">
        <v>1479</v>
      </c>
    </row>
    <row r="1385" customFormat="false" ht="15" hidden="false" customHeight="false" outlineLevel="0" collapsed="false">
      <c r="A1385" s="0" t="s">
        <v>31</v>
      </c>
      <c r="B1385" s="0" t="s">
        <v>2585</v>
      </c>
      <c r="C1385" s="0" t="s">
        <v>3528</v>
      </c>
      <c r="E1385" s="0" t="s">
        <v>1479</v>
      </c>
    </row>
    <row r="1386" customFormat="false" ht="15" hidden="false" customHeight="false" outlineLevel="0" collapsed="false">
      <c r="A1386" s="0" t="s">
        <v>31</v>
      </c>
      <c r="B1386" s="0" t="s">
        <v>1548</v>
      </c>
      <c r="C1386" s="0" t="s">
        <v>3529</v>
      </c>
      <c r="E1386" s="0" t="s">
        <v>1479</v>
      </c>
    </row>
    <row r="1387" customFormat="false" ht="15" hidden="false" customHeight="false" outlineLevel="0" collapsed="false">
      <c r="A1387" s="0" t="s">
        <v>31</v>
      </c>
      <c r="B1387" s="0" t="s">
        <v>2588</v>
      </c>
      <c r="C1387" s="0" t="s">
        <v>3530</v>
      </c>
      <c r="D1387" s="0" t="s">
        <v>3396</v>
      </c>
      <c r="E1387" s="0" t="s">
        <v>1479</v>
      </c>
    </row>
    <row r="1388" customFormat="false" ht="15" hidden="false" customHeight="false" outlineLevel="0" collapsed="false">
      <c r="A1388" s="0" t="s">
        <v>31</v>
      </c>
      <c r="B1388" s="0" t="s">
        <v>1550</v>
      </c>
      <c r="C1388" s="0" t="s">
        <v>3531</v>
      </c>
      <c r="D1388" s="0" t="s">
        <v>3396</v>
      </c>
      <c r="E1388" s="0" t="s">
        <v>1479</v>
      </c>
    </row>
    <row r="1389" customFormat="false" ht="15" hidden="false" customHeight="false" outlineLevel="0" collapsed="false">
      <c r="A1389" s="0" t="s">
        <v>31</v>
      </c>
      <c r="B1389" s="0" t="s">
        <v>1552</v>
      </c>
      <c r="C1389" s="0" t="s">
        <v>3532</v>
      </c>
      <c r="D1389" s="0" t="s">
        <v>3396</v>
      </c>
      <c r="E1389" s="0" t="s">
        <v>1479</v>
      </c>
    </row>
    <row r="1390" customFormat="false" ht="15" hidden="false" customHeight="false" outlineLevel="0" collapsed="false">
      <c r="A1390" s="0" t="s">
        <v>31</v>
      </c>
      <c r="B1390" s="0" t="s">
        <v>1554</v>
      </c>
      <c r="C1390" s="0" t="s">
        <v>3533</v>
      </c>
      <c r="D1390" s="0" t="s">
        <v>3396</v>
      </c>
      <c r="E1390" s="0" t="s">
        <v>1479</v>
      </c>
    </row>
    <row r="1391" customFormat="false" ht="15" hidden="false" customHeight="false" outlineLevel="0" collapsed="false">
      <c r="A1391" s="0" t="s">
        <v>31</v>
      </c>
      <c r="B1391" s="0" t="s">
        <v>2593</v>
      </c>
      <c r="C1391" s="0" t="s">
        <v>3534</v>
      </c>
      <c r="D1391" s="0" t="s">
        <v>1876</v>
      </c>
      <c r="E1391" s="0" t="s">
        <v>1479</v>
      </c>
    </row>
    <row r="1392" customFormat="false" ht="15" hidden="false" customHeight="false" outlineLevel="0" collapsed="false">
      <c r="A1392" s="0" t="s">
        <v>31</v>
      </c>
      <c r="B1392" s="0" t="s">
        <v>2595</v>
      </c>
      <c r="C1392" s="0" t="s">
        <v>3535</v>
      </c>
      <c r="E1392" s="0" t="s">
        <v>1479</v>
      </c>
    </row>
    <row r="1393" customFormat="false" ht="15" hidden="false" customHeight="false" outlineLevel="0" collapsed="false">
      <c r="A1393" s="0" t="s">
        <v>31</v>
      </c>
      <c r="B1393" s="0" t="s">
        <v>3536</v>
      </c>
      <c r="C1393" s="0" t="s">
        <v>3537</v>
      </c>
      <c r="D1393" s="0" t="s">
        <v>1876</v>
      </c>
      <c r="E1393" s="0" t="s">
        <v>1479</v>
      </c>
    </row>
    <row r="1394" customFormat="false" ht="15" hidden="false" customHeight="false" outlineLevel="0" collapsed="false">
      <c r="A1394" s="0" t="s">
        <v>33</v>
      </c>
      <c r="B1394" s="0" t="s">
        <v>1864</v>
      </c>
      <c r="C1394" s="0" t="s">
        <v>3538</v>
      </c>
      <c r="E1394" s="0" t="s">
        <v>3539</v>
      </c>
    </row>
    <row r="1395" customFormat="false" ht="15" hidden="false" customHeight="false" outlineLevel="0" collapsed="false">
      <c r="A1395" s="0" t="s">
        <v>33</v>
      </c>
      <c r="B1395" s="0" t="s">
        <v>1468</v>
      </c>
      <c r="C1395" s="0" t="s">
        <v>3540</v>
      </c>
      <c r="E1395" s="0" t="s">
        <v>3236</v>
      </c>
    </row>
    <row r="1396" customFormat="false" ht="15" hidden="false" customHeight="false" outlineLevel="0" collapsed="false">
      <c r="A1396" s="0" t="s">
        <v>33</v>
      </c>
      <c r="B1396" s="0" t="s">
        <v>2438</v>
      </c>
      <c r="C1396" s="0" t="s">
        <v>3541</v>
      </c>
      <c r="E1396" s="0" t="s">
        <v>3542</v>
      </c>
    </row>
    <row r="1397" customFormat="false" ht="15" hidden="false" customHeight="false" outlineLevel="0" collapsed="false">
      <c r="A1397" s="0" t="s">
        <v>33</v>
      </c>
      <c r="B1397" s="0" t="s">
        <v>2441</v>
      </c>
      <c r="C1397" s="0" t="s">
        <v>3543</v>
      </c>
      <c r="E1397" s="0" t="s">
        <v>3544</v>
      </c>
    </row>
    <row r="1398" customFormat="false" ht="15" hidden="false" customHeight="false" outlineLevel="0" collapsed="false">
      <c r="A1398" s="0" t="s">
        <v>33</v>
      </c>
      <c r="B1398" s="0" t="s">
        <v>1867</v>
      </c>
      <c r="C1398" s="0" t="s">
        <v>3545</v>
      </c>
      <c r="E1398" s="0" t="s">
        <v>3546</v>
      </c>
    </row>
    <row r="1399" customFormat="false" ht="15" hidden="false" customHeight="false" outlineLevel="0" collapsed="false">
      <c r="A1399" s="0" t="s">
        <v>33</v>
      </c>
      <c r="B1399" s="0" t="s">
        <v>2117</v>
      </c>
      <c r="C1399" s="0" t="s">
        <v>3547</v>
      </c>
      <c r="E1399" s="0" t="s">
        <v>3548</v>
      </c>
    </row>
    <row r="1400" customFormat="false" ht="15" hidden="false" customHeight="false" outlineLevel="0" collapsed="false">
      <c r="A1400" s="0" t="s">
        <v>33</v>
      </c>
      <c r="B1400" s="0" t="s">
        <v>2120</v>
      </c>
      <c r="C1400" s="0" t="s">
        <v>3549</v>
      </c>
      <c r="E1400" s="0" t="s">
        <v>3550</v>
      </c>
    </row>
    <row r="1401" customFormat="false" ht="15" hidden="false" customHeight="false" outlineLevel="0" collapsed="false">
      <c r="A1401" s="0" t="s">
        <v>33</v>
      </c>
      <c r="B1401" s="0" t="s">
        <v>2123</v>
      </c>
      <c r="C1401" s="0" t="s">
        <v>3551</v>
      </c>
      <c r="E1401" s="0" t="s">
        <v>3544</v>
      </c>
    </row>
    <row r="1402" customFormat="false" ht="15" hidden="false" customHeight="false" outlineLevel="0" collapsed="false">
      <c r="A1402" s="0" t="s">
        <v>33</v>
      </c>
      <c r="B1402" s="0" t="s">
        <v>1870</v>
      </c>
      <c r="C1402" s="0" t="s">
        <v>3552</v>
      </c>
      <c r="E1402" s="0" t="s">
        <v>3553</v>
      </c>
    </row>
    <row r="1403" customFormat="false" ht="15" hidden="false" customHeight="false" outlineLevel="0" collapsed="false">
      <c r="A1403" s="0" t="s">
        <v>33</v>
      </c>
      <c r="B1403" s="0" t="s">
        <v>2148</v>
      </c>
      <c r="C1403" s="0" t="s">
        <v>3554</v>
      </c>
      <c r="E1403" s="0" t="s">
        <v>3555</v>
      </c>
    </row>
    <row r="1404" customFormat="false" ht="15" hidden="false" customHeight="false" outlineLevel="0" collapsed="false">
      <c r="A1404" s="0" t="s">
        <v>33</v>
      </c>
      <c r="B1404" s="0" t="s">
        <v>2150</v>
      </c>
      <c r="C1404" s="0" t="s">
        <v>3556</v>
      </c>
      <c r="E1404" s="0" t="s">
        <v>3557</v>
      </c>
    </row>
    <row r="1405" customFormat="false" ht="15" hidden="false" customHeight="false" outlineLevel="0" collapsed="false">
      <c r="A1405" s="0" t="s">
        <v>33</v>
      </c>
      <c r="B1405" s="0" t="s">
        <v>2153</v>
      </c>
      <c r="C1405" s="0" t="s">
        <v>3558</v>
      </c>
      <c r="E1405" s="0" t="s">
        <v>3559</v>
      </c>
    </row>
    <row r="1406" customFormat="false" ht="15" hidden="false" customHeight="false" outlineLevel="0" collapsed="false">
      <c r="A1406" s="0" t="s">
        <v>33</v>
      </c>
      <c r="B1406" s="0" t="s">
        <v>1471</v>
      </c>
      <c r="C1406" s="0" t="s">
        <v>3560</v>
      </c>
      <c r="E1406" s="0" t="s">
        <v>3561</v>
      </c>
    </row>
    <row r="1407" customFormat="false" ht="15" hidden="false" customHeight="false" outlineLevel="0" collapsed="false">
      <c r="A1407" s="0" t="s">
        <v>33</v>
      </c>
      <c r="B1407" s="0" t="s">
        <v>2174</v>
      </c>
      <c r="C1407" s="0" t="s">
        <v>3562</v>
      </c>
      <c r="E1407" s="0" t="s">
        <v>3563</v>
      </c>
    </row>
    <row r="1408" customFormat="false" ht="15" hidden="false" customHeight="false" outlineLevel="0" collapsed="false">
      <c r="A1408" s="0" t="s">
        <v>33</v>
      </c>
      <c r="B1408" s="0" t="s">
        <v>1474</v>
      </c>
      <c r="C1408" s="0" t="s">
        <v>3564</v>
      </c>
      <c r="E1408" s="0" t="s">
        <v>3565</v>
      </c>
    </row>
    <row r="1409" customFormat="false" ht="15" hidden="false" customHeight="false" outlineLevel="0" collapsed="false">
      <c r="A1409" s="0" t="s">
        <v>33</v>
      </c>
      <c r="B1409" s="0" t="s">
        <v>1477</v>
      </c>
      <c r="C1409" s="0" t="s">
        <v>3566</v>
      </c>
      <c r="E1409" s="0" t="s">
        <v>3559</v>
      </c>
    </row>
    <row r="1410" customFormat="false" ht="15" hidden="false" customHeight="false" outlineLevel="0" collapsed="false">
      <c r="A1410" s="0" t="s">
        <v>33</v>
      </c>
      <c r="B1410" s="0" t="s">
        <v>1480</v>
      </c>
      <c r="C1410" s="0" t="s">
        <v>3567</v>
      </c>
      <c r="E1410" s="0" t="s">
        <v>3568</v>
      </c>
    </row>
    <row r="1411" customFormat="false" ht="15" hidden="false" customHeight="false" outlineLevel="0" collapsed="false">
      <c r="A1411" s="0" t="s">
        <v>33</v>
      </c>
      <c r="B1411" s="0" t="s">
        <v>2197</v>
      </c>
      <c r="C1411" s="0" t="s">
        <v>3569</v>
      </c>
      <c r="E1411" s="0" t="s">
        <v>3570</v>
      </c>
    </row>
    <row r="1412" customFormat="false" ht="15" hidden="false" customHeight="false" outlineLevel="0" collapsed="false">
      <c r="A1412" s="0" t="s">
        <v>33</v>
      </c>
      <c r="B1412" s="0" t="s">
        <v>1483</v>
      </c>
      <c r="C1412" s="0" t="s">
        <v>3571</v>
      </c>
      <c r="E1412" s="0" t="s">
        <v>3572</v>
      </c>
    </row>
    <row r="1413" customFormat="false" ht="15" hidden="false" customHeight="false" outlineLevel="0" collapsed="false">
      <c r="A1413" s="0" t="s">
        <v>33</v>
      </c>
      <c r="B1413" s="0" t="s">
        <v>1486</v>
      </c>
      <c r="C1413" s="0" t="s">
        <v>3573</v>
      </c>
      <c r="E1413" s="0" t="s">
        <v>3574</v>
      </c>
    </row>
    <row r="1414" customFormat="false" ht="15" hidden="false" customHeight="false" outlineLevel="0" collapsed="false">
      <c r="A1414" s="0" t="s">
        <v>35</v>
      </c>
      <c r="B1414" s="0" t="s">
        <v>1864</v>
      </c>
      <c r="C1414" s="0" t="s">
        <v>3575</v>
      </c>
      <c r="E1414" s="0" t="s">
        <v>3576</v>
      </c>
    </row>
    <row r="1415" customFormat="false" ht="15" hidden="false" customHeight="false" outlineLevel="0" collapsed="false">
      <c r="A1415" s="0" t="s">
        <v>35</v>
      </c>
      <c r="B1415" s="0" t="s">
        <v>1468</v>
      </c>
      <c r="C1415" s="0" t="s">
        <v>3577</v>
      </c>
      <c r="E1415" s="0" t="s">
        <v>3578</v>
      </c>
    </row>
    <row r="1416" customFormat="false" ht="15" hidden="false" customHeight="false" outlineLevel="0" collapsed="false">
      <c r="A1416" s="0" t="s">
        <v>35</v>
      </c>
      <c r="B1416" s="0" t="s">
        <v>2438</v>
      </c>
      <c r="C1416" s="0" t="s">
        <v>3579</v>
      </c>
      <c r="E1416" s="0" t="s">
        <v>1479</v>
      </c>
    </row>
    <row r="1417" customFormat="false" ht="15" hidden="false" customHeight="false" outlineLevel="0" collapsed="false">
      <c r="A1417" s="0" t="s">
        <v>35</v>
      </c>
      <c r="B1417" s="0" t="s">
        <v>1867</v>
      </c>
      <c r="C1417" s="0" t="s">
        <v>3580</v>
      </c>
      <c r="E1417" s="0" t="s">
        <v>3576</v>
      </c>
    </row>
    <row r="1418" customFormat="false" ht="15" hidden="false" customHeight="false" outlineLevel="0" collapsed="false">
      <c r="A1418" s="0" t="s">
        <v>35</v>
      </c>
      <c r="B1418" s="0" t="s">
        <v>2117</v>
      </c>
      <c r="C1418" s="0" t="s">
        <v>3581</v>
      </c>
      <c r="E1418" s="0" t="s">
        <v>3582</v>
      </c>
    </row>
    <row r="1419" customFormat="false" ht="15" hidden="false" customHeight="false" outlineLevel="0" collapsed="false">
      <c r="A1419" s="0" t="s">
        <v>35</v>
      </c>
      <c r="B1419" s="0" t="s">
        <v>2120</v>
      </c>
      <c r="C1419" s="0" t="s">
        <v>3583</v>
      </c>
      <c r="E1419" s="0" t="s">
        <v>1479</v>
      </c>
    </row>
    <row r="1420" customFormat="false" ht="15" hidden="false" customHeight="false" outlineLevel="0" collapsed="false">
      <c r="A1420" s="0" t="s">
        <v>35</v>
      </c>
      <c r="B1420" s="0" t="s">
        <v>1870</v>
      </c>
      <c r="C1420" s="0" t="s">
        <v>3584</v>
      </c>
      <c r="E1420" s="0" t="s">
        <v>3585</v>
      </c>
    </row>
    <row r="1421" customFormat="false" ht="15" hidden="false" customHeight="false" outlineLevel="0" collapsed="false">
      <c r="A1421" s="0" t="s">
        <v>35</v>
      </c>
      <c r="B1421" s="0" t="s">
        <v>2148</v>
      </c>
      <c r="C1421" s="0" t="s">
        <v>3586</v>
      </c>
      <c r="E1421" s="0" t="s">
        <v>3587</v>
      </c>
    </row>
    <row r="1422" customFormat="false" ht="15" hidden="false" customHeight="false" outlineLevel="0" collapsed="false">
      <c r="A1422" s="0" t="s">
        <v>35</v>
      </c>
      <c r="B1422" s="0" t="s">
        <v>2150</v>
      </c>
      <c r="C1422" s="0" t="s">
        <v>3588</v>
      </c>
      <c r="E1422" s="0" t="s">
        <v>1479</v>
      </c>
    </row>
    <row r="1423" customFormat="false" ht="15" hidden="false" customHeight="false" outlineLevel="0" collapsed="false">
      <c r="A1423" s="0" t="s">
        <v>35</v>
      </c>
      <c r="B1423" s="0" t="s">
        <v>1471</v>
      </c>
      <c r="C1423" s="0" t="s">
        <v>3589</v>
      </c>
      <c r="E1423" s="0" t="s">
        <v>3576</v>
      </c>
    </row>
    <row r="1424" customFormat="false" ht="15" hidden="false" customHeight="false" outlineLevel="0" collapsed="false">
      <c r="A1424" s="0" t="s">
        <v>35</v>
      </c>
      <c r="B1424" s="0" t="s">
        <v>2174</v>
      </c>
      <c r="C1424" s="0" t="s">
        <v>3590</v>
      </c>
      <c r="E1424" s="0" t="s">
        <v>3591</v>
      </c>
    </row>
    <row r="1425" customFormat="false" ht="15" hidden="false" customHeight="false" outlineLevel="0" collapsed="false">
      <c r="A1425" s="0" t="s">
        <v>35</v>
      </c>
      <c r="B1425" s="0" t="s">
        <v>1474</v>
      </c>
      <c r="C1425" s="0" t="s">
        <v>3592</v>
      </c>
      <c r="E1425" s="0" t="s">
        <v>1479</v>
      </c>
    </row>
    <row r="1426" customFormat="false" ht="15" hidden="false" customHeight="false" outlineLevel="0" collapsed="false">
      <c r="A1426" s="0" t="s">
        <v>35</v>
      </c>
      <c r="B1426" s="0" t="s">
        <v>1480</v>
      </c>
      <c r="C1426" s="0" t="s">
        <v>3593</v>
      </c>
      <c r="E1426" s="0" t="s">
        <v>3594</v>
      </c>
    </row>
    <row r="1427" customFormat="false" ht="15" hidden="false" customHeight="false" outlineLevel="0" collapsed="false">
      <c r="A1427" s="0" t="s">
        <v>35</v>
      </c>
      <c r="B1427" s="0" t="s">
        <v>2197</v>
      </c>
      <c r="C1427" s="0" t="s">
        <v>3595</v>
      </c>
      <c r="E1427" s="0" t="s">
        <v>3596</v>
      </c>
    </row>
    <row r="1428" customFormat="false" ht="15" hidden="false" customHeight="false" outlineLevel="0" collapsed="false">
      <c r="A1428" s="0" t="s">
        <v>35</v>
      </c>
      <c r="B1428" s="0" t="s">
        <v>1483</v>
      </c>
      <c r="C1428" s="0" t="s">
        <v>3597</v>
      </c>
      <c r="E1428" s="0" t="s">
        <v>3598</v>
      </c>
    </row>
    <row r="1429" customFormat="false" ht="15" hidden="false" customHeight="false" outlineLevel="0" collapsed="false">
      <c r="A1429" s="0" t="s">
        <v>35</v>
      </c>
      <c r="B1429" s="0" t="s">
        <v>1488</v>
      </c>
      <c r="C1429" s="0" t="s">
        <v>3599</v>
      </c>
      <c r="E1429" s="0" t="s">
        <v>3585</v>
      </c>
    </row>
    <row r="1430" customFormat="false" ht="15" hidden="false" customHeight="false" outlineLevel="0" collapsed="false">
      <c r="A1430" s="0" t="s">
        <v>35</v>
      </c>
      <c r="B1430" s="0" t="s">
        <v>2221</v>
      </c>
      <c r="C1430" s="0" t="s">
        <v>3600</v>
      </c>
      <c r="E1430" s="0" t="s">
        <v>2073</v>
      </c>
    </row>
    <row r="1431" customFormat="false" ht="15" hidden="false" customHeight="false" outlineLevel="0" collapsed="false">
      <c r="A1431" s="0" t="s">
        <v>35</v>
      </c>
      <c r="B1431" s="0" t="s">
        <v>1490</v>
      </c>
      <c r="C1431" s="0" t="s">
        <v>3601</v>
      </c>
      <c r="E1431" s="0" t="s">
        <v>1479</v>
      </c>
    </row>
    <row r="1432" customFormat="false" ht="15" hidden="false" customHeight="false" outlineLevel="0" collapsed="false">
      <c r="A1432" s="0" t="s">
        <v>37</v>
      </c>
      <c r="B1432" s="0" t="s">
        <v>1864</v>
      </c>
      <c r="C1432" s="0" t="s">
        <v>3602</v>
      </c>
      <c r="E1432" s="0" t="s">
        <v>3603</v>
      </c>
    </row>
    <row r="1433" customFormat="false" ht="15" hidden="false" customHeight="false" outlineLevel="0" collapsed="false">
      <c r="A1433" s="0" t="s">
        <v>37</v>
      </c>
      <c r="B1433" s="0" t="s">
        <v>1468</v>
      </c>
      <c r="C1433" s="0" t="s">
        <v>3604</v>
      </c>
      <c r="D1433" s="0" t="s">
        <v>1876</v>
      </c>
      <c r="E1433" s="0" t="s">
        <v>3298</v>
      </c>
    </row>
    <row r="1434" customFormat="false" ht="15" hidden="false" customHeight="false" outlineLevel="0" collapsed="false">
      <c r="A1434" s="0" t="s">
        <v>37</v>
      </c>
      <c r="B1434" s="0" t="s">
        <v>1867</v>
      </c>
      <c r="C1434" s="0" t="s">
        <v>3605</v>
      </c>
      <c r="E1434" s="0" t="s">
        <v>3311</v>
      </c>
    </row>
    <row r="1435" customFormat="false" ht="15" hidden="false" customHeight="false" outlineLevel="0" collapsed="false">
      <c r="A1435" s="0" t="s">
        <v>37</v>
      </c>
      <c r="B1435" s="0" t="s">
        <v>2117</v>
      </c>
      <c r="C1435" s="0" t="s">
        <v>3606</v>
      </c>
      <c r="D1435" s="0" t="s">
        <v>1876</v>
      </c>
      <c r="E1435" s="0" t="s">
        <v>3309</v>
      </c>
    </row>
    <row r="1436" customFormat="false" ht="15" hidden="false" customHeight="false" outlineLevel="0" collapsed="false">
      <c r="A1436" s="0" t="s">
        <v>37</v>
      </c>
      <c r="B1436" s="0" t="s">
        <v>1870</v>
      </c>
      <c r="C1436" s="0" t="s">
        <v>3607</v>
      </c>
      <c r="E1436" s="0" t="s">
        <v>1479</v>
      </c>
    </row>
    <row r="1437" customFormat="false" ht="15" hidden="false" customHeight="false" outlineLevel="0" collapsed="false">
      <c r="A1437" s="0" t="s">
        <v>37</v>
      </c>
      <c r="B1437" s="0" t="s">
        <v>2148</v>
      </c>
      <c r="C1437" s="0" t="s">
        <v>3608</v>
      </c>
      <c r="D1437" s="0" t="s">
        <v>1876</v>
      </c>
      <c r="E1437" s="0" t="s">
        <v>1479</v>
      </c>
    </row>
    <row r="1438" customFormat="false" ht="15" hidden="false" customHeight="false" outlineLevel="0" collapsed="false">
      <c r="A1438" s="0" t="s">
        <v>37</v>
      </c>
      <c r="B1438" s="0" t="s">
        <v>1471</v>
      </c>
      <c r="C1438" s="0" t="s">
        <v>3609</v>
      </c>
      <c r="E1438" s="0" t="s">
        <v>1479</v>
      </c>
    </row>
    <row r="1439" customFormat="false" ht="15" hidden="false" customHeight="false" outlineLevel="0" collapsed="false">
      <c r="A1439" s="0" t="s">
        <v>37</v>
      </c>
      <c r="B1439" s="0" t="s">
        <v>2174</v>
      </c>
      <c r="C1439" s="0" t="s">
        <v>3610</v>
      </c>
      <c r="D1439" s="0" t="s">
        <v>1876</v>
      </c>
      <c r="E1439" s="0" t="s">
        <v>1479</v>
      </c>
    </row>
    <row r="1440" customFormat="false" ht="15" hidden="false" customHeight="false" outlineLevel="0" collapsed="false">
      <c r="A1440" s="0" t="s">
        <v>37</v>
      </c>
      <c r="B1440" s="0" t="s">
        <v>1480</v>
      </c>
      <c r="C1440" s="0" t="s">
        <v>3611</v>
      </c>
      <c r="E1440" s="0" t="s">
        <v>1479</v>
      </c>
    </row>
    <row r="1441" customFormat="false" ht="15" hidden="false" customHeight="false" outlineLevel="0" collapsed="false">
      <c r="A1441" s="0" t="s">
        <v>37</v>
      </c>
      <c r="B1441" s="0" t="s">
        <v>2197</v>
      </c>
      <c r="C1441" s="0" t="s">
        <v>3612</v>
      </c>
      <c r="D1441" s="0" t="s">
        <v>1876</v>
      </c>
      <c r="E1441" s="0" t="s">
        <v>1479</v>
      </c>
    </row>
    <row r="1442" customFormat="false" ht="15" hidden="false" customHeight="false" outlineLevel="0" collapsed="false">
      <c r="A1442" s="0" t="s">
        <v>37</v>
      </c>
      <c r="B1442" s="0" t="s">
        <v>1488</v>
      </c>
      <c r="C1442" s="0" t="s">
        <v>3613</v>
      </c>
      <c r="E1442" s="0" t="s">
        <v>1479</v>
      </c>
    </row>
    <row r="1443" customFormat="false" ht="15" hidden="false" customHeight="false" outlineLevel="0" collapsed="false">
      <c r="A1443" s="0" t="s">
        <v>37</v>
      </c>
      <c r="B1443" s="0" t="s">
        <v>2221</v>
      </c>
      <c r="C1443" s="0" t="s">
        <v>3614</v>
      </c>
      <c r="D1443" s="0" t="s">
        <v>1876</v>
      </c>
      <c r="E1443" s="0" t="s">
        <v>1479</v>
      </c>
    </row>
    <row r="1444" customFormat="false" ht="15" hidden="false" customHeight="false" outlineLevel="0" collapsed="false">
      <c r="A1444" s="0" t="s">
        <v>37</v>
      </c>
      <c r="B1444" s="0" t="s">
        <v>2443</v>
      </c>
      <c r="C1444" s="0" t="s">
        <v>3615</v>
      </c>
      <c r="E1444" s="0" t="s">
        <v>3616</v>
      </c>
    </row>
    <row r="1445" customFormat="false" ht="15" hidden="false" customHeight="false" outlineLevel="0" collapsed="false">
      <c r="A1445" s="0" t="s">
        <v>37</v>
      </c>
      <c r="B1445" s="0" t="s">
        <v>2796</v>
      </c>
      <c r="C1445" s="0" t="s">
        <v>3617</v>
      </c>
      <c r="D1445" s="0" t="s">
        <v>1876</v>
      </c>
      <c r="E1445" s="0" t="s">
        <v>2964</v>
      </c>
    </row>
    <row r="1446" customFormat="false" ht="15" hidden="false" customHeight="false" outlineLevel="0" collapsed="false">
      <c r="A1446" s="0" t="s">
        <v>37</v>
      </c>
      <c r="B1446" s="0" t="s">
        <v>2126</v>
      </c>
      <c r="C1446" s="0" t="s">
        <v>3618</v>
      </c>
      <c r="E1446" s="0" t="s">
        <v>3619</v>
      </c>
    </row>
    <row r="1447" customFormat="false" ht="15" hidden="false" customHeight="false" outlineLevel="0" collapsed="false">
      <c r="A1447" s="0" t="s">
        <v>37</v>
      </c>
      <c r="B1447" s="0" t="s">
        <v>2129</v>
      </c>
      <c r="C1447" s="0" t="s">
        <v>3620</v>
      </c>
      <c r="D1447" s="0" t="s">
        <v>1876</v>
      </c>
      <c r="E1447" s="0" t="s">
        <v>3318</v>
      </c>
    </row>
    <row r="1448" customFormat="false" ht="15" hidden="false" customHeight="false" outlineLevel="0" collapsed="false">
      <c r="A1448" s="0" t="s">
        <v>37</v>
      </c>
      <c r="B1448" s="0" t="s">
        <v>2155</v>
      </c>
      <c r="C1448" s="0" t="s">
        <v>3621</v>
      </c>
      <c r="E1448" s="0" t="s">
        <v>1479</v>
      </c>
    </row>
    <row r="1449" customFormat="false" ht="15" hidden="false" customHeight="false" outlineLevel="0" collapsed="false">
      <c r="A1449" s="0" t="s">
        <v>37</v>
      </c>
      <c r="B1449" s="0" t="s">
        <v>2157</v>
      </c>
      <c r="C1449" s="0" t="s">
        <v>3622</v>
      </c>
      <c r="D1449" s="0" t="s">
        <v>1876</v>
      </c>
      <c r="E1449" s="0" t="s">
        <v>1479</v>
      </c>
    </row>
    <row r="1450" customFormat="false" ht="15" hidden="false" customHeight="false" outlineLevel="0" collapsed="false">
      <c r="A1450" s="0" t="s">
        <v>37</v>
      </c>
      <c r="B1450" s="0" t="s">
        <v>2179</v>
      </c>
      <c r="C1450" s="0" t="s">
        <v>3623</v>
      </c>
      <c r="E1450" s="0" t="s">
        <v>1479</v>
      </c>
    </row>
    <row r="1451" customFormat="false" ht="15" hidden="false" customHeight="false" outlineLevel="0" collapsed="false">
      <c r="A1451" s="0" t="s">
        <v>37</v>
      </c>
      <c r="B1451" s="0" t="s">
        <v>2181</v>
      </c>
      <c r="C1451" s="0" t="s">
        <v>3624</v>
      </c>
      <c r="D1451" s="0" t="s">
        <v>1876</v>
      </c>
      <c r="E1451" s="0" t="s">
        <v>1479</v>
      </c>
    </row>
    <row r="1452" customFormat="false" ht="15" hidden="false" customHeight="false" outlineLevel="0" collapsed="false">
      <c r="A1452" s="0" t="s">
        <v>37</v>
      </c>
      <c r="B1452" s="0" t="s">
        <v>2203</v>
      </c>
      <c r="C1452" s="0" t="s">
        <v>3625</v>
      </c>
      <c r="E1452" s="0" t="s">
        <v>1479</v>
      </c>
    </row>
    <row r="1453" customFormat="false" ht="15" hidden="false" customHeight="false" outlineLevel="0" collapsed="false">
      <c r="A1453" s="0" t="s">
        <v>37</v>
      </c>
      <c r="B1453" s="0" t="s">
        <v>2205</v>
      </c>
      <c r="C1453" s="0" t="s">
        <v>3626</v>
      </c>
      <c r="D1453" s="0" t="s">
        <v>1876</v>
      </c>
      <c r="E1453" s="0" t="s">
        <v>1479</v>
      </c>
    </row>
    <row r="1454" customFormat="false" ht="15" hidden="false" customHeight="false" outlineLevel="0" collapsed="false">
      <c r="A1454" s="0" t="s">
        <v>37</v>
      </c>
      <c r="B1454" s="0" t="s">
        <v>2227</v>
      </c>
      <c r="C1454" s="0" t="s">
        <v>3627</v>
      </c>
      <c r="E1454" s="0" t="s">
        <v>1479</v>
      </c>
    </row>
    <row r="1455" customFormat="false" ht="15" hidden="false" customHeight="false" outlineLevel="0" collapsed="false">
      <c r="A1455" s="0" t="s">
        <v>37</v>
      </c>
      <c r="B1455" s="0" t="s">
        <v>2230</v>
      </c>
      <c r="C1455" s="0" t="s">
        <v>3628</v>
      </c>
      <c r="D1455" s="0" t="s">
        <v>1876</v>
      </c>
      <c r="E1455" s="0" t="s">
        <v>1479</v>
      </c>
    </row>
    <row r="1456" customFormat="false" ht="15" hidden="false" customHeight="false" outlineLevel="0" collapsed="false">
      <c r="A1456" s="0" t="s">
        <v>37</v>
      </c>
      <c r="B1456" s="0" t="s">
        <v>1883</v>
      </c>
      <c r="C1456" s="0" t="s">
        <v>3629</v>
      </c>
      <c r="E1456" s="0" t="s">
        <v>3630</v>
      </c>
    </row>
    <row r="1457" customFormat="false" ht="15" hidden="false" customHeight="false" outlineLevel="0" collapsed="false">
      <c r="A1457" s="0" t="s">
        <v>37</v>
      </c>
      <c r="B1457" s="0" t="s">
        <v>1886</v>
      </c>
      <c r="C1457" s="0" t="s">
        <v>3631</v>
      </c>
      <c r="D1457" s="0" t="s">
        <v>1876</v>
      </c>
      <c r="E1457" s="0" t="s">
        <v>3632</v>
      </c>
    </row>
    <row r="1458" customFormat="false" ht="15" hidden="false" customHeight="false" outlineLevel="0" collapsed="false">
      <c r="A1458" s="0" t="s">
        <v>37</v>
      </c>
      <c r="B1458" s="0" t="s">
        <v>1506</v>
      </c>
      <c r="C1458" s="0" t="s">
        <v>3633</v>
      </c>
      <c r="E1458" s="0" t="s">
        <v>3634</v>
      </c>
    </row>
    <row r="1459" customFormat="false" ht="15" hidden="false" customHeight="false" outlineLevel="0" collapsed="false">
      <c r="A1459" s="0" t="s">
        <v>37</v>
      </c>
      <c r="B1459" s="0" t="s">
        <v>1901</v>
      </c>
      <c r="C1459" s="0" t="s">
        <v>3635</v>
      </c>
      <c r="D1459" s="0" t="s">
        <v>1876</v>
      </c>
      <c r="E1459" s="0" t="s">
        <v>2492</v>
      </c>
    </row>
    <row r="1460" customFormat="false" ht="15" hidden="false" customHeight="false" outlineLevel="0" collapsed="false">
      <c r="A1460" s="0" t="s">
        <v>37</v>
      </c>
      <c r="B1460" s="0" t="s">
        <v>1518</v>
      </c>
      <c r="C1460" s="0" t="s">
        <v>3636</v>
      </c>
      <c r="E1460" s="0" t="s">
        <v>1479</v>
      </c>
    </row>
    <row r="1461" customFormat="false" ht="15" hidden="false" customHeight="false" outlineLevel="0" collapsed="false">
      <c r="A1461" s="0" t="s">
        <v>37</v>
      </c>
      <c r="B1461" s="0" t="s">
        <v>1912</v>
      </c>
      <c r="C1461" s="0" t="s">
        <v>3637</v>
      </c>
      <c r="D1461" s="0" t="s">
        <v>1876</v>
      </c>
      <c r="E1461" s="0" t="s">
        <v>1479</v>
      </c>
    </row>
    <row r="1462" customFormat="false" ht="15" hidden="false" customHeight="false" outlineLevel="0" collapsed="false">
      <c r="A1462" s="0" t="s">
        <v>37</v>
      </c>
      <c r="B1462" s="0" t="s">
        <v>1529</v>
      </c>
      <c r="C1462" s="0" t="s">
        <v>3638</v>
      </c>
      <c r="E1462" s="0" t="s">
        <v>1479</v>
      </c>
    </row>
    <row r="1463" customFormat="false" ht="15" hidden="false" customHeight="false" outlineLevel="0" collapsed="false">
      <c r="A1463" s="0" t="s">
        <v>37</v>
      </c>
      <c r="B1463" s="0" t="s">
        <v>1920</v>
      </c>
      <c r="C1463" s="0" t="s">
        <v>3639</v>
      </c>
      <c r="D1463" s="0" t="s">
        <v>1876</v>
      </c>
      <c r="E1463" s="0" t="s">
        <v>1479</v>
      </c>
    </row>
    <row r="1464" customFormat="false" ht="15" hidden="false" customHeight="false" outlineLevel="0" collapsed="false">
      <c r="A1464" s="0" t="s">
        <v>37</v>
      </c>
      <c r="B1464" s="0" t="s">
        <v>1540</v>
      </c>
      <c r="C1464" s="0" t="s">
        <v>3640</v>
      </c>
      <c r="E1464" s="0" t="s">
        <v>1479</v>
      </c>
    </row>
    <row r="1465" customFormat="false" ht="15" hidden="false" customHeight="false" outlineLevel="0" collapsed="false">
      <c r="A1465" s="0" t="s">
        <v>37</v>
      </c>
      <c r="B1465" s="0" t="s">
        <v>1928</v>
      </c>
      <c r="C1465" s="0" t="s">
        <v>3641</v>
      </c>
      <c r="D1465" s="0" t="s">
        <v>1876</v>
      </c>
      <c r="E1465" s="0" t="s">
        <v>1479</v>
      </c>
    </row>
    <row r="1466" customFormat="false" ht="15" hidden="false" customHeight="false" outlineLevel="0" collapsed="false">
      <c r="A1466" s="0" t="s">
        <v>37</v>
      </c>
      <c r="B1466" s="0" t="s">
        <v>1548</v>
      </c>
      <c r="C1466" s="0" t="s">
        <v>3642</v>
      </c>
      <c r="E1466" s="0" t="s">
        <v>1479</v>
      </c>
    </row>
    <row r="1467" customFormat="false" ht="15" hidden="false" customHeight="false" outlineLevel="0" collapsed="false">
      <c r="A1467" s="0" t="s">
        <v>37</v>
      </c>
      <c r="B1467" s="0" t="s">
        <v>2588</v>
      </c>
      <c r="C1467" s="0" t="s">
        <v>3643</v>
      </c>
      <c r="D1467" s="0" t="s">
        <v>1876</v>
      </c>
      <c r="E1467" s="0" t="s">
        <v>1479</v>
      </c>
    </row>
    <row r="1468" customFormat="false" ht="15" hidden="false" customHeight="false" outlineLevel="0" collapsed="false">
      <c r="A1468" s="0" t="s">
        <v>37</v>
      </c>
      <c r="B1468" s="0" t="s">
        <v>1894</v>
      </c>
      <c r="C1468" s="0" t="s">
        <v>3644</v>
      </c>
      <c r="E1468" s="0" t="s">
        <v>2456</v>
      </c>
    </row>
    <row r="1469" customFormat="false" ht="15" hidden="false" customHeight="false" outlineLevel="0" collapsed="false">
      <c r="A1469" s="0" t="s">
        <v>37</v>
      </c>
      <c r="B1469" s="0" t="s">
        <v>2319</v>
      </c>
      <c r="C1469" s="0" t="s">
        <v>3645</v>
      </c>
      <c r="D1469" s="0" t="s">
        <v>1876</v>
      </c>
      <c r="E1469" s="0" t="s">
        <v>2452</v>
      </c>
    </row>
    <row r="1470" customFormat="false" ht="15" hidden="false" customHeight="false" outlineLevel="0" collapsed="false">
      <c r="A1470" s="0" t="s">
        <v>37</v>
      </c>
      <c r="B1470" s="0" t="s">
        <v>1515</v>
      </c>
      <c r="C1470" s="0" t="s">
        <v>3646</v>
      </c>
      <c r="E1470" s="0" t="s">
        <v>3647</v>
      </c>
    </row>
    <row r="1471" customFormat="false" ht="15" hidden="false" customHeight="false" outlineLevel="0" collapsed="false">
      <c r="A1471" s="0" t="s">
        <v>37</v>
      </c>
      <c r="B1471" s="0" t="s">
        <v>2337</v>
      </c>
      <c r="C1471" s="0" t="s">
        <v>3648</v>
      </c>
      <c r="D1471" s="0" t="s">
        <v>1876</v>
      </c>
      <c r="E1471" s="0" t="s">
        <v>2504</v>
      </c>
    </row>
    <row r="1472" customFormat="false" ht="15" hidden="false" customHeight="false" outlineLevel="0" collapsed="false">
      <c r="A1472" s="0" t="s">
        <v>37</v>
      </c>
      <c r="B1472" s="0" t="s">
        <v>1527</v>
      </c>
      <c r="C1472" s="0" t="s">
        <v>3649</v>
      </c>
      <c r="E1472" s="0" t="s">
        <v>1479</v>
      </c>
    </row>
    <row r="1473" customFormat="false" ht="15" hidden="false" customHeight="false" outlineLevel="0" collapsed="false">
      <c r="A1473" s="0" t="s">
        <v>37</v>
      </c>
      <c r="B1473" s="0" t="s">
        <v>2926</v>
      </c>
      <c r="C1473" s="0" t="s">
        <v>3650</v>
      </c>
      <c r="D1473" s="0" t="s">
        <v>1876</v>
      </c>
      <c r="E1473" s="0" t="s">
        <v>1479</v>
      </c>
    </row>
    <row r="1474" customFormat="false" ht="15" hidden="false" customHeight="false" outlineLevel="0" collapsed="false">
      <c r="A1474" s="0" t="s">
        <v>37</v>
      </c>
      <c r="B1474" s="0" t="s">
        <v>1537</v>
      </c>
      <c r="C1474" s="0" t="s">
        <v>3651</v>
      </c>
      <c r="E1474" s="0" t="s">
        <v>1479</v>
      </c>
    </row>
    <row r="1475" customFormat="false" ht="15" hidden="false" customHeight="false" outlineLevel="0" collapsed="false">
      <c r="A1475" s="0" t="s">
        <v>37</v>
      </c>
      <c r="B1475" s="0" t="s">
        <v>3652</v>
      </c>
      <c r="C1475" s="0" t="s">
        <v>3653</v>
      </c>
      <c r="D1475" s="0" t="s">
        <v>1876</v>
      </c>
      <c r="E1475" s="0" t="s">
        <v>1479</v>
      </c>
    </row>
    <row r="1476" customFormat="false" ht="15" hidden="false" customHeight="false" outlineLevel="0" collapsed="false">
      <c r="A1476" s="0" t="s">
        <v>37</v>
      </c>
      <c r="B1476" s="0" t="s">
        <v>1546</v>
      </c>
      <c r="C1476" s="0" t="s">
        <v>3654</v>
      </c>
      <c r="E1476" s="0" t="s">
        <v>1479</v>
      </c>
    </row>
    <row r="1477" customFormat="false" ht="15" hidden="false" customHeight="false" outlineLevel="0" collapsed="false">
      <c r="A1477" s="0" t="s">
        <v>37</v>
      </c>
      <c r="B1477" s="0" t="s">
        <v>3655</v>
      </c>
      <c r="C1477" s="0" t="s">
        <v>3656</v>
      </c>
      <c r="D1477" s="0" t="s">
        <v>1876</v>
      </c>
      <c r="E1477" s="0" t="s">
        <v>1479</v>
      </c>
    </row>
    <row r="1478" customFormat="false" ht="15" hidden="false" customHeight="false" outlineLevel="0" collapsed="false">
      <c r="A1478" s="0" t="s">
        <v>37</v>
      </c>
      <c r="B1478" s="0" t="s">
        <v>1554</v>
      </c>
      <c r="C1478" s="0" t="s">
        <v>3657</v>
      </c>
      <c r="E1478" s="0" t="s">
        <v>1479</v>
      </c>
    </row>
    <row r="1479" customFormat="false" ht="15" hidden="false" customHeight="false" outlineLevel="0" collapsed="false">
      <c r="A1479" s="0" t="s">
        <v>37</v>
      </c>
      <c r="B1479" s="0" t="s">
        <v>3658</v>
      </c>
      <c r="C1479" s="0" t="s">
        <v>3659</v>
      </c>
      <c r="D1479" s="0" t="s">
        <v>1876</v>
      </c>
      <c r="E1479" s="0" t="s">
        <v>1479</v>
      </c>
    </row>
    <row r="1480" customFormat="false" ht="15" hidden="false" customHeight="false" outlineLevel="0" collapsed="false">
      <c r="A1480" s="0" t="s">
        <v>37</v>
      </c>
      <c r="B1480" s="0" t="s">
        <v>2643</v>
      </c>
      <c r="C1480" s="0" t="s">
        <v>3660</v>
      </c>
      <c r="E1480" s="0" t="s">
        <v>3661</v>
      </c>
    </row>
    <row r="1481" customFormat="false" ht="15" hidden="false" customHeight="false" outlineLevel="0" collapsed="false">
      <c r="A1481" s="0" t="s">
        <v>37</v>
      </c>
      <c r="B1481" s="0" t="s">
        <v>1562</v>
      </c>
      <c r="C1481" s="0" t="s">
        <v>3662</v>
      </c>
      <c r="E1481" s="0" t="s">
        <v>3663</v>
      </c>
    </row>
    <row r="1482" customFormat="false" ht="15" hidden="false" customHeight="false" outlineLevel="0" collapsed="false">
      <c r="A1482" s="0" t="s">
        <v>37</v>
      </c>
      <c r="B1482" s="0" t="s">
        <v>2646</v>
      </c>
      <c r="C1482" s="0" t="s">
        <v>3664</v>
      </c>
      <c r="D1482" s="0" t="s">
        <v>3665</v>
      </c>
      <c r="E1482" s="0" t="s">
        <v>3666</v>
      </c>
    </row>
    <row r="1483" customFormat="false" ht="15" hidden="false" customHeight="false" outlineLevel="0" collapsed="false">
      <c r="A1483" s="0" t="s">
        <v>37</v>
      </c>
      <c r="B1483" s="0" t="s">
        <v>2657</v>
      </c>
      <c r="C1483" s="0" t="s">
        <v>3667</v>
      </c>
      <c r="E1483" s="0" t="s">
        <v>3668</v>
      </c>
    </row>
    <row r="1484" customFormat="false" ht="15" hidden="false" customHeight="false" outlineLevel="0" collapsed="false">
      <c r="A1484" s="0" t="s">
        <v>37</v>
      </c>
      <c r="B1484" s="0" t="s">
        <v>1566</v>
      </c>
      <c r="C1484" s="0" t="s">
        <v>3669</v>
      </c>
      <c r="E1484" s="0" t="s">
        <v>3670</v>
      </c>
    </row>
    <row r="1485" customFormat="false" ht="15" hidden="false" customHeight="false" outlineLevel="0" collapsed="false">
      <c r="A1485" s="0" t="s">
        <v>37</v>
      </c>
      <c r="B1485" s="0" t="s">
        <v>2660</v>
      </c>
      <c r="C1485" s="0" t="s">
        <v>3671</v>
      </c>
      <c r="D1485" s="0" t="s">
        <v>3665</v>
      </c>
      <c r="E1485" s="0" t="s">
        <v>3672</v>
      </c>
    </row>
    <row r="1486" customFormat="false" ht="15" hidden="false" customHeight="false" outlineLevel="0" collapsed="false">
      <c r="A1486" s="0" t="s">
        <v>37</v>
      </c>
      <c r="B1486" s="0" t="s">
        <v>2671</v>
      </c>
      <c r="C1486" s="0" t="s">
        <v>3673</v>
      </c>
      <c r="E1486" s="0" t="s">
        <v>3674</v>
      </c>
    </row>
    <row r="1487" customFormat="false" ht="15" hidden="false" customHeight="false" outlineLevel="0" collapsed="false">
      <c r="A1487" s="0" t="s">
        <v>37</v>
      </c>
      <c r="B1487" s="0" t="s">
        <v>1570</v>
      </c>
      <c r="C1487" s="0" t="s">
        <v>3675</v>
      </c>
      <c r="E1487" s="0" t="s">
        <v>3676</v>
      </c>
    </row>
    <row r="1488" customFormat="false" ht="15" hidden="false" customHeight="false" outlineLevel="0" collapsed="false">
      <c r="A1488" s="0" t="s">
        <v>37</v>
      </c>
      <c r="B1488" s="0" t="s">
        <v>2674</v>
      </c>
      <c r="C1488" s="0" t="s">
        <v>3677</v>
      </c>
      <c r="D1488" s="0" t="s">
        <v>3665</v>
      </c>
      <c r="E1488" s="0" t="s">
        <v>3678</v>
      </c>
    </row>
    <row r="1489" customFormat="false" ht="15" hidden="false" customHeight="false" outlineLevel="0" collapsed="false">
      <c r="A1489" s="0" t="s">
        <v>37</v>
      </c>
      <c r="B1489" s="0" t="s">
        <v>2685</v>
      </c>
      <c r="C1489" s="0" t="s">
        <v>3679</v>
      </c>
      <c r="E1489" s="0" t="s">
        <v>1479</v>
      </c>
    </row>
    <row r="1490" customFormat="false" ht="15" hidden="false" customHeight="false" outlineLevel="0" collapsed="false">
      <c r="A1490" s="0" t="s">
        <v>37</v>
      </c>
      <c r="B1490" s="0" t="s">
        <v>1574</v>
      </c>
      <c r="C1490" s="0" t="s">
        <v>3680</v>
      </c>
      <c r="E1490" s="0" t="s">
        <v>1479</v>
      </c>
    </row>
    <row r="1491" customFormat="false" ht="15" hidden="false" customHeight="false" outlineLevel="0" collapsed="false">
      <c r="A1491" s="0" t="s">
        <v>37</v>
      </c>
      <c r="B1491" s="0" t="s">
        <v>2688</v>
      </c>
      <c r="C1491" s="0" t="s">
        <v>3681</v>
      </c>
      <c r="D1491" s="0" t="s">
        <v>3665</v>
      </c>
      <c r="E1491" s="0" t="s">
        <v>1479</v>
      </c>
    </row>
    <row r="1492" customFormat="false" ht="15" hidden="false" customHeight="false" outlineLevel="0" collapsed="false">
      <c r="A1492" s="0" t="s">
        <v>37</v>
      </c>
      <c r="B1492" s="0" t="s">
        <v>1933</v>
      </c>
      <c r="C1492" s="0" t="s">
        <v>3682</v>
      </c>
      <c r="E1492" s="0" t="s">
        <v>1479</v>
      </c>
    </row>
    <row r="1493" customFormat="false" ht="15" hidden="false" customHeight="false" outlineLevel="0" collapsed="false">
      <c r="A1493" s="0" t="s">
        <v>37</v>
      </c>
      <c r="B1493" s="0" t="s">
        <v>1935</v>
      </c>
      <c r="C1493" s="0" t="s">
        <v>3683</v>
      </c>
      <c r="E1493" s="0" t="s">
        <v>1479</v>
      </c>
    </row>
    <row r="1494" customFormat="false" ht="15" hidden="false" customHeight="false" outlineLevel="0" collapsed="false">
      <c r="A1494" s="0" t="s">
        <v>37</v>
      </c>
      <c r="B1494" s="0" t="s">
        <v>1938</v>
      </c>
      <c r="C1494" s="0" t="s">
        <v>3684</v>
      </c>
      <c r="D1494" s="0" t="s">
        <v>3665</v>
      </c>
      <c r="E1494" s="0" t="s">
        <v>1479</v>
      </c>
    </row>
    <row r="1495" customFormat="false" ht="15" hidden="false" customHeight="false" outlineLevel="0" collapsed="false">
      <c r="A1495" s="0" t="s">
        <v>37</v>
      </c>
      <c r="B1495" s="0" t="s">
        <v>1944</v>
      </c>
      <c r="C1495" s="0" t="s">
        <v>3685</v>
      </c>
      <c r="E1495" s="0" t="s">
        <v>1479</v>
      </c>
    </row>
    <row r="1496" customFormat="false" ht="15" hidden="false" customHeight="false" outlineLevel="0" collapsed="false">
      <c r="A1496" s="0" t="s">
        <v>37</v>
      </c>
      <c r="B1496" s="0" t="s">
        <v>1947</v>
      </c>
      <c r="C1496" s="0" t="s">
        <v>3686</v>
      </c>
      <c r="E1496" s="0" t="s">
        <v>1479</v>
      </c>
    </row>
    <row r="1497" customFormat="false" ht="15" hidden="false" customHeight="false" outlineLevel="0" collapsed="false">
      <c r="A1497" s="0" t="s">
        <v>37</v>
      </c>
      <c r="B1497" s="0" t="s">
        <v>1950</v>
      </c>
      <c r="C1497" s="0" t="s">
        <v>3687</v>
      </c>
      <c r="D1497" s="0" t="s">
        <v>3665</v>
      </c>
      <c r="E1497" s="0" t="s">
        <v>1479</v>
      </c>
    </row>
    <row r="1498" customFormat="false" ht="15" hidden="false" customHeight="false" outlineLevel="0" collapsed="false">
      <c r="A1498" s="0" t="s">
        <v>37</v>
      </c>
      <c r="B1498" s="0" t="s">
        <v>1954</v>
      </c>
      <c r="C1498" s="0" t="s">
        <v>3688</v>
      </c>
      <c r="E1498" s="0" t="s">
        <v>1479</v>
      </c>
    </row>
    <row r="1499" customFormat="false" ht="15" hidden="false" customHeight="false" outlineLevel="0" collapsed="false">
      <c r="A1499" s="0" t="s">
        <v>37</v>
      </c>
      <c r="B1499" s="0" t="s">
        <v>1956</v>
      </c>
      <c r="C1499" s="0" t="s">
        <v>3689</v>
      </c>
      <c r="E1499" s="0" t="s">
        <v>1479</v>
      </c>
    </row>
    <row r="1500" customFormat="false" ht="15" hidden="false" customHeight="false" outlineLevel="0" collapsed="false">
      <c r="A1500" s="0" t="s">
        <v>37</v>
      </c>
      <c r="B1500" s="0" t="s">
        <v>1958</v>
      </c>
      <c r="C1500" s="0" t="s">
        <v>3690</v>
      </c>
      <c r="D1500" s="0" t="s">
        <v>3665</v>
      </c>
      <c r="E1500" s="0" t="s">
        <v>1479</v>
      </c>
    </row>
    <row r="1501" customFormat="false" ht="15" hidden="false" customHeight="false" outlineLevel="0" collapsed="false">
      <c r="A1501" s="0" t="s">
        <v>37</v>
      </c>
      <c r="B1501" s="0" t="s">
        <v>1962</v>
      </c>
      <c r="C1501" s="0" t="s">
        <v>3691</v>
      </c>
      <c r="E1501" s="0" t="s">
        <v>1479</v>
      </c>
    </row>
    <row r="1502" customFormat="false" ht="15" hidden="false" customHeight="false" outlineLevel="0" collapsed="false">
      <c r="A1502" s="0" t="s">
        <v>37</v>
      </c>
      <c r="B1502" s="0" t="s">
        <v>1964</v>
      </c>
      <c r="C1502" s="0" t="s">
        <v>3692</v>
      </c>
      <c r="E1502" s="0" t="s">
        <v>1479</v>
      </c>
    </row>
    <row r="1503" customFormat="false" ht="15" hidden="false" customHeight="false" outlineLevel="0" collapsed="false">
      <c r="A1503" s="0" t="s">
        <v>37</v>
      </c>
      <c r="B1503" s="0" t="s">
        <v>1966</v>
      </c>
      <c r="C1503" s="0" t="s">
        <v>3693</v>
      </c>
      <c r="D1503" s="0" t="s">
        <v>3665</v>
      </c>
      <c r="E1503" s="0" t="s">
        <v>1479</v>
      </c>
    </row>
    <row r="1504" customFormat="false" ht="15" hidden="false" customHeight="false" outlineLevel="0" collapsed="false">
      <c r="A1504" s="0" t="s">
        <v>37</v>
      </c>
      <c r="B1504" s="0" t="s">
        <v>3034</v>
      </c>
      <c r="C1504" s="0" t="s">
        <v>3694</v>
      </c>
      <c r="E1504" s="0" t="s">
        <v>1479</v>
      </c>
    </row>
    <row r="1505" customFormat="false" ht="15" hidden="false" customHeight="false" outlineLevel="0" collapsed="false">
      <c r="A1505" s="0" t="s">
        <v>37</v>
      </c>
      <c r="B1505" s="0" t="s">
        <v>3036</v>
      </c>
      <c r="C1505" s="0" t="s">
        <v>3695</v>
      </c>
      <c r="E1505" s="0" t="s">
        <v>1479</v>
      </c>
    </row>
    <row r="1506" customFormat="false" ht="15" hidden="false" customHeight="false" outlineLevel="0" collapsed="false">
      <c r="A1506" s="0" t="s">
        <v>37</v>
      </c>
      <c r="B1506" s="0" t="s">
        <v>2783</v>
      </c>
      <c r="C1506" s="0" t="s">
        <v>3696</v>
      </c>
      <c r="D1506" s="0" t="s">
        <v>3665</v>
      </c>
      <c r="E1506" s="0" t="s">
        <v>1479</v>
      </c>
    </row>
    <row r="1507" customFormat="false" ht="15" hidden="false" customHeight="false" outlineLevel="0" collapsed="false">
      <c r="A1507" s="0" t="s">
        <v>37</v>
      </c>
      <c r="B1507" s="0" t="s">
        <v>3054</v>
      </c>
      <c r="C1507" s="0" t="s">
        <v>3697</v>
      </c>
      <c r="E1507" s="0" t="s">
        <v>1479</v>
      </c>
    </row>
    <row r="1508" customFormat="false" ht="15" hidden="false" customHeight="false" outlineLevel="0" collapsed="false">
      <c r="A1508" s="0" t="s">
        <v>37</v>
      </c>
      <c r="B1508" s="0" t="s">
        <v>3056</v>
      </c>
      <c r="C1508" s="0" t="s">
        <v>3698</v>
      </c>
      <c r="E1508" s="0" t="s">
        <v>1479</v>
      </c>
    </row>
    <row r="1509" customFormat="false" ht="15" hidden="false" customHeight="false" outlineLevel="0" collapsed="false">
      <c r="A1509" s="0" t="s">
        <v>37</v>
      </c>
      <c r="B1509" s="0" t="s">
        <v>3058</v>
      </c>
      <c r="C1509" s="0" t="s">
        <v>3699</v>
      </c>
      <c r="D1509" s="0" t="s">
        <v>3665</v>
      </c>
      <c r="E1509" s="0" t="s">
        <v>1479</v>
      </c>
    </row>
    <row r="1510" customFormat="false" ht="15" hidden="false" customHeight="false" outlineLevel="0" collapsed="false">
      <c r="A1510" s="0" t="s">
        <v>37</v>
      </c>
      <c r="B1510" s="0" t="s">
        <v>3074</v>
      </c>
      <c r="C1510" s="0" t="s">
        <v>3700</v>
      </c>
      <c r="E1510" s="0" t="s">
        <v>1479</v>
      </c>
    </row>
    <row r="1511" customFormat="false" ht="15" hidden="false" customHeight="false" outlineLevel="0" collapsed="false">
      <c r="A1511" s="0" t="s">
        <v>37</v>
      </c>
      <c r="B1511" s="0" t="s">
        <v>2349</v>
      </c>
      <c r="C1511" s="0" t="s">
        <v>3701</v>
      </c>
      <c r="E1511" s="0" t="s">
        <v>1479</v>
      </c>
    </row>
    <row r="1512" customFormat="false" ht="15" hidden="false" customHeight="false" outlineLevel="0" collapsed="false">
      <c r="A1512" s="0" t="s">
        <v>37</v>
      </c>
      <c r="B1512" s="0" t="s">
        <v>2352</v>
      </c>
      <c r="C1512" s="0" t="s">
        <v>3702</v>
      </c>
      <c r="D1512" s="0" t="s">
        <v>3665</v>
      </c>
      <c r="E1512" s="0" t="s">
        <v>1479</v>
      </c>
    </row>
    <row r="1513" customFormat="false" ht="15" hidden="false" customHeight="false" outlineLevel="0" collapsed="false">
      <c r="A1513" s="0" t="s">
        <v>37</v>
      </c>
      <c r="B1513" s="0" t="s">
        <v>1969</v>
      </c>
      <c r="C1513" s="0" t="s">
        <v>3703</v>
      </c>
      <c r="E1513" s="0" t="s">
        <v>1479</v>
      </c>
    </row>
    <row r="1514" customFormat="false" ht="15" hidden="false" customHeight="false" outlineLevel="0" collapsed="false">
      <c r="A1514" s="0" t="s">
        <v>37</v>
      </c>
      <c r="B1514" s="0" t="s">
        <v>1972</v>
      </c>
      <c r="C1514" s="0" t="s">
        <v>3704</v>
      </c>
      <c r="E1514" s="0" t="s">
        <v>1479</v>
      </c>
    </row>
    <row r="1515" customFormat="false" ht="15" hidden="false" customHeight="false" outlineLevel="0" collapsed="false">
      <c r="A1515" s="0" t="s">
        <v>37</v>
      </c>
      <c r="B1515" s="0" t="s">
        <v>1975</v>
      </c>
      <c r="C1515" s="0" t="s">
        <v>3705</v>
      </c>
      <c r="D1515" s="0" t="s">
        <v>3665</v>
      </c>
      <c r="E1515" s="0" t="s">
        <v>1479</v>
      </c>
    </row>
    <row r="1516" customFormat="false" ht="15" hidden="false" customHeight="false" outlineLevel="0" collapsed="false">
      <c r="A1516" s="0" t="s">
        <v>40</v>
      </c>
      <c r="B1516" s="0" t="s">
        <v>118</v>
      </c>
      <c r="C1516" s="0" t="s">
        <v>3706</v>
      </c>
      <c r="E1516" s="0" t="s">
        <v>3707</v>
      </c>
    </row>
    <row r="1517" customFormat="false" ht="15" hidden="false" customHeight="false" outlineLevel="0" collapsed="false">
      <c r="A1517" s="0" t="s">
        <v>40</v>
      </c>
      <c r="B1517" s="0" t="s">
        <v>1864</v>
      </c>
      <c r="C1517" s="0" t="s">
        <v>3708</v>
      </c>
      <c r="E1517" s="0" t="s">
        <v>3709</v>
      </c>
    </row>
    <row r="1518" customFormat="false" ht="15" hidden="false" customHeight="false" outlineLevel="0" collapsed="false">
      <c r="A1518" s="0" t="s">
        <v>40</v>
      </c>
      <c r="B1518" s="0" t="s">
        <v>1867</v>
      </c>
      <c r="C1518" s="0" t="s">
        <v>3710</v>
      </c>
      <c r="E1518" s="0" t="s">
        <v>3711</v>
      </c>
    </row>
    <row r="1519" customFormat="false" ht="15" hidden="false" customHeight="false" outlineLevel="0" collapsed="false">
      <c r="A1519" s="0" t="s">
        <v>40</v>
      </c>
      <c r="B1519" s="0" t="s">
        <v>1870</v>
      </c>
      <c r="C1519" s="0" t="s">
        <v>3712</v>
      </c>
      <c r="E1519" s="0" t="s">
        <v>3713</v>
      </c>
    </row>
    <row r="1520" customFormat="false" ht="15" hidden="false" customHeight="false" outlineLevel="0" collapsed="false">
      <c r="A1520" s="0" t="s">
        <v>40</v>
      </c>
      <c r="B1520" s="0" t="s">
        <v>1471</v>
      </c>
      <c r="C1520" s="0" t="s">
        <v>3714</v>
      </c>
      <c r="E1520" s="0" t="s">
        <v>3715</v>
      </c>
    </row>
    <row r="1521" customFormat="false" ht="15" hidden="false" customHeight="false" outlineLevel="0" collapsed="false">
      <c r="A1521" s="0" t="s">
        <v>40</v>
      </c>
      <c r="B1521" s="0" t="s">
        <v>1480</v>
      </c>
      <c r="C1521" s="0" t="s">
        <v>3716</v>
      </c>
      <c r="E1521" s="0" t="s">
        <v>3717</v>
      </c>
    </row>
    <row r="1522" customFormat="false" ht="15" hidden="false" customHeight="false" outlineLevel="0" collapsed="false">
      <c r="A1522" s="0" t="s">
        <v>40</v>
      </c>
      <c r="B1522" s="0" t="s">
        <v>2271</v>
      </c>
      <c r="C1522" s="0" t="s">
        <v>3718</v>
      </c>
      <c r="E1522" s="0" t="s">
        <v>3053</v>
      </c>
    </row>
    <row r="1523" customFormat="false" ht="15" hidden="false" customHeight="false" outlineLevel="0" collapsed="false">
      <c r="A1523" s="0" t="s">
        <v>40</v>
      </c>
      <c r="B1523" s="0" t="s">
        <v>1502</v>
      </c>
      <c r="C1523" s="0" t="s">
        <v>3719</v>
      </c>
      <c r="E1523" s="0" t="s">
        <v>3720</v>
      </c>
    </row>
    <row r="1524" customFormat="false" ht="15" hidden="false" customHeight="false" outlineLevel="0" collapsed="false">
      <c r="A1524" s="0" t="s">
        <v>40</v>
      </c>
      <c r="B1524" s="0" t="s">
        <v>2293</v>
      </c>
      <c r="C1524" s="0" t="s">
        <v>3721</v>
      </c>
      <c r="E1524" s="0" t="s">
        <v>3722</v>
      </c>
    </row>
    <row r="1525" customFormat="false" ht="15" hidden="false" customHeight="false" outlineLevel="0" collapsed="false">
      <c r="A1525" s="0" t="s">
        <v>40</v>
      </c>
      <c r="B1525" s="0" t="s">
        <v>2295</v>
      </c>
      <c r="C1525" s="0" t="s">
        <v>3723</v>
      </c>
      <c r="E1525" s="0" t="s">
        <v>3724</v>
      </c>
    </row>
    <row r="1526" customFormat="false" ht="15" hidden="false" customHeight="false" outlineLevel="0" collapsed="false">
      <c r="A1526" s="0" t="s">
        <v>40</v>
      </c>
      <c r="B1526" s="0" t="s">
        <v>1886</v>
      </c>
      <c r="C1526" s="0" t="s">
        <v>3725</v>
      </c>
      <c r="E1526" s="0" t="s">
        <v>3053</v>
      </c>
    </row>
    <row r="1527" customFormat="false" ht="15" hidden="false" customHeight="false" outlineLevel="0" collapsed="false">
      <c r="A1527" s="0" t="s">
        <v>40</v>
      </c>
      <c r="B1527" s="0" t="s">
        <v>1888</v>
      </c>
      <c r="C1527" s="0" t="s">
        <v>3726</v>
      </c>
      <c r="E1527" s="0" t="s">
        <v>3727</v>
      </c>
    </row>
    <row r="1528" customFormat="false" ht="15" hidden="false" customHeight="false" outlineLevel="0" collapsed="false">
      <c r="A1528" s="0" t="s">
        <v>40</v>
      </c>
      <c r="B1528" s="0" t="s">
        <v>1901</v>
      </c>
      <c r="C1528" s="0" t="s">
        <v>3728</v>
      </c>
      <c r="E1528" s="0" t="s">
        <v>3722</v>
      </c>
    </row>
    <row r="1529" customFormat="false" ht="15" hidden="false" customHeight="false" outlineLevel="0" collapsed="false">
      <c r="A1529" s="0" t="s">
        <v>40</v>
      </c>
      <c r="B1529" s="0" t="s">
        <v>1509</v>
      </c>
      <c r="C1529" s="0" t="s">
        <v>3729</v>
      </c>
      <c r="E1529" s="0" t="s">
        <v>3730</v>
      </c>
    </row>
    <row r="1530" customFormat="false" ht="15" hidden="false" customHeight="false" outlineLevel="0" collapsed="false">
      <c r="A1530" s="0" t="s">
        <v>40</v>
      </c>
      <c r="B1530" s="0" t="s">
        <v>1912</v>
      </c>
      <c r="C1530" s="0" t="s">
        <v>3731</v>
      </c>
      <c r="E1530" s="0" t="s">
        <v>3053</v>
      </c>
    </row>
    <row r="1531" customFormat="false" ht="15" hidden="false" customHeight="false" outlineLevel="0" collapsed="false">
      <c r="A1531" s="0" t="s">
        <v>40</v>
      </c>
      <c r="B1531" s="0" t="s">
        <v>1521</v>
      </c>
      <c r="C1531" s="0" t="s">
        <v>3732</v>
      </c>
      <c r="E1531" s="0" t="s">
        <v>3733</v>
      </c>
    </row>
    <row r="1532" customFormat="false" ht="15" hidden="false" customHeight="false" outlineLevel="0" collapsed="false">
      <c r="A1532" s="0" t="s">
        <v>42</v>
      </c>
      <c r="B1532" s="0" t="s">
        <v>118</v>
      </c>
      <c r="C1532" s="0" t="s">
        <v>3734</v>
      </c>
      <c r="E1532" s="0" t="s">
        <v>3735</v>
      </c>
    </row>
    <row r="1533" customFormat="false" ht="15" hidden="false" customHeight="false" outlineLevel="0" collapsed="false">
      <c r="A1533" s="0" t="s">
        <v>42</v>
      </c>
      <c r="B1533" s="0" t="s">
        <v>1864</v>
      </c>
      <c r="C1533" s="0" t="s">
        <v>3736</v>
      </c>
      <c r="E1533" s="0" t="s">
        <v>3737</v>
      </c>
    </row>
    <row r="1534" customFormat="false" ht="15" hidden="false" customHeight="false" outlineLevel="0" collapsed="false">
      <c r="A1534" s="0" t="s">
        <v>42</v>
      </c>
      <c r="B1534" s="0" t="s">
        <v>1867</v>
      </c>
      <c r="C1534" s="0" t="s">
        <v>3738</v>
      </c>
      <c r="E1534" s="0" t="s">
        <v>3739</v>
      </c>
    </row>
    <row r="1535" customFormat="false" ht="15" hidden="false" customHeight="false" outlineLevel="0" collapsed="false">
      <c r="A1535" s="0" t="s">
        <v>42</v>
      </c>
      <c r="B1535" s="0" t="s">
        <v>2194</v>
      </c>
      <c r="C1535" s="0" t="s">
        <v>3740</v>
      </c>
      <c r="E1535" s="0" t="s">
        <v>3741</v>
      </c>
    </row>
    <row r="1536" customFormat="false" ht="15" hidden="false" customHeight="false" outlineLevel="0" collapsed="false">
      <c r="A1536" s="0" t="s">
        <v>42</v>
      </c>
      <c r="B1536" s="0" t="s">
        <v>1480</v>
      </c>
      <c r="C1536" s="0" t="s">
        <v>3742</v>
      </c>
      <c r="E1536" s="0" t="s">
        <v>3743</v>
      </c>
    </row>
    <row r="1537" customFormat="false" ht="15" hidden="false" customHeight="false" outlineLevel="0" collapsed="false">
      <c r="A1537" s="0" t="s">
        <v>42</v>
      </c>
      <c r="B1537" s="0" t="s">
        <v>2197</v>
      </c>
      <c r="C1537" s="0" t="s">
        <v>3744</v>
      </c>
      <c r="E1537" s="0" t="s">
        <v>3745</v>
      </c>
    </row>
    <row r="1538" customFormat="false" ht="15" hidden="false" customHeight="false" outlineLevel="0" collapsed="false">
      <c r="A1538" s="0" t="s">
        <v>42</v>
      </c>
      <c r="B1538" s="0" t="s">
        <v>1483</v>
      </c>
      <c r="C1538" s="0" t="s">
        <v>3746</v>
      </c>
      <c r="D1538" s="0" t="s">
        <v>1876</v>
      </c>
      <c r="E1538" s="0" t="s">
        <v>3747</v>
      </c>
    </row>
    <row r="1539" customFormat="false" ht="15" hidden="false" customHeight="false" outlineLevel="0" collapsed="false">
      <c r="A1539" s="0" t="s">
        <v>42</v>
      </c>
      <c r="B1539" s="0" t="s">
        <v>1486</v>
      </c>
      <c r="C1539" s="0" t="s">
        <v>3748</v>
      </c>
      <c r="E1539" s="0" t="s">
        <v>3749</v>
      </c>
    </row>
    <row r="1540" customFormat="false" ht="15" hidden="false" customHeight="false" outlineLevel="0" collapsed="false">
      <c r="A1540" s="0" t="s">
        <v>42</v>
      </c>
      <c r="B1540" s="0" t="s">
        <v>2203</v>
      </c>
      <c r="C1540" s="0" t="s">
        <v>3750</v>
      </c>
      <c r="E1540" s="0" t="s">
        <v>3751</v>
      </c>
    </row>
    <row r="1541" customFormat="false" ht="15" hidden="false" customHeight="false" outlineLevel="0" collapsed="false">
      <c r="A1541" s="0" t="s">
        <v>42</v>
      </c>
      <c r="B1541" s="0" t="s">
        <v>2205</v>
      </c>
      <c r="C1541" s="0" t="s">
        <v>3752</v>
      </c>
      <c r="D1541" s="0" t="s">
        <v>1896</v>
      </c>
      <c r="E1541" s="0" t="s">
        <v>1908</v>
      </c>
    </row>
    <row r="1542" customFormat="false" ht="15" hidden="false" customHeight="false" outlineLevel="0" collapsed="false">
      <c r="A1542" s="0" t="s">
        <v>42</v>
      </c>
      <c r="B1542" s="0" t="s">
        <v>2218</v>
      </c>
      <c r="C1542" s="0" t="s">
        <v>3753</v>
      </c>
      <c r="E1542" s="0" t="s">
        <v>3754</v>
      </c>
    </row>
    <row r="1543" customFormat="false" ht="15" hidden="false" customHeight="false" outlineLevel="0" collapsed="false">
      <c r="A1543" s="0" t="s">
        <v>42</v>
      </c>
      <c r="B1543" s="0" t="s">
        <v>1488</v>
      </c>
      <c r="C1543" s="0" t="s">
        <v>3755</v>
      </c>
      <c r="E1543" s="0" t="s">
        <v>3756</v>
      </c>
    </row>
    <row r="1544" customFormat="false" ht="15" hidden="false" customHeight="false" outlineLevel="0" collapsed="false">
      <c r="A1544" s="0" t="s">
        <v>42</v>
      </c>
      <c r="B1544" s="0" t="s">
        <v>2221</v>
      </c>
      <c r="C1544" s="0" t="s">
        <v>3757</v>
      </c>
      <c r="E1544" s="0" t="s">
        <v>3758</v>
      </c>
    </row>
    <row r="1545" customFormat="false" ht="15" hidden="false" customHeight="false" outlineLevel="0" collapsed="false">
      <c r="A1545" s="0" t="s">
        <v>42</v>
      </c>
      <c r="B1545" s="0" t="s">
        <v>1490</v>
      </c>
      <c r="C1545" s="0" t="s">
        <v>3759</v>
      </c>
      <c r="D1545" s="0" t="s">
        <v>1876</v>
      </c>
      <c r="E1545" s="0" t="s">
        <v>3760</v>
      </c>
    </row>
    <row r="1546" customFormat="false" ht="15" hidden="false" customHeight="false" outlineLevel="0" collapsed="false">
      <c r="A1546" s="0" t="s">
        <v>42</v>
      </c>
      <c r="B1546" s="0" t="s">
        <v>1492</v>
      </c>
      <c r="C1546" s="0" t="s">
        <v>3761</v>
      </c>
      <c r="E1546" s="0" t="s">
        <v>3762</v>
      </c>
    </row>
    <row r="1547" customFormat="false" ht="15" hidden="false" customHeight="false" outlineLevel="0" collapsed="false">
      <c r="A1547" s="0" t="s">
        <v>42</v>
      </c>
      <c r="B1547" s="0" t="s">
        <v>2227</v>
      </c>
      <c r="C1547" s="0" t="s">
        <v>3763</v>
      </c>
      <c r="E1547" s="0" t="s">
        <v>3764</v>
      </c>
    </row>
    <row r="1548" customFormat="false" ht="15" hidden="false" customHeight="false" outlineLevel="0" collapsed="false">
      <c r="A1548" s="0" t="s">
        <v>42</v>
      </c>
      <c r="B1548" s="0" t="s">
        <v>2230</v>
      </c>
      <c r="C1548" s="0" t="s">
        <v>3765</v>
      </c>
      <c r="D1548" s="0" t="s">
        <v>1896</v>
      </c>
      <c r="E1548" s="0" t="s">
        <v>1908</v>
      </c>
    </row>
    <row r="1549" customFormat="false" ht="15" hidden="false" customHeight="false" outlineLevel="0" collapsed="false">
      <c r="A1549" s="0" t="s">
        <v>42</v>
      </c>
      <c r="B1549" s="0" t="s">
        <v>2244</v>
      </c>
      <c r="C1549" s="0" t="s">
        <v>3766</v>
      </c>
      <c r="E1549" s="0" t="s">
        <v>3767</v>
      </c>
    </row>
    <row r="1550" customFormat="false" ht="15" hidden="false" customHeight="false" outlineLevel="0" collapsed="false">
      <c r="A1550" s="0" t="s">
        <v>42</v>
      </c>
      <c r="B1550" s="0" t="s">
        <v>1494</v>
      </c>
      <c r="C1550" s="0" t="s">
        <v>3768</v>
      </c>
      <c r="E1550" s="0" t="s">
        <v>3769</v>
      </c>
    </row>
    <row r="1551" customFormat="false" ht="15" hidden="false" customHeight="false" outlineLevel="0" collapsed="false">
      <c r="A1551" s="0" t="s">
        <v>42</v>
      </c>
      <c r="B1551" s="0" t="s">
        <v>2247</v>
      </c>
      <c r="C1551" s="0" t="s">
        <v>3770</v>
      </c>
      <c r="E1551" s="0" t="s">
        <v>3771</v>
      </c>
    </row>
    <row r="1552" customFormat="false" ht="15" hidden="false" customHeight="false" outlineLevel="0" collapsed="false">
      <c r="A1552" s="0" t="s">
        <v>42</v>
      </c>
      <c r="B1552" s="0" t="s">
        <v>1496</v>
      </c>
      <c r="C1552" s="0" t="s">
        <v>3772</v>
      </c>
      <c r="D1552" s="0" t="s">
        <v>1876</v>
      </c>
      <c r="E1552" s="0" t="s">
        <v>1514</v>
      </c>
    </row>
    <row r="1553" customFormat="false" ht="15" hidden="false" customHeight="false" outlineLevel="0" collapsed="false">
      <c r="A1553" s="0" t="s">
        <v>42</v>
      </c>
      <c r="B1553" s="0" t="s">
        <v>1498</v>
      </c>
      <c r="C1553" s="0" t="s">
        <v>3773</v>
      </c>
      <c r="E1553" s="0" t="s">
        <v>1514</v>
      </c>
    </row>
    <row r="1554" customFormat="false" ht="15" hidden="false" customHeight="false" outlineLevel="0" collapsed="false">
      <c r="A1554" s="0" t="s">
        <v>42</v>
      </c>
      <c r="B1554" s="0" t="s">
        <v>2253</v>
      </c>
      <c r="C1554" s="0" t="s">
        <v>3774</v>
      </c>
      <c r="E1554" s="0" t="s">
        <v>1514</v>
      </c>
    </row>
    <row r="1555" customFormat="false" ht="15" hidden="false" customHeight="false" outlineLevel="0" collapsed="false">
      <c r="A1555" s="0" t="s">
        <v>42</v>
      </c>
      <c r="B1555" s="0" t="s">
        <v>2255</v>
      </c>
      <c r="C1555" s="0" t="s">
        <v>3775</v>
      </c>
      <c r="D1555" s="0" t="s">
        <v>1896</v>
      </c>
      <c r="E1555" s="0" t="s">
        <v>1908</v>
      </c>
    </row>
    <row r="1556" customFormat="false" ht="15" hidden="false" customHeight="false" outlineLevel="0" collapsed="false">
      <c r="A1556" s="0" t="s">
        <v>42</v>
      </c>
      <c r="B1556" s="0" t="s">
        <v>2268</v>
      </c>
      <c r="C1556" s="0" t="s">
        <v>3776</v>
      </c>
      <c r="E1556" s="0" t="s">
        <v>1479</v>
      </c>
    </row>
    <row r="1557" customFormat="false" ht="15" hidden="false" customHeight="false" outlineLevel="0" collapsed="false">
      <c r="A1557" s="0" t="s">
        <v>42</v>
      </c>
      <c r="B1557" s="0" t="s">
        <v>1500</v>
      </c>
      <c r="C1557" s="0" t="s">
        <v>3777</v>
      </c>
      <c r="E1557" s="0" t="s">
        <v>1479</v>
      </c>
    </row>
    <row r="1558" customFormat="false" ht="15" hidden="false" customHeight="false" outlineLevel="0" collapsed="false">
      <c r="A1558" s="0" t="s">
        <v>42</v>
      </c>
      <c r="B1558" s="0" t="s">
        <v>2271</v>
      </c>
      <c r="C1558" s="0" t="s">
        <v>3778</v>
      </c>
      <c r="E1558" s="0" t="s">
        <v>1479</v>
      </c>
    </row>
    <row r="1559" customFormat="false" ht="15" hidden="false" customHeight="false" outlineLevel="0" collapsed="false">
      <c r="A1559" s="0" t="s">
        <v>42</v>
      </c>
      <c r="B1559" s="0" t="s">
        <v>1502</v>
      </c>
      <c r="C1559" s="0" t="s">
        <v>3779</v>
      </c>
      <c r="D1559" s="0" t="s">
        <v>1876</v>
      </c>
      <c r="E1559" s="0" t="s">
        <v>1479</v>
      </c>
    </row>
    <row r="1560" customFormat="false" ht="15" hidden="false" customHeight="false" outlineLevel="0" collapsed="false">
      <c r="A1560" s="0" t="s">
        <v>42</v>
      </c>
      <c r="B1560" s="0" t="s">
        <v>1504</v>
      </c>
      <c r="C1560" s="0" t="s">
        <v>3780</v>
      </c>
      <c r="E1560" s="0" t="s">
        <v>1479</v>
      </c>
    </row>
    <row r="1561" customFormat="false" ht="15" hidden="false" customHeight="false" outlineLevel="0" collapsed="false">
      <c r="A1561" s="0" t="s">
        <v>42</v>
      </c>
      <c r="B1561" s="0" t="s">
        <v>2275</v>
      </c>
      <c r="C1561" s="0" t="s">
        <v>3781</v>
      </c>
      <c r="E1561" s="0" t="s">
        <v>1479</v>
      </c>
    </row>
    <row r="1562" customFormat="false" ht="15" hidden="false" customHeight="false" outlineLevel="0" collapsed="false">
      <c r="A1562" s="0" t="s">
        <v>42</v>
      </c>
      <c r="B1562" s="0" t="s">
        <v>2277</v>
      </c>
      <c r="C1562" s="0" t="s">
        <v>3782</v>
      </c>
      <c r="D1562" s="0" t="s">
        <v>1896</v>
      </c>
      <c r="E1562" s="0" t="s">
        <v>1479</v>
      </c>
    </row>
    <row r="1563" customFormat="false" ht="15" hidden="false" customHeight="false" outlineLevel="0" collapsed="false">
      <c r="A1563" s="0" t="s">
        <v>42</v>
      </c>
      <c r="B1563" s="0" t="s">
        <v>2289</v>
      </c>
      <c r="C1563" s="0" t="s">
        <v>3783</v>
      </c>
      <c r="E1563" s="0" t="s">
        <v>1479</v>
      </c>
    </row>
    <row r="1564" customFormat="false" ht="15" hidden="false" customHeight="false" outlineLevel="0" collapsed="false">
      <c r="A1564" s="0" t="s">
        <v>42</v>
      </c>
      <c r="B1564" s="0" t="s">
        <v>2291</v>
      </c>
      <c r="C1564" s="0" t="s">
        <v>3784</v>
      </c>
      <c r="E1564" s="0" t="s">
        <v>1479</v>
      </c>
    </row>
    <row r="1565" customFormat="false" ht="15" hidden="false" customHeight="false" outlineLevel="0" collapsed="false">
      <c r="A1565" s="0" t="s">
        <v>42</v>
      </c>
      <c r="B1565" s="0" t="s">
        <v>2293</v>
      </c>
      <c r="C1565" s="0" t="s">
        <v>3785</v>
      </c>
      <c r="E1565" s="0" t="s">
        <v>1479</v>
      </c>
    </row>
    <row r="1566" customFormat="false" ht="15" hidden="false" customHeight="false" outlineLevel="0" collapsed="false">
      <c r="A1566" s="0" t="s">
        <v>42</v>
      </c>
      <c r="B1566" s="0" t="s">
        <v>2295</v>
      </c>
      <c r="C1566" s="0" t="s">
        <v>3786</v>
      </c>
      <c r="D1566" s="0" t="s">
        <v>1876</v>
      </c>
      <c r="E1566" s="0" t="s">
        <v>1479</v>
      </c>
    </row>
    <row r="1567" customFormat="false" ht="15" hidden="false" customHeight="false" outlineLevel="0" collapsed="false">
      <c r="A1567" s="0" t="s">
        <v>42</v>
      </c>
      <c r="B1567" s="0" t="s">
        <v>2297</v>
      </c>
      <c r="C1567" s="0" t="s">
        <v>3787</v>
      </c>
      <c r="E1567" s="0" t="s">
        <v>1479</v>
      </c>
    </row>
    <row r="1568" customFormat="false" ht="15" hidden="false" customHeight="false" outlineLevel="0" collapsed="false">
      <c r="A1568" s="0" t="s">
        <v>42</v>
      </c>
      <c r="B1568" s="0" t="s">
        <v>2299</v>
      </c>
      <c r="C1568" s="0" t="s">
        <v>3788</v>
      </c>
      <c r="E1568" s="0" t="s">
        <v>1479</v>
      </c>
    </row>
    <row r="1569" customFormat="false" ht="15" hidden="false" customHeight="false" outlineLevel="0" collapsed="false">
      <c r="A1569" s="0" t="s">
        <v>42</v>
      </c>
      <c r="B1569" s="0" t="s">
        <v>2301</v>
      </c>
      <c r="C1569" s="0" t="s">
        <v>3789</v>
      </c>
      <c r="D1569" s="0" t="s">
        <v>1896</v>
      </c>
      <c r="E1569" s="0" t="s">
        <v>1479</v>
      </c>
    </row>
    <row r="1570" customFormat="false" ht="15" hidden="false" customHeight="false" outlineLevel="0" collapsed="false">
      <c r="A1570" s="0" t="s">
        <v>42</v>
      </c>
      <c r="B1570" s="0" t="s">
        <v>1880</v>
      </c>
      <c r="C1570" s="0" t="s">
        <v>3790</v>
      </c>
      <c r="E1570" s="0" t="s">
        <v>1479</v>
      </c>
    </row>
    <row r="1571" customFormat="false" ht="15" hidden="false" customHeight="false" outlineLevel="0" collapsed="false">
      <c r="A1571" s="0" t="s">
        <v>42</v>
      </c>
      <c r="B1571" s="0" t="s">
        <v>1883</v>
      </c>
      <c r="C1571" s="0" t="s">
        <v>3791</v>
      </c>
      <c r="E1571" s="0" t="s">
        <v>1479</v>
      </c>
    </row>
    <row r="1572" customFormat="false" ht="15" hidden="false" customHeight="false" outlineLevel="0" collapsed="false">
      <c r="A1572" s="0" t="s">
        <v>42</v>
      </c>
      <c r="B1572" s="0" t="s">
        <v>1886</v>
      </c>
      <c r="C1572" s="0" t="s">
        <v>3792</v>
      </c>
      <c r="E1572" s="0" t="s">
        <v>1479</v>
      </c>
    </row>
    <row r="1573" customFormat="false" ht="15" hidden="false" customHeight="false" outlineLevel="0" collapsed="false">
      <c r="A1573" s="0" t="s">
        <v>42</v>
      </c>
      <c r="B1573" s="0" t="s">
        <v>1888</v>
      </c>
      <c r="C1573" s="0" t="s">
        <v>3793</v>
      </c>
      <c r="D1573" s="0" t="s">
        <v>1876</v>
      </c>
      <c r="E1573" s="0" t="s">
        <v>1479</v>
      </c>
    </row>
    <row r="1574" customFormat="false" ht="15" hidden="false" customHeight="false" outlineLevel="0" collapsed="false">
      <c r="A1574" s="0" t="s">
        <v>42</v>
      </c>
      <c r="B1574" s="0" t="s">
        <v>1891</v>
      </c>
      <c r="C1574" s="0" t="s">
        <v>3794</v>
      </c>
      <c r="E1574" s="0" t="s">
        <v>1479</v>
      </c>
    </row>
    <row r="1575" customFormat="false" ht="15" hidden="false" customHeight="false" outlineLevel="0" collapsed="false">
      <c r="A1575" s="0" t="s">
        <v>42</v>
      </c>
      <c r="B1575" s="0" t="s">
        <v>1894</v>
      </c>
      <c r="C1575" s="0" t="s">
        <v>3795</v>
      </c>
      <c r="E1575" s="0" t="s">
        <v>1479</v>
      </c>
    </row>
    <row r="1576" customFormat="false" ht="15" hidden="false" customHeight="false" outlineLevel="0" collapsed="false">
      <c r="A1576" s="0" t="s">
        <v>42</v>
      </c>
      <c r="B1576" s="0" t="s">
        <v>2319</v>
      </c>
      <c r="C1576" s="0" t="s">
        <v>3796</v>
      </c>
      <c r="D1576" s="0" t="s">
        <v>1896</v>
      </c>
      <c r="E1576" s="0" t="s">
        <v>1479</v>
      </c>
    </row>
    <row r="1577" customFormat="false" ht="15" hidden="false" customHeight="false" outlineLevel="0" collapsed="false">
      <c r="A1577" s="0" t="s">
        <v>42</v>
      </c>
      <c r="B1577" s="0" t="s">
        <v>1898</v>
      </c>
      <c r="C1577" s="0" t="s">
        <v>3797</v>
      </c>
      <c r="E1577" s="0" t="s">
        <v>1479</v>
      </c>
    </row>
    <row r="1578" customFormat="false" ht="15" hidden="false" customHeight="false" outlineLevel="0" collapsed="false">
      <c r="A1578" s="0" t="s">
        <v>42</v>
      </c>
      <c r="B1578" s="0" t="s">
        <v>1506</v>
      </c>
      <c r="C1578" s="0" t="s">
        <v>3798</v>
      </c>
      <c r="E1578" s="0" t="s">
        <v>1479</v>
      </c>
    </row>
    <row r="1579" customFormat="false" ht="15" hidden="false" customHeight="false" outlineLevel="0" collapsed="false">
      <c r="A1579" s="0" t="s">
        <v>42</v>
      </c>
      <c r="B1579" s="0" t="s">
        <v>1901</v>
      </c>
      <c r="C1579" s="0" t="s">
        <v>3799</v>
      </c>
      <c r="E1579" s="0" t="s">
        <v>1479</v>
      </c>
    </row>
    <row r="1580" customFormat="false" ht="15" hidden="false" customHeight="false" outlineLevel="0" collapsed="false">
      <c r="A1580" s="0" t="s">
        <v>42</v>
      </c>
      <c r="B1580" s="0" t="s">
        <v>1509</v>
      </c>
      <c r="C1580" s="0" t="s">
        <v>3800</v>
      </c>
      <c r="D1580" s="0" t="s">
        <v>1876</v>
      </c>
      <c r="E1580" s="0" t="s">
        <v>1479</v>
      </c>
    </row>
    <row r="1581" customFormat="false" ht="15" hidden="false" customHeight="false" outlineLevel="0" collapsed="false">
      <c r="A1581" s="0" t="s">
        <v>42</v>
      </c>
      <c r="B1581" s="0" t="s">
        <v>1512</v>
      </c>
      <c r="C1581" s="0" t="s">
        <v>3801</v>
      </c>
      <c r="E1581" s="0" t="s">
        <v>1479</v>
      </c>
    </row>
    <row r="1582" customFormat="false" ht="15" hidden="false" customHeight="false" outlineLevel="0" collapsed="false">
      <c r="A1582" s="0" t="s">
        <v>42</v>
      </c>
      <c r="B1582" s="0" t="s">
        <v>1515</v>
      </c>
      <c r="C1582" s="0" t="s">
        <v>3802</v>
      </c>
      <c r="E1582" s="0" t="s">
        <v>1479</v>
      </c>
    </row>
    <row r="1583" customFormat="false" ht="15" hidden="false" customHeight="false" outlineLevel="0" collapsed="false">
      <c r="A1583" s="0" t="s">
        <v>42</v>
      </c>
      <c r="B1583" s="0" t="s">
        <v>2337</v>
      </c>
      <c r="C1583" s="0" t="s">
        <v>3803</v>
      </c>
      <c r="D1583" s="0" t="s">
        <v>1896</v>
      </c>
      <c r="E1583" s="0" t="s">
        <v>1479</v>
      </c>
    </row>
    <row r="1584" customFormat="false" ht="15" hidden="false" customHeight="false" outlineLevel="0" collapsed="false">
      <c r="A1584" s="0" t="s">
        <v>42</v>
      </c>
      <c r="B1584" s="0" t="s">
        <v>1909</v>
      </c>
      <c r="C1584" s="0" t="s">
        <v>3804</v>
      </c>
      <c r="E1584" s="0" t="s">
        <v>1479</v>
      </c>
    </row>
    <row r="1585" customFormat="false" ht="15" hidden="false" customHeight="false" outlineLevel="0" collapsed="false">
      <c r="A1585" s="0" t="s">
        <v>42</v>
      </c>
      <c r="B1585" s="0" t="s">
        <v>1518</v>
      </c>
      <c r="C1585" s="0" t="s">
        <v>3805</v>
      </c>
      <c r="E1585" s="0" t="s">
        <v>1479</v>
      </c>
    </row>
    <row r="1586" customFormat="false" ht="15" hidden="false" customHeight="false" outlineLevel="0" collapsed="false">
      <c r="A1586" s="0" t="s">
        <v>42</v>
      </c>
      <c r="B1586" s="0" t="s">
        <v>1912</v>
      </c>
      <c r="C1586" s="0" t="s">
        <v>3806</v>
      </c>
      <c r="E1586" s="0" t="s">
        <v>1479</v>
      </c>
    </row>
    <row r="1587" customFormat="false" ht="15" hidden="false" customHeight="false" outlineLevel="0" collapsed="false">
      <c r="A1587" s="0" t="s">
        <v>42</v>
      </c>
      <c r="B1587" s="0" t="s">
        <v>1521</v>
      </c>
      <c r="C1587" s="0" t="s">
        <v>3807</v>
      </c>
      <c r="D1587" s="0" t="s">
        <v>1876</v>
      </c>
      <c r="E1587" s="0" t="s">
        <v>1479</v>
      </c>
    </row>
    <row r="1588" customFormat="false" ht="15" hidden="false" customHeight="false" outlineLevel="0" collapsed="false">
      <c r="A1588" s="0" t="s">
        <v>42</v>
      </c>
      <c r="B1588" s="0" t="s">
        <v>1524</v>
      </c>
      <c r="C1588" s="0" t="s">
        <v>3808</v>
      </c>
      <c r="E1588" s="0" t="s">
        <v>1479</v>
      </c>
    </row>
    <row r="1589" customFormat="false" ht="15" hidden="false" customHeight="false" outlineLevel="0" collapsed="false">
      <c r="A1589" s="0" t="s">
        <v>42</v>
      </c>
      <c r="B1589" s="0" t="s">
        <v>1527</v>
      </c>
      <c r="C1589" s="0" t="s">
        <v>3809</v>
      </c>
      <c r="E1589" s="0" t="s">
        <v>1479</v>
      </c>
    </row>
    <row r="1590" customFormat="false" ht="15" hidden="false" customHeight="false" outlineLevel="0" collapsed="false">
      <c r="A1590" s="0" t="s">
        <v>42</v>
      </c>
      <c r="B1590" s="0" t="s">
        <v>2926</v>
      </c>
      <c r="C1590" s="0" t="s">
        <v>3810</v>
      </c>
      <c r="D1590" s="0" t="s">
        <v>1896</v>
      </c>
      <c r="E1590" s="0" t="s">
        <v>1479</v>
      </c>
    </row>
    <row r="1591" customFormat="false" ht="15" hidden="false" customHeight="false" outlineLevel="0" collapsed="false">
      <c r="A1591" s="0" t="s">
        <v>44</v>
      </c>
      <c r="B1591" s="0" t="s">
        <v>2438</v>
      </c>
      <c r="C1591" s="0" t="s">
        <v>3811</v>
      </c>
      <c r="E1591" s="0" t="s">
        <v>1058</v>
      </c>
    </row>
    <row r="1592" customFormat="false" ht="15" hidden="false" customHeight="false" outlineLevel="0" collapsed="false">
      <c r="A1592" s="0" t="s">
        <v>44</v>
      </c>
      <c r="B1592" s="0" t="s">
        <v>2441</v>
      </c>
      <c r="C1592" s="0" t="s">
        <v>3812</v>
      </c>
      <c r="E1592" s="0" t="s">
        <v>1057</v>
      </c>
    </row>
    <row r="1593" customFormat="false" ht="15" hidden="false" customHeight="false" outlineLevel="0" collapsed="false">
      <c r="A1593" s="0" t="s">
        <v>44</v>
      </c>
      <c r="B1593" s="0" t="s">
        <v>2443</v>
      </c>
      <c r="C1593" s="0" t="s">
        <v>3813</v>
      </c>
      <c r="E1593" s="0" t="s">
        <v>1055</v>
      </c>
    </row>
    <row r="1594" customFormat="false" ht="15" hidden="false" customHeight="false" outlineLevel="0" collapsed="false">
      <c r="A1594" s="0" t="s">
        <v>44</v>
      </c>
      <c r="B1594" s="0" t="s">
        <v>2796</v>
      </c>
      <c r="C1594" s="0" t="s">
        <v>3814</v>
      </c>
      <c r="E1594" s="0" t="s">
        <v>1479</v>
      </c>
    </row>
    <row r="1595" customFormat="false" ht="15" hidden="false" customHeight="false" outlineLevel="0" collapsed="false">
      <c r="A1595" s="0" t="s">
        <v>44</v>
      </c>
      <c r="B1595" s="0" t="s">
        <v>2445</v>
      </c>
      <c r="C1595" s="0" t="s">
        <v>3815</v>
      </c>
      <c r="E1595" s="0" t="s">
        <v>1479</v>
      </c>
    </row>
    <row r="1596" customFormat="false" ht="15" hidden="false" customHeight="false" outlineLevel="0" collapsed="false">
      <c r="A1596" s="0" t="s">
        <v>44</v>
      </c>
      <c r="B1596" s="0" t="s">
        <v>506</v>
      </c>
      <c r="C1596" s="0" t="s">
        <v>3816</v>
      </c>
      <c r="E1596" s="0" t="s">
        <v>3817</v>
      </c>
    </row>
    <row r="1597" customFormat="false" ht="15" hidden="false" customHeight="false" outlineLevel="0" collapsed="false">
      <c r="A1597" s="0" t="s">
        <v>44</v>
      </c>
      <c r="B1597" s="0" t="s">
        <v>1864</v>
      </c>
      <c r="C1597" s="0" t="s">
        <v>3818</v>
      </c>
      <c r="E1597" s="0" t="s">
        <v>1059</v>
      </c>
    </row>
    <row r="1598" customFormat="false" ht="15" hidden="false" customHeight="false" outlineLevel="0" collapsed="false">
      <c r="A1598" s="0" t="s">
        <v>44</v>
      </c>
      <c r="B1598" s="0" t="s">
        <v>1468</v>
      </c>
      <c r="C1598" s="0" t="s">
        <v>3819</v>
      </c>
      <c r="E1598" s="0" t="s">
        <v>3820</v>
      </c>
    </row>
    <row r="1599" customFormat="false" ht="15" hidden="false" customHeight="false" outlineLevel="0" collapsed="false">
      <c r="A1599" s="0" t="s">
        <v>44</v>
      </c>
      <c r="B1599" s="0" t="s">
        <v>2120</v>
      </c>
      <c r="C1599" s="0" t="s">
        <v>3821</v>
      </c>
      <c r="E1599" s="0" t="s">
        <v>1059</v>
      </c>
    </row>
    <row r="1600" customFormat="false" ht="15" hidden="false" customHeight="false" outlineLevel="0" collapsed="false">
      <c r="A1600" s="0" t="s">
        <v>44</v>
      </c>
      <c r="B1600" s="0" t="s">
        <v>2123</v>
      </c>
      <c r="C1600" s="0" t="s">
        <v>3822</v>
      </c>
      <c r="E1600" s="0" t="s">
        <v>1058</v>
      </c>
    </row>
    <row r="1601" customFormat="false" ht="15" hidden="false" customHeight="false" outlineLevel="0" collapsed="false">
      <c r="A1601" s="0" t="s">
        <v>44</v>
      </c>
      <c r="B1601" s="0" t="s">
        <v>2126</v>
      </c>
      <c r="C1601" s="0" t="s">
        <v>3823</v>
      </c>
      <c r="E1601" s="0" t="s">
        <v>1055</v>
      </c>
    </row>
    <row r="1602" customFormat="false" ht="15" hidden="false" customHeight="false" outlineLevel="0" collapsed="false">
      <c r="A1602" s="0" t="s">
        <v>44</v>
      </c>
      <c r="B1602" s="0" t="s">
        <v>2129</v>
      </c>
      <c r="C1602" s="0" t="s">
        <v>3824</v>
      </c>
      <c r="E1602" s="0" t="s">
        <v>1479</v>
      </c>
    </row>
    <row r="1603" customFormat="false" ht="15" hidden="false" customHeight="false" outlineLevel="0" collapsed="false">
      <c r="A1603" s="0" t="s">
        <v>44</v>
      </c>
      <c r="B1603" s="0" t="s">
        <v>2131</v>
      </c>
      <c r="C1603" s="0" t="s">
        <v>3825</v>
      </c>
      <c r="E1603" s="0" t="s">
        <v>1479</v>
      </c>
    </row>
    <row r="1604" customFormat="false" ht="15" hidden="false" customHeight="false" outlineLevel="0" collapsed="false">
      <c r="A1604" s="0" t="s">
        <v>44</v>
      </c>
      <c r="B1604" s="0" t="s">
        <v>509</v>
      </c>
      <c r="C1604" s="0" t="s">
        <v>3826</v>
      </c>
      <c r="E1604" s="0" t="s">
        <v>3827</v>
      </c>
    </row>
    <row r="1605" customFormat="false" ht="15" hidden="false" customHeight="false" outlineLevel="0" collapsed="false">
      <c r="A1605" s="0" t="s">
        <v>44</v>
      </c>
      <c r="B1605" s="0" t="s">
        <v>1867</v>
      </c>
      <c r="C1605" s="0" t="s">
        <v>3828</v>
      </c>
      <c r="E1605" s="0" t="s">
        <v>1058</v>
      </c>
    </row>
    <row r="1606" customFormat="false" ht="15" hidden="false" customHeight="false" outlineLevel="0" collapsed="false">
      <c r="A1606" s="0" t="s">
        <v>44</v>
      </c>
      <c r="B1606" s="0" t="s">
        <v>2117</v>
      </c>
      <c r="C1606" s="0" t="s">
        <v>3829</v>
      </c>
      <c r="E1606" s="0" t="s">
        <v>3830</v>
      </c>
    </row>
    <row r="1607" customFormat="false" ht="15" hidden="false" customHeight="false" outlineLevel="0" collapsed="false">
      <c r="A1607" s="0" t="s">
        <v>44</v>
      </c>
      <c r="B1607" s="0" t="s">
        <v>2150</v>
      </c>
      <c r="C1607" s="0" t="s">
        <v>3831</v>
      </c>
      <c r="E1607" s="0" t="s">
        <v>1055</v>
      </c>
    </row>
    <row r="1608" customFormat="false" ht="15" hidden="false" customHeight="false" outlineLevel="0" collapsed="false">
      <c r="A1608" s="0" t="s">
        <v>44</v>
      </c>
      <c r="B1608" s="0" t="s">
        <v>2153</v>
      </c>
      <c r="C1608" s="0" t="s">
        <v>3832</v>
      </c>
      <c r="E1608" s="0" t="s">
        <v>1058</v>
      </c>
    </row>
    <row r="1609" customFormat="false" ht="15" hidden="false" customHeight="false" outlineLevel="0" collapsed="false">
      <c r="A1609" s="0" t="s">
        <v>44</v>
      </c>
      <c r="B1609" s="0" t="s">
        <v>2155</v>
      </c>
      <c r="C1609" s="0" t="s">
        <v>3833</v>
      </c>
      <c r="E1609" s="0" t="s">
        <v>1059</v>
      </c>
    </row>
    <row r="1610" customFormat="false" ht="15" hidden="false" customHeight="false" outlineLevel="0" collapsed="false">
      <c r="A1610" s="0" t="s">
        <v>44</v>
      </c>
      <c r="B1610" s="0" t="s">
        <v>2157</v>
      </c>
      <c r="C1610" s="0" t="s">
        <v>3834</v>
      </c>
      <c r="E1610" s="0" t="s">
        <v>1479</v>
      </c>
    </row>
    <row r="1611" customFormat="false" ht="15" hidden="false" customHeight="false" outlineLevel="0" collapsed="false">
      <c r="A1611" s="0" t="s">
        <v>44</v>
      </c>
      <c r="B1611" s="0" t="s">
        <v>2160</v>
      </c>
      <c r="C1611" s="0" t="s">
        <v>3835</v>
      </c>
      <c r="E1611" s="0" t="s">
        <v>1479</v>
      </c>
    </row>
    <row r="1612" customFormat="false" ht="15" hidden="false" customHeight="false" outlineLevel="0" collapsed="false">
      <c r="A1612" s="0" t="s">
        <v>44</v>
      </c>
      <c r="B1612" s="0" t="s">
        <v>2145</v>
      </c>
      <c r="C1612" s="0" t="s">
        <v>3836</v>
      </c>
      <c r="E1612" s="0" t="s">
        <v>3837</v>
      </c>
    </row>
    <row r="1613" customFormat="false" ht="15" hidden="false" customHeight="false" outlineLevel="0" collapsed="false">
      <c r="A1613" s="0" t="s">
        <v>44</v>
      </c>
      <c r="B1613" s="0" t="s">
        <v>1870</v>
      </c>
      <c r="C1613" s="0" t="s">
        <v>3838</v>
      </c>
      <c r="E1613" s="0" t="s">
        <v>1057</v>
      </c>
    </row>
    <row r="1614" customFormat="false" ht="15" hidden="false" customHeight="false" outlineLevel="0" collapsed="false">
      <c r="A1614" s="0" t="s">
        <v>44</v>
      </c>
      <c r="B1614" s="0" t="s">
        <v>2148</v>
      </c>
      <c r="C1614" s="0" t="s">
        <v>3839</v>
      </c>
      <c r="E1614" s="0" t="s">
        <v>3820</v>
      </c>
    </row>
    <row r="1615" customFormat="false" ht="15" hidden="false" customHeight="false" outlineLevel="0" collapsed="false">
      <c r="A1615" s="0" t="s">
        <v>44</v>
      </c>
      <c r="B1615" s="0" t="s">
        <v>1474</v>
      </c>
      <c r="C1615" s="0" t="s">
        <v>3840</v>
      </c>
      <c r="E1615" s="0" t="s">
        <v>1057</v>
      </c>
    </row>
    <row r="1616" customFormat="false" ht="15" hidden="false" customHeight="false" outlineLevel="0" collapsed="false">
      <c r="A1616" s="0" t="s">
        <v>44</v>
      </c>
      <c r="B1616" s="0" t="s">
        <v>1477</v>
      </c>
      <c r="C1616" s="0" t="s">
        <v>3841</v>
      </c>
      <c r="E1616" s="0" t="s">
        <v>1059</v>
      </c>
    </row>
    <row r="1617" customFormat="false" ht="15" hidden="false" customHeight="false" outlineLevel="0" collapsed="false">
      <c r="A1617" s="0" t="s">
        <v>44</v>
      </c>
      <c r="B1617" s="0" t="s">
        <v>2179</v>
      </c>
      <c r="C1617" s="0" t="s">
        <v>3842</v>
      </c>
      <c r="E1617" s="0" t="s">
        <v>1055</v>
      </c>
    </row>
    <row r="1618" customFormat="false" ht="15" hidden="false" customHeight="false" outlineLevel="0" collapsed="false">
      <c r="A1618" s="0" t="s">
        <v>44</v>
      </c>
      <c r="B1618" s="0" t="s">
        <v>2181</v>
      </c>
      <c r="C1618" s="0" t="s">
        <v>3843</v>
      </c>
      <c r="E1618" s="0" t="s">
        <v>1479</v>
      </c>
    </row>
    <row r="1619" customFormat="false" ht="15" hidden="false" customHeight="false" outlineLevel="0" collapsed="false">
      <c r="A1619" s="0" t="s">
        <v>44</v>
      </c>
      <c r="B1619" s="0" t="s">
        <v>2183</v>
      </c>
      <c r="C1619" s="0" t="s">
        <v>3844</v>
      </c>
      <c r="E1619" s="0" t="s">
        <v>1479</v>
      </c>
    </row>
    <row r="1620" customFormat="false" ht="15" hidden="false" customHeight="false" outlineLevel="0" collapsed="false">
      <c r="A1620" s="0" t="s">
        <v>44</v>
      </c>
      <c r="B1620" s="0" t="s">
        <v>2171</v>
      </c>
      <c r="C1620" s="0" t="s">
        <v>3845</v>
      </c>
      <c r="E1620" s="0" t="s">
        <v>3846</v>
      </c>
    </row>
    <row r="1621" customFormat="false" ht="15" hidden="false" customHeight="false" outlineLevel="0" collapsed="false">
      <c r="A1621" s="0" t="s">
        <v>44</v>
      </c>
      <c r="B1621" s="0" t="s">
        <v>1471</v>
      </c>
      <c r="C1621" s="0" t="s">
        <v>3847</v>
      </c>
      <c r="E1621" s="0" t="s">
        <v>1057</v>
      </c>
    </row>
    <row r="1622" customFormat="false" ht="15" hidden="false" customHeight="false" outlineLevel="0" collapsed="false">
      <c r="A1622" s="0" t="s">
        <v>44</v>
      </c>
      <c r="B1622" s="0" t="s">
        <v>2174</v>
      </c>
      <c r="C1622" s="0" t="s">
        <v>3848</v>
      </c>
      <c r="E1622" s="0" t="s">
        <v>3849</v>
      </c>
    </row>
    <row r="1623" customFormat="false" ht="15" hidden="false" customHeight="false" outlineLevel="0" collapsed="false">
      <c r="A1623" s="0" t="s">
        <v>44</v>
      </c>
      <c r="B1623" s="0" t="s">
        <v>1483</v>
      </c>
      <c r="C1623" s="0" t="s">
        <v>3850</v>
      </c>
      <c r="E1623" s="0" t="s">
        <v>1479</v>
      </c>
    </row>
    <row r="1624" customFormat="false" ht="15" hidden="false" customHeight="false" outlineLevel="0" collapsed="false">
      <c r="A1624" s="0" t="s">
        <v>44</v>
      </c>
      <c r="B1624" s="0" t="s">
        <v>1486</v>
      </c>
      <c r="C1624" s="0" t="s">
        <v>3851</v>
      </c>
      <c r="E1624" s="0" t="s">
        <v>1479</v>
      </c>
    </row>
    <row r="1625" customFormat="false" ht="15" hidden="false" customHeight="false" outlineLevel="0" collapsed="false">
      <c r="A1625" s="0" t="s">
        <v>44</v>
      </c>
      <c r="B1625" s="0" t="s">
        <v>2203</v>
      </c>
      <c r="C1625" s="0" t="s">
        <v>3852</v>
      </c>
      <c r="E1625" s="0" t="s">
        <v>1479</v>
      </c>
    </row>
    <row r="1626" customFormat="false" ht="15" hidden="false" customHeight="false" outlineLevel="0" collapsed="false">
      <c r="A1626" s="0" t="s">
        <v>44</v>
      </c>
      <c r="B1626" s="0" t="s">
        <v>2205</v>
      </c>
      <c r="C1626" s="0" t="s">
        <v>3853</v>
      </c>
      <c r="E1626" s="0" t="s">
        <v>1479</v>
      </c>
    </row>
    <row r="1627" customFormat="false" ht="15" hidden="false" customHeight="false" outlineLevel="0" collapsed="false">
      <c r="A1627" s="0" t="s">
        <v>44</v>
      </c>
      <c r="B1627" s="0" t="s">
        <v>2207</v>
      </c>
      <c r="C1627" s="0" t="s">
        <v>3854</v>
      </c>
      <c r="E1627" s="0" t="s">
        <v>1479</v>
      </c>
    </row>
    <row r="1628" customFormat="false" ht="15" hidden="false" customHeight="false" outlineLevel="0" collapsed="false">
      <c r="A1628" s="0" t="s">
        <v>44</v>
      </c>
      <c r="B1628" s="0" t="s">
        <v>2194</v>
      </c>
      <c r="C1628" s="0" t="s">
        <v>3855</v>
      </c>
      <c r="E1628" s="0" t="s">
        <v>1479</v>
      </c>
    </row>
    <row r="1629" customFormat="false" ht="15" hidden="false" customHeight="false" outlineLevel="0" collapsed="false">
      <c r="A1629" s="0" t="s">
        <v>44</v>
      </c>
      <c r="B1629" s="0" t="s">
        <v>1480</v>
      </c>
      <c r="C1629" s="0" t="s">
        <v>3856</v>
      </c>
      <c r="E1629" s="0" t="s">
        <v>1479</v>
      </c>
    </row>
    <row r="1630" customFormat="false" ht="15" hidden="false" customHeight="false" outlineLevel="0" collapsed="false">
      <c r="A1630" s="0" t="s">
        <v>44</v>
      </c>
      <c r="B1630" s="0" t="s">
        <v>2197</v>
      </c>
      <c r="C1630" s="0" t="s">
        <v>3857</v>
      </c>
      <c r="E1630" s="0" t="s">
        <v>1479</v>
      </c>
    </row>
    <row r="1631" customFormat="false" ht="15" hidden="false" customHeight="false" outlineLevel="0" collapsed="false">
      <c r="A1631" s="0" t="s">
        <v>44</v>
      </c>
      <c r="B1631" s="0" t="s">
        <v>1490</v>
      </c>
      <c r="C1631" s="0" t="s">
        <v>3858</v>
      </c>
      <c r="E1631" s="0" t="s">
        <v>1479</v>
      </c>
    </row>
    <row r="1632" customFormat="false" ht="15" hidden="false" customHeight="false" outlineLevel="0" collapsed="false">
      <c r="A1632" s="0" t="s">
        <v>44</v>
      </c>
      <c r="B1632" s="0" t="s">
        <v>1492</v>
      </c>
      <c r="C1632" s="0" t="s">
        <v>3859</v>
      </c>
      <c r="E1632" s="0" t="s">
        <v>1479</v>
      </c>
    </row>
    <row r="1633" customFormat="false" ht="15" hidden="false" customHeight="false" outlineLevel="0" collapsed="false">
      <c r="A1633" s="0" t="s">
        <v>44</v>
      </c>
      <c r="B1633" s="0" t="s">
        <v>2227</v>
      </c>
      <c r="C1633" s="0" t="s">
        <v>3860</v>
      </c>
      <c r="E1633" s="0" t="s">
        <v>1479</v>
      </c>
    </row>
    <row r="1634" customFormat="false" ht="15" hidden="false" customHeight="false" outlineLevel="0" collapsed="false">
      <c r="A1634" s="0" t="s">
        <v>44</v>
      </c>
      <c r="B1634" s="0" t="s">
        <v>2230</v>
      </c>
      <c r="C1634" s="0" t="s">
        <v>3861</v>
      </c>
      <c r="E1634" s="0" t="s">
        <v>1479</v>
      </c>
    </row>
    <row r="1635" customFormat="false" ht="15" hidden="false" customHeight="false" outlineLevel="0" collapsed="false">
      <c r="A1635" s="0" t="s">
        <v>44</v>
      </c>
      <c r="B1635" s="0" t="s">
        <v>2233</v>
      </c>
      <c r="C1635" s="0" t="s">
        <v>3862</v>
      </c>
      <c r="E1635" s="0" t="s">
        <v>1479</v>
      </c>
    </row>
    <row r="1636" customFormat="false" ht="15" hidden="false" customHeight="false" outlineLevel="0" collapsed="false">
      <c r="A1636" s="0" t="s">
        <v>44</v>
      </c>
      <c r="B1636" s="0" t="s">
        <v>2218</v>
      </c>
      <c r="C1636" s="0" t="s">
        <v>3863</v>
      </c>
      <c r="E1636" s="0" t="s">
        <v>1479</v>
      </c>
    </row>
    <row r="1637" customFormat="false" ht="15" hidden="false" customHeight="false" outlineLevel="0" collapsed="false">
      <c r="A1637" s="0" t="s">
        <v>44</v>
      </c>
      <c r="B1637" s="0" t="s">
        <v>1488</v>
      </c>
      <c r="C1637" s="0" t="s">
        <v>3864</v>
      </c>
      <c r="E1637" s="0" t="s">
        <v>1479</v>
      </c>
    </row>
    <row r="1638" customFormat="false" ht="15" hidden="false" customHeight="false" outlineLevel="0" collapsed="false">
      <c r="A1638" s="0" t="s">
        <v>44</v>
      </c>
      <c r="B1638" s="0" t="s">
        <v>2221</v>
      </c>
      <c r="C1638" s="0" t="s">
        <v>3865</v>
      </c>
      <c r="E1638" s="0" t="s">
        <v>1479</v>
      </c>
    </row>
    <row r="1639" customFormat="false" ht="15" hidden="false" customHeight="false" outlineLevel="0" collapsed="false">
      <c r="A1639" s="0" t="s">
        <v>44</v>
      </c>
      <c r="B1639" s="0" t="s">
        <v>1496</v>
      </c>
      <c r="C1639" s="0" t="s">
        <v>3866</v>
      </c>
      <c r="E1639" s="0" t="s">
        <v>1479</v>
      </c>
    </row>
    <row r="1640" customFormat="false" ht="15" hidden="false" customHeight="false" outlineLevel="0" collapsed="false">
      <c r="A1640" s="0" t="s">
        <v>44</v>
      </c>
      <c r="B1640" s="0" t="s">
        <v>1498</v>
      </c>
      <c r="C1640" s="0" t="s">
        <v>3867</v>
      </c>
      <c r="E1640" s="0" t="s">
        <v>1479</v>
      </c>
    </row>
    <row r="1641" customFormat="false" ht="15" hidden="false" customHeight="false" outlineLevel="0" collapsed="false">
      <c r="A1641" s="0" t="s">
        <v>44</v>
      </c>
      <c r="B1641" s="0" t="s">
        <v>2253</v>
      </c>
      <c r="C1641" s="0" t="s">
        <v>3868</v>
      </c>
      <c r="E1641" s="0" t="s">
        <v>1479</v>
      </c>
    </row>
    <row r="1642" customFormat="false" ht="15" hidden="false" customHeight="false" outlineLevel="0" collapsed="false">
      <c r="A1642" s="0" t="s">
        <v>44</v>
      </c>
      <c r="B1642" s="0" t="s">
        <v>2255</v>
      </c>
      <c r="C1642" s="0" t="s">
        <v>3869</v>
      </c>
      <c r="E1642" s="0" t="s">
        <v>1479</v>
      </c>
    </row>
    <row r="1643" customFormat="false" ht="15" hidden="false" customHeight="false" outlineLevel="0" collapsed="false">
      <c r="A1643" s="0" t="s">
        <v>44</v>
      </c>
      <c r="B1643" s="0" t="s">
        <v>2257</v>
      </c>
      <c r="C1643" s="0" t="s">
        <v>3870</v>
      </c>
      <c r="E1643" s="0" t="s">
        <v>1479</v>
      </c>
    </row>
    <row r="1644" customFormat="false" ht="15" hidden="false" customHeight="false" outlineLevel="0" collapsed="false">
      <c r="A1644" s="0" t="s">
        <v>44</v>
      </c>
      <c r="B1644" s="0" t="s">
        <v>2244</v>
      </c>
      <c r="C1644" s="0" t="s">
        <v>3871</v>
      </c>
      <c r="E1644" s="0" t="s">
        <v>1479</v>
      </c>
    </row>
    <row r="1645" customFormat="false" ht="15" hidden="false" customHeight="false" outlineLevel="0" collapsed="false">
      <c r="A1645" s="0" t="s">
        <v>44</v>
      </c>
      <c r="B1645" s="0" t="s">
        <v>1494</v>
      </c>
      <c r="C1645" s="0" t="s">
        <v>3872</v>
      </c>
      <c r="E1645" s="0" t="s">
        <v>1479</v>
      </c>
    </row>
    <row r="1646" customFormat="false" ht="15" hidden="false" customHeight="false" outlineLevel="0" collapsed="false">
      <c r="A1646" s="0" t="s">
        <v>44</v>
      </c>
      <c r="B1646" s="0" t="s">
        <v>2247</v>
      </c>
      <c r="C1646" s="0" t="s">
        <v>3873</v>
      </c>
      <c r="E1646" s="0" t="s">
        <v>1479</v>
      </c>
    </row>
    <row r="1647" customFormat="false" ht="15" hidden="false" customHeight="false" outlineLevel="0" collapsed="false">
      <c r="A1647" s="0" t="s">
        <v>44</v>
      </c>
      <c r="B1647" s="0" t="s">
        <v>1502</v>
      </c>
      <c r="C1647" s="0" t="s">
        <v>3874</v>
      </c>
      <c r="E1647" s="0" t="s">
        <v>1479</v>
      </c>
    </row>
    <row r="1648" customFormat="false" ht="15" hidden="false" customHeight="false" outlineLevel="0" collapsed="false">
      <c r="A1648" s="0" t="s">
        <v>44</v>
      </c>
      <c r="B1648" s="0" t="s">
        <v>1504</v>
      </c>
      <c r="C1648" s="0" t="s">
        <v>3875</v>
      </c>
      <c r="E1648" s="0" t="s">
        <v>1479</v>
      </c>
    </row>
    <row r="1649" customFormat="false" ht="15" hidden="false" customHeight="false" outlineLevel="0" collapsed="false">
      <c r="A1649" s="0" t="s">
        <v>44</v>
      </c>
      <c r="B1649" s="0" t="s">
        <v>2275</v>
      </c>
      <c r="C1649" s="0" t="s">
        <v>3876</v>
      </c>
      <c r="E1649" s="0" t="s">
        <v>1479</v>
      </c>
    </row>
    <row r="1650" customFormat="false" ht="15" hidden="false" customHeight="false" outlineLevel="0" collapsed="false">
      <c r="A1650" s="0" t="s">
        <v>44</v>
      </c>
      <c r="B1650" s="0" t="s">
        <v>2277</v>
      </c>
      <c r="C1650" s="0" t="s">
        <v>3877</v>
      </c>
      <c r="E1650" s="0" t="s">
        <v>1479</v>
      </c>
    </row>
    <row r="1651" customFormat="false" ht="15" hidden="false" customHeight="false" outlineLevel="0" collapsed="false">
      <c r="A1651" s="0" t="s">
        <v>44</v>
      </c>
      <c r="B1651" s="0" t="s">
        <v>2279</v>
      </c>
      <c r="C1651" s="0" t="s">
        <v>3878</v>
      </c>
      <c r="E1651" s="0" t="s">
        <v>1479</v>
      </c>
    </row>
    <row r="1652" customFormat="false" ht="15" hidden="false" customHeight="false" outlineLevel="0" collapsed="false">
      <c r="A1652" s="0" t="s">
        <v>44</v>
      </c>
      <c r="B1652" s="0" t="s">
        <v>2268</v>
      </c>
      <c r="C1652" s="0" t="s">
        <v>3879</v>
      </c>
      <c r="E1652" s="0" t="s">
        <v>1479</v>
      </c>
    </row>
    <row r="1653" customFormat="false" ht="15" hidden="false" customHeight="false" outlineLevel="0" collapsed="false">
      <c r="A1653" s="0" t="s">
        <v>44</v>
      </c>
      <c r="B1653" s="0" t="s">
        <v>1500</v>
      </c>
      <c r="C1653" s="0" t="s">
        <v>3880</v>
      </c>
      <c r="E1653" s="0" t="s">
        <v>1479</v>
      </c>
    </row>
    <row r="1654" customFormat="false" ht="15" hidden="false" customHeight="false" outlineLevel="0" collapsed="false">
      <c r="A1654" s="0" t="s">
        <v>44</v>
      </c>
      <c r="B1654" s="0" t="s">
        <v>2271</v>
      </c>
      <c r="C1654" s="0" t="s">
        <v>3881</v>
      </c>
      <c r="E1654" s="0" t="s">
        <v>1479</v>
      </c>
    </row>
    <row r="1655" customFormat="false" ht="15" hidden="false" customHeight="false" outlineLevel="0" collapsed="false">
      <c r="A1655" s="0" t="s">
        <v>46</v>
      </c>
      <c r="B1655" s="0" t="s">
        <v>1864</v>
      </c>
      <c r="C1655" s="0" t="s">
        <v>3882</v>
      </c>
      <c r="E1655" s="0" t="s">
        <v>2007</v>
      </c>
    </row>
    <row r="1656" customFormat="false" ht="15" hidden="false" customHeight="false" outlineLevel="0" collapsed="false">
      <c r="A1656" s="0" t="s">
        <v>46</v>
      </c>
      <c r="B1656" s="0" t="s">
        <v>1867</v>
      </c>
      <c r="C1656" s="0" t="s">
        <v>3883</v>
      </c>
      <c r="E1656" s="0" t="s">
        <v>3884</v>
      </c>
    </row>
    <row r="1657" customFormat="false" ht="15" hidden="false" customHeight="false" outlineLevel="0" collapsed="false">
      <c r="A1657" s="0" t="s">
        <v>46</v>
      </c>
      <c r="B1657" s="0" t="s">
        <v>1870</v>
      </c>
      <c r="C1657" s="0" t="s">
        <v>3885</v>
      </c>
      <c r="E1657" s="0" t="s">
        <v>2159</v>
      </c>
    </row>
    <row r="1658" customFormat="false" ht="15" hidden="false" customHeight="false" outlineLevel="0" collapsed="false">
      <c r="A1658" s="0" t="s">
        <v>46</v>
      </c>
      <c r="B1658" s="0" t="s">
        <v>1488</v>
      </c>
      <c r="C1658" s="0" t="s">
        <v>3886</v>
      </c>
      <c r="E1658" s="0" t="s">
        <v>3546</v>
      </c>
    </row>
    <row r="1659" customFormat="false" ht="15" hidden="false" customHeight="false" outlineLevel="0" collapsed="false">
      <c r="A1659" s="0" t="s">
        <v>46</v>
      </c>
      <c r="B1659" s="0" t="s">
        <v>2221</v>
      </c>
      <c r="C1659" s="0" t="s">
        <v>3887</v>
      </c>
      <c r="E1659" s="0" t="s">
        <v>3242</v>
      </c>
    </row>
    <row r="1660" customFormat="false" ht="15" hidden="false" customHeight="false" outlineLevel="0" collapsed="false">
      <c r="A1660" s="0" t="s">
        <v>46</v>
      </c>
      <c r="B1660" s="0" t="s">
        <v>1490</v>
      </c>
      <c r="C1660" s="0" t="s">
        <v>3888</v>
      </c>
      <c r="E1660" s="0" t="s">
        <v>3889</v>
      </c>
    </row>
    <row r="1661" customFormat="false" ht="15" hidden="false" customHeight="false" outlineLevel="0" collapsed="false">
      <c r="A1661" s="0" t="s">
        <v>46</v>
      </c>
      <c r="B1661" s="0" t="s">
        <v>1492</v>
      </c>
      <c r="C1661" s="0" t="s">
        <v>3890</v>
      </c>
      <c r="E1661" s="0" t="s">
        <v>3891</v>
      </c>
    </row>
    <row r="1662" customFormat="false" ht="15" hidden="false" customHeight="false" outlineLevel="0" collapsed="false">
      <c r="A1662" s="0" t="s">
        <v>46</v>
      </c>
      <c r="B1662" s="0" t="s">
        <v>2227</v>
      </c>
      <c r="C1662" s="0" t="s">
        <v>3892</v>
      </c>
      <c r="E1662" s="0" t="s">
        <v>3893</v>
      </c>
    </row>
    <row r="1663" customFormat="false" ht="15" hidden="false" customHeight="false" outlineLevel="0" collapsed="false">
      <c r="A1663" s="0" t="s">
        <v>46</v>
      </c>
      <c r="B1663" s="0" t="s">
        <v>2230</v>
      </c>
      <c r="C1663" s="0" t="s">
        <v>3894</v>
      </c>
      <c r="E1663" s="0" t="s">
        <v>3893</v>
      </c>
    </row>
    <row r="1664" customFormat="false" ht="15" hidden="false" customHeight="false" outlineLevel="0" collapsed="false">
      <c r="A1664" s="0" t="s">
        <v>46</v>
      </c>
      <c r="B1664" s="0" t="s">
        <v>1494</v>
      </c>
      <c r="C1664" s="0" t="s">
        <v>3895</v>
      </c>
      <c r="E1664" s="0" t="s">
        <v>3236</v>
      </c>
    </row>
    <row r="1665" customFormat="false" ht="15" hidden="false" customHeight="false" outlineLevel="0" collapsed="false">
      <c r="A1665" s="0" t="s">
        <v>46</v>
      </c>
      <c r="B1665" s="0" t="s">
        <v>2247</v>
      </c>
      <c r="C1665" s="0" t="s">
        <v>3896</v>
      </c>
      <c r="E1665" s="0" t="s">
        <v>3236</v>
      </c>
    </row>
    <row r="1666" customFormat="false" ht="15" hidden="false" customHeight="false" outlineLevel="0" collapsed="false">
      <c r="A1666" s="0" t="s">
        <v>46</v>
      </c>
      <c r="B1666" s="0" t="s">
        <v>1496</v>
      </c>
      <c r="C1666" s="0" t="s">
        <v>3897</v>
      </c>
      <c r="E1666" s="0" t="s">
        <v>3236</v>
      </c>
    </row>
    <row r="1667" customFormat="false" ht="15" hidden="false" customHeight="false" outlineLevel="0" collapsed="false">
      <c r="A1667" s="0" t="s">
        <v>46</v>
      </c>
      <c r="B1667" s="0" t="s">
        <v>1498</v>
      </c>
      <c r="C1667" s="0" t="s">
        <v>3898</v>
      </c>
      <c r="E1667" s="0" t="s">
        <v>3236</v>
      </c>
    </row>
    <row r="1668" customFormat="false" ht="15" hidden="false" customHeight="false" outlineLevel="0" collapsed="false">
      <c r="A1668" s="0" t="s">
        <v>46</v>
      </c>
      <c r="B1668" s="0" t="s">
        <v>2253</v>
      </c>
      <c r="C1668" s="0" t="s">
        <v>3899</v>
      </c>
      <c r="E1668" s="0" t="s">
        <v>3236</v>
      </c>
    </row>
    <row r="1669" customFormat="false" ht="15" hidden="false" customHeight="false" outlineLevel="0" collapsed="false">
      <c r="A1669" s="0" t="s">
        <v>46</v>
      </c>
      <c r="B1669" s="0" t="s">
        <v>2255</v>
      </c>
      <c r="C1669" s="0" t="s">
        <v>3900</v>
      </c>
      <c r="E1669" s="0" t="s">
        <v>3236</v>
      </c>
    </row>
    <row r="1670" customFormat="false" ht="15" hidden="false" customHeight="false" outlineLevel="0" collapsed="false">
      <c r="A1670" s="0" t="s">
        <v>46</v>
      </c>
      <c r="B1670" s="0" t="s">
        <v>1500</v>
      </c>
      <c r="C1670" s="0" t="s">
        <v>3901</v>
      </c>
      <c r="E1670" s="0" t="s">
        <v>3238</v>
      </c>
    </row>
    <row r="1671" customFormat="false" ht="15" hidden="false" customHeight="false" outlineLevel="0" collapsed="false">
      <c r="A1671" s="0" t="s">
        <v>46</v>
      </c>
      <c r="B1671" s="0" t="s">
        <v>2271</v>
      </c>
      <c r="C1671" s="0" t="s">
        <v>3902</v>
      </c>
      <c r="E1671" s="0" t="s">
        <v>3238</v>
      </c>
    </row>
    <row r="1672" customFormat="false" ht="15" hidden="false" customHeight="false" outlineLevel="0" collapsed="false">
      <c r="A1672" s="0" t="s">
        <v>46</v>
      </c>
      <c r="B1672" s="0" t="s">
        <v>1502</v>
      </c>
      <c r="C1672" s="0" t="s">
        <v>3903</v>
      </c>
      <c r="E1672" s="0" t="s">
        <v>3238</v>
      </c>
    </row>
    <row r="1673" customFormat="false" ht="15" hidden="false" customHeight="false" outlineLevel="0" collapsed="false">
      <c r="A1673" s="0" t="s">
        <v>46</v>
      </c>
      <c r="B1673" s="0" t="s">
        <v>1504</v>
      </c>
      <c r="C1673" s="0" t="s">
        <v>3904</v>
      </c>
      <c r="E1673" s="0" t="s">
        <v>3238</v>
      </c>
    </row>
    <row r="1674" customFormat="false" ht="15" hidden="false" customHeight="false" outlineLevel="0" collapsed="false">
      <c r="A1674" s="0" t="s">
        <v>46</v>
      </c>
      <c r="B1674" s="0" t="s">
        <v>2275</v>
      </c>
      <c r="C1674" s="0" t="s">
        <v>3905</v>
      </c>
      <c r="E1674" s="0" t="s">
        <v>3238</v>
      </c>
    </row>
    <row r="1675" customFormat="false" ht="15" hidden="false" customHeight="false" outlineLevel="0" collapsed="false">
      <c r="A1675" s="0" t="s">
        <v>46</v>
      </c>
      <c r="B1675" s="0" t="s">
        <v>2277</v>
      </c>
      <c r="C1675" s="0" t="s">
        <v>3906</v>
      </c>
      <c r="E1675" s="0" t="s">
        <v>3238</v>
      </c>
    </row>
    <row r="1676" customFormat="false" ht="15" hidden="false" customHeight="false" outlineLevel="0" collapsed="false">
      <c r="A1676" s="0" t="s">
        <v>46</v>
      </c>
      <c r="B1676" s="0" t="s">
        <v>2291</v>
      </c>
      <c r="C1676" s="0" t="s">
        <v>3907</v>
      </c>
      <c r="E1676" s="0" t="s">
        <v>3546</v>
      </c>
    </row>
    <row r="1677" customFormat="false" ht="15" hidden="false" customHeight="false" outlineLevel="0" collapsed="false">
      <c r="A1677" s="0" t="s">
        <v>46</v>
      </c>
      <c r="B1677" s="0" t="s">
        <v>2293</v>
      </c>
      <c r="C1677" s="0" t="s">
        <v>3908</v>
      </c>
      <c r="E1677" s="0" t="s">
        <v>3240</v>
      </c>
    </row>
    <row r="1678" customFormat="false" ht="15" hidden="false" customHeight="false" outlineLevel="0" collapsed="false">
      <c r="A1678" s="0" t="s">
        <v>46</v>
      </c>
      <c r="B1678" s="0" t="s">
        <v>2295</v>
      </c>
      <c r="C1678" s="0" t="s">
        <v>3909</v>
      </c>
      <c r="E1678" s="0" t="s">
        <v>3240</v>
      </c>
    </row>
    <row r="1679" customFormat="false" ht="15" hidden="false" customHeight="false" outlineLevel="0" collapsed="false">
      <c r="A1679" s="0" t="s">
        <v>46</v>
      </c>
      <c r="B1679" s="0" t="s">
        <v>2297</v>
      </c>
      <c r="C1679" s="0" t="s">
        <v>3910</v>
      </c>
      <c r="E1679" s="0" t="s">
        <v>3240</v>
      </c>
    </row>
    <row r="1680" customFormat="false" ht="15" hidden="false" customHeight="false" outlineLevel="0" collapsed="false">
      <c r="A1680" s="0" t="s">
        <v>46</v>
      </c>
      <c r="B1680" s="0" t="s">
        <v>2299</v>
      </c>
      <c r="C1680" s="0" t="s">
        <v>3911</v>
      </c>
      <c r="E1680" s="0" t="s">
        <v>3240</v>
      </c>
    </row>
    <row r="1681" customFormat="false" ht="15" hidden="false" customHeight="false" outlineLevel="0" collapsed="false">
      <c r="A1681" s="0" t="s">
        <v>46</v>
      </c>
      <c r="B1681" s="0" t="s">
        <v>2301</v>
      </c>
      <c r="C1681" s="0" t="s">
        <v>3912</v>
      </c>
      <c r="E1681" s="0" t="s">
        <v>3240</v>
      </c>
    </row>
    <row r="1682" customFormat="false" ht="15" hidden="false" customHeight="false" outlineLevel="0" collapsed="false">
      <c r="A1682" s="0" t="s">
        <v>46</v>
      </c>
      <c r="B1682" s="0" t="s">
        <v>1883</v>
      </c>
      <c r="C1682" s="0" t="s">
        <v>3913</v>
      </c>
      <c r="E1682" s="0" t="s">
        <v>3914</v>
      </c>
    </row>
    <row r="1683" customFormat="false" ht="15" hidden="false" customHeight="false" outlineLevel="0" collapsed="false">
      <c r="A1683" s="0" t="s">
        <v>46</v>
      </c>
      <c r="B1683" s="0" t="s">
        <v>1886</v>
      </c>
      <c r="C1683" s="0" t="s">
        <v>3915</v>
      </c>
      <c r="E1683" s="0" t="s">
        <v>3916</v>
      </c>
    </row>
    <row r="1684" customFormat="false" ht="15" hidden="false" customHeight="false" outlineLevel="0" collapsed="false">
      <c r="A1684" s="0" t="s">
        <v>46</v>
      </c>
      <c r="B1684" s="0" t="s">
        <v>1888</v>
      </c>
      <c r="C1684" s="0" t="s">
        <v>3917</v>
      </c>
      <c r="E1684" s="0" t="s">
        <v>3916</v>
      </c>
    </row>
    <row r="1685" customFormat="false" ht="15" hidden="false" customHeight="false" outlineLevel="0" collapsed="false">
      <c r="A1685" s="0" t="s">
        <v>46</v>
      </c>
      <c r="B1685" s="0" t="s">
        <v>1891</v>
      </c>
      <c r="C1685" s="0" t="s">
        <v>3918</v>
      </c>
      <c r="E1685" s="0" t="s">
        <v>3919</v>
      </c>
    </row>
    <row r="1686" customFormat="false" ht="15" hidden="false" customHeight="false" outlineLevel="0" collapsed="false">
      <c r="A1686" s="0" t="s">
        <v>46</v>
      </c>
      <c r="B1686" s="0" t="s">
        <v>1894</v>
      </c>
      <c r="C1686" s="0" t="s">
        <v>3920</v>
      </c>
      <c r="E1686" s="0" t="s">
        <v>3919</v>
      </c>
    </row>
    <row r="1687" customFormat="false" ht="15" hidden="false" customHeight="false" outlineLevel="0" collapsed="false">
      <c r="A1687" s="0" t="s">
        <v>46</v>
      </c>
      <c r="B1687" s="0" t="s">
        <v>2319</v>
      </c>
      <c r="C1687" s="0" t="s">
        <v>3921</v>
      </c>
      <c r="E1687" s="0" t="s">
        <v>3919</v>
      </c>
    </row>
    <row r="1688" customFormat="false" ht="15" hidden="false" customHeight="false" outlineLevel="0" collapsed="false">
      <c r="A1688" s="0" t="s">
        <v>48</v>
      </c>
      <c r="B1688" s="0" t="s">
        <v>506</v>
      </c>
      <c r="C1688" s="0" t="s">
        <v>3922</v>
      </c>
      <c r="E1688" s="0" t="s">
        <v>3743</v>
      </c>
    </row>
    <row r="1689" customFormat="false" ht="15" hidden="false" customHeight="false" outlineLevel="0" collapsed="false">
      <c r="A1689" s="0" t="s">
        <v>48</v>
      </c>
      <c r="B1689" s="0" t="s">
        <v>1864</v>
      </c>
      <c r="C1689" s="0" t="s">
        <v>3923</v>
      </c>
      <c r="E1689" s="0" t="s">
        <v>2951</v>
      </c>
    </row>
    <row r="1690" customFormat="false" ht="15" hidden="false" customHeight="false" outlineLevel="0" collapsed="false">
      <c r="A1690" s="0" t="s">
        <v>48</v>
      </c>
      <c r="B1690" s="0" t="s">
        <v>1468</v>
      </c>
      <c r="C1690" s="0" t="s">
        <v>3924</v>
      </c>
      <c r="E1690" s="0" t="s">
        <v>3925</v>
      </c>
    </row>
    <row r="1691" customFormat="false" ht="15" hidden="false" customHeight="false" outlineLevel="0" collapsed="false">
      <c r="A1691" s="0" t="s">
        <v>48</v>
      </c>
      <c r="B1691" s="0" t="s">
        <v>2438</v>
      </c>
      <c r="C1691" s="0" t="s">
        <v>3926</v>
      </c>
      <c r="E1691" s="0" t="s">
        <v>3927</v>
      </c>
    </row>
    <row r="1692" customFormat="false" ht="15" hidden="false" customHeight="false" outlineLevel="0" collapsed="false">
      <c r="A1692" s="0" t="s">
        <v>48</v>
      </c>
      <c r="B1692" s="0" t="s">
        <v>2441</v>
      </c>
      <c r="C1692" s="0" t="s">
        <v>3928</v>
      </c>
      <c r="E1692" s="0" t="s">
        <v>3929</v>
      </c>
    </row>
    <row r="1693" customFormat="false" ht="15" hidden="false" customHeight="false" outlineLevel="0" collapsed="false">
      <c r="A1693" s="0" t="s">
        <v>48</v>
      </c>
      <c r="B1693" s="0" t="s">
        <v>2443</v>
      </c>
      <c r="C1693" s="0" t="s">
        <v>3930</v>
      </c>
      <c r="E1693" s="0" t="s">
        <v>2125</v>
      </c>
    </row>
    <row r="1694" customFormat="false" ht="15" hidden="false" customHeight="false" outlineLevel="0" collapsed="false">
      <c r="A1694" s="0" t="s">
        <v>48</v>
      </c>
      <c r="B1694" s="0" t="s">
        <v>2796</v>
      </c>
      <c r="C1694" s="0" t="s">
        <v>3931</v>
      </c>
      <c r="E1694" s="0" t="s">
        <v>3932</v>
      </c>
    </row>
    <row r="1695" customFormat="false" ht="15" hidden="false" customHeight="false" outlineLevel="0" collapsed="false">
      <c r="A1695" s="0" t="s">
        <v>48</v>
      </c>
      <c r="B1695" s="0" t="s">
        <v>509</v>
      </c>
      <c r="C1695" s="0" t="s">
        <v>3933</v>
      </c>
      <c r="E1695" s="0" t="s">
        <v>3756</v>
      </c>
    </row>
    <row r="1696" customFormat="false" ht="15" hidden="false" customHeight="false" outlineLevel="0" collapsed="false">
      <c r="A1696" s="0" t="s">
        <v>48</v>
      </c>
      <c r="B1696" s="0" t="s">
        <v>1867</v>
      </c>
      <c r="C1696" s="0" t="s">
        <v>3934</v>
      </c>
      <c r="E1696" s="0" t="s">
        <v>2951</v>
      </c>
    </row>
    <row r="1697" customFormat="false" ht="15" hidden="false" customHeight="false" outlineLevel="0" collapsed="false">
      <c r="A1697" s="0" t="s">
        <v>48</v>
      </c>
      <c r="B1697" s="0" t="s">
        <v>2117</v>
      </c>
      <c r="C1697" s="0" t="s">
        <v>3935</v>
      </c>
      <c r="E1697" s="0" t="s">
        <v>3936</v>
      </c>
    </row>
    <row r="1698" customFormat="false" ht="15" hidden="false" customHeight="false" outlineLevel="0" collapsed="false">
      <c r="A1698" s="0" t="s">
        <v>48</v>
      </c>
      <c r="B1698" s="0" t="s">
        <v>2120</v>
      </c>
      <c r="C1698" s="0" t="s">
        <v>3937</v>
      </c>
      <c r="E1698" s="0" t="s">
        <v>3927</v>
      </c>
    </row>
    <row r="1699" customFormat="false" ht="15" hidden="false" customHeight="false" outlineLevel="0" collapsed="false">
      <c r="A1699" s="0" t="s">
        <v>48</v>
      </c>
      <c r="B1699" s="0" t="s">
        <v>2123</v>
      </c>
      <c r="C1699" s="0" t="s">
        <v>3938</v>
      </c>
      <c r="E1699" s="0" t="s">
        <v>3939</v>
      </c>
    </row>
    <row r="1700" customFormat="false" ht="15" hidden="false" customHeight="false" outlineLevel="0" collapsed="false">
      <c r="A1700" s="0" t="s">
        <v>48</v>
      </c>
      <c r="B1700" s="0" t="s">
        <v>2126</v>
      </c>
      <c r="C1700" s="0" t="s">
        <v>3940</v>
      </c>
      <c r="E1700" s="0" t="s">
        <v>2125</v>
      </c>
    </row>
    <row r="1701" customFormat="false" ht="15" hidden="false" customHeight="false" outlineLevel="0" collapsed="false">
      <c r="A1701" s="0" t="s">
        <v>48</v>
      </c>
      <c r="B1701" s="0" t="s">
        <v>2129</v>
      </c>
      <c r="C1701" s="0" t="s">
        <v>3941</v>
      </c>
      <c r="E1701" s="0" t="s">
        <v>3942</v>
      </c>
    </row>
    <row r="1702" customFormat="false" ht="15" hidden="false" customHeight="false" outlineLevel="0" collapsed="false">
      <c r="A1702" s="0" t="s">
        <v>48</v>
      </c>
      <c r="B1702" s="0" t="s">
        <v>2145</v>
      </c>
      <c r="C1702" s="0" t="s">
        <v>3943</v>
      </c>
      <c r="E1702" s="0" t="s">
        <v>3769</v>
      </c>
    </row>
    <row r="1703" customFormat="false" ht="15" hidden="false" customHeight="false" outlineLevel="0" collapsed="false">
      <c r="A1703" s="0" t="s">
        <v>48</v>
      </c>
      <c r="B1703" s="0" t="s">
        <v>1870</v>
      </c>
      <c r="C1703" s="0" t="s">
        <v>3944</v>
      </c>
      <c r="E1703" s="0" t="s">
        <v>2951</v>
      </c>
    </row>
    <row r="1704" customFormat="false" ht="15" hidden="false" customHeight="false" outlineLevel="0" collapsed="false">
      <c r="A1704" s="0" t="s">
        <v>48</v>
      </c>
      <c r="B1704" s="0" t="s">
        <v>2148</v>
      </c>
      <c r="C1704" s="0" t="s">
        <v>3945</v>
      </c>
      <c r="E1704" s="0" t="s">
        <v>3546</v>
      </c>
    </row>
    <row r="1705" customFormat="false" ht="15" hidden="false" customHeight="false" outlineLevel="0" collapsed="false">
      <c r="A1705" s="0" t="s">
        <v>48</v>
      </c>
      <c r="B1705" s="0" t="s">
        <v>2150</v>
      </c>
      <c r="C1705" s="0" t="s">
        <v>3946</v>
      </c>
      <c r="E1705" s="0" t="s">
        <v>3927</v>
      </c>
    </row>
    <row r="1706" customFormat="false" ht="15" hidden="false" customHeight="false" outlineLevel="0" collapsed="false">
      <c r="A1706" s="0" t="s">
        <v>48</v>
      </c>
      <c r="B1706" s="0" t="s">
        <v>2153</v>
      </c>
      <c r="C1706" s="0" t="s">
        <v>3947</v>
      </c>
      <c r="E1706" s="0" t="s">
        <v>3546</v>
      </c>
    </row>
    <row r="1707" customFormat="false" ht="15" hidden="false" customHeight="false" outlineLevel="0" collapsed="false">
      <c r="A1707" s="0" t="s">
        <v>48</v>
      </c>
      <c r="B1707" s="0" t="s">
        <v>2155</v>
      </c>
      <c r="C1707" s="0" t="s">
        <v>3948</v>
      </c>
      <c r="E1707" s="0" t="s">
        <v>2125</v>
      </c>
    </row>
    <row r="1708" customFormat="false" ht="15" hidden="false" customHeight="false" outlineLevel="0" collapsed="false">
      <c r="A1708" s="0" t="s">
        <v>48</v>
      </c>
      <c r="B1708" s="0" t="s">
        <v>2157</v>
      </c>
      <c r="C1708" s="0" t="s">
        <v>3949</v>
      </c>
      <c r="E1708" s="0" t="s">
        <v>3546</v>
      </c>
    </row>
    <row r="1709" customFormat="false" ht="15" hidden="false" customHeight="false" outlineLevel="0" collapsed="false">
      <c r="A1709" s="0" t="s">
        <v>48</v>
      </c>
      <c r="B1709" s="0" t="s">
        <v>2171</v>
      </c>
      <c r="C1709" s="0" t="s">
        <v>3950</v>
      </c>
      <c r="E1709" s="0" t="s">
        <v>1479</v>
      </c>
    </row>
    <row r="1710" customFormat="false" ht="15" hidden="false" customHeight="false" outlineLevel="0" collapsed="false">
      <c r="A1710" s="0" t="s">
        <v>48</v>
      </c>
      <c r="B1710" s="0" t="s">
        <v>1471</v>
      </c>
      <c r="C1710" s="0" t="s">
        <v>3951</v>
      </c>
      <c r="E1710" s="0" t="s">
        <v>1479</v>
      </c>
    </row>
    <row r="1711" customFormat="false" ht="15" hidden="false" customHeight="false" outlineLevel="0" collapsed="false">
      <c r="A1711" s="0" t="s">
        <v>48</v>
      </c>
      <c r="B1711" s="0" t="s">
        <v>2174</v>
      </c>
      <c r="C1711" s="0" t="s">
        <v>3952</v>
      </c>
      <c r="E1711" s="0" t="s">
        <v>1479</v>
      </c>
    </row>
    <row r="1712" customFormat="false" ht="15" hidden="false" customHeight="false" outlineLevel="0" collapsed="false">
      <c r="A1712" s="0" t="s">
        <v>48</v>
      </c>
      <c r="B1712" s="0" t="s">
        <v>1474</v>
      </c>
      <c r="C1712" s="0" t="s">
        <v>3953</v>
      </c>
      <c r="E1712" s="0" t="s">
        <v>1479</v>
      </c>
    </row>
    <row r="1713" customFormat="false" ht="15" hidden="false" customHeight="false" outlineLevel="0" collapsed="false">
      <c r="A1713" s="0" t="s">
        <v>48</v>
      </c>
      <c r="B1713" s="0" t="s">
        <v>1477</v>
      </c>
      <c r="C1713" s="0" t="s">
        <v>3954</v>
      </c>
      <c r="E1713" s="0" t="s">
        <v>1479</v>
      </c>
    </row>
    <row r="1714" customFormat="false" ht="15" hidden="false" customHeight="false" outlineLevel="0" collapsed="false">
      <c r="A1714" s="0" t="s">
        <v>48</v>
      </c>
      <c r="B1714" s="0" t="s">
        <v>2179</v>
      </c>
      <c r="C1714" s="0" t="s">
        <v>3955</v>
      </c>
      <c r="E1714" s="0" t="s">
        <v>1479</v>
      </c>
    </row>
    <row r="1715" customFormat="false" ht="15" hidden="false" customHeight="false" outlineLevel="0" collapsed="false">
      <c r="A1715" s="0" t="s">
        <v>48</v>
      </c>
      <c r="B1715" s="0" t="s">
        <v>2181</v>
      </c>
      <c r="C1715" s="0" t="s">
        <v>3956</v>
      </c>
      <c r="E1715" s="0" t="s">
        <v>1479</v>
      </c>
    </row>
    <row r="1716" customFormat="false" ht="15" hidden="false" customHeight="false" outlineLevel="0" collapsed="false">
      <c r="A1716" s="0" t="s">
        <v>48</v>
      </c>
      <c r="B1716" s="0" t="s">
        <v>2194</v>
      </c>
      <c r="C1716" s="0" t="s">
        <v>3957</v>
      </c>
      <c r="E1716" s="0" t="s">
        <v>1479</v>
      </c>
    </row>
    <row r="1717" customFormat="false" ht="15" hidden="false" customHeight="false" outlineLevel="0" collapsed="false">
      <c r="A1717" s="0" t="s">
        <v>48</v>
      </c>
      <c r="B1717" s="0" t="s">
        <v>1480</v>
      </c>
      <c r="C1717" s="0" t="s">
        <v>3958</v>
      </c>
      <c r="E1717" s="0" t="s">
        <v>1479</v>
      </c>
    </row>
    <row r="1718" customFormat="false" ht="15" hidden="false" customHeight="false" outlineLevel="0" collapsed="false">
      <c r="A1718" s="0" t="s">
        <v>48</v>
      </c>
      <c r="B1718" s="0" t="s">
        <v>2197</v>
      </c>
      <c r="C1718" s="0" t="s">
        <v>3959</v>
      </c>
      <c r="E1718" s="0" t="s">
        <v>1479</v>
      </c>
    </row>
    <row r="1719" customFormat="false" ht="15" hidden="false" customHeight="false" outlineLevel="0" collapsed="false">
      <c r="A1719" s="0" t="s">
        <v>48</v>
      </c>
      <c r="B1719" s="0" t="s">
        <v>1483</v>
      </c>
      <c r="C1719" s="0" t="s">
        <v>3960</v>
      </c>
      <c r="E1719" s="0" t="s">
        <v>1479</v>
      </c>
    </row>
    <row r="1720" customFormat="false" ht="15" hidden="false" customHeight="false" outlineLevel="0" collapsed="false">
      <c r="A1720" s="0" t="s">
        <v>48</v>
      </c>
      <c r="B1720" s="0" t="s">
        <v>1486</v>
      </c>
      <c r="C1720" s="0" t="s">
        <v>3961</v>
      </c>
      <c r="E1720" s="0" t="s">
        <v>1479</v>
      </c>
    </row>
    <row r="1721" customFormat="false" ht="15" hidden="false" customHeight="false" outlineLevel="0" collapsed="false">
      <c r="A1721" s="0" t="s">
        <v>48</v>
      </c>
      <c r="B1721" s="0" t="s">
        <v>2203</v>
      </c>
      <c r="C1721" s="0" t="s">
        <v>3962</v>
      </c>
      <c r="E1721" s="0" t="s">
        <v>1479</v>
      </c>
    </row>
    <row r="1722" customFormat="false" ht="15" hidden="false" customHeight="false" outlineLevel="0" collapsed="false">
      <c r="A1722" s="0" t="s">
        <v>48</v>
      </c>
      <c r="B1722" s="0" t="s">
        <v>2205</v>
      </c>
      <c r="C1722" s="0" t="s">
        <v>3963</v>
      </c>
      <c r="E1722" s="0" t="s">
        <v>1479</v>
      </c>
    </row>
    <row r="1723" customFormat="false" ht="15" hidden="false" customHeight="false" outlineLevel="0" collapsed="false">
      <c r="A1723" s="0" t="s">
        <v>48</v>
      </c>
      <c r="B1723" s="0" t="s">
        <v>2218</v>
      </c>
      <c r="C1723" s="0" t="s">
        <v>3964</v>
      </c>
      <c r="E1723" s="0" t="s">
        <v>1479</v>
      </c>
    </row>
    <row r="1724" customFormat="false" ht="15" hidden="false" customHeight="false" outlineLevel="0" collapsed="false">
      <c r="A1724" s="0" t="s">
        <v>48</v>
      </c>
      <c r="B1724" s="0" t="s">
        <v>1488</v>
      </c>
      <c r="C1724" s="0" t="s">
        <v>3965</v>
      </c>
      <c r="E1724" s="0" t="s">
        <v>1479</v>
      </c>
    </row>
    <row r="1725" customFormat="false" ht="15" hidden="false" customHeight="false" outlineLevel="0" collapsed="false">
      <c r="A1725" s="0" t="s">
        <v>48</v>
      </c>
      <c r="B1725" s="0" t="s">
        <v>2221</v>
      </c>
      <c r="C1725" s="0" t="s">
        <v>3966</v>
      </c>
      <c r="E1725" s="0" t="s">
        <v>1479</v>
      </c>
    </row>
    <row r="1726" customFormat="false" ht="15" hidden="false" customHeight="false" outlineLevel="0" collapsed="false">
      <c r="A1726" s="0" t="s">
        <v>48</v>
      </c>
      <c r="B1726" s="0" t="s">
        <v>1490</v>
      </c>
      <c r="C1726" s="0" t="s">
        <v>3967</v>
      </c>
      <c r="E1726" s="0" t="s">
        <v>1479</v>
      </c>
    </row>
    <row r="1727" customFormat="false" ht="15" hidden="false" customHeight="false" outlineLevel="0" collapsed="false">
      <c r="A1727" s="0" t="s">
        <v>48</v>
      </c>
      <c r="B1727" s="0" t="s">
        <v>1492</v>
      </c>
      <c r="C1727" s="0" t="s">
        <v>3968</v>
      </c>
      <c r="E1727" s="0" t="s">
        <v>1479</v>
      </c>
    </row>
    <row r="1728" customFormat="false" ht="15" hidden="false" customHeight="false" outlineLevel="0" collapsed="false">
      <c r="A1728" s="0" t="s">
        <v>48</v>
      </c>
      <c r="B1728" s="0" t="s">
        <v>2227</v>
      </c>
      <c r="C1728" s="0" t="s">
        <v>3969</v>
      </c>
      <c r="E1728" s="0" t="s">
        <v>1479</v>
      </c>
    </row>
    <row r="1729" customFormat="false" ht="15" hidden="false" customHeight="false" outlineLevel="0" collapsed="false">
      <c r="A1729" s="0" t="s">
        <v>48</v>
      </c>
      <c r="B1729" s="0" t="s">
        <v>2230</v>
      </c>
      <c r="C1729" s="0" t="s">
        <v>3970</v>
      </c>
      <c r="E1729" s="0" t="s">
        <v>1479</v>
      </c>
    </row>
    <row r="1730" customFormat="false" ht="15" hidden="false" customHeight="false" outlineLevel="0" collapsed="false">
      <c r="A1730" s="0" t="s">
        <v>48</v>
      </c>
      <c r="B1730" s="0" t="s">
        <v>2588</v>
      </c>
      <c r="C1730" s="0" t="s">
        <v>3971</v>
      </c>
      <c r="E1730" s="0" t="s">
        <v>3972</v>
      </c>
    </row>
    <row r="1731" customFormat="false" ht="15" hidden="false" customHeight="false" outlineLevel="0" collapsed="false">
      <c r="A1731" s="0" t="s">
        <v>48</v>
      </c>
      <c r="B1731" s="0" t="s">
        <v>1550</v>
      </c>
      <c r="C1731" s="0" t="s">
        <v>3973</v>
      </c>
      <c r="E1731" s="0" t="s">
        <v>2125</v>
      </c>
    </row>
    <row r="1732" customFormat="false" ht="15" hidden="false" customHeight="false" outlineLevel="0" collapsed="false">
      <c r="A1732" s="0" t="s">
        <v>48</v>
      </c>
      <c r="B1732" s="0" t="s">
        <v>2601</v>
      </c>
      <c r="C1732" s="0" t="s">
        <v>3974</v>
      </c>
      <c r="E1732" s="0" t="s">
        <v>3927</v>
      </c>
    </row>
    <row r="1733" customFormat="false" ht="15" hidden="false" customHeight="false" outlineLevel="0" collapsed="false">
      <c r="A1733" s="0" t="s">
        <v>48</v>
      </c>
      <c r="B1733" s="0" t="s">
        <v>2603</v>
      </c>
      <c r="C1733" s="0" t="s">
        <v>3975</v>
      </c>
      <c r="E1733" s="0" t="s">
        <v>3927</v>
      </c>
    </row>
    <row r="1734" customFormat="false" ht="15" hidden="false" customHeight="false" outlineLevel="0" collapsed="false">
      <c r="A1734" s="0" t="s">
        <v>48</v>
      </c>
      <c r="B1734" s="0" t="s">
        <v>2617</v>
      </c>
      <c r="C1734" s="0" t="s">
        <v>3976</v>
      </c>
      <c r="E1734" s="0" t="s">
        <v>2968</v>
      </c>
    </row>
    <row r="1735" customFormat="false" ht="15" hidden="false" customHeight="false" outlineLevel="0" collapsed="false">
      <c r="A1735" s="0" t="s">
        <v>48</v>
      </c>
      <c r="B1735" s="0" t="s">
        <v>2619</v>
      </c>
      <c r="C1735" s="0" t="s">
        <v>3977</v>
      </c>
      <c r="E1735" s="0" t="s">
        <v>3978</v>
      </c>
    </row>
    <row r="1736" customFormat="false" ht="15" hidden="false" customHeight="false" outlineLevel="0" collapsed="false">
      <c r="A1736" s="0" t="s">
        <v>48</v>
      </c>
      <c r="B1736" s="0" t="s">
        <v>1994</v>
      </c>
      <c r="C1736" s="0" t="s">
        <v>3979</v>
      </c>
      <c r="E1736" s="0" t="s">
        <v>3980</v>
      </c>
    </row>
    <row r="1737" customFormat="false" ht="15" hidden="false" customHeight="false" outlineLevel="0" collapsed="false">
      <c r="A1737" s="0" t="s">
        <v>50</v>
      </c>
      <c r="B1737" s="0" t="s">
        <v>1864</v>
      </c>
      <c r="C1737" s="0" t="s">
        <v>3981</v>
      </c>
      <c r="E1737" s="0" t="s">
        <v>3982</v>
      </c>
    </row>
    <row r="1738" customFormat="false" ht="15" hidden="false" customHeight="false" outlineLevel="0" collapsed="false">
      <c r="A1738" s="0" t="s">
        <v>50</v>
      </c>
      <c r="B1738" s="0" t="s">
        <v>1468</v>
      </c>
      <c r="C1738" s="0" t="s">
        <v>3983</v>
      </c>
      <c r="E1738" s="0" t="s">
        <v>3984</v>
      </c>
    </row>
    <row r="1739" customFormat="false" ht="15" hidden="false" customHeight="false" outlineLevel="0" collapsed="false">
      <c r="A1739" s="0" t="s">
        <v>50</v>
      </c>
      <c r="B1739" s="0" t="s">
        <v>2438</v>
      </c>
      <c r="C1739" s="0" t="s">
        <v>3985</v>
      </c>
      <c r="E1739" s="0" t="s">
        <v>2041</v>
      </c>
    </row>
    <row r="1740" customFormat="false" ht="15" hidden="false" customHeight="false" outlineLevel="0" collapsed="false">
      <c r="A1740" s="0" t="s">
        <v>50</v>
      </c>
      <c r="B1740" s="0" t="s">
        <v>1867</v>
      </c>
      <c r="C1740" s="0" t="s">
        <v>3986</v>
      </c>
      <c r="E1740" s="0" t="s">
        <v>3987</v>
      </c>
    </row>
    <row r="1741" customFormat="false" ht="15" hidden="false" customHeight="false" outlineLevel="0" collapsed="false">
      <c r="A1741" s="0" t="s">
        <v>50</v>
      </c>
      <c r="B1741" s="0" t="s">
        <v>2117</v>
      </c>
      <c r="C1741" s="0" t="s">
        <v>3988</v>
      </c>
      <c r="E1741" s="0" t="s">
        <v>3984</v>
      </c>
    </row>
    <row r="1742" customFormat="false" ht="15" hidden="false" customHeight="false" outlineLevel="0" collapsed="false">
      <c r="A1742" s="0" t="s">
        <v>50</v>
      </c>
      <c r="B1742" s="0" t="s">
        <v>2120</v>
      </c>
      <c r="C1742" s="0" t="s">
        <v>3989</v>
      </c>
      <c r="E1742" s="0" t="s">
        <v>2968</v>
      </c>
    </row>
    <row r="1743" customFormat="false" ht="15" hidden="false" customHeight="false" outlineLevel="0" collapsed="false">
      <c r="A1743" s="0" t="s">
        <v>50</v>
      </c>
      <c r="B1743" s="0" t="s">
        <v>1870</v>
      </c>
      <c r="C1743" s="0" t="s">
        <v>3990</v>
      </c>
      <c r="E1743" s="0" t="s">
        <v>3991</v>
      </c>
    </row>
    <row r="1744" customFormat="false" ht="15" hidden="false" customHeight="false" outlineLevel="0" collapsed="false">
      <c r="A1744" s="0" t="s">
        <v>50</v>
      </c>
      <c r="B1744" s="0" t="s">
        <v>2148</v>
      </c>
      <c r="C1744" s="0" t="s">
        <v>3992</v>
      </c>
      <c r="E1744" s="0" t="s">
        <v>3984</v>
      </c>
    </row>
    <row r="1745" customFormat="false" ht="15" hidden="false" customHeight="false" outlineLevel="0" collapsed="false">
      <c r="A1745" s="0" t="s">
        <v>50</v>
      </c>
      <c r="B1745" s="0" t="s">
        <v>2150</v>
      </c>
      <c r="C1745" s="0" t="s">
        <v>3993</v>
      </c>
      <c r="E1745" s="0" t="s">
        <v>2031</v>
      </c>
    </row>
    <row r="1746" customFormat="false" ht="15" hidden="false" customHeight="false" outlineLevel="0" collapsed="false">
      <c r="A1746" s="0" t="s">
        <v>50</v>
      </c>
      <c r="B1746" s="0" t="s">
        <v>1471</v>
      </c>
      <c r="C1746" s="0" t="s">
        <v>3994</v>
      </c>
      <c r="E1746" s="0" t="s">
        <v>3991</v>
      </c>
    </row>
    <row r="1747" customFormat="false" ht="15" hidden="false" customHeight="false" outlineLevel="0" collapsed="false">
      <c r="A1747" s="0" t="s">
        <v>50</v>
      </c>
      <c r="B1747" s="0" t="s">
        <v>2174</v>
      </c>
      <c r="C1747" s="0" t="s">
        <v>3995</v>
      </c>
      <c r="E1747" s="0" t="s">
        <v>3984</v>
      </c>
    </row>
    <row r="1748" customFormat="false" ht="15" hidden="false" customHeight="false" outlineLevel="0" collapsed="false">
      <c r="A1748" s="0" t="s">
        <v>50</v>
      </c>
      <c r="B1748" s="0" t="s">
        <v>1474</v>
      </c>
      <c r="C1748" s="0" t="s">
        <v>3996</v>
      </c>
      <c r="E1748" s="0" t="s">
        <v>2007</v>
      </c>
    </row>
    <row r="1749" customFormat="false" ht="15" hidden="false" customHeight="false" outlineLevel="0" collapsed="false">
      <c r="A1749" s="0" t="s">
        <v>50</v>
      </c>
      <c r="B1749" s="0" t="s">
        <v>1480</v>
      </c>
      <c r="C1749" s="0" t="s">
        <v>3997</v>
      </c>
      <c r="E1749" s="0" t="s">
        <v>3991</v>
      </c>
    </row>
    <row r="1750" customFormat="false" ht="15" hidden="false" customHeight="false" outlineLevel="0" collapsed="false">
      <c r="A1750" s="0" t="s">
        <v>50</v>
      </c>
      <c r="B1750" s="0" t="s">
        <v>2197</v>
      </c>
      <c r="C1750" s="0" t="s">
        <v>3998</v>
      </c>
      <c r="E1750" s="0" t="s">
        <v>3984</v>
      </c>
    </row>
    <row r="1751" customFormat="false" ht="15" hidden="false" customHeight="false" outlineLevel="0" collapsed="false">
      <c r="A1751" s="0" t="s">
        <v>50</v>
      </c>
      <c r="B1751" s="0" t="s">
        <v>1483</v>
      </c>
      <c r="C1751" s="0" t="s">
        <v>3999</v>
      </c>
      <c r="E1751" s="0" t="s">
        <v>2125</v>
      </c>
    </row>
    <row r="1752" customFormat="false" ht="15" hidden="false" customHeight="false" outlineLevel="0" collapsed="false">
      <c r="A1752" s="0" t="s">
        <v>50</v>
      </c>
      <c r="B1752" s="0" t="s">
        <v>1488</v>
      </c>
      <c r="C1752" s="0" t="s">
        <v>4000</v>
      </c>
      <c r="E1752" s="0" t="s">
        <v>2232</v>
      </c>
    </row>
    <row r="1753" customFormat="false" ht="15" hidden="false" customHeight="false" outlineLevel="0" collapsed="false">
      <c r="A1753" s="0" t="s">
        <v>50</v>
      </c>
      <c r="B1753" s="0" t="s">
        <v>2221</v>
      </c>
      <c r="C1753" s="0" t="s">
        <v>4001</v>
      </c>
      <c r="E1753" s="0" t="s">
        <v>2007</v>
      </c>
    </row>
    <row r="1754" customFormat="false" ht="15" hidden="false" customHeight="false" outlineLevel="0" collapsed="false">
      <c r="A1754" s="0" t="s">
        <v>50</v>
      </c>
      <c r="B1754" s="0" t="s">
        <v>1490</v>
      </c>
      <c r="C1754" s="0" t="s">
        <v>4002</v>
      </c>
      <c r="E1754" s="0" t="s">
        <v>3155</v>
      </c>
    </row>
    <row r="1755" customFormat="false" ht="15" hidden="false" customHeight="false" outlineLevel="0" collapsed="false">
      <c r="A1755" s="0" t="s">
        <v>52</v>
      </c>
      <c r="B1755" s="0" t="s">
        <v>118</v>
      </c>
      <c r="C1755" s="0" t="s">
        <v>4003</v>
      </c>
      <c r="E1755" s="0" t="s">
        <v>3238</v>
      </c>
    </row>
    <row r="1756" customFormat="false" ht="15" hidden="false" customHeight="false" outlineLevel="0" collapsed="false">
      <c r="A1756" s="0" t="s">
        <v>52</v>
      </c>
      <c r="B1756" s="0" t="s">
        <v>1864</v>
      </c>
      <c r="C1756" s="0" t="s">
        <v>4004</v>
      </c>
      <c r="E1756" s="0" t="s">
        <v>3240</v>
      </c>
    </row>
    <row r="1757" customFormat="false" ht="15" hidden="false" customHeight="false" outlineLevel="0" collapsed="false">
      <c r="A1757" s="0" t="s">
        <v>52</v>
      </c>
      <c r="B1757" s="0" t="s">
        <v>1867</v>
      </c>
      <c r="C1757" s="0" t="s">
        <v>4005</v>
      </c>
      <c r="E1757" s="0" t="s">
        <v>4006</v>
      </c>
    </row>
    <row r="1758" customFormat="false" ht="15" hidden="false" customHeight="false" outlineLevel="0" collapsed="false">
      <c r="A1758" s="0" t="s">
        <v>52</v>
      </c>
      <c r="B1758" s="0" t="s">
        <v>1870</v>
      </c>
      <c r="C1758" s="0" t="s">
        <v>4007</v>
      </c>
      <c r="E1758" s="0" t="s">
        <v>4008</v>
      </c>
    </row>
    <row r="1759" customFormat="false" ht="15" hidden="false" customHeight="false" outlineLevel="0" collapsed="false">
      <c r="A1759" s="0" t="s">
        <v>52</v>
      </c>
      <c r="B1759" s="0" t="s">
        <v>2218</v>
      </c>
      <c r="C1759" s="0" t="s">
        <v>4009</v>
      </c>
      <c r="E1759" s="0" t="s">
        <v>4006</v>
      </c>
    </row>
    <row r="1760" customFormat="false" ht="15" hidden="false" customHeight="false" outlineLevel="0" collapsed="false">
      <c r="A1760" s="0" t="s">
        <v>52</v>
      </c>
      <c r="B1760" s="0" t="s">
        <v>1488</v>
      </c>
      <c r="C1760" s="0" t="s">
        <v>4010</v>
      </c>
      <c r="E1760" s="0" t="s">
        <v>4011</v>
      </c>
    </row>
    <row r="1761" customFormat="false" ht="15" hidden="false" customHeight="false" outlineLevel="0" collapsed="false">
      <c r="A1761" s="0" t="s">
        <v>52</v>
      </c>
      <c r="B1761" s="0" t="s">
        <v>2244</v>
      </c>
      <c r="C1761" s="0" t="s">
        <v>4012</v>
      </c>
      <c r="E1761" s="0" t="s">
        <v>3539</v>
      </c>
    </row>
    <row r="1762" customFormat="false" ht="15" hidden="false" customHeight="false" outlineLevel="0" collapsed="false">
      <c r="A1762" s="0" t="s">
        <v>52</v>
      </c>
      <c r="B1762" s="0" t="s">
        <v>1494</v>
      </c>
      <c r="C1762" s="0" t="s">
        <v>4013</v>
      </c>
      <c r="E1762" s="0" t="s">
        <v>4014</v>
      </c>
    </row>
    <row r="1763" customFormat="false" ht="15" hidden="false" customHeight="false" outlineLevel="0" collapsed="false">
      <c r="A1763" s="0" t="s">
        <v>52</v>
      </c>
      <c r="B1763" s="0" t="s">
        <v>2268</v>
      </c>
      <c r="C1763" s="0" t="s">
        <v>4015</v>
      </c>
      <c r="E1763" s="0" t="s">
        <v>3236</v>
      </c>
    </row>
    <row r="1764" customFormat="false" ht="15" hidden="false" customHeight="false" outlineLevel="0" collapsed="false">
      <c r="A1764" s="0" t="s">
        <v>52</v>
      </c>
      <c r="B1764" s="0" t="s">
        <v>1500</v>
      </c>
      <c r="C1764" s="0" t="s">
        <v>4016</v>
      </c>
      <c r="E1764" s="0" t="s">
        <v>4008</v>
      </c>
    </row>
    <row r="1765" customFormat="false" ht="15" hidden="false" customHeight="false" outlineLevel="0" collapsed="false">
      <c r="A1765" s="0" t="s">
        <v>52</v>
      </c>
      <c r="B1765" s="0" t="s">
        <v>2289</v>
      </c>
      <c r="C1765" s="0" t="s">
        <v>4017</v>
      </c>
      <c r="E1765" s="0" t="s">
        <v>4018</v>
      </c>
    </row>
    <row r="1766" customFormat="false" ht="15" hidden="false" customHeight="false" outlineLevel="0" collapsed="false">
      <c r="A1766" s="0" t="s">
        <v>52</v>
      </c>
      <c r="B1766" s="0" t="s">
        <v>2291</v>
      </c>
      <c r="C1766" s="0" t="s">
        <v>4019</v>
      </c>
      <c r="E1766" s="0" t="s">
        <v>4020</v>
      </c>
    </row>
    <row r="1767" customFormat="false" ht="15" hidden="false" customHeight="false" outlineLevel="0" collapsed="false">
      <c r="A1767" s="0" t="s">
        <v>52</v>
      </c>
      <c r="B1767" s="0" t="s">
        <v>1880</v>
      </c>
      <c r="C1767" s="0" t="s">
        <v>4021</v>
      </c>
      <c r="E1767" s="0" t="s">
        <v>4008</v>
      </c>
    </row>
    <row r="1768" customFormat="false" ht="15" hidden="false" customHeight="false" outlineLevel="0" collapsed="false">
      <c r="A1768" s="0" t="s">
        <v>52</v>
      </c>
      <c r="B1768" s="0" t="s">
        <v>1883</v>
      </c>
      <c r="C1768" s="0" t="s">
        <v>4022</v>
      </c>
      <c r="E1768" s="0" t="s">
        <v>4023</v>
      </c>
    </row>
    <row r="1769" customFormat="false" ht="15" hidden="false" customHeight="false" outlineLevel="0" collapsed="false">
      <c r="A1769" s="0" t="s">
        <v>52</v>
      </c>
      <c r="B1769" s="0" t="s">
        <v>1898</v>
      </c>
      <c r="C1769" s="0" t="s">
        <v>4024</v>
      </c>
      <c r="E1769" s="0" t="s">
        <v>1479</v>
      </c>
    </row>
    <row r="1770" customFormat="false" ht="15" hidden="false" customHeight="false" outlineLevel="0" collapsed="false">
      <c r="A1770" s="0" t="s">
        <v>52</v>
      </c>
      <c r="B1770" s="0" t="s">
        <v>1506</v>
      </c>
      <c r="C1770" s="0" t="s">
        <v>4025</v>
      </c>
      <c r="E1770" s="0" t="s">
        <v>1479</v>
      </c>
    </row>
    <row r="1771" customFormat="false" ht="15" hidden="false" customHeight="false" outlineLevel="0" collapsed="false">
      <c r="A1771" s="0" t="s">
        <v>52</v>
      </c>
      <c r="B1771" s="0" t="s">
        <v>1909</v>
      </c>
      <c r="C1771" s="0" t="s">
        <v>4026</v>
      </c>
      <c r="E1771" s="0" t="s">
        <v>1479</v>
      </c>
    </row>
    <row r="1772" customFormat="false" ht="15" hidden="false" customHeight="false" outlineLevel="0" collapsed="false">
      <c r="A1772" s="0" t="s">
        <v>52</v>
      </c>
      <c r="B1772" s="0" t="s">
        <v>1518</v>
      </c>
      <c r="C1772" s="0" t="s">
        <v>4027</v>
      </c>
      <c r="E1772" s="0" t="s">
        <v>1479</v>
      </c>
    </row>
    <row r="1773" customFormat="false" ht="15" hidden="false" customHeight="false" outlineLevel="0" collapsed="false">
      <c r="A1773" s="0" t="s">
        <v>52</v>
      </c>
      <c r="B1773" s="0" t="s">
        <v>1917</v>
      </c>
      <c r="C1773" s="0" t="s">
        <v>4028</v>
      </c>
      <c r="E1773" s="0" t="s">
        <v>1479</v>
      </c>
    </row>
    <row r="1774" customFormat="false" ht="15" hidden="false" customHeight="false" outlineLevel="0" collapsed="false">
      <c r="A1774" s="0" t="s">
        <v>52</v>
      </c>
      <c r="B1774" s="0" t="s">
        <v>1529</v>
      </c>
      <c r="C1774" s="0" t="s">
        <v>4029</v>
      </c>
      <c r="E1774" s="0" t="s">
        <v>1479</v>
      </c>
    </row>
    <row r="1775" customFormat="false" ht="15" hidden="false" customHeight="false" outlineLevel="0" collapsed="false">
      <c r="A1775" s="0" t="s">
        <v>54</v>
      </c>
      <c r="B1775" s="0" t="s">
        <v>509</v>
      </c>
      <c r="C1775" s="0" t="s">
        <v>4030</v>
      </c>
      <c r="E1775" s="0" t="s">
        <v>4031</v>
      </c>
    </row>
    <row r="1776" customFormat="false" ht="15" hidden="false" customHeight="false" outlineLevel="0" collapsed="false">
      <c r="A1776" s="0" t="s">
        <v>54</v>
      </c>
      <c r="B1776" s="0" t="s">
        <v>1867</v>
      </c>
      <c r="C1776" s="0" t="s">
        <v>4032</v>
      </c>
      <c r="E1776" s="0" t="s">
        <v>3891</v>
      </c>
    </row>
    <row r="1777" customFormat="false" ht="15" hidden="false" customHeight="false" outlineLevel="0" collapsed="false">
      <c r="A1777" s="0" t="s">
        <v>54</v>
      </c>
      <c r="B1777" s="0" t="s">
        <v>2117</v>
      </c>
      <c r="C1777" s="0" t="s">
        <v>4033</v>
      </c>
      <c r="E1777" s="0" t="s">
        <v>4034</v>
      </c>
    </row>
    <row r="1778" customFormat="false" ht="15" hidden="false" customHeight="false" outlineLevel="0" collapsed="false">
      <c r="A1778" s="0" t="s">
        <v>54</v>
      </c>
      <c r="B1778" s="0" t="s">
        <v>2120</v>
      </c>
      <c r="C1778" s="0" t="s">
        <v>4035</v>
      </c>
      <c r="E1778" s="0" t="s">
        <v>4036</v>
      </c>
    </row>
    <row r="1779" customFormat="false" ht="15" hidden="false" customHeight="false" outlineLevel="0" collapsed="false">
      <c r="A1779" s="0" t="s">
        <v>54</v>
      </c>
      <c r="B1779" s="0" t="s">
        <v>2145</v>
      </c>
      <c r="C1779" s="0" t="s">
        <v>4037</v>
      </c>
      <c r="E1779" s="0" t="s">
        <v>4038</v>
      </c>
    </row>
    <row r="1780" customFormat="false" ht="15" hidden="false" customHeight="false" outlineLevel="0" collapsed="false">
      <c r="A1780" s="0" t="s">
        <v>54</v>
      </c>
      <c r="B1780" s="0" t="s">
        <v>1870</v>
      </c>
      <c r="C1780" s="0" t="s">
        <v>4039</v>
      </c>
      <c r="E1780" s="0" t="s">
        <v>3236</v>
      </c>
    </row>
    <row r="1781" customFormat="false" ht="15" hidden="false" customHeight="false" outlineLevel="0" collapsed="false">
      <c r="A1781" s="0" t="s">
        <v>54</v>
      </c>
      <c r="B1781" s="0" t="s">
        <v>2148</v>
      </c>
      <c r="C1781" s="0" t="s">
        <v>4040</v>
      </c>
      <c r="E1781" s="0" t="s">
        <v>4041</v>
      </c>
    </row>
    <row r="1782" customFormat="false" ht="15" hidden="false" customHeight="false" outlineLevel="0" collapsed="false">
      <c r="A1782" s="0" t="s">
        <v>54</v>
      </c>
      <c r="B1782" s="0" t="s">
        <v>2150</v>
      </c>
      <c r="C1782" s="0" t="s">
        <v>4042</v>
      </c>
      <c r="E1782" s="0" t="s">
        <v>4043</v>
      </c>
    </row>
    <row r="1783" customFormat="false" ht="15" hidden="false" customHeight="false" outlineLevel="0" collapsed="false">
      <c r="A1783" s="0" t="s">
        <v>54</v>
      </c>
      <c r="B1783" s="0" t="s">
        <v>2171</v>
      </c>
      <c r="C1783" s="0" t="s">
        <v>4044</v>
      </c>
      <c r="E1783" s="0" t="s">
        <v>4045</v>
      </c>
    </row>
    <row r="1784" customFormat="false" ht="15" hidden="false" customHeight="false" outlineLevel="0" collapsed="false">
      <c r="A1784" s="0" t="s">
        <v>54</v>
      </c>
      <c r="B1784" s="0" t="s">
        <v>1471</v>
      </c>
      <c r="C1784" s="0" t="s">
        <v>4046</v>
      </c>
      <c r="E1784" s="0" t="s">
        <v>3238</v>
      </c>
    </row>
    <row r="1785" customFormat="false" ht="15" hidden="false" customHeight="false" outlineLevel="0" collapsed="false">
      <c r="A1785" s="0" t="s">
        <v>54</v>
      </c>
      <c r="B1785" s="0" t="s">
        <v>2174</v>
      </c>
      <c r="C1785" s="0" t="s">
        <v>4047</v>
      </c>
      <c r="E1785" s="0" t="s">
        <v>4048</v>
      </c>
    </row>
    <row r="1786" customFormat="false" ht="15" hidden="false" customHeight="false" outlineLevel="0" collapsed="false">
      <c r="A1786" s="0" t="s">
        <v>54</v>
      </c>
      <c r="B1786" s="0" t="s">
        <v>1474</v>
      </c>
      <c r="C1786" s="0" t="s">
        <v>4049</v>
      </c>
      <c r="E1786" s="0" t="s">
        <v>4050</v>
      </c>
    </row>
    <row r="1787" customFormat="false" ht="15" hidden="false" customHeight="false" outlineLevel="0" collapsed="false">
      <c r="A1787" s="0" t="s">
        <v>54</v>
      </c>
      <c r="B1787" s="0" t="s">
        <v>2194</v>
      </c>
      <c r="C1787" s="0" t="s">
        <v>4051</v>
      </c>
      <c r="E1787" s="0" t="s">
        <v>1479</v>
      </c>
    </row>
    <row r="1788" customFormat="false" ht="15" hidden="false" customHeight="false" outlineLevel="0" collapsed="false">
      <c r="A1788" s="0" t="s">
        <v>54</v>
      </c>
      <c r="B1788" s="0" t="s">
        <v>1480</v>
      </c>
      <c r="C1788" s="0" t="s">
        <v>4052</v>
      </c>
      <c r="E1788" s="0" t="s">
        <v>1479</v>
      </c>
    </row>
    <row r="1789" customFormat="false" ht="15" hidden="false" customHeight="false" outlineLevel="0" collapsed="false">
      <c r="A1789" s="0" t="s">
        <v>54</v>
      </c>
      <c r="B1789" s="0" t="s">
        <v>2197</v>
      </c>
      <c r="C1789" s="0" t="s">
        <v>4053</v>
      </c>
      <c r="E1789" s="0" t="s">
        <v>1479</v>
      </c>
    </row>
    <row r="1790" customFormat="false" ht="15" hidden="false" customHeight="false" outlineLevel="0" collapsed="false">
      <c r="A1790" s="0" t="s">
        <v>54</v>
      </c>
      <c r="B1790" s="0" t="s">
        <v>1483</v>
      </c>
      <c r="C1790" s="0" t="s">
        <v>4054</v>
      </c>
      <c r="E1790" s="0" t="s">
        <v>1479</v>
      </c>
    </row>
    <row r="1791" customFormat="false" ht="15" hidden="false" customHeight="false" outlineLevel="0" collapsed="false">
      <c r="A1791" s="0" t="s">
        <v>54</v>
      </c>
      <c r="B1791" s="0" t="s">
        <v>2218</v>
      </c>
      <c r="C1791" s="0" t="s">
        <v>4055</v>
      </c>
      <c r="E1791" s="0" t="s">
        <v>1479</v>
      </c>
    </row>
    <row r="1792" customFormat="false" ht="15" hidden="false" customHeight="false" outlineLevel="0" collapsed="false">
      <c r="A1792" s="0" t="s">
        <v>54</v>
      </c>
      <c r="B1792" s="0" t="s">
        <v>1488</v>
      </c>
      <c r="C1792" s="0" t="s">
        <v>4056</v>
      </c>
      <c r="E1792" s="0" t="s">
        <v>1479</v>
      </c>
    </row>
    <row r="1793" customFormat="false" ht="15" hidden="false" customHeight="false" outlineLevel="0" collapsed="false">
      <c r="A1793" s="0" t="s">
        <v>54</v>
      </c>
      <c r="B1793" s="0" t="s">
        <v>2221</v>
      </c>
      <c r="C1793" s="0" t="s">
        <v>4057</v>
      </c>
      <c r="E1793" s="0" t="s">
        <v>1479</v>
      </c>
    </row>
    <row r="1794" customFormat="false" ht="15" hidden="false" customHeight="false" outlineLevel="0" collapsed="false">
      <c r="A1794" s="0" t="s">
        <v>54</v>
      </c>
      <c r="B1794" s="0" t="s">
        <v>1490</v>
      </c>
      <c r="C1794" s="0" t="s">
        <v>4058</v>
      </c>
      <c r="E1794" s="0" t="s">
        <v>1479</v>
      </c>
    </row>
    <row r="1795" customFormat="false" ht="15" hidden="false" customHeight="false" outlineLevel="0" collapsed="false">
      <c r="A1795" s="0" t="s">
        <v>54</v>
      </c>
      <c r="B1795" s="0" t="s">
        <v>2244</v>
      </c>
      <c r="C1795" s="0" t="s">
        <v>4059</v>
      </c>
      <c r="E1795" s="0" t="s">
        <v>1479</v>
      </c>
    </row>
    <row r="1796" customFormat="false" ht="15" hidden="false" customHeight="false" outlineLevel="0" collapsed="false">
      <c r="A1796" s="0" t="s">
        <v>54</v>
      </c>
      <c r="B1796" s="0" t="s">
        <v>1494</v>
      </c>
      <c r="C1796" s="0" t="s">
        <v>4060</v>
      </c>
      <c r="E1796" s="0" t="s">
        <v>1479</v>
      </c>
    </row>
    <row r="1797" customFormat="false" ht="15" hidden="false" customHeight="false" outlineLevel="0" collapsed="false">
      <c r="A1797" s="0" t="s">
        <v>54</v>
      </c>
      <c r="B1797" s="0" t="s">
        <v>2247</v>
      </c>
      <c r="C1797" s="0" t="s">
        <v>4061</v>
      </c>
      <c r="E1797" s="0" t="s">
        <v>1479</v>
      </c>
    </row>
    <row r="1798" customFormat="false" ht="15" hidden="false" customHeight="false" outlineLevel="0" collapsed="false">
      <c r="A1798" s="0" t="s">
        <v>54</v>
      </c>
      <c r="B1798" s="0" t="s">
        <v>1496</v>
      </c>
      <c r="C1798" s="0" t="s">
        <v>4062</v>
      </c>
      <c r="E1798" s="0" t="s">
        <v>1479</v>
      </c>
    </row>
    <row r="1799" customFormat="false" ht="15" hidden="false" customHeight="false" outlineLevel="0" collapsed="false">
      <c r="A1799" s="0" t="s">
        <v>54</v>
      </c>
      <c r="B1799" s="0" t="s">
        <v>2268</v>
      </c>
      <c r="C1799" s="0" t="s">
        <v>4063</v>
      </c>
      <c r="E1799" s="0" t="s">
        <v>1479</v>
      </c>
    </row>
    <row r="1800" customFormat="false" ht="15" hidden="false" customHeight="false" outlineLevel="0" collapsed="false">
      <c r="A1800" s="0" t="s">
        <v>54</v>
      </c>
      <c r="B1800" s="0" t="s">
        <v>1500</v>
      </c>
      <c r="C1800" s="0" t="s">
        <v>4064</v>
      </c>
      <c r="E1800" s="0" t="s">
        <v>1479</v>
      </c>
    </row>
    <row r="1801" customFormat="false" ht="15" hidden="false" customHeight="false" outlineLevel="0" collapsed="false">
      <c r="A1801" s="0" t="s">
        <v>54</v>
      </c>
      <c r="B1801" s="0" t="s">
        <v>2271</v>
      </c>
      <c r="C1801" s="0" t="s">
        <v>4065</v>
      </c>
      <c r="E1801" s="0" t="s">
        <v>1479</v>
      </c>
    </row>
    <row r="1802" customFormat="false" ht="15" hidden="false" customHeight="false" outlineLevel="0" collapsed="false">
      <c r="A1802" s="0" t="s">
        <v>54</v>
      </c>
      <c r="B1802" s="0" t="s">
        <v>1502</v>
      </c>
      <c r="C1802" s="0" t="s">
        <v>4066</v>
      </c>
      <c r="E1802" s="0" t="s">
        <v>1479</v>
      </c>
    </row>
    <row r="1803" customFormat="false" ht="15" hidden="false" customHeight="false" outlineLevel="0" collapsed="false">
      <c r="A1803" s="0" t="s">
        <v>54</v>
      </c>
      <c r="B1803" s="0" t="s">
        <v>2289</v>
      </c>
      <c r="C1803" s="0" t="s">
        <v>4067</v>
      </c>
      <c r="E1803" s="0" t="s">
        <v>1479</v>
      </c>
    </row>
    <row r="1804" customFormat="false" ht="15" hidden="false" customHeight="false" outlineLevel="0" collapsed="false">
      <c r="A1804" s="0" t="s">
        <v>54</v>
      </c>
      <c r="B1804" s="0" t="s">
        <v>2291</v>
      </c>
      <c r="C1804" s="0" t="s">
        <v>4068</v>
      </c>
      <c r="E1804" s="0" t="s">
        <v>1479</v>
      </c>
    </row>
    <row r="1805" customFormat="false" ht="15" hidden="false" customHeight="false" outlineLevel="0" collapsed="false">
      <c r="A1805" s="0" t="s">
        <v>54</v>
      </c>
      <c r="B1805" s="0" t="s">
        <v>2293</v>
      </c>
      <c r="C1805" s="0" t="s">
        <v>4069</v>
      </c>
      <c r="E1805" s="0" t="s">
        <v>1479</v>
      </c>
    </row>
    <row r="1806" customFormat="false" ht="15" hidden="false" customHeight="false" outlineLevel="0" collapsed="false">
      <c r="A1806" s="0" t="s">
        <v>54</v>
      </c>
      <c r="B1806" s="0" t="s">
        <v>2295</v>
      </c>
      <c r="C1806" s="0" t="s">
        <v>4070</v>
      </c>
      <c r="E1806" s="0" t="s">
        <v>1479</v>
      </c>
    </row>
    <row r="1807" customFormat="false" ht="15" hidden="false" customHeight="false" outlineLevel="0" collapsed="false">
      <c r="A1807" s="0" t="s">
        <v>54</v>
      </c>
      <c r="B1807" s="0" t="s">
        <v>1917</v>
      </c>
      <c r="C1807" s="0" t="s">
        <v>4071</v>
      </c>
      <c r="E1807" s="0" t="s">
        <v>2025</v>
      </c>
    </row>
    <row r="1808" customFormat="false" ht="15" hidden="false" customHeight="false" outlineLevel="0" collapsed="false">
      <c r="A1808" s="0" t="s">
        <v>54</v>
      </c>
      <c r="B1808" s="0" t="s">
        <v>1529</v>
      </c>
      <c r="C1808" s="0" t="s">
        <v>4072</v>
      </c>
      <c r="E1808" s="0" t="s">
        <v>4073</v>
      </c>
    </row>
    <row r="1809" customFormat="false" ht="15" hidden="false" customHeight="false" outlineLevel="0" collapsed="false">
      <c r="A1809" s="0" t="s">
        <v>54</v>
      </c>
      <c r="B1809" s="0" t="s">
        <v>1920</v>
      </c>
      <c r="C1809" s="0" t="s">
        <v>4074</v>
      </c>
      <c r="E1809" s="0" t="s">
        <v>4075</v>
      </c>
    </row>
    <row r="1810" customFormat="false" ht="15" hidden="false" customHeight="false" outlineLevel="0" collapsed="false">
      <c r="A1810" s="0" t="s">
        <v>54</v>
      </c>
      <c r="B1810" s="0" t="s">
        <v>1532</v>
      </c>
      <c r="C1810" s="0" t="s">
        <v>4076</v>
      </c>
      <c r="E1810" s="0" t="s">
        <v>4077</v>
      </c>
    </row>
    <row r="1811" customFormat="false" ht="15" hidden="false" customHeight="false" outlineLevel="0" collapsed="false">
      <c r="A1811" s="0" t="s">
        <v>54</v>
      </c>
      <c r="B1811" s="0" t="s">
        <v>1925</v>
      </c>
      <c r="C1811" s="0" t="s">
        <v>4078</v>
      </c>
      <c r="E1811" s="0" t="s">
        <v>2034</v>
      </c>
    </row>
    <row r="1812" customFormat="false" ht="15" hidden="false" customHeight="false" outlineLevel="0" collapsed="false">
      <c r="A1812" s="0" t="s">
        <v>54</v>
      </c>
      <c r="B1812" s="0" t="s">
        <v>1540</v>
      </c>
      <c r="C1812" s="0" t="s">
        <v>4079</v>
      </c>
      <c r="E1812" s="0" t="s">
        <v>4080</v>
      </c>
    </row>
    <row r="1813" customFormat="false" ht="15" hidden="false" customHeight="false" outlineLevel="0" collapsed="false">
      <c r="A1813" s="0" t="s">
        <v>54</v>
      </c>
      <c r="B1813" s="0" t="s">
        <v>1928</v>
      </c>
      <c r="C1813" s="0" t="s">
        <v>4081</v>
      </c>
      <c r="E1813" s="0" t="s">
        <v>4082</v>
      </c>
    </row>
    <row r="1814" customFormat="false" ht="15" hidden="false" customHeight="false" outlineLevel="0" collapsed="false">
      <c r="A1814" s="0" t="s">
        <v>54</v>
      </c>
      <c r="B1814" s="0" t="s">
        <v>1542</v>
      </c>
      <c r="C1814" s="0" t="s">
        <v>4083</v>
      </c>
      <c r="E1814" s="0" t="s">
        <v>4084</v>
      </c>
    </row>
    <row r="1815" customFormat="false" ht="15" hidden="false" customHeight="false" outlineLevel="0" collapsed="false">
      <c r="A1815" s="0" t="s">
        <v>54</v>
      </c>
      <c r="B1815" s="0" t="s">
        <v>2585</v>
      </c>
      <c r="C1815" s="0" t="s">
        <v>4085</v>
      </c>
      <c r="E1815" s="0" t="s">
        <v>2044</v>
      </c>
    </row>
    <row r="1816" customFormat="false" ht="15" hidden="false" customHeight="false" outlineLevel="0" collapsed="false">
      <c r="A1816" s="0" t="s">
        <v>54</v>
      </c>
      <c r="B1816" s="0" t="s">
        <v>1548</v>
      </c>
      <c r="C1816" s="0" t="s">
        <v>4086</v>
      </c>
      <c r="E1816" s="0" t="s">
        <v>4087</v>
      </c>
    </row>
    <row r="1817" customFormat="false" ht="15" hidden="false" customHeight="false" outlineLevel="0" collapsed="false">
      <c r="A1817" s="0" t="s">
        <v>54</v>
      </c>
      <c r="B1817" s="0" t="s">
        <v>2588</v>
      </c>
      <c r="C1817" s="0" t="s">
        <v>4088</v>
      </c>
      <c r="E1817" s="0" t="s">
        <v>4089</v>
      </c>
    </row>
    <row r="1818" customFormat="false" ht="15" hidden="false" customHeight="false" outlineLevel="0" collapsed="false">
      <c r="A1818" s="0" t="s">
        <v>54</v>
      </c>
      <c r="B1818" s="0" t="s">
        <v>1550</v>
      </c>
      <c r="C1818" s="0" t="s">
        <v>4090</v>
      </c>
      <c r="E1818" s="0" t="s">
        <v>4091</v>
      </c>
    </row>
    <row r="1819" customFormat="false" ht="15" hidden="false" customHeight="false" outlineLevel="0" collapsed="false">
      <c r="A1819" s="0" t="s">
        <v>54</v>
      </c>
      <c r="B1819" s="0" t="s">
        <v>2597</v>
      </c>
      <c r="C1819" s="0" t="s">
        <v>4092</v>
      </c>
      <c r="E1819" s="0" t="s">
        <v>1479</v>
      </c>
    </row>
    <row r="1820" customFormat="false" ht="15" hidden="false" customHeight="false" outlineLevel="0" collapsed="false">
      <c r="A1820" s="0" t="s">
        <v>54</v>
      </c>
      <c r="B1820" s="0" t="s">
        <v>2599</v>
      </c>
      <c r="C1820" s="0" t="s">
        <v>4093</v>
      </c>
      <c r="E1820" s="0" t="s">
        <v>1479</v>
      </c>
    </row>
    <row r="1821" customFormat="false" ht="15" hidden="false" customHeight="false" outlineLevel="0" collapsed="false">
      <c r="A1821" s="0" t="s">
        <v>54</v>
      </c>
      <c r="B1821" s="0" t="s">
        <v>2601</v>
      </c>
      <c r="C1821" s="0" t="s">
        <v>4094</v>
      </c>
      <c r="E1821" s="0" t="s">
        <v>1479</v>
      </c>
    </row>
    <row r="1822" customFormat="false" ht="15" hidden="false" customHeight="false" outlineLevel="0" collapsed="false">
      <c r="A1822" s="0" t="s">
        <v>54</v>
      </c>
      <c r="B1822" s="0" t="s">
        <v>2603</v>
      </c>
      <c r="C1822" s="0" t="s">
        <v>4095</v>
      </c>
      <c r="E1822" s="0" t="s">
        <v>1479</v>
      </c>
    </row>
    <row r="1823" customFormat="false" ht="15" hidden="false" customHeight="false" outlineLevel="0" collapsed="false">
      <c r="A1823" s="0" t="s">
        <v>54</v>
      </c>
      <c r="B1823" s="0" t="s">
        <v>2613</v>
      </c>
      <c r="C1823" s="0" t="s">
        <v>4096</v>
      </c>
      <c r="E1823" s="0" t="s">
        <v>1479</v>
      </c>
    </row>
    <row r="1824" customFormat="false" ht="15" hidden="false" customHeight="false" outlineLevel="0" collapsed="false">
      <c r="A1824" s="0" t="s">
        <v>54</v>
      </c>
      <c r="B1824" s="0" t="s">
        <v>2615</v>
      </c>
      <c r="C1824" s="0" t="s">
        <v>4097</v>
      </c>
      <c r="E1824" s="0" t="s">
        <v>1479</v>
      </c>
    </row>
    <row r="1825" customFormat="false" ht="15" hidden="false" customHeight="false" outlineLevel="0" collapsed="false">
      <c r="A1825" s="0" t="s">
        <v>54</v>
      </c>
      <c r="B1825" s="0" t="s">
        <v>2617</v>
      </c>
      <c r="C1825" s="0" t="s">
        <v>4098</v>
      </c>
      <c r="E1825" s="0" t="s">
        <v>1479</v>
      </c>
    </row>
    <row r="1826" customFormat="false" ht="15" hidden="false" customHeight="false" outlineLevel="0" collapsed="false">
      <c r="A1826" s="0" t="s">
        <v>54</v>
      </c>
      <c r="B1826" s="0" t="s">
        <v>2619</v>
      </c>
      <c r="C1826" s="0" t="s">
        <v>4099</v>
      </c>
      <c r="E1826" s="0" t="s">
        <v>1479</v>
      </c>
    </row>
    <row r="1827" customFormat="false" ht="15" hidden="false" customHeight="false" outlineLevel="0" collapsed="false">
      <c r="A1827" s="0" t="s">
        <v>54</v>
      </c>
      <c r="B1827" s="0" t="s">
        <v>2671</v>
      </c>
      <c r="C1827" s="0" t="s">
        <v>4100</v>
      </c>
      <c r="E1827" s="0" t="s">
        <v>4101</v>
      </c>
    </row>
    <row r="1828" customFormat="false" ht="15" hidden="false" customHeight="false" outlineLevel="0" collapsed="false">
      <c r="A1828" s="0" t="s">
        <v>54</v>
      </c>
      <c r="B1828" s="0" t="s">
        <v>1570</v>
      </c>
      <c r="C1828" s="0" t="s">
        <v>4102</v>
      </c>
      <c r="E1828" s="0" t="s">
        <v>1058</v>
      </c>
    </row>
    <row r="1829" customFormat="false" ht="15" hidden="false" customHeight="false" outlineLevel="0" collapsed="false">
      <c r="A1829" s="0" t="s">
        <v>54</v>
      </c>
      <c r="B1829" s="0" t="s">
        <v>2674</v>
      </c>
      <c r="C1829" s="0" t="s">
        <v>4103</v>
      </c>
      <c r="E1829" s="0" t="s">
        <v>1058</v>
      </c>
    </row>
    <row r="1830" customFormat="false" ht="15" hidden="false" customHeight="false" outlineLevel="0" collapsed="false">
      <c r="A1830" s="0" t="s">
        <v>54</v>
      </c>
      <c r="B1830" s="0" t="s">
        <v>2679</v>
      </c>
      <c r="C1830" s="0" t="s">
        <v>4104</v>
      </c>
      <c r="E1830" s="0" t="s">
        <v>4105</v>
      </c>
    </row>
    <row r="1831" customFormat="false" ht="15" hidden="false" customHeight="false" outlineLevel="0" collapsed="false">
      <c r="A1831" s="0" t="s">
        <v>54</v>
      </c>
      <c r="B1831" s="0" t="s">
        <v>4106</v>
      </c>
      <c r="C1831" s="0" t="s">
        <v>4107</v>
      </c>
      <c r="E1831" s="0" t="s">
        <v>4108</v>
      </c>
    </row>
    <row r="1832" customFormat="false" ht="15" hidden="false" customHeight="false" outlineLevel="0" collapsed="false">
      <c r="A1832" s="0" t="s">
        <v>54</v>
      </c>
      <c r="B1832" s="0" t="s">
        <v>2681</v>
      </c>
      <c r="C1832" s="0" t="s">
        <v>4109</v>
      </c>
      <c r="E1832" s="0" t="s">
        <v>4110</v>
      </c>
    </row>
    <row r="1833" customFormat="false" ht="15" hidden="false" customHeight="false" outlineLevel="0" collapsed="false">
      <c r="A1833" s="0" t="s">
        <v>54</v>
      </c>
      <c r="B1833" s="0" t="s">
        <v>2685</v>
      </c>
      <c r="C1833" s="0" t="s">
        <v>4111</v>
      </c>
      <c r="E1833" s="0" t="s">
        <v>4112</v>
      </c>
    </row>
    <row r="1834" customFormat="false" ht="15" hidden="false" customHeight="false" outlineLevel="0" collapsed="false">
      <c r="A1834" s="0" t="s">
        <v>54</v>
      </c>
      <c r="B1834" s="0" t="s">
        <v>1574</v>
      </c>
      <c r="C1834" s="0" t="s">
        <v>4113</v>
      </c>
      <c r="E1834" s="0" t="s">
        <v>1057</v>
      </c>
    </row>
    <row r="1835" customFormat="false" ht="15" hidden="false" customHeight="false" outlineLevel="0" collapsed="false">
      <c r="A1835" s="0" t="s">
        <v>54</v>
      </c>
      <c r="B1835" s="0" t="s">
        <v>2688</v>
      </c>
      <c r="C1835" s="0" t="s">
        <v>4114</v>
      </c>
      <c r="E1835" s="0" t="s">
        <v>1059</v>
      </c>
    </row>
    <row r="1836" customFormat="false" ht="15" hidden="false" customHeight="false" outlineLevel="0" collapsed="false">
      <c r="A1836" s="0" t="s">
        <v>54</v>
      </c>
      <c r="B1836" s="0" t="s">
        <v>2693</v>
      </c>
      <c r="C1836" s="0" t="s">
        <v>4115</v>
      </c>
      <c r="E1836" s="0" t="s">
        <v>4116</v>
      </c>
    </row>
    <row r="1837" customFormat="false" ht="15" hidden="false" customHeight="false" outlineLevel="0" collapsed="false">
      <c r="A1837" s="0" t="s">
        <v>54</v>
      </c>
      <c r="B1837" s="0" t="s">
        <v>4117</v>
      </c>
      <c r="C1837" s="0" t="s">
        <v>4118</v>
      </c>
      <c r="E1837" s="0" t="s">
        <v>4119</v>
      </c>
    </row>
    <row r="1838" customFormat="false" ht="15" hidden="false" customHeight="false" outlineLevel="0" collapsed="false">
      <c r="A1838" s="0" t="s">
        <v>54</v>
      </c>
      <c r="B1838" s="0" t="s">
        <v>2695</v>
      </c>
      <c r="C1838" s="0" t="s">
        <v>4120</v>
      </c>
      <c r="E1838" s="0" t="s">
        <v>4121</v>
      </c>
    </row>
    <row r="1839" customFormat="false" ht="15" hidden="false" customHeight="false" outlineLevel="0" collapsed="false">
      <c r="A1839" s="0" t="s">
        <v>54</v>
      </c>
      <c r="B1839" s="0" t="s">
        <v>1933</v>
      </c>
      <c r="C1839" s="0" t="s">
        <v>4122</v>
      </c>
      <c r="E1839" s="0" t="s">
        <v>4123</v>
      </c>
    </row>
    <row r="1840" customFormat="false" ht="15" hidden="false" customHeight="false" outlineLevel="0" collapsed="false">
      <c r="A1840" s="0" t="s">
        <v>54</v>
      </c>
      <c r="B1840" s="0" t="s">
        <v>1935</v>
      </c>
      <c r="C1840" s="0" t="s">
        <v>4124</v>
      </c>
      <c r="E1840" s="0" t="s">
        <v>1057</v>
      </c>
    </row>
    <row r="1841" customFormat="false" ht="15" hidden="false" customHeight="false" outlineLevel="0" collapsed="false">
      <c r="A1841" s="0" t="s">
        <v>54</v>
      </c>
      <c r="B1841" s="0" t="s">
        <v>1938</v>
      </c>
      <c r="C1841" s="0" t="s">
        <v>4125</v>
      </c>
      <c r="E1841" s="0" t="s">
        <v>1057</v>
      </c>
    </row>
    <row r="1842" customFormat="false" ht="15" hidden="false" customHeight="false" outlineLevel="0" collapsed="false">
      <c r="A1842" s="0" t="s">
        <v>54</v>
      </c>
      <c r="B1842" s="0" t="s">
        <v>2705</v>
      </c>
      <c r="C1842" s="0" t="s">
        <v>4126</v>
      </c>
      <c r="E1842" s="0" t="s">
        <v>4127</v>
      </c>
    </row>
    <row r="1843" customFormat="false" ht="15" hidden="false" customHeight="false" outlineLevel="0" collapsed="false">
      <c r="A1843" s="0" t="s">
        <v>54</v>
      </c>
      <c r="B1843" s="0" t="s">
        <v>4128</v>
      </c>
      <c r="C1843" s="0" t="s">
        <v>4129</v>
      </c>
      <c r="E1843" s="0" t="s">
        <v>4130</v>
      </c>
    </row>
    <row r="1844" customFormat="false" ht="15" hidden="false" customHeight="false" outlineLevel="0" collapsed="false">
      <c r="A1844" s="0" t="s">
        <v>54</v>
      </c>
      <c r="B1844" s="0" t="s">
        <v>2707</v>
      </c>
      <c r="C1844" s="0" t="s">
        <v>4131</v>
      </c>
      <c r="E1844" s="0" t="s">
        <v>4132</v>
      </c>
    </row>
    <row r="1845" customFormat="false" ht="15" hidden="false" customHeight="false" outlineLevel="0" collapsed="false">
      <c r="A1845" s="0" t="s">
        <v>54</v>
      </c>
      <c r="B1845" s="0" t="s">
        <v>1944</v>
      </c>
      <c r="C1845" s="0" t="s">
        <v>4133</v>
      </c>
      <c r="E1845" s="0" t="s">
        <v>1479</v>
      </c>
    </row>
    <row r="1846" customFormat="false" ht="15" hidden="false" customHeight="false" outlineLevel="0" collapsed="false">
      <c r="A1846" s="0" t="s">
        <v>54</v>
      </c>
      <c r="B1846" s="0" t="s">
        <v>1947</v>
      </c>
      <c r="C1846" s="0" t="s">
        <v>4134</v>
      </c>
      <c r="E1846" s="0" t="s">
        <v>1479</v>
      </c>
    </row>
    <row r="1847" customFormat="false" ht="15" hidden="false" customHeight="false" outlineLevel="0" collapsed="false">
      <c r="A1847" s="0" t="s">
        <v>54</v>
      </c>
      <c r="B1847" s="0" t="s">
        <v>1950</v>
      </c>
      <c r="C1847" s="0" t="s">
        <v>4135</v>
      </c>
      <c r="E1847" s="0" t="s">
        <v>1479</v>
      </c>
    </row>
    <row r="1848" customFormat="false" ht="15" hidden="false" customHeight="false" outlineLevel="0" collapsed="false">
      <c r="A1848" s="0" t="s">
        <v>54</v>
      </c>
      <c r="B1848" s="0" t="s">
        <v>2717</v>
      </c>
      <c r="C1848" s="0" t="s">
        <v>4136</v>
      </c>
      <c r="E1848" s="0" t="s">
        <v>1479</v>
      </c>
    </row>
    <row r="1849" customFormat="false" ht="15" hidden="false" customHeight="false" outlineLevel="0" collapsed="false">
      <c r="A1849" s="0" t="s">
        <v>54</v>
      </c>
      <c r="B1849" s="0" t="s">
        <v>4137</v>
      </c>
      <c r="C1849" s="0" t="s">
        <v>4138</v>
      </c>
      <c r="E1849" s="0" t="s">
        <v>1479</v>
      </c>
    </row>
    <row r="1850" customFormat="false" ht="15" hidden="false" customHeight="false" outlineLevel="0" collapsed="false">
      <c r="A1850" s="0" t="s">
        <v>54</v>
      </c>
      <c r="B1850" s="0" t="s">
        <v>2719</v>
      </c>
      <c r="C1850" s="0" t="s">
        <v>4139</v>
      </c>
      <c r="E1850" s="0" t="s">
        <v>1479</v>
      </c>
    </row>
    <row r="1851" customFormat="false" ht="15" hidden="false" customHeight="false" outlineLevel="0" collapsed="false">
      <c r="A1851" s="0" t="s">
        <v>54</v>
      </c>
      <c r="B1851" s="0" t="s">
        <v>1954</v>
      </c>
      <c r="C1851" s="0" t="s">
        <v>4140</v>
      </c>
      <c r="E1851" s="0" t="s">
        <v>1479</v>
      </c>
    </row>
    <row r="1852" customFormat="false" ht="15" hidden="false" customHeight="false" outlineLevel="0" collapsed="false">
      <c r="A1852" s="0" t="s">
        <v>54</v>
      </c>
      <c r="B1852" s="0" t="s">
        <v>1956</v>
      </c>
      <c r="C1852" s="0" t="s">
        <v>4141</v>
      </c>
      <c r="E1852" s="0" t="s">
        <v>1479</v>
      </c>
    </row>
    <row r="1853" customFormat="false" ht="15" hidden="false" customHeight="false" outlineLevel="0" collapsed="false">
      <c r="A1853" s="0" t="s">
        <v>54</v>
      </c>
      <c r="B1853" s="0" t="s">
        <v>1958</v>
      </c>
      <c r="C1853" s="0" t="s">
        <v>4142</v>
      </c>
      <c r="E1853" s="0" t="s">
        <v>1479</v>
      </c>
    </row>
    <row r="1854" customFormat="false" ht="15" hidden="false" customHeight="false" outlineLevel="0" collapsed="false">
      <c r="A1854" s="0" t="s">
        <v>54</v>
      </c>
      <c r="B1854" s="0" t="s">
        <v>2729</v>
      </c>
      <c r="C1854" s="0" t="s">
        <v>4143</v>
      </c>
      <c r="E1854" s="0" t="s">
        <v>1479</v>
      </c>
    </row>
    <row r="1855" customFormat="false" ht="15" hidden="false" customHeight="false" outlineLevel="0" collapsed="false">
      <c r="A1855" s="0" t="s">
        <v>54</v>
      </c>
      <c r="B1855" s="0" t="s">
        <v>4144</v>
      </c>
      <c r="C1855" s="0" t="s">
        <v>4145</v>
      </c>
      <c r="E1855" s="0" t="s">
        <v>1479</v>
      </c>
    </row>
    <row r="1856" customFormat="false" ht="15" hidden="false" customHeight="false" outlineLevel="0" collapsed="false">
      <c r="A1856" s="0" t="s">
        <v>54</v>
      </c>
      <c r="B1856" s="0" t="s">
        <v>2731</v>
      </c>
      <c r="C1856" s="0" t="s">
        <v>4146</v>
      </c>
      <c r="E1856" s="0" t="s">
        <v>1479</v>
      </c>
    </row>
    <row r="1857" customFormat="false" ht="15" hidden="false" customHeight="false" outlineLevel="0" collapsed="false">
      <c r="A1857" s="0" t="s">
        <v>54</v>
      </c>
      <c r="B1857" s="0" t="s">
        <v>1962</v>
      </c>
      <c r="C1857" s="0" t="s">
        <v>4147</v>
      </c>
      <c r="E1857" s="0" t="s">
        <v>1479</v>
      </c>
    </row>
    <row r="1858" customFormat="false" ht="15" hidden="false" customHeight="false" outlineLevel="0" collapsed="false">
      <c r="A1858" s="0" t="s">
        <v>54</v>
      </c>
      <c r="B1858" s="0" t="s">
        <v>1964</v>
      </c>
      <c r="C1858" s="0" t="s">
        <v>4148</v>
      </c>
      <c r="E1858" s="0" t="s">
        <v>1479</v>
      </c>
    </row>
    <row r="1859" customFormat="false" ht="15" hidden="false" customHeight="false" outlineLevel="0" collapsed="false">
      <c r="A1859" s="0" t="s">
        <v>54</v>
      </c>
      <c r="B1859" s="0" t="s">
        <v>1966</v>
      </c>
      <c r="C1859" s="0" t="s">
        <v>4149</v>
      </c>
      <c r="E1859" s="0" t="s">
        <v>1479</v>
      </c>
    </row>
    <row r="1860" customFormat="false" ht="15" hidden="false" customHeight="false" outlineLevel="0" collapsed="false">
      <c r="A1860" s="0" t="s">
        <v>54</v>
      </c>
      <c r="B1860" s="0" t="s">
        <v>1584</v>
      </c>
      <c r="C1860" s="0" t="s">
        <v>4150</v>
      </c>
      <c r="E1860" s="0" t="s">
        <v>1479</v>
      </c>
    </row>
    <row r="1861" customFormat="false" ht="15" hidden="false" customHeight="false" outlineLevel="0" collapsed="false">
      <c r="A1861" s="0" t="s">
        <v>54</v>
      </c>
      <c r="B1861" s="0" t="s">
        <v>1587</v>
      </c>
      <c r="C1861" s="0" t="s">
        <v>4151</v>
      </c>
      <c r="E1861" s="0" t="s">
        <v>1479</v>
      </c>
    </row>
    <row r="1862" customFormat="false" ht="15" hidden="false" customHeight="false" outlineLevel="0" collapsed="false">
      <c r="A1862" s="0" t="s">
        <v>54</v>
      </c>
      <c r="B1862" s="0" t="s">
        <v>1589</v>
      </c>
      <c r="C1862" s="0" t="s">
        <v>4152</v>
      </c>
      <c r="E1862" s="0" t="s">
        <v>1479</v>
      </c>
    </row>
    <row r="1863" customFormat="false" ht="15" hidden="false" customHeight="false" outlineLevel="0" collapsed="false">
      <c r="A1863" s="0" t="s">
        <v>54</v>
      </c>
      <c r="B1863" s="0" t="s">
        <v>3034</v>
      </c>
      <c r="C1863" s="0" t="s">
        <v>4153</v>
      </c>
      <c r="E1863" s="0" t="s">
        <v>1479</v>
      </c>
    </row>
    <row r="1864" customFormat="false" ht="15" hidden="false" customHeight="false" outlineLevel="0" collapsed="false">
      <c r="A1864" s="0" t="s">
        <v>54</v>
      </c>
      <c r="B1864" s="0" t="s">
        <v>3036</v>
      </c>
      <c r="C1864" s="0" t="s">
        <v>4154</v>
      </c>
      <c r="E1864" s="0" t="s">
        <v>1479</v>
      </c>
    </row>
    <row r="1865" customFormat="false" ht="15" hidden="false" customHeight="false" outlineLevel="0" collapsed="false">
      <c r="A1865" s="0" t="s">
        <v>54</v>
      </c>
      <c r="B1865" s="0" t="s">
        <v>2783</v>
      </c>
      <c r="C1865" s="0" t="s">
        <v>4155</v>
      </c>
      <c r="E1865" s="0" t="s">
        <v>1479</v>
      </c>
    </row>
    <row r="1866" customFormat="false" ht="15" hidden="false" customHeight="false" outlineLevel="0" collapsed="false">
      <c r="A1866" s="0" t="s">
        <v>54</v>
      </c>
      <c r="B1866" s="0" t="s">
        <v>1598</v>
      </c>
      <c r="C1866" s="0" t="s">
        <v>4156</v>
      </c>
      <c r="E1866" s="0" t="s">
        <v>1479</v>
      </c>
    </row>
    <row r="1867" customFormat="false" ht="15" hidden="false" customHeight="false" outlineLevel="0" collapsed="false">
      <c r="A1867" s="0" t="s">
        <v>54</v>
      </c>
      <c r="B1867" s="0" t="s">
        <v>1600</v>
      </c>
      <c r="C1867" s="0" t="s">
        <v>4157</v>
      </c>
      <c r="E1867" s="0" t="s">
        <v>1479</v>
      </c>
    </row>
    <row r="1868" customFormat="false" ht="15" hidden="false" customHeight="false" outlineLevel="0" collapsed="false">
      <c r="A1868" s="0" t="s">
        <v>54</v>
      </c>
      <c r="B1868" s="0" t="s">
        <v>1602</v>
      </c>
      <c r="C1868" s="0" t="s">
        <v>4158</v>
      </c>
      <c r="E1868" s="0" t="s">
        <v>1479</v>
      </c>
    </row>
    <row r="1869" customFormat="false" ht="15" hidden="false" customHeight="false" outlineLevel="0" collapsed="false">
      <c r="A1869" s="0" t="s">
        <v>54</v>
      </c>
      <c r="B1869" s="0" t="s">
        <v>3054</v>
      </c>
      <c r="C1869" s="0" t="s">
        <v>4159</v>
      </c>
      <c r="E1869" s="0" t="s">
        <v>1479</v>
      </c>
    </row>
    <row r="1870" customFormat="false" ht="15" hidden="false" customHeight="false" outlineLevel="0" collapsed="false">
      <c r="A1870" s="0" t="s">
        <v>54</v>
      </c>
      <c r="B1870" s="0" t="s">
        <v>3056</v>
      </c>
      <c r="C1870" s="0" t="s">
        <v>4160</v>
      </c>
      <c r="E1870" s="0" t="s">
        <v>1479</v>
      </c>
    </row>
    <row r="1871" customFormat="false" ht="15" hidden="false" customHeight="false" outlineLevel="0" collapsed="false">
      <c r="A1871" s="0" t="s">
        <v>54</v>
      </c>
      <c r="B1871" s="0" t="s">
        <v>3058</v>
      </c>
      <c r="C1871" s="0" t="s">
        <v>4161</v>
      </c>
      <c r="E1871" s="0" t="s">
        <v>1479</v>
      </c>
    </row>
    <row r="1872" customFormat="false" ht="15" hidden="false" customHeight="false" outlineLevel="0" collapsed="false">
      <c r="A1872" s="0" t="s">
        <v>54</v>
      </c>
      <c r="B1872" s="0" t="s">
        <v>1611</v>
      </c>
      <c r="C1872" s="0" t="s">
        <v>4162</v>
      </c>
      <c r="E1872" s="0" t="s">
        <v>1479</v>
      </c>
    </row>
    <row r="1873" customFormat="false" ht="15" hidden="false" customHeight="false" outlineLevel="0" collapsed="false">
      <c r="A1873" s="0" t="s">
        <v>54</v>
      </c>
      <c r="B1873" s="0" t="s">
        <v>1614</v>
      </c>
      <c r="C1873" s="0" t="s">
        <v>4163</v>
      </c>
      <c r="E1873" s="0" t="s">
        <v>1479</v>
      </c>
    </row>
    <row r="1874" customFormat="false" ht="15" hidden="false" customHeight="false" outlineLevel="0" collapsed="false">
      <c r="A1874" s="0" t="s">
        <v>54</v>
      </c>
      <c r="B1874" s="0" t="s">
        <v>1617</v>
      </c>
      <c r="C1874" s="0" t="s">
        <v>4164</v>
      </c>
      <c r="E1874" s="0" t="s">
        <v>1479</v>
      </c>
    </row>
    <row r="1875" customFormat="false" ht="15" hidden="false" customHeight="false" outlineLevel="0" collapsed="false">
      <c r="A1875" s="0" t="s">
        <v>54</v>
      </c>
      <c r="B1875" s="0" t="s">
        <v>3074</v>
      </c>
      <c r="C1875" s="0" t="s">
        <v>4165</v>
      </c>
      <c r="E1875" s="0" t="s">
        <v>1479</v>
      </c>
    </row>
    <row r="1876" customFormat="false" ht="15" hidden="false" customHeight="false" outlineLevel="0" collapsed="false">
      <c r="A1876" s="0" t="s">
        <v>54</v>
      </c>
      <c r="B1876" s="0" t="s">
        <v>2349</v>
      </c>
      <c r="C1876" s="0" t="s">
        <v>4166</v>
      </c>
      <c r="E1876" s="0" t="s">
        <v>1479</v>
      </c>
    </row>
    <row r="1877" customFormat="false" ht="15" hidden="false" customHeight="false" outlineLevel="0" collapsed="false">
      <c r="A1877" s="0" t="s">
        <v>54</v>
      </c>
      <c r="B1877" s="0" t="s">
        <v>2352</v>
      </c>
      <c r="C1877" s="0" t="s">
        <v>4167</v>
      </c>
      <c r="E1877" s="0" t="s">
        <v>1479</v>
      </c>
    </row>
    <row r="1878" customFormat="false" ht="15" hidden="false" customHeight="false" outlineLevel="0" collapsed="false">
      <c r="A1878" s="0" t="s">
        <v>54</v>
      </c>
      <c r="B1878" s="0" t="s">
        <v>1626</v>
      </c>
      <c r="C1878" s="0" t="s">
        <v>4168</v>
      </c>
      <c r="E1878" s="0" t="s">
        <v>1479</v>
      </c>
    </row>
    <row r="1879" customFormat="false" ht="15" hidden="false" customHeight="false" outlineLevel="0" collapsed="false">
      <c r="A1879" s="0" t="s">
        <v>54</v>
      </c>
      <c r="B1879" s="0" t="s">
        <v>1628</v>
      </c>
      <c r="C1879" s="0" t="s">
        <v>4169</v>
      </c>
      <c r="E1879" s="0" t="s">
        <v>1479</v>
      </c>
    </row>
    <row r="1880" customFormat="false" ht="15" hidden="false" customHeight="false" outlineLevel="0" collapsed="false">
      <c r="A1880" s="0" t="s">
        <v>54</v>
      </c>
      <c r="B1880" s="0" t="s">
        <v>1630</v>
      </c>
      <c r="C1880" s="0" t="s">
        <v>4170</v>
      </c>
      <c r="E1880" s="0" t="s">
        <v>1479</v>
      </c>
    </row>
    <row r="1881" customFormat="false" ht="15" hidden="false" customHeight="false" outlineLevel="0" collapsed="false">
      <c r="A1881" s="0" t="s">
        <v>54</v>
      </c>
      <c r="B1881" s="0" t="s">
        <v>1969</v>
      </c>
      <c r="C1881" s="0" t="s">
        <v>4171</v>
      </c>
      <c r="E1881" s="0" t="s">
        <v>1479</v>
      </c>
    </row>
    <row r="1882" customFormat="false" ht="15" hidden="false" customHeight="false" outlineLevel="0" collapsed="false">
      <c r="A1882" s="0" t="s">
        <v>54</v>
      </c>
      <c r="B1882" s="0" t="s">
        <v>1972</v>
      </c>
      <c r="C1882" s="0" t="s">
        <v>4172</v>
      </c>
      <c r="E1882" s="0" t="s">
        <v>1479</v>
      </c>
    </row>
    <row r="1883" customFormat="false" ht="15" hidden="false" customHeight="false" outlineLevel="0" collapsed="false">
      <c r="A1883" s="0" t="s">
        <v>54</v>
      </c>
      <c r="B1883" s="0" t="s">
        <v>1975</v>
      </c>
      <c r="C1883" s="0" t="s">
        <v>4173</v>
      </c>
      <c r="E1883" s="0" t="s">
        <v>1479</v>
      </c>
    </row>
    <row r="1884" customFormat="false" ht="15" hidden="false" customHeight="false" outlineLevel="0" collapsed="false">
      <c r="A1884" s="0" t="s">
        <v>54</v>
      </c>
      <c r="B1884" s="0" t="s">
        <v>1639</v>
      </c>
      <c r="C1884" s="0" t="s">
        <v>4174</v>
      </c>
      <c r="E1884" s="0" t="s">
        <v>1479</v>
      </c>
    </row>
    <row r="1885" customFormat="false" ht="15" hidden="false" customHeight="false" outlineLevel="0" collapsed="false">
      <c r="A1885" s="0" t="s">
        <v>54</v>
      </c>
      <c r="B1885" s="0" t="s">
        <v>1642</v>
      </c>
      <c r="C1885" s="0" t="s">
        <v>4175</v>
      </c>
      <c r="E1885" s="0" t="s">
        <v>1479</v>
      </c>
    </row>
    <row r="1886" customFormat="false" ht="15" hidden="false" customHeight="false" outlineLevel="0" collapsed="false">
      <c r="A1886" s="0" t="s">
        <v>54</v>
      </c>
      <c r="B1886" s="0" t="s">
        <v>1645</v>
      </c>
      <c r="C1886" s="0" t="s">
        <v>4176</v>
      </c>
      <c r="E1886" s="0" t="s">
        <v>1479</v>
      </c>
    </row>
    <row r="1887" customFormat="false" ht="15" hidden="false" customHeight="false" outlineLevel="0" collapsed="false">
      <c r="A1887" s="0" t="s">
        <v>56</v>
      </c>
      <c r="B1887" s="0" t="s">
        <v>118</v>
      </c>
      <c r="C1887" s="0" t="s">
        <v>4177</v>
      </c>
      <c r="E1887" s="0" t="s">
        <v>4178</v>
      </c>
    </row>
    <row r="1888" customFormat="false" ht="15" hidden="false" customHeight="false" outlineLevel="0" collapsed="false">
      <c r="A1888" s="0" t="s">
        <v>56</v>
      </c>
      <c r="B1888" s="0" t="s">
        <v>1864</v>
      </c>
      <c r="C1888" s="0" t="s">
        <v>4179</v>
      </c>
      <c r="E1888" s="0" t="s">
        <v>4180</v>
      </c>
    </row>
    <row r="1889" customFormat="false" ht="15" hidden="false" customHeight="false" outlineLevel="0" collapsed="false">
      <c r="A1889" s="0" t="s">
        <v>56</v>
      </c>
      <c r="B1889" s="0" t="s">
        <v>1867</v>
      </c>
      <c r="C1889" s="0" t="s">
        <v>4181</v>
      </c>
      <c r="E1889" s="0" t="s">
        <v>4182</v>
      </c>
    </row>
    <row r="1890" customFormat="false" ht="15" hidden="false" customHeight="false" outlineLevel="0" collapsed="false">
      <c r="A1890" s="0" t="s">
        <v>56</v>
      </c>
      <c r="B1890" s="0" t="s">
        <v>2194</v>
      </c>
      <c r="C1890" s="0" t="s">
        <v>4183</v>
      </c>
      <c r="E1890" s="0" t="s">
        <v>4184</v>
      </c>
    </row>
    <row r="1891" customFormat="false" ht="15" hidden="false" customHeight="false" outlineLevel="0" collapsed="false">
      <c r="A1891" s="0" t="s">
        <v>56</v>
      </c>
      <c r="B1891" s="0" t="s">
        <v>1480</v>
      </c>
      <c r="C1891" s="0" t="s">
        <v>4185</v>
      </c>
      <c r="E1891" s="0" t="s">
        <v>4186</v>
      </c>
    </row>
    <row r="1892" customFormat="false" ht="15" hidden="false" customHeight="false" outlineLevel="0" collapsed="false">
      <c r="A1892" s="0" t="s">
        <v>56</v>
      </c>
      <c r="B1892" s="0" t="s">
        <v>2197</v>
      </c>
      <c r="C1892" s="0" t="s">
        <v>4187</v>
      </c>
      <c r="E1892" s="0" t="s">
        <v>4188</v>
      </c>
    </row>
    <row r="1893" customFormat="false" ht="15" hidden="false" customHeight="false" outlineLevel="0" collapsed="false">
      <c r="A1893" s="0" t="s">
        <v>56</v>
      </c>
      <c r="B1893" s="0" t="s">
        <v>1483</v>
      </c>
      <c r="C1893" s="0" t="s">
        <v>4189</v>
      </c>
      <c r="E1893" s="0" t="s">
        <v>2046</v>
      </c>
    </row>
    <row r="1894" customFormat="false" ht="15" hidden="false" customHeight="false" outlineLevel="0" collapsed="false">
      <c r="A1894" s="0" t="s">
        <v>56</v>
      </c>
      <c r="B1894" s="0" t="s">
        <v>1486</v>
      </c>
      <c r="C1894" s="0" t="s">
        <v>4190</v>
      </c>
      <c r="E1894" s="0" t="s">
        <v>2968</v>
      </c>
    </row>
    <row r="1895" customFormat="false" ht="15" hidden="false" customHeight="false" outlineLevel="0" collapsed="false">
      <c r="A1895" s="0" t="s">
        <v>56</v>
      </c>
      <c r="B1895" s="0" t="s">
        <v>2218</v>
      </c>
      <c r="C1895" s="0" t="s">
        <v>4191</v>
      </c>
      <c r="E1895" s="0" t="s">
        <v>4192</v>
      </c>
    </row>
    <row r="1896" customFormat="false" ht="15" hidden="false" customHeight="false" outlineLevel="0" collapsed="false">
      <c r="A1896" s="0" t="s">
        <v>56</v>
      </c>
      <c r="B1896" s="0" t="s">
        <v>1488</v>
      </c>
      <c r="C1896" s="0" t="s">
        <v>4193</v>
      </c>
      <c r="E1896" s="0" t="s">
        <v>4194</v>
      </c>
    </row>
    <row r="1897" customFormat="false" ht="15" hidden="false" customHeight="false" outlineLevel="0" collapsed="false">
      <c r="A1897" s="0" t="s">
        <v>56</v>
      </c>
      <c r="B1897" s="0" t="s">
        <v>2221</v>
      </c>
      <c r="C1897" s="0" t="s">
        <v>4195</v>
      </c>
      <c r="E1897" s="0" t="s">
        <v>4196</v>
      </c>
    </row>
    <row r="1898" customFormat="false" ht="15" hidden="false" customHeight="false" outlineLevel="0" collapsed="false">
      <c r="A1898" s="0" t="s">
        <v>56</v>
      </c>
      <c r="B1898" s="0" t="s">
        <v>1490</v>
      </c>
      <c r="C1898" s="0" t="s">
        <v>4197</v>
      </c>
      <c r="E1898" s="0" t="s">
        <v>4198</v>
      </c>
    </row>
    <row r="1899" customFormat="false" ht="15" hidden="false" customHeight="false" outlineLevel="0" collapsed="false">
      <c r="A1899" s="0" t="s">
        <v>56</v>
      </c>
      <c r="B1899" s="0" t="s">
        <v>1492</v>
      </c>
      <c r="C1899" s="0" t="s">
        <v>4199</v>
      </c>
      <c r="E1899" s="0" t="s">
        <v>2159</v>
      </c>
    </row>
    <row r="1900" customFormat="false" ht="15" hidden="false" customHeight="false" outlineLevel="0" collapsed="false">
      <c r="A1900" s="0" t="s">
        <v>56</v>
      </c>
      <c r="B1900" s="0" t="s">
        <v>2244</v>
      </c>
      <c r="C1900" s="0" t="s">
        <v>4200</v>
      </c>
      <c r="E1900" s="0" t="s">
        <v>4201</v>
      </c>
    </row>
    <row r="1901" customFormat="false" ht="15" hidden="false" customHeight="false" outlineLevel="0" collapsed="false">
      <c r="A1901" s="0" t="s">
        <v>56</v>
      </c>
      <c r="B1901" s="0" t="s">
        <v>1494</v>
      </c>
      <c r="C1901" s="0" t="s">
        <v>4202</v>
      </c>
      <c r="E1901" s="0" t="s">
        <v>3553</v>
      </c>
    </row>
    <row r="1902" customFormat="false" ht="15" hidden="false" customHeight="false" outlineLevel="0" collapsed="false">
      <c r="A1902" s="0" t="s">
        <v>56</v>
      </c>
      <c r="B1902" s="0" t="s">
        <v>2247</v>
      </c>
      <c r="C1902" s="0" t="s">
        <v>4203</v>
      </c>
      <c r="E1902" s="0" t="s">
        <v>4204</v>
      </c>
    </row>
    <row r="1903" customFormat="false" ht="15" hidden="false" customHeight="false" outlineLevel="0" collapsed="false">
      <c r="A1903" s="0" t="s">
        <v>56</v>
      </c>
      <c r="B1903" s="0" t="s">
        <v>1496</v>
      </c>
      <c r="C1903" s="0" t="s">
        <v>4205</v>
      </c>
      <c r="E1903" s="0" t="s">
        <v>2125</v>
      </c>
    </row>
    <row r="1904" customFormat="false" ht="15" hidden="false" customHeight="false" outlineLevel="0" collapsed="false">
      <c r="A1904" s="0" t="s">
        <v>56</v>
      </c>
      <c r="B1904" s="0" t="s">
        <v>1498</v>
      </c>
      <c r="C1904" s="0" t="s">
        <v>4206</v>
      </c>
      <c r="E1904" s="0" t="s">
        <v>2968</v>
      </c>
    </row>
    <row r="1905" customFormat="false" ht="15" hidden="false" customHeight="false" outlineLevel="0" collapsed="false">
      <c r="A1905" s="0" t="s">
        <v>56</v>
      </c>
      <c r="B1905" s="0" t="s">
        <v>2268</v>
      </c>
      <c r="C1905" s="0" t="s">
        <v>4207</v>
      </c>
      <c r="E1905" s="0" t="s">
        <v>1479</v>
      </c>
    </row>
    <row r="1906" customFormat="false" ht="15" hidden="false" customHeight="false" outlineLevel="0" collapsed="false">
      <c r="A1906" s="0" t="s">
        <v>56</v>
      </c>
      <c r="B1906" s="0" t="s">
        <v>1500</v>
      </c>
      <c r="C1906" s="0" t="s">
        <v>4208</v>
      </c>
      <c r="E1906" s="0" t="s">
        <v>1479</v>
      </c>
    </row>
    <row r="1907" customFormat="false" ht="15" hidden="false" customHeight="false" outlineLevel="0" collapsed="false">
      <c r="A1907" s="0" t="s">
        <v>56</v>
      </c>
      <c r="B1907" s="0" t="s">
        <v>2271</v>
      </c>
      <c r="C1907" s="0" t="s">
        <v>4209</v>
      </c>
      <c r="E1907" s="0" t="s">
        <v>1479</v>
      </c>
    </row>
    <row r="1908" customFormat="false" ht="15" hidden="false" customHeight="false" outlineLevel="0" collapsed="false">
      <c r="A1908" s="0" t="s">
        <v>56</v>
      </c>
      <c r="B1908" s="0" t="s">
        <v>1502</v>
      </c>
      <c r="C1908" s="0" t="s">
        <v>4210</v>
      </c>
      <c r="E1908" s="0" t="s">
        <v>1479</v>
      </c>
    </row>
    <row r="1909" customFormat="false" ht="15" hidden="false" customHeight="false" outlineLevel="0" collapsed="false">
      <c r="A1909" s="0" t="s">
        <v>56</v>
      </c>
      <c r="B1909" s="0" t="s">
        <v>1504</v>
      </c>
      <c r="C1909" s="0" t="s">
        <v>4211</v>
      </c>
      <c r="E1909" s="0" t="s">
        <v>1479</v>
      </c>
    </row>
    <row r="1910" customFormat="false" ht="15" hidden="false" customHeight="false" outlineLevel="0" collapsed="false">
      <c r="A1910" s="0" t="s">
        <v>56</v>
      </c>
      <c r="B1910" s="0" t="s">
        <v>2289</v>
      </c>
      <c r="C1910" s="0" t="s">
        <v>4212</v>
      </c>
      <c r="E1910" s="0" t="s">
        <v>1479</v>
      </c>
    </row>
    <row r="1911" customFormat="false" ht="15" hidden="false" customHeight="false" outlineLevel="0" collapsed="false">
      <c r="A1911" s="0" t="s">
        <v>56</v>
      </c>
      <c r="B1911" s="0" t="s">
        <v>2291</v>
      </c>
      <c r="C1911" s="0" t="s">
        <v>4213</v>
      </c>
      <c r="E1911" s="0" t="s">
        <v>1479</v>
      </c>
    </row>
    <row r="1912" customFormat="false" ht="15" hidden="false" customHeight="false" outlineLevel="0" collapsed="false">
      <c r="A1912" s="0" t="s">
        <v>56</v>
      </c>
      <c r="B1912" s="0" t="s">
        <v>2293</v>
      </c>
      <c r="C1912" s="0" t="s">
        <v>4214</v>
      </c>
      <c r="E1912" s="0" t="s">
        <v>1479</v>
      </c>
    </row>
    <row r="1913" customFormat="false" ht="15" hidden="false" customHeight="false" outlineLevel="0" collapsed="false">
      <c r="A1913" s="0" t="s">
        <v>56</v>
      </c>
      <c r="B1913" s="0" t="s">
        <v>2295</v>
      </c>
      <c r="C1913" s="0" t="s">
        <v>4215</v>
      </c>
      <c r="E1913" s="0" t="s">
        <v>1479</v>
      </c>
    </row>
    <row r="1914" customFormat="false" ht="15" hidden="false" customHeight="false" outlineLevel="0" collapsed="false">
      <c r="A1914" s="0" t="s">
        <v>56</v>
      </c>
      <c r="B1914" s="0" t="s">
        <v>2297</v>
      </c>
      <c r="C1914" s="0" t="s">
        <v>4216</v>
      </c>
      <c r="E1914" s="0" t="s">
        <v>1479</v>
      </c>
    </row>
    <row r="1915" customFormat="false" ht="15" hidden="false" customHeight="false" outlineLevel="0" collapsed="false">
      <c r="A1915" s="0" t="s">
        <v>56</v>
      </c>
      <c r="B1915" s="0" t="s">
        <v>1880</v>
      </c>
      <c r="C1915" s="0" t="s">
        <v>4217</v>
      </c>
      <c r="E1915" s="0" t="s">
        <v>1479</v>
      </c>
    </row>
    <row r="1916" customFormat="false" ht="15" hidden="false" customHeight="false" outlineLevel="0" collapsed="false">
      <c r="A1916" s="0" t="s">
        <v>56</v>
      </c>
      <c r="B1916" s="0" t="s">
        <v>1883</v>
      </c>
      <c r="C1916" s="0" t="s">
        <v>4218</v>
      </c>
      <c r="E1916" s="0" t="s">
        <v>1479</v>
      </c>
    </row>
    <row r="1917" customFormat="false" ht="15" hidden="false" customHeight="false" outlineLevel="0" collapsed="false">
      <c r="A1917" s="0" t="s">
        <v>56</v>
      </c>
      <c r="B1917" s="0" t="s">
        <v>1886</v>
      </c>
      <c r="C1917" s="0" t="s">
        <v>4219</v>
      </c>
      <c r="E1917" s="0" t="s">
        <v>1479</v>
      </c>
    </row>
    <row r="1918" customFormat="false" ht="15" hidden="false" customHeight="false" outlineLevel="0" collapsed="false">
      <c r="A1918" s="0" t="s">
        <v>56</v>
      </c>
      <c r="B1918" s="0" t="s">
        <v>1888</v>
      </c>
      <c r="C1918" s="0" t="s">
        <v>4220</v>
      </c>
      <c r="E1918" s="0" t="s">
        <v>1479</v>
      </c>
    </row>
    <row r="1919" customFormat="false" ht="15" hidden="false" customHeight="false" outlineLevel="0" collapsed="false">
      <c r="A1919" s="0" t="s">
        <v>56</v>
      </c>
      <c r="B1919" s="0" t="s">
        <v>1891</v>
      </c>
      <c r="C1919" s="0" t="s">
        <v>4221</v>
      </c>
      <c r="E1919" s="0" t="s">
        <v>1479</v>
      </c>
    </row>
    <row r="1920" customFormat="false" ht="15" hidden="false" customHeight="false" outlineLevel="0" collapsed="false">
      <c r="A1920" s="0" t="s">
        <v>56</v>
      </c>
      <c r="B1920" s="0" t="s">
        <v>1898</v>
      </c>
      <c r="C1920" s="0" t="s">
        <v>4222</v>
      </c>
      <c r="E1920" s="0" t="s">
        <v>1479</v>
      </c>
    </row>
    <row r="1921" customFormat="false" ht="15" hidden="false" customHeight="false" outlineLevel="0" collapsed="false">
      <c r="A1921" s="0" t="s">
        <v>56</v>
      </c>
      <c r="B1921" s="0" t="s">
        <v>1506</v>
      </c>
      <c r="C1921" s="0" t="s">
        <v>4223</v>
      </c>
      <c r="E1921" s="0" t="s">
        <v>1479</v>
      </c>
    </row>
    <row r="1922" customFormat="false" ht="15" hidden="false" customHeight="false" outlineLevel="0" collapsed="false">
      <c r="A1922" s="0" t="s">
        <v>56</v>
      </c>
      <c r="B1922" s="0" t="s">
        <v>1901</v>
      </c>
      <c r="C1922" s="0" t="s">
        <v>4224</v>
      </c>
      <c r="E1922" s="0" t="s">
        <v>1479</v>
      </c>
    </row>
    <row r="1923" customFormat="false" ht="15" hidden="false" customHeight="false" outlineLevel="0" collapsed="false">
      <c r="A1923" s="0" t="s">
        <v>56</v>
      </c>
      <c r="B1923" s="0" t="s">
        <v>1509</v>
      </c>
      <c r="C1923" s="0" t="s">
        <v>4225</v>
      </c>
      <c r="E1923" s="0" t="s">
        <v>1479</v>
      </c>
    </row>
    <row r="1924" customFormat="false" ht="15" hidden="false" customHeight="false" outlineLevel="0" collapsed="false">
      <c r="A1924" s="0" t="s">
        <v>56</v>
      </c>
      <c r="B1924" s="0" t="s">
        <v>1512</v>
      </c>
      <c r="C1924" s="0" t="s">
        <v>4226</v>
      </c>
      <c r="E1924" s="0" t="s">
        <v>1479</v>
      </c>
    </row>
    <row r="1925" customFormat="false" ht="15" hidden="false" customHeight="false" outlineLevel="0" collapsed="false">
      <c r="A1925" s="0" t="s">
        <v>56</v>
      </c>
      <c r="B1925" s="0" t="s">
        <v>1909</v>
      </c>
      <c r="C1925" s="0" t="s">
        <v>4227</v>
      </c>
      <c r="E1925" s="0" t="s">
        <v>1479</v>
      </c>
    </row>
    <row r="1926" customFormat="false" ht="15" hidden="false" customHeight="false" outlineLevel="0" collapsed="false">
      <c r="A1926" s="0" t="s">
        <v>56</v>
      </c>
      <c r="B1926" s="0" t="s">
        <v>1518</v>
      </c>
      <c r="C1926" s="0" t="s">
        <v>4228</v>
      </c>
      <c r="E1926" s="0" t="s">
        <v>1479</v>
      </c>
    </row>
    <row r="1927" customFormat="false" ht="15" hidden="false" customHeight="false" outlineLevel="0" collapsed="false">
      <c r="A1927" s="0" t="s">
        <v>56</v>
      </c>
      <c r="B1927" s="0" t="s">
        <v>1912</v>
      </c>
      <c r="C1927" s="0" t="s">
        <v>4229</v>
      </c>
      <c r="E1927" s="0" t="s">
        <v>1479</v>
      </c>
    </row>
    <row r="1928" customFormat="false" ht="15" hidden="false" customHeight="false" outlineLevel="0" collapsed="false">
      <c r="A1928" s="0" t="s">
        <v>56</v>
      </c>
      <c r="B1928" s="0" t="s">
        <v>1521</v>
      </c>
      <c r="C1928" s="0" t="s">
        <v>4230</v>
      </c>
      <c r="E1928" s="0" t="s">
        <v>1479</v>
      </c>
    </row>
    <row r="1929" customFormat="false" ht="15" hidden="false" customHeight="false" outlineLevel="0" collapsed="false">
      <c r="A1929" s="0" t="s">
        <v>56</v>
      </c>
      <c r="B1929" s="0" t="s">
        <v>1524</v>
      </c>
      <c r="C1929" s="0" t="s">
        <v>4231</v>
      </c>
      <c r="E1929" s="0" t="s">
        <v>1479</v>
      </c>
    </row>
    <row r="1930" customFormat="false" ht="15" hidden="false" customHeight="false" outlineLevel="0" collapsed="false">
      <c r="A1930" s="0" t="s">
        <v>56</v>
      </c>
      <c r="B1930" s="0" t="s">
        <v>2613</v>
      </c>
      <c r="C1930" s="0" t="s">
        <v>4232</v>
      </c>
      <c r="E1930" s="0" t="s">
        <v>4233</v>
      </c>
    </row>
    <row r="1931" customFormat="false" ht="15" hidden="false" customHeight="false" outlineLevel="0" collapsed="false">
      <c r="A1931" s="0" t="s">
        <v>56</v>
      </c>
      <c r="B1931" s="0" t="s">
        <v>2615</v>
      </c>
      <c r="C1931" s="0" t="s">
        <v>4234</v>
      </c>
      <c r="E1931" s="0" t="s">
        <v>4235</v>
      </c>
    </row>
    <row r="1932" customFormat="false" ht="15" hidden="false" customHeight="false" outlineLevel="0" collapsed="false">
      <c r="A1932" s="0" t="s">
        <v>56</v>
      </c>
      <c r="B1932" s="0" t="s">
        <v>2617</v>
      </c>
      <c r="C1932" s="0" t="s">
        <v>4236</v>
      </c>
      <c r="E1932" s="0" t="s">
        <v>4237</v>
      </c>
    </row>
    <row r="1933" customFormat="false" ht="15" hidden="false" customHeight="false" outlineLevel="0" collapsed="false">
      <c r="A1933" s="0" t="s">
        <v>56</v>
      </c>
      <c r="B1933" s="0" t="s">
        <v>2619</v>
      </c>
      <c r="C1933" s="0" t="s">
        <v>4238</v>
      </c>
      <c r="E1933" s="0" t="s">
        <v>4239</v>
      </c>
    </row>
    <row r="1934" customFormat="false" ht="15" hidden="false" customHeight="false" outlineLevel="0" collapsed="false">
      <c r="A1934" s="0" t="s">
        <v>56</v>
      </c>
      <c r="B1934" s="0" t="s">
        <v>2629</v>
      </c>
      <c r="C1934" s="0" t="s">
        <v>4240</v>
      </c>
      <c r="E1934" s="0" t="s">
        <v>4241</v>
      </c>
    </row>
    <row r="1935" customFormat="false" ht="15" hidden="false" customHeight="false" outlineLevel="0" collapsed="false">
      <c r="A1935" s="0" t="s">
        <v>56</v>
      </c>
      <c r="B1935" s="0" t="s">
        <v>1556</v>
      </c>
      <c r="C1935" s="0" t="s">
        <v>4242</v>
      </c>
      <c r="E1935" s="0" t="s">
        <v>4243</v>
      </c>
    </row>
    <row r="1936" customFormat="false" ht="15" hidden="false" customHeight="false" outlineLevel="0" collapsed="false">
      <c r="A1936" s="0" t="s">
        <v>56</v>
      </c>
      <c r="B1936" s="0" t="s">
        <v>2632</v>
      </c>
      <c r="C1936" s="0" t="s">
        <v>4244</v>
      </c>
      <c r="E1936" s="0" t="s">
        <v>4245</v>
      </c>
    </row>
    <row r="1937" customFormat="false" ht="15" hidden="false" customHeight="false" outlineLevel="0" collapsed="false">
      <c r="A1937" s="0" t="s">
        <v>56</v>
      </c>
      <c r="B1937" s="0" t="s">
        <v>1559</v>
      </c>
      <c r="C1937" s="0" t="s">
        <v>4246</v>
      </c>
      <c r="E1937" s="0" t="s">
        <v>4247</v>
      </c>
    </row>
    <row r="1938" customFormat="false" ht="15" hidden="false" customHeight="false" outlineLevel="0" collapsed="false">
      <c r="A1938" s="0" t="s">
        <v>56</v>
      </c>
      <c r="B1938" s="0" t="s">
        <v>2643</v>
      </c>
      <c r="C1938" s="0" t="s">
        <v>4248</v>
      </c>
      <c r="E1938" s="0" t="s">
        <v>4249</v>
      </c>
    </row>
    <row r="1939" customFormat="false" ht="15" hidden="false" customHeight="false" outlineLevel="0" collapsed="false">
      <c r="A1939" s="0" t="s">
        <v>56</v>
      </c>
      <c r="B1939" s="0" t="s">
        <v>1562</v>
      </c>
      <c r="C1939" s="0" t="s">
        <v>4250</v>
      </c>
      <c r="E1939" s="0" t="s">
        <v>4251</v>
      </c>
    </row>
    <row r="1940" customFormat="false" ht="15" hidden="false" customHeight="false" outlineLevel="0" collapsed="false">
      <c r="A1940" s="0" t="s">
        <v>56</v>
      </c>
      <c r="B1940" s="0" t="s">
        <v>2646</v>
      </c>
      <c r="C1940" s="0" t="s">
        <v>4252</v>
      </c>
      <c r="E1940" s="0" t="s">
        <v>4253</v>
      </c>
    </row>
    <row r="1941" customFormat="false" ht="15" hidden="false" customHeight="false" outlineLevel="0" collapsed="false">
      <c r="A1941" s="0" t="s">
        <v>56</v>
      </c>
      <c r="B1941" s="0" t="s">
        <v>1564</v>
      </c>
      <c r="C1941" s="0" t="s">
        <v>4254</v>
      </c>
      <c r="E1941" s="0" t="s">
        <v>4255</v>
      </c>
    </row>
    <row r="1942" customFormat="false" ht="15" hidden="false" customHeight="false" outlineLevel="0" collapsed="false">
      <c r="A1942" s="0" t="s">
        <v>56</v>
      </c>
      <c r="B1942" s="0" t="s">
        <v>2657</v>
      </c>
      <c r="C1942" s="0" t="s">
        <v>4256</v>
      </c>
      <c r="E1942" s="0" t="s">
        <v>1479</v>
      </c>
    </row>
    <row r="1943" customFormat="false" ht="15" hidden="false" customHeight="false" outlineLevel="0" collapsed="false">
      <c r="A1943" s="0" t="s">
        <v>56</v>
      </c>
      <c r="B1943" s="0" t="s">
        <v>1566</v>
      </c>
      <c r="C1943" s="0" t="s">
        <v>4257</v>
      </c>
      <c r="E1943" s="0" t="s">
        <v>1479</v>
      </c>
    </row>
    <row r="1944" customFormat="false" ht="15" hidden="false" customHeight="false" outlineLevel="0" collapsed="false">
      <c r="A1944" s="0" t="s">
        <v>56</v>
      </c>
      <c r="B1944" s="0" t="s">
        <v>2660</v>
      </c>
      <c r="C1944" s="0" t="s">
        <v>4258</v>
      </c>
      <c r="E1944" s="0" t="s">
        <v>1479</v>
      </c>
    </row>
    <row r="1945" customFormat="false" ht="15" hidden="false" customHeight="false" outlineLevel="0" collapsed="false">
      <c r="A1945" s="0" t="s">
        <v>56</v>
      </c>
      <c r="B1945" s="0" t="s">
        <v>1568</v>
      </c>
      <c r="C1945" s="0" t="s">
        <v>4259</v>
      </c>
      <c r="E1945" s="0" t="s">
        <v>1479</v>
      </c>
    </row>
    <row r="1946" customFormat="false" ht="15" hidden="false" customHeight="false" outlineLevel="0" collapsed="false">
      <c r="A1946" s="0" t="s">
        <v>58</v>
      </c>
      <c r="B1946" s="0" t="s">
        <v>506</v>
      </c>
      <c r="C1946" s="0" t="s">
        <v>4260</v>
      </c>
      <c r="E1946" s="0" t="s">
        <v>4261</v>
      </c>
    </row>
    <row r="1947" customFormat="false" ht="15" hidden="false" customHeight="false" outlineLevel="0" collapsed="false">
      <c r="A1947" s="0" t="s">
        <v>58</v>
      </c>
      <c r="B1947" s="0" t="s">
        <v>1864</v>
      </c>
      <c r="C1947" s="0" t="s">
        <v>4262</v>
      </c>
      <c r="E1947" s="0" t="s">
        <v>4263</v>
      </c>
    </row>
    <row r="1948" customFormat="false" ht="15" hidden="false" customHeight="false" outlineLevel="0" collapsed="false">
      <c r="A1948" s="0" t="s">
        <v>58</v>
      </c>
      <c r="B1948" s="0" t="s">
        <v>1468</v>
      </c>
      <c r="C1948" s="0" t="s">
        <v>4264</v>
      </c>
      <c r="E1948" s="0" t="s">
        <v>4265</v>
      </c>
    </row>
    <row r="1949" customFormat="false" ht="15" hidden="false" customHeight="false" outlineLevel="0" collapsed="false">
      <c r="A1949" s="0" t="s">
        <v>58</v>
      </c>
      <c r="B1949" s="0" t="s">
        <v>2438</v>
      </c>
      <c r="C1949" s="0" t="s">
        <v>4266</v>
      </c>
      <c r="E1949" s="0" t="s">
        <v>4204</v>
      </c>
    </row>
    <row r="1950" customFormat="false" ht="15" hidden="false" customHeight="false" outlineLevel="0" collapsed="false">
      <c r="A1950" s="0" t="s">
        <v>58</v>
      </c>
      <c r="B1950" s="0" t="s">
        <v>2441</v>
      </c>
      <c r="C1950" s="0" t="s">
        <v>4267</v>
      </c>
      <c r="E1950" s="0" t="s">
        <v>1056</v>
      </c>
    </row>
    <row r="1951" customFormat="false" ht="15" hidden="false" customHeight="false" outlineLevel="0" collapsed="false">
      <c r="A1951" s="0" t="s">
        <v>58</v>
      </c>
      <c r="B1951" s="0" t="s">
        <v>2443</v>
      </c>
      <c r="C1951" s="0" t="s">
        <v>4268</v>
      </c>
      <c r="E1951" s="0" t="s">
        <v>3972</v>
      </c>
    </row>
    <row r="1952" customFormat="false" ht="15" hidden="false" customHeight="false" outlineLevel="0" collapsed="false">
      <c r="A1952" s="0" t="s">
        <v>58</v>
      </c>
      <c r="B1952" s="0" t="s">
        <v>2796</v>
      </c>
      <c r="C1952" s="0" t="s">
        <v>4269</v>
      </c>
      <c r="E1952" s="0" t="s">
        <v>1058</v>
      </c>
    </row>
    <row r="1953" customFormat="false" ht="15" hidden="false" customHeight="false" outlineLevel="0" collapsed="false">
      <c r="A1953" s="0" t="s">
        <v>58</v>
      </c>
      <c r="B1953" s="0" t="s">
        <v>2800</v>
      </c>
      <c r="C1953" s="0" t="s">
        <v>4270</v>
      </c>
      <c r="E1953" s="0" t="s">
        <v>1479</v>
      </c>
    </row>
    <row r="1954" customFormat="false" ht="15" hidden="false" customHeight="false" outlineLevel="0" collapsed="false">
      <c r="A1954" s="0" t="s">
        <v>58</v>
      </c>
      <c r="B1954" s="0" t="s">
        <v>3402</v>
      </c>
      <c r="C1954" s="0" t="s">
        <v>4271</v>
      </c>
      <c r="E1954" s="0" t="s">
        <v>4272</v>
      </c>
    </row>
    <row r="1955" customFormat="false" ht="15" hidden="false" customHeight="false" outlineLevel="0" collapsed="false">
      <c r="A1955" s="0" t="s">
        <v>58</v>
      </c>
      <c r="B1955" s="0" t="s">
        <v>509</v>
      </c>
      <c r="C1955" s="0" t="s">
        <v>4273</v>
      </c>
      <c r="E1955" s="0" t="s">
        <v>4274</v>
      </c>
    </row>
    <row r="1956" customFormat="false" ht="15" hidden="false" customHeight="false" outlineLevel="0" collapsed="false">
      <c r="A1956" s="0" t="s">
        <v>58</v>
      </c>
      <c r="B1956" s="0" t="s">
        <v>1867</v>
      </c>
      <c r="C1956" s="0" t="s">
        <v>4275</v>
      </c>
      <c r="E1956" s="0" t="s">
        <v>4276</v>
      </c>
    </row>
    <row r="1957" customFormat="false" ht="15" hidden="false" customHeight="false" outlineLevel="0" collapsed="false">
      <c r="A1957" s="0" t="s">
        <v>58</v>
      </c>
      <c r="B1957" s="0" t="s">
        <v>2117</v>
      </c>
      <c r="C1957" s="0" t="s">
        <v>4277</v>
      </c>
      <c r="E1957" s="0" t="s">
        <v>2947</v>
      </c>
    </row>
    <row r="1958" customFormat="false" ht="15" hidden="false" customHeight="false" outlineLevel="0" collapsed="false">
      <c r="A1958" s="0" t="s">
        <v>58</v>
      </c>
      <c r="B1958" s="0" t="s">
        <v>2120</v>
      </c>
      <c r="C1958" s="0" t="s">
        <v>4278</v>
      </c>
      <c r="E1958" s="0" t="s">
        <v>3238</v>
      </c>
    </row>
    <row r="1959" customFormat="false" ht="15" hidden="false" customHeight="false" outlineLevel="0" collapsed="false">
      <c r="A1959" s="0" t="s">
        <v>58</v>
      </c>
      <c r="B1959" s="0" t="s">
        <v>2123</v>
      </c>
      <c r="C1959" s="0" t="s">
        <v>4279</v>
      </c>
      <c r="E1959" s="0" t="s">
        <v>1055</v>
      </c>
    </row>
    <row r="1960" customFormat="false" ht="15" hidden="false" customHeight="false" outlineLevel="0" collapsed="false">
      <c r="A1960" s="0" t="s">
        <v>58</v>
      </c>
      <c r="B1960" s="0" t="s">
        <v>2126</v>
      </c>
      <c r="C1960" s="0" t="s">
        <v>4280</v>
      </c>
      <c r="E1960" s="0" t="s">
        <v>3927</v>
      </c>
    </row>
    <row r="1961" customFormat="false" ht="15" hidden="false" customHeight="false" outlineLevel="0" collapsed="false">
      <c r="A1961" s="0" t="s">
        <v>58</v>
      </c>
      <c r="B1961" s="0" t="s">
        <v>2129</v>
      </c>
      <c r="C1961" s="0" t="s">
        <v>4281</v>
      </c>
      <c r="E1961" s="0" t="s">
        <v>1060</v>
      </c>
    </row>
    <row r="1962" customFormat="false" ht="15" hidden="false" customHeight="false" outlineLevel="0" collapsed="false">
      <c r="A1962" s="0" t="s">
        <v>58</v>
      </c>
      <c r="B1962" s="0" t="s">
        <v>2137</v>
      </c>
      <c r="C1962" s="0" t="s">
        <v>4282</v>
      </c>
      <c r="E1962" s="0" t="s">
        <v>4283</v>
      </c>
    </row>
    <row r="1963" customFormat="false" ht="15" hidden="false" customHeight="false" outlineLevel="0" collapsed="false">
      <c r="A1963" s="0" t="s">
        <v>58</v>
      </c>
      <c r="B1963" s="0" t="s">
        <v>2140</v>
      </c>
      <c r="C1963" s="0" t="s">
        <v>4284</v>
      </c>
      <c r="E1963" s="0" t="s">
        <v>4285</v>
      </c>
    </row>
    <row r="1964" customFormat="false" ht="15" hidden="false" customHeight="false" outlineLevel="0" collapsed="false">
      <c r="A1964" s="0" t="s">
        <v>58</v>
      </c>
      <c r="B1964" s="0" t="s">
        <v>2145</v>
      </c>
      <c r="C1964" s="0" t="s">
        <v>4286</v>
      </c>
      <c r="E1964" s="0" t="s">
        <v>4287</v>
      </c>
    </row>
    <row r="1965" customFormat="false" ht="15" hidden="false" customHeight="false" outlineLevel="0" collapsed="false">
      <c r="A1965" s="0" t="s">
        <v>58</v>
      </c>
      <c r="B1965" s="0" t="s">
        <v>1870</v>
      </c>
      <c r="C1965" s="0" t="s">
        <v>4288</v>
      </c>
      <c r="E1965" s="0" t="s">
        <v>4289</v>
      </c>
    </row>
    <row r="1966" customFormat="false" ht="15" hidden="false" customHeight="false" outlineLevel="0" collapsed="false">
      <c r="A1966" s="0" t="s">
        <v>58</v>
      </c>
      <c r="B1966" s="0" t="s">
        <v>2148</v>
      </c>
      <c r="C1966" s="0" t="s">
        <v>4290</v>
      </c>
      <c r="E1966" s="0" t="s">
        <v>3318</v>
      </c>
    </row>
    <row r="1967" customFormat="false" ht="15" hidden="false" customHeight="false" outlineLevel="0" collapsed="false">
      <c r="A1967" s="0" t="s">
        <v>58</v>
      </c>
      <c r="B1967" s="0" t="s">
        <v>2150</v>
      </c>
      <c r="C1967" s="0" t="s">
        <v>4291</v>
      </c>
      <c r="E1967" s="0" t="s">
        <v>2224</v>
      </c>
    </row>
    <row r="1968" customFormat="false" ht="15" hidden="false" customHeight="false" outlineLevel="0" collapsed="false">
      <c r="A1968" s="0" t="s">
        <v>58</v>
      </c>
      <c r="B1968" s="0" t="s">
        <v>2153</v>
      </c>
      <c r="C1968" s="0" t="s">
        <v>4292</v>
      </c>
      <c r="E1968" s="0" t="s">
        <v>1055</v>
      </c>
    </row>
    <row r="1969" customFormat="false" ht="15" hidden="false" customHeight="false" outlineLevel="0" collapsed="false">
      <c r="A1969" s="0" t="s">
        <v>58</v>
      </c>
      <c r="B1969" s="0" t="s">
        <v>2155</v>
      </c>
      <c r="C1969" s="0" t="s">
        <v>4293</v>
      </c>
      <c r="E1969" s="0" t="s">
        <v>3247</v>
      </c>
    </row>
    <row r="1970" customFormat="false" ht="15" hidden="false" customHeight="false" outlineLevel="0" collapsed="false">
      <c r="A1970" s="0" t="s">
        <v>58</v>
      </c>
      <c r="B1970" s="0" t="s">
        <v>2157</v>
      </c>
      <c r="C1970" s="0" t="s">
        <v>4294</v>
      </c>
      <c r="E1970" s="0" t="s">
        <v>1059</v>
      </c>
    </row>
    <row r="1971" customFormat="false" ht="15" hidden="false" customHeight="false" outlineLevel="0" collapsed="false">
      <c r="A1971" s="0" t="s">
        <v>58</v>
      </c>
      <c r="B1971" s="0" t="s">
        <v>2164</v>
      </c>
      <c r="C1971" s="0" t="s">
        <v>4295</v>
      </c>
      <c r="E1971" s="0" t="s">
        <v>1479</v>
      </c>
    </row>
    <row r="1972" customFormat="false" ht="15" hidden="false" customHeight="false" outlineLevel="0" collapsed="false">
      <c r="A1972" s="0" t="s">
        <v>58</v>
      </c>
      <c r="B1972" s="0" t="s">
        <v>2166</v>
      </c>
      <c r="C1972" s="0" t="s">
        <v>4296</v>
      </c>
      <c r="E1972" s="0" t="s">
        <v>4285</v>
      </c>
    </row>
    <row r="1973" customFormat="false" ht="15" hidden="false" customHeight="false" outlineLevel="0" collapsed="false">
      <c r="A1973" s="0" t="s">
        <v>58</v>
      </c>
      <c r="B1973" s="0" t="s">
        <v>2171</v>
      </c>
      <c r="C1973" s="0" t="s">
        <v>4297</v>
      </c>
      <c r="E1973" s="0" t="s">
        <v>4283</v>
      </c>
    </row>
    <row r="1974" customFormat="false" ht="15" hidden="false" customHeight="false" outlineLevel="0" collapsed="false">
      <c r="A1974" s="0" t="s">
        <v>58</v>
      </c>
      <c r="B1974" s="0" t="s">
        <v>1471</v>
      </c>
      <c r="C1974" s="0" t="s">
        <v>4298</v>
      </c>
      <c r="E1974" s="0" t="s">
        <v>4299</v>
      </c>
    </row>
    <row r="1975" customFormat="false" ht="15" hidden="false" customHeight="false" outlineLevel="0" collapsed="false">
      <c r="A1975" s="0" t="s">
        <v>58</v>
      </c>
      <c r="B1975" s="0" t="s">
        <v>2174</v>
      </c>
      <c r="C1975" s="0" t="s">
        <v>4300</v>
      </c>
      <c r="E1975" s="0" t="s">
        <v>3741</v>
      </c>
    </row>
    <row r="1976" customFormat="false" ht="15" hidden="false" customHeight="false" outlineLevel="0" collapsed="false">
      <c r="A1976" s="0" t="s">
        <v>58</v>
      </c>
      <c r="B1976" s="0" t="s">
        <v>1474</v>
      </c>
      <c r="C1976" s="0" t="s">
        <v>4301</v>
      </c>
      <c r="E1976" s="0" t="s">
        <v>4302</v>
      </c>
    </row>
    <row r="1977" customFormat="false" ht="15" hidden="false" customHeight="false" outlineLevel="0" collapsed="false">
      <c r="A1977" s="0" t="s">
        <v>58</v>
      </c>
      <c r="B1977" s="0" t="s">
        <v>1477</v>
      </c>
      <c r="C1977" s="0" t="s">
        <v>4303</v>
      </c>
      <c r="E1977" s="0" t="s">
        <v>1056</v>
      </c>
    </row>
    <row r="1978" customFormat="false" ht="15" hidden="false" customHeight="false" outlineLevel="0" collapsed="false">
      <c r="A1978" s="0" t="s">
        <v>58</v>
      </c>
      <c r="B1978" s="0" t="s">
        <v>2179</v>
      </c>
      <c r="C1978" s="0" t="s">
        <v>4304</v>
      </c>
      <c r="E1978" s="0" t="s">
        <v>4305</v>
      </c>
    </row>
    <row r="1979" customFormat="false" ht="15" hidden="false" customHeight="false" outlineLevel="0" collapsed="false">
      <c r="A1979" s="0" t="s">
        <v>58</v>
      </c>
      <c r="B1979" s="0" t="s">
        <v>2181</v>
      </c>
      <c r="C1979" s="0" t="s">
        <v>4306</v>
      </c>
      <c r="E1979" s="0" t="s">
        <v>1063</v>
      </c>
    </row>
    <row r="1980" customFormat="false" ht="15" hidden="false" customHeight="false" outlineLevel="0" collapsed="false">
      <c r="A1980" s="0" t="s">
        <v>58</v>
      </c>
      <c r="B1980" s="0" t="s">
        <v>2187</v>
      </c>
      <c r="C1980" s="0" t="s">
        <v>4307</v>
      </c>
      <c r="E1980" s="0" t="s">
        <v>1479</v>
      </c>
    </row>
    <row r="1981" customFormat="false" ht="15" hidden="false" customHeight="false" outlineLevel="0" collapsed="false">
      <c r="A1981" s="0" t="s">
        <v>58</v>
      </c>
      <c r="B1981" s="0" t="s">
        <v>2189</v>
      </c>
      <c r="C1981" s="0" t="s">
        <v>4308</v>
      </c>
      <c r="E1981" s="0" t="s">
        <v>4272</v>
      </c>
    </row>
    <row r="1982" customFormat="false" ht="15" hidden="false" customHeight="false" outlineLevel="0" collapsed="false">
      <c r="A1982" s="0" t="s">
        <v>58</v>
      </c>
      <c r="B1982" s="0" t="s">
        <v>2194</v>
      </c>
      <c r="C1982" s="0" t="s">
        <v>4309</v>
      </c>
      <c r="E1982" s="0" t="s">
        <v>1479</v>
      </c>
    </row>
    <row r="1983" customFormat="false" ht="15" hidden="false" customHeight="false" outlineLevel="0" collapsed="false">
      <c r="A1983" s="0" t="s">
        <v>58</v>
      </c>
      <c r="B1983" s="0" t="s">
        <v>1480</v>
      </c>
      <c r="C1983" s="0" t="s">
        <v>4310</v>
      </c>
      <c r="E1983" s="0" t="s">
        <v>1479</v>
      </c>
    </row>
    <row r="1984" customFormat="false" ht="15" hidden="false" customHeight="false" outlineLevel="0" collapsed="false">
      <c r="A1984" s="0" t="s">
        <v>58</v>
      </c>
      <c r="B1984" s="0" t="s">
        <v>2197</v>
      </c>
      <c r="C1984" s="0" t="s">
        <v>4311</v>
      </c>
      <c r="E1984" s="0" t="s">
        <v>1479</v>
      </c>
    </row>
    <row r="1985" customFormat="false" ht="15" hidden="false" customHeight="false" outlineLevel="0" collapsed="false">
      <c r="A1985" s="0" t="s">
        <v>58</v>
      </c>
      <c r="B1985" s="0" t="s">
        <v>1483</v>
      </c>
      <c r="C1985" s="0" t="s">
        <v>4312</v>
      </c>
      <c r="E1985" s="0" t="s">
        <v>1479</v>
      </c>
    </row>
    <row r="1986" customFormat="false" ht="15" hidden="false" customHeight="false" outlineLevel="0" collapsed="false">
      <c r="A1986" s="0" t="s">
        <v>58</v>
      </c>
      <c r="B1986" s="0" t="s">
        <v>1486</v>
      </c>
      <c r="C1986" s="0" t="s">
        <v>4313</v>
      </c>
      <c r="E1986" s="0" t="s">
        <v>1479</v>
      </c>
    </row>
    <row r="1987" customFormat="false" ht="15" hidden="false" customHeight="false" outlineLevel="0" collapsed="false">
      <c r="A1987" s="0" t="s">
        <v>58</v>
      </c>
      <c r="B1987" s="0" t="s">
        <v>2203</v>
      </c>
      <c r="C1987" s="0" t="s">
        <v>4314</v>
      </c>
      <c r="E1987" s="0" t="s">
        <v>1479</v>
      </c>
    </row>
    <row r="1988" customFormat="false" ht="15" hidden="false" customHeight="false" outlineLevel="0" collapsed="false">
      <c r="A1988" s="0" t="s">
        <v>58</v>
      </c>
      <c r="B1988" s="0" t="s">
        <v>2205</v>
      </c>
      <c r="C1988" s="0" t="s">
        <v>4315</v>
      </c>
      <c r="E1988" s="0" t="s">
        <v>1479</v>
      </c>
    </row>
    <row r="1989" customFormat="false" ht="15" hidden="false" customHeight="false" outlineLevel="0" collapsed="false">
      <c r="A1989" s="0" t="s">
        <v>58</v>
      </c>
      <c r="B1989" s="0" t="s">
        <v>2211</v>
      </c>
      <c r="C1989" s="0" t="s">
        <v>4316</v>
      </c>
      <c r="E1989" s="0" t="s">
        <v>1479</v>
      </c>
    </row>
    <row r="1990" customFormat="false" ht="15" hidden="false" customHeight="false" outlineLevel="0" collapsed="false">
      <c r="A1990" s="0" t="s">
        <v>58</v>
      </c>
      <c r="B1990" s="0" t="s">
        <v>2213</v>
      </c>
      <c r="C1990" s="0" t="s">
        <v>4317</v>
      </c>
      <c r="E1990" s="0" t="s">
        <v>1479</v>
      </c>
    </row>
    <row r="1991" customFormat="false" ht="15" hidden="false" customHeight="false" outlineLevel="0" collapsed="false">
      <c r="A1991" s="0" t="s">
        <v>58</v>
      </c>
      <c r="B1991" s="0" t="s">
        <v>2218</v>
      </c>
      <c r="C1991" s="0" t="s">
        <v>4318</v>
      </c>
      <c r="E1991" s="0" t="s">
        <v>1479</v>
      </c>
    </row>
    <row r="1992" customFormat="false" ht="15" hidden="false" customHeight="false" outlineLevel="0" collapsed="false">
      <c r="A1992" s="0" t="s">
        <v>58</v>
      </c>
      <c r="B1992" s="0" t="s">
        <v>1488</v>
      </c>
      <c r="C1992" s="0" t="s">
        <v>4319</v>
      </c>
      <c r="E1992" s="0" t="s">
        <v>1479</v>
      </c>
    </row>
    <row r="1993" customFormat="false" ht="15" hidden="false" customHeight="false" outlineLevel="0" collapsed="false">
      <c r="A1993" s="0" t="s">
        <v>58</v>
      </c>
      <c r="B1993" s="0" t="s">
        <v>2221</v>
      </c>
      <c r="C1993" s="0" t="s">
        <v>4320</v>
      </c>
      <c r="E1993" s="0" t="s">
        <v>1479</v>
      </c>
    </row>
    <row r="1994" customFormat="false" ht="15" hidden="false" customHeight="false" outlineLevel="0" collapsed="false">
      <c r="A1994" s="0" t="s">
        <v>58</v>
      </c>
      <c r="B1994" s="0" t="s">
        <v>1490</v>
      </c>
      <c r="C1994" s="0" t="s">
        <v>4321</v>
      </c>
      <c r="E1994" s="0" t="s">
        <v>1479</v>
      </c>
    </row>
    <row r="1995" customFormat="false" ht="15" hidden="false" customHeight="false" outlineLevel="0" collapsed="false">
      <c r="A1995" s="0" t="s">
        <v>58</v>
      </c>
      <c r="B1995" s="0" t="s">
        <v>1492</v>
      </c>
      <c r="C1995" s="0" t="s">
        <v>4322</v>
      </c>
      <c r="E1995" s="0" t="s">
        <v>1479</v>
      </c>
    </row>
    <row r="1996" customFormat="false" ht="15" hidden="false" customHeight="false" outlineLevel="0" collapsed="false">
      <c r="A1996" s="0" t="s">
        <v>58</v>
      </c>
      <c r="B1996" s="0" t="s">
        <v>2227</v>
      </c>
      <c r="C1996" s="0" t="s">
        <v>4323</v>
      </c>
      <c r="E1996" s="0" t="s">
        <v>1479</v>
      </c>
    </row>
    <row r="1997" customFormat="false" ht="15" hidden="false" customHeight="false" outlineLevel="0" collapsed="false">
      <c r="A1997" s="0" t="s">
        <v>58</v>
      </c>
      <c r="B1997" s="0" t="s">
        <v>2230</v>
      </c>
      <c r="C1997" s="0" t="s">
        <v>4324</v>
      </c>
      <c r="E1997" s="0" t="s">
        <v>1479</v>
      </c>
    </row>
    <row r="1998" customFormat="false" ht="15" hidden="false" customHeight="false" outlineLevel="0" collapsed="false">
      <c r="A1998" s="0" t="s">
        <v>58</v>
      </c>
      <c r="B1998" s="0" t="s">
        <v>2237</v>
      </c>
      <c r="C1998" s="0" t="s">
        <v>4325</v>
      </c>
      <c r="E1998" s="0" t="s">
        <v>1479</v>
      </c>
    </row>
    <row r="1999" customFormat="false" ht="15" hidden="false" customHeight="false" outlineLevel="0" collapsed="false">
      <c r="A1999" s="0" t="s">
        <v>58</v>
      </c>
      <c r="B1999" s="0" t="s">
        <v>2239</v>
      </c>
      <c r="C1999" s="0" t="s">
        <v>4326</v>
      </c>
      <c r="E1999" s="0" t="s">
        <v>1479</v>
      </c>
    </row>
    <row r="2000" customFormat="false" ht="15" hidden="false" customHeight="false" outlineLevel="0" collapsed="false">
      <c r="A2000" s="0" t="s">
        <v>58</v>
      </c>
      <c r="B2000" s="0" t="s">
        <v>2244</v>
      </c>
      <c r="C2000" s="0" t="s">
        <v>4327</v>
      </c>
      <c r="E2000" s="0" t="s">
        <v>1479</v>
      </c>
    </row>
    <row r="2001" customFormat="false" ht="15" hidden="false" customHeight="false" outlineLevel="0" collapsed="false">
      <c r="A2001" s="0" t="s">
        <v>58</v>
      </c>
      <c r="B2001" s="0" t="s">
        <v>1494</v>
      </c>
      <c r="C2001" s="0" t="s">
        <v>4328</v>
      </c>
      <c r="E2001" s="0" t="s">
        <v>1479</v>
      </c>
    </row>
    <row r="2002" customFormat="false" ht="15" hidden="false" customHeight="false" outlineLevel="0" collapsed="false">
      <c r="A2002" s="0" t="s">
        <v>58</v>
      </c>
      <c r="B2002" s="0" t="s">
        <v>2247</v>
      </c>
      <c r="C2002" s="0" t="s">
        <v>4329</v>
      </c>
      <c r="E2002" s="0" t="s">
        <v>1479</v>
      </c>
    </row>
    <row r="2003" customFormat="false" ht="15" hidden="false" customHeight="false" outlineLevel="0" collapsed="false">
      <c r="A2003" s="0" t="s">
        <v>58</v>
      </c>
      <c r="B2003" s="0" t="s">
        <v>1496</v>
      </c>
      <c r="C2003" s="0" t="s">
        <v>4330</v>
      </c>
      <c r="E2003" s="0" t="s">
        <v>1479</v>
      </c>
    </row>
    <row r="2004" customFormat="false" ht="15" hidden="false" customHeight="false" outlineLevel="0" collapsed="false">
      <c r="A2004" s="0" t="s">
        <v>58</v>
      </c>
      <c r="B2004" s="0" t="s">
        <v>1498</v>
      </c>
      <c r="C2004" s="0" t="s">
        <v>4331</v>
      </c>
      <c r="E2004" s="0" t="s">
        <v>1479</v>
      </c>
    </row>
    <row r="2005" customFormat="false" ht="15" hidden="false" customHeight="false" outlineLevel="0" collapsed="false">
      <c r="A2005" s="0" t="s">
        <v>58</v>
      </c>
      <c r="B2005" s="0" t="s">
        <v>2253</v>
      </c>
      <c r="C2005" s="0" t="s">
        <v>4332</v>
      </c>
      <c r="E2005" s="0" t="s">
        <v>1479</v>
      </c>
    </row>
    <row r="2006" customFormat="false" ht="15" hidden="false" customHeight="false" outlineLevel="0" collapsed="false">
      <c r="A2006" s="0" t="s">
        <v>58</v>
      </c>
      <c r="B2006" s="0" t="s">
        <v>2255</v>
      </c>
      <c r="C2006" s="0" t="s">
        <v>4333</v>
      </c>
      <c r="E2006" s="0" t="s">
        <v>1479</v>
      </c>
    </row>
    <row r="2007" customFormat="false" ht="15" hidden="false" customHeight="false" outlineLevel="0" collapsed="false">
      <c r="A2007" s="0" t="s">
        <v>58</v>
      </c>
      <c r="B2007" s="0" t="s">
        <v>2261</v>
      </c>
      <c r="C2007" s="0" t="s">
        <v>4334</v>
      </c>
      <c r="E2007" s="0" t="s">
        <v>1479</v>
      </c>
    </row>
    <row r="2008" customFormat="false" ht="15" hidden="false" customHeight="false" outlineLevel="0" collapsed="false">
      <c r="A2008" s="0" t="s">
        <v>58</v>
      </c>
      <c r="B2008" s="0" t="s">
        <v>2263</v>
      </c>
      <c r="C2008" s="0" t="s">
        <v>4335</v>
      </c>
      <c r="E2008" s="0" t="s">
        <v>1479</v>
      </c>
    </row>
    <row r="2009" customFormat="false" ht="15" hidden="false" customHeight="false" outlineLevel="0" collapsed="false">
      <c r="A2009" s="0" t="s">
        <v>58</v>
      </c>
      <c r="B2009" s="0" t="s">
        <v>2268</v>
      </c>
      <c r="C2009" s="0" t="s">
        <v>4336</v>
      </c>
      <c r="E2009" s="0" t="s">
        <v>1479</v>
      </c>
    </row>
    <row r="2010" customFormat="false" ht="15" hidden="false" customHeight="false" outlineLevel="0" collapsed="false">
      <c r="A2010" s="0" t="s">
        <v>58</v>
      </c>
      <c r="B2010" s="0" t="s">
        <v>1500</v>
      </c>
      <c r="C2010" s="0" t="s">
        <v>4337</v>
      </c>
      <c r="E2010" s="0" t="s">
        <v>1479</v>
      </c>
    </row>
    <row r="2011" customFormat="false" ht="15" hidden="false" customHeight="false" outlineLevel="0" collapsed="false">
      <c r="A2011" s="0" t="s">
        <v>58</v>
      </c>
      <c r="B2011" s="0" t="s">
        <v>2271</v>
      </c>
      <c r="C2011" s="0" t="s">
        <v>4338</v>
      </c>
      <c r="E2011" s="0" t="s">
        <v>1479</v>
      </c>
    </row>
    <row r="2012" customFormat="false" ht="15" hidden="false" customHeight="false" outlineLevel="0" collapsed="false">
      <c r="A2012" s="0" t="s">
        <v>58</v>
      </c>
      <c r="B2012" s="0" t="s">
        <v>1502</v>
      </c>
      <c r="C2012" s="0" t="s">
        <v>4339</v>
      </c>
      <c r="E2012" s="0" t="s">
        <v>1479</v>
      </c>
    </row>
    <row r="2013" customFormat="false" ht="15" hidden="false" customHeight="false" outlineLevel="0" collapsed="false">
      <c r="A2013" s="0" t="s">
        <v>58</v>
      </c>
      <c r="B2013" s="0" t="s">
        <v>1504</v>
      </c>
      <c r="C2013" s="0" t="s">
        <v>4340</v>
      </c>
      <c r="E2013" s="0" t="s">
        <v>1479</v>
      </c>
    </row>
    <row r="2014" customFormat="false" ht="15" hidden="false" customHeight="false" outlineLevel="0" collapsed="false">
      <c r="A2014" s="0" t="s">
        <v>58</v>
      </c>
      <c r="B2014" s="0" t="s">
        <v>2275</v>
      </c>
      <c r="C2014" s="0" t="s">
        <v>4341</v>
      </c>
      <c r="E2014" s="0" t="s">
        <v>1479</v>
      </c>
    </row>
    <row r="2015" customFormat="false" ht="15" hidden="false" customHeight="false" outlineLevel="0" collapsed="false">
      <c r="A2015" s="0" t="s">
        <v>58</v>
      </c>
      <c r="B2015" s="0" t="s">
        <v>2277</v>
      </c>
      <c r="C2015" s="0" t="s">
        <v>4342</v>
      </c>
      <c r="E2015" s="0" t="s">
        <v>1479</v>
      </c>
    </row>
    <row r="2016" customFormat="false" ht="15" hidden="false" customHeight="false" outlineLevel="0" collapsed="false">
      <c r="A2016" s="0" t="s">
        <v>58</v>
      </c>
      <c r="B2016" s="0" t="s">
        <v>2283</v>
      </c>
      <c r="C2016" s="0" t="s">
        <v>4343</v>
      </c>
      <c r="E2016" s="0" t="s">
        <v>1479</v>
      </c>
    </row>
    <row r="2017" customFormat="false" ht="15" hidden="false" customHeight="false" outlineLevel="0" collapsed="false">
      <c r="A2017" s="0" t="s">
        <v>58</v>
      </c>
      <c r="B2017" s="0" t="s">
        <v>2285</v>
      </c>
      <c r="C2017" s="0" t="s">
        <v>4344</v>
      </c>
      <c r="E2017" s="0" t="s">
        <v>1479</v>
      </c>
    </row>
    <row r="2018" customFormat="false" ht="15" hidden="false" customHeight="false" outlineLevel="0" collapsed="false">
      <c r="A2018" s="0" t="s">
        <v>58</v>
      </c>
      <c r="B2018" s="0" t="s">
        <v>2289</v>
      </c>
      <c r="C2018" s="0" t="s">
        <v>4345</v>
      </c>
      <c r="E2018" s="0" t="s">
        <v>1479</v>
      </c>
    </row>
    <row r="2019" customFormat="false" ht="15" hidden="false" customHeight="false" outlineLevel="0" collapsed="false">
      <c r="A2019" s="0" t="s">
        <v>58</v>
      </c>
      <c r="B2019" s="0" t="s">
        <v>2291</v>
      </c>
      <c r="C2019" s="0" t="s">
        <v>4346</v>
      </c>
      <c r="E2019" s="0" t="s">
        <v>1479</v>
      </c>
    </row>
    <row r="2020" customFormat="false" ht="15" hidden="false" customHeight="false" outlineLevel="0" collapsed="false">
      <c r="A2020" s="0" t="s">
        <v>58</v>
      </c>
      <c r="B2020" s="0" t="s">
        <v>2293</v>
      </c>
      <c r="C2020" s="0" t="s">
        <v>4347</v>
      </c>
      <c r="E2020" s="0" t="s">
        <v>1479</v>
      </c>
    </row>
    <row r="2021" customFormat="false" ht="15" hidden="false" customHeight="false" outlineLevel="0" collapsed="false">
      <c r="A2021" s="0" t="s">
        <v>58</v>
      </c>
      <c r="B2021" s="0" t="s">
        <v>2295</v>
      </c>
      <c r="C2021" s="0" t="s">
        <v>4348</v>
      </c>
      <c r="E2021" s="0" t="s">
        <v>1479</v>
      </c>
    </row>
    <row r="2022" customFormat="false" ht="15" hidden="false" customHeight="false" outlineLevel="0" collapsed="false">
      <c r="A2022" s="0" t="s">
        <v>58</v>
      </c>
      <c r="B2022" s="0" t="s">
        <v>2297</v>
      </c>
      <c r="C2022" s="0" t="s">
        <v>4349</v>
      </c>
      <c r="E2022" s="0" t="s">
        <v>1479</v>
      </c>
    </row>
    <row r="2023" customFormat="false" ht="15" hidden="false" customHeight="false" outlineLevel="0" collapsed="false">
      <c r="A2023" s="0" t="s">
        <v>58</v>
      </c>
      <c r="B2023" s="0" t="s">
        <v>2299</v>
      </c>
      <c r="C2023" s="0" t="s">
        <v>4350</v>
      </c>
      <c r="E2023" s="0" t="s">
        <v>1479</v>
      </c>
    </row>
    <row r="2024" customFormat="false" ht="15" hidden="false" customHeight="false" outlineLevel="0" collapsed="false">
      <c r="A2024" s="0" t="s">
        <v>58</v>
      </c>
      <c r="B2024" s="0" t="s">
        <v>2301</v>
      </c>
      <c r="C2024" s="0" t="s">
        <v>4351</v>
      </c>
      <c r="E2024" s="0" t="s">
        <v>1479</v>
      </c>
    </row>
    <row r="2025" customFormat="false" ht="15" hidden="false" customHeight="false" outlineLevel="0" collapsed="false">
      <c r="A2025" s="0" t="s">
        <v>58</v>
      </c>
      <c r="B2025" s="0" t="s">
        <v>2307</v>
      </c>
      <c r="C2025" s="0" t="s">
        <v>4352</v>
      </c>
      <c r="E2025" s="0" t="s">
        <v>1479</v>
      </c>
    </row>
    <row r="2026" customFormat="false" ht="15" hidden="false" customHeight="false" outlineLevel="0" collapsed="false">
      <c r="A2026" s="0" t="s">
        <v>58</v>
      </c>
      <c r="B2026" s="0" t="s">
        <v>2309</v>
      </c>
      <c r="C2026" s="0" t="s">
        <v>4353</v>
      </c>
      <c r="E2026" s="0" t="s">
        <v>1479</v>
      </c>
    </row>
    <row r="2027" customFormat="false" ht="15" hidden="false" customHeight="false" outlineLevel="0" collapsed="false">
      <c r="A2027" s="0" t="s">
        <v>58</v>
      </c>
      <c r="B2027" s="0" t="s">
        <v>1880</v>
      </c>
      <c r="C2027" s="0" t="s">
        <v>4354</v>
      </c>
      <c r="E2027" s="0" t="s">
        <v>1479</v>
      </c>
    </row>
    <row r="2028" customFormat="false" ht="15" hidden="false" customHeight="false" outlineLevel="0" collapsed="false">
      <c r="A2028" s="0" t="s">
        <v>58</v>
      </c>
      <c r="B2028" s="0" t="s">
        <v>1883</v>
      </c>
      <c r="C2028" s="0" t="s">
        <v>4355</v>
      </c>
      <c r="E2028" s="0" t="s">
        <v>1479</v>
      </c>
    </row>
    <row r="2029" customFormat="false" ht="15" hidden="false" customHeight="false" outlineLevel="0" collapsed="false">
      <c r="A2029" s="0" t="s">
        <v>58</v>
      </c>
      <c r="B2029" s="0" t="s">
        <v>1886</v>
      </c>
      <c r="C2029" s="0" t="s">
        <v>4356</v>
      </c>
      <c r="E2029" s="0" t="s">
        <v>1479</v>
      </c>
    </row>
    <row r="2030" customFormat="false" ht="15" hidden="false" customHeight="false" outlineLevel="0" collapsed="false">
      <c r="A2030" s="0" t="s">
        <v>58</v>
      </c>
      <c r="B2030" s="0" t="s">
        <v>1888</v>
      </c>
      <c r="C2030" s="0" t="s">
        <v>4357</v>
      </c>
      <c r="E2030" s="0" t="s">
        <v>1479</v>
      </c>
    </row>
    <row r="2031" customFormat="false" ht="15" hidden="false" customHeight="false" outlineLevel="0" collapsed="false">
      <c r="A2031" s="0" t="s">
        <v>58</v>
      </c>
      <c r="B2031" s="0" t="s">
        <v>1891</v>
      </c>
      <c r="C2031" s="0" t="s">
        <v>4358</v>
      </c>
      <c r="E2031" s="0" t="s">
        <v>1479</v>
      </c>
    </row>
    <row r="2032" customFormat="false" ht="15" hidden="false" customHeight="false" outlineLevel="0" collapsed="false">
      <c r="A2032" s="0" t="s">
        <v>58</v>
      </c>
      <c r="B2032" s="0" t="s">
        <v>1894</v>
      </c>
      <c r="C2032" s="0" t="s">
        <v>4359</v>
      </c>
      <c r="E2032" s="0" t="s">
        <v>1479</v>
      </c>
    </row>
    <row r="2033" customFormat="false" ht="15" hidden="false" customHeight="false" outlineLevel="0" collapsed="false">
      <c r="A2033" s="0" t="s">
        <v>58</v>
      </c>
      <c r="B2033" s="0" t="s">
        <v>2319</v>
      </c>
      <c r="C2033" s="0" t="s">
        <v>4360</v>
      </c>
      <c r="E2033" s="0" t="s">
        <v>1479</v>
      </c>
    </row>
    <row r="2034" customFormat="false" ht="15" hidden="false" customHeight="false" outlineLevel="0" collapsed="false">
      <c r="A2034" s="0" t="s">
        <v>58</v>
      </c>
      <c r="B2034" s="0" t="s">
        <v>2325</v>
      </c>
      <c r="C2034" s="0" t="s">
        <v>4361</v>
      </c>
      <c r="E2034" s="0" t="s">
        <v>1479</v>
      </c>
    </row>
    <row r="2035" customFormat="false" ht="15" hidden="false" customHeight="false" outlineLevel="0" collapsed="false">
      <c r="A2035" s="0" t="s">
        <v>58</v>
      </c>
      <c r="B2035" s="0" t="s">
        <v>2327</v>
      </c>
      <c r="C2035" s="0" t="s">
        <v>4362</v>
      </c>
      <c r="E2035" s="0" t="s">
        <v>1479</v>
      </c>
    </row>
    <row r="2036" customFormat="false" ht="15" hidden="false" customHeight="false" outlineLevel="0" collapsed="false">
      <c r="A2036" s="0" t="s">
        <v>58</v>
      </c>
      <c r="B2036" s="0" t="s">
        <v>1898</v>
      </c>
      <c r="C2036" s="0" t="s">
        <v>4363</v>
      </c>
      <c r="E2036" s="0" t="s">
        <v>1479</v>
      </c>
    </row>
    <row r="2037" customFormat="false" ht="15" hidden="false" customHeight="false" outlineLevel="0" collapsed="false">
      <c r="A2037" s="0" t="s">
        <v>58</v>
      </c>
      <c r="B2037" s="0" t="s">
        <v>1506</v>
      </c>
      <c r="C2037" s="0" t="s">
        <v>4364</v>
      </c>
      <c r="E2037" s="0" t="s">
        <v>1479</v>
      </c>
    </row>
    <row r="2038" customFormat="false" ht="15" hidden="false" customHeight="false" outlineLevel="0" collapsed="false">
      <c r="A2038" s="0" t="s">
        <v>58</v>
      </c>
      <c r="B2038" s="0" t="s">
        <v>1901</v>
      </c>
      <c r="C2038" s="0" t="s">
        <v>4365</v>
      </c>
      <c r="E2038" s="0" t="s">
        <v>1479</v>
      </c>
    </row>
    <row r="2039" customFormat="false" ht="15" hidden="false" customHeight="false" outlineLevel="0" collapsed="false">
      <c r="A2039" s="0" t="s">
        <v>58</v>
      </c>
      <c r="B2039" s="0" t="s">
        <v>1509</v>
      </c>
      <c r="C2039" s="0" t="s">
        <v>4366</v>
      </c>
      <c r="E2039" s="0" t="s">
        <v>1479</v>
      </c>
    </row>
    <row r="2040" customFormat="false" ht="15" hidden="false" customHeight="false" outlineLevel="0" collapsed="false">
      <c r="A2040" s="0" t="s">
        <v>58</v>
      </c>
      <c r="B2040" s="0" t="s">
        <v>1512</v>
      </c>
      <c r="C2040" s="0" t="s">
        <v>4367</v>
      </c>
      <c r="E2040" s="0" t="s">
        <v>1479</v>
      </c>
    </row>
    <row r="2041" customFormat="false" ht="15" hidden="false" customHeight="false" outlineLevel="0" collapsed="false">
      <c r="A2041" s="0" t="s">
        <v>58</v>
      </c>
      <c r="B2041" s="0" t="s">
        <v>1515</v>
      </c>
      <c r="C2041" s="0" t="s">
        <v>4368</v>
      </c>
      <c r="E2041" s="0" t="s">
        <v>1479</v>
      </c>
    </row>
    <row r="2042" customFormat="false" ht="15" hidden="false" customHeight="false" outlineLevel="0" collapsed="false">
      <c r="A2042" s="0" t="s">
        <v>58</v>
      </c>
      <c r="B2042" s="0" t="s">
        <v>2337</v>
      </c>
      <c r="C2042" s="0" t="s">
        <v>4369</v>
      </c>
      <c r="E2042" s="0" t="s">
        <v>1479</v>
      </c>
    </row>
    <row r="2043" customFormat="false" ht="15" hidden="false" customHeight="false" outlineLevel="0" collapsed="false">
      <c r="A2043" s="0" t="s">
        <v>58</v>
      </c>
      <c r="B2043" s="0" t="s">
        <v>2343</v>
      </c>
      <c r="C2043" s="0" t="s">
        <v>4370</v>
      </c>
      <c r="E2043" s="0" t="s">
        <v>1479</v>
      </c>
    </row>
    <row r="2044" customFormat="false" ht="15" hidden="false" customHeight="false" outlineLevel="0" collapsed="false">
      <c r="A2044" s="0" t="s">
        <v>58</v>
      </c>
      <c r="B2044" s="0" t="s">
        <v>2345</v>
      </c>
      <c r="C2044" s="0" t="s">
        <v>4371</v>
      </c>
      <c r="E2044" s="0" t="s">
        <v>1479</v>
      </c>
    </row>
    <row r="2045" customFormat="false" ht="15" hidden="false" customHeight="false" outlineLevel="0" collapsed="false">
      <c r="A2045" s="0" t="s">
        <v>58</v>
      </c>
      <c r="B2045" s="0" t="s">
        <v>1909</v>
      </c>
      <c r="C2045" s="0" t="s">
        <v>4372</v>
      </c>
      <c r="E2045" s="0" t="s">
        <v>1479</v>
      </c>
    </row>
    <row r="2046" customFormat="false" ht="15" hidden="false" customHeight="false" outlineLevel="0" collapsed="false">
      <c r="A2046" s="0" t="s">
        <v>58</v>
      </c>
      <c r="B2046" s="0" t="s">
        <v>1518</v>
      </c>
      <c r="C2046" s="0" t="s">
        <v>4373</v>
      </c>
      <c r="E2046" s="0" t="s">
        <v>1479</v>
      </c>
    </row>
    <row r="2047" customFormat="false" ht="15" hidden="false" customHeight="false" outlineLevel="0" collapsed="false">
      <c r="A2047" s="0" t="s">
        <v>58</v>
      </c>
      <c r="B2047" s="0" t="s">
        <v>1912</v>
      </c>
      <c r="C2047" s="0" t="s">
        <v>4374</v>
      </c>
      <c r="E2047" s="0" t="s">
        <v>1479</v>
      </c>
    </row>
    <row r="2048" customFormat="false" ht="15" hidden="false" customHeight="false" outlineLevel="0" collapsed="false">
      <c r="A2048" s="0" t="s">
        <v>58</v>
      </c>
      <c r="B2048" s="0" t="s">
        <v>1521</v>
      </c>
      <c r="C2048" s="0" t="s">
        <v>4375</v>
      </c>
      <c r="E2048" s="0" t="s">
        <v>1479</v>
      </c>
    </row>
    <row r="2049" customFormat="false" ht="15" hidden="false" customHeight="false" outlineLevel="0" collapsed="false">
      <c r="A2049" s="0" t="s">
        <v>58</v>
      </c>
      <c r="B2049" s="0" t="s">
        <v>1524</v>
      </c>
      <c r="C2049" s="0" t="s">
        <v>4376</v>
      </c>
      <c r="E2049" s="0" t="s">
        <v>1479</v>
      </c>
    </row>
    <row r="2050" customFormat="false" ht="15" hidden="false" customHeight="false" outlineLevel="0" collapsed="false">
      <c r="A2050" s="0" t="s">
        <v>58</v>
      </c>
      <c r="B2050" s="0" t="s">
        <v>1527</v>
      </c>
      <c r="C2050" s="0" t="s">
        <v>4377</v>
      </c>
      <c r="E2050" s="0" t="s">
        <v>1479</v>
      </c>
    </row>
    <row r="2051" customFormat="false" ht="15" hidden="false" customHeight="false" outlineLevel="0" collapsed="false">
      <c r="A2051" s="0" t="s">
        <v>58</v>
      </c>
      <c r="B2051" s="0" t="s">
        <v>2926</v>
      </c>
      <c r="C2051" s="0" t="s">
        <v>4378</v>
      </c>
      <c r="E2051" s="0" t="s">
        <v>1479</v>
      </c>
    </row>
    <row r="2052" customFormat="false" ht="15" hidden="false" customHeight="false" outlineLevel="0" collapsed="false">
      <c r="A2052" s="0" t="s">
        <v>58</v>
      </c>
      <c r="B2052" s="0" t="s">
        <v>2930</v>
      </c>
      <c r="C2052" s="0" t="s">
        <v>4379</v>
      </c>
      <c r="E2052" s="0" t="s">
        <v>1479</v>
      </c>
    </row>
    <row r="2053" customFormat="false" ht="15" hidden="false" customHeight="false" outlineLevel="0" collapsed="false">
      <c r="A2053" s="0" t="s">
        <v>58</v>
      </c>
      <c r="B2053" s="0" t="s">
        <v>3506</v>
      </c>
      <c r="C2053" s="0" t="s">
        <v>4380</v>
      </c>
      <c r="E2053" s="0" t="s">
        <v>1479</v>
      </c>
    </row>
    <row r="2054" customFormat="false" ht="15" hidden="false" customHeight="false" outlineLevel="0" collapsed="false">
      <c r="A2054" s="0" t="s">
        <v>60</v>
      </c>
      <c r="B2054" s="0" t="s">
        <v>509</v>
      </c>
      <c r="C2054" s="0" t="s">
        <v>4381</v>
      </c>
      <c r="E2054" s="0" t="s">
        <v>4382</v>
      </c>
    </row>
    <row r="2055" customFormat="false" ht="15" hidden="false" customHeight="false" outlineLevel="0" collapsed="false">
      <c r="A2055" s="0" t="s">
        <v>60</v>
      </c>
      <c r="B2055" s="0" t="s">
        <v>1867</v>
      </c>
      <c r="C2055" s="0" t="s">
        <v>4383</v>
      </c>
      <c r="E2055" s="0" t="s">
        <v>4384</v>
      </c>
    </row>
    <row r="2056" customFormat="false" ht="15" hidden="false" customHeight="false" outlineLevel="0" collapsed="false">
      <c r="A2056" s="0" t="s">
        <v>60</v>
      </c>
      <c r="B2056" s="0" t="s">
        <v>2117</v>
      </c>
      <c r="C2056" s="0" t="s">
        <v>4385</v>
      </c>
      <c r="E2056" s="0" t="s">
        <v>4386</v>
      </c>
    </row>
    <row r="2057" customFormat="false" ht="15" hidden="false" customHeight="false" outlineLevel="0" collapsed="false">
      <c r="A2057" s="0" t="s">
        <v>60</v>
      </c>
      <c r="B2057" s="0" t="s">
        <v>2120</v>
      </c>
      <c r="C2057" s="0" t="s">
        <v>4387</v>
      </c>
      <c r="E2057" s="0" t="s">
        <v>4388</v>
      </c>
    </row>
    <row r="2058" customFormat="false" ht="15" hidden="false" customHeight="false" outlineLevel="0" collapsed="false">
      <c r="A2058" s="0" t="s">
        <v>60</v>
      </c>
      <c r="B2058" s="0" t="s">
        <v>2123</v>
      </c>
      <c r="C2058" s="0" t="s">
        <v>4389</v>
      </c>
      <c r="E2058" s="0" t="s">
        <v>4390</v>
      </c>
    </row>
    <row r="2059" customFormat="false" ht="15" hidden="false" customHeight="false" outlineLevel="0" collapsed="false">
      <c r="A2059" s="0" t="s">
        <v>60</v>
      </c>
      <c r="B2059" s="0" t="s">
        <v>2126</v>
      </c>
      <c r="C2059" s="0" t="s">
        <v>4391</v>
      </c>
      <c r="E2059" s="0" t="s">
        <v>4392</v>
      </c>
    </row>
    <row r="2060" customFormat="false" ht="15" hidden="false" customHeight="false" outlineLevel="0" collapsed="false">
      <c r="A2060" s="0" t="s">
        <v>60</v>
      </c>
      <c r="B2060" s="0" t="s">
        <v>2145</v>
      </c>
      <c r="C2060" s="0" t="s">
        <v>4393</v>
      </c>
      <c r="E2060" s="0" t="s">
        <v>4394</v>
      </c>
    </row>
    <row r="2061" customFormat="false" ht="15" hidden="false" customHeight="false" outlineLevel="0" collapsed="false">
      <c r="A2061" s="0" t="s">
        <v>60</v>
      </c>
      <c r="B2061" s="0" t="s">
        <v>1870</v>
      </c>
      <c r="C2061" s="0" t="s">
        <v>4395</v>
      </c>
      <c r="E2061" s="0" t="s">
        <v>4388</v>
      </c>
    </row>
    <row r="2062" customFormat="false" ht="15" hidden="false" customHeight="false" outlineLevel="0" collapsed="false">
      <c r="A2062" s="0" t="s">
        <v>60</v>
      </c>
      <c r="B2062" s="0" t="s">
        <v>2148</v>
      </c>
      <c r="C2062" s="0" t="s">
        <v>4396</v>
      </c>
      <c r="E2062" s="0" t="s">
        <v>4386</v>
      </c>
    </row>
    <row r="2063" customFormat="false" ht="15" hidden="false" customHeight="false" outlineLevel="0" collapsed="false">
      <c r="A2063" s="0" t="s">
        <v>60</v>
      </c>
      <c r="B2063" s="0" t="s">
        <v>2150</v>
      </c>
      <c r="C2063" s="0" t="s">
        <v>4397</v>
      </c>
      <c r="E2063" s="0" t="s">
        <v>4398</v>
      </c>
    </row>
    <row r="2064" customFormat="false" ht="15" hidden="false" customHeight="false" outlineLevel="0" collapsed="false">
      <c r="A2064" s="0" t="s">
        <v>60</v>
      </c>
      <c r="B2064" s="0" t="s">
        <v>2153</v>
      </c>
      <c r="C2064" s="0" t="s">
        <v>4399</v>
      </c>
      <c r="E2064" s="0" t="s">
        <v>4400</v>
      </c>
    </row>
    <row r="2065" customFormat="false" ht="15" hidden="false" customHeight="false" outlineLevel="0" collapsed="false">
      <c r="A2065" s="0" t="s">
        <v>60</v>
      </c>
      <c r="B2065" s="0" t="s">
        <v>2155</v>
      </c>
      <c r="C2065" s="0" t="s">
        <v>4401</v>
      </c>
      <c r="E2065" s="0" t="s">
        <v>4388</v>
      </c>
    </row>
    <row r="2066" customFormat="false" ht="15" hidden="false" customHeight="false" outlineLevel="0" collapsed="false">
      <c r="A2066" s="0" t="s">
        <v>60</v>
      </c>
      <c r="B2066" s="0" t="s">
        <v>2171</v>
      </c>
      <c r="C2066" s="0" t="s">
        <v>4402</v>
      </c>
      <c r="E2066" s="0" t="s">
        <v>4403</v>
      </c>
    </row>
    <row r="2067" customFormat="false" ht="15" hidden="false" customHeight="false" outlineLevel="0" collapsed="false">
      <c r="A2067" s="0" t="s">
        <v>60</v>
      </c>
      <c r="B2067" s="0" t="s">
        <v>1471</v>
      </c>
      <c r="C2067" s="0" t="s">
        <v>4404</v>
      </c>
      <c r="E2067" s="0" t="s">
        <v>4127</v>
      </c>
    </row>
    <row r="2068" customFormat="false" ht="15" hidden="false" customHeight="false" outlineLevel="0" collapsed="false">
      <c r="A2068" s="0" t="s">
        <v>60</v>
      </c>
      <c r="B2068" s="0" t="s">
        <v>2174</v>
      </c>
      <c r="C2068" s="0" t="s">
        <v>4405</v>
      </c>
      <c r="E2068" s="0" t="s">
        <v>4406</v>
      </c>
    </row>
    <row r="2069" customFormat="false" ht="15" hidden="false" customHeight="false" outlineLevel="0" collapsed="false">
      <c r="A2069" s="0" t="s">
        <v>60</v>
      </c>
      <c r="B2069" s="0" t="s">
        <v>1474</v>
      </c>
      <c r="C2069" s="0" t="s">
        <v>4407</v>
      </c>
      <c r="E2069" s="0" t="s">
        <v>4408</v>
      </c>
    </row>
    <row r="2070" customFormat="false" ht="15" hidden="false" customHeight="false" outlineLevel="0" collapsed="false">
      <c r="A2070" s="0" t="s">
        <v>60</v>
      </c>
      <c r="B2070" s="0" t="s">
        <v>1477</v>
      </c>
      <c r="C2070" s="0" t="s">
        <v>4409</v>
      </c>
      <c r="E2070" s="0" t="s">
        <v>4386</v>
      </c>
    </row>
    <row r="2071" customFormat="false" ht="15" hidden="false" customHeight="false" outlineLevel="0" collapsed="false">
      <c r="A2071" s="0" t="s">
        <v>60</v>
      </c>
      <c r="B2071" s="0" t="s">
        <v>2179</v>
      </c>
      <c r="C2071" s="0" t="s">
        <v>4410</v>
      </c>
      <c r="E2071" s="0" t="s">
        <v>4392</v>
      </c>
    </row>
    <row r="2072" customFormat="false" ht="15" hidden="false" customHeight="false" outlineLevel="0" collapsed="false">
      <c r="A2072" s="0" t="s">
        <v>60</v>
      </c>
      <c r="B2072" s="0" t="s">
        <v>2194</v>
      </c>
      <c r="C2072" s="0" t="s">
        <v>4411</v>
      </c>
      <c r="E2072" s="0" t="s">
        <v>1479</v>
      </c>
    </row>
    <row r="2073" customFormat="false" ht="15" hidden="false" customHeight="false" outlineLevel="0" collapsed="false">
      <c r="A2073" s="0" t="s">
        <v>60</v>
      </c>
      <c r="B2073" s="0" t="s">
        <v>1480</v>
      </c>
      <c r="C2073" s="0" t="s">
        <v>4412</v>
      </c>
      <c r="E2073" s="0" t="s">
        <v>1479</v>
      </c>
    </row>
    <row r="2074" customFormat="false" ht="15" hidden="false" customHeight="false" outlineLevel="0" collapsed="false">
      <c r="A2074" s="0" t="s">
        <v>60</v>
      </c>
      <c r="B2074" s="0" t="s">
        <v>2197</v>
      </c>
      <c r="C2074" s="0" t="s">
        <v>4413</v>
      </c>
      <c r="E2074" s="0" t="s">
        <v>1479</v>
      </c>
    </row>
    <row r="2075" customFormat="false" ht="15" hidden="false" customHeight="false" outlineLevel="0" collapsed="false">
      <c r="A2075" s="0" t="s">
        <v>60</v>
      </c>
      <c r="B2075" s="0" t="s">
        <v>1483</v>
      </c>
      <c r="C2075" s="0" t="s">
        <v>4414</v>
      </c>
      <c r="E2075" s="0" t="s">
        <v>1479</v>
      </c>
    </row>
    <row r="2076" customFormat="false" ht="15" hidden="false" customHeight="false" outlineLevel="0" collapsed="false">
      <c r="A2076" s="0" t="s">
        <v>60</v>
      </c>
      <c r="B2076" s="0" t="s">
        <v>1486</v>
      </c>
      <c r="C2076" s="0" t="s">
        <v>4415</v>
      </c>
      <c r="E2076" s="0" t="s">
        <v>1479</v>
      </c>
    </row>
    <row r="2077" customFormat="false" ht="15" hidden="false" customHeight="false" outlineLevel="0" collapsed="false">
      <c r="A2077" s="0" t="s">
        <v>60</v>
      </c>
      <c r="B2077" s="0" t="s">
        <v>2203</v>
      </c>
      <c r="C2077" s="0" t="s">
        <v>4416</v>
      </c>
      <c r="E2077" s="0" t="s">
        <v>1479</v>
      </c>
    </row>
    <row r="2078" customFormat="false" ht="15" hidden="false" customHeight="false" outlineLevel="0" collapsed="false">
      <c r="A2078" s="0" t="s">
        <v>60</v>
      </c>
      <c r="B2078" s="0" t="s">
        <v>2218</v>
      </c>
      <c r="C2078" s="0" t="s">
        <v>4417</v>
      </c>
      <c r="E2078" s="0" t="s">
        <v>1479</v>
      </c>
    </row>
    <row r="2079" customFormat="false" ht="15" hidden="false" customHeight="false" outlineLevel="0" collapsed="false">
      <c r="A2079" s="0" t="s">
        <v>60</v>
      </c>
      <c r="B2079" s="0" t="s">
        <v>1488</v>
      </c>
      <c r="C2079" s="0" t="s">
        <v>4418</v>
      </c>
      <c r="E2079" s="0" t="s">
        <v>1479</v>
      </c>
    </row>
    <row r="2080" customFormat="false" ht="15" hidden="false" customHeight="false" outlineLevel="0" collapsed="false">
      <c r="A2080" s="0" t="s">
        <v>60</v>
      </c>
      <c r="B2080" s="0" t="s">
        <v>2221</v>
      </c>
      <c r="C2080" s="0" t="s">
        <v>4419</v>
      </c>
      <c r="E2080" s="0" t="s">
        <v>1479</v>
      </c>
    </row>
    <row r="2081" customFormat="false" ht="15" hidden="false" customHeight="false" outlineLevel="0" collapsed="false">
      <c r="A2081" s="0" t="s">
        <v>60</v>
      </c>
      <c r="B2081" s="0" t="s">
        <v>1490</v>
      </c>
      <c r="C2081" s="0" t="s">
        <v>4420</v>
      </c>
      <c r="E2081" s="0" t="s">
        <v>1479</v>
      </c>
    </row>
    <row r="2082" customFormat="false" ht="15" hidden="false" customHeight="false" outlineLevel="0" collapsed="false">
      <c r="A2082" s="0" t="s">
        <v>60</v>
      </c>
      <c r="B2082" s="0" t="s">
        <v>1492</v>
      </c>
      <c r="C2082" s="0" t="s">
        <v>4421</v>
      </c>
      <c r="E2082" s="0" t="s">
        <v>1479</v>
      </c>
    </row>
    <row r="2083" customFormat="false" ht="15" hidden="false" customHeight="false" outlineLevel="0" collapsed="false">
      <c r="A2083" s="0" t="s">
        <v>60</v>
      </c>
      <c r="B2083" s="0" t="s">
        <v>2227</v>
      </c>
      <c r="C2083" s="0" t="s">
        <v>4422</v>
      </c>
      <c r="E2083" s="0" t="s">
        <v>1479</v>
      </c>
    </row>
    <row r="2084" customFormat="false" ht="15" hidden="false" customHeight="false" outlineLevel="0" collapsed="false">
      <c r="A2084" s="0" t="s">
        <v>60</v>
      </c>
      <c r="B2084" s="0" t="s">
        <v>2244</v>
      </c>
      <c r="C2084" s="0" t="s">
        <v>4423</v>
      </c>
      <c r="E2084" s="0" t="s">
        <v>1479</v>
      </c>
    </row>
    <row r="2085" customFormat="false" ht="15" hidden="false" customHeight="false" outlineLevel="0" collapsed="false">
      <c r="A2085" s="0" t="s">
        <v>60</v>
      </c>
      <c r="B2085" s="0" t="s">
        <v>1494</v>
      </c>
      <c r="C2085" s="0" t="s">
        <v>4424</v>
      </c>
      <c r="E2085" s="0" t="s">
        <v>1479</v>
      </c>
    </row>
    <row r="2086" customFormat="false" ht="15" hidden="false" customHeight="false" outlineLevel="0" collapsed="false">
      <c r="A2086" s="0" t="s">
        <v>60</v>
      </c>
      <c r="B2086" s="0" t="s">
        <v>2247</v>
      </c>
      <c r="C2086" s="0" t="s">
        <v>4425</v>
      </c>
      <c r="E2086" s="0" t="s">
        <v>1479</v>
      </c>
    </row>
    <row r="2087" customFormat="false" ht="15" hidden="false" customHeight="false" outlineLevel="0" collapsed="false">
      <c r="A2087" s="0" t="s">
        <v>60</v>
      </c>
      <c r="B2087" s="0" t="s">
        <v>1496</v>
      </c>
      <c r="C2087" s="0" t="s">
        <v>4426</v>
      </c>
      <c r="E2087" s="0" t="s">
        <v>1479</v>
      </c>
    </row>
    <row r="2088" customFormat="false" ht="15" hidden="false" customHeight="false" outlineLevel="0" collapsed="false">
      <c r="A2088" s="0" t="s">
        <v>60</v>
      </c>
      <c r="B2088" s="0" t="s">
        <v>1498</v>
      </c>
      <c r="C2088" s="0" t="s">
        <v>4427</v>
      </c>
      <c r="E2088" s="0" t="s">
        <v>1479</v>
      </c>
    </row>
    <row r="2089" customFormat="false" ht="15" hidden="false" customHeight="false" outlineLevel="0" collapsed="false">
      <c r="A2089" s="0" t="s">
        <v>60</v>
      </c>
      <c r="B2089" s="0" t="s">
        <v>2253</v>
      </c>
      <c r="C2089" s="0" t="s">
        <v>4428</v>
      </c>
      <c r="E2089" s="0" t="s">
        <v>1479</v>
      </c>
    </row>
    <row r="2090" customFormat="false" ht="15" hidden="false" customHeight="false" outlineLevel="0" collapsed="false">
      <c r="A2090" s="0" t="s">
        <v>60</v>
      </c>
      <c r="B2090" s="0" t="s">
        <v>1898</v>
      </c>
      <c r="C2090" s="0" t="s">
        <v>4429</v>
      </c>
      <c r="E2090" s="0" t="s">
        <v>4430</v>
      </c>
    </row>
    <row r="2091" customFormat="false" ht="15" hidden="false" customHeight="false" outlineLevel="0" collapsed="false">
      <c r="A2091" s="0" t="s">
        <v>60</v>
      </c>
      <c r="B2091" s="0" t="s">
        <v>2337</v>
      </c>
      <c r="C2091" s="0" t="s">
        <v>4431</v>
      </c>
      <c r="E2091" s="0" t="s">
        <v>1059</v>
      </c>
    </row>
    <row r="2092" customFormat="false" ht="15" hidden="false" customHeight="false" outlineLevel="0" collapsed="false">
      <c r="A2092" s="0" t="s">
        <v>60</v>
      </c>
      <c r="B2092" s="0" t="s">
        <v>2339</v>
      </c>
      <c r="C2092" s="0" t="s">
        <v>4432</v>
      </c>
      <c r="E2092" s="0" t="s">
        <v>1057</v>
      </c>
    </row>
    <row r="2093" customFormat="false" ht="15" hidden="false" customHeight="false" outlineLevel="0" collapsed="false">
      <c r="A2093" s="0" t="s">
        <v>60</v>
      </c>
      <c r="B2093" s="0" t="s">
        <v>2341</v>
      </c>
      <c r="C2093" s="0" t="s">
        <v>4433</v>
      </c>
      <c r="E2093" s="0" t="s">
        <v>4434</v>
      </c>
    </row>
    <row r="2094" customFormat="false" ht="15" hidden="false" customHeight="false" outlineLevel="0" collapsed="false">
      <c r="A2094" s="0" t="s">
        <v>60</v>
      </c>
      <c r="B2094" s="0" t="s">
        <v>2345</v>
      </c>
      <c r="C2094" s="0" t="s">
        <v>4435</v>
      </c>
      <c r="E2094" s="0" t="s">
        <v>4436</v>
      </c>
    </row>
    <row r="2095" customFormat="false" ht="15" hidden="false" customHeight="false" outlineLevel="0" collapsed="false">
      <c r="A2095" s="0" t="s">
        <v>60</v>
      </c>
      <c r="B2095" s="0" t="s">
        <v>1909</v>
      </c>
      <c r="C2095" s="0" t="s">
        <v>4437</v>
      </c>
      <c r="E2095" s="0" t="s">
        <v>4438</v>
      </c>
    </row>
    <row r="2096" customFormat="false" ht="15" hidden="false" customHeight="false" outlineLevel="0" collapsed="false">
      <c r="A2096" s="0" t="s">
        <v>60</v>
      </c>
      <c r="B2096" s="0" t="s">
        <v>2926</v>
      </c>
      <c r="C2096" s="0" t="s">
        <v>4439</v>
      </c>
      <c r="E2096" s="0" t="s">
        <v>1057</v>
      </c>
    </row>
    <row r="2097" customFormat="false" ht="15" hidden="false" customHeight="false" outlineLevel="0" collapsed="false">
      <c r="A2097" s="0" t="s">
        <v>60</v>
      </c>
      <c r="B2097" s="0" t="s">
        <v>2561</v>
      </c>
      <c r="C2097" s="0" t="s">
        <v>4440</v>
      </c>
      <c r="E2097" s="0" t="s">
        <v>1059</v>
      </c>
    </row>
    <row r="2098" customFormat="false" ht="15" hidden="false" customHeight="false" outlineLevel="0" collapsed="false">
      <c r="A2098" s="0" t="s">
        <v>60</v>
      </c>
      <c r="B2098" s="0" t="s">
        <v>2563</v>
      </c>
      <c r="C2098" s="0" t="s">
        <v>4441</v>
      </c>
      <c r="E2098" s="0" t="s">
        <v>1055</v>
      </c>
    </row>
    <row r="2099" customFormat="false" ht="15" hidden="false" customHeight="false" outlineLevel="0" collapsed="false">
      <c r="A2099" s="0" t="s">
        <v>60</v>
      </c>
      <c r="B2099" s="0" t="s">
        <v>3506</v>
      </c>
      <c r="C2099" s="0" t="s">
        <v>4442</v>
      </c>
      <c r="E2099" s="0" t="s">
        <v>4443</v>
      </c>
    </row>
    <row r="2100" customFormat="false" ht="15" hidden="false" customHeight="false" outlineLevel="0" collapsed="false">
      <c r="A2100" s="0" t="s">
        <v>60</v>
      </c>
      <c r="B2100" s="0" t="s">
        <v>1917</v>
      </c>
      <c r="C2100" s="0" t="s">
        <v>4444</v>
      </c>
      <c r="E2100" s="0" t="s">
        <v>4445</v>
      </c>
    </row>
    <row r="2101" customFormat="false" ht="15" hidden="false" customHeight="false" outlineLevel="0" collapsed="false">
      <c r="A2101" s="0" t="s">
        <v>60</v>
      </c>
      <c r="B2101" s="0" t="s">
        <v>3652</v>
      </c>
      <c r="C2101" s="0" t="s">
        <v>4446</v>
      </c>
      <c r="E2101" s="0" t="s">
        <v>1058</v>
      </c>
    </row>
    <row r="2102" customFormat="false" ht="15" hidden="false" customHeight="false" outlineLevel="0" collapsed="false">
      <c r="A2102" s="0" t="s">
        <v>60</v>
      </c>
      <c r="B2102" s="0" t="s">
        <v>2571</v>
      </c>
      <c r="C2102" s="0" t="s">
        <v>4447</v>
      </c>
      <c r="E2102" s="0" t="s">
        <v>1058</v>
      </c>
    </row>
    <row r="2103" customFormat="false" ht="15" hidden="false" customHeight="false" outlineLevel="0" collapsed="false">
      <c r="A2103" s="0" t="s">
        <v>60</v>
      </c>
      <c r="B2103" s="0" t="s">
        <v>2573</v>
      </c>
      <c r="C2103" s="0" t="s">
        <v>4448</v>
      </c>
      <c r="E2103" s="0" t="s">
        <v>1056</v>
      </c>
    </row>
    <row r="2104" customFormat="false" ht="15" hidden="false" customHeight="false" outlineLevel="0" collapsed="false">
      <c r="A2104" s="0" t="s">
        <v>60</v>
      </c>
      <c r="B2104" s="0" t="s">
        <v>3516</v>
      </c>
      <c r="C2104" s="0" t="s">
        <v>4449</v>
      </c>
      <c r="E2104" s="0" t="s">
        <v>4450</v>
      </c>
    </row>
    <row r="2105" customFormat="false" ht="15" hidden="false" customHeight="false" outlineLevel="0" collapsed="false">
      <c r="A2105" s="0" t="s">
        <v>60</v>
      </c>
      <c r="B2105" s="0" t="s">
        <v>1925</v>
      </c>
      <c r="C2105" s="0" t="s">
        <v>4451</v>
      </c>
      <c r="E2105" s="0" t="s">
        <v>4452</v>
      </c>
    </row>
    <row r="2106" customFormat="false" ht="15" hidden="false" customHeight="false" outlineLevel="0" collapsed="false">
      <c r="A2106" s="0" t="s">
        <v>60</v>
      </c>
      <c r="B2106" s="0" t="s">
        <v>3655</v>
      </c>
      <c r="C2106" s="0" t="s">
        <v>4453</v>
      </c>
      <c r="E2106" s="0" t="s">
        <v>1057</v>
      </c>
    </row>
    <row r="2107" customFormat="false" ht="15" hidden="false" customHeight="false" outlineLevel="0" collapsed="false">
      <c r="A2107" s="0" t="s">
        <v>60</v>
      </c>
      <c r="B2107" s="0" t="s">
        <v>2581</v>
      </c>
      <c r="C2107" s="0" t="s">
        <v>4454</v>
      </c>
      <c r="E2107" s="0" t="s">
        <v>1058</v>
      </c>
    </row>
    <row r="2108" customFormat="false" ht="15" hidden="false" customHeight="false" outlineLevel="0" collapsed="false">
      <c r="A2108" s="0" t="s">
        <v>60</v>
      </c>
      <c r="B2108" s="0" t="s">
        <v>2583</v>
      </c>
      <c r="C2108" s="0" t="s">
        <v>4455</v>
      </c>
      <c r="E2108" s="0" t="s">
        <v>3546</v>
      </c>
    </row>
    <row r="2109" customFormat="false" ht="15" hidden="false" customHeight="false" outlineLevel="0" collapsed="false">
      <c r="A2109" s="0" t="s">
        <v>60</v>
      </c>
      <c r="B2109" s="0" t="s">
        <v>3526</v>
      </c>
      <c r="C2109" s="0" t="s">
        <v>4456</v>
      </c>
      <c r="E2109" s="0" t="s">
        <v>4457</v>
      </c>
    </row>
    <row r="2110" customFormat="false" ht="15" hidden="false" customHeight="false" outlineLevel="0" collapsed="false">
      <c r="A2110" s="0" t="s">
        <v>60</v>
      </c>
      <c r="B2110" s="0" t="s">
        <v>2585</v>
      </c>
      <c r="C2110" s="0" t="s">
        <v>4458</v>
      </c>
      <c r="E2110" s="0" t="s">
        <v>1479</v>
      </c>
    </row>
    <row r="2111" customFormat="false" ht="15" hidden="false" customHeight="false" outlineLevel="0" collapsed="false">
      <c r="A2111" s="0" t="s">
        <v>60</v>
      </c>
      <c r="B2111" s="0" t="s">
        <v>3658</v>
      </c>
      <c r="C2111" s="0" t="s">
        <v>4459</v>
      </c>
      <c r="E2111" s="0" t="s">
        <v>1479</v>
      </c>
    </row>
    <row r="2112" customFormat="false" ht="15" hidden="false" customHeight="false" outlineLevel="0" collapsed="false">
      <c r="A2112" s="0" t="s">
        <v>60</v>
      </c>
      <c r="B2112" s="0" t="s">
        <v>2593</v>
      </c>
      <c r="C2112" s="0" t="s">
        <v>4460</v>
      </c>
      <c r="E2112" s="0" t="s">
        <v>1479</v>
      </c>
    </row>
    <row r="2113" customFormat="false" ht="15" hidden="false" customHeight="false" outlineLevel="0" collapsed="false">
      <c r="A2113" s="0" t="s">
        <v>60</v>
      </c>
      <c r="B2113" s="0" t="s">
        <v>2595</v>
      </c>
      <c r="C2113" s="0" t="s">
        <v>4461</v>
      </c>
      <c r="E2113" s="0" t="s">
        <v>1479</v>
      </c>
    </row>
    <row r="2114" customFormat="false" ht="15" hidden="false" customHeight="false" outlineLevel="0" collapsed="false">
      <c r="A2114" s="0" t="s">
        <v>60</v>
      </c>
      <c r="B2114" s="0" t="s">
        <v>3536</v>
      </c>
      <c r="C2114" s="0" t="s">
        <v>4462</v>
      </c>
      <c r="E2114" s="0" t="s">
        <v>1479</v>
      </c>
    </row>
    <row r="2115" customFormat="false" ht="15" hidden="false" customHeight="false" outlineLevel="0" collapsed="false">
      <c r="A2115" s="0" t="s">
        <v>60</v>
      </c>
      <c r="B2115" s="0" t="s">
        <v>2597</v>
      </c>
      <c r="C2115" s="0" t="s">
        <v>4463</v>
      </c>
      <c r="E2115" s="0" t="s">
        <v>1479</v>
      </c>
    </row>
    <row r="2116" customFormat="false" ht="15" hidden="false" customHeight="false" outlineLevel="0" collapsed="false">
      <c r="A2116" s="0" t="s">
        <v>60</v>
      </c>
      <c r="B2116" s="0" t="s">
        <v>4464</v>
      </c>
      <c r="C2116" s="0" t="s">
        <v>4465</v>
      </c>
      <c r="E2116" s="0" t="s">
        <v>1479</v>
      </c>
    </row>
    <row r="2117" customFormat="false" ht="15" hidden="false" customHeight="false" outlineLevel="0" collapsed="false">
      <c r="A2117" s="0" t="s">
        <v>60</v>
      </c>
      <c r="B2117" s="0" t="s">
        <v>2609</v>
      </c>
      <c r="C2117" s="0" t="s">
        <v>4466</v>
      </c>
      <c r="E2117" s="0" t="s">
        <v>1479</v>
      </c>
    </row>
    <row r="2118" customFormat="false" ht="15" hidden="false" customHeight="false" outlineLevel="0" collapsed="false">
      <c r="A2118" s="0" t="s">
        <v>60</v>
      </c>
      <c r="B2118" s="0" t="s">
        <v>2611</v>
      </c>
      <c r="C2118" s="0" t="s">
        <v>4467</v>
      </c>
      <c r="E2118" s="0" t="s">
        <v>1479</v>
      </c>
    </row>
    <row r="2119" customFormat="false" ht="15" hidden="false" customHeight="false" outlineLevel="0" collapsed="false">
      <c r="A2119" s="0" t="s">
        <v>60</v>
      </c>
      <c r="B2119" s="0" t="s">
        <v>4468</v>
      </c>
      <c r="C2119" s="0" t="s">
        <v>4469</v>
      </c>
      <c r="E2119" s="0" t="s">
        <v>1479</v>
      </c>
    </row>
    <row r="2120" customFormat="false" ht="15" hidden="false" customHeight="false" outlineLevel="0" collapsed="false">
      <c r="A2120" s="0" t="s">
        <v>60</v>
      </c>
      <c r="B2120" s="0" t="s">
        <v>2613</v>
      </c>
      <c r="C2120" s="0" t="s">
        <v>4470</v>
      </c>
      <c r="E2120" s="0" t="s">
        <v>1479</v>
      </c>
    </row>
    <row r="2121" customFormat="false" ht="15" hidden="false" customHeight="false" outlineLevel="0" collapsed="false">
      <c r="A2121" s="0" t="s">
        <v>60</v>
      </c>
      <c r="B2121" s="0" t="s">
        <v>4471</v>
      </c>
      <c r="C2121" s="0" t="s">
        <v>4472</v>
      </c>
      <c r="E2121" s="0" t="s">
        <v>1479</v>
      </c>
    </row>
    <row r="2122" customFormat="false" ht="15" hidden="false" customHeight="false" outlineLevel="0" collapsed="false">
      <c r="A2122" s="0" t="s">
        <v>60</v>
      </c>
      <c r="B2122" s="0" t="s">
        <v>2625</v>
      </c>
      <c r="C2122" s="0" t="s">
        <v>4473</v>
      </c>
      <c r="E2122" s="0" t="s">
        <v>1479</v>
      </c>
    </row>
    <row r="2123" customFormat="false" ht="15" hidden="false" customHeight="false" outlineLevel="0" collapsed="false">
      <c r="A2123" s="0" t="s">
        <v>60</v>
      </c>
      <c r="B2123" s="0" t="s">
        <v>2627</v>
      </c>
      <c r="C2123" s="0" t="s">
        <v>4474</v>
      </c>
      <c r="E2123" s="0" t="s">
        <v>1479</v>
      </c>
    </row>
    <row r="2124" customFormat="false" ht="15" hidden="false" customHeight="false" outlineLevel="0" collapsed="false">
      <c r="A2124" s="0" t="s">
        <v>60</v>
      </c>
      <c r="B2124" s="0" t="s">
        <v>4475</v>
      </c>
      <c r="C2124" s="0" t="s">
        <v>4476</v>
      </c>
      <c r="E2124" s="0" t="s">
        <v>1479</v>
      </c>
    </row>
    <row r="2125" customFormat="false" ht="15" hidden="false" customHeight="false" outlineLevel="0" collapsed="false">
      <c r="A2125" s="0" t="s">
        <v>60</v>
      </c>
      <c r="B2125" s="0" t="s">
        <v>2629</v>
      </c>
      <c r="C2125" s="0" t="s">
        <v>4477</v>
      </c>
      <c r="E2125" s="0" t="s">
        <v>1479</v>
      </c>
    </row>
    <row r="2126" customFormat="false" ht="15" hidden="false" customHeight="false" outlineLevel="0" collapsed="false">
      <c r="A2126" s="0" t="s">
        <v>60</v>
      </c>
      <c r="B2126" s="0" t="s">
        <v>4478</v>
      </c>
      <c r="C2126" s="0" t="s">
        <v>4479</v>
      </c>
      <c r="E2126" s="0" t="s">
        <v>1479</v>
      </c>
    </row>
    <row r="2127" customFormat="false" ht="15" hidden="false" customHeight="false" outlineLevel="0" collapsed="false">
      <c r="A2127" s="0" t="s">
        <v>60</v>
      </c>
      <c r="B2127" s="0" t="s">
        <v>2639</v>
      </c>
      <c r="C2127" s="0" t="s">
        <v>4480</v>
      </c>
      <c r="E2127" s="0" t="s">
        <v>1479</v>
      </c>
    </row>
    <row r="2128" customFormat="false" ht="15" hidden="false" customHeight="false" outlineLevel="0" collapsed="false">
      <c r="A2128" s="0" t="s">
        <v>60</v>
      </c>
      <c r="B2128" s="0" t="s">
        <v>2641</v>
      </c>
      <c r="C2128" s="0" t="s">
        <v>4481</v>
      </c>
      <c r="E2128" s="0" t="s">
        <v>1479</v>
      </c>
    </row>
    <row r="2129" customFormat="false" ht="15" hidden="false" customHeight="false" outlineLevel="0" collapsed="false">
      <c r="A2129" s="0" t="s">
        <v>60</v>
      </c>
      <c r="B2129" s="0" t="s">
        <v>4482</v>
      </c>
      <c r="C2129" s="0" t="s">
        <v>4483</v>
      </c>
      <c r="E2129" s="0" t="s">
        <v>1479</v>
      </c>
    </row>
    <row r="2130" customFormat="false" ht="15" hidden="false" customHeight="false" outlineLevel="0" collapsed="false">
      <c r="A2130" s="0" t="s">
        <v>60</v>
      </c>
      <c r="B2130" s="0" t="s">
        <v>2643</v>
      </c>
      <c r="C2130" s="0" t="s">
        <v>4484</v>
      </c>
      <c r="E2130" s="0" t="s">
        <v>1479</v>
      </c>
    </row>
    <row r="2131" customFormat="false" ht="15" hidden="false" customHeight="false" outlineLevel="0" collapsed="false">
      <c r="A2131" s="0" t="s">
        <v>60</v>
      </c>
      <c r="B2131" s="0" t="s">
        <v>4485</v>
      </c>
      <c r="C2131" s="0" t="s">
        <v>4486</v>
      </c>
      <c r="E2131" s="0" t="s">
        <v>1479</v>
      </c>
    </row>
    <row r="2132" customFormat="false" ht="15" hidden="false" customHeight="false" outlineLevel="0" collapsed="false">
      <c r="A2132" s="0" t="s">
        <v>60</v>
      </c>
      <c r="B2132" s="0" t="s">
        <v>2653</v>
      </c>
      <c r="C2132" s="0" t="s">
        <v>4487</v>
      </c>
      <c r="E2132" s="0" t="s">
        <v>1479</v>
      </c>
    </row>
    <row r="2133" customFormat="false" ht="15" hidden="false" customHeight="false" outlineLevel="0" collapsed="false">
      <c r="A2133" s="0" t="s">
        <v>60</v>
      </c>
      <c r="B2133" s="0" t="s">
        <v>2655</v>
      </c>
      <c r="C2133" s="0" t="s">
        <v>4488</v>
      </c>
      <c r="E2133" s="0" t="s">
        <v>1479</v>
      </c>
    </row>
    <row r="2134" customFormat="false" ht="15" hidden="false" customHeight="false" outlineLevel="0" collapsed="false">
      <c r="A2134" s="0" t="s">
        <v>60</v>
      </c>
      <c r="B2134" s="0" t="s">
        <v>4489</v>
      </c>
      <c r="C2134" s="0" t="s">
        <v>4490</v>
      </c>
      <c r="E2134" s="0" t="s">
        <v>1479</v>
      </c>
    </row>
    <row r="2135" customFormat="false" ht="15" hidden="false" customHeight="false" outlineLevel="0" collapsed="false">
      <c r="A2135" s="0" t="s">
        <v>60</v>
      </c>
      <c r="B2135" s="0" t="s">
        <v>2657</v>
      </c>
      <c r="C2135" s="0" t="s">
        <v>4491</v>
      </c>
      <c r="E2135" s="0" t="s">
        <v>1479</v>
      </c>
    </row>
    <row r="2136" customFormat="false" ht="15" hidden="false" customHeight="false" outlineLevel="0" collapsed="false">
      <c r="A2136" s="0" t="s">
        <v>60</v>
      </c>
      <c r="B2136" s="0" t="s">
        <v>4492</v>
      </c>
      <c r="C2136" s="0" t="s">
        <v>4493</v>
      </c>
      <c r="E2136" s="0" t="s">
        <v>1479</v>
      </c>
    </row>
    <row r="2137" customFormat="false" ht="15" hidden="false" customHeight="false" outlineLevel="0" collapsed="false">
      <c r="A2137" s="0" t="s">
        <v>60</v>
      </c>
      <c r="B2137" s="0" t="s">
        <v>2667</v>
      </c>
      <c r="C2137" s="0" t="s">
        <v>4494</v>
      </c>
      <c r="E2137" s="0" t="s">
        <v>1479</v>
      </c>
    </row>
    <row r="2138" customFormat="false" ht="15" hidden="false" customHeight="false" outlineLevel="0" collapsed="false">
      <c r="A2138" s="0" t="s">
        <v>60</v>
      </c>
      <c r="B2138" s="0" t="s">
        <v>2669</v>
      </c>
      <c r="C2138" s="0" t="s">
        <v>4495</v>
      </c>
      <c r="E2138" s="0" t="s">
        <v>1479</v>
      </c>
    </row>
    <row r="2139" customFormat="false" ht="15" hidden="false" customHeight="false" outlineLevel="0" collapsed="false">
      <c r="A2139" s="0" t="s">
        <v>60</v>
      </c>
      <c r="B2139" s="0" t="s">
        <v>4496</v>
      </c>
      <c r="C2139" s="0" t="s">
        <v>4497</v>
      </c>
      <c r="E2139" s="0" t="s">
        <v>1479</v>
      </c>
    </row>
    <row r="2140" customFormat="false" ht="15" hidden="false" customHeight="false" outlineLevel="0" collapsed="false">
      <c r="A2140" s="0" t="s">
        <v>62</v>
      </c>
      <c r="B2140" s="0" t="s">
        <v>506</v>
      </c>
      <c r="C2140" s="0" t="s">
        <v>4498</v>
      </c>
      <c r="E2140" s="0" t="s">
        <v>4499</v>
      </c>
    </row>
    <row r="2141" customFormat="false" ht="15" hidden="false" customHeight="false" outlineLevel="0" collapsed="false">
      <c r="A2141" s="0" t="s">
        <v>62</v>
      </c>
      <c r="B2141" s="0" t="s">
        <v>1864</v>
      </c>
      <c r="C2141" s="0" t="s">
        <v>4500</v>
      </c>
      <c r="E2141" s="0" t="s">
        <v>4388</v>
      </c>
    </row>
    <row r="2142" customFormat="false" ht="15" hidden="false" customHeight="false" outlineLevel="0" collapsed="false">
      <c r="A2142" s="0" t="s">
        <v>62</v>
      </c>
      <c r="B2142" s="0" t="s">
        <v>1468</v>
      </c>
      <c r="C2142" s="0" t="s">
        <v>4501</v>
      </c>
      <c r="E2142" s="0" t="s">
        <v>1055</v>
      </c>
    </row>
    <row r="2143" customFormat="false" ht="15" hidden="false" customHeight="false" outlineLevel="0" collapsed="false">
      <c r="A2143" s="0" t="s">
        <v>62</v>
      </c>
      <c r="B2143" s="0" t="s">
        <v>2438</v>
      </c>
      <c r="C2143" s="0" t="s">
        <v>4502</v>
      </c>
      <c r="E2143" s="0" t="s">
        <v>1062</v>
      </c>
    </row>
    <row r="2144" customFormat="false" ht="15" hidden="false" customHeight="false" outlineLevel="0" collapsed="false">
      <c r="A2144" s="0" t="s">
        <v>62</v>
      </c>
      <c r="B2144" s="0" t="s">
        <v>509</v>
      </c>
      <c r="C2144" s="0" t="s">
        <v>4503</v>
      </c>
      <c r="E2144" s="0" t="s">
        <v>4504</v>
      </c>
    </row>
    <row r="2145" customFormat="false" ht="15" hidden="false" customHeight="false" outlineLevel="0" collapsed="false">
      <c r="A2145" s="0" t="s">
        <v>62</v>
      </c>
      <c r="B2145" s="0" t="s">
        <v>1867</v>
      </c>
      <c r="C2145" s="0" t="s">
        <v>4505</v>
      </c>
      <c r="E2145" s="0" t="s">
        <v>4127</v>
      </c>
    </row>
    <row r="2146" customFormat="false" ht="15" hidden="false" customHeight="false" outlineLevel="0" collapsed="false">
      <c r="A2146" s="0" t="s">
        <v>62</v>
      </c>
      <c r="B2146" s="0" t="s">
        <v>2117</v>
      </c>
      <c r="C2146" s="0" t="s">
        <v>4506</v>
      </c>
      <c r="E2146" s="0" t="s">
        <v>1058</v>
      </c>
    </row>
    <row r="2147" customFormat="false" ht="15" hidden="false" customHeight="false" outlineLevel="0" collapsed="false">
      <c r="A2147" s="0" t="s">
        <v>62</v>
      </c>
      <c r="B2147" s="0" t="s">
        <v>2120</v>
      </c>
      <c r="C2147" s="0" t="s">
        <v>4507</v>
      </c>
      <c r="E2147" s="0" t="s">
        <v>1068</v>
      </c>
    </row>
    <row r="2148" customFormat="false" ht="15" hidden="false" customHeight="false" outlineLevel="0" collapsed="false">
      <c r="A2148" s="0" t="s">
        <v>62</v>
      </c>
      <c r="B2148" s="0" t="s">
        <v>2145</v>
      </c>
      <c r="C2148" s="0" t="s">
        <v>4508</v>
      </c>
      <c r="E2148" s="0" t="s">
        <v>4509</v>
      </c>
    </row>
    <row r="2149" customFormat="false" ht="15" hidden="false" customHeight="false" outlineLevel="0" collapsed="false">
      <c r="A2149" s="0" t="s">
        <v>62</v>
      </c>
      <c r="B2149" s="0" t="s">
        <v>1870</v>
      </c>
      <c r="C2149" s="0" t="s">
        <v>4510</v>
      </c>
      <c r="E2149" s="0" t="s">
        <v>4511</v>
      </c>
    </row>
    <row r="2150" customFormat="false" ht="15" hidden="false" customHeight="false" outlineLevel="0" collapsed="false">
      <c r="A2150" s="0" t="s">
        <v>62</v>
      </c>
      <c r="B2150" s="0" t="s">
        <v>2148</v>
      </c>
      <c r="C2150" s="0" t="s">
        <v>4512</v>
      </c>
      <c r="E2150" s="0" t="s">
        <v>1056</v>
      </c>
    </row>
    <row r="2151" customFormat="false" ht="15" hidden="false" customHeight="false" outlineLevel="0" collapsed="false">
      <c r="A2151" s="0" t="s">
        <v>62</v>
      </c>
      <c r="B2151" s="0" t="s">
        <v>2150</v>
      </c>
      <c r="C2151" s="0" t="s">
        <v>4513</v>
      </c>
      <c r="E2151" s="0" t="s">
        <v>1064</v>
      </c>
    </row>
    <row r="2152" customFormat="false" ht="15" hidden="false" customHeight="false" outlineLevel="0" collapsed="false">
      <c r="A2152" s="0" t="s">
        <v>62</v>
      </c>
      <c r="B2152" s="0" t="s">
        <v>2171</v>
      </c>
      <c r="C2152" s="0" t="s">
        <v>4514</v>
      </c>
      <c r="E2152" s="0" t="s">
        <v>4515</v>
      </c>
    </row>
    <row r="2153" customFormat="false" ht="15" hidden="false" customHeight="false" outlineLevel="0" collapsed="false">
      <c r="A2153" s="0" t="s">
        <v>62</v>
      </c>
      <c r="B2153" s="0" t="s">
        <v>1471</v>
      </c>
      <c r="C2153" s="0" t="s">
        <v>4516</v>
      </c>
      <c r="E2153" s="0" t="s">
        <v>4517</v>
      </c>
    </row>
    <row r="2154" customFormat="false" ht="15" hidden="false" customHeight="false" outlineLevel="0" collapsed="false">
      <c r="A2154" s="0" t="s">
        <v>62</v>
      </c>
      <c r="B2154" s="0" t="s">
        <v>2174</v>
      </c>
      <c r="C2154" s="0" t="s">
        <v>4518</v>
      </c>
      <c r="E2154" s="0" t="s">
        <v>1055</v>
      </c>
    </row>
    <row r="2155" customFormat="false" ht="15" hidden="false" customHeight="false" outlineLevel="0" collapsed="false">
      <c r="A2155" s="0" t="s">
        <v>62</v>
      </c>
      <c r="B2155" s="0" t="s">
        <v>1474</v>
      </c>
      <c r="C2155" s="0" t="s">
        <v>4519</v>
      </c>
      <c r="E2155" s="0" t="s">
        <v>1060</v>
      </c>
    </row>
    <row r="2156" customFormat="false" ht="15" hidden="false" customHeight="false" outlineLevel="0" collapsed="false">
      <c r="A2156" s="0" t="s">
        <v>62</v>
      </c>
      <c r="B2156" s="0" t="s">
        <v>2194</v>
      </c>
      <c r="C2156" s="0" t="s">
        <v>4520</v>
      </c>
      <c r="E2156" s="0" t="s">
        <v>1479</v>
      </c>
    </row>
    <row r="2157" customFormat="false" ht="15" hidden="false" customHeight="false" outlineLevel="0" collapsed="false">
      <c r="A2157" s="0" t="s">
        <v>62</v>
      </c>
      <c r="B2157" s="0" t="s">
        <v>1480</v>
      </c>
      <c r="C2157" s="0" t="s">
        <v>4521</v>
      </c>
      <c r="E2157" s="0" t="s">
        <v>1479</v>
      </c>
    </row>
    <row r="2158" customFormat="false" ht="15" hidden="false" customHeight="false" outlineLevel="0" collapsed="false">
      <c r="A2158" s="0" t="s">
        <v>62</v>
      </c>
      <c r="B2158" s="0" t="s">
        <v>2197</v>
      </c>
      <c r="C2158" s="0" t="s">
        <v>4522</v>
      </c>
      <c r="E2158" s="0" t="s">
        <v>1479</v>
      </c>
    </row>
    <row r="2159" customFormat="false" ht="15" hidden="false" customHeight="false" outlineLevel="0" collapsed="false">
      <c r="A2159" s="0" t="s">
        <v>62</v>
      </c>
      <c r="B2159" s="0" t="s">
        <v>1483</v>
      </c>
      <c r="C2159" s="0" t="s">
        <v>4523</v>
      </c>
      <c r="E2159" s="0" t="s">
        <v>1479</v>
      </c>
    </row>
    <row r="2160" customFormat="false" ht="15" hidden="false" customHeight="false" outlineLevel="0" collapsed="false">
      <c r="A2160" s="0" t="s">
        <v>62</v>
      </c>
      <c r="B2160" s="0" t="s">
        <v>2218</v>
      </c>
      <c r="C2160" s="0" t="s">
        <v>4524</v>
      </c>
      <c r="E2160" s="0" t="s">
        <v>1479</v>
      </c>
    </row>
    <row r="2161" customFormat="false" ht="15" hidden="false" customHeight="false" outlineLevel="0" collapsed="false">
      <c r="A2161" s="0" t="s">
        <v>62</v>
      </c>
      <c r="B2161" s="0" t="s">
        <v>1488</v>
      </c>
      <c r="C2161" s="0" t="s">
        <v>4525</v>
      </c>
      <c r="E2161" s="0" t="s">
        <v>1479</v>
      </c>
    </row>
    <row r="2162" customFormat="false" ht="15" hidden="false" customHeight="false" outlineLevel="0" collapsed="false">
      <c r="A2162" s="0" t="s">
        <v>62</v>
      </c>
      <c r="B2162" s="0" t="s">
        <v>2221</v>
      </c>
      <c r="C2162" s="0" t="s">
        <v>4526</v>
      </c>
      <c r="E2162" s="0" t="s">
        <v>1479</v>
      </c>
    </row>
    <row r="2163" customFormat="false" ht="15" hidden="false" customHeight="false" outlineLevel="0" collapsed="false">
      <c r="A2163" s="0" t="s">
        <v>62</v>
      </c>
      <c r="B2163" s="0" t="s">
        <v>1490</v>
      </c>
      <c r="C2163" s="0" t="s">
        <v>4527</v>
      </c>
      <c r="E2163" s="0" t="s">
        <v>1479</v>
      </c>
    </row>
    <row r="2164" customFormat="false" ht="15" hidden="false" customHeight="false" outlineLevel="0" collapsed="false">
      <c r="A2164" s="0" t="s">
        <v>62</v>
      </c>
      <c r="B2164" s="0" t="s">
        <v>2244</v>
      </c>
      <c r="C2164" s="0" t="s">
        <v>4528</v>
      </c>
      <c r="E2164" s="0" t="s">
        <v>1479</v>
      </c>
    </row>
    <row r="2165" customFormat="false" ht="15" hidden="false" customHeight="false" outlineLevel="0" collapsed="false">
      <c r="A2165" s="0" t="s">
        <v>62</v>
      </c>
      <c r="B2165" s="0" t="s">
        <v>1494</v>
      </c>
      <c r="C2165" s="0" t="s">
        <v>4529</v>
      </c>
      <c r="E2165" s="0" t="s">
        <v>1479</v>
      </c>
    </row>
    <row r="2166" customFormat="false" ht="15" hidden="false" customHeight="false" outlineLevel="0" collapsed="false">
      <c r="A2166" s="0" t="s">
        <v>62</v>
      </c>
      <c r="B2166" s="0" t="s">
        <v>2247</v>
      </c>
      <c r="C2166" s="0" t="s">
        <v>4530</v>
      </c>
      <c r="E2166" s="0" t="s">
        <v>1479</v>
      </c>
    </row>
    <row r="2167" customFormat="false" ht="15" hidden="false" customHeight="false" outlineLevel="0" collapsed="false">
      <c r="A2167" s="0" t="s">
        <v>62</v>
      </c>
      <c r="B2167" s="0" t="s">
        <v>1496</v>
      </c>
      <c r="C2167" s="0" t="s">
        <v>4531</v>
      </c>
      <c r="E2167" s="0" t="s">
        <v>1479</v>
      </c>
    </row>
    <row r="2168" customFormat="false" ht="15" hidden="false" customHeight="false" outlineLevel="0" collapsed="false">
      <c r="A2168" s="0" t="s">
        <v>62</v>
      </c>
      <c r="B2168" s="0" t="s">
        <v>2268</v>
      </c>
      <c r="C2168" s="0" t="s">
        <v>4532</v>
      </c>
      <c r="E2168" s="0" t="s">
        <v>1479</v>
      </c>
    </row>
    <row r="2169" customFormat="false" ht="15" hidden="false" customHeight="false" outlineLevel="0" collapsed="false">
      <c r="A2169" s="0" t="s">
        <v>62</v>
      </c>
      <c r="B2169" s="0" t="s">
        <v>1500</v>
      </c>
      <c r="C2169" s="0" t="s">
        <v>4533</v>
      </c>
      <c r="E2169" s="0" t="s">
        <v>1479</v>
      </c>
    </row>
    <row r="2170" customFormat="false" ht="15" hidden="false" customHeight="false" outlineLevel="0" collapsed="false">
      <c r="A2170" s="0" t="s">
        <v>62</v>
      </c>
      <c r="B2170" s="0" t="s">
        <v>2271</v>
      </c>
      <c r="C2170" s="0" t="s">
        <v>4534</v>
      </c>
      <c r="E2170" s="0" t="s">
        <v>1479</v>
      </c>
    </row>
    <row r="2171" customFormat="false" ht="15" hidden="false" customHeight="false" outlineLevel="0" collapsed="false">
      <c r="A2171" s="0" t="s">
        <v>62</v>
      </c>
      <c r="B2171" s="0" t="s">
        <v>1502</v>
      </c>
      <c r="C2171" s="0" t="s">
        <v>4535</v>
      </c>
      <c r="E2171" s="0" t="s">
        <v>1479</v>
      </c>
    </row>
    <row r="2172" customFormat="false" ht="15" hidden="false" customHeight="false" outlineLevel="0" collapsed="false">
      <c r="A2172" s="0" t="s">
        <v>62</v>
      </c>
      <c r="B2172" s="0" t="s">
        <v>2289</v>
      </c>
      <c r="C2172" s="0" t="s">
        <v>4536</v>
      </c>
      <c r="E2172" s="0" t="s">
        <v>1479</v>
      </c>
    </row>
    <row r="2173" customFormat="false" ht="15" hidden="false" customHeight="false" outlineLevel="0" collapsed="false">
      <c r="A2173" s="0" t="s">
        <v>62</v>
      </c>
      <c r="B2173" s="0" t="s">
        <v>2291</v>
      </c>
      <c r="C2173" s="0" t="s">
        <v>4537</v>
      </c>
      <c r="E2173" s="0" t="s">
        <v>1479</v>
      </c>
    </row>
    <row r="2174" customFormat="false" ht="15" hidden="false" customHeight="false" outlineLevel="0" collapsed="false">
      <c r="A2174" s="0" t="s">
        <v>62</v>
      </c>
      <c r="B2174" s="0" t="s">
        <v>2293</v>
      </c>
      <c r="C2174" s="0" t="s">
        <v>4538</v>
      </c>
      <c r="E2174" s="0" t="s">
        <v>1479</v>
      </c>
    </row>
    <row r="2175" customFormat="false" ht="15" hidden="false" customHeight="false" outlineLevel="0" collapsed="false">
      <c r="A2175" s="0" t="s">
        <v>62</v>
      </c>
      <c r="B2175" s="0" t="s">
        <v>2295</v>
      </c>
      <c r="C2175" s="0" t="s">
        <v>4539</v>
      </c>
      <c r="E2175" s="0" t="s">
        <v>1479</v>
      </c>
    </row>
    <row r="2176" customFormat="false" ht="15" hidden="false" customHeight="false" outlineLevel="0" collapsed="false">
      <c r="A2176" s="0" t="s">
        <v>62</v>
      </c>
      <c r="B2176" s="0" t="s">
        <v>1880</v>
      </c>
      <c r="C2176" s="0" t="s">
        <v>4540</v>
      </c>
      <c r="E2176" s="0" t="s">
        <v>1479</v>
      </c>
    </row>
    <row r="2177" customFormat="false" ht="15" hidden="false" customHeight="false" outlineLevel="0" collapsed="false">
      <c r="A2177" s="0" t="s">
        <v>62</v>
      </c>
      <c r="B2177" s="0" t="s">
        <v>1883</v>
      </c>
      <c r="C2177" s="0" t="s">
        <v>4541</v>
      </c>
      <c r="E2177" s="0" t="s">
        <v>1479</v>
      </c>
    </row>
    <row r="2178" customFormat="false" ht="15" hidden="false" customHeight="false" outlineLevel="0" collapsed="false">
      <c r="A2178" s="0" t="s">
        <v>62</v>
      </c>
      <c r="B2178" s="0" t="s">
        <v>1886</v>
      </c>
      <c r="C2178" s="0" t="s">
        <v>4542</v>
      </c>
      <c r="E2178" s="0" t="s">
        <v>1479</v>
      </c>
    </row>
    <row r="2179" customFormat="false" ht="15" hidden="false" customHeight="false" outlineLevel="0" collapsed="false">
      <c r="A2179" s="0" t="s">
        <v>62</v>
      </c>
      <c r="B2179" s="0" t="s">
        <v>1888</v>
      </c>
      <c r="C2179" s="0" t="s">
        <v>4543</v>
      </c>
      <c r="E2179" s="0" t="s">
        <v>1479</v>
      </c>
    </row>
    <row r="2180" customFormat="false" ht="15" hidden="false" customHeight="false" outlineLevel="0" collapsed="false">
      <c r="A2180" s="0" t="s">
        <v>62</v>
      </c>
      <c r="B2180" s="0" t="s">
        <v>1898</v>
      </c>
      <c r="C2180" s="0" t="s">
        <v>4544</v>
      </c>
      <c r="E2180" s="0" t="s">
        <v>1479</v>
      </c>
    </row>
    <row r="2181" customFormat="false" ht="15" hidden="false" customHeight="false" outlineLevel="0" collapsed="false">
      <c r="A2181" s="0" t="s">
        <v>62</v>
      </c>
      <c r="B2181" s="0" t="s">
        <v>1506</v>
      </c>
      <c r="C2181" s="0" t="s">
        <v>4545</v>
      </c>
      <c r="E2181" s="0" t="s">
        <v>1479</v>
      </c>
    </row>
    <row r="2182" customFormat="false" ht="15" hidden="false" customHeight="false" outlineLevel="0" collapsed="false">
      <c r="A2182" s="0" t="s">
        <v>62</v>
      </c>
      <c r="B2182" s="0" t="s">
        <v>1901</v>
      </c>
      <c r="C2182" s="0" t="s">
        <v>4546</v>
      </c>
      <c r="E2182" s="0" t="s">
        <v>1479</v>
      </c>
    </row>
    <row r="2183" customFormat="false" ht="15" hidden="false" customHeight="false" outlineLevel="0" collapsed="false">
      <c r="A2183" s="0" t="s">
        <v>62</v>
      </c>
      <c r="B2183" s="0" t="s">
        <v>1509</v>
      </c>
      <c r="C2183" s="0" t="s">
        <v>4547</v>
      </c>
      <c r="E2183" s="0" t="s">
        <v>1479</v>
      </c>
    </row>
    <row r="2184" customFormat="false" ht="15" hidden="false" customHeight="false" outlineLevel="0" collapsed="false">
      <c r="A2184" s="0" t="s">
        <v>62</v>
      </c>
      <c r="B2184" s="0" t="s">
        <v>1909</v>
      </c>
      <c r="C2184" s="0" t="s">
        <v>4548</v>
      </c>
      <c r="E2184" s="0" t="s">
        <v>1479</v>
      </c>
    </row>
    <row r="2185" customFormat="false" ht="15" hidden="false" customHeight="false" outlineLevel="0" collapsed="false">
      <c r="A2185" s="0" t="s">
        <v>62</v>
      </c>
      <c r="B2185" s="0" t="s">
        <v>1518</v>
      </c>
      <c r="C2185" s="0" t="s">
        <v>4549</v>
      </c>
      <c r="E2185" s="0" t="s">
        <v>1479</v>
      </c>
    </row>
    <row r="2186" customFormat="false" ht="15" hidden="false" customHeight="false" outlineLevel="0" collapsed="false">
      <c r="A2186" s="0" t="s">
        <v>62</v>
      </c>
      <c r="B2186" s="0" t="s">
        <v>1912</v>
      </c>
      <c r="C2186" s="0" t="s">
        <v>4550</v>
      </c>
      <c r="E2186" s="0" t="s">
        <v>1479</v>
      </c>
    </row>
    <row r="2187" customFormat="false" ht="15" hidden="false" customHeight="false" outlineLevel="0" collapsed="false">
      <c r="A2187" s="0" t="s">
        <v>62</v>
      </c>
      <c r="B2187" s="0" t="s">
        <v>1521</v>
      </c>
      <c r="C2187" s="0" t="s">
        <v>4551</v>
      </c>
      <c r="E2187" s="0" t="s">
        <v>1479</v>
      </c>
    </row>
    <row r="2188" customFormat="false" ht="15" hidden="false" customHeight="false" outlineLevel="0" collapsed="false">
      <c r="A2188" s="0" t="s">
        <v>62</v>
      </c>
      <c r="B2188" s="0" t="s">
        <v>2613</v>
      </c>
      <c r="C2188" s="0" t="s">
        <v>4552</v>
      </c>
      <c r="E2188" s="0" t="s">
        <v>4553</v>
      </c>
    </row>
    <row r="2189" customFormat="false" ht="15" hidden="false" customHeight="false" outlineLevel="0" collapsed="false">
      <c r="A2189" s="0" t="s">
        <v>62</v>
      </c>
      <c r="B2189" s="0" t="s">
        <v>2615</v>
      </c>
      <c r="C2189" s="0" t="s">
        <v>4554</v>
      </c>
      <c r="E2189" s="0" t="s">
        <v>4555</v>
      </c>
    </row>
    <row r="2190" customFormat="false" ht="15" hidden="false" customHeight="false" outlineLevel="0" collapsed="false">
      <c r="A2190" s="0" t="s">
        <v>62</v>
      </c>
      <c r="B2190" s="0" t="s">
        <v>2617</v>
      </c>
      <c r="C2190" s="0" t="s">
        <v>4556</v>
      </c>
      <c r="E2190" s="0" t="s">
        <v>4557</v>
      </c>
    </row>
    <row r="2191" customFormat="false" ht="15" hidden="false" customHeight="false" outlineLevel="0" collapsed="false">
      <c r="A2191" s="0" t="s">
        <v>62</v>
      </c>
      <c r="B2191" s="0" t="s">
        <v>2619</v>
      </c>
      <c r="C2191" s="0" t="s">
        <v>4558</v>
      </c>
      <c r="E2191" s="0" t="s">
        <v>1056</v>
      </c>
    </row>
    <row r="2192" customFormat="false" ht="15" hidden="false" customHeight="false" outlineLevel="0" collapsed="false">
      <c r="A2192" s="0" t="s">
        <v>62</v>
      </c>
      <c r="B2192" s="0" t="s">
        <v>2629</v>
      </c>
      <c r="C2192" s="0" t="s">
        <v>4559</v>
      </c>
      <c r="E2192" s="0" t="s">
        <v>4560</v>
      </c>
    </row>
    <row r="2193" customFormat="false" ht="15" hidden="false" customHeight="false" outlineLevel="0" collapsed="false">
      <c r="A2193" s="0" t="s">
        <v>62</v>
      </c>
      <c r="B2193" s="0" t="s">
        <v>1556</v>
      </c>
      <c r="C2193" s="0" t="s">
        <v>4561</v>
      </c>
      <c r="E2193" s="0" t="s">
        <v>4562</v>
      </c>
    </row>
    <row r="2194" customFormat="false" ht="15" hidden="false" customHeight="false" outlineLevel="0" collapsed="false">
      <c r="A2194" s="0" t="s">
        <v>62</v>
      </c>
      <c r="B2194" s="0" t="s">
        <v>2632</v>
      </c>
      <c r="C2194" s="0" t="s">
        <v>4563</v>
      </c>
      <c r="E2194" s="0" t="s">
        <v>4564</v>
      </c>
    </row>
    <row r="2195" customFormat="false" ht="15" hidden="false" customHeight="false" outlineLevel="0" collapsed="false">
      <c r="A2195" s="0" t="s">
        <v>62</v>
      </c>
      <c r="B2195" s="0" t="s">
        <v>1559</v>
      </c>
      <c r="C2195" s="0" t="s">
        <v>4565</v>
      </c>
      <c r="E2195" s="0" t="s">
        <v>1055</v>
      </c>
    </row>
    <row r="2196" customFormat="false" ht="15" hidden="false" customHeight="false" outlineLevel="0" collapsed="false">
      <c r="A2196" s="0" t="s">
        <v>62</v>
      </c>
      <c r="B2196" s="0" t="s">
        <v>2643</v>
      </c>
      <c r="C2196" s="0" t="s">
        <v>4566</v>
      </c>
      <c r="E2196" s="0" t="s">
        <v>4567</v>
      </c>
    </row>
    <row r="2197" customFormat="false" ht="15" hidden="false" customHeight="false" outlineLevel="0" collapsed="false">
      <c r="A2197" s="0" t="s">
        <v>62</v>
      </c>
      <c r="B2197" s="0" t="s">
        <v>1562</v>
      </c>
      <c r="C2197" s="0" t="s">
        <v>4568</v>
      </c>
      <c r="E2197" s="0" t="s">
        <v>4569</v>
      </c>
    </row>
    <row r="2198" customFormat="false" ht="15" hidden="false" customHeight="false" outlineLevel="0" collapsed="false">
      <c r="A2198" s="0" t="s">
        <v>62</v>
      </c>
      <c r="B2198" s="0" t="s">
        <v>2646</v>
      </c>
      <c r="C2198" s="0" t="s">
        <v>4570</v>
      </c>
      <c r="E2198" s="0" t="s">
        <v>4571</v>
      </c>
    </row>
    <row r="2199" customFormat="false" ht="15" hidden="false" customHeight="false" outlineLevel="0" collapsed="false">
      <c r="A2199" s="0" t="s">
        <v>62</v>
      </c>
      <c r="B2199" s="0" t="s">
        <v>1564</v>
      </c>
      <c r="C2199" s="0" t="s">
        <v>4572</v>
      </c>
      <c r="E2199" s="0" t="s">
        <v>4302</v>
      </c>
    </row>
    <row r="2200" customFormat="false" ht="15" hidden="false" customHeight="false" outlineLevel="0" collapsed="false">
      <c r="A2200" s="0" t="s">
        <v>62</v>
      </c>
      <c r="B2200" s="0" t="s">
        <v>2657</v>
      </c>
      <c r="C2200" s="0" t="s">
        <v>4573</v>
      </c>
      <c r="E2200" s="0" t="s">
        <v>1479</v>
      </c>
    </row>
    <row r="2201" customFormat="false" ht="15" hidden="false" customHeight="false" outlineLevel="0" collapsed="false">
      <c r="A2201" s="0" t="s">
        <v>62</v>
      </c>
      <c r="B2201" s="0" t="s">
        <v>1566</v>
      </c>
      <c r="C2201" s="0" t="s">
        <v>4574</v>
      </c>
      <c r="E2201" s="0" t="s">
        <v>1479</v>
      </c>
    </row>
    <row r="2202" customFormat="false" ht="15" hidden="false" customHeight="false" outlineLevel="0" collapsed="false">
      <c r="A2202" s="0" t="s">
        <v>62</v>
      </c>
      <c r="B2202" s="0" t="s">
        <v>2660</v>
      </c>
      <c r="C2202" s="0" t="s">
        <v>4575</v>
      </c>
      <c r="E2202" s="0" t="s">
        <v>1479</v>
      </c>
    </row>
    <row r="2203" customFormat="false" ht="15" hidden="false" customHeight="false" outlineLevel="0" collapsed="false">
      <c r="A2203" s="0" t="s">
        <v>62</v>
      </c>
      <c r="B2203" s="0" t="s">
        <v>1568</v>
      </c>
      <c r="C2203" s="0" t="s">
        <v>4576</v>
      </c>
      <c r="E2203" s="0" t="s">
        <v>1479</v>
      </c>
    </row>
    <row r="2204" customFormat="false" ht="15" hidden="false" customHeight="false" outlineLevel="0" collapsed="false">
      <c r="A2204" s="0" t="s">
        <v>62</v>
      </c>
      <c r="B2204" s="0" t="s">
        <v>2671</v>
      </c>
      <c r="C2204" s="0" t="s">
        <v>4577</v>
      </c>
      <c r="E2204" s="0" t="s">
        <v>1479</v>
      </c>
    </row>
    <row r="2205" customFormat="false" ht="15" hidden="false" customHeight="false" outlineLevel="0" collapsed="false">
      <c r="A2205" s="0" t="s">
        <v>62</v>
      </c>
      <c r="B2205" s="0" t="s">
        <v>1570</v>
      </c>
      <c r="C2205" s="0" t="s">
        <v>4578</v>
      </c>
      <c r="E2205" s="0" t="s">
        <v>1479</v>
      </c>
    </row>
    <row r="2206" customFormat="false" ht="15" hidden="false" customHeight="false" outlineLevel="0" collapsed="false">
      <c r="A2206" s="0" t="s">
        <v>62</v>
      </c>
      <c r="B2206" s="0" t="s">
        <v>2674</v>
      </c>
      <c r="C2206" s="0" t="s">
        <v>4579</v>
      </c>
      <c r="E2206" s="0" t="s">
        <v>1479</v>
      </c>
    </row>
    <row r="2207" customFormat="false" ht="15" hidden="false" customHeight="false" outlineLevel="0" collapsed="false">
      <c r="A2207" s="0" t="s">
        <v>62</v>
      </c>
      <c r="B2207" s="0" t="s">
        <v>1572</v>
      </c>
      <c r="C2207" s="0" t="s">
        <v>4580</v>
      </c>
      <c r="E2207" s="0" t="s">
        <v>1479</v>
      </c>
    </row>
    <row r="2208" customFormat="false" ht="15" hidden="false" customHeight="false" outlineLevel="0" collapsed="false">
      <c r="A2208" s="0" t="s">
        <v>62</v>
      </c>
      <c r="B2208" s="0" t="s">
        <v>2685</v>
      </c>
      <c r="C2208" s="0" t="s">
        <v>4581</v>
      </c>
      <c r="E2208" s="0" t="s">
        <v>1479</v>
      </c>
    </row>
    <row r="2209" customFormat="false" ht="15" hidden="false" customHeight="false" outlineLevel="0" collapsed="false">
      <c r="A2209" s="0" t="s">
        <v>62</v>
      </c>
      <c r="B2209" s="0" t="s">
        <v>1574</v>
      </c>
      <c r="C2209" s="0" t="s">
        <v>4582</v>
      </c>
      <c r="E2209" s="0" t="s">
        <v>1479</v>
      </c>
    </row>
    <row r="2210" customFormat="false" ht="15" hidden="false" customHeight="false" outlineLevel="0" collapsed="false">
      <c r="A2210" s="0" t="s">
        <v>62</v>
      </c>
      <c r="B2210" s="0" t="s">
        <v>2688</v>
      </c>
      <c r="C2210" s="0" t="s">
        <v>4583</v>
      </c>
      <c r="E2210" s="0" t="s">
        <v>1479</v>
      </c>
    </row>
    <row r="2211" customFormat="false" ht="15" hidden="false" customHeight="false" outlineLevel="0" collapsed="false">
      <c r="A2211" s="0" t="s">
        <v>62</v>
      </c>
      <c r="B2211" s="0" t="s">
        <v>1576</v>
      </c>
      <c r="C2211" s="0" t="s">
        <v>4584</v>
      </c>
      <c r="E2211" s="0" t="s">
        <v>1479</v>
      </c>
    </row>
    <row r="2212" customFormat="false" ht="15" hidden="false" customHeight="false" outlineLevel="0" collapsed="false">
      <c r="A2212" s="0" t="s">
        <v>62</v>
      </c>
      <c r="B2212" s="0" t="s">
        <v>1962</v>
      </c>
      <c r="C2212" s="0" t="s">
        <v>4585</v>
      </c>
      <c r="E2212" s="0" t="s">
        <v>4586</v>
      </c>
    </row>
    <row r="2213" customFormat="false" ht="15" hidden="false" customHeight="false" outlineLevel="0" collapsed="false">
      <c r="A2213" s="0" t="s">
        <v>62</v>
      </c>
      <c r="B2213" s="0" t="s">
        <v>1964</v>
      </c>
      <c r="C2213" s="0" t="s">
        <v>4587</v>
      </c>
      <c r="E2213" s="0" t="s">
        <v>4588</v>
      </c>
    </row>
    <row r="2214" customFormat="false" ht="15" hidden="false" customHeight="false" outlineLevel="0" collapsed="false">
      <c r="A2214" s="0" t="s">
        <v>62</v>
      </c>
      <c r="B2214" s="0" t="s">
        <v>1966</v>
      </c>
      <c r="C2214" s="0" t="s">
        <v>4589</v>
      </c>
      <c r="E2214" s="0" t="s">
        <v>4590</v>
      </c>
    </row>
    <row r="2215" customFormat="false" ht="15" hidden="false" customHeight="false" outlineLevel="0" collapsed="false">
      <c r="A2215" s="0" t="s">
        <v>62</v>
      </c>
      <c r="B2215" s="0" t="s">
        <v>1578</v>
      </c>
      <c r="C2215" s="0" t="s">
        <v>4591</v>
      </c>
      <c r="E2215" s="0" t="s">
        <v>4569</v>
      </c>
    </row>
    <row r="2216" customFormat="false" ht="15" hidden="false" customHeight="false" outlineLevel="0" collapsed="false">
      <c r="A2216" s="0" t="s">
        <v>62</v>
      </c>
      <c r="B2216" s="0" t="s">
        <v>3034</v>
      </c>
      <c r="C2216" s="0" t="s">
        <v>4592</v>
      </c>
      <c r="E2216" s="0" t="s">
        <v>4593</v>
      </c>
    </row>
    <row r="2217" customFormat="false" ht="15" hidden="false" customHeight="false" outlineLevel="0" collapsed="false">
      <c r="A2217" s="0" t="s">
        <v>62</v>
      </c>
      <c r="B2217" s="0" t="s">
        <v>3036</v>
      </c>
      <c r="C2217" s="0" t="s">
        <v>4594</v>
      </c>
      <c r="E2217" s="0" t="s">
        <v>4595</v>
      </c>
    </row>
    <row r="2218" customFormat="false" ht="15" hidden="false" customHeight="false" outlineLevel="0" collapsed="false">
      <c r="A2218" s="0" t="s">
        <v>62</v>
      </c>
      <c r="B2218" s="0" t="s">
        <v>2783</v>
      </c>
      <c r="C2218" s="0" t="s">
        <v>4596</v>
      </c>
      <c r="E2218" s="0" t="s">
        <v>4597</v>
      </c>
    </row>
    <row r="2219" customFormat="false" ht="15" hidden="false" customHeight="false" outlineLevel="0" collapsed="false">
      <c r="A2219" s="0" t="s">
        <v>62</v>
      </c>
      <c r="B2219" s="0" t="s">
        <v>1594</v>
      </c>
      <c r="C2219" s="0" t="s">
        <v>4598</v>
      </c>
      <c r="E2219" s="0" t="s">
        <v>4599</v>
      </c>
    </row>
    <row r="2220" customFormat="false" ht="15" hidden="false" customHeight="false" outlineLevel="0" collapsed="false">
      <c r="A2220" s="0" t="s">
        <v>62</v>
      </c>
      <c r="B2220" s="0" t="s">
        <v>3054</v>
      </c>
      <c r="C2220" s="0" t="s">
        <v>4600</v>
      </c>
      <c r="E2220" s="0" t="s">
        <v>1479</v>
      </c>
    </row>
    <row r="2221" customFormat="false" ht="15" hidden="false" customHeight="false" outlineLevel="0" collapsed="false">
      <c r="A2221" s="0" t="s">
        <v>62</v>
      </c>
      <c r="B2221" s="0" t="s">
        <v>3056</v>
      </c>
      <c r="C2221" s="0" t="s">
        <v>4601</v>
      </c>
      <c r="E2221" s="0" t="s">
        <v>1479</v>
      </c>
    </row>
    <row r="2222" customFormat="false" ht="15" hidden="false" customHeight="false" outlineLevel="0" collapsed="false">
      <c r="A2222" s="0" t="s">
        <v>62</v>
      </c>
      <c r="B2222" s="0" t="s">
        <v>3058</v>
      </c>
      <c r="C2222" s="0" t="s">
        <v>4602</v>
      </c>
      <c r="E2222" s="0" t="s">
        <v>1479</v>
      </c>
    </row>
    <row r="2223" customFormat="false" ht="15" hidden="false" customHeight="false" outlineLevel="0" collapsed="false">
      <c r="A2223" s="0" t="s">
        <v>62</v>
      </c>
      <c r="B2223" s="0" t="s">
        <v>1606</v>
      </c>
      <c r="C2223" s="0" t="s">
        <v>4603</v>
      </c>
      <c r="E2223" s="0" t="s">
        <v>1479</v>
      </c>
    </row>
    <row r="2224" customFormat="false" ht="15" hidden="false" customHeight="false" outlineLevel="0" collapsed="false">
      <c r="A2224" s="0" t="s">
        <v>62</v>
      </c>
      <c r="B2224" s="0" t="s">
        <v>3074</v>
      </c>
      <c r="C2224" s="0" t="s">
        <v>4604</v>
      </c>
      <c r="E2224" s="0" t="s">
        <v>1479</v>
      </c>
    </row>
    <row r="2225" customFormat="false" ht="15" hidden="false" customHeight="false" outlineLevel="0" collapsed="false">
      <c r="A2225" s="0" t="s">
        <v>62</v>
      </c>
      <c r="B2225" s="0" t="s">
        <v>2349</v>
      </c>
      <c r="C2225" s="0" t="s">
        <v>4605</v>
      </c>
      <c r="E2225" s="0" t="s">
        <v>1479</v>
      </c>
    </row>
    <row r="2226" customFormat="false" ht="15" hidden="false" customHeight="false" outlineLevel="0" collapsed="false">
      <c r="A2226" s="0" t="s">
        <v>62</v>
      </c>
      <c r="B2226" s="0" t="s">
        <v>2352</v>
      </c>
      <c r="C2226" s="0" t="s">
        <v>4606</v>
      </c>
      <c r="E2226" s="0" t="s">
        <v>1479</v>
      </c>
    </row>
    <row r="2227" customFormat="false" ht="15" hidden="false" customHeight="false" outlineLevel="0" collapsed="false">
      <c r="A2227" s="0" t="s">
        <v>62</v>
      </c>
      <c r="B2227" s="0" t="s">
        <v>1622</v>
      </c>
      <c r="C2227" s="0" t="s">
        <v>4607</v>
      </c>
      <c r="E2227" s="0" t="s">
        <v>1479</v>
      </c>
    </row>
    <row r="2228" customFormat="false" ht="15" hidden="false" customHeight="false" outlineLevel="0" collapsed="false">
      <c r="A2228" s="0" t="s">
        <v>64</v>
      </c>
      <c r="B2228" s="0" t="s">
        <v>506</v>
      </c>
      <c r="C2228" s="0" t="s">
        <v>4608</v>
      </c>
      <c r="D2228" s="0" t="s">
        <v>4609</v>
      </c>
      <c r="E2228" s="0" t="s">
        <v>4610</v>
      </c>
    </row>
    <row r="2229" customFormat="false" ht="15" hidden="false" customHeight="false" outlineLevel="0" collapsed="false">
      <c r="A2229" s="0" t="s">
        <v>64</v>
      </c>
      <c r="B2229" s="0" t="s">
        <v>1864</v>
      </c>
      <c r="C2229" s="0" t="s">
        <v>4611</v>
      </c>
      <c r="E2229" s="0" t="s">
        <v>4612</v>
      </c>
    </row>
    <row r="2230" customFormat="false" ht="15" hidden="false" customHeight="false" outlineLevel="0" collapsed="false">
      <c r="A2230" s="0" t="s">
        <v>64</v>
      </c>
      <c r="B2230" s="0" t="s">
        <v>1468</v>
      </c>
      <c r="C2230" s="0" t="s">
        <v>4613</v>
      </c>
      <c r="E2230" s="0" t="s">
        <v>4614</v>
      </c>
    </row>
    <row r="2231" customFormat="false" ht="15" hidden="false" customHeight="false" outlineLevel="0" collapsed="false">
      <c r="A2231" s="0" t="s">
        <v>64</v>
      </c>
      <c r="B2231" s="0" t="s">
        <v>2438</v>
      </c>
      <c r="C2231" s="0" t="s">
        <v>4615</v>
      </c>
      <c r="E2231" s="0" t="s">
        <v>4616</v>
      </c>
    </row>
    <row r="2232" customFormat="false" ht="15" hidden="false" customHeight="false" outlineLevel="0" collapsed="false">
      <c r="A2232" s="0" t="s">
        <v>64</v>
      </c>
      <c r="B2232" s="0" t="s">
        <v>2441</v>
      </c>
      <c r="C2232" s="0" t="s">
        <v>4617</v>
      </c>
      <c r="E2232" s="0" t="s">
        <v>4618</v>
      </c>
    </row>
    <row r="2233" customFormat="false" ht="15" hidden="false" customHeight="false" outlineLevel="0" collapsed="false">
      <c r="A2233" s="0" t="s">
        <v>64</v>
      </c>
      <c r="B2233" s="0" t="s">
        <v>2443</v>
      </c>
      <c r="C2233" s="0" t="s">
        <v>4619</v>
      </c>
      <c r="E2233" s="0" t="s">
        <v>2031</v>
      </c>
    </row>
    <row r="2234" customFormat="false" ht="15" hidden="false" customHeight="false" outlineLevel="0" collapsed="false">
      <c r="A2234" s="0" t="s">
        <v>64</v>
      </c>
      <c r="B2234" s="0" t="s">
        <v>2796</v>
      </c>
      <c r="C2234" s="0" t="s">
        <v>4620</v>
      </c>
      <c r="E2234" s="0" t="s">
        <v>2128</v>
      </c>
    </row>
    <row r="2235" customFormat="false" ht="15" hidden="false" customHeight="false" outlineLevel="0" collapsed="false">
      <c r="A2235" s="0" t="s">
        <v>64</v>
      </c>
      <c r="B2235" s="0" t="s">
        <v>2800</v>
      </c>
      <c r="C2235" s="0" t="s">
        <v>4621</v>
      </c>
      <c r="E2235" s="0" t="s">
        <v>4386</v>
      </c>
    </row>
    <row r="2236" customFormat="false" ht="15" hidden="false" customHeight="false" outlineLevel="0" collapsed="false">
      <c r="A2236" s="0" t="s">
        <v>64</v>
      </c>
      <c r="B2236" s="0" t="s">
        <v>3402</v>
      </c>
      <c r="C2236" s="0" t="s">
        <v>4622</v>
      </c>
      <c r="E2236" s="0" t="s">
        <v>4283</v>
      </c>
    </row>
    <row r="2237" customFormat="false" ht="15" hidden="false" customHeight="false" outlineLevel="0" collapsed="false">
      <c r="A2237" s="0" t="s">
        <v>64</v>
      </c>
      <c r="B2237" s="0" t="s">
        <v>2802</v>
      </c>
      <c r="C2237" s="0" t="s">
        <v>4623</v>
      </c>
      <c r="E2237" s="0" t="s">
        <v>4624</v>
      </c>
    </row>
    <row r="2238" customFormat="false" ht="15" hidden="false" customHeight="false" outlineLevel="0" collapsed="false">
      <c r="A2238" s="0" t="s">
        <v>64</v>
      </c>
      <c r="B2238" s="0" t="s">
        <v>509</v>
      </c>
      <c r="C2238" s="0" t="s">
        <v>4625</v>
      </c>
      <c r="D2238" s="0" t="s">
        <v>4609</v>
      </c>
      <c r="E2238" s="0" t="s">
        <v>4626</v>
      </c>
    </row>
    <row r="2239" customFormat="false" ht="15" hidden="false" customHeight="false" outlineLevel="0" collapsed="false">
      <c r="A2239" s="0" t="s">
        <v>64</v>
      </c>
      <c r="B2239" s="0" t="s">
        <v>1867</v>
      </c>
      <c r="C2239" s="0" t="s">
        <v>4627</v>
      </c>
      <c r="E2239" s="0" t="s">
        <v>4628</v>
      </c>
    </row>
    <row r="2240" customFormat="false" ht="15" hidden="false" customHeight="false" outlineLevel="0" collapsed="false">
      <c r="A2240" s="0" t="s">
        <v>64</v>
      </c>
      <c r="B2240" s="0" t="s">
        <v>2117</v>
      </c>
      <c r="C2240" s="0" t="s">
        <v>4629</v>
      </c>
      <c r="E2240" s="0" t="s">
        <v>4630</v>
      </c>
    </row>
    <row r="2241" customFormat="false" ht="15" hidden="false" customHeight="false" outlineLevel="0" collapsed="false">
      <c r="A2241" s="0" t="s">
        <v>64</v>
      </c>
      <c r="B2241" s="0" t="s">
        <v>2120</v>
      </c>
      <c r="C2241" s="0" t="s">
        <v>4631</v>
      </c>
      <c r="E2241" s="0" t="s">
        <v>4616</v>
      </c>
    </row>
    <row r="2242" customFormat="false" ht="15" hidden="false" customHeight="false" outlineLevel="0" collapsed="false">
      <c r="A2242" s="0" t="s">
        <v>64</v>
      </c>
      <c r="B2242" s="0" t="s">
        <v>2123</v>
      </c>
      <c r="C2242" s="0" t="s">
        <v>4632</v>
      </c>
      <c r="E2242" s="0" t="s">
        <v>4618</v>
      </c>
    </row>
    <row r="2243" customFormat="false" ht="15" hidden="false" customHeight="false" outlineLevel="0" collapsed="false">
      <c r="A2243" s="0" t="s">
        <v>64</v>
      </c>
      <c r="B2243" s="0" t="s">
        <v>2126</v>
      </c>
      <c r="C2243" s="0" t="s">
        <v>4633</v>
      </c>
      <c r="E2243" s="0" t="s">
        <v>4634</v>
      </c>
    </row>
    <row r="2244" customFormat="false" ht="15" hidden="false" customHeight="false" outlineLevel="0" collapsed="false">
      <c r="A2244" s="0" t="s">
        <v>64</v>
      </c>
      <c r="B2244" s="0" t="s">
        <v>2129</v>
      </c>
      <c r="C2244" s="0" t="s">
        <v>4635</v>
      </c>
      <c r="E2244" s="0" t="s">
        <v>4636</v>
      </c>
    </row>
    <row r="2245" customFormat="false" ht="15" hidden="false" customHeight="false" outlineLevel="0" collapsed="false">
      <c r="A2245" s="0" t="s">
        <v>64</v>
      </c>
      <c r="B2245" s="0" t="s">
        <v>2137</v>
      </c>
      <c r="C2245" s="0" t="s">
        <v>4637</v>
      </c>
      <c r="E2245" s="0" t="s">
        <v>4105</v>
      </c>
    </row>
    <row r="2246" customFormat="false" ht="15" hidden="false" customHeight="false" outlineLevel="0" collapsed="false">
      <c r="A2246" s="0" t="s">
        <v>64</v>
      </c>
      <c r="B2246" s="0" t="s">
        <v>2140</v>
      </c>
      <c r="C2246" s="0" t="s">
        <v>4638</v>
      </c>
      <c r="E2246" s="0" t="s">
        <v>4261</v>
      </c>
    </row>
    <row r="2247" customFormat="false" ht="15" hidden="false" customHeight="false" outlineLevel="0" collapsed="false">
      <c r="A2247" s="0" t="s">
        <v>64</v>
      </c>
      <c r="B2247" s="0" t="s">
        <v>2142</v>
      </c>
      <c r="C2247" s="0" t="s">
        <v>4639</v>
      </c>
      <c r="E2247" s="0" t="s">
        <v>4640</v>
      </c>
    </row>
    <row r="2248" customFormat="false" ht="15" hidden="false" customHeight="false" outlineLevel="0" collapsed="false">
      <c r="A2248" s="0" t="s">
        <v>64</v>
      </c>
      <c r="B2248" s="0" t="s">
        <v>2145</v>
      </c>
      <c r="C2248" s="0" t="s">
        <v>4641</v>
      </c>
      <c r="D2248" s="0" t="s">
        <v>4609</v>
      </c>
      <c r="E2248" s="0" t="s">
        <v>4642</v>
      </c>
    </row>
    <row r="2249" customFormat="false" ht="15" hidden="false" customHeight="false" outlineLevel="0" collapsed="false">
      <c r="A2249" s="0" t="s">
        <v>64</v>
      </c>
      <c r="B2249" s="0" t="s">
        <v>1870</v>
      </c>
      <c r="C2249" s="0" t="s">
        <v>4643</v>
      </c>
      <c r="E2249" s="0" t="s">
        <v>4644</v>
      </c>
    </row>
    <row r="2250" customFormat="false" ht="15" hidden="false" customHeight="false" outlineLevel="0" collapsed="false">
      <c r="A2250" s="0" t="s">
        <v>64</v>
      </c>
      <c r="B2250" s="0" t="s">
        <v>2148</v>
      </c>
      <c r="C2250" s="0" t="s">
        <v>4645</v>
      </c>
      <c r="E2250" s="0" t="s">
        <v>4646</v>
      </c>
    </row>
    <row r="2251" customFormat="false" ht="15" hidden="false" customHeight="false" outlineLevel="0" collapsed="false">
      <c r="A2251" s="0" t="s">
        <v>64</v>
      </c>
      <c r="B2251" s="0" t="s">
        <v>2150</v>
      </c>
      <c r="C2251" s="0" t="s">
        <v>4647</v>
      </c>
      <c r="E2251" s="0" t="s">
        <v>4648</v>
      </c>
    </row>
    <row r="2252" customFormat="false" ht="15" hidden="false" customHeight="false" outlineLevel="0" collapsed="false">
      <c r="A2252" s="0" t="s">
        <v>64</v>
      </c>
      <c r="B2252" s="0" t="s">
        <v>2153</v>
      </c>
      <c r="C2252" s="0" t="s">
        <v>4649</v>
      </c>
      <c r="E2252" s="0" t="s">
        <v>4618</v>
      </c>
    </row>
    <row r="2253" customFormat="false" ht="15" hidden="false" customHeight="false" outlineLevel="0" collapsed="false">
      <c r="A2253" s="0" t="s">
        <v>64</v>
      </c>
      <c r="B2253" s="0" t="s">
        <v>2155</v>
      </c>
      <c r="C2253" s="0" t="s">
        <v>4650</v>
      </c>
      <c r="E2253" s="0" t="s">
        <v>3927</v>
      </c>
    </row>
    <row r="2254" customFormat="false" ht="15" hidden="false" customHeight="false" outlineLevel="0" collapsed="false">
      <c r="A2254" s="0" t="s">
        <v>64</v>
      </c>
      <c r="B2254" s="0" t="s">
        <v>2157</v>
      </c>
      <c r="C2254" s="0" t="s">
        <v>4651</v>
      </c>
      <c r="E2254" s="0" t="s">
        <v>4652</v>
      </c>
    </row>
    <row r="2255" customFormat="false" ht="15" hidden="false" customHeight="false" outlineLevel="0" collapsed="false">
      <c r="A2255" s="0" t="s">
        <v>64</v>
      </c>
      <c r="B2255" s="0" t="s">
        <v>2164</v>
      </c>
      <c r="C2255" s="0" t="s">
        <v>4653</v>
      </c>
      <c r="E2255" s="0" t="s">
        <v>4127</v>
      </c>
    </row>
    <row r="2256" customFormat="false" ht="15" hidden="false" customHeight="false" outlineLevel="0" collapsed="false">
      <c r="A2256" s="0" t="s">
        <v>64</v>
      </c>
      <c r="B2256" s="0" t="s">
        <v>2166</v>
      </c>
      <c r="C2256" s="0" t="s">
        <v>4654</v>
      </c>
      <c r="E2256" s="0" t="s">
        <v>4274</v>
      </c>
    </row>
    <row r="2257" customFormat="false" ht="15" hidden="false" customHeight="false" outlineLevel="0" collapsed="false">
      <c r="A2257" s="0" t="s">
        <v>64</v>
      </c>
      <c r="B2257" s="0" t="s">
        <v>2168</v>
      </c>
      <c r="C2257" s="0" t="s">
        <v>4655</v>
      </c>
      <c r="E2257" s="0" t="s">
        <v>4656</v>
      </c>
    </row>
    <row r="2258" customFormat="false" ht="15" hidden="false" customHeight="false" outlineLevel="0" collapsed="false">
      <c r="A2258" s="0" t="s">
        <v>64</v>
      </c>
      <c r="B2258" s="0" t="s">
        <v>2171</v>
      </c>
      <c r="C2258" s="0" t="s">
        <v>4657</v>
      </c>
      <c r="D2258" s="0" t="s">
        <v>4609</v>
      </c>
      <c r="E2258" s="0" t="s">
        <v>4658</v>
      </c>
    </row>
    <row r="2259" customFormat="false" ht="15" hidden="false" customHeight="false" outlineLevel="0" collapsed="false">
      <c r="A2259" s="0" t="s">
        <v>64</v>
      </c>
      <c r="B2259" s="0" t="s">
        <v>1471</v>
      </c>
      <c r="C2259" s="0" t="s">
        <v>4659</v>
      </c>
      <c r="E2259" s="0" t="s">
        <v>4660</v>
      </c>
    </row>
    <row r="2260" customFormat="false" ht="15" hidden="false" customHeight="false" outlineLevel="0" collapsed="false">
      <c r="A2260" s="0" t="s">
        <v>64</v>
      </c>
      <c r="B2260" s="0" t="s">
        <v>2174</v>
      </c>
      <c r="C2260" s="0" t="s">
        <v>4661</v>
      </c>
      <c r="E2260" s="0" t="s">
        <v>4662</v>
      </c>
    </row>
    <row r="2261" customFormat="false" ht="15" hidden="false" customHeight="false" outlineLevel="0" collapsed="false">
      <c r="A2261" s="0" t="s">
        <v>64</v>
      </c>
      <c r="B2261" s="0" t="s">
        <v>1474</v>
      </c>
      <c r="C2261" s="0" t="s">
        <v>4663</v>
      </c>
      <c r="E2261" s="0" t="s">
        <v>4648</v>
      </c>
    </row>
    <row r="2262" customFormat="false" ht="15" hidden="false" customHeight="false" outlineLevel="0" collapsed="false">
      <c r="A2262" s="0" t="s">
        <v>64</v>
      </c>
      <c r="B2262" s="0" t="s">
        <v>1477</v>
      </c>
      <c r="C2262" s="0" t="s">
        <v>4664</v>
      </c>
      <c r="E2262" s="0" t="s">
        <v>4618</v>
      </c>
    </row>
    <row r="2263" customFormat="false" ht="15" hidden="false" customHeight="false" outlineLevel="0" collapsed="false">
      <c r="A2263" s="0" t="s">
        <v>64</v>
      </c>
      <c r="B2263" s="0" t="s">
        <v>2179</v>
      </c>
      <c r="C2263" s="0" t="s">
        <v>4665</v>
      </c>
      <c r="E2263" s="0" t="s">
        <v>4666</v>
      </c>
    </row>
    <row r="2264" customFormat="false" ht="15" hidden="false" customHeight="false" outlineLevel="0" collapsed="false">
      <c r="A2264" s="0" t="s">
        <v>64</v>
      </c>
      <c r="B2264" s="0" t="s">
        <v>2181</v>
      </c>
      <c r="C2264" s="0" t="s">
        <v>4667</v>
      </c>
      <c r="E2264" s="0" t="s">
        <v>4668</v>
      </c>
    </row>
    <row r="2265" customFormat="false" ht="15" hidden="false" customHeight="false" outlineLevel="0" collapsed="false">
      <c r="A2265" s="0" t="s">
        <v>64</v>
      </c>
      <c r="B2265" s="0" t="s">
        <v>2187</v>
      </c>
      <c r="C2265" s="0" t="s">
        <v>4669</v>
      </c>
      <c r="E2265" s="0" t="s">
        <v>4670</v>
      </c>
    </row>
    <row r="2266" customFormat="false" ht="15" hidden="false" customHeight="false" outlineLevel="0" collapsed="false">
      <c r="A2266" s="0" t="s">
        <v>64</v>
      </c>
      <c r="B2266" s="0" t="s">
        <v>2189</v>
      </c>
      <c r="C2266" s="0" t="s">
        <v>4671</v>
      </c>
      <c r="E2266" s="0" t="s">
        <v>4287</v>
      </c>
    </row>
    <row r="2267" customFormat="false" ht="15" hidden="false" customHeight="false" outlineLevel="0" collapsed="false">
      <c r="A2267" s="0" t="s">
        <v>64</v>
      </c>
      <c r="B2267" s="0" t="s">
        <v>2191</v>
      </c>
      <c r="C2267" s="0" t="s">
        <v>4672</v>
      </c>
      <c r="E2267" s="0" t="s">
        <v>4673</v>
      </c>
    </row>
    <row r="2268" customFormat="false" ht="15" hidden="false" customHeight="false" outlineLevel="0" collapsed="false">
      <c r="A2268" s="0" t="s">
        <v>64</v>
      </c>
      <c r="B2268" s="0" t="s">
        <v>2194</v>
      </c>
      <c r="C2268" s="0" t="s">
        <v>4674</v>
      </c>
      <c r="D2268" s="0" t="s">
        <v>4609</v>
      </c>
      <c r="E2268" s="0" t="s">
        <v>1479</v>
      </c>
    </row>
    <row r="2269" customFormat="false" ht="15" hidden="false" customHeight="false" outlineLevel="0" collapsed="false">
      <c r="A2269" s="0" t="s">
        <v>64</v>
      </c>
      <c r="B2269" s="0" t="s">
        <v>1480</v>
      </c>
      <c r="C2269" s="0" t="s">
        <v>4675</v>
      </c>
      <c r="E2269" s="0" t="s">
        <v>1479</v>
      </c>
    </row>
    <row r="2270" customFormat="false" ht="15" hidden="false" customHeight="false" outlineLevel="0" collapsed="false">
      <c r="A2270" s="0" t="s">
        <v>64</v>
      </c>
      <c r="B2270" s="0" t="s">
        <v>2197</v>
      </c>
      <c r="C2270" s="0" t="s">
        <v>4676</v>
      </c>
      <c r="E2270" s="0" t="s">
        <v>1479</v>
      </c>
    </row>
    <row r="2271" customFormat="false" ht="15" hidden="false" customHeight="false" outlineLevel="0" collapsed="false">
      <c r="A2271" s="0" t="s">
        <v>64</v>
      </c>
      <c r="B2271" s="0" t="s">
        <v>1483</v>
      </c>
      <c r="C2271" s="0" t="s">
        <v>4677</v>
      </c>
      <c r="E2271" s="0" t="s">
        <v>1479</v>
      </c>
    </row>
    <row r="2272" customFormat="false" ht="15" hidden="false" customHeight="false" outlineLevel="0" collapsed="false">
      <c r="A2272" s="0" t="s">
        <v>64</v>
      </c>
      <c r="B2272" s="0" t="s">
        <v>1486</v>
      </c>
      <c r="C2272" s="0" t="s">
        <v>4678</v>
      </c>
      <c r="E2272" s="0" t="s">
        <v>1479</v>
      </c>
    </row>
    <row r="2273" customFormat="false" ht="15" hidden="false" customHeight="false" outlineLevel="0" collapsed="false">
      <c r="A2273" s="0" t="s">
        <v>64</v>
      </c>
      <c r="B2273" s="0" t="s">
        <v>2203</v>
      </c>
      <c r="C2273" s="0" t="s">
        <v>4679</v>
      </c>
      <c r="E2273" s="0" t="s">
        <v>1479</v>
      </c>
    </row>
    <row r="2274" customFormat="false" ht="15" hidden="false" customHeight="false" outlineLevel="0" collapsed="false">
      <c r="A2274" s="0" t="s">
        <v>64</v>
      </c>
      <c r="B2274" s="0" t="s">
        <v>2205</v>
      </c>
      <c r="C2274" s="0" t="s">
        <v>4680</v>
      </c>
      <c r="E2274" s="0" t="s">
        <v>1479</v>
      </c>
    </row>
    <row r="2275" customFormat="false" ht="15" hidden="false" customHeight="false" outlineLevel="0" collapsed="false">
      <c r="A2275" s="0" t="s">
        <v>64</v>
      </c>
      <c r="B2275" s="0" t="s">
        <v>2211</v>
      </c>
      <c r="C2275" s="0" t="s">
        <v>4681</v>
      </c>
      <c r="E2275" s="0" t="s">
        <v>1479</v>
      </c>
    </row>
    <row r="2276" customFormat="false" ht="15" hidden="false" customHeight="false" outlineLevel="0" collapsed="false">
      <c r="A2276" s="0" t="s">
        <v>64</v>
      </c>
      <c r="B2276" s="0" t="s">
        <v>2213</v>
      </c>
      <c r="C2276" s="0" t="s">
        <v>4682</v>
      </c>
      <c r="E2276" s="0" t="s">
        <v>1479</v>
      </c>
    </row>
    <row r="2277" customFormat="false" ht="15" hidden="false" customHeight="false" outlineLevel="0" collapsed="false">
      <c r="A2277" s="0" t="s">
        <v>64</v>
      </c>
      <c r="B2277" s="0" t="s">
        <v>2215</v>
      </c>
      <c r="C2277" s="0" t="s">
        <v>4683</v>
      </c>
      <c r="E2277" s="0" t="s">
        <v>1479</v>
      </c>
    </row>
    <row r="2278" customFormat="false" ht="15" hidden="false" customHeight="false" outlineLevel="0" collapsed="false">
      <c r="A2278" s="0" t="s">
        <v>64</v>
      </c>
      <c r="B2278" s="0" t="s">
        <v>2218</v>
      </c>
      <c r="C2278" s="0" t="s">
        <v>4684</v>
      </c>
      <c r="D2278" s="0" t="s">
        <v>4609</v>
      </c>
      <c r="E2278" s="0" t="s">
        <v>1479</v>
      </c>
    </row>
    <row r="2279" customFormat="false" ht="15" hidden="false" customHeight="false" outlineLevel="0" collapsed="false">
      <c r="A2279" s="0" t="s">
        <v>64</v>
      </c>
      <c r="B2279" s="0" t="s">
        <v>1488</v>
      </c>
      <c r="C2279" s="0" t="s">
        <v>4685</v>
      </c>
      <c r="E2279" s="0" t="s">
        <v>1479</v>
      </c>
    </row>
    <row r="2280" customFormat="false" ht="15" hidden="false" customHeight="false" outlineLevel="0" collapsed="false">
      <c r="A2280" s="0" t="s">
        <v>64</v>
      </c>
      <c r="B2280" s="0" t="s">
        <v>2221</v>
      </c>
      <c r="C2280" s="0" t="s">
        <v>4686</v>
      </c>
      <c r="E2280" s="0" t="s">
        <v>1479</v>
      </c>
    </row>
    <row r="2281" customFormat="false" ht="15" hidden="false" customHeight="false" outlineLevel="0" collapsed="false">
      <c r="A2281" s="0" t="s">
        <v>64</v>
      </c>
      <c r="B2281" s="0" t="s">
        <v>1490</v>
      </c>
      <c r="C2281" s="0" t="s">
        <v>4687</v>
      </c>
      <c r="E2281" s="0" t="s">
        <v>1479</v>
      </c>
    </row>
    <row r="2282" customFormat="false" ht="15" hidden="false" customHeight="false" outlineLevel="0" collapsed="false">
      <c r="A2282" s="0" t="s">
        <v>64</v>
      </c>
      <c r="B2282" s="0" t="s">
        <v>1492</v>
      </c>
      <c r="C2282" s="0" t="s">
        <v>4688</v>
      </c>
      <c r="E2282" s="0" t="s">
        <v>1479</v>
      </c>
    </row>
    <row r="2283" customFormat="false" ht="15" hidden="false" customHeight="false" outlineLevel="0" collapsed="false">
      <c r="A2283" s="0" t="s">
        <v>64</v>
      </c>
      <c r="B2283" s="0" t="s">
        <v>2227</v>
      </c>
      <c r="C2283" s="0" t="s">
        <v>4689</v>
      </c>
      <c r="E2283" s="0" t="s">
        <v>1479</v>
      </c>
    </row>
    <row r="2284" customFormat="false" ht="15" hidden="false" customHeight="false" outlineLevel="0" collapsed="false">
      <c r="A2284" s="0" t="s">
        <v>64</v>
      </c>
      <c r="B2284" s="0" t="s">
        <v>2230</v>
      </c>
      <c r="C2284" s="0" t="s">
        <v>4690</v>
      </c>
      <c r="E2284" s="0" t="s">
        <v>1479</v>
      </c>
    </row>
    <row r="2285" customFormat="false" ht="15" hidden="false" customHeight="false" outlineLevel="0" collapsed="false">
      <c r="A2285" s="0" t="s">
        <v>64</v>
      </c>
      <c r="B2285" s="0" t="s">
        <v>2237</v>
      </c>
      <c r="C2285" s="0" t="s">
        <v>4691</v>
      </c>
      <c r="E2285" s="0" t="s">
        <v>1479</v>
      </c>
    </row>
    <row r="2286" customFormat="false" ht="15" hidden="false" customHeight="false" outlineLevel="0" collapsed="false">
      <c r="A2286" s="0" t="s">
        <v>64</v>
      </c>
      <c r="B2286" s="0" t="s">
        <v>2239</v>
      </c>
      <c r="C2286" s="0" t="s">
        <v>4692</v>
      </c>
      <c r="E2286" s="0" t="s">
        <v>1479</v>
      </c>
    </row>
    <row r="2287" customFormat="false" ht="15" hidden="false" customHeight="false" outlineLevel="0" collapsed="false">
      <c r="A2287" s="0" t="s">
        <v>64</v>
      </c>
      <c r="B2287" s="0" t="s">
        <v>2241</v>
      </c>
      <c r="C2287" s="0" t="s">
        <v>4693</v>
      </c>
      <c r="E2287" s="0" t="s">
        <v>1479</v>
      </c>
    </row>
    <row r="2288" customFormat="false" ht="15" hidden="false" customHeight="false" outlineLevel="0" collapsed="false">
      <c r="A2288" s="0" t="s">
        <v>64</v>
      </c>
      <c r="B2288" s="0" t="s">
        <v>2244</v>
      </c>
      <c r="C2288" s="0" t="s">
        <v>4694</v>
      </c>
      <c r="D2288" s="0" t="s">
        <v>4609</v>
      </c>
      <c r="E2288" s="0" t="s">
        <v>1479</v>
      </c>
    </row>
    <row r="2289" customFormat="false" ht="15" hidden="false" customHeight="false" outlineLevel="0" collapsed="false">
      <c r="A2289" s="0" t="s">
        <v>64</v>
      </c>
      <c r="B2289" s="0" t="s">
        <v>1494</v>
      </c>
      <c r="C2289" s="0" t="s">
        <v>4695</v>
      </c>
      <c r="E2289" s="0" t="s">
        <v>1479</v>
      </c>
    </row>
    <row r="2290" customFormat="false" ht="15" hidden="false" customHeight="false" outlineLevel="0" collapsed="false">
      <c r="A2290" s="0" t="s">
        <v>64</v>
      </c>
      <c r="B2290" s="0" t="s">
        <v>2247</v>
      </c>
      <c r="C2290" s="0" t="s">
        <v>4696</v>
      </c>
      <c r="E2290" s="0" t="s">
        <v>1479</v>
      </c>
    </row>
    <row r="2291" customFormat="false" ht="15" hidden="false" customHeight="false" outlineLevel="0" collapsed="false">
      <c r="A2291" s="0" t="s">
        <v>64</v>
      </c>
      <c r="B2291" s="0" t="s">
        <v>1496</v>
      </c>
      <c r="C2291" s="0" t="s">
        <v>4697</v>
      </c>
      <c r="E2291" s="0" t="s">
        <v>1479</v>
      </c>
    </row>
    <row r="2292" customFormat="false" ht="15" hidden="false" customHeight="false" outlineLevel="0" collapsed="false">
      <c r="A2292" s="0" t="s">
        <v>64</v>
      </c>
      <c r="B2292" s="0" t="s">
        <v>1498</v>
      </c>
      <c r="C2292" s="0" t="s">
        <v>4698</v>
      </c>
      <c r="E2292" s="0" t="s">
        <v>1479</v>
      </c>
    </row>
    <row r="2293" customFormat="false" ht="15" hidden="false" customHeight="false" outlineLevel="0" collapsed="false">
      <c r="A2293" s="0" t="s">
        <v>64</v>
      </c>
      <c r="B2293" s="0" t="s">
        <v>2253</v>
      </c>
      <c r="C2293" s="0" t="s">
        <v>4699</v>
      </c>
      <c r="E2293" s="0" t="s">
        <v>1479</v>
      </c>
    </row>
    <row r="2294" customFormat="false" ht="15" hidden="false" customHeight="false" outlineLevel="0" collapsed="false">
      <c r="A2294" s="0" t="s">
        <v>64</v>
      </c>
      <c r="B2294" s="0" t="s">
        <v>2255</v>
      </c>
      <c r="C2294" s="0" t="s">
        <v>4700</v>
      </c>
      <c r="E2294" s="0" t="s">
        <v>1479</v>
      </c>
    </row>
    <row r="2295" customFormat="false" ht="15" hidden="false" customHeight="false" outlineLevel="0" collapsed="false">
      <c r="A2295" s="0" t="s">
        <v>64</v>
      </c>
      <c r="B2295" s="0" t="s">
        <v>2261</v>
      </c>
      <c r="C2295" s="0" t="s">
        <v>4701</v>
      </c>
      <c r="E2295" s="0" t="s">
        <v>1479</v>
      </c>
    </row>
    <row r="2296" customFormat="false" ht="15" hidden="false" customHeight="false" outlineLevel="0" collapsed="false">
      <c r="A2296" s="0" t="s">
        <v>64</v>
      </c>
      <c r="B2296" s="0" t="s">
        <v>2263</v>
      </c>
      <c r="C2296" s="0" t="s">
        <v>4702</v>
      </c>
      <c r="E2296" s="0" t="s">
        <v>1479</v>
      </c>
    </row>
    <row r="2297" customFormat="false" ht="15" hidden="false" customHeight="false" outlineLevel="0" collapsed="false">
      <c r="A2297" s="0" t="s">
        <v>64</v>
      </c>
      <c r="B2297" s="0" t="s">
        <v>2265</v>
      </c>
      <c r="C2297" s="0" t="s">
        <v>4703</v>
      </c>
      <c r="E2297" s="0" t="s">
        <v>1479</v>
      </c>
    </row>
    <row r="2298" customFormat="false" ht="15" hidden="false" customHeight="false" outlineLevel="0" collapsed="false">
      <c r="A2298" s="0" t="s">
        <v>64</v>
      </c>
      <c r="B2298" s="0" t="s">
        <v>2268</v>
      </c>
      <c r="C2298" s="0" t="s">
        <v>4704</v>
      </c>
      <c r="D2298" s="0" t="s">
        <v>4609</v>
      </c>
      <c r="E2298" s="0" t="s">
        <v>1479</v>
      </c>
    </row>
    <row r="2299" customFormat="false" ht="15" hidden="false" customHeight="false" outlineLevel="0" collapsed="false">
      <c r="A2299" s="0" t="s">
        <v>64</v>
      </c>
      <c r="B2299" s="0" t="s">
        <v>1500</v>
      </c>
      <c r="C2299" s="0" t="s">
        <v>4705</v>
      </c>
      <c r="E2299" s="0" t="s">
        <v>1479</v>
      </c>
    </row>
    <row r="2300" customFormat="false" ht="15" hidden="false" customHeight="false" outlineLevel="0" collapsed="false">
      <c r="A2300" s="0" t="s">
        <v>64</v>
      </c>
      <c r="B2300" s="0" t="s">
        <v>2271</v>
      </c>
      <c r="C2300" s="0" t="s">
        <v>4706</v>
      </c>
      <c r="E2300" s="0" t="s">
        <v>1479</v>
      </c>
    </row>
    <row r="2301" customFormat="false" ht="15" hidden="false" customHeight="false" outlineLevel="0" collapsed="false">
      <c r="A2301" s="0" t="s">
        <v>64</v>
      </c>
      <c r="B2301" s="0" t="s">
        <v>1502</v>
      </c>
      <c r="C2301" s="0" t="s">
        <v>4707</v>
      </c>
      <c r="E2301" s="0" t="s">
        <v>1479</v>
      </c>
    </row>
    <row r="2302" customFormat="false" ht="15" hidden="false" customHeight="false" outlineLevel="0" collapsed="false">
      <c r="A2302" s="0" t="s">
        <v>64</v>
      </c>
      <c r="B2302" s="0" t="s">
        <v>1504</v>
      </c>
      <c r="C2302" s="0" t="s">
        <v>4708</v>
      </c>
      <c r="E2302" s="0" t="s">
        <v>1479</v>
      </c>
    </row>
    <row r="2303" customFormat="false" ht="15" hidden="false" customHeight="false" outlineLevel="0" collapsed="false">
      <c r="A2303" s="0" t="s">
        <v>64</v>
      </c>
      <c r="B2303" s="0" t="s">
        <v>2275</v>
      </c>
      <c r="C2303" s="0" t="s">
        <v>4709</v>
      </c>
      <c r="E2303" s="0" t="s">
        <v>1479</v>
      </c>
    </row>
    <row r="2304" customFormat="false" ht="15" hidden="false" customHeight="false" outlineLevel="0" collapsed="false">
      <c r="A2304" s="0" t="s">
        <v>64</v>
      </c>
      <c r="B2304" s="0" t="s">
        <v>2277</v>
      </c>
      <c r="C2304" s="0" t="s">
        <v>4710</v>
      </c>
      <c r="E2304" s="0" t="s">
        <v>1479</v>
      </c>
    </row>
    <row r="2305" customFormat="false" ht="15" hidden="false" customHeight="false" outlineLevel="0" collapsed="false">
      <c r="A2305" s="0" t="s">
        <v>64</v>
      </c>
      <c r="B2305" s="0" t="s">
        <v>2283</v>
      </c>
      <c r="C2305" s="0" t="s">
        <v>4711</v>
      </c>
      <c r="E2305" s="0" t="s">
        <v>1479</v>
      </c>
    </row>
    <row r="2306" customFormat="false" ht="15" hidden="false" customHeight="false" outlineLevel="0" collapsed="false">
      <c r="A2306" s="0" t="s">
        <v>64</v>
      </c>
      <c r="B2306" s="0" t="s">
        <v>2285</v>
      </c>
      <c r="C2306" s="0" t="s">
        <v>4712</v>
      </c>
      <c r="E2306" s="0" t="s">
        <v>1479</v>
      </c>
    </row>
    <row r="2307" customFormat="false" ht="15" hidden="false" customHeight="false" outlineLevel="0" collapsed="false">
      <c r="A2307" s="0" t="s">
        <v>64</v>
      </c>
      <c r="B2307" s="0" t="s">
        <v>2287</v>
      </c>
      <c r="C2307" s="0" t="s">
        <v>4713</v>
      </c>
      <c r="E2307" s="0" t="s">
        <v>1479</v>
      </c>
    </row>
    <row r="2308" customFormat="false" ht="15" hidden="false" customHeight="false" outlineLevel="0" collapsed="false">
      <c r="A2308" s="0" t="s">
        <v>64</v>
      </c>
      <c r="B2308" s="0" t="s">
        <v>2289</v>
      </c>
      <c r="C2308" s="0" t="s">
        <v>4714</v>
      </c>
      <c r="D2308" s="0" t="s">
        <v>4609</v>
      </c>
      <c r="E2308" s="0" t="s">
        <v>1479</v>
      </c>
    </row>
    <row r="2309" customFormat="false" ht="15" hidden="false" customHeight="false" outlineLevel="0" collapsed="false">
      <c r="A2309" s="0" t="s">
        <v>64</v>
      </c>
      <c r="B2309" s="0" t="s">
        <v>2291</v>
      </c>
      <c r="C2309" s="0" t="s">
        <v>4715</v>
      </c>
      <c r="E2309" s="0" t="s">
        <v>1479</v>
      </c>
    </row>
    <row r="2310" customFormat="false" ht="15" hidden="false" customHeight="false" outlineLevel="0" collapsed="false">
      <c r="A2310" s="0" t="s">
        <v>64</v>
      </c>
      <c r="B2310" s="0" t="s">
        <v>2293</v>
      </c>
      <c r="C2310" s="0" t="s">
        <v>4716</v>
      </c>
      <c r="E2310" s="0" t="s">
        <v>1479</v>
      </c>
    </row>
    <row r="2311" customFormat="false" ht="15" hidden="false" customHeight="false" outlineLevel="0" collapsed="false">
      <c r="A2311" s="0" t="s">
        <v>64</v>
      </c>
      <c r="B2311" s="0" t="s">
        <v>2295</v>
      </c>
      <c r="C2311" s="0" t="s">
        <v>4717</v>
      </c>
      <c r="E2311" s="0" t="s">
        <v>1479</v>
      </c>
    </row>
    <row r="2312" customFormat="false" ht="15" hidden="false" customHeight="false" outlineLevel="0" collapsed="false">
      <c r="A2312" s="0" t="s">
        <v>64</v>
      </c>
      <c r="B2312" s="0" t="s">
        <v>2297</v>
      </c>
      <c r="C2312" s="0" t="s">
        <v>4718</v>
      </c>
      <c r="E2312" s="0" t="s">
        <v>1479</v>
      </c>
    </row>
    <row r="2313" customFormat="false" ht="15" hidden="false" customHeight="false" outlineLevel="0" collapsed="false">
      <c r="A2313" s="0" t="s">
        <v>64</v>
      </c>
      <c r="B2313" s="0" t="s">
        <v>2299</v>
      </c>
      <c r="C2313" s="0" t="s">
        <v>4719</v>
      </c>
      <c r="E2313" s="0" t="s">
        <v>1479</v>
      </c>
    </row>
    <row r="2314" customFormat="false" ht="15" hidden="false" customHeight="false" outlineLevel="0" collapsed="false">
      <c r="A2314" s="0" t="s">
        <v>64</v>
      </c>
      <c r="B2314" s="0" t="s">
        <v>2301</v>
      </c>
      <c r="C2314" s="0" t="s">
        <v>4720</v>
      </c>
      <c r="E2314" s="0" t="s">
        <v>1479</v>
      </c>
    </row>
    <row r="2315" customFormat="false" ht="15" hidden="false" customHeight="false" outlineLevel="0" collapsed="false">
      <c r="A2315" s="0" t="s">
        <v>64</v>
      </c>
      <c r="B2315" s="0" t="s">
        <v>2307</v>
      </c>
      <c r="C2315" s="0" t="s">
        <v>4721</v>
      </c>
      <c r="E2315" s="0" t="s">
        <v>1479</v>
      </c>
    </row>
    <row r="2316" customFormat="false" ht="15" hidden="false" customHeight="false" outlineLevel="0" collapsed="false">
      <c r="A2316" s="0" t="s">
        <v>64</v>
      </c>
      <c r="B2316" s="0" t="s">
        <v>2309</v>
      </c>
      <c r="C2316" s="0" t="s">
        <v>4722</v>
      </c>
      <c r="E2316" s="0" t="s">
        <v>1479</v>
      </c>
    </row>
    <row r="2317" customFormat="false" ht="15" hidden="false" customHeight="false" outlineLevel="0" collapsed="false">
      <c r="A2317" s="0" t="s">
        <v>64</v>
      </c>
      <c r="B2317" s="0" t="s">
        <v>2311</v>
      </c>
      <c r="C2317" s="0" t="s">
        <v>4723</v>
      </c>
      <c r="E2317" s="0" t="s">
        <v>1479</v>
      </c>
    </row>
    <row r="2318" customFormat="false" ht="15" hidden="false" customHeight="false" outlineLevel="0" collapsed="false">
      <c r="A2318" s="0" t="s">
        <v>64</v>
      </c>
      <c r="B2318" s="0" t="s">
        <v>1880</v>
      </c>
      <c r="C2318" s="0" t="s">
        <v>4724</v>
      </c>
      <c r="D2318" s="0" t="s">
        <v>4609</v>
      </c>
      <c r="E2318" s="0" t="s">
        <v>1479</v>
      </c>
    </row>
    <row r="2319" customFormat="false" ht="15" hidden="false" customHeight="false" outlineLevel="0" collapsed="false">
      <c r="A2319" s="0" t="s">
        <v>64</v>
      </c>
      <c r="B2319" s="0" t="s">
        <v>1883</v>
      </c>
      <c r="C2319" s="0" t="s">
        <v>4725</v>
      </c>
      <c r="E2319" s="0" t="s">
        <v>1479</v>
      </c>
    </row>
    <row r="2320" customFormat="false" ht="15" hidden="false" customHeight="false" outlineLevel="0" collapsed="false">
      <c r="A2320" s="0" t="s">
        <v>64</v>
      </c>
      <c r="B2320" s="0" t="s">
        <v>1886</v>
      </c>
      <c r="C2320" s="0" t="s">
        <v>4726</v>
      </c>
      <c r="E2320" s="0" t="s">
        <v>1479</v>
      </c>
    </row>
    <row r="2321" customFormat="false" ht="15" hidden="false" customHeight="false" outlineLevel="0" collapsed="false">
      <c r="A2321" s="0" t="s">
        <v>64</v>
      </c>
      <c r="B2321" s="0" t="s">
        <v>1888</v>
      </c>
      <c r="C2321" s="0" t="s">
        <v>4727</v>
      </c>
      <c r="E2321" s="0" t="s">
        <v>1479</v>
      </c>
    </row>
    <row r="2322" customFormat="false" ht="15" hidden="false" customHeight="false" outlineLevel="0" collapsed="false">
      <c r="A2322" s="0" t="s">
        <v>64</v>
      </c>
      <c r="B2322" s="0" t="s">
        <v>1891</v>
      </c>
      <c r="C2322" s="0" t="s">
        <v>4728</v>
      </c>
      <c r="E2322" s="0" t="s">
        <v>1479</v>
      </c>
    </row>
    <row r="2323" customFormat="false" ht="15" hidden="false" customHeight="false" outlineLevel="0" collapsed="false">
      <c r="A2323" s="0" t="s">
        <v>64</v>
      </c>
      <c r="B2323" s="0" t="s">
        <v>1894</v>
      </c>
      <c r="C2323" s="0" t="s">
        <v>4729</v>
      </c>
      <c r="E2323" s="0" t="s">
        <v>1479</v>
      </c>
    </row>
    <row r="2324" customFormat="false" ht="15" hidden="false" customHeight="false" outlineLevel="0" collapsed="false">
      <c r="A2324" s="0" t="s">
        <v>64</v>
      </c>
      <c r="B2324" s="0" t="s">
        <v>2319</v>
      </c>
      <c r="C2324" s="0" t="s">
        <v>4730</v>
      </c>
      <c r="E2324" s="0" t="s">
        <v>1479</v>
      </c>
    </row>
    <row r="2325" customFormat="false" ht="15" hidden="false" customHeight="false" outlineLevel="0" collapsed="false">
      <c r="A2325" s="0" t="s">
        <v>64</v>
      </c>
      <c r="B2325" s="0" t="s">
        <v>2325</v>
      </c>
      <c r="C2325" s="0" t="s">
        <v>4731</v>
      </c>
      <c r="E2325" s="0" t="s">
        <v>1479</v>
      </c>
    </row>
    <row r="2326" customFormat="false" ht="15" hidden="false" customHeight="false" outlineLevel="0" collapsed="false">
      <c r="A2326" s="0" t="s">
        <v>64</v>
      </c>
      <c r="B2326" s="0" t="s">
        <v>2327</v>
      </c>
      <c r="C2326" s="0" t="s">
        <v>4732</v>
      </c>
      <c r="E2326" s="0" t="s">
        <v>1479</v>
      </c>
    </row>
    <row r="2327" customFormat="false" ht="15" hidden="false" customHeight="false" outlineLevel="0" collapsed="false">
      <c r="A2327" s="0" t="s">
        <v>64</v>
      </c>
      <c r="B2327" s="0" t="s">
        <v>2329</v>
      </c>
      <c r="C2327" s="0" t="s">
        <v>4733</v>
      </c>
      <c r="E2327" s="0" t="s">
        <v>1479</v>
      </c>
    </row>
    <row r="2328" customFormat="false" ht="15" hidden="false" customHeight="false" outlineLevel="0" collapsed="false">
      <c r="A2328" s="0" t="s">
        <v>64</v>
      </c>
      <c r="B2328" s="0" t="s">
        <v>1898</v>
      </c>
      <c r="C2328" s="0" t="s">
        <v>4734</v>
      </c>
      <c r="D2328" s="0" t="s">
        <v>4609</v>
      </c>
      <c r="E2328" s="0" t="s">
        <v>1479</v>
      </c>
    </row>
    <row r="2329" customFormat="false" ht="15" hidden="false" customHeight="false" outlineLevel="0" collapsed="false">
      <c r="A2329" s="0" t="s">
        <v>64</v>
      </c>
      <c r="B2329" s="0" t="s">
        <v>1506</v>
      </c>
      <c r="C2329" s="0" t="s">
        <v>4735</v>
      </c>
      <c r="E2329" s="0" t="s">
        <v>1479</v>
      </c>
    </row>
    <row r="2330" customFormat="false" ht="15" hidden="false" customHeight="false" outlineLevel="0" collapsed="false">
      <c r="A2330" s="0" t="s">
        <v>64</v>
      </c>
      <c r="B2330" s="0" t="s">
        <v>1901</v>
      </c>
      <c r="C2330" s="0" t="s">
        <v>4736</v>
      </c>
      <c r="E2330" s="0" t="s">
        <v>1479</v>
      </c>
    </row>
    <row r="2331" customFormat="false" ht="15" hidden="false" customHeight="false" outlineLevel="0" collapsed="false">
      <c r="A2331" s="0" t="s">
        <v>64</v>
      </c>
      <c r="B2331" s="0" t="s">
        <v>1509</v>
      </c>
      <c r="C2331" s="0" t="s">
        <v>4737</v>
      </c>
      <c r="E2331" s="0" t="s">
        <v>1479</v>
      </c>
    </row>
    <row r="2332" customFormat="false" ht="15" hidden="false" customHeight="false" outlineLevel="0" collapsed="false">
      <c r="A2332" s="0" t="s">
        <v>64</v>
      </c>
      <c r="B2332" s="0" t="s">
        <v>1512</v>
      </c>
      <c r="C2332" s="0" t="s">
        <v>4738</v>
      </c>
      <c r="E2332" s="0" t="s">
        <v>1479</v>
      </c>
    </row>
    <row r="2333" customFormat="false" ht="15" hidden="false" customHeight="false" outlineLevel="0" collapsed="false">
      <c r="A2333" s="0" t="s">
        <v>64</v>
      </c>
      <c r="B2333" s="0" t="s">
        <v>1515</v>
      </c>
      <c r="C2333" s="0" t="s">
        <v>4739</v>
      </c>
      <c r="E2333" s="0" t="s">
        <v>1479</v>
      </c>
    </row>
    <row r="2334" customFormat="false" ht="15" hidden="false" customHeight="false" outlineLevel="0" collapsed="false">
      <c r="A2334" s="0" t="s">
        <v>64</v>
      </c>
      <c r="B2334" s="0" t="s">
        <v>2337</v>
      </c>
      <c r="C2334" s="0" t="s">
        <v>4740</v>
      </c>
      <c r="E2334" s="0" t="s">
        <v>1479</v>
      </c>
    </row>
    <row r="2335" customFormat="false" ht="15" hidden="false" customHeight="false" outlineLevel="0" collapsed="false">
      <c r="A2335" s="0" t="s">
        <v>64</v>
      </c>
      <c r="B2335" s="0" t="s">
        <v>2343</v>
      </c>
      <c r="C2335" s="0" t="s">
        <v>4741</v>
      </c>
      <c r="E2335" s="0" t="s">
        <v>1479</v>
      </c>
    </row>
    <row r="2336" customFormat="false" ht="15" hidden="false" customHeight="false" outlineLevel="0" collapsed="false">
      <c r="A2336" s="0" t="s">
        <v>64</v>
      </c>
      <c r="B2336" s="0" t="s">
        <v>2345</v>
      </c>
      <c r="C2336" s="0" t="s">
        <v>4742</v>
      </c>
      <c r="E2336" s="0" t="s">
        <v>1479</v>
      </c>
    </row>
    <row r="2337" customFormat="false" ht="15" hidden="false" customHeight="false" outlineLevel="0" collapsed="false">
      <c r="A2337" s="0" t="s">
        <v>64</v>
      </c>
      <c r="B2337" s="0" t="s">
        <v>2347</v>
      </c>
      <c r="C2337" s="0" t="s">
        <v>4743</v>
      </c>
      <c r="E2337" s="0" t="s">
        <v>1479</v>
      </c>
    </row>
    <row r="2338" customFormat="false" ht="15" hidden="false" customHeight="false" outlineLevel="0" collapsed="false">
      <c r="A2338" s="0" t="s">
        <v>64</v>
      </c>
      <c r="B2338" s="0" t="s">
        <v>1909</v>
      </c>
      <c r="C2338" s="0" t="s">
        <v>4744</v>
      </c>
      <c r="D2338" s="0" t="s">
        <v>4609</v>
      </c>
      <c r="E2338" s="0" t="s">
        <v>1479</v>
      </c>
    </row>
    <row r="2339" customFormat="false" ht="15" hidden="false" customHeight="false" outlineLevel="0" collapsed="false">
      <c r="A2339" s="0" t="s">
        <v>64</v>
      </c>
      <c r="B2339" s="0" t="s">
        <v>1518</v>
      </c>
      <c r="C2339" s="0" t="s">
        <v>4745</v>
      </c>
      <c r="E2339" s="0" t="s">
        <v>1479</v>
      </c>
    </row>
    <row r="2340" customFormat="false" ht="15" hidden="false" customHeight="false" outlineLevel="0" collapsed="false">
      <c r="A2340" s="0" t="s">
        <v>64</v>
      </c>
      <c r="B2340" s="0" t="s">
        <v>1912</v>
      </c>
      <c r="C2340" s="0" t="s">
        <v>4746</v>
      </c>
      <c r="E2340" s="0" t="s">
        <v>1479</v>
      </c>
    </row>
    <row r="2341" customFormat="false" ht="15" hidden="false" customHeight="false" outlineLevel="0" collapsed="false">
      <c r="A2341" s="0" t="s">
        <v>64</v>
      </c>
      <c r="B2341" s="0" t="s">
        <v>1521</v>
      </c>
      <c r="C2341" s="0" t="s">
        <v>4747</v>
      </c>
      <c r="E2341" s="0" t="s">
        <v>1479</v>
      </c>
    </row>
    <row r="2342" customFormat="false" ht="15" hidden="false" customHeight="false" outlineLevel="0" collapsed="false">
      <c r="A2342" s="0" t="s">
        <v>64</v>
      </c>
      <c r="B2342" s="0" t="s">
        <v>1524</v>
      </c>
      <c r="C2342" s="0" t="s">
        <v>4748</v>
      </c>
      <c r="E2342" s="0" t="s">
        <v>1479</v>
      </c>
    </row>
    <row r="2343" customFormat="false" ht="15" hidden="false" customHeight="false" outlineLevel="0" collapsed="false">
      <c r="A2343" s="0" t="s">
        <v>64</v>
      </c>
      <c r="B2343" s="0" t="s">
        <v>1527</v>
      </c>
      <c r="C2343" s="0" t="s">
        <v>4749</v>
      </c>
      <c r="E2343" s="0" t="s">
        <v>1479</v>
      </c>
    </row>
    <row r="2344" customFormat="false" ht="15" hidden="false" customHeight="false" outlineLevel="0" collapsed="false">
      <c r="A2344" s="0" t="s">
        <v>64</v>
      </c>
      <c r="B2344" s="0" t="s">
        <v>2926</v>
      </c>
      <c r="C2344" s="0" t="s">
        <v>4750</v>
      </c>
      <c r="E2344" s="0" t="s">
        <v>1479</v>
      </c>
    </row>
    <row r="2345" customFormat="false" ht="15" hidden="false" customHeight="false" outlineLevel="0" collapsed="false">
      <c r="A2345" s="0" t="s">
        <v>64</v>
      </c>
      <c r="B2345" s="0" t="s">
        <v>2930</v>
      </c>
      <c r="C2345" s="0" t="s">
        <v>4751</v>
      </c>
      <c r="E2345" s="0" t="s">
        <v>1479</v>
      </c>
    </row>
    <row r="2346" customFormat="false" ht="15" hidden="false" customHeight="false" outlineLevel="0" collapsed="false">
      <c r="A2346" s="0" t="s">
        <v>64</v>
      </c>
      <c r="B2346" s="0" t="s">
        <v>3506</v>
      </c>
      <c r="C2346" s="0" t="s">
        <v>4752</v>
      </c>
      <c r="E2346" s="0" t="s">
        <v>1479</v>
      </c>
    </row>
    <row r="2347" customFormat="false" ht="15" hidden="false" customHeight="false" outlineLevel="0" collapsed="false">
      <c r="A2347" s="0" t="s">
        <v>64</v>
      </c>
      <c r="B2347" s="0" t="s">
        <v>2932</v>
      </c>
      <c r="C2347" s="0" t="s">
        <v>4753</v>
      </c>
      <c r="E2347" s="0" t="s">
        <v>1479</v>
      </c>
    </row>
    <row r="2348" customFormat="false" ht="15" hidden="false" customHeight="false" outlineLevel="0" collapsed="false">
      <c r="A2348" s="0" t="s">
        <v>64</v>
      </c>
      <c r="B2348" s="0" t="s">
        <v>1917</v>
      </c>
      <c r="C2348" s="0" t="s">
        <v>4754</v>
      </c>
      <c r="D2348" s="0" t="s">
        <v>4609</v>
      </c>
      <c r="E2348" s="0" t="s">
        <v>1479</v>
      </c>
    </row>
    <row r="2349" customFormat="false" ht="15" hidden="false" customHeight="false" outlineLevel="0" collapsed="false">
      <c r="A2349" s="0" t="s">
        <v>64</v>
      </c>
      <c r="B2349" s="0" t="s">
        <v>1529</v>
      </c>
      <c r="C2349" s="0" t="s">
        <v>4755</v>
      </c>
      <c r="E2349" s="0" t="s">
        <v>1479</v>
      </c>
    </row>
    <row r="2350" customFormat="false" ht="15" hidden="false" customHeight="false" outlineLevel="0" collapsed="false">
      <c r="A2350" s="0" t="s">
        <v>64</v>
      </c>
      <c r="B2350" s="0" t="s">
        <v>1920</v>
      </c>
      <c r="C2350" s="0" t="s">
        <v>4756</v>
      </c>
      <c r="E2350" s="0" t="s">
        <v>1479</v>
      </c>
    </row>
    <row r="2351" customFormat="false" ht="15" hidden="false" customHeight="false" outlineLevel="0" collapsed="false">
      <c r="A2351" s="0" t="s">
        <v>64</v>
      </c>
      <c r="B2351" s="0" t="s">
        <v>1532</v>
      </c>
      <c r="C2351" s="0" t="s">
        <v>4757</v>
      </c>
      <c r="E2351" s="0" t="s">
        <v>1479</v>
      </c>
    </row>
    <row r="2352" customFormat="false" ht="15" hidden="false" customHeight="false" outlineLevel="0" collapsed="false">
      <c r="A2352" s="0" t="s">
        <v>64</v>
      </c>
      <c r="B2352" s="0" t="s">
        <v>1535</v>
      </c>
      <c r="C2352" s="0" t="s">
        <v>4758</v>
      </c>
      <c r="E2352" s="0" t="s">
        <v>1479</v>
      </c>
    </row>
    <row r="2353" customFormat="false" ht="15" hidden="false" customHeight="false" outlineLevel="0" collapsed="false">
      <c r="A2353" s="0" t="s">
        <v>64</v>
      </c>
      <c r="B2353" s="0" t="s">
        <v>1537</v>
      </c>
      <c r="C2353" s="0" t="s">
        <v>4759</v>
      </c>
      <c r="E2353" s="0" t="s">
        <v>1479</v>
      </c>
    </row>
    <row r="2354" customFormat="false" ht="15" hidden="false" customHeight="false" outlineLevel="0" collapsed="false">
      <c r="A2354" s="0" t="s">
        <v>64</v>
      </c>
      <c r="B2354" s="0" t="s">
        <v>3652</v>
      </c>
      <c r="C2354" s="0" t="s">
        <v>4760</v>
      </c>
      <c r="E2354" s="0" t="s">
        <v>1479</v>
      </c>
    </row>
    <row r="2355" customFormat="false" ht="15" hidden="false" customHeight="false" outlineLevel="0" collapsed="false">
      <c r="A2355" s="0" t="s">
        <v>64</v>
      </c>
      <c r="B2355" s="0" t="s">
        <v>4761</v>
      </c>
      <c r="C2355" s="0" t="s">
        <v>4762</v>
      </c>
      <c r="E2355" s="0" t="s">
        <v>1479</v>
      </c>
    </row>
    <row r="2356" customFormat="false" ht="15" hidden="false" customHeight="false" outlineLevel="0" collapsed="false">
      <c r="A2356" s="0" t="s">
        <v>64</v>
      </c>
      <c r="B2356" s="0" t="s">
        <v>3516</v>
      </c>
      <c r="C2356" s="0" t="s">
        <v>4763</v>
      </c>
      <c r="E2356" s="0" t="s">
        <v>1479</v>
      </c>
    </row>
    <row r="2357" customFormat="false" ht="15" hidden="false" customHeight="false" outlineLevel="0" collapsed="false">
      <c r="A2357" s="0" t="s">
        <v>64</v>
      </c>
      <c r="B2357" s="0" t="s">
        <v>4764</v>
      </c>
      <c r="C2357" s="0" t="s">
        <v>4765</v>
      </c>
      <c r="E2357" s="0" t="s">
        <v>1479</v>
      </c>
    </row>
    <row r="2358" customFormat="false" ht="15" hidden="false" customHeight="false" outlineLevel="0" collapsed="false">
      <c r="A2358" s="0" t="s">
        <v>64</v>
      </c>
      <c r="B2358" s="0" t="s">
        <v>1925</v>
      </c>
      <c r="C2358" s="0" t="s">
        <v>4766</v>
      </c>
      <c r="D2358" s="0" t="s">
        <v>4609</v>
      </c>
      <c r="E2358" s="0" t="s">
        <v>1479</v>
      </c>
    </row>
    <row r="2359" customFormat="false" ht="15" hidden="false" customHeight="false" outlineLevel="0" collapsed="false">
      <c r="A2359" s="0" t="s">
        <v>64</v>
      </c>
      <c r="B2359" s="0" t="s">
        <v>1540</v>
      </c>
      <c r="C2359" s="0" t="s">
        <v>4767</v>
      </c>
      <c r="E2359" s="0" t="s">
        <v>1479</v>
      </c>
    </row>
    <row r="2360" customFormat="false" ht="15" hidden="false" customHeight="false" outlineLevel="0" collapsed="false">
      <c r="A2360" s="0" t="s">
        <v>64</v>
      </c>
      <c r="B2360" s="0" t="s">
        <v>1928</v>
      </c>
      <c r="C2360" s="0" t="s">
        <v>4768</v>
      </c>
      <c r="E2360" s="0" t="s">
        <v>1479</v>
      </c>
    </row>
    <row r="2361" customFormat="false" ht="15" hidden="false" customHeight="false" outlineLevel="0" collapsed="false">
      <c r="A2361" s="0" t="s">
        <v>64</v>
      </c>
      <c r="B2361" s="0" t="s">
        <v>1542</v>
      </c>
      <c r="C2361" s="0" t="s">
        <v>4769</v>
      </c>
      <c r="E2361" s="0" t="s">
        <v>1479</v>
      </c>
    </row>
    <row r="2362" customFormat="false" ht="15" hidden="false" customHeight="false" outlineLevel="0" collapsed="false">
      <c r="A2362" s="0" t="s">
        <v>64</v>
      </c>
      <c r="B2362" s="0" t="s">
        <v>1544</v>
      </c>
      <c r="C2362" s="0" t="s">
        <v>4770</v>
      </c>
      <c r="E2362" s="0" t="s">
        <v>1479</v>
      </c>
    </row>
    <row r="2363" customFormat="false" ht="15" hidden="false" customHeight="false" outlineLevel="0" collapsed="false">
      <c r="A2363" s="0" t="s">
        <v>64</v>
      </c>
      <c r="B2363" s="0" t="s">
        <v>1546</v>
      </c>
      <c r="C2363" s="0" t="s">
        <v>4771</v>
      </c>
      <c r="E2363" s="0" t="s">
        <v>1479</v>
      </c>
    </row>
    <row r="2364" customFormat="false" ht="15" hidden="false" customHeight="false" outlineLevel="0" collapsed="false">
      <c r="A2364" s="0" t="s">
        <v>64</v>
      </c>
      <c r="B2364" s="0" t="s">
        <v>3655</v>
      </c>
      <c r="C2364" s="0" t="s">
        <v>4772</v>
      </c>
      <c r="E2364" s="0" t="s">
        <v>1479</v>
      </c>
    </row>
    <row r="2365" customFormat="false" ht="15" hidden="false" customHeight="false" outlineLevel="0" collapsed="false">
      <c r="A2365" s="0" t="s">
        <v>64</v>
      </c>
      <c r="B2365" s="0" t="s">
        <v>4773</v>
      </c>
      <c r="C2365" s="0" t="s">
        <v>4774</v>
      </c>
      <c r="E2365" s="0" t="s">
        <v>1479</v>
      </c>
    </row>
    <row r="2366" customFormat="false" ht="15" hidden="false" customHeight="false" outlineLevel="0" collapsed="false">
      <c r="A2366" s="0" t="s">
        <v>64</v>
      </c>
      <c r="B2366" s="0" t="s">
        <v>3526</v>
      </c>
      <c r="C2366" s="0" t="s">
        <v>4775</v>
      </c>
      <c r="E2366" s="0" t="s">
        <v>1479</v>
      </c>
    </row>
    <row r="2367" customFormat="false" ht="15" hidden="false" customHeight="false" outlineLevel="0" collapsed="false">
      <c r="A2367" s="0" t="s">
        <v>64</v>
      </c>
      <c r="B2367" s="0" t="s">
        <v>4776</v>
      </c>
      <c r="C2367" s="0" t="s">
        <v>4777</v>
      </c>
      <c r="E2367" s="0" t="s">
        <v>1479</v>
      </c>
    </row>
    <row r="2368" customFormat="false" ht="15" hidden="false" customHeight="false" outlineLevel="0" collapsed="false">
      <c r="A2368" s="0" t="s">
        <v>64</v>
      </c>
      <c r="B2368" s="0" t="s">
        <v>2585</v>
      </c>
      <c r="C2368" s="0" t="s">
        <v>4778</v>
      </c>
      <c r="D2368" s="0" t="s">
        <v>4609</v>
      </c>
      <c r="E2368" s="0" t="s">
        <v>1479</v>
      </c>
    </row>
    <row r="2369" customFormat="false" ht="15" hidden="false" customHeight="false" outlineLevel="0" collapsed="false">
      <c r="A2369" s="0" t="s">
        <v>64</v>
      </c>
      <c r="B2369" s="0" t="s">
        <v>1548</v>
      </c>
      <c r="C2369" s="0" t="s">
        <v>4779</v>
      </c>
      <c r="E2369" s="0" t="s">
        <v>1479</v>
      </c>
    </row>
    <row r="2370" customFormat="false" ht="15" hidden="false" customHeight="false" outlineLevel="0" collapsed="false">
      <c r="A2370" s="0" t="s">
        <v>64</v>
      </c>
      <c r="B2370" s="0" t="s">
        <v>2588</v>
      </c>
      <c r="C2370" s="0" t="s">
        <v>4780</v>
      </c>
      <c r="E2370" s="0" t="s">
        <v>1479</v>
      </c>
    </row>
    <row r="2371" customFormat="false" ht="15" hidden="false" customHeight="false" outlineLevel="0" collapsed="false">
      <c r="A2371" s="0" t="s">
        <v>64</v>
      </c>
      <c r="B2371" s="0" t="s">
        <v>1550</v>
      </c>
      <c r="C2371" s="0" t="s">
        <v>4781</v>
      </c>
      <c r="E2371" s="0" t="s">
        <v>1479</v>
      </c>
    </row>
    <row r="2372" customFormat="false" ht="15" hidden="false" customHeight="false" outlineLevel="0" collapsed="false">
      <c r="A2372" s="0" t="s">
        <v>64</v>
      </c>
      <c r="B2372" s="0" t="s">
        <v>1552</v>
      </c>
      <c r="C2372" s="0" t="s">
        <v>4782</v>
      </c>
      <c r="E2372" s="0" t="s">
        <v>1479</v>
      </c>
    </row>
    <row r="2373" customFormat="false" ht="15" hidden="false" customHeight="false" outlineLevel="0" collapsed="false">
      <c r="A2373" s="0" t="s">
        <v>64</v>
      </c>
      <c r="B2373" s="0" t="s">
        <v>1554</v>
      </c>
      <c r="C2373" s="0" t="s">
        <v>4783</v>
      </c>
      <c r="E2373" s="0" t="s">
        <v>1479</v>
      </c>
    </row>
    <row r="2374" customFormat="false" ht="15" hidden="false" customHeight="false" outlineLevel="0" collapsed="false">
      <c r="A2374" s="0" t="s">
        <v>64</v>
      </c>
      <c r="B2374" s="0" t="s">
        <v>3658</v>
      </c>
      <c r="C2374" s="0" t="s">
        <v>4784</v>
      </c>
      <c r="E2374" s="0" t="s">
        <v>1479</v>
      </c>
    </row>
    <row r="2375" customFormat="false" ht="15" hidden="false" customHeight="false" outlineLevel="0" collapsed="false">
      <c r="A2375" s="0" t="s">
        <v>64</v>
      </c>
      <c r="B2375" s="0" t="s">
        <v>4785</v>
      </c>
      <c r="C2375" s="0" t="s">
        <v>4786</v>
      </c>
      <c r="E2375" s="0" t="s">
        <v>1479</v>
      </c>
    </row>
    <row r="2376" customFormat="false" ht="15" hidden="false" customHeight="false" outlineLevel="0" collapsed="false">
      <c r="A2376" s="0" t="s">
        <v>64</v>
      </c>
      <c r="B2376" s="0" t="s">
        <v>3536</v>
      </c>
      <c r="C2376" s="0" t="s">
        <v>4787</v>
      </c>
      <c r="E2376" s="0" t="s">
        <v>1479</v>
      </c>
    </row>
    <row r="2377" customFormat="false" ht="15" hidden="false" customHeight="false" outlineLevel="0" collapsed="false">
      <c r="A2377" s="0" t="s">
        <v>64</v>
      </c>
      <c r="B2377" s="0" t="s">
        <v>4788</v>
      </c>
      <c r="C2377" s="0" t="s">
        <v>4789</v>
      </c>
      <c r="E2377" s="0" t="s">
        <v>1479</v>
      </c>
    </row>
    <row r="2378" customFormat="false" ht="15" hidden="false" customHeight="false" outlineLevel="0" collapsed="false">
      <c r="A2378" s="0" t="s">
        <v>64</v>
      </c>
      <c r="B2378" s="0" t="s">
        <v>2597</v>
      </c>
      <c r="C2378" s="0" t="s">
        <v>4790</v>
      </c>
      <c r="D2378" s="0" t="s">
        <v>4609</v>
      </c>
      <c r="E2378" s="0" t="s">
        <v>1479</v>
      </c>
    </row>
    <row r="2379" customFormat="false" ht="15" hidden="false" customHeight="false" outlineLevel="0" collapsed="false">
      <c r="A2379" s="0" t="s">
        <v>64</v>
      </c>
      <c r="B2379" s="0" t="s">
        <v>2599</v>
      </c>
      <c r="C2379" s="0" t="s">
        <v>4791</v>
      </c>
      <c r="E2379" s="0" t="s">
        <v>1479</v>
      </c>
    </row>
    <row r="2380" customFormat="false" ht="15" hidden="false" customHeight="false" outlineLevel="0" collapsed="false">
      <c r="A2380" s="0" t="s">
        <v>64</v>
      </c>
      <c r="B2380" s="0" t="s">
        <v>2601</v>
      </c>
      <c r="C2380" s="0" t="s">
        <v>4792</v>
      </c>
      <c r="E2380" s="0" t="s">
        <v>1479</v>
      </c>
    </row>
    <row r="2381" customFormat="false" ht="15" hidden="false" customHeight="false" outlineLevel="0" collapsed="false">
      <c r="A2381" s="0" t="s">
        <v>64</v>
      </c>
      <c r="B2381" s="0" t="s">
        <v>2603</v>
      </c>
      <c r="C2381" s="0" t="s">
        <v>4793</v>
      </c>
      <c r="E2381" s="0" t="s">
        <v>1479</v>
      </c>
    </row>
    <row r="2382" customFormat="false" ht="15" hidden="false" customHeight="false" outlineLevel="0" collapsed="false">
      <c r="A2382" s="0" t="s">
        <v>64</v>
      </c>
      <c r="B2382" s="0" t="s">
        <v>2605</v>
      </c>
      <c r="C2382" s="0" t="s">
        <v>4794</v>
      </c>
      <c r="E2382" s="0" t="s">
        <v>1479</v>
      </c>
    </row>
    <row r="2383" customFormat="false" ht="15" hidden="false" customHeight="false" outlineLevel="0" collapsed="false">
      <c r="A2383" s="0" t="s">
        <v>64</v>
      </c>
      <c r="B2383" s="0" t="s">
        <v>2607</v>
      </c>
      <c r="C2383" s="0" t="s">
        <v>4795</v>
      </c>
      <c r="E2383" s="0" t="s">
        <v>1479</v>
      </c>
    </row>
    <row r="2384" customFormat="false" ht="15" hidden="false" customHeight="false" outlineLevel="0" collapsed="false">
      <c r="A2384" s="0" t="s">
        <v>64</v>
      </c>
      <c r="B2384" s="0" t="s">
        <v>4464</v>
      </c>
      <c r="C2384" s="0" t="s">
        <v>4796</v>
      </c>
      <c r="E2384" s="0" t="s">
        <v>1479</v>
      </c>
    </row>
    <row r="2385" customFormat="false" ht="15" hidden="false" customHeight="false" outlineLevel="0" collapsed="false">
      <c r="A2385" s="0" t="s">
        <v>64</v>
      </c>
      <c r="B2385" s="0" t="s">
        <v>4797</v>
      </c>
      <c r="C2385" s="0" t="s">
        <v>4798</v>
      </c>
      <c r="E2385" s="0" t="s">
        <v>1479</v>
      </c>
    </row>
    <row r="2386" customFormat="false" ht="15" hidden="false" customHeight="false" outlineLevel="0" collapsed="false">
      <c r="A2386" s="0" t="s">
        <v>64</v>
      </c>
      <c r="B2386" s="0" t="s">
        <v>4468</v>
      </c>
      <c r="C2386" s="0" t="s">
        <v>4799</v>
      </c>
      <c r="E2386" s="0" t="s">
        <v>1479</v>
      </c>
    </row>
    <row r="2387" customFormat="false" ht="15" hidden="false" customHeight="false" outlineLevel="0" collapsed="false">
      <c r="A2387" s="0" t="s">
        <v>64</v>
      </c>
      <c r="B2387" s="0" t="s">
        <v>4800</v>
      </c>
      <c r="C2387" s="0" t="s">
        <v>4801</v>
      </c>
      <c r="E2387" s="0" t="s">
        <v>1479</v>
      </c>
    </row>
    <row r="2388" customFormat="false" ht="15" hidden="false" customHeight="false" outlineLevel="0" collapsed="false">
      <c r="A2388" s="0" t="s">
        <v>66</v>
      </c>
      <c r="B2388" s="0" t="s">
        <v>506</v>
      </c>
      <c r="C2388" s="0" t="s">
        <v>4802</v>
      </c>
      <c r="E2388" s="0" t="s">
        <v>4803</v>
      </c>
    </row>
    <row r="2389" customFormat="false" ht="15" hidden="false" customHeight="false" outlineLevel="0" collapsed="false">
      <c r="A2389" s="0" t="s">
        <v>66</v>
      </c>
      <c r="B2389" s="0" t="s">
        <v>1864</v>
      </c>
      <c r="C2389" s="0" t="s">
        <v>4804</v>
      </c>
      <c r="D2389" s="0" t="s">
        <v>4609</v>
      </c>
      <c r="E2389" s="0" t="s">
        <v>4610</v>
      </c>
    </row>
    <row r="2390" customFormat="false" ht="15" hidden="false" customHeight="false" outlineLevel="0" collapsed="false">
      <c r="A2390" s="0" t="s">
        <v>66</v>
      </c>
      <c r="B2390" s="0" t="s">
        <v>1468</v>
      </c>
      <c r="C2390" s="0" t="s">
        <v>4805</v>
      </c>
      <c r="E2390" s="0" t="s">
        <v>4612</v>
      </c>
    </row>
    <row r="2391" customFormat="false" ht="15" hidden="false" customHeight="false" outlineLevel="0" collapsed="false">
      <c r="A2391" s="0" t="s">
        <v>66</v>
      </c>
      <c r="B2391" s="0" t="s">
        <v>2438</v>
      </c>
      <c r="C2391" s="0" t="s">
        <v>4806</v>
      </c>
      <c r="D2391" s="0" t="s">
        <v>1876</v>
      </c>
      <c r="E2391" s="0" t="s">
        <v>1479</v>
      </c>
    </row>
    <row r="2392" customFormat="false" ht="15" hidden="false" customHeight="false" outlineLevel="0" collapsed="false">
      <c r="A2392" s="0" t="s">
        <v>66</v>
      </c>
      <c r="B2392" s="0" t="s">
        <v>509</v>
      </c>
      <c r="C2392" s="0" t="s">
        <v>4807</v>
      </c>
      <c r="E2392" s="0" t="s">
        <v>3298</v>
      </c>
    </row>
    <row r="2393" customFormat="false" ht="15" hidden="false" customHeight="false" outlineLevel="0" collapsed="false">
      <c r="A2393" s="0" t="s">
        <v>66</v>
      </c>
      <c r="B2393" s="0" t="s">
        <v>1867</v>
      </c>
      <c r="C2393" s="0" t="s">
        <v>4808</v>
      </c>
      <c r="D2393" s="0" t="s">
        <v>4609</v>
      </c>
      <c r="E2393" s="0" t="s">
        <v>4626</v>
      </c>
    </row>
    <row r="2394" customFormat="false" ht="15" hidden="false" customHeight="false" outlineLevel="0" collapsed="false">
      <c r="A2394" s="0" t="s">
        <v>66</v>
      </c>
      <c r="B2394" s="0" t="s">
        <v>2117</v>
      </c>
      <c r="C2394" s="0" t="s">
        <v>4809</v>
      </c>
      <c r="E2394" s="0" t="s">
        <v>4628</v>
      </c>
    </row>
    <row r="2395" customFormat="false" ht="15" hidden="false" customHeight="false" outlineLevel="0" collapsed="false">
      <c r="A2395" s="0" t="s">
        <v>66</v>
      </c>
      <c r="B2395" s="0" t="s">
        <v>2120</v>
      </c>
      <c r="C2395" s="0" t="s">
        <v>4810</v>
      </c>
      <c r="D2395" s="0" t="s">
        <v>1876</v>
      </c>
      <c r="E2395" s="0" t="s">
        <v>4803</v>
      </c>
    </row>
    <row r="2396" customFormat="false" ht="15" hidden="false" customHeight="false" outlineLevel="0" collapsed="false">
      <c r="A2396" s="0" t="s">
        <v>66</v>
      </c>
      <c r="B2396" s="0" t="s">
        <v>2145</v>
      </c>
      <c r="C2396" s="0" t="s">
        <v>4811</v>
      </c>
      <c r="E2396" s="0" t="s">
        <v>4261</v>
      </c>
    </row>
    <row r="2397" customFormat="false" ht="15" hidden="false" customHeight="false" outlineLevel="0" collapsed="false">
      <c r="A2397" s="0" t="s">
        <v>66</v>
      </c>
      <c r="B2397" s="0" t="s">
        <v>1870</v>
      </c>
      <c r="C2397" s="0" t="s">
        <v>4812</v>
      </c>
      <c r="D2397" s="0" t="s">
        <v>4609</v>
      </c>
      <c r="E2397" s="0" t="s">
        <v>4642</v>
      </c>
    </row>
    <row r="2398" customFormat="false" ht="15" hidden="false" customHeight="false" outlineLevel="0" collapsed="false">
      <c r="A2398" s="0" t="s">
        <v>66</v>
      </c>
      <c r="B2398" s="0" t="s">
        <v>2148</v>
      </c>
      <c r="C2398" s="0" t="s">
        <v>4813</v>
      </c>
      <c r="E2398" s="0" t="s">
        <v>4644</v>
      </c>
    </row>
    <row r="2399" customFormat="false" ht="15" hidden="false" customHeight="false" outlineLevel="0" collapsed="false">
      <c r="A2399" s="0" t="s">
        <v>66</v>
      </c>
      <c r="B2399" s="0" t="s">
        <v>2150</v>
      </c>
      <c r="C2399" s="0" t="s">
        <v>4814</v>
      </c>
      <c r="D2399" s="0" t="s">
        <v>1876</v>
      </c>
      <c r="E2399" s="0" t="s">
        <v>3298</v>
      </c>
    </row>
    <row r="2400" customFormat="false" ht="15" hidden="false" customHeight="false" outlineLevel="0" collapsed="false">
      <c r="A2400" s="0" t="s">
        <v>66</v>
      </c>
      <c r="B2400" s="0" t="s">
        <v>2171</v>
      </c>
      <c r="C2400" s="0" t="s">
        <v>4815</v>
      </c>
      <c r="E2400" s="0" t="s">
        <v>4816</v>
      </c>
    </row>
    <row r="2401" customFormat="false" ht="15" hidden="false" customHeight="false" outlineLevel="0" collapsed="false">
      <c r="A2401" s="0" t="s">
        <v>66</v>
      </c>
      <c r="B2401" s="0" t="s">
        <v>1471</v>
      </c>
      <c r="C2401" s="0" t="s">
        <v>4817</v>
      </c>
      <c r="D2401" s="0" t="s">
        <v>4609</v>
      </c>
      <c r="E2401" s="0" t="s">
        <v>4658</v>
      </c>
    </row>
    <row r="2402" customFormat="false" ht="15" hidden="false" customHeight="false" outlineLevel="0" collapsed="false">
      <c r="A2402" s="0" t="s">
        <v>66</v>
      </c>
      <c r="B2402" s="0" t="s">
        <v>2174</v>
      </c>
      <c r="C2402" s="0" t="s">
        <v>4818</v>
      </c>
      <c r="E2402" s="0" t="s">
        <v>4660</v>
      </c>
    </row>
    <row r="2403" customFormat="false" ht="15" hidden="false" customHeight="false" outlineLevel="0" collapsed="false">
      <c r="A2403" s="0" t="s">
        <v>66</v>
      </c>
      <c r="B2403" s="0" t="s">
        <v>1474</v>
      </c>
      <c r="C2403" s="0" t="s">
        <v>4819</v>
      </c>
      <c r="D2403" s="0" t="s">
        <v>1876</v>
      </c>
      <c r="E2403" s="0" t="s">
        <v>4261</v>
      </c>
    </row>
    <row r="2404" customFormat="false" ht="15" hidden="false" customHeight="false" outlineLevel="0" collapsed="false">
      <c r="A2404" s="0" t="s">
        <v>66</v>
      </c>
      <c r="B2404" s="0" t="s">
        <v>2194</v>
      </c>
      <c r="C2404" s="0" t="s">
        <v>4820</v>
      </c>
      <c r="E2404" s="0" t="s">
        <v>1479</v>
      </c>
    </row>
    <row r="2405" customFormat="false" ht="15" hidden="false" customHeight="false" outlineLevel="0" collapsed="false">
      <c r="A2405" s="0" t="s">
        <v>66</v>
      </c>
      <c r="B2405" s="0" t="s">
        <v>1480</v>
      </c>
      <c r="C2405" s="0" t="s">
        <v>4821</v>
      </c>
      <c r="D2405" s="0" t="s">
        <v>4609</v>
      </c>
      <c r="E2405" s="0" t="s">
        <v>1479</v>
      </c>
    </row>
    <row r="2406" customFormat="false" ht="15" hidden="false" customHeight="false" outlineLevel="0" collapsed="false">
      <c r="A2406" s="0" t="s">
        <v>66</v>
      </c>
      <c r="B2406" s="0" t="s">
        <v>2197</v>
      </c>
      <c r="C2406" s="0" t="s">
        <v>4822</v>
      </c>
      <c r="E2406" s="0" t="s">
        <v>1479</v>
      </c>
    </row>
    <row r="2407" customFormat="false" ht="15" hidden="false" customHeight="false" outlineLevel="0" collapsed="false">
      <c r="A2407" s="0" t="s">
        <v>66</v>
      </c>
      <c r="B2407" s="0" t="s">
        <v>1483</v>
      </c>
      <c r="C2407" s="0" t="s">
        <v>4823</v>
      </c>
      <c r="D2407" s="0" t="s">
        <v>1876</v>
      </c>
      <c r="E2407" s="0" t="s">
        <v>1479</v>
      </c>
    </row>
    <row r="2408" customFormat="false" ht="15" hidden="false" customHeight="false" outlineLevel="0" collapsed="false">
      <c r="A2408" s="0" t="s">
        <v>66</v>
      </c>
      <c r="B2408" s="0" t="s">
        <v>2218</v>
      </c>
      <c r="C2408" s="0" t="s">
        <v>4824</v>
      </c>
      <c r="E2408" s="0" t="s">
        <v>1479</v>
      </c>
    </row>
    <row r="2409" customFormat="false" ht="15" hidden="false" customHeight="false" outlineLevel="0" collapsed="false">
      <c r="A2409" s="0" t="s">
        <v>66</v>
      </c>
      <c r="B2409" s="0" t="s">
        <v>1488</v>
      </c>
      <c r="C2409" s="0" t="s">
        <v>4825</v>
      </c>
      <c r="D2409" s="0" t="s">
        <v>4609</v>
      </c>
      <c r="E2409" s="0" t="s">
        <v>1479</v>
      </c>
    </row>
    <row r="2410" customFormat="false" ht="15" hidden="false" customHeight="false" outlineLevel="0" collapsed="false">
      <c r="A2410" s="0" t="s">
        <v>66</v>
      </c>
      <c r="B2410" s="0" t="s">
        <v>2221</v>
      </c>
      <c r="C2410" s="0" t="s">
        <v>4826</v>
      </c>
      <c r="E2410" s="0" t="s">
        <v>1479</v>
      </c>
    </row>
    <row r="2411" customFormat="false" ht="15" hidden="false" customHeight="false" outlineLevel="0" collapsed="false">
      <c r="A2411" s="0" t="s">
        <v>66</v>
      </c>
      <c r="B2411" s="0" t="s">
        <v>1490</v>
      </c>
      <c r="C2411" s="0" t="s">
        <v>4827</v>
      </c>
      <c r="D2411" s="0" t="s">
        <v>1876</v>
      </c>
      <c r="E2411" s="0" t="s">
        <v>1479</v>
      </c>
    </row>
    <row r="2412" customFormat="false" ht="15" hidden="false" customHeight="false" outlineLevel="0" collapsed="false">
      <c r="A2412" s="0" t="s">
        <v>66</v>
      </c>
      <c r="B2412" s="0" t="s">
        <v>2244</v>
      </c>
      <c r="C2412" s="0" t="s">
        <v>4828</v>
      </c>
      <c r="E2412" s="0" t="s">
        <v>1479</v>
      </c>
    </row>
    <row r="2413" customFormat="false" ht="15" hidden="false" customHeight="false" outlineLevel="0" collapsed="false">
      <c r="A2413" s="0" t="s">
        <v>66</v>
      </c>
      <c r="B2413" s="0" t="s">
        <v>1494</v>
      </c>
      <c r="C2413" s="0" t="s">
        <v>4829</v>
      </c>
      <c r="D2413" s="0" t="s">
        <v>4609</v>
      </c>
      <c r="E2413" s="0" t="s">
        <v>1479</v>
      </c>
    </row>
    <row r="2414" customFormat="false" ht="15" hidden="false" customHeight="false" outlineLevel="0" collapsed="false">
      <c r="A2414" s="0" t="s">
        <v>66</v>
      </c>
      <c r="B2414" s="0" t="s">
        <v>2247</v>
      </c>
      <c r="C2414" s="0" t="s">
        <v>4830</v>
      </c>
      <c r="E2414" s="0" t="s">
        <v>1479</v>
      </c>
    </row>
    <row r="2415" customFormat="false" ht="15" hidden="false" customHeight="false" outlineLevel="0" collapsed="false">
      <c r="A2415" s="0" t="s">
        <v>66</v>
      </c>
      <c r="B2415" s="0" t="s">
        <v>1496</v>
      </c>
      <c r="C2415" s="0" t="s">
        <v>4831</v>
      </c>
      <c r="D2415" s="0" t="s">
        <v>1876</v>
      </c>
      <c r="E2415" s="0" t="s">
        <v>1479</v>
      </c>
    </row>
    <row r="2416" customFormat="false" ht="15" hidden="false" customHeight="false" outlineLevel="0" collapsed="false">
      <c r="A2416" s="0" t="s">
        <v>66</v>
      </c>
      <c r="B2416" s="0" t="s">
        <v>2268</v>
      </c>
      <c r="C2416" s="0" t="s">
        <v>4832</v>
      </c>
      <c r="E2416" s="0" t="s">
        <v>1479</v>
      </c>
    </row>
    <row r="2417" customFormat="false" ht="15" hidden="false" customHeight="false" outlineLevel="0" collapsed="false">
      <c r="A2417" s="0" t="s">
        <v>66</v>
      </c>
      <c r="B2417" s="0" t="s">
        <v>1500</v>
      </c>
      <c r="C2417" s="0" t="s">
        <v>4833</v>
      </c>
      <c r="D2417" s="0" t="s">
        <v>4609</v>
      </c>
      <c r="E2417" s="0" t="s">
        <v>1479</v>
      </c>
    </row>
    <row r="2418" customFormat="false" ht="15" hidden="false" customHeight="false" outlineLevel="0" collapsed="false">
      <c r="A2418" s="0" t="s">
        <v>66</v>
      </c>
      <c r="B2418" s="0" t="s">
        <v>2271</v>
      </c>
      <c r="C2418" s="0" t="s">
        <v>4834</v>
      </c>
      <c r="E2418" s="0" t="s">
        <v>1479</v>
      </c>
    </row>
    <row r="2419" customFormat="false" ht="15" hidden="false" customHeight="false" outlineLevel="0" collapsed="false">
      <c r="A2419" s="0" t="s">
        <v>66</v>
      </c>
      <c r="B2419" s="0" t="s">
        <v>1502</v>
      </c>
      <c r="C2419" s="0" t="s">
        <v>4835</v>
      </c>
      <c r="D2419" s="0" t="s">
        <v>1876</v>
      </c>
      <c r="E2419" s="0" t="s">
        <v>1479</v>
      </c>
    </row>
    <row r="2420" customFormat="false" ht="15" hidden="false" customHeight="false" outlineLevel="0" collapsed="false">
      <c r="A2420" s="0" t="s">
        <v>66</v>
      </c>
      <c r="B2420" s="0" t="s">
        <v>2289</v>
      </c>
      <c r="C2420" s="0" t="s">
        <v>4836</v>
      </c>
      <c r="E2420" s="0" t="s">
        <v>1479</v>
      </c>
    </row>
    <row r="2421" customFormat="false" ht="15" hidden="false" customHeight="false" outlineLevel="0" collapsed="false">
      <c r="A2421" s="0" t="s">
        <v>66</v>
      </c>
      <c r="B2421" s="0" t="s">
        <v>2291</v>
      </c>
      <c r="C2421" s="0" t="s">
        <v>4837</v>
      </c>
      <c r="D2421" s="0" t="s">
        <v>4609</v>
      </c>
      <c r="E2421" s="0" t="s">
        <v>1479</v>
      </c>
    </row>
    <row r="2422" customFormat="false" ht="15" hidden="false" customHeight="false" outlineLevel="0" collapsed="false">
      <c r="A2422" s="0" t="s">
        <v>66</v>
      </c>
      <c r="B2422" s="0" t="s">
        <v>2293</v>
      </c>
      <c r="C2422" s="0" t="s">
        <v>4838</v>
      </c>
      <c r="E2422" s="0" t="s">
        <v>1479</v>
      </c>
    </row>
    <row r="2423" customFormat="false" ht="15" hidden="false" customHeight="false" outlineLevel="0" collapsed="false">
      <c r="A2423" s="0" t="s">
        <v>66</v>
      </c>
      <c r="B2423" s="0" t="s">
        <v>2295</v>
      </c>
      <c r="C2423" s="0" t="s">
        <v>4839</v>
      </c>
      <c r="D2423" s="0" t="s">
        <v>1876</v>
      </c>
      <c r="E2423" s="0" t="s">
        <v>1479</v>
      </c>
    </row>
    <row r="2424" customFormat="false" ht="15" hidden="false" customHeight="false" outlineLevel="0" collapsed="false">
      <c r="A2424" s="0" t="s">
        <v>66</v>
      </c>
      <c r="B2424" s="0" t="s">
        <v>1880</v>
      </c>
      <c r="C2424" s="0" t="s">
        <v>4840</v>
      </c>
      <c r="E2424" s="0" t="s">
        <v>1479</v>
      </c>
    </row>
    <row r="2425" customFormat="false" ht="15" hidden="false" customHeight="false" outlineLevel="0" collapsed="false">
      <c r="A2425" s="0" t="s">
        <v>66</v>
      </c>
      <c r="B2425" s="0" t="s">
        <v>1883</v>
      </c>
      <c r="C2425" s="0" t="s">
        <v>4841</v>
      </c>
      <c r="D2425" s="0" t="s">
        <v>4609</v>
      </c>
      <c r="E2425" s="0" t="s">
        <v>1479</v>
      </c>
    </row>
    <row r="2426" customFormat="false" ht="15" hidden="false" customHeight="false" outlineLevel="0" collapsed="false">
      <c r="A2426" s="0" t="s">
        <v>66</v>
      </c>
      <c r="B2426" s="0" t="s">
        <v>1886</v>
      </c>
      <c r="C2426" s="0" t="s">
        <v>4842</v>
      </c>
      <c r="E2426" s="0" t="s">
        <v>1479</v>
      </c>
    </row>
    <row r="2427" customFormat="false" ht="15" hidden="false" customHeight="false" outlineLevel="0" collapsed="false">
      <c r="A2427" s="0" t="s">
        <v>66</v>
      </c>
      <c r="B2427" s="0" t="s">
        <v>1888</v>
      </c>
      <c r="C2427" s="0" t="s">
        <v>4843</v>
      </c>
      <c r="D2427" s="0" t="s">
        <v>1876</v>
      </c>
      <c r="E2427" s="0" t="s">
        <v>1479</v>
      </c>
    </row>
    <row r="2428" customFormat="false" ht="15" hidden="false" customHeight="false" outlineLevel="0" collapsed="false">
      <c r="A2428" s="0" t="s">
        <v>66</v>
      </c>
      <c r="B2428" s="0" t="s">
        <v>1898</v>
      </c>
      <c r="C2428" s="0" t="s">
        <v>4844</v>
      </c>
      <c r="E2428" s="0" t="s">
        <v>1479</v>
      </c>
    </row>
    <row r="2429" customFormat="false" ht="15" hidden="false" customHeight="false" outlineLevel="0" collapsed="false">
      <c r="A2429" s="0" t="s">
        <v>66</v>
      </c>
      <c r="B2429" s="0" t="s">
        <v>1506</v>
      </c>
      <c r="C2429" s="0" t="s">
        <v>4845</v>
      </c>
      <c r="D2429" s="0" t="s">
        <v>4609</v>
      </c>
      <c r="E2429" s="0" t="s">
        <v>1479</v>
      </c>
    </row>
    <row r="2430" customFormat="false" ht="15" hidden="false" customHeight="false" outlineLevel="0" collapsed="false">
      <c r="A2430" s="0" t="s">
        <v>66</v>
      </c>
      <c r="B2430" s="0" t="s">
        <v>1901</v>
      </c>
      <c r="C2430" s="0" t="s">
        <v>4846</v>
      </c>
      <c r="E2430" s="0" t="s">
        <v>1479</v>
      </c>
    </row>
    <row r="2431" customFormat="false" ht="15" hidden="false" customHeight="false" outlineLevel="0" collapsed="false">
      <c r="A2431" s="0" t="s">
        <v>66</v>
      </c>
      <c r="B2431" s="0" t="s">
        <v>1509</v>
      </c>
      <c r="C2431" s="0" t="s">
        <v>4847</v>
      </c>
      <c r="D2431" s="0" t="s">
        <v>1876</v>
      </c>
      <c r="E2431" s="0" t="s">
        <v>1479</v>
      </c>
    </row>
    <row r="2432" customFormat="false" ht="15" hidden="false" customHeight="false" outlineLevel="0" collapsed="false">
      <c r="A2432" s="0" t="s">
        <v>66</v>
      </c>
      <c r="B2432" s="0" t="s">
        <v>1909</v>
      </c>
      <c r="C2432" s="0" t="s">
        <v>4848</v>
      </c>
      <c r="E2432" s="0" t="s">
        <v>1479</v>
      </c>
    </row>
    <row r="2433" customFormat="false" ht="15" hidden="false" customHeight="false" outlineLevel="0" collapsed="false">
      <c r="A2433" s="0" t="s">
        <v>66</v>
      </c>
      <c r="B2433" s="0" t="s">
        <v>1518</v>
      </c>
      <c r="C2433" s="0" t="s">
        <v>4849</v>
      </c>
      <c r="D2433" s="0" t="s">
        <v>4609</v>
      </c>
      <c r="E2433" s="0" t="s">
        <v>1479</v>
      </c>
    </row>
    <row r="2434" customFormat="false" ht="15" hidden="false" customHeight="false" outlineLevel="0" collapsed="false">
      <c r="A2434" s="0" t="s">
        <v>66</v>
      </c>
      <c r="B2434" s="0" t="s">
        <v>1912</v>
      </c>
      <c r="C2434" s="0" t="s">
        <v>4850</v>
      </c>
      <c r="E2434" s="0" t="s">
        <v>1479</v>
      </c>
    </row>
    <row r="2435" customFormat="false" ht="15" hidden="false" customHeight="false" outlineLevel="0" collapsed="false">
      <c r="A2435" s="0" t="s">
        <v>66</v>
      </c>
      <c r="B2435" s="0" t="s">
        <v>1521</v>
      </c>
      <c r="C2435" s="0" t="s">
        <v>4851</v>
      </c>
      <c r="D2435" s="0" t="s">
        <v>1876</v>
      </c>
      <c r="E2435" s="0" t="s">
        <v>1479</v>
      </c>
    </row>
    <row r="2436" customFormat="false" ht="15" hidden="false" customHeight="false" outlineLevel="0" collapsed="false">
      <c r="A2436" s="0" t="s">
        <v>66</v>
      </c>
      <c r="B2436" s="0" t="s">
        <v>1917</v>
      </c>
      <c r="C2436" s="0" t="s">
        <v>4852</v>
      </c>
      <c r="E2436" s="0" t="s">
        <v>1479</v>
      </c>
    </row>
    <row r="2437" customFormat="false" ht="15" hidden="false" customHeight="false" outlineLevel="0" collapsed="false">
      <c r="A2437" s="0" t="s">
        <v>66</v>
      </c>
      <c r="B2437" s="0" t="s">
        <v>1529</v>
      </c>
      <c r="C2437" s="0" t="s">
        <v>4853</v>
      </c>
      <c r="D2437" s="0" t="s">
        <v>4609</v>
      </c>
      <c r="E2437" s="0" t="s">
        <v>1479</v>
      </c>
    </row>
    <row r="2438" customFormat="false" ht="15" hidden="false" customHeight="false" outlineLevel="0" collapsed="false">
      <c r="A2438" s="0" t="s">
        <v>66</v>
      </c>
      <c r="B2438" s="0" t="s">
        <v>1920</v>
      </c>
      <c r="C2438" s="0" t="s">
        <v>4854</v>
      </c>
      <c r="E2438" s="0" t="s">
        <v>1479</v>
      </c>
    </row>
    <row r="2439" customFormat="false" ht="15" hidden="false" customHeight="false" outlineLevel="0" collapsed="false">
      <c r="A2439" s="0" t="s">
        <v>66</v>
      </c>
      <c r="B2439" s="0" t="s">
        <v>1532</v>
      </c>
      <c r="C2439" s="0" t="s">
        <v>4855</v>
      </c>
      <c r="D2439" s="0" t="s">
        <v>1876</v>
      </c>
      <c r="E2439" s="0" t="s">
        <v>1479</v>
      </c>
    </row>
    <row r="2440" customFormat="false" ht="15" hidden="false" customHeight="false" outlineLevel="0" collapsed="false">
      <c r="A2440" s="0" t="s">
        <v>66</v>
      </c>
      <c r="B2440" s="0" t="s">
        <v>1925</v>
      </c>
      <c r="C2440" s="0" t="s">
        <v>4856</v>
      </c>
      <c r="E2440" s="0" t="s">
        <v>1479</v>
      </c>
    </row>
    <row r="2441" customFormat="false" ht="15" hidden="false" customHeight="false" outlineLevel="0" collapsed="false">
      <c r="A2441" s="0" t="s">
        <v>66</v>
      </c>
      <c r="B2441" s="0" t="s">
        <v>1540</v>
      </c>
      <c r="C2441" s="0" t="s">
        <v>4857</v>
      </c>
      <c r="D2441" s="0" t="s">
        <v>4609</v>
      </c>
      <c r="E2441" s="0" t="s">
        <v>1479</v>
      </c>
    </row>
    <row r="2442" customFormat="false" ht="15" hidden="false" customHeight="false" outlineLevel="0" collapsed="false">
      <c r="A2442" s="0" t="s">
        <v>66</v>
      </c>
      <c r="B2442" s="0" t="s">
        <v>1928</v>
      </c>
      <c r="C2442" s="0" t="s">
        <v>4858</v>
      </c>
      <c r="E2442" s="0" t="s">
        <v>1479</v>
      </c>
    </row>
    <row r="2443" customFormat="false" ht="15" hidden="false" customHeight="false" outlineLevel="0" collapsed="false">
      <c r="A2443" s="0" t="s">
        <v>66</v>
      </c>
      <c r="B2443" s="0" t="s">
        <v>1542</v>
      </c>
      <c r="C2443" s="0" t="s">
        <v>4859</v>
      </c>
      <c r="D2443" s="0" t="s">
        <v>1876</v>
      </c>
      <c r="E2443" s="0" t="s">
        <v>1479</v>
      </c>
    </row>
    <row r="2444" customFormat="false" ht="15" hidden="false" customHeight="false" outlineLevel="0" collapsed="false">
      <c r="A2444" s="0" t="s">
        <v>66</v>
      </c>
      <c r="B2444" s="0" t="s">
        <v>2585</v>
      </c>
      <c r="C2444" s="0" t="s">
        <v>4860</v>
      </c>
      <c r="E2444" s="0" t="s">
        <v>1479</v>
      </c>
    </row>
    <row r="2445" customFormat="false" ht="15" hidden="false" customHeight="false" outlineLevel="0" collapsed="false">
      <c r="A2445" s="0" t="s">
        <v>66</v>
      </c>
      <c r="B2445" s="0" t="s">
        <v>1548</v>
      </c>
      <c r="C2445" s="0" t="s">
        <v>4861</v>
      </c>
      <c r="D2445" s="0" t="s">
        <v>4609</v>
      </c>
      <c r="E2445" s="0" t="s">
        <v>1479</v>
      </c>
    </row>
    <row r="2446" customFormat="false" ht="15" hidden="false" customHeight="false" outlineLevel="0" collapsed="false">
      <c r="A2446" s="0" t="s">
        <v>66</v>
      </c>
      <c r="B2446" s="0" t="s">
        <v>2588</v>
      </c>
      <c r="C2446" s="0" t="s">
        <v>4862</v>
      </c>
      <c r="E2446" s="0" t="s">
        <v>1479</v>
      </c>
    </row>
    <row r="2447" customFormat="false" ht="15" hidden="false" customHeight="false" outlineLevel="0" collapsed="false">
      <c r="A2447" s="0" t="s">
        <v>66</v>
      </c>
      <c r="B2447" s="0" t="s">
        <v>1550</v>
      </c>
      <c r="C2447" s="0" t="s">
        <v>4863</v>
      </c>
      <c r="D2447" s="0" t="s">
        <v>1876</v>
      </c>
      <c r="E2447" s="0" t="s">
        <v>1479</v>
      </c>
    </row>
    <row r="2448" customFormat="false" ht="15" hidden="false" customHeight="false" outlineLevel="0" collapsed="false">
      <c r="A2448" s="0" t="s">
        <v>66</v>
      </c>
      <c r="B2448" s="0" t="s">
        <v>2597</v>
      </c>
      <c r="C2448" s="0" t="s">
        <v>4864</v>
      </c>
      <c r="E2448" s="0" t="s">
        <v>1479</v>
      </c>
    </row>
    <row r="2449" customFormat="false" ht="15" hidden="false" customHeight="false" outlineLevel="0" collapsed="false">
      <c r="A2449" s="0" t="s">
        <v>66</v>
      </c>
      <c r="B2449" s="0" t="s">
        <v>2599</v>
      </c>
      <c r="C2449" s="0" t="s">
        <v>4865</v>
      </c>
      <c r="D2449" s="0" t="s">
        <v>4609</v>
      </c>
      <c r="E2449" s="0" t="s">
        <v>1479</v>
      </c>
    </row>
    <row r="2450" customFormat="false" ht="15" hidden="false" customHeight="false" outlineLevel="0" collapsed="false">
      <c r="A2450" s="0" t="s">
        <v>66</v>
      </c>
      <c r="B2450" s="0" t="s">
        <v>2601</v>
      </c>
      <c r="C2450" s="0" t="s">
        <v>4866</v>
      </c>
      <c r="E2450" s="0" t="s">
        <v>1479</v>
      </c>
    </row>
    <row r="2451" customFormat="false" ht="15" hidden="false" customHeight="false" outlineLevel="0" collapsed="false">
      <c r="A2451" s="0" t="s">
        <v>66</v>
      </c>
      <c r="B2451" s="0" t="s">
        <v>2603</v>
      </c>
      <c r="C2451" s="0" t="s">
        <v>4867</v>
      </c>
      <c r="D2451" s="0" t="s">
        <v>1876</v>
      </c>
      <c r="E2451" s="0" t="s">
        <v>1479</v>
      </c>
    </row>
    <row r="2452" customFormat="false" ht="15" hidden="false" customHeight="false" outlineLevel="0" collapsed="false">
      <c r="A2452" s="0" t="s">
        <v>71</v>
      </c>
      <c r="B2452" s="0" t="s">
        <v>100</v>
      </c>
      <c r="C2452" s="0" t="s">
        <v>4868</v>
      </c>
      <c r="E2452" s="0" t="s">
        <v>2968</v>
      </c>
    </row>
    <row r="2453" customFormat="false" ht="15" hidden="false" customHeight="false" outlineLevel="0" collapsed="false">
      <c r="A2453" s="0" t="s">
        <v>71</v>
      </c>
      <c r="B2453" s="0" t="s">
        <v>2441</v>
      </c>
      <c r="C2453" s="0" t="s">
        <v>4869</v>
      </c>
      <c r="E2453" s="0" t="s">
        <v>4870</v>
      </c>
    </row>
    <row r="2454" customFormat="false" ht="15" hidden="false" customHeight="false" outlineLevel="0" collapsed="false">
      <c r="A2454" s="0" t="s">
        <v>71</v>
      </c>
      <c r="B2454" s="0" t="s">
        <v>2443</v>
      </c>
      <c r="C2454" s="0" t="s">
        <v>4871</v>
      </c>
      <c r="E2454" s="0" t="s">
        <v>4870</v>
      </c>
    </row>
    <row r="2455" customFormat="false" ht="15" hidden="false" customHeight="false" outlineLevel="0" collapsed="false">
      <c r="A2455" s="0" t="s">
        <v>71</v>
      </c>
      <c r="B2455" s="0" t="s">
        <v>2796</v>
      </c>
      <c r="C2455" s="0" t="s">
        <v>4872</v>
      </c>
      <c r="E2455" s="0" t="s">
        <v>4870</v>
      </c>
    </row>
    <row r="2456" customFormat="false" ht="15" hidden="false" customHeight="false" outlineLevel="0" collapsed="false">
      <c r="A2456" s="0" t="s">
        <v>71</v>
      </c>
      <c r="B2456" s="0" t="s">
        <v>2445</v>
      </c>
      <c r="C2456" s="0" t="s">
        <v>4873</v>
      </c>
      <c r="E2456" s="0" t="s">
        <v>1479</v>
      </c>
    </row>
    <row r="2457" customFormat="false" ht="15" hidden="false" customHeight="false" outlineLevel="0" collapsed="false">
      <c r="A2457" s="0" t="s">
        <v>71</v>
      </c>
      <c r="B2457" s="0" t="s">
        <v>2448</v>
      </c>
      <c r="C2457" s="0" t="s">
        <v>4874</v>
      </c>
      <c r="E2457" s="0" t="s">
        <v>1479</v>
      </c>
    </row>
    <row r="2458" customFormat="false" ht="15" hidden="false" customHeight="false" outlineLevel="0" collapsed="false">
      <c r="A2458" s="0" t="s">
        <v>71</v>
      </c>
      <c r="B2458" s="0" t="s">
        <v>2800</v>
      </c>
      <c r="C2458" s="0" t="s">
        <v>4875</v>
      </c>
      <c r="E2458" s="0" t="s">
        <v>1479</v>
      </c>
    </row>
    <row r="2459" customFormat="false" ht="15" hidden="false" customHeight="false" outlineLevel="0" collapsed="false">
      <c r="A2459" s="0" t="s">
        <v>71</v>
      </c>
      <c r="B2459" s="0" t="s">
        <v>3402</v>
      </c>
      <c r="C2459" s="0" t="s">
        <v>4876</v>
      </c>
      <c r="E2459" s="0" t="s">
        <v>1479</v>
      </c>
    </row>
    <row r="2460" customFormat="false" ht="15" hidden="false" customHeight="false" outlineLevel="0" collapsed="false">
      <c r="A2460" s="0" t="s">
        <v>71</v>
      </c>
      <c r="B2460" s="0" t="s">
        <v>2802</v>
      </c>
      <c r="C2460" s="0" t="s">
        <v>4877</v>
      </c>
      <c r="E2460" s="0" t="s">
        <v>1479</v>
      </c>
    </row>
    <row r="2461" customFormat="false" ht="15" hidden="false" customHeight="false" outlineLevel="0" collapsed="false">
      <c r="A2461" s="0" t="s">
        <v>71</v>
      </c>
      <c r="B2461" s="0" t="s">
        <v>162</v>
      </c>
      <c r="C2461" s="0" t="s">
        <v>4878</v>
      </c>
      <c r="E2461" s="0" t="s">
        <v>1479</v>
      </c>
    </row>
    <row r="2462" customFormat="false" ht="15" hidden="false" customHeight="false" outlineLevel="0" collapsed="false">
      <c r="A2462" s="0" t="s">
        <v>71</v>
      </c>
      <c r="B2462" s="0" t="s">
        <v>4879</v>
      </c>
      <c r="C2462" s="0" t="s">
        <v>4880</v>
      </c>
      <c r="E2462" s="0" t="s">
        <v>1479</v>
      </c>
    </row>
    <row r="2463" customFormat="false" ht="15" hidden="false" customHeight="false" outlineLevel="0" collapsed="false">
      <c r="A2463" s="0" t="s">
        <v>71</v>
      </c>
      <c r="B2463" s="0" t="s">
        <v>2123</v>
      </c>
      <c r="C2463" s="0" t="s">
        <v>4881</v>
      </c>
      <c r="E2463" s="0" t="s">
        <v>4882</v>
      </c>
    </row>
    <row r="2464" customFormat="false" ht="15" hidden="false" customHeight="false" outlineLevel="0" collapsed="false">
      <c r="A2464" s="0" t="s">
        <v>71</v>
      </c>
      <c r="B2464" s="0" t="s">
        <v>2126</v>
      </c>
      <c r="C2464" s="0" t="s">
        <v>4883</v>
      </c>
      <c r="E2464" s="0" t="s">
        <v>4882</v>
      </c>
    </row>
    <row r="2465" customFormat="false" ht="15" hidden="false" customHeight="false" outlineLevel="0" collapsed="false">
      <c r="A2465" s="0" t="s">
        <v>71</v>
      </c>
      <c r="B2465" s="0" t="s">
        <v>2129</v>
      </c>
      <c r="C2465" s="0" t="s">
        <v>4884</v>
      </c>
      <c r="E2465" s="0" t="s">
        <v>4882</v>
      </c>
    </row>
    <row r="2466" customFormat="false" ht="15" hidden="false" customHeight="false" outlineLevel="0" collapsed="false">
      <c r="A2466" s="0" t="s">
        <v>71</v>
      </c>
      <c r="B2466" s="0" t="s">
        <v>2131</v>
      </c>
      <c r="C2466" s="0" t="s">
        <v>4885</v>
      </c>
      <c r="E2466" s="0" t="s">
        <v>1479</v>
      </c>
    </row>
    <row r="2467" customFormat="false" ht="15" hidden="false" customHeight="false" outlineLevel="0" collapsed="false">
      <c r="A2467" s="0" t="s">
        <v>71</v>
      </c>
      <c r="B2467" s="0" t="s">
        <v>2134</v>
      </c>
      <c r="C2467" s="0" t="s">
        <v>4886</v>
      </c>
      <c r="E2467" s="0" t="s">
        <v>1479</v>
      </c>
    </row>
    <row r="2468" customFormat="false" ht="15" hidden="false" customHeight="false" outlineLevel="0" collapsed="false">
      <c r="A2468" s="0" t="s">
        <v>71</v>
      </c>
      <c r="B2468" s="0" t="s">
        <v>2137</v>
      </c>
      <c r="C2468" s="0" t="s">
        <v>4887</v>
      </c>
      <c r="E2468" s="0" t="s">
        <v>1479</v>
      </c>
    </row>
    <row r="2469" customFormat="false" ht="15" hidden="false" customHeight="false" outlineLevel="0" collapsed="false">
      <c r="A2469" s="0" t="s">
        <v>71</v>
      </c>
      <c r="B2469" s="0" t="s">
        <v>2140</v>
      </c>
      <c r="C2469" s="0" t="s">
        <v>4888</v>
      </c>
      <c r="E2469" s="0" t="s">
        <v>1479</v>
      </c>
    </row>
    <row r="2470" customFormat="false" ht="15" hidden="false" customHeight="false" outlineLevel="0" collapsed="false">
      <c r="A2470" s="0" t="s">
        <v>71</v>
      </c>
      <c r="B2470" s="0" t="s">
        <v>2142</v>
      </c>
      <c r="C2470" s="0" t="s">
        <v>4889</v>
      </c>
      <c r="E2470" s="0" t="s">
        <v>1479</v>
      </c>
    </row>
    <row r="2471" customFormat="false" ht="15" hidden="false" customHeight="false" outlineLevel="0" collapsed="false">
      <c r="A2471" s="0" t="s">
        <v>71</v>
      </c>
      <c r="B2471" s="0" t="s">
        <v>165</v>
      </c>
      <c r="C2471" s="0" t="s">
        <v>4890</v>
      </c>
      <c r="E2471" s="0" t="s">
        <v>1479</v>
      </c>
    </row>
    <row r="2472" customFormat="false" ht="15" hidden="false" customHeight="false" outlineLevel="0" collapsed="false">
      <c r="A2472" s="0" t="s">
        <v>71</v>
      </c>
      <c r="B2472" s="0" t="s">
        <v>4891</v>
      </c>
      <c r="C2472" s="0" t="s">
        <v>4892</v>
      </c>
      <c r="E2472" s="0" t="s">
        <v>1479</v>
      </c>
    </row>
    <row r="2473" customFormat="false" ht="15" hidden="false" customHeight="false" outlineLevel="0" collapsed="false">
      <c r="A2473" s="0" t="s">
        <v>71</v>
      </c>
      <c r="B2473" s="0" t="s">
        <v>2153</v>
      </c>
      <c r="C2473" s="0" t="s">
        <v>4893</v>
      </c>
      <c r="E2473" s="0" t="s">
        <v>1479</v>
      </c>
    </row>
    <row r="2474" customFormat="false" ht="15" hidden="false" customHeight="false" outlineLevel="0" collapsed="false">
      <c r="A2474" s="0" t="s">
        <v>71</v>
      </c>
      <c r="B2474" s="0" t="s">
        <v>2155</v>
      </c>
      <c r="C2474" s="0" t="s">
        <v>4894</v>
      </c>
      <c r="E2474" s="0" t="s">
        <v>1479</v>
      </c>
    </row>
    <row r="2475" customFormat="false" ht="15" hidden="false" customHeight="false" outlineLevel="0" collapsed="false">
      <c r="A2475" s="0" t="s">
        <v>71</v>
      </c>
      <c r="B2475" s="0" t="s">
        <v>2157</v>
      </c>
      <c r="C2475" s="0" t="s">
        <v>4895</v>
      </c>
      <c r="E2475" s="0" t="s">
        <v>1479</v>
      </c>
    </row>
    <row r="2476" customFormat="false" ht="15" hidden="false" customHeight="false" outlineLevel="0" collapsed="false">
      <c r="A2476" s="0" t="s">
        <v>71</v>
      </c>
      <c r="B2476" s="0" t="s">
        <v>2160</v>
      </c>
      <c r="C2476" s="0" t="s">
        <v>4896</v>
      </c>
      <c r="E2476" s="0" t="s">
        <v>1479</v>
      </c>
    </row>
    <row r="2477" customFormat="false" ht="15" hidden="false" customHeight="false" outlineLevel="0" collapsed="false">
      <c r="A2477" s="0" t="s">
        <v>71</v>
      </c>
      <c r="B2477" s="0" t="s">
        <v>2162</v>
      </c>
      <c r="C2477" s="0" t="s">
        <v>4897</v>
      </c>
      <c r="E2477" s="0" t="s">
        <v>1479</v>
      </c>
    </row>
    <row r="2478" customFormat="false" ht="15" hidden="false" customHeight="false" outlineLevel="0" collapsed="false">
      <c r="A2478" s="0" t="s">
        <v>71</v>
      </c>
      <c r="B2478" s="0" t="s">
        <v>2164</v>
      </c>
      <c r="C2478" s="0" t="s">
        <v>4898</v>
      </c>
      <c r="E2478" s="0" t="s">
        <v>1479</v>
      </c>
    </row>
    <row r="2479" customFormat="false" ht="15" hidden="false" customHeight="false" outlineLevel="0" collapsed="false">
      <c r="A2479" s="0" t="s">
        <v>71</v>
      </c>
      <c r="B2479" s="0" t="s">
        <v>2166</v>
      </c>
      <c r="C2479" s="0" t="s">
        <v>4899</v>
      </c>
      <c r="E2479" s="0" t="s">
        <v>1479</v>
      </c>
    </row>
    <row r="2480" customFormat="false" ht="15" hidden="false" customHeight="false" outlineLevel="0" collapsed="false">
      <c r="A2480" s="0" t="s">
        <v>71</v>
      </c>
      <c r="B2480" s="0" t="s">
        <v>2168</v>
      </c>
      <c r="C2480" s="0" t="s">
        <v>4900</v>
      </c>
      <c r="E2480" s="0" t="s">
        <v>1479</v>
      </c>
    </row>
    <row r="2481" customFormat="false" ht="15" hidden="false" customHeight="false" outlineLevel="0" collapsed="false">
      <c r="A2481" s="0" t="s">
        <v>71</v>
      </c>
      <c r="B2481" s="0" t="s">
        <v>168</v>
      </c>
      <c r="C2481" s="0" t="s">
        <v>4901</v>
      </c>
      <c r="E2481" s="0" t="s">
        <v>1479</v>
      </c>
    </row>
    <row r="2482" customFormat="false" ht="15" hidden="false" customHeight="false" outlineLevel="0" collapsed="false">
      <c r="A2482" s="0" t="s">
        <v>71</v>
      </c>
      <c r="B2482" s="0" t="s">
        <v>4902</v>
      </c>
      <c r="C2482" s="0" t="s">
        <v>4903</v>
      </c>
      <c r="E2482" s="0" t="s">
        <v>1479</v>
      </c>
    </row>
    <row r="2483" customFormat="false" ht="15" hidden="false" customHeight="false" outlineLevel="0" collapsed="false">
      <c r="A2483" s="0" t="s">
        <v>71</v>
      </c>
      <c r="B2483" s="0" t="s">
        <v>1477</v>
      </c>
      <c r="C2483" s="0" t="s">
        <v>4904</v>
      </c>
      <c r="E2483" s="0" t="s">
        <v>1479</v>
      </c>
    </row>
    <row r="2484" customFormat="false" ht="15" hidden="false" customHeight="false" outlineLevel="0" collapsed="false">
      <c r="A2484" s="0" t="s">
        <v>71</v>
      </c>
      <c r="B2484" s="0" t="s">
        <v>2179</v>
      </c>
      <c r="C2484" s="0" t="s">
        <v>4905</v>
      </c>
      <c r="E2484" s="0" t="s">
        <v>1479</v>
      </c>
    </row>
    <row r="2485" customFormat="false" ht="15" hidden="false" customHeight="false" outlineLevel="0" collapsed="false">
      <c r="A2485" s="0" t="s">
        <v>71</v>
      </c>
      <c r="B2485" s="0" t="s">
        <v>2181</v>
      </c>
      <c r="C2485" s="0" t="s">
        <v>4906</v>
      </c>
      <c r="E2485" s="0" t="s">
        <v>1479</v>
      </c>
    </row>
    <row r="2486" customFormat="false" ht="15" hidden="false" customHeight="false" outlineLevel="0" collapsed="false">
      <c r="A2486" s="0" t="s">
        <v>71</v>
      </c>
      <c r="B2486" s="0" t="s">
        <v>2183</v>
      </c>
      <c r="C2486" s="0" t="s">
        <v>4907</v>
      </c>
      <c r="E2486" s="0" t="s">
        <v>1479</v>
      </c>
    </row>
    <row r="2487" customFormat="false" ht="15" hidden="false" customHeight="false" outlineLevel="0" collapsed="false">
      <c r="A2487" s="0" t="s">
        <v>71</v>
      </c>
      <c r="B2487" s="0" t="s">
        <v>2185</v>
      </c>
      <c r="C2487" s="0" t="s">
        <v>4908</v>
      </c>
      <c r="E2487" s="0" t="s">
        <v>1479</v>
      </c>
    </row>
    <row r="2488" customFormat="false" ht="15" hidden="false" customHeight="false" outlineLevel="0" collapsed="false">
      <c r="A2488" s="0" t="s">
        <v>71</v>
      </c>
      <c r="B2488" s="0" t="s">
        <v>2187</v>
      </c>
      <c r="C2488" s="0" t="s">
        <v>4909</v>
      </c>
      <c r="E2488" s="0" t="s">
        <v>1479</v>
      </c>
    </row>
    <row r="2489" customFormat="false" ht="15" hidden="false" customHeight="false" outlineLevel="0" collapsed="false">
      <c r="A2489" s="0" t="s">
        <v>71</v>
      </c>
      <c r="B2489" s="0" t="s">
        <v>2189</v>
      </c>
      <c r="C2489" s="0" t="s">
        <v>4910</v>
      </c>
      <c r="E2489" s="0" t="s">
        <v>1479</v>
      </c>
    </row>
    <row r="2490" customFormat="false" ht="15" hidden="false" customHeight="false" outlineLevel="0" collapsed="false">
      <c r="A2490" s="0" t="s">
        <v>71</v>
      </c>
      <c r="B2490" s="0" t="s">
        <v>2191</v>
      </c>
      <c r="C2490" s="0" t="s">
        <v>4911</v>
      </c>
      <c r="E2490" s="0" t="s">
        <v>1479</v>
      </c>
    </row>
    <row r="2491" customFormat="false" ht="15" hidden="false" customHeight="false" outlineLevel="0" collapsed="false">
      <c r="A2491" s="0" t="s">
        <v>71</v>
      </c>
      <c r="B2491" s="0" t="s">
        <v>171</v>
      </c>
      <c r="C2491" s="0" t="s">
        <v>4912</v>
      </c>
      <c r="E2491" s="0" t="s">
        <v>1479</v>
      </c>
    </row>
    <row r="2492" customFormat="false" ht="15" hidden="false" customHeight="false" outlineLevel="0" collapsed="false">
      <c r="A2492" s="0" t="s">
        <v>71</v>
      </c>
      <c r="B2492" s="0" t="s">
        <v>4913</v>
      </c>
      <c r="C2492" s="0" t="s">
        <v>4914</v>
      </c>
      <c r="E2492" s="0" t="s">
        <v>1479</v>
      </c>
    </row>
    <row r="2493" customFormat="false" ht="15" hidden="false" customHeight="false" outlineLevel="0" collapsed="false">
      <c r="A2493" s="0" t="s">
        <v>71</v>
      </c>
      <c r="B2493" s="0" t="s">
        <v>1486</v>
      </c>
      <c r="C2493" s="0" t="s">
        <v>4915</v>
      </c>
      <c r="E2493" s="0" t="s">
        <v>1479</v>
      </c>
    </row>
    <row r="2494" customFormat="false" ht="15" hidden="false" customHeight="false" outlineLevel="0" collapsed="false">
      <c r="A2494" s="0" t="s">
        <v>71</v>
      </c>
      <c r="B2494" s="0" t="s">
        <v>2203</v>
      </c>
      <c r="C2494" s="0" t="s">
        <v>4916</v>
      </c>
      <c r="E2494" s="0" t="s">
        <v>1479</v>
      </c>
    </row>
    <row r="2495" customFormat="false" ht="15" hidden="false" customHeight="false" outlineLevel="0" collapsed="false">
      <c r="A2495" s="0" t="s">
        <v>71</v>
      </c>
      <c r="B2495" s="0" t="s">
        <v>2205</v>
      </c>
      <c r="C2495" s="0" t="s">
        <v>4917</v>
      </c>
      <c r="E2495" s="0" t="s">
        <v>1479</v>
      </c>
    </row>
    <row r="2496" customFormat="false" ht="15" hidden="false" customHeight="false" outlineLevel="0" collapsed="false">
      <c r="A2496" s="0" t="s">
        <v>71</v>
      </c>
      <c r="B2496" s="0" t="s">
        <v>2207</v>
      </c>
      <c r="C2496" s="0" t="s">
        <v>4918</v>
      </c>
      <c r="E2496" s="0" t="s">
        <v>1479</v>
      </c>
    </row>
    <row r="2497" customFormat="false" ht="15" hidden="false" customHeight="false" outlineLevel="0" collapsed="false">
      <c r="A2497" s="0" t="s">
        <v>71</v>
      </c>
      <c r="B2497" s="0" t="s">
        <v>2209</v>
      </c>
      <c r="C2497" s="0" t="s">
        <v>4919</v>
      </c>
      <c r="E2497" s="0" t="s">
        <v>1479</v>
      </c>
    </row>
    <row r="2498" customFormat="false" ht="15" hidden="false" customHeight="false" outlineLevel="0" collapsed="false">
      <c r="A2498" s="0" t="s">
        <v>71</v>
      </c>
      <c r="B2498" s="0" t="s">
        <v>2211</v>
      </c>
      <c r="C2498" s="0" t="s">
        <v>4920</v>
      </c>
      <c r="E2498" s="0" t="s">
        <v>1479</v>
      </c>
    </row>
    <row r="2499" customFormat="false" ht="15" hidden="false" customHeight="false" outlineLevel="0" collapsed="false">
      <c r="A2499" s="0" t="s">
        <v>71</v>
      </c>
      <c r="B2499" s="0" t="s">
        <v>2213</v>
      </c>
      <c r="C2499" s="0" t="s">
        <v>4921</v>
      </c>
      <c r="E2499" s="0" t="s">
        <v>1479</v>
      </c>
    </row>
    <row r="2500" customFormat="false" ht="15" hidden="false" customHeight="false" outlineLevel="0" collapsed="false">
      <c r="A2500" s="0" t="s">
        <v>71</v>
      </c>
      <c r="B2500" s="0" t="s">
        <v>2215</v>
      </c>
      <c r="C2500" s="0" t="s">
        <v>4922</v>
      </c>
      <c r="E2500" s="0" t="s">
        <v>1479</v>
      </c>
    </row>
    <row r="2501" customFormat="false" ht="15" hidden="false" customHeight="false" outlineLevel="0" collapsed="false">
      <c r="A2501" s="0" t="s">
        <v>71</v>
      </c>
      <c r="B2501" s="0" t="s">
        <v>4923</v>
      </c>
      <c r="C2501" s="0" t="s">
        <v>4924</v>
      </c>
      <c r="E2501" s="0" t="s">
        <v>1479</v>
      </c>
    </row>
    <row r="2502" customFormat="false" ht="15" hidden="false" customHeight="false" outlineLevel="0" collapsed="false">
      <c r="A2502" s="0" t="s">
        <v>71</v>
      </c>
      <c r="B2502" s="0" t="s">
        <v>4925</v>
      </c>
      <c r="C2502" s="0" t="s">
        <v>4926</v>
      </c>
      <c r="E2502" s="0" t="s">
        <v>1479</v>
      </c>
    </row>
    <row r="2503" customFormat="false" ht="15" hidden="false" customHeight="false" outlineLevel="0" collapsed="false">
      <c r="A2503" s="0" t="s">
        <v>71</v>
      </c>
      <c r="B2503" s="0" t="s">
        <v>1492</v>
      </c>
      <c r="C2503" s="0" t="s">
        <v>4927</v>
      </c>
      <c r="E2503" s="0" t="s">
        <v>1479</v>
      </c>
    </row>
    <row r="2504" customFormat="false" ht="15" hidden="false" customHeight="false" outlineLevel="0" collapsed="false">
      <c r="A2504" s="0" t="s">
        <v>71</v>
      </c>
      <c r="B2504" s="0" t="s">
        <v>2227</v>
      </c>
      <c r="C2504" s="0" t="s">
        <v>4928</v>
      </c>
      <c r="E2504" s="0" t="s">
        <v>1479</v>
      </c>
    </row>
    <row r="2505" customFormat="false" ht="15" hidden="false" customHeight="false" outlineLevel="0" collapsed="false">
      <c r="A2505" s="0" t="s">
        <v>71</v>
      </c>
      <c r="B2505" s="0" t="s">
        <v>2230</v>
      </c>
      <c r="C2505" s="0" t="s">
        <v>4929</v>
      </c>
      <c r="E2505" s="0" t="s">
        <v>1479</v>
      </c>
    </row>
    <row r="2506" customFormat="false" ht="15" hidden="false" customHeight="false" outlineLevel="0" collapsed="false">
      <c r="A2506" s="0" t="s">
        <v>71</v>
      </c>
      <c r="B2506" s="0" t="s">
        <v>2233</v>
      </c>
      <c r="C2506" s="0" t="s">
        <v>4930</v>
      </c>
      <c r="E2506" s="0" t="s">
        <v>1479</v>
      </c>
    </row>
    <row r="2507" customFormat="false" ht="15" hidden="false" customHeight="false" outlineLevel="0" collapsed="false">
      <c r="A2507" s="0" t="s">
        <v>71</v>
      </c>
      <c r="B2507" s="0" t="s">
        <v>2235</v>
      </c>
      <c r="C2507" s="0" t="s">
        <v>4931</v>
      </c>
      <c r="E2507" s="0" t="s">
        <v>1479</v>
      </c>
    </row>
    <row r="2508" customFormat="false" ht="15" hidden="false" customHeight="false" outlineLevel="0" collapsed="false">
      <c r="A2508" s="0" t="s">
        <v>71</v>
      </c>
      <c r="B2508" s="0" t="s">
        <v>2237</v>
      </c>
      <c r="C2508" s="0" t="s">
        <v>4932</v>
      </c>
      <c r="E2508" s="0" t="s">
        <v>1479</v>
      </c>
    </row>
    <row r="2509" customFormat="false" ht="15" hidden="false" customHeight="false" outlineLevel="0" collapsed="false">
      <c r="A2509" s="0" t="s">
        <v>71</v>
      </c>
      <c r="B2509" s="0" t="s">
        <v>2239</v>
      </c>
      <c r="C2509" s="0" t="s">
        <v>4933</v>
      </c>
      <c r="E2509" s="0" t="s">
        <v>1479</v>
      </c>
    </row>
    <row r="2510" customFormat="false" ht="15" hidden="false" customHeight="false" outlineLevel="0" collapsed="false">
      <c r="A2510" s="0" t="s">
        <v>71</v>
      </c>
      <c r="B2510" s="0" t="s">
        <v>2241</v>
      </c>
      <c r="C2510" s="0" t="s">
        <v>4934</v>
      </c>
      <c r="E2510" s="0" t="s">
        <v>1479</v>
      </c>
    </row>
    <row r="2511" customFormat="false" ht="15" hidden="false" customHeight="false" outlineLevel="0" collapsed="false">
      <c r="A2511" s="0" t="s">
        <v>71</v>
      </c>
      <c r="B2511" s="0" t="s">
        <v>4935</v>
      </c>
      <c r="C2511" s="0" t="s">
        <v>4936</v>
      </c>
      <c r="E2511" s="0" t="s">
        <v>1479</v>
      </c>
    </row>
    <row r="2512" customFormat="false" ht="15" hidden="false" customHeight="false" outlineLevel="0" collapsed="false">
      <c r="A2512" s="0" t="s">
        <v>71</v>
      </c>
      <c r="B2512" s="0" t="s">
        <v>4937</v>
      </c>
      <c r="C2512" s="0" t="s">
        <v>4938</v>
      </c>
      <c r="E2512" s="0" t="s">
        <v>1479</v>
      </c>
    </row>
    <row r="2513" customFormat="false" ht="15" hidden="false" customHeight="false" outlineLevel="0" collapsed="false">
      <c r="A2513" s="0" t="s">
        <v>71</v>
      </c>
      <c r="B2513" s="0" t="s">
        <v>1498</v>
      </c>
      <c r="C2513" s="0" t="s">
        <v>4939</v>
      </c>
      <c r="E2513" s="0" t="s">
        <v>1479</v>
      </c>
    </row>
    <row r="2514" customFormat="false" ht="15" hidden="false" customHeight="false" outlineLevel="0" collapsed="false">
      <c r="A2514" s="0" t="s">
        <v>71</v>
      </c>
      <c r="B2514" s="0" t="s">
        <v>2253</v>
      </c>
      <c r="C2514" s="0" t="s">
        <v>4940</v>
      </c>
      <c r="E2514" s="0" t="s">
        <v>1479</v>
      </c>
    </row>
    <row r="2515" customFormat="false" ht="15" hidden="false" customHeight="false" outlineLevel="0" collapsed="false">
      <c r="A2515" s="0" t="s">
        <v>71</v>
      </c>
      <c r="B2515" s="0" t="s">
        <v>2255</v>
      </c>
      <c r="C2515" s="0" t="s">
        <v>4941</v>
      </c>
      <c r="E2515" s="0" t="s">
        <v>1479</v>
      </c>
    </row>
    <row r="2516" customFormat="false" ht="15" hidden="false" customHeight="false" outlineLevel="0" collapsed="false">
      <c r="A2516" s="0" t="s">
        <v>71</v>
      </c>
      <c r="B2516" s="0" t="s">
        <v>2257</v>
      </c>
      <c r="C2516" s="0" t="s">
        <v>4942</v>
      </c>
      <c r="E2516" s="0" t="s">
        <v>1479</v>
      </c>
    </row>
    <row r="2517" customFormat="false" ht="15" hidden="false" customHeight="false" outlineLevel="0" collapsed="false">
      <c r="A2517" s="0" t="s">
        <v>71</v>
      </c>
      <c r="B2517" s="0" t="s">
        <v>2259</v>
      </c>
      <c r="C2517" s="0" t="s">
        <v>4943</v>
      </c>
      <c r="E2517" s="0" t="s">
        <v>1479</v>
      </c>
    </row>
    <row r="2518" customFormat="false" ht="15" hidden="false" customHeight="false" outlineLevel="0" collapsed="false">
      <c r="A2518" s="0" t="s">
        <v>71</v>
      </c>
      <c r="B2518" s="0" t="s">
        <v>2261</v>
      </c>
      <c r="C2518" s="0" t="s">
        <v>4944</v>
      </c>
      <c r="E2518" s="0" t="s">
        <v>1479</v>
      </c>
    </row>
    <row r="2519" customFormat="false" ht="15" hidden="false" customHeight="false" outlineLevel="0" collapsed="false">
      <c r="A2519" s="0" t="s">
        <v>71</v>
      </c>
      <c r="B2519" s="0" t="s">
        <v>2263</v>
      </c>
      <c r="C2519" s="0" t="s">
        <v>4945</v>
      </c>
      <c r="E2519" s="0" t="s">
        <v>1479</v>
      </c>
    </row>
    <row r="2520" customFormat="false" ht="15" hidden="false" customHeight="false" outlineLevel="0" collapsed="false">
      <c r="A2520" s="0" t="s">
        <v>71</v>
      </c>
      <c r="B2520" s="0" t="s">
        <v>2265</v>
      </c>
      <c r="C2520" s="0" t="s">
        <v>4946</v>
      </c>
      <c r="E2520" s="0" t="s">
        <v>1479</v>
      </c>
    </row>
    <row r="2521" customFormat="false" ht="15" hidden="false" customHeight="false" outlineLevel="0" collapsed="false">
      <c r="A2521" s="0" t="s">
        <v>71</v>
      </c>
      <c r="B2521" s="0" t="s">
        <v>4947</v>
      </c>
      <c r="C2521" s="0" t="s">
        <v>4948</v>
      </c>
      <c r="E2521" s="0" t="s">
        <v>1479</v>
      </c>
    </row>
    <row r="2522" customFormat="false" ht="15" hidden="false" customHeight="false" outlineLevel="0" collapsed="false">
      <c r="A2522" s="0" t="s">
        <v>71</v>
      </c>
      <c r="B2522" s="0" t="s">
        <v>4949</v>
      </c>
      <c r="C2522" s="0" t="s">
        <v>4950</v>
      </c>
      <c r="E2522" s="0" t="s">
        <v>1479</v>
      </c>
    </row>
    <row r="2523" customFormat="false" ht="15" hidden="false" customHeight="false" outlineLevel="0" collapsed="false">
      <c r="A2523" s="0" t="s">
        <v>71</v>
      </c>
      <c r="B2523" s="0" t="s">
        <v>1504</v>
      </c>
      <c r="C2523" s="0" t="s">
        <v>4951</v>
      </c>
      <c r="E2523" s="0" t="s">
        <v>1479</v>
      </c>
    </row>
    <row r="2524" customFormat="false" ht="15" hidden="false" customHeight="false" outlineLevel="0" collapsed="false">
      <c r="A2524" s="0" t="s">
        <v>71</v>
      </c>
      <c r="B2524" s="0" t="s">
        <v>2275</v>
      </c>
      <c r="C2524" s="0" t="s">
        <v>4952</v>
      </c>
      <c r="E2524" s="0" t="s">
        <v>1479</v>
      </c>
    </row>
    <row r="2525" customFormat="false" ht="15" hidden="false" customHeight="false" outlineLevel="0" collapsed="false">
      <c r="A2525" s="0" t="s">
        <v>71</v>
      </c>
      <c r="B2525" s="0" t="s">
        <v>2277</v>
      </c>
      <c r="C2525" s="0" t="s">
        <v>4953</v>
      </c>
      <c r="E2525" s="0" t="s">
        <v>1479</v>
      </c>
    </row>
    <row r="2526" customFormat="false" ht="15" hidden="false" customHeight="false" outlineLevel="0" collapsed="false">
      <c r="A2526" s="0" t="s">
        <v>71</v>
      </c>
      <c r="B2526" s="0" t="s">
        <v>2279</v>
      </c>
      <c r="C2526" s="0" t="s">
        <v>4954</v>
      </c>
      <c r="E2526" s="0" t="s">
        <v>1479</v>
      </c>
    </row>
    <row r="2527" customFormat="false" ht="15" hidden="false" customHeight="false" outlineLevel="0" collapsed="false">
      <c r="A2527" s="0" t="s">
        <v>71</v>
      </c>
      <c r="B2527" s="0" t="s">
        <v>2281</v>
      </c>
      <c r="C2527" s="0" t="s">
        <v>4955</v>
      </c>
      <c r="E2527" s="0" t="s">
        <v>1479</v>
      </c>
    </row>
    <row r="2528" customFormat="false" ht="15" hidden="false" customHeight="false" outlineLevel="0" collapsed="false">
      <c r="A2528" s="0" t="s">
        <v>71</v>
      </c>
      <c r="B2528" s="0" t="s">
        <v>2283</v>
      </c>
      <c r="C2528" s="0" t="s">
        <v>4956</v>
      </c>
      <c r="E2528" s="0" t="s">
        <v>1479</v>
      </c>
    </row>
    <row r="2529" customFormat="false" ht="15" hidden="false" customHeight="false" outlineLevel="0" collapsed="false">
      <c r="A2529" s="0" t="s">
        <v>71</v>
      </c>
      <c r="B2529" s="0" t="s">
        <v>2285</v>
      </c>
      <c r="C2529" s="0" t="s">
        <v>4957</v>
      </c>
      <c r="E2529" s="0" t="s">
        <v>1479</v>
      </c>
    </row>
    <row r="2530" customFormat="false" ht="15" hidden="false" customHeight="false" outlineLevel="0" collapsed="false">
      <c r="A2530" s="0" t="s">
        <v>71</v>
      </c>
      <c r="B2530" s="0" t="s">
        <v>2287</v>
      </c>
      <c r="C2530" s="0" t="s">
        <v>4958</v>
      </c>
      <c r="E2530" s="0" t="s">
        <v>1479</v>
      </c>
    </row>
    <row r="2531" customFormat="false" ht="15" hidden="false" customHeight="false" outlineLevel="0" collapsed="false">
      <c r="A2531" s="0" t="s">
        <v>71</v>
      </c>
      <c r="B2531" s="0" t="s">
        <v>4959</v>
      </c>
      <c r="C2531" s="0" t="s">
        <v>4960</v>
      </c>
      <c r="E2531" s="0" t="s">
        <v>1479</v>
      </c>
    </row>
    <row r="2532" customFormat="false" ht="15" hidden="false" customHeight="false" outlineLevel="0" collapsed="false">
      <c r="A2532" s="0" t="s">
        <v>71</v>
      </c>
      <c r="B2532" s="0" t="s">
        <v>4961</v>
      </c>
      <c r="C2532" s="0" t="s">
        <v>4962</v>
      </c>
      <c r="E2532" s="0" t="s">
        <v>1479</v>
      </c>
    </row>
    <row r="2533" customFormat="false" ht="15" hidden="false" customHeight="false" outlineLevel="0" collapsed="false">
      <c r="A2533" s="0" t="s">
        <v>71</v>
      </c>
      <c r="B2533" s="0" t="s">
        <v>2297</v>
      </c>
      <c r="C2533" s="0" t="s">
        <v>4963</v>
      </c>
      <c r="E2533" s="0" t="s">
        <v>4964</v>
      </c>
    </row>
    <row r="2534" customFormat="false" ht="15" hidden="false" customHeight="false" outlineLevel="0" collapsed="false">
      <c r="A2534" s="0" t="s">
        <v>71</v>
      </c>
      <c r="B2534" s="0" t="s">
        <v>2299</v>
      </c>
      <c r="C2534" s="0" t="s">
        <v>4965</v>
      </c>
      <c r="E2534" s="0" t="s">
        <v>4966</v>
      </c>
    </row>
    <row r="2535" customFormat="false" ht="15" hidden="false" customHeight="false" outlineLevel="0" collapsed="false">
      <c r="A2535" s="0" t="s">
        <v>71</v>
      </c>
      <c r="B2535" s="0" t="s">
        <v>2301</v>
      </c>
      <c r="C2535" s="0" t="s">
        <v>4967</v>
      </c>
      <c r="E2535" s="0" t="s">
        <v>4966</v>
      </c>
    </row>
    <row r="2536" customFormat="false" ht="15" hidden="false" customHeight="false" outlineLevel="0" collapsed="false">
      <c r="A2536" s="0" t="s">
        <v>71</v>
      </c>
      <c r="B2536" s="0" t="s">
        <v>2303</v>
      </c>
      <c r="C2536" s="0" t="s">
        <v>4968</v>
      </c>
      <c r="E2536" s="0" t="s">
        <v>1479</v>
      </c>
    </row>
    <row r="2537" customFormat="false" ht="15" hidden="false" customHeight="false" outlineLevel="0" collapsed="false">
      <c r="A2537" s="0" t="s">
        <v>71</v>
      </c>
      <c r="B2537" s="0" t="s">
        <v>2305</v>
      </c>
      <c r="C2537" s="0" t="s">
        <v>4969</v>
      </c>
      <c r="E2537" s="0" t="s">
        <v>1479</v>
      </c>
    </row>
    <row r="2538" customFormat="false" ht="15" hidden="false" customHeight="false" outlineLevel="0" collapsed="false">
      <c r="A2538" s="0" t="s">
        <v>71</v>
      </c>
      <c r="B2538" s="0" t="s">
        <v>2307</v>
      </c>
      <c r="C2538" s="0" t="s">
        <v>4970</v>
      </c>
      <c r="E2538" s="0" t="s">
        <v>1479</v>
      </c>
    </row>
    <row r="2539" customFormat="false" ht="15" hidden="false" customHeight="false" outlineLevel="0" collapsed="false">
      <c r="A2539" s="0" t="s">
        <v>71</v>
      </c>
      <c r="B2539" s="0" t="s">
        <v>2309</v>
      </c>
      <c r="C2539" s="0" t="s">
        <v>4971</v>
      </c>
      <c r="E2539" s="0" t="s">
        <v>1479</v>
      </c>
    </row>
    <row r="2540" customFormat="false" ht="15" hidden="false" customHeight="false" outlineLevel="0" collapsed="false">
      <c r="A2540" s="0" t="s">
        <v>71</v>
      </c>
      <c r="B2540" s="0" t="s">
        <v>2311</v>
      </c>
      <c r="C2540" s="0" t="s">
        <v>4972</v>
      </c>
      <c r="E2540" s="0" t="s">
        <v>1479</v>
      </c>
    </row>
    <row r="2541" customFormat="false" ht="15" hidden="false" customHeight="false" outlineLevel="0" collapsed="false">
      <c r="A2541" s="0" t="s">
        <v>71</v>
      </c>
      <c r="B2541" s="0" t="s">
        <v>4973</v>
      </c>
      <c r="C2541" s="0" t="s">
        <v>4974</v>
      </c>
      <c r="E2541" s="0" t="s">
        <v>1479</v>
      </c>
    </row>
    <row r="2542" customFormat="false" ht="15" hidden="false" customHeight="false" outlineLevel="0" collapsed="false">
      <c r="A2542" s="0" t="s">
        <v>71</v>
      </c>
      <c r="B2542" s="0" t="s">
        <v>4975</v>
      </c>
      <c r="C2542" s="0" t="s">
        <v>4976</v>
      </c>
      <c r="E2542" s="0" t="s">
        <v>1479</v>
      </c>
    </row>
    <row r="2543" customFormat="false" ht="15" hidden="false" customHeight="false" outlineLevel="0" collapsed="false">
      <c r="A2543" s="0" t="s">
        <v>71</v>
      </c>
      <c r="B2543" s="0" t="s">
        <v>1891</v>
      </c>
      <c r="C2543" s="0" t="s">
        <v>4977</v>
      </c>
      <c r="E2543" s="0" t="s">
        <v>4978</v>
      </c>
    </row>
    <row r="2544" customFormat="false" ht="15" hidden="false" customHeight="false" outlineLevel="0" collapsed="false">
      <c r="A2544" s="0" t="s">
        <v>71</v>
      </c>
      <c r="B2544" s="0" t="s">
        <v>1894</v>
      </c>
      <c r="C2544" s="0" t="s">
        <v>4979</v>
      </c>
      <c r="E2544" s="0" t="s">
        <v>4980</v>
      </c>
    </row>
    <row r="2545" customFormat="false" ht="15" hidden="false" customHeight="false" outlineLevel="0" collapsed="false">
      <c r="A2545" s="0" t="s">
        <v>71</v>
      </c>
      <c r="B2545" s="0" t="s">
        <v>2319</v>
      </c>
      <c r="C2545" s="0" t="s">
        <v>4981</v>
      </c>
      <c r="E2545" s="0" t="s">
        <v>4982</v>
      </c>
    </row>
    <row r="2546" customFormat="false" ht="15" hidden="false" customHeight="false" outlineLevel="0" collapsed="false">
      <c r="A2546" s="0" t="s">
        <v>71</v>
      </c>
      <c r="B2546" s="0" t="s">
        <v>2321</v>
      </c>
      <c r="C2546" s="0" t="s">
        <v>4983</v>
      </c>
      <c r="E2546" s="0" t="s">
        <v>1479</v>
      </c>
    </row>
    <row r="2547" customFormat="false" ht="15" hidden="false" customHeight="false" outlineLevel="0" collapsed="false">
      <c r="A2547" s="0" t="s">
        <v>71</v>
      </c>
      <c r="B2547" s="0" t="s">
        <v>2323</v>
      </c>
      <c r="C2547" s="0" t="s">
        <v>4984</v>
      </c>
      <c r="E2547" s="0" t="s">
        <v>1479</v>
      </c>
    </row>
    <row r="2548" customFormat="false" ht="15" hidden="false" customHeight="false" outlineLevel="0" collapsed="false">
      <c r="A2548" s="0" t="s">
        <v>71</v>
      </c>
      <c r="B2548" s="0" t="s">
        <v>2325</v>
      </c>
      <c r="C2548" s="0" t="s">
        <v>4985</v>
      </c>
      <c r="E2548" s="0" t="s">
        <v>1479</v>
      </c>
    </row>
    <row r="2549" customFormat="false" ht="15" hidden="false" customHeight="false" outlineLevel="0" collapsed="false">
      <c r="A2549" s="0" t="s">
        <v>71</v>
      </c>
      <c r="B2549" s="0" t="s">
        <v>2327</v>
      </c>
      <c r="C2549" s="0" t="s">
        <v>4986</v>
      </c>
      <c r="E2549" s="0" t="s">
        <v>1479</v>
      </c>
    </row>
    <row r="2550" customFormat="false" ht="15" hidden="false" customHeight="false" outlineLevel="0" collapsed="false">
      <c r="A2550" s="0" t="s">
        <v>71</v>
      </c>
      <c r="B2550" s="0" t="s">
        <v>2329</v>
      </c>
      <c r="C2550" s="0" t="s">
        <v>4987</v>
      </c>
      <c r="E2550" s="0" t="s">
        <v>1479</v>
      </c>
    </row>
    <row r="2551" customFormat="false" ht="15" hidden="false" customHeight="false" outlineLevel="0" collapsed="false">
      <c r="A2551" s="0" t="s">
        <v>71</v>
      </c>
      <c r="B2551" s="0" t="s">
        <v>4988</v>
      </c>
      <c r="C2551" s="0" t="s">
        <v>4989</v>
      </c>
      <c r="E2551" s="0" t="s">
        <v>1479</v>
      </c>
    </row>
    <row r="2552" customFormat="false" ht="15" hidden="false" customHeight="false" outlineLevel="0" collapsed="false">
      <c r="A2552" s="0" t="s">
        <v>71</v>
      </c>
      <c r="B2552" s="0" t="s">
        <v>4990</v>
      </c>
      <c r="C2552" s="0" t="s">
        <v>4991</v>
      </c>
      <c r="E2552" s="0" t="s">
        <v>1479</v>
      </c>
    </row>
    <row r="2553" customFormat="false" ht="15" hidden="false" customHeight="false" outlineLevel="0" collapsed="false">
      <c r="A2553" s="0" t="s">
        <v>71</v>
      </c>
      <c r="B2553" s="0" t="s">
        <v>1512</v>
      </c>
      <c r="C2553" s="0" t="s">
        <v>4992</v>
      </c>
      <c r="E2553" s="0" t="s">
        <v>1479</v>
      </c>
    </row>
    <row r="2554" customFormat="false" ht="15" hidden="false" customHeight="false" outlineLevel="0" collapsed="false">
      <c r="A2554" s="0" t="s">
        <v>71</v>
      </c>
      <c r="B2554" s="0" t="s">
        <v>1515</v>
      </c>
      <c r="C2554" s="0" t="s">
        <v>4993</v>
      </c>
      <c r="E2554" s="0" t="s">
        <v>1479</v>
      </c>
    </row>
    <row r="2555" customFormat="false" ht="15" hidden="false" customHeight="false" outlineLevel="0" collapsed="false">
      <c r="A2555" s="0" t="s">
        <v>71</v>
      </c>
      <c r="B2555" s="0" t="s">
        <v>2337</v>
      </c>
      <c r="C2555" s="0" t="s">
        <v>4994</v>
      </c>
      <c r="E2555" s="0" t="s">
        <v>1479</v>
      </c>
    </row>
    <row r="2556" customFormat="false" ht="15" hidden="false" customHeight="false" outlineLevel="0" collapsed="false">
      <c r="A2556" s="0" t="s">
        <v>71</v>
      </c>
      <c r="B2556" s="0" t="s">
        <v>2339</v>
      </c>
      <c r="C2556" s="0" t="s">
        <v>4995</v>
      </c>
      <c r="E2556" s="0" t="s">
        <v>1479</v>
      </c>
    </row>
    <row r="2557" customFormat="false" ht="15" hidden="false" customHeight="false" outlineLevel="0" collapsed="false">
      <c r="A2557" s="0" t="s">
        <v>71</v>
      </c>
      <c r="B2557" s="0" t="s">
        <v>2341</v>
      </c>
      <c r="C2557" s="0" t="s">
        <v>4996</v>
      </c>
      <c r="E2557" s="0" t="s">
        <v>1479</v>
      </c>
    </row>
    <row r="2558" customFormat="false" ht="15" hidden="false" customHeight="false" outlineLevel="0" collapsed="false">
      <c r="A2558" s="0" t="s">
        <v>71</v>
      </c>
      <c r="B2558" s="0" t="s">
        <v>2343</v>
      </c>
      <c r="C2558" s="0" t="s">
        <v>4997</v>
      </c>
      <c r="E2558" s="0" t="s">
        <v>1479</v>
      </c>
    </row>
    <row r="2559" customFormat="false" ht="15" hidden="false" customHeight="false" outlineLevel="0" collapsed="false">
      <c r="A2559" s="0" t="s">
        <v>71</v>
      </c>
      <c r="B2559" s="0" t="s">
        <v>2345</v>
      </c>
      <c r="C2559" s="0" t="s">
        <v>4998</v>
      </c>
      <c r="E2559" s="0" t="s">
        <v>1479</v>
      </c>
    </row>
    <row r="2560" customFormat="false" ht="15" hidden="false" customHeight="false" outlineLevel="0" collapsed="false">
      <c r="A2560" s="0" t="s">
        <v>71</v>
      </c>
      <c r="B2560" s="0" t="s">
        <v>2347</v>
      </c>
      <c r="C2560" s="0" t="s">
        <v>4999</v>
      </c>
      <c r="E2560" s="0" t="s">
        <v>1479</v>
      </c>
    </row>
    <row r="2561" customFormat="false" ht="15" hidden="false" customHeight="false" outlineLevel="0" collapsed="false">
      <c r="A2561" s="0" t="s">
        <v>71</v>
      </c>
      <c r="B2561" s="0" t="s">
        <v>5000</v>
      </c>
      <c r="C2561" s="0" t="s">
        <v>5001</v>
      </c>
      <c r="E2561" s="0" t="s">
        <v>1479</v>
      </c>
    </row>
    <row r="2562" customFormat="false" ht="15" hidden="false" customHeight="false" outlineLevel="0" collapsed="false">
      <c r="A2562" s="0" t="s">
        <v>71</v>
      </c>
      <c r="B2562" s="0" t="s">
        <v>5002</v>
      </c>
      <c r="C2562" s="0" t="s">
        <v>5003</v>
      </c>
      <c r="E2562" s="0" t="s">
        <v>1479</v>
      </c>
    </row>
    <row r="2563" customFormat="false" ht="15" hidden="false" customHeight="false" outlineLevel="0" collapsed="false">
      <c r="A2563" s="0" t="s">
        <v>71</v>
      </c>
      <c r="B2563" s="0" t="s">
        <v>1524</v>
      </c>
      <c r="C2563" s="0" t="s">
        <v>5004</v>
      </c>
      <c r="E2563" s="0" t="s">
        <v>1479</v>
      </c>
    </row>
    <row r="2564" customFormat="false" ht="15" hidden="false" customHeight="false" outlineLevel="0" collapsed="false">
      <c r="A2564" s="0" t="s">
        <v>71</v>
      </c>
      <c r="B2564" s="0" t="s">
        <v>1527</v>
      </c>
      <c r="C2564" s="0" t="s">
        <v>5005</v>
      </c>
      <c r="E2564" s="0" t="s">
        <v>1479</v>
      </c>
    </row>
    <row r="2565" customFormat="false" ht="15" hidden="false" customHeight="false" outlineLevel="0" collapsed="false">
      <c r="A2565" s="0" t="s">
        <v>71</v>
      </c>
      <c r="B2565" s="0" t="s">
        <v>2926</v>
      </c>
      <c r="C2565" s="0" t="s">
        <v>5006</v>
      </c>
      <c r="E2565" s="0" t="s">
        <v>1479</v>
      </c>
    </row>
    <row r="2566" customFormat="false" ht="15" hidden="false" customHeight="false" outlineLevel="0" collapsed="false">
      <c r="A2566" s="0" t="s">
        <v>71</v>
      </c>
      <c r="B2566" s="0" t="s">
        <v>2561</v>
      </c>
      <c r="C2566" s="0" t="s">
        <v>5007</v>
      </c>
      <c r="E2566" s="0" t="s">
        <v>1479</v>
      </c>
    </row>
    <row r="2567" customFormat="false" ht="15" hidden="false" customHeight="false" outlineLevel="0" collapsed="false">
      <c r="A2567" s="0" t="s">
        <v>71</v>
      </c>
      <c r="B2567" s="0" t="s">
        <v>2563</v>
      </c>
      <c r="C2567" s="0" t="s">
        <v>5008</v>
      </c>
      <c r="E2567" s="0" t="s">
        <v>1479</v>
      </c>
    </row>
    <row r="2568" customFormat="false" ht="15" hidden="false" customHeight="false" outlineLevel="0" collapsed="false">
      <c r="A2568" s="0" t="s">
        <v>71</v>
      </c>
      <c r="B2568" s="0" t="s">
        <v>2930</v>
      </c>
      <c r="C2568" s="0" t="s">
        <v>5009</v>
      </c>
      <c r="E2568" s="0" t="s">
        <v>1479</v>
      </c>
    </row>
    <row r="2569" customFormat="false" ht="15" hidden="false" customHeight="false" outlineLevel="0" collapsed="false">
      <c r="A2569" s="0" t="s">
        <v>71</v>
      </c>
      <c r="B2569" s="0" t="s">
        <v>3506</v>
      </c>
      <c r="C2569" s="0" t="s">
        <v>5010</v>
      </c>
      <c r="E2569" s="0" t="s">
        <v>1479</v>
      </c>
    </row>
    <row r="2570" customFormat="false" ht="15" hidden="false" customHeight="false" outlineLevel="0" collapsed="false">
      <c r="A2570" s="0" t="s">
        <v>71</v>
      </c>
      <c r="B2570" s="0" t="s">
        <v>2932</v>
      </c>
      <c r="C2570" s="0" t="s">
        <v>5011</v>
      </c>
      <c r="E2570" s="0" t="s">
        <v>1479</v>
      </c>
    </row>
    <row r="2571" customFormat="false" ht="15" hidden="false" customHeight="false" outlineLevel="0" collapsed="false">
      <c r="A2571" s="0" t="s">
        <v>71</v>
      </c>
      <c r="B2571" s="0" t="s">
        <v>5012</v>
      </c>
      <c r="C2571" s="0" t="s">
        <v>5013</v>
      </c>
      <c r="E2571" s="0" t="s">
        <v>1479</v>
      </c>
    </row>
    <row r="2572" customFormat="false" ht="15" hidden="false" customHeight="false" outlineLevel="0" collapsed="false">
      <c r="A2572" s="0" t="s">
        <v>71</v>
      </c>
      <c r="B2572" s="0" t="s">
        <v>5014</v>
      </c>
      <c r="C2572" s="0" t="s">
        <v>5015</v>
      </c>
      <c r="E2572" s="0" t="s">
        <v>1479</v>
      </c>
    </row>
    <row r="2573" customFormat="false" ht="15" hidden="false" customHeight="false" outlineLevel="0" collapsed="false">
      <c r="A2573" s="0" t="s">
        <v>71</v>
      </c>
      <c r="B2573" s="0" t="s">
        <v>1535</v>
      </c>
      <c r="C2573" s="0" t="s">
        <v>5016</v>
      </c>
      <c r="E2573" s="0" t="s">
        <v>1479</v>
      </c>
    </row>
    <row r="2574" customFormat="false" ht="15" hidden="false" customHeight="false" outlineLevel="0" collapsed="false">
      <c r="A2574" s="0" t="s">
        <v>71</v>
      </c>
      <c r="B2574" s="0" t="s">
        <v>1537</v>
      </c>
      <c r="C2574" s="0" t="s">
        <v>5017</v>
      </c>
      <c r="E2574" s="0" t="s">
        <v>1479</v>
      </c>
    </row>
    <row r="2575" customFormat="false" ht="15" hidden="false" customHeight="false" outlineLevel="0" collapsed="false">
      <c r="A2575" s="0" t="s">
        <v>71</v>
      </c>
      <c r="B2575" s="0" t="s">
        <v>3652</v>
      </c>
      <c r="C2575" s="0" t="s">
        <v>5018</v>
      </c>
      <c r="E2575" s="0" t="s">
        <v>1479</v>
      </c>
    </row>
    <row r="2576" customFormat="false" ht="15" hidden="false" customHeight="false" outlineLevel="0" collapsed="false">
      <c r="A2576" s="0" t="s">
        <v>71</v>
      </c>
      <c r="B2576" s="0" t="s">
        <v>2571</v>
      </c>
      <c r="C2576" s="0" t="s">
        <v>5019</v>
      </c>
      <c r="E2576" s="0" t="s">
        <v>1479</v>
      </c>
    </row>
    <row r="2577" customFormat="false" ht="15" hidden="false" customHeight="false" outlineLevel="0" collapsed="false">
      <c r="A2577" s="0" t="s">
        <v>71</v>
      </c>
      <c r="B2577" s="0" t="s">
        <v>2573</v>
      </c>
      <c r="C2577" s="0" t="s">
        <v>5020</v>
      </c>
      <c r="E2577" s="0" t="s">
        <v>1479</v>
      </c>
    </row>
    <row r="2578" customFormat="false" ht="15" hidden="false" customHeight="false" outlineLevel="0" collapsed="false">
      <c r="A2578" s="0" t="s">
        <v>71</v>
      </c>
      <c r="B2578" s="0" t="s">
        <v>4761</v>
      </c>
      <c r="C2578" s="0" t="s">
        <v>5021</v>
      </c>
      <c r="E2578" s="0" t="s">
        <v>1479</v>
      </c>
    </row>
    <row r="2579" customFormat="false" ht="15" hidden="false" customHeight="false" outlineLevel="0" collapsed="false">
      <c r="A2579" s="0" t="s">
        <v>71</v>
      </c>
      <c r="B2579" s="0" t="s">
        <v>3516</v>
      </c>
      <c r="C2579" s="0" t="s">
        <v>5022</v>
      </c>
      <c r="E2579" s="0" t="s">
        <v>1479</v>
      </c>
    </row>
    <row r="2580" customFormat="false" ht="15" hidden="false" customHeight="false" outlineLevel="0" collapsed="false">
      <c r="A2580" s="0" t="s">
        <v>71</v>
      </c>
      <c r="B2580" s="0" t="s">
        <v>4764</v>
      </c>
      <c r="C2580" s="0" t="s">
        <v>5023</v>
      </c>
      <c r="E2580" s="0" t="s">
        <v>1479</v>
      </c>
    </row>
    <row r="2581" customFormat="false" ht="15" hidden="false" customHeight="false" outlineLevel="0" collapsed="false">
      <c r="A2581" s="0" t="s">
        <v>71</v>
      </c>
      <c r="B2581" s="0" t="s">
        <v>5024</v>
      </c>
      <c r="C2581" s="0" t="s">
        <v>5025</v>
      </c>
      <c r="E2581" s="0" t="s">
        <v>1479</v>
      </c>
    </row>
    <row r="2582" customFormat="false" ht="15" hidden="false" customHeight="false" outlineLevel="0" collapsed="false">
      <c r="A2582" s="0" t="s">
        <v>71</v>
      </c>
      <c r="B2582" s="0" t="s">
        <v>5026</v>
      </c>
      <c r="C2582" s="0" t="s">
        <v>5027</v>
      </c>
      <c r="E2582" s="0" t="s">
        <v>1479</v>
      </c>
    </row>
    <row r="2583" customFormat="false" ht="15" hidden="false" customHeight="false" outlineLevel="0" collapsed="false">
      <c r="A2583" s="0" t="s">
        <v>71</v>
      </c>
      <c r="B2583" s="0" t="s">
        <v>1544</v>
      </c>
      <c r="C2583" s="0" t="s">
        <v>5028</v>
      </c>
      <c r="E2583" s="0" t="s">
        <v>1479</v>
      </c>
    </row>
    <row r="2584" customFormat="false" ht="15" hidden="false" customHeight="false" outlineLevel="0" collapsed="false">
      <c r="A2584" s="0" t="s">
        <v>71</v>
      </c>
      <c r="B2584" s="0" t="s">
        <v>1546</v>
      </c>
      <c r="C2584" s="0" t="s">
        <v>5029</v>
      </c>
      <c r="E2584" s="0" t="s">
        <v>1479</v>
      </c>
    </row>
    <row r="2585" customFormat="false" ht="15" hidden="false" customHeight="false" outlineLevel="0" collapsed="false">
      <c r="A2585" s="0" t="s">
        <v>71</v>
      </c>
      <c r="B2585" s="0" t="s">
        <v>3655</v>
      </c>
      <c r="C2585" s="0" t="s">
        <v>5030</v>
      </c>
      <c r="E2585" s="0" t="s">
        <v>1479</v>
      </c>
    </row>
    <row r="2586" customFormat="false" ht="15" hidden="false" customHeight="false" outlineLevel="0" collapsed="false">
      <c r="A2586" s="0" t="s">
        <v>71</v>
      </c>
      <c r="B2586" s="0" t="s">
        <v>2581</v>
      </c>
      <c r="C2586" s="0" t="s">
        <v>5031</v>
      </c>
      <c r="E2586" s="0" t="s">
        <v>1479</v>
      </c>
    </row>
    <row r="2587" customFormat="false" ht="15" hidden="false" customHeight="false" outlineLevel="0" collapsed="false">
      <c r="A2587" s="0" t="s">
        <v>71</v>
      </c>
      <c r="B2587" s="0" t="s">
        <v>2583</v>
      </c>
      <c r="C2587" s="0" t="s">
        <v>5032</v>
      </c>
      <c r="E2587" s="0" t="s">
        <v>1479</v>
      </c>
    </row>
    <row r="2588" customFormat="false" ht="15" hidden="false" customHeight="false" outlineLevel="0" collapsed="false">
      <c r="A2588" s="0" t="s">
        <v>71</v>
      </c>
      <c r="B2588" s="0" t="s">
        <v>4773</v>
      </c>
      <c r="C2588" s="0" t="s">
        <v>5033</v>
      </c>
      <c r="E2588" s="0" t="s">
        <v>1479</v>
      </c>
    </row>
    <row r="2589" customFormat="false" ht="15" hidden="false" customHeight="false" outlineLevel="0" collapsed="false">
      <c r="A2589" s="0" t="s">
        <v>71</v>
      </c>
      <c r="B2589" s="0" t="s">
        <v>3526</v>
      </c>
      <c r="C2589" s="0" t="s">
        <v>5034</v>
      </c>
      <c r="E2589" s="0" t="s">
        <v>1479</v>
      </c>
    </row>
    <row r="2590" customFormat="false" ht="15" hidden="false" customHeight="false" outlineLevel="0" collapsed="false">
      <c r="A2590" s="0" t="s">
        <v>71</v>
      </c>
      <c r="B2590" s="0" t="s">
        <v>4776</v>
      </c>
      <c r="C2590" s="0" t="s">
        <v>5035</v>
      </c>
      <c r="E2590" s="0" t="s">
        <v>1479</v>
      </c>
    </row>
    <row r="2591" customFormat="false" ht="15" hidden="false" customHeight="false" outlineLevel="0" collapsed="false">
      <c r="A2591" s="0" t="s">
        <v>71</v>
      </c>
      <c r="B2591" s="0" t="s">
        <v>5036</v>
      </c>
      <c r="C2591" s="0" t="s">
        <v>5037</v>
      </c>
      <c r="E2591" s="0" t="s">
        <v>1479</v>
      </c>
    </row>
    <row r="2592" customFormat="false" ht="15" hidden="false" customHeight="false" outlineLevel="0" collapsed="false">
      <c r="A2592" s="0" t="s">
        <v>71</v>
      </c>
      <c r="B2592" s="0" t="s">
        <v>5038</v>
      </c>
      <c r="C2592" s="0" t="s">
        <v>5039</v>
      </c>
      <c r="E2592" s="0" t="s">
        <v>1479</v>
      </c>
    </row>
    <row r="2593" customFormat="false" ht="15" hidden="false" customHeight="false" outlineLevel="0" collapsed="false">
      <c r="A2593" s="0" t="s">
        <v>71</v>
      </c>
      <c r="B2593" s="0" t="s">
        <v>1552</v>
      </c>
      <c r="C2593" s="0" t="s">
        <v>5040</v>
      </c>
      <c r="E2593" s="0" t="s">
        <v>1479</v>
      </c>
    </row>
    <row r="2594" customFormat="false" ht="15" hidden="false" customHeight="false" outlineLevel="0" collapsed="false">
      <c r="A2594" s="0" t="s">
        <v>71</v>
      </c>
      <c r="B2594" s="0" t="s">
        <v>1554</v>
      </c>
      <c r="C2594" s="0" t="s">
        <v>5041</v>
      </c>
      <c r="E2594" s="0" t="s">
        <v>1479</v>
      </c>
    </row>
    <row r="2595" customFormat="false" ht="15" hidden="false" customHeight="false" outlineLevel="0" collapsed="false">
      <c r="A2595" s="0" t="s">
        <v>71</v>
      </c>
      <c r="B2595" s="0" t="s">
        <v>3658</v>
      </c>
      <c r="C2595" s="0" t="s">
        <v>5042</v>
      </c>
      <c r="E2595" s="0" t="s">
        <v>1479</v>
      </c>
    </row>
    <row r="2596" customFormat="false" ht="15" hidden="false" customHeight="false" outlineLevel="0" collapsed="false">
      <c r="A2596" s="0" t="s">
        <v>71</v>
      </c>
      <c r="B2596" s="0" t="s">
        <v>2593</v>
      </c>
      <c r="C2596" s="0" t="s">
        <v>5043</v>
      </c>
      <c r="E2596" s="0" t="s">
        <v>1479</v>
      </c>
    </row>
    <row r="2597" customFormat="false" ht="15" hidden="false" customHeight="false" outlineLevel="0" collapsed="false">
      <c r="A2597" s="0" t="s">
        <v>71</v>
      </c>
      <c r="B2597" s="0" t="s">
        <v>2595</v>
      </c>
      <c r="C2597" s="0" t="s">
        <v>5044</v>
      </c>
      <c r="E2597" s="0" t="s">
        <v>1479</v>
      </c>
    </row>
    <row r="2598" customFormat="false" ht="15" hidden="false" customHeight="false" outlineLevel="0" collapsed="false">
      <c r="A2598" s="0" t="s">
        <v>71</v>
      </c>
      <c r="B2598" s="0" t="s">
        <v>4785</v>
      </c>
      <c r="C2598" s="0" t="s">
        <v>5045</v>
      </c>
      <c r="E2598" s="0" t="s">
        <v>1479</v>
      </c>
    </row>
    <row r="2599" customFormat="false" ht="15" hidden="false" customHeight="false" outlineLevel="0" collapsed="false">
      <c r="A2599" s="0" t="s">
        <v>71</v>
      </c>
      <c r="B2599" s="0" t="s">
        <v>3536</v>
      </c>
      <c r="C2599" s="0" t="s">
        <v>5046</v>
      </c>
      <c r="E2599" s="0" t="s">
        <v>1479</v>
      </c>
    </row>
    <row r="2600" customFormat="false" ht="15" hidden="false" customHeight="false" outlineLevel="0" collapsed="false">
      <c r="A2600" s="0" t="s">
        <v>71</v>
      </c>
      <c r="B2600" s="0" t="s">
        <v>4788</v>
      </c>
      <c r="C2600" s="0" t="s">
        <v>5047</v>
      </c>
      <c r="E2600" s="0" t="s">
        <v>1479</v>
      </c>
    </row>
    <row r="2601" customFormat="false" ht="15" hidden="false" customHeight="false" outlineLevel="0" collapsed="false">
      <c r="A2601" s="0" t="s">
        <v>71</v>
      </c>
      <c r="B2601" s="0" t="s">
        <v>5048</v>
      </c>
      <c r="C2601" s="0" t="s">
        <v>5049</v>
      </c>
      <c r="E2601" s="0" t="s">
        <v>1479</v>
      </c>
    </row>
    <row r="2602" customFormat="false" ht="15" hidden="false" customHeight="false" outlineLevel="0" collapsed="false">
      <c r="A2602" s="0" t="s">
        <v>71</v>
      </c>
      <c r="B2602" s="0" t="s">
        <v>5050</v>
      </c>
      <c r="C2602" s="0" t="s">
        <v>5051</v>
      </c>
      <c r="E2602" s="0" t="s">
        <v>1479</v>
      </c>
    </row>
    <row r="2603" customFormat="false" ht="15" hidden="false" customHeight="false" outlineLevel="0" collapsed="false">
      <c r="A2603" s="0" t="s">
        <v>71</v>
      </c>
      <c r="B2603" s="0" t="s">
        <v>2605</v>
      </c>
      <c r="C2603" s="0" t="s">
        <v>5052</v>
      </c>
      <c r="E2603" s="0" t="s">
        <v>1479</v>
      </c>
    </row>
    <row r="2604" customFormat="false" ht="15" hidden="false" customHeight="false" outlineLevel="0" collapsed="false">
      <c r="A2604" s="0" t="s">
        <v>71</v>
      </c>
      <c r="B2604" s="0" t="s">
        <v>2607</v>
      </c>
      <c r="C2604" s="0" t="s">
        <v>5053</v>
      </c>
      <c r="E2604" s="0" t="s">
        <v>1479</v>
      </c>
    </row>
    <row r="2605" customFormat="false" ht="15" hidden="false" customHeight="false" outlineLevel="0" collapsed="false">
      <c r="A2605" s="0" t="s">
        <v>71</v>
      </c>
      <c r="B2605" s="0" t="s">
        <v>4464</v>
      </c>
      <c r="C2605" s="0" t="s">
        <v>5054</v>
      </c>
      <c r="E2605" s="0" t="s">
        <v>1479</v>
      </c>
    </row>
    <row r="2606" customFormat="false" ht="15" hidden="false" customHeight="false" outlineLevel="0" collapsed="false">
      <c r="A2606" s="0" t="s">
        <v>71</v>
      </c>
      <c r="B2606" s="0" t="s">
        <v>2609</v>
      </c>
      <c r="C2606" s="0" t="s">
        <v>5055</v>
      </c>
      <c r="E2606" s="0" t="s">
        <v>1479</v>
      </c>
    </row>
    <row r="2607" customFormat="false" ht="15" hidden="false" customHeight="false" outlineLevel="0" collapsed="false">
      <c r="A2607" s="0" t="s">
        <v>71</v>
      </c>
      <c r="B2607" s="0" t="s">
        <v>2611</v>
      </c>
      <c r="C2607" s="0" t="s">
        <v>5056</v>
      </c>
      <c r="E2607" s="0" t="s">
        <v>1479</v>
      </c>
    </row>
    <row r="2608" customFormat="false" ht="15" hidden="false" customHeight="false" outlineLevel="0" collapsed="false">
      <c r="A2608" s="0" t="s">
        <v>71</v>
      </c>
      <c r="B2608" s="0" t="s">
        <v>4797</v>
      </c>
      <c r="C2608" s="0" t="s">
        <v>5057</v>
      </c>
      <c r="E2608" s="0" t="s">
        <v>1479</v>
      </c>
    </row>
    <row r="2609" customFormat="false" ht="15" hidden="false" customHeight="false" outlineLevel="0" collapsed="false">
      <c r="A2609" s="0" t="s">
        <v>71</v>
      </c>
      <c r="B2609" s="0" t="s">
        <v>4468</v>
      </c>
      <c r="C2609" s="0" t="s">
        <v>5058</v>
      </c>
      <c r="E2609" s="0" t="s">
        <v>1479</v>
      </c>
    </row>
    <row r="2610" customFormat="false" ht="15" hidden="false" customHeight="false" outlineLevel="0" collapsed="false">
      <c r="A2610" s="0" t="s">
        <v>71</v>
      </c>
      <c r="B2610" s="0" t="s">
        <v>4800</v>
      </c>
      <c r="C2610" s="0" t="s">
        <v>5059</v>
      </c>
      <c r="E2610" s="0" t="s">
        <v>1479</v>
      </c>
    </row>
    <row r="2611" customFormat="false" ht="15" hidden="false" customHeight="false" outlineLevel="0" collapsed="false">
      <c r="A2611" s="0" t="s">
        <v>71</v>
      </c>
      <c r="B2611" s="0" t="s">
        <v>5060</v>
      </c>
      <c r="C2611" s="0" t="s">
        <v>5061</v>
      </c>
      <c r="E2611" s="0" t="s">
        <v>1479</v>
      </c>
    </row>
    <row r="2612" customFormat="false" ht="15" hidden="false" customHeight="false" outlineLevel="0" collapsed="false">
      <c r="A2612" s="0" t="s">
        <v>71</v>
      </c>
      <c r="B2612" s="0" t="s">
        <v>5062</v>
      </c>
      <c r="C2612" s="0" t="s">
        <v>5063</v>
      </c>
      <c r="E2612" s="0" t="s">
        <v>1479</v>
      </c>
    </row>
    <row r="2613" customFormat="false" ht="15" hidden="false" customHeight="false" outlineLevel="0" collapsed="false">
      <c r="A2613" s="0" t="s">
        <v>71</v>
      </c>
      <c r="B2613" s="0" t="s">
        <v>2621</v>
      </c>
      <c r="C2613" s="0" t="s">
        <v>5064</v>
      </c>
      <c r="E2613" s="0" t="s">
        <v>5065</v>
      </c>
    </row>
    <row r="2614" customFormat="false" ht="15" hidden="false" customHeight="false" outlineLevel="0" collapsed="false">
      <c r="A2614" s="0" t="s">
        <v>71</v>
      </c>
      <c r="B2614" s="0" t="s">
        <v>2623</v>
      </c>
      <c r="C2614" s="0" t="s">
        <v>5066</v>
      </c>
      <c r="E2614" s="0" t="s">
        <v>5067</v>
      </c>
    </row>
    <row r="2615" customFormat="false" ht="15" hidden="false" customHeight="false" outlineLevel="0" collapsed="false">
      <c r="A2615" s="0" t="s">
        <v>71</v>
      </c>
      <c r="B2615" s="0" t="s">
        <v>4471</v>
      </c>
      <c r="C2615" s="0" t="s">
        <v>5068</v>
      </c>
      <c r="E2615" s="0" t="s">
        <v>5069</v>
      </c>
    </row>
    <row r="2616" customFormat="false" ht="15" hidden="false" customHeight="false" outlineLevel="0" collapsed="false">
      <c r="A2616" s="0" t="s">
        <v>71</v>
      </c>
      <c r="B2616" s="0" t="s">
        <v>2625</v>
      </c>
      <c r="C2616" s="0" t="s">
        <v>5070</v>
      </c>
      <c r="E2616" s="0" t="s">
        <v>1479</v>
      </c>
    </row>
    <row r="2617" customFormat="false" ht="15" hidden="false" customHeight="false" outlineLevel="0" collapsed="false">
      <c r="A2617" s="0" t="s">
        <v>71</v>
      </c>
      <c r="B2617" s="0" t="s">
        <v>2627</v>
      </c>
      <c r="C2617" s="0" t="s">
        <v>5071</v>
      </c>
      <c r="E2617" s="0" t="s">
        <v>1479</v>
      </c>
    </row>
    <row r="2618" customFormat="false" ht="15" hidden="false" customHeight="false" outlineLevel="0" collapsed="false">
      <c r="A2618" s="0" t="s">
        <v>71</v>
      </c>
      <c r="B2618" s="0" t="s">
        <v>5072</v>
      </c>
      <c r="C2618" s="0" t="s">
        <v>5073</v>
      </c>
      <c r="E2618" s="0" t="s">
        <v>1479</v>
      </c>
    </row>
    <row r="2619" customFormat="false" ht="15" hidden="false" customHeight="false" outlineLevel="0" collapsed="false">
      <c r="A2619" s="0" t="s">
        <v>71</v>
      </c>
      <c r="B2619" s="0" t="s">
        <v>4475</v>
      </c>
      <c r="C2619" s="0" t="s">
        <v>5074</v>
      </c>
      <c r="E2619" s="0" t="s">
        <v>1479</v>
      </c>
    </row>
    <row r="2620" customFormat="false" ht="15" hidden="false" customHeight="false" outlineLevel="0" collapsed="false">
      <c r="A2620" s="0" t="s">
        <v>71</v>
      </c>
      <c r="B2620" s="0" t="s">
        <v>5075</v>
      </c>
      <c r="C2620" s="0" t="s">
        <v>5076</v>
      </c>
      <c r="E2620" s="0" t="s">
        <v>1479</v>
      </c>
    </row>
    <row r="2621" customFormat="false" ht="15" hidden="false" customHeight="false" outlineLevel="0" collapsed="false">
      <c r="A2621" s="0" t="s">
        <v>71</v>
      </c>
      <c r="B2621" s="0" t="s">
        <v>5077</v>
      </c>
      <c r="C2621" s="0" t="s">
        <v>5078</v>
      </c>
      <c r="E2621" s="0" t="s">
        <v>1479</v>
      </c>
    </row>
    <row r="2622" customFormat="false" ht="15" hidden="false" customHeight="false" outlineLevel="0" collapsed="false">
      <c r="A2622" s="0" t="s">
        <v>71</v>
      </c>
      <c r="B2622" s="0" t="s">
        <v>5079</v>
      </c>
      <c r="C2622" s="0" t="s">
        <v>5080</v>
      </c>
      <c r="E2622" s="0" t="s">
        <v>1479</v>
      </c>
    </row>
    <row r="2623" customFormat="false" ht="15" hidden="false" customHeight="false" outlineLevel="0" collapsed="false">
      <c r="A2623" s="0" t="s">
        <v>71</v>
      </c>
      <c r="B2623" s="0" t="s">
        <v>2635</v>
      </c>
      <c r="C2623" s="0" t="s">
        <v>5081</v>
      </c>
      <c r="E2623" s="0" t="s">
        <v>5082</v>
      </c>
    </row>
    <row r="2624" customFormat="false" ht="15" hidden="false" customHeight="false" outlineLevel="0" collapsed="false">
      <c r="A2624" s="0" t="s">
        <v>71</v>
      </c>
      <c r="B2624" s="0" t="s">
        <v>2637</v>
      </c>
      <c r="C2624" s="0" t="s">
        <v>5083</v>
      </c>
      <c r="E2624" s="0" t="s">
        <v>5084</v>
      </c>
    </row>
    <row r="2625" customFormat="false" ht="15" hidden="false" customHeight="false" outlineLevel="0" collapsed="false">
      <c r="A2625" s="0" t="s">
        <v>71</v>
      </c>
      <c r="B2625" s="0" t="s">
        <v>4478</v>
      </c>
      <c r="C2625" s="0" t="s">
        <v>5085</v>
      </c>
      <c r="E2625" s="0" t="s">
        <v>5086</v>
      </c>
    </row>
    <row r="2626" customFormat="false" ht="15" hidden="false" customHeight="false" outlineLevel="0" collapsed="false">
      <c r="A2626" s="0" t="s">
        <v>71</v>
      </c>
      <c r="B2626" s="0" t="s">
        <v>2639</v>
      </c>
      <c r="C2626" s="0" t="s">
        <v>5087</v>
      </c>
      <c r="E2626" s="0" t="s">
        <v>1479</v>
      </c>
    </row>
    <row r="2627" customFormat="false" ht="15" hidden="false" customHeight="false" outlineLevel="0" collapsed="false">
      <c r="A2627" s="0" t="s">
        <v>71</v>
      </c>
      <c r="B2627" s="0" t="s">
        <v>2641</v>
      </c>
      <c r="C2627" s="0" t="s">
        <v>5088</v>
      </c>
      <c r="E2627" s="0" t="s">
        <v>1479</v>
      </c>
    </row>
    <row r="2628" customFormat="false" ht="15" hidden="false" customHeight="false" outlineLevel="0" collapsed="false">
      <c r="A2628" s="0" t="s">
        <v>71</v>
      </c>
      <c r="B2628" s="0" t="s">
        <v>5089</v>
      </c>
      <c r="C2628" s="0" t="s">
        <v>5090</v>
      </c>
      <c r="E2628" s="0" t="s">
        <v>1479</v>
      </c>
    </row>
    <row r="2629" customFormat="false" ht="15" hidden="false" customHeight="false" outlineLevel="0" collapsed="false">
      <c r="A2629" s="0" t="s">
        <v>71</v>
      </c>
      <c r="B2629" s="0" t="s">
        <v>4482</v>
      </c>
      <c r="C2629" s="0" t="s">
        <v>5091</v>
      </c>
      <c r="E2629" s="0" t="s">
        <v>1479</v>
      </c>
    </row>
    <row r="2630" customFormat="false" ht="15" hidden="false" customHeight="false" outlineLevel="0" collapsed="false">
      <c r="A2630" s="0" t="s">
        <v>71</v>
      </c>
      <c r="B2630" s="0" t="s">
        <v>5092</v>
      </c>
      <c r="C2630" s="0" t="s">
        <v>5093</v>
      </c>
      <c r="E2630" s="0" t="s">
        <v>1479</v>
      </c>
    </row>
    <row r="2631" customFormat="false" ht="15" hidden="false" customHeight="false" outlineLevel="0" collapsed="false">
      <c r="A2631" s="0" t="s">
        <v>71</v>
      </c>
      <c r="B2631" s="0" t="s">
        <v>5094</v>
      </c>
      <c r="C2631" s="0" t="s">
        <v>5095</v>
      </c>
      <c r="E2631" s="0" t="s">
        <v>1479</v>
      </c>
    </row>
    <row r="2632" customFormat="false" ht="15" hidden="false" customHeight="false" outlineLevel="0" collapsed="false">
      <c r="A2632" s="0" t="s">
        <v>71</v>
      </c>
      <c r="B2632" s="0" t="s">
        <v>5096</v>
      </c>
      <c r="C2632" s="0" t="s">
        <v>5097</v>
      </c>
      <c r="E2632" s="0" t="s">
        <v>1479</v>
      </c>
    </row>
    <row r="2633" customFormat="false" ht="15" hidden="false" customHeight="false" outlineLevel="0" collapsed="false">
      <c r="A2633" s="0" t="s">
        <v>71</v>
      </c>
      <c r="B2633" s="0" t="s">
        <v>2649</v>
      </c>
      <c r="C2633" s="0" t="s">
        <v>5098</v>
      </c>
      <c r="E2633" s="0" t="s">
        <v>1479</v>
      </c>
    </row>
    <row r="2634" customFormat="false" ht="15" hidden="false" customHeight="false" outlineLevel="0" collapsed="false">
      <c r="A2634" s="0" t="s">
        <v>71</v>
      </c>
      <c r="B2634" s="0" t="s">
        <v>2651</v>
      </c>
      <c r="C2634" s="0" t="s">
        <v>5099</v>
      </c>
      <c r="E2634" s="0" t="s">
        <v>1479</v>
      </c>
    </row>
    <row r="2635" customFormat="false" ht="15" hidden="false" customHeight="false" outlineLevel="0" collapsed="false">
      <c r="A2635" s="0" t="s">
        <v>71</v>
      </c>
      <c r="B2635" s="0" t="s">
        <v>4485</v>
      </c>
      <c r="C2635" s="0" t="s">
        <v>5100</v>
      </c>
      <c r="E2635" s="0" t="s">
        <v>1479</v>
      </c>
    </row>
    <row r="2636" customFormat="false" ht="15" hidden="false" customHeight="false" outlineLevel="0" collapsed="false">
      <c r="A2636" s="0" t="s">
        <v>71</v>
      </c>
      <c r="B2636" s="0" t="s">
        <v>2653</v>
      </c>
      <c r="C2636" s="0" t="s">
        <v>5101</v>
      </c>
      <c r="E2636" s="0" t="s">
        <v>1479</v>
      </c>
    </row>
    <row r="2637" customFormat="false" ht="15" hidden="false" customHeight="false" outlineLevel="0" collapsed="false">
      <c r="A2637" s="0" t="s">
        <v>71</v>
      </c>
      <c r="B2637" s="0" t="s">
        <v>2655</v>
      </c>
      <c r="C2637" s="0" t="s">
        <v>5102</v>
      </c>
      <c r="E2637" s="0" t="s">
        <v>1479</v>
      </c>
    </row>
    <row r="2638" customFormat="false" ht="15" hidden="false" customHeight="false" outlineLevel="0" collapsed="false">
      <c r="A2638" s="0" t="s">
        <v>71</v>
      </c>
      <c r="B2638" s="0" t="s">
        <v>5103</v>
      </c>
      <c r="C2638" s="0" t="s">
        <v>5104</v>
      </c>
      <c r="E2638" s="0" t="s">
        <v>1479</v>
      </c>
    </row>
    <row r="2639" customFormat="false" ht="15" hidden="false" customHeight="false" outlineLevel="0" collapsed="false">
      <c r="A2639" s="0" t="s">
        <v>71</v>
      </c>
      <c r="B2639" s="0" t="s">
        <v>4489</v>
      </c>
      <c r="C2639" s="0" t="s">
        <v>5105</v>
      </c>
      <c r="E2639" s="0" t="s">
        <v>1479</v>
      </c>
    </row>
    <row r="2640" customFormat="false" ht="15" hidden="false" customHeight="false" outlineLevel="0" collapsed="false">
      <c r="A2640" s="0" t="s">
        <v>71</v>
      </c>
      <c r="B2640" s="0" t="s">
        <v>5106</v>
      </c>
      <c r="C2640" s="0" t="s">
        <v>5107</v>
      </c>
      <c r="E2640" s="0" t="s">
        <v>1479</v>
      </c>
    </row>
    <row r="2641" customFormat="false" ht="15" hidden="false" customHeight="false" outlineLevel="0" collapsed="false">
      <c r="A2641" s="0" t="s">
        <v>71</v>
      </c>
      <c r="B2641" s="0" t="s">
        <v>5108</v>
      </c>
      <c r="C2641" s="0" t="s">
        <v>5109</v>
      </c>
      <c r="E2641" s="0" t="s">
        <v>1479</v>
      </c>
    </row>
    <row r="2642" customFormat="false" ht="15" hidden="false" customHeight="false" outlineLevel="0" collapsed="false">
      <c r="A2642" s="0" t="s">
        <v>71</v>
      </c>
      <c r="B2642" s="0" t="s">
        <v>5110</v>
      </c>
      <c r="C2642" s="0" t="s">
        <v>5111</v>
      </c>
      <c r="E2642" s="0" t="s">
        <v>1479</v>
      </c>
    </row>
    <row r="2643" customFormat="false" ht="15" hidden="false" customHeight="false" outlineLevel="0" collapsed="false">
      <c r="A2643" s="0" t="s">
        <v>71</v>
      </c>
      <c r="B2643" s="0" t="s">
        <v>2663</v>
      </c>
      <c r="C2643" s="0" t="s">
        <v>5112</v>
      </c>
      <c r="E2643" s="0" t="s">
        <v>1479</v>
      </c>
    </row>
    <row r="2644" customFormat="false" ht="15" hidden="false" customHeight="false" outlineLevel="0" collapsed="false">
      <c r="A2644" s="0" t="s">
        <v>71</v>
      </c>
      <c r="B2644" s="0" t="s">
        <v>2665</v>
      </c>
      <c r="C2644" s="0" t="s">
        <v>5113</v>
      </c>
      <c r="E2644" s="0" t="s">
        <v>1479</v>
      </c>
    </row>
    <row r="2645" customFormat="false" ht="15" hidden="false" customHeight="false" outlineLevel="0" collapsed="false">
      <c r="A2645" s="0" t="s">
        <v>71</v>
      </c>
      <c r="B2645" s="0" t="s">
        <v>4492</v>
      </c>
      <c r="C2645" s="0" t="s">
        <v>5114</v>
      </c>
      <c r="E2645" s="0" t="s">
        <v>1479</v>
      </c>
    </row>
    <row r="2646" customFormat="false" ht="15" hidden="false" customHeight="false" outlineLevel="0" collapsed="false">
      <c r="A2646" s="0" t="s">
        <v>71</v>
      </c>
      <c r="B2646" s="0" t="s">
        <v>2667</v>
      </c>
      <c r="C2646" s="0" t="s">
        <v>5115</v>
      </c>
      <c r="E2646" s="0" t="s">
        <v>1479</v>
      </c>
    </row>
    <row r="2647" customFormat="false" ht="15" hidden="false" customHeight="false" outlineLevel="0" collapsed="false">
      <c r="A2647" s="0" t="s">
        <v>71</v>
      </c>
      <c r="B2647" s="0" t="s">
        <v>2669</v>
      </c>
      <c r="C2647" s="0" t="s">
        <v>5116</v>
      </c>
      <c r="E2647" s="0" t="s">
        <v>1479</v>
      </c>
    </row>
    <row r="2648" customFormat="false" ht="15" hidden="false" customHeight="false" outlineLevel="0" collapsed="false">
      <c r="A2648" s="0" t="s">
        <v>71</v>
      </c>
      <c r="B2648" s="0" t="s">
        <v>5117</v>
      </c>
      <c r="C2648" s="0" t="s">
        <v>5118</v>
      </c>
      <c r="E2648" s="0" t="s">
        <v>1479</v>
      </c>
    </row>
    <row r="2649" customFormat="false" ht="15" hidden="false" customHeight="false" outlineLevel="0" collapsed="false">
      <c r="A2649" s="0" t="s">
        <v>71</v>
      </c>
      <c r="B2649" s="0" t="s">
        <v>4496</v>
      </c>
      <c r="C2649" s="0" t="s">
        <v>5119</v>
      </c>
      <c r="E2649" s="0" t="s">
        <v>1479</v>
      </c>
    </row>
    <row r="2650" customFormat="false" ht="15" hidden="false" customHeight="false" outlineLevel="0" collapsed="false">
      <c r="A2650" s="0" t="s">
        <v>71</v>
      </c>
      <c r="B2650" s="0" t="s">
        <v>5120</v>
      </c>
      <c r="C2650" s="0" t="s">
        <v>5121</v>
      </c>
      <c r="E2650" s="0" t="s">
        <v>1479</v>
      </c>
    </row>
    <row r="2651" customFormat="false" ht="15" hidden="false" customHeight="false" outlineLevel="0" collapsed="false">
      <c r="A2651" s="0" t="s">
        <v>71</v>
      </c>
      <c r="B2651" s="0" t="s">
        <v>5122</v>
      </c>
      <c r="C2651" s="0" t="s">
        <v>5123</v>
      </c>
      <c r="E2651" s="0" t="s">
        <v>1479</v>
      </c>
    </row>
    <row r="2652" customFormat="false" ht="15" hidden="false" customHeight="false" outlineLevel="0" collapsed="false">
      <c r="A2652" s="0" t="s">
        <v>71</v>
      </c>
      <c r="B2652" s="0" t="s">
        <v>5124</v>
      </c>
      <c r="C2652" s="0" t="s">
        <v>5125</v>
      </c>
      <c r="E2652" s="0" t="s">
        <v>1479</v>
      </c>
    </row>
    <row r="2653" customFormat="false" ht="15" hidden="false" customHeight="false" outlineLevel="0" collapsed="false">
      <c r="A2653" s="0" t="s">
        <v>71</v>
      </c>
      <c r="B2653" s="0" t="s">
        <v>2677</v>
      </c>
      <c r="C2653" s="0" t="s">
        <v>5126</v>
      </c>
      <c r="E2653" s="0" t="s">
        <v>1479</v>
      </c>
    </row>
    <row r="2654" customFormat="false" ht="15" hidden="false" customHeight="false" outlineLevel="0" collapsed="false">
      <c r="A2654" s="0" t="s">
        <v>71</v>
      </c>
      <c r="B2654" s="0" t="s">
        <v>2679</v>
      </c>
      <c r="C2654" s="0" t="s">
        <v>5127</v>
      </c>
      <c r="E2654" s="0" t="s">
        <v>1479</v>
      </c>
    </row>
    <row r="2655" customFormat="false" ht="15" hidden="false" customHeight="false" outlineLevel="0" collapsed="false">
      <c r="A2655" s="0" t="s">
        <v>71</v>
      </c>
      <c r="B2655" s="0" t="s">
        <v>4106</v>
      </c>
      <c r="C2655" s="0" t="s">
        <v>5128</v>
      </c>
      <c r="E2655" s="0" t="s">
        <v>1479</v>
      </c>
    </row>
    <row r="2656" customFormat="false" ht="15" hidden="false" customHeight="false" outlineLevel="0" collapsed="false">
      <c r="A2656" s="0" t="s">
        <v>71</v>
      </c>
      <c r="B2656" s="0" t="s">
        <v>2681</v>
      </c>
      <c r="C2656" s="0" t="s">
        <v>5129</v>
      </c>
      <c r="E2656" s="0" t="s">
        <v>1479</v>
      </c>
    </row>
    <row r="2657" customFormat="false" ht="15" hidden="false" customHeight="false" outlineLevel="0" collapsed="false">
      <c r="A2657" s="0" t="s">
        <v>71</v>
      </c>
      <c r="B2657" s="0" t="s">
        <v>2683</v>
      </c>
      <c r="C2657" s="0" t="s">
        <v>5130</v>
      </c>
      <c r="E2657" s="0" t="s">
        <v>1479</v>
      </c>
    </row>
    <row r="2658" customFormat="false" ht="15" hidden="false" customHeight="false" outlineLevel="0" collapsed="false">
      <c r="A2658" s="0" t="s">
        <v>71</v>
      </c>
      <c r="B2658" s="0" t="s">
        <v>5131</v>
      </c>
      <c r="C2658" s="0" t="s">
        <v>5132</v>
      </c>
      <c r="E2658" s="0" t="s">
        <v>1479</v>
      </c>
    </row>
    <row r="2659" customFormat="false" ht="15" hidden="false" customHeight="false" outlineLevel="0" collapsed="false">
      <c r="A2659" s="0" t="s">
        <v>71</v>
      </c>
      <c r="B2659" s="0" t="s">
        <v>5133</v>
      </c>
      <c r="C2659" s="0" t="s">
        <v>5134</v>
      </c>
      <c r="E2659" s="0" t="s">
        <v>1479</v>
      </c>
    </row>
    <row r="2660" customFormat="false" ht="15" hidden="false" customHeight="false" outlineLevel="0" collapsed="false">
      <c r="A2660" s="0" t="s">
        <v>71</v>
      </c>
      <c r="B2660" s="0" t="s">
        <v>5135</v>
      </c>
      <c r="C2660" s="0" t="s">
        <v>5136</v>
      </c>
      <c r="E2660" s="0" t="s">
        <v>1479</v>
      </c>
    </row>
    <row r="2661" customFormat="false" ht="15" hidden="false" customHeight="false" outlineLevel="0" collapsed="false">
      <c r="A2661" s="0" t="s">
        <v>71</v>
      </c>
      <c r="B2661" s="0" t="s">
        <v>5137</v>
      </c>
      <c r="C2661" s="0" t="s">
        <v>5138</v>
      </c>
      <c r="E2661" s="0" t="s">
        <v>1479</v>
      </c>
    </row>
    <row r="2662" customFormat="false" ht="15" hidden="false" customHeight="false" outlineLevel="0" collapsed="false">
      <c r="A2662" s="0" t="s">
        <v>71</v>
      </c>
      <c r="B2662" s="0" t="s">
        <v>5139</v>
      </c>
      <c r="C2662" s="0" t="s">
        <v>5140</v>
      </c>
      <c r="E2662" s="0" t="s">
        <v>1479</v>
      </c>
    </row>
    <row r="2663" customFormat="false" ht="15" hidden="false" customHeight="false" outlineLevel="0" collapsed="false">
      <c r="A2663" s="0" t="s">
        <v>71</v>
      </c>
      <c r="B2663" s="0" t="s">
        <v>2691</v>
      </c>
      <c r="C2663" s="0" t="s">
        <v>5141</v>
      </c>
      <c r="E2663" s="0" t="s">
        <v>1479</v>
      </c>
    </row>
    <row r="2664" customFormat="false" ht="15" hidden="false" customHeight="false" outlineLevel="0" collapsed="false">
      <c r="A2664" s="0" t="s">
        <v>71</v>
      </c>
      <c r="B2664" s="0" t="s">
        <v>2693</v>
      </c>
      <c r="C2664" s="0" t="s">
        <v>5142</v>
      </c>
      <c r="E2664" s="0" t="s">
        <v>1479</v>
      </c>
    </row>
    <row r="2665" customFormat="false" ht="15" hidden="false" customHeight="false" outlineLevel="0" collapsed="false">
      <c r="A2665" s="0" t="s">
        <v>71</v>
      </c>
      <c r="B2665" s="0" t="s">
        <v>4117</v>
      </c>
      <c r="C2665" s="0" t="s">
        <v>5143</v>
      </c>
      <c r="E2665" s="0" t="s">
        <v>1479</v>
      </c>
    </row>
    <row r="2666" customFormat="false" ht="15" hidden="false" customHeight="false" outlineLevel="0" collapsed="false">
      <c r="A2666" s="0" t="s">
        <v>71</v>
      </c>
      <c r="B2666" s="0" t="s">
        <v>2695</v>
      </c>
      <c r="C2666" s="0" t="s">
        <v>5144</v>
      </c>
      <c r="E2666" s="0" t="s">
        <v>1479</v>
      </c>
    </row>
    <row r="2667" customFormat="false" ht="15" hidden="false" customHeight="false" outlineLevel="0" collapsed="false">
      <c r="A2667" s="0" t="s">
        <v>71</v>
      </c>
      <c r="B2667" s="0" t="s">
        <v>2697</v>
      </c>
      <c r="C2667" s="0" t="s">
        <v>5145</v>
      </c>
      <c r="E2667" s="0" t="s">
        <v>1479</v>
      </c>
    </row>
    <row r="2668" customFormat="false" ht="15" hidden="false" customHeight="false" outlineLevel="0" collapsed="false">
      <c r="A2668" s="0" t="s">
        <v>71</v>
      </c>
      <c r="B2668" s="0" t="s">
        <v>5146</v>
      </c>
      <c r="C2668" s="0" t="s">
        <v>5147</v>
      </c>
      <c r="E2668" s="0" t="s">
        <v>1479</v>
      </c>
    </row>
    <row r="2669" customFormat="false" ht="15" hidden="false" customHeight="false" outlineLevel="0" collapsed="false">
      <c r="A2669" s="0" t="s">
        <v>71</v>
      </c>
      <c r="B2669" s="0" t="s">
        <v>5148</v>
      </c>
      <c r="C2669" s="0" t="s">
        <v>5149</v>
      </c>
      <c r="E2669" s="0" t="s">
        <v>1479</v>
      </c>
    </row>
    <row r="2670" customFormat="false" ht="15" hidden="false" customHeight="false" outlineLevel="0" collapsed="false">
      <c r="A2670" s="0" t="s">
        <v>71</v>
      </c>
      <c r="B2670" s="0" t="s">
        <v>5150</v>
      </c>
      <c r="C2670" s="0" t="s">
        <v>5151</v>
      </c>
      <c r="E2670" s="0" t="s">
        <v>1479</v>
      </c>
    </row>
    <row r="2671" customFormat="false" ht="15" hidden="false" customHeight="false" outlineLevel="0" collapsed="false">
      <c r="A2671" s="0" t="s">
        <v>71</v>
      </c>
      <c r="B2671" s="0" t="s">
        <v>5152</v>
      </c>
      <c r="C2671" s="0" t="s">
        <v>5153</v>
      </c>
      <c r="E2671" s="0" t="s">
        <v>1479</v>
      </c>
    </row>
    <row r="2672" customFormat="false" ht="15" hidden="false" customHeight="false" outlineLevel="0" collapsed="false">
      <c r="A2672" s="0" t="s">
        <v>71</v>
      </c>
      <c r="B2672" s="0" t="s">
        <v>5154</v>
      </c>
      <c r="C2672" s="0" t="s">
        <v>5155</v>
      </c>
      <c r="E2672" s="0" t="s">
        <v>1479</v>
      </c>
    </row>
    <row r="2673" customFormat="false" ht="15" hidden="false" customHeight="false" outlineLevel="0" collapsed="false">
      <c r="A2673" s="0" t="s">
        <v>71</v>
      </c>
      <c r="B2673" s="0" t="s">
        <v>2703</v>
      </c>
      <c r="C2673" s="0" t="s">
        <v>5156</v>
      </c>
      <c r="E2673" s="0" t="s">
        <v>1479</v>
      </c>
    </row>
    <row r="2674" customFormat="false" ht="15" hidden="false" customHeight="false" outlineLevel="0" collapsed="false">
      <c r="A2674" s="0" t="s">
        <v>71</v>
      </c>
      <c r="B2674" s="0" t="s">
        <v>2705</v>
      </c>
      <c r="C2674" s="0" t="s">
        <v>5157</v>
      </c>
      <c r="E2674" s="0" t="s">
        <v>1479</v>
      </c>
    </row>
    <row r="2675" customFormat="false" ht="15" hidden="false" customHeight="false" outlineLevel="0" collapsed="false">
      <c r="A2675" s="0" t="s">
        <v>71</v>
      </c>
      <c r="B2675" s="0" t="s">
        <v>4128</v>
      </c>
      <c r="C2675" s="0" t="s">
        <v>5158</v>
      </c>
      <c r="E2675" s="0" t="s">
        <v>1479</v>
      </c>
    </row>
    <row r="2676" customFormat="false" ht="15" hidden="false" customHeight="false" outlineLevel="0" collapsed="false">
      <c r="A2676" s="0" t="s">
        <v>71</v>
      </c>
      <c r="B2676" s="0" t="s">
        <v>2707</v>
      </c>
      <c r="C2676" s="0" t="s">
        <v>5159</v>
      </c>
      <c r="E2676" s="0" t="s">
        <v>1479</v>
      </c>
    </row>
    <row r="2677" customFormat="false" ht="15" hidden="false" customHeight="false" outlineLevel="0" collapsed="false">
      <c r="A2677" s="0" t="s">
        <v>71</v>
      </c>
      <c r="B2677" s="0" t="s">
        <v>2709</v>
      </c>
      <c r="C2677" s="0" t="s">
        <v>5160</v>
      </c>
      <c r="E2677" s="0" t="s">
        <v>1479</v>
      </c>
    </row>
    <row r="2678" customFormat="false" ht="15" hidden="false" customHeight="false" outlineLevel="0" collapsed="false">
      <c r="A2678" s="0" t="s">
        <v>71</v>
      </c>
      <c r="B2678" s="0" t="s">
        <v>5161</v>
      </c>
      <c r="C2678" s="0" t="s">
        <v>5162</v>
      </c>
      <c r="E2678" s="0" t="s">
        <v>1479</v>
      </c>
    </row>
    <row r="2679" customFormat="false" ht="15" hidden="false" customHeight="false" outlineLevel="0" collapsed="false">
      <c r="A2679" s="0" t="s">
        <v>71</v>
      </c>
      <c r="B2679" s="0" t="s">
        <v>5163</v>
      </c>
      <c r="C2679" s="0" t="s">
        <v>5164</v>
      </c>
      <c r="E2679" s="0" t="s">
        <v>1479</v>
      </c>
    </row>
    <row r="2680" customFormat="false" ht="15" hidden="false" customHeight="false" outlineLevel="0" collapsed="false">
      <c r="A2680" s="0" t="s">
        <v>71</v>
      </c>
      <c r="B2680" s="0" t="s">
        <v>5165</v>
      </c>
      <c r="C2680" s="0" t="s">
        <v>5166</v>
      </c>
      <c r="E2680" s="0" t="s">
        <v>1479</v>
      </c>
    </row>
    <row r="2681" customFormat="false" ht="15" hidden="false" customHeight="false" outlineLevel="0" collapsed="false">
      <c r="A2681" s="0" t="s">
        <v>71</v>
      </c>
      <c r="B2681" s="0" t="s">
        <v>5167</v>
      </c>
      <c r="C2681" s="0" t="s">
        <v>5168</v>
      </c>
      <c r="E2681" s="0" t="s">
        <v>1479</v>
      </c>
    </row>
    <row r="2682" customFormat="false" ht="15" hidden="false" customHeight="false" outlineLevel="0" collapsed="false">
      <c r="A2682" s="0" t="s">
        <v>71</v>
      </c>
      <c r="B2682" s="0" t="s">
        <v>5169</v>
      </c>
      <c r="C2682" s="0" t="s">
        <v>5170</v>
      </c>
      <c r="E2682" s="0" t="s">
        <v>1479</v>
      </c>
    </row>
    <row r="2683" customFormat="false" ht="15" hidden="false" customHeight="false" outlineLevel="0" collapsed="false">
      <c r="A2683" s="0" t="s">
        <v>71</v>
      </c>
      <c r="B2683" s="0" t="s">
        <v>2715</v>
      </c>
      <c r="C2683" s="0" t="s">
        <v>5171</v>
      </c>
      <c r="E2683" s="0" t="s">
        <v>1479</v>
      </c>
    </row>
    <row r="2684" customFormat="false" ht="15" hidden="false" customHeight="false" outlineLevel="0" collapsed="false">
      <c r="A2684" s="0" t="s">
        <v>71</v>
      </c>
      <c r="B2684" s="0" t="s">
        <v>2717</v>
      </c>
      <c r="C2684" s="0" t="s">
        <v>5172</v>
      </c>
      <c r="E2684" s="0" t="s">
        <v>1479</v>
      </c>
    </row>
    <row r="2685" customFormat="false" ht="15" hidden="false" customHeight="false" outlineLevel="0" collapsed="false">
      <c r="A2685" s="0" t="s">
        <v>71</v>
      </c>
      <c r="B2685" s="0" t="s">
        <v>4137</v>
      </c>
      <c r="C2685" s="0" t="s">
        <v>5173</v>
      </c>
      <c r="E2685" s="0" t="s">
        <v>1479</v>
      </c>
    </row>
    <row r="2686" customFormat="false" ht="15" hidden="false" customHeight="false" outlineLevel="0" collapsed="false">
      <c r="A2686" s="0" t="s">
        <v>71</v>
      </c>
      <c r="B2686" s="0" t="s">
        <v>2719</v>
      </c>
      <c r="C2686" s="0" t="s">
        <v>5174</v>
      </c>
      <c r="E2686" s="0" t="s">
        <v>1479</v>
      </c>
    </row>
    <row r="2687" customFormat="false" ht="15" hidden="false" customHeight="false" outlineLevel="0" collapsed="false">
      <c r="A2687" s="0" t="s">
        <v>71</v>
      </c>
      <c r="B2687" s="0" t="s">
        <v>2721</v>
      </c>
      <c r="C2687" s="0" t="s">
        <v>5175</v>
      </c>
      <c r="E2687" s="0" t="s">
        <v>1479</v>
      </c>
    </row>
    <row r="2688" customFormat="false" ht="15" hidden="false" customHeight="false" outlineLevel="0" collapsed="false">
      <c r="A2688" s="0" t="s">
        <v>71</v>
      </c>
      <c r="B2688" s="0" t="s">
        <v>5176</v>
      </c>
      <c r="C2688" s="0" t="s">
        <v>5177</v>
      </c>
      <c r="E2688" s="0" t="s">
        <v>1479</v>
      </c>
    </row>
    <row r="2689" customFormat="false" ht="15" hidden="false" customHeight="false" outlineLevel="0" collapsed="false">
      <c r="A2689" s="0" t="s">
        <v>71</v>
      </c>
      <c r="B2689" s="0" t="s">
        <v>5178</v>
      </c>
      <c r="C2689" s="0" t="s">
        <v>5179</v>
      </c>
      <c r="E2689" s="0" t="s">
        <v>1479</v>
      </c>
    </row>
    <row r="2690" customFormat="false" ht="15" hidden="false" customHeight="false" outlineLevel="0" collapsed="false">
      <c r="A2690" s="0" t="s">
        <v>71</v>
      </c>
      <c r="B2690" s="0" t="s">
        <v>5180</v>
      </c>
      <c r="C2690" s="0" t="s">
        <v>5181</v>
      </c>
      <c r="E2690" s="0" t="s">
        <v>1479</v>
      </c>
    </row>
    <row r="2691" customFormat="false" ht="15" hidden="false" customHeight="false" outlineLevel="0" collapsed="false">
      <c r="A2691" s="0" t="s">
        <v>71</v>
      </c>
      <c r="B2691" s="0" t="s">
        <v>5182</v>
      </c>
      <c r="C2691" s="0" t="s">
        <v>5183</v>
      </c>
      <c r="E2691" s="0" t="s">
        <v>1479</v>
      </c>
    </row>
    <row r="2692" customFormat="false" ht="15" hidden="false" customHeight="false" outlineLevel="0" collapsed="false">
      <c r="A2692" s="0" t="s">
        <v>71</v>
      </c>
      <c r="B2692" s="0" t="s">
        <v>5184</v>
      </c>
      <c r="C2692" s="0" t="s">
        <v>5185</v>
      </c>
      <c r="E2692" s="0" t="s">
        <v>1479</v>
      </c>
    </row>
    <row r="2693" customFormat="false" ht="15" hidden="false" customHeight="false" outlineLevel="0" collapsed="false">
      <c r="A2693" s="0" t="s">
        <v>71</v>
      </c>
      <c r="B2693" s="0" t="s">
        <v>2727</v>
      </c>
      <c r="C2693" s="0" t="s">
        <v>5186</v>
      </c>
      <c r="E2693" s="0" t="s">
        <v>1479</v>
      </c>
    </row>
    <row r="2694" customFormat="false" ht="15" hidden="false" customHeight="false" outlineLevel="0" collapsed="false">
      <c r="A2694" s="0" t="s">
        <v>71</v>
      </c>
      <c r="B2694" s="0" t="s">
        <v>2729</v>
      </c>
      <c r="C2694" s="0" t="s">
        <v>5187</v>
      </c>
      <c r="E2694" s="0" t="s">
        <v>1479</v>
      </c>
    </row>
    <row r="2695" customFormat="false" ht="15" hidden="false" customHeight="false" outlineLevel="0" collapsed="false">
      <c r="A2695" s="0" t="s">
        <v>71</v>
      </c>
      <c r="B2695" s="0" t="s">
        <v>4144</v>
      </c>
      <c r="C2695" s="0" t="s">
        <v>5188</v>
      </c>
      <c r="E2695" s="0" t="s">
        <v>1479</v>
      </c>
    </row>
    <row r="2696" customFormat="false" ht="15" hidden="false" customHeight="false" outlineLevel="0" collapsed="false">
      <c r="A2696" s="0" t="s">
        <v>71</v>
      </c>
      <c r="B2696" s="0" t="s">
        <v>2731</v>
      </c>
      <c r="C2696" s="0" t="s">
        <v>5189</v>
      </c>
      <c r="E2696" s="0" t="s">
        <v>1479</v>
      </c>
    </row>
    <row r="2697" customFormat="false" ht="15" hidden="false" customHeight="false" outlineLevel="0" collapsed="false">
      <c r="A2697" s="0" t="s">
        <v>71</v>
      </c>
      <c r="B2697" s="0" t="s">
        <v>2733</v>
      </c>
      <c r="C2697" s="0" t="s">
        <v>5190</v>
      </c>
      <c r="E2697" s="0" t="s">
        <v>1479</v>
      </c>
    </row>
    <row r="2698" customFormat="false" ht="15" hidden="false" customHeight="false" outlineLevel="0" collapsed="false">
      <c r="A2698" s="0" t="s">
        <v>71</v>
      </c>
      <c r="B2698" s="0" t="s">
        <v>5191</v>
      </c>
      <c r="C2698" s="0" t="s">
        <v>5192</v>
      </c>
      <c r="E2698" s="0" t="s">
        <v>1479</v>
      </c>
    </row>
    <row r="2699" customFormat="false" ht="15" hidden="false" customHeight="false" outlineLevel="0" collapsed="false">
      <c r="A2699" s="0" t="s">
        <v>71</v>
      </c>
      <c r="B2699" s="0" t="s">
        <v>5193</v>
      </c>
      <c r="C2699" s="0" t="s">
        <v>5194</v>
      </c>
      <c r="E2699" s="0" t="s">
        <v>1479</v>
      </c>
    </row>
    <row r="2700" customFormat="false" ht="15" hidden="false" customHeight="false" outlineLevel="0" collapsed="false">
      <c r="A2700" s="0" t="s">
        <v>71</v>
      </c>
      <c r="B2700" s="0" t="s">
        <v>5195</v>
      </c>
      <c r="C2700" s="0" t="s">
        <v>5196</v>
      </c>
      <c r="E2700" s="0" t="s">
        <v>1479</v>
      </c>
    </row>
    <row r="2701" customFormat="false" ht="15" hidden="false" customHeight="false" outlineLevel="0" collapsed="false">
      <c r="A2701" s="0" t="s">
        <v>71</v>
      </c>
      <c r="B2701" s="0" t="s">
        <v>5197</v>
      </c>
      <c r="C2701" s="0" t="s">
        <v>5198</v>
      </c>
      <c r="E2701" s="0" t="s">
        <v>1479</v>
      </c>
    </row>
    <row r="2702" customFormat="false" ht="15" hidden="false" customHeight="false" outlineLevel="0" collapsed="false">
      <c r="A2702" s="0" t="s">
        <v>71</v>
      </c>
      <c r="B2702" s="0" t="s">
        <v>5199</v>
      </c>
      <c r="C2702" s="0" t="s">
        <v>5200</v>
      </c>
      <c r="E2702" s="0" t="s">
        <v>1479</v>
      </c>
    </row>
    <row r="2703" customFormat="false" ht="15" hidden="false" customHeight="false" outlineLevel="0" collapsed="false">
      <c r="A2703" s="0" t="s">
        <v>71</v>
      </c>
      <c r="B2703" s="0" t="s">
        <v>1581</v>
      </c>
      <c r="C2703" s="0" t="s">
        <v>5201</v>
      </c>
      <c r="E2703" s="0" t="s">
        <v>1479</v>
      </c>
    </row>
    <row r="2704" customFormat="false" ht="15" hidden="false" customHeight="false" outlineLevel="0" collapsed="false">
      <c r="A2704" s="0" t="s">
        <v>71</v>
      </c>
      <c r="B2704" s="0" t="s">
        <v>1584</v>
      </c>
      <c r="C2704" s="0" t="s">
        <v>5202</v>
      </c>
      <c r="E2704" s="0" t="s">
        <v>1479</v>
      </c>
    </row>
    <row r="2705" customFormat="false" ht="15" hidden="false" customHeight="false" outlineLevel="0" collapsed="false">
      <c r="A2705" s="0" t="s">
        <v>71</v>
      </c>
      <c r="B2705" s="0" t="s">
        <v>1587</v>
      </c>
      <c r="C2705" s="0" t="s">
        <v>5203</v>
      </c>
      <c r="E2705" s="0" t="s">
        <v>1479</v>
      </c>
    </row>
    <row r="2706" customFormat="false" ht="15" hidden="false" customHeight="false" outlineLevel="0" collapsed="false">
      <c r="A2706" s="0" t="s">
        <v>71</v>
      </c>
      <c r="B2706" s="0" t="s">
        <v>1589</v>
      </c>
      <c r="C2706" s="0" t="s">
        <v>5204</v>
      </c>
      <c r="E2706" s="0" t="s">
        <v>1479</v>
      </c>
    </row>
    <row r="2707" customFormat="false" ht="15" hidden="false" customHeight="false" outlineLevel="0" collapsed="false">
      <c r="A2707" s="0" t="s">
        <v>71</v>
      </c>
      <c r="B2707" s="0" t="s">
        <v>1592</v>
      </c>
      <c r="C2707" s="0" t="s">
        <v>5205</v>
      </c>
      <c r="E2707" s="0" t="s">
        <v>1479</v>
      </c>
    </row>
    <row r="2708" customFormat="false" ht="15" hidden="false" customHeight="false" outlineLevel="0" collapsed="false">
      <c r="A2708" s="0" t="s">
        <v>71</v>
      </c>
      <c r="B2708" s="0" t="s">
        <v>5206</v>
      </c>
      <c r="C2708" s="0" t="s">
        <v>5207</v>
      </c>
      <c r="E2708" s="0" t="s">
        <v>1479</v>
      </c>
    </row>
    <row r="2709" customFormat="false" ht="15" hidden="false" customHeight="false" outlineLevel="0" collapsed="false">
      <c r="A2709" s="0" t="s">
        <v>71</v>
      </c>
      <c r="B2709" s="0" t="s">
        <v>5208</v>
      </c>
      <c r="C2709" s="0" t="s">
        <v>5209</v>
      </c>
      <c r="E2709" s="0" t="s">
        <v>1479</v>
      </c>
    </row>
    <row r="2710" customFormat="false" ht="15" hidden="false" customHeight="false" outlineLevel="0" collapsed="false">
      <c r="A2710" s="0" t="s">
        <v>71</v>
      </c>
      <c r="B2710" s="0" t="s">
        <v>5210</v>
      </c>
      <c r="C2710" s="0" t="s">
        <v>5211</v>
      </c>
      <c r="E2710" s="0" t="s">
        <v>1479</v>
      </c>
    </row>
    <row r="2711" customFormat="false" ht="15" hidden="false" customHeight="false" outlineLevel="0" collapsed="false">
      <c r="A2711" s="0" t="s">
        <v>71</v>
      </c>
      <c r="B2711" s="0" t="s">
        <v>5212</v>
      </c>
      <c r="C2711" s="0" t="s">
        <v>5213</v>
      </c>
      <c r="E2711" s="0" t="s">
        <v>1479</v>
      </c>
    </row>
    <row r="2712" customFormat="false" ht="15" hidden="false" customHeight="false" outlineLevel="0" collapsed="false">
      <c r="A2712" s="0" t="s">
        <v>71</v>
      </c>
      <c r="B2712" s="0" t="s">
        <v>5214</v>
      </c>
      <c r="C2712" s="0" t="s">
        <v>5215</v>
      </c>
      <c r="E2712" s="0" t="s">
        <v>1479</v>
      </c>
    </row>
    <row r="2713" customFormat="false" ht="15" hidden="false" customHeight="false" outlineLevel="0" collapsed="false">
      <c r="A2713" s="0" t="s">
        <v>71</v>
      </c>
      <c r="B2713" s="0" t="s">
        <v>1596</v>
      </c>
      <c r="C2713" s="0" t="s">
        <v>5216</v>
      </c>
      <c r="E2713" s="0" t="s">
        <v>1479</v>
      </c>
    </row>
    <row r="2714" customFormat="false" ht="15" hidden="false" customHeight="false" outlineLevel="0" collapsed="false">
      <c r="A2714" s="0" t="s">
        <v>71</v>
      </c>
      <c r="B2714" s="0" t="s">
        <v>1598</v>
      </c>
      <c r="C2714" s="0" t="s">
        <v>5217</v>
      </c>
      <c r="E2714" s="0" t="s">
        <v>1479</v>
      </c>
    </row>
    <row r="2715" customFormat="false" ht="15" hidden="false" customHeight="false" outlineLevel="0" collapsed="false">
      <c r="A2715" s="0" t="s">
        <v>71</v>
      </c>
      <c r="B2715" s="0" t="s">
        <v>1600</v>
      </c>
      <c r="C2715" s="0" t="s">
        <v>5218</v>
      </c>
      <c r="E2715" s="0" t="s">
        <v>1479</v>
      </c>
    </row>
    <row r="2716" customFormat="false" ht="15" hidden="false" customHeight="false" outlineLevel="0" collapsed="false">
      <c r="A2716" s="0" t="s">
        <v>71</v>
      </c>
      <c r="B2716" s="0" t="s">
        <v>1602</v>
      </c>
      <c r="C2716" s="0" t="s">
        <v>5219</v>
      </c>
      <c r="E2716" s="0" t="s">
        <v>1479</v>
      </c>
    </row>
    <row r="2717" customFormat="false" ht="15" hidden="false" customHeight="false" outlineLevel="0" collapsed="false">
      <c r="A2717" s="0" t="s">
        <v>71</v>
      </c>
      <c r="B2717" s="0" t="s">
        <v>1604</v>
      </c>
      <c r="C2717" s="0" t="s">
        <v>5220</v>
      </c>
      <c r="E2717" s="0" t="s">
        <v>1479</v>
      </c>
    </row>
    <row r="2718" customFormat="false" ht="15" hidden="false" customHeight="false" outlineLevel="0" collapsed="false">
      <c r="A2718" s="0" t="s">
        <v>71</v>
      </c>
      <c r="B2718" s="0" t="s">
        <v>3051</v>
      </c>
      <c r="C2718" s="0" t="s">
        <v>5221</v>
      </c>
      <c r="E2718" s="0" t="s">
        <v>1479</v>
      </c>
    </row>
    <row r="2719" customFormat="false" ht="15" hidden="false" customHeight="false" outlineLevel="0" collapsed="false">
      <c r="A2719" s="0" t="s">
        <v>71</v>
      </c>
      <c r="B2719" s="0" t="s">
        <v>5222</v>
      </c>
      <c r="C2719" s="0" t="s">
        <v>5223</v>
      </c>
      <c r="E2719" s="0" t="s">
        <v>1479</v>
      </c>
    </row>
    <row r="2720" customFormat="false" ht="15" hidden="false" customHeight="false" outlineLevel="0" collapsed="false">
      <c r="A2720" s="0" t="s">
        <v>71</v>
      </c>
      <c r="B2720" s="0" t="s">
        <v>5224</v>
      </c>
      <c r="C2720" s="0" t="s">
        <v>5225</v>
      </c>
      <c r="E2720" s="0" t="s">
        <v>1479</v>
      </c>
    </row>
    <row r="2721" customFormat="false" ht="15" hidden="false" customHeight="false" outlineLevel="0" collapsed="false">
      <c r="A2721" s="0" t="s">
        <v>71</v>
      </c>
      <c r="B2721" s="0" t="s">
        <v>5226</v>
      </c>
      <c r="C2721" s="0" t="s">
        <v>5227</v>
      </c>
      <c r="E2721" s="0" t="s">
        <v>1479</v>
      </c>
    </row>
    <row r="2722" customFormat="false" ht="15" hidden="false" customHeight="false" outlineLevel="0" collapsed="false">
      <c r="A2722" s="0" t="s">
        <v>71</v>
      </c>
      <c r="B2722" s="0" t="s">
        <v>5228</v>
      </c>
      <c r="C2722" s="0" t="s">
        <v>5229</v>
      </c>
      <c r="E2722" s="0" t="s">
        <v>1479</v>
      </c>
    </row>
    <row r="2723" customFormat="false" ht="15" hidden="false" customHeight="false" outlineLevel="0" collapsed="false">
      <c r="A2723" s="0" t="s">
        <v>71</v>
      </c>
      <c r="B2723" s="0" t="s">
        <v>1609</v>
      </c>
      <c r="C2723" s="0" t="s">
        <v>5230</v>
      </c>
      <c r="E2723" s="0" t="s">
        <v>1479</v>
      </c>
    </row>
    <row r="2724" customFormat="false" ht="15" hidden="false" customHeight="false" outlineLevel="0" collapsed="false">
      <c r="A2724" s="0" t="s">
        <v>71</v>
      </c>
      <c r="B2724" s="0" t="s">
        <v>1611</v>
      </c>
      <c r="C2724" s="0" t="s">
        <v>5231</v>
      </c>
      <c r="E2724" s="0" t="s">
        <v>1479</v>
      </c>
    </row>
    <row r="2725" customFormat="false" ht="15" hidden="false" customHeight="false" outlineLevel="0" collapsed="false">
      <c r="A2725" s="0" t="s">
        <v>71</v>
      </c>
      <c r="B2725" s="0" t="s">
        <v>1614</v>
      </c>
      <c r="C2725" s="0" t="s">
        <v>5232</v>
      </c>
      <c r="E2725" s="0" t="s">
        <v>1479</v>
      </c>
    </row>
    <row r="2726" customFormat="false" ht="15" hidden="false" customHeight="false" outlineLevel="0" collapsed="false">
      <c r="A2726" s="0" t="s">
        <v>71</v>
      </c>
      <c r="B2726" s="0" t="s">
        <v>1617</v>
      </c>
      <c r="C2726" s="0" t="s">
        <v>5233</v>
      </c>
      <c r="E2726" s="0" t="s">
        <v>1479</v>
      </c>
    </row>
    <row r="2727" customFormat="false" ht="15" hidden="false" customHeight="false" outlineLevel="0" collapsed="false">
      <c r="A2727" s="0" t="s">
        <v>71</v>
      </c>
      <c r="B2727" s="0" t="s">
        <v>1620</v>
      </c>
      <c r="C2727" s="0" t="s">
        <v>5234</v>
      </c>
      <c r="E2727" s="0" t="s">
        <v>1479</v>
      </c>
    </row>
    <row r="2728" customFormat="false" ht="15" hidden="false" customHeight="false" outlineLevel="0" collapsed="false">
      <c r="A2728" s="0" t="s">
        <v>71</v>
      </c>
      <c r="B2728" s="0" t="s">
        <v>3071</v>
      </c>
      <c r="C2728" s="0" t="s">
        <v>5235</v>
      </c>
      <c r="E2728" s="0" t="s">
        <v>1479</v>
      </c>
    </row>
    <row r="2729" customFormat="false" ht="15" hidden="false" customHeight="false" outlineLevel="0" collapsed="false">
      <c r="A2729" s="0" t="s">
        <v>71</v>
      </c>
      <c r="B2729" s="0" t="s">
        <v>5236</v>
      </c>
      <c r="C2729" s="0" t="s">
        <v>5237</v>
      </c>
      <c r="E2729" s="0" t="s">
        <v>1479</v>
      </c>
    </row>
    <row r="2730" customFormat="false" ht="15" hidden="false" customHeight="false" outlineLevel="0" collapsed="false">
      <c r="A2730" s="0" t="s">
        <v>71</v>
      </c>
      <c r="B2730" s="0" t="s">
        <v>5238</v>
      </c>
      <c r="C2730" s="0" t="s">
        <v>5239</v>
      </c>
      <c r="E2730" s="0" t="s">
        <v>1479</v>
      </c>
    </row>
    <row r="2731" customFormat="false" ht="15" hidden="false" customHeight="false" outlineLevel="0" collapsed="false">
      <c r="A2731" s="0" t="s">
        <v>71</v>
      </c>
      <c r="B2731" s="0" t="s">
        <v>5240</v>
      </c>
      <c r="C2731" s="0" t="s">
        <v>5241</v>
      </c>
      <c r="E2731" s="0" t="s">
        <v>1479</v>
      </c>
    </row>
    <row r="2732" customFormat="false" ht="15" hidden="false" customHeight="false" outlineLevel="0" collapsed="false">
      <c r="A2732" s="0" t="s">
        <v>71</v>
      </c>
      <c r="B2732" s="0" t="s">
        <v>5242</v>
      </c>
      <c r="C2732" s="0" t="s">
        <v>5243</v>
      </c>
      <c r="E2732" s="0" t="s">
        <v>1479</v>
      </c>
    </row>
    <row r="2733" customFormat="false" ht="15" hidden="false" customHeight="false" outlineLevel="0" collapsed="false">
      <c r="A2733" s="0" t="s">
        <v>71</v>
      </c>
      <c r="B2733" s="0" t="s">
        <v>1624</v>
      </c>
      <c r="C2733" s="0" t="s">
        <v>5244</v>
      </c>
      <c r="E2733" s="0" t="s">
        <v>1479</v>
      </c>
    </row>
    <row r="2734" customFormat="false" ht="15" hidden="false" customHeight="false" outlineLevel="0" collapsed="false">
      <c r="A2734" s="0" t="s">
        <v>71</v>
      </c>
      <c r="B2734" s="0" t="s">
        <v>1626</v>
      </c>
      <c r="C2734" s="0" t="s">
        <v>5245</v>
      </c>
      <c r="E2734" s="0" t="s">
        <v>1479</v>
      </c>
    </row>
    <row r="2735" customFormat="false" ht="15" hidden="false" customHeight="false" outlineLevel="0" collapsed="false">
      <c r="A2735" s="0" t="s">
        <v>71</v>
      </c>
      <c r="B2735" s="0" t="s">
        <v>1628</v>
      </c>
      <c r="C2735" s="0" t="s">
        <v>5246</v>
      </c>
      <c r="E2735" s="0" t="s">
        <v>1479</v>
      </c>
    </row>
    <row r="2736" customFormat="false" ht="15" hidden="false" customHeight="false" outlineLevel="0" collapsed="false">
      <c r="A2736" s="0" t="s">
        <v>71</v>
      </c>
      <c r="B2736" s="0" t="s">
        <v>1630</v>
      </c>
      <c r="C2736" s="0" t="s">
        <v>5247</v>
      </c>
      <c r="E2736" s="0" t="s">
        <v>1479</v>
      </c>
    </row>
    <row r="2737" customFormat="false" ht="15" hidden="false" customHeight="false" outlineLevel="0" collapsed="false">
      <c r="A2737" s="0" t="s">
        <v>71</v>
      </c>
      <c r="B2737" s="0" t="s">
        <v>1632</v>
      </c>
      <c r="C2737" s="0" t="s">
        <v>5248</v>
      </c>
      <c r="E2737" s="0" t="s">
        <v>1479</v>
      </c>
    </row>
    <row r="2738" customFormat="false" ht="15" hidden="false" customHeight="false" outlineLevel="0" collapsed="false">
      <c r="A2738" s="0" t="s">
        <v>71</v>
      </c>
      <c r="B2738" s="0" t="s">
        <v>3084</v>
      </c>
      <c r="C2738" s="0" t="s">
        <v>5249</v>
      </c>
      <c r="E2738" s="0" t="s">
        <v>1479</v>
      </c>
    </row>
    <row r="2739" customFormat="false" ht="15" hidden="false" customHeight="false" outlineLevel="0" collapsed="false">
      <c r="A2739" s="0" t="s">
        <v>71</v>
      </c>
      <c r="B2739" s="0" t="s">
        <v>5250</v>
      </c>
      <c r="C2739" s="0" t="s">
        <v>5251</v>
      </c>
      <c r="E2739" s="0" t="s">
        <v>1479</v>
      </c>
    </row>
    <row r="2740" customFormat="false" ht="15" hidden="false" customHeight="false" outlineLevel="0" collapsed="false">
      <c r="A2740" s="0" t="s">
        <v>71</v>
      </c>
      <c r="B2740" s="0" t="s">
        <v>5252</v>
      </c>
      <c r="C2740" s="0" t="s">
        <v>5253</v>
      </c>
      <c r="E2740" s="0" t="s">
        <v>1479</v>
      </c>
    </row>
    <row r="2741" customFormat="false" ht="15" hidden="false" customHeight="false" outlineLevel="0" collapsed="false">
      <c r="A2741" s="0" t="s">
        <v>71</v>
      </c>
      <c r="B2741" s="0" t="s">
        <v>5254</v>
      </c>
      <c r="C2741" s="0" t="s">
        <v>5255</v>
      </c>
      <c r="E2741" s="0" t="s">
        <v>1479</v>
      </c>
    </row>
    <row r="2742" customFormat="false" ht="15" hidden="false" customHeight="false" outlineLevel="0" collapsed="false">
      <c r="A2742" s="0" t="s">
        <v>71</v>
      </c>
      <c r="B2742" s="0" t="s">
        <v>5256</v>
      </c>
      <c r="C2742" s="0" t="s">
        <v>5257</v>
      </c>
      <c r="E2742" s="0" t="s">
        <v>1479</v>
      </c>
    </row>
    <row r="2743" customFormat="false" ht="15" hidden="false" customHeight="false" outlineLevel="0" collapsed="false">
      <c r="A2743" s="0" t="s">
        <v>71</v>
      </c>
      <c r="B2743" s="0" t="s">
        <v>1637</v>
      </c>
      <c r="C2743" s="0" t="s">
        <v>5258</v>
      </c>
      <c r="E2743" s="0" t="s">
        <v>1479</v>
      </c>
    </row>
    <row r="2744" customFormat="false" ht="15" hidden="false" customHeight="false" outlineLevel="0" collapsed="false">
      <c r="A2744" s="0" t="s">
        <v>71</v>
      </c>
      <c r="B2744" s="0" t="s">
        <v>1639</v>
      </c>
      <c r="C2744" s="0" t="s">
        <v>5259</v>
      </c>
      <c r="E2744" s="0" t="s">
        <v>1479</v>
      </c>
    </row>
    <row r="2745" customFormat="false" ht="15" hidden="false" customHeight="false" outlineLevel="0" collapsed="false">
      <c r="A2745" s="0" t="s">
        <v>71</v>
      </c>
      <c r="B2745" s="0" t="s">
        <v>1642</v>
      </c>
      <c r="C2745" s="0" t="s">
        <v>5260</v>
      </c>
      <c r="E2745" s="0" t="s">
        <v>1479</v>
      </c>
    </row>
    <row r="2746" customFormat="false" ht="15" hidden="false" customHeight="false" outlineLevel="0" collapsed="false">
      <c r="A2746" s="0" t="s">
        <v>71</v>
      </c>
      <c r="B2746" s="0" t="s">
        <v>1645</v>
      </c>
      <c r="C2746" s="0" t="s">
        <v>5261</v>
      </c>
      <c r="E2746" s="0" t="s">
        <v>1479</v>
      </c>
    </row>
    <row r="2747" customFormat="false" ht="15" hidden="false" customHeight="false" outlineLevel="0" collapsed="false">
      <c r="A2747" s="0" t="s">
        <v>71</v>
      </c>
      <c r="B2747" s="0" t="s">
        <v>1647</v>
      </c>
      <c r="C2747" s="0" t="s">
        <v>5262</v>
      </c>
      <c r="E2747" s="0" t="s">
        <v>1479</v>
      </c>
    </row>
    <row r="2748" customFormat="false" ht="15" hidden="false" customHeight="false" outlineLevel="0" collapsed="false">
      <c r="A2748" s="0" t="s">
        <v>71</v>
      </c>
      <c r="B2748" s="0" t="s">
        <v>3095</v>
      </c>
      <c r="C2748" s="0" t="s">
        <v>5263</v>
      </c>
      <c r="E2748" s="0" t="s">
        <v>1479</v>
      </c>
    </row>
    <row r="2749" customFormat="false" ht="15" hidden="false" customHeight="false" outlineLevel="0" collapsed="false">
      <c r="A2749" s="0" t="s">
        <v>71</v>
      </c>
      <c r="B2749" s="0" t="s">
        <v>5264</v>
      </c>
      <c r="C2749" s="0" t="s">
        <v>5265</v>
      </c>
      <c r="E2749" s="0" t="s">
        <v>1479</v>
      </c>
    </row>
    <row r="2750" customFormat="false" ht="15" hidden="false" customHeight="false" outlineLevel="0" collapsed="false">
      <c r="A2750" s="0" t="s">
        <v>71</v>
      </c>
      <c r="B2750" s="0" t="s">
        <v>5266</v>
      </c>
      <c r="C2750" s="0" t="s">
        <v>5267</v>
      </c>
      <c r="E2750" s="0" t="s">
        <v>1479</v>
      </c>
    </row>
    <row r="2751" customFormat="false" ht="15" hidden="false" customHeight="false" outlineLevel="0" collapsed="false">
      <c r="A2751" s="0" t="s">
        <v>71</v>
      </c>
      <c r="B2751" s="0" t="s">
        <v>5268</v>
      </c>
      <c r="C2751" s="0" t="s">
        <v>5269</v>
      </c>
      <c r="E2751" s="0" t="s">
        <v>1479</v>
      </c>
    </row>
    <row r="2752" customFormat="false" ht="15" hidden="false" customHeight="false" outlineLevel="0" collapsed="false">
      <c r="A2752" s="0" t="s">
        <v>71</v>
      </c>
      <c r="B2752" s="0" t="s">
        <v>5270</v>
      </c>
      <c r="C2752" s="0" t="s">
        <v>5271</v>
      </c>
      <c r="E2752" s="0" t="s">
        <v>1479</v>
      </c>
    </row>
    <row r="2753" customFormat="false" ht="15" hidden="false" customHeight="false" outlineLevel="0" collapsed="false">
      <c r="A2753" s="0" t="s">
        <v>71</v>
      </c>
      <c r="B2753" s="0" t="s">
        <v>1651</v>
      </c>
      <c r="C2753" s="0" t="s">
        <v>5272</v>
      </c>
      <c r="E2753" s="0" t="s">
        <v>1479</v>
      </c>
    </row>
    <row r="2754" customFormat="false" ht="15" hidden="false" customHeight="false" outlineLevel="0" collapsed="false">
      <c r="A2754" s="0" t="s">
        <v>71</v>
      </c>
      <c r="B2754" s="0" t="s">
        <v>1653</v>
      </c>
      <c r="C2754" s="0" t="s">
        <v>5273</v>
      </c>
      <c r="E2754" s="0" t="s">
        <v>1479</v>
      </c>
    </row>
    <row r="2755" customFormat="false" ht="15" hidden="false" customHeight="false" outlineLevel="0" collapsed="false">
      <c r="A2755" s="0" t="s">
        <v>71</v>
      </c>
      <c r="B2755" s="0" t="s">
        <v>1655</v>
      </c>
      <c r="C2755" s="0" t="s">
        <v>5274</v>
      </c>
      <c r="E2755" s="0" t="s">
        <v>1479</v>
      </c>
    </row>
    <row r="2756" customFormat="false" ht="15" hidden="false" customHeight="false" outlineLevel="0" collapsed="false">
      <c r="A2756" s="0" t="s">
        <v>71</v>
      </c>
      <c r="B2756" s="0" t="s">
        <v>1657</v>
      </c>
      <c r="C2756" s="0" t="s">
        <v>5275</v>
      </c>
      <c r="E2756" s="0" t="s">
        <v>1479</v>
      </c>
    </row>
    <row r="2757" customFormat="false" ht="15" hidden="false" customHeight="false" outlineLevel="0" collapsed="false">
      <c r="A2757" s="0" t="s">
        <v>71</v>
      </c>
      <c r="B2757" s="0" t="s">
        <v>1659</v>
      </c>
      <c r="C2757" s="0" t="s">
        <v>5276</v>
      </c>
      <c r="E2757" s="0" t="s">
        <v>1479</v>
      </c>
    </row>
    <row r="2758" customFormat="false" ht="15" hidden="false" customHeight="false" outlineLevel="0" collapsed="false">
      <c r="A2758" s="0" t="s">
        <v>71</v>
      </c>
      <c r="B2758" s="0" t="s">
        <v>3106</v>
      </c>
      <c r="C2758" s="0" t="s">
        <v>5277</v>
      </c>
      <c r="E2758" s="0" t="s">
        <v>1479</v>
      </c>
    </row>
    <row r="2759" customFormat="false" ht="15" hidden="false" customHeight="false" outlineLevel="0" collapsed="false">
      <c r="A2759" s="0" t="s">
        <v>71</v>
      </c>
      <c r="B2759" s="0" t="s">
        <v>5278</v>
      </c>
      <c r="C2759" s="0" t="s">
        <v>5279</v>
      </c>
      <c r="E2759" s="0" t="s">
        <v>1479</v>
      </c>
    </row>
    <row r="2760" customFormat="false" ht="15" hidden="false" customHeight="false" outlineLevel="0" collapsed="false">
      <c r="A2760" s="0" t="s">
        <v>71</v>
      </c>
      <c r="B2760" s="0" t="s">
        <v>5280</v>
      </c>
      <c r="C2760" s="0" t="s">
        <v>5281</v>
      </c>
      <c r="E2760" s="0" t="s">
        <v>1479</v>
      </c>
    </row>
    <row r="2761" customFormat="false" ht="15" hidden="false" customHeight="false" outlineLevel="0" collapsed="false">
      <c r="A2761" s="0" t="s">
        <v>71</v>
      </c>
      <c r="B2761" s="0" t="s">
        <v>5282</v>
      </c>
      <c r="C2761" s="0" t="s">
        <v>5283</v>
      </c>
      <c r="E2761" s="0" t="s">
        <v>1479</v>
      </c>
    </row>
    <row r="2762" customFormat="false" ht="15" hidden="false" customHeight="false" outlineLevel="0" collapsed="false">
      <c r="A2762" s="0" t="s">
        <v>71</v>
      </c>
      <c r="B2762" s="0" t="s">
        <v>5284</v>
      </c>
      <c r="C2762" s="0" t="s">
        <v>5285</v>
      </c>
      <c r="E2762" s="0" t="s">
        <v>1479</v>
      </c>
    </row>
    <row r="2763" customFormat="false" ht="15" hidden="false" customHeight="false" outlineLevel="0" collapsed="false">
      <c r="A2763" s="0" t="s">
        <v>71</v>
      </c>
      <c r="B2763" s="0" t="s">
        <v>1663</v>
      </c>
      <c r="C2763" s="0" t="s">
        <v>5286</v>
      </c>
      <c r="E2763" s="0" t="s">
        <v>1479</v>
      </c>
    </row>
    <row r="2764" customFormat="false" ht="15" hidden="false" customHeight="false" outlineLevel="0" collapsed="false">
      <c r="A2764" s="0" t="s">
        <v>71</v>
      </c>
      <c r="B2764" s="0" t="s">
        <v>1665</v>
      </c>
      <c r="C2764" s="0" t="s">
        <v>5287</v>
      </c>
      <c r="E2764" s="0" t="s">
        <v>1479</v>
      </c>
    </row>
    <row r="2765" customFormat="false" ht="15" hidden="false" customHeight="false" outlineLevel="0" collapsed="false">
      <c r="A2765" s="0" t="s">
        <v>71</v>
      </c>
      <c r="B2765" s="0" t="s">
        <v>1667</v>
      </c>
      <c r="C2765" s="0" t="s">
        <v>5288</v>
      </c>
      <c r="E2765" s="0" t="s">
        <v>1479</v>
      </c>
    </row>
    <row r="2766" customFormat="false" ht="15" hidden="false" customHeight="false" outlineLevel="0" collapsed="false">
      <c r="A2766" s="0" t="s">
        <v>71</v>
      </c>
      <c r="B2766" s="0" t="s">
        <v>1669</v>
      </c>
      <c r="C2766" s="0" t="s">
        <v>5289</v>
      </c>
      <c r="E2766" s="0" t="s">
        <v>1479</v>
      </c>
    </row>
    <row r="2767" customFormat="false" ht="15" hidden="false" customHeight="false" outlineLevel="0" collapsed="false">
      <c r="A2767" s="0" t="s">
        <v>71</v>
      </c>
      <c r="B2767" s="0" t="s">
        <v>1671</v>
      </c>
      <c r="C2767" s="0" t="s">
        <v>5290</v>
      </c>
      <c r="E2767" s="0" t="s">
        <v>1479</v>
      </c>
    </row>
    <row r="2768" customFormat="false" ht="15" hidden="false" customHeight="false" outlineLevel="0" collapsed="false">
      <c r="A2768" s="0" t="s">
        <v>71</v>
      </c>
      <c r="B2768" s="0" t="s">
        <v>5291</v>
      </c>
      <c r="C2768" s="0" t="s">
        <v>5292</v>
      </c>
      <c r="E2768" s="0" t="s">
        <v>1479</v>
      </c>
    </row>
    <row r="2769" customFormat="false" ht="15" hidden="false" customHeight="false" outlineLevel="0" collapsed="false">
      <c r="A2769" s="0" t="s">
        <v>71</v>
      </c>
      <c r="B2769" s="0" t="s">
        <v>5293</v>
      </c>
      <c r="C2769" s="0" t="s">
        <v>5294</v>
      </c>
      <c r="E2769" s="0" t="s">
        <v>1479</v>
      </c>
    </row>
    <row r="2770" customFormat="false" ht="15" hidden="false" customHeight="false" outlineLevel="0" collapsed="false">
      <c r="A2770" s="0" t="s">
        <v>71</v>
      </c>
      <c r="B2770" s="0" t="s">
        <v>5295</v>
      </c>
      <c r="C2770" s="0" t="s">
        <v>5296</v>
      </c>
      <c r="E2770" s="0" t="s">
        <v>1479</v>
      </c>
    </row>
    <row r="2771" customFormat="false" ht="15" hidden="false" customHeight="false" outlineLevel="0" collapsed="false">
      <c r="A2771" s="0" t="s">
        <v>71</v>
      </c>
      <c r="B2771" s="0" t="s">
        <v>5297</v>
      </c>
      <c r="C2771" s="0" t="s">
        <v>5298</v>
      </c>
      <c r="E2771" s="0" t="s">
        <v>1479</v>
      </c>
    </row>
    <row r="2772" customFormat="false" ht="15" hidden="false" customHeight="false" outlineLevel="0" collapsed="false">
      <c r="A2772" s="0" t="s">
        <v>71</v>
      </c>
      <c r="B2772" s="0" t="s">
        <v>5299</v>
      </c>
      <c r="C2772" s="0" t="s">
        <v>5300</v>
      </c>
      <c r="E2772" s="0" t="s">
        <v>1479</v>
      </c>
    </row>
    <row r="2773" customFormat="false" ht="15" hidden="false" customHeight="false" outlineLevel="0" collapsed="false">
      <c r="A2773" s="0" t="s">
        <v>71</v>
      </c>
      <c r="B2773" s="0" t="s">
        <v>1675</v>
      </c>
      <c r="C2773" s="0" t="s">
        <v>5301</v>
      </c>
      <c r="E2773" s="0" t="s">
        <v>1479</v>
      </c>
    </row>
    <row r="2774" customFormat="false" ht="15" hidden="false" customHeight="false" outlineLevel="0" collapsed="false">
      <c r="A2774" s="0" t="s">
        <v>71</v>
      </c>
      <c r="B2774" s="0" t="s">
        <v>1677</v>
      </c>
      <c r="C2774" s="0" t="s">
        <v>5302</v>
      </c>
      <c r="E2774" s="0" t="s">
        <v>1479</v>
      </c>
    </row>
    <row r="2775" customFormat="false" ht="15" hidden="false" customHeight="false" outlineLevel="0" collapsed="false">
      <c r="A2775" s="0" t="s">
        <v>71</v>
      </c>
      <c r="B2775" s="0" t="s">
        <v>1679</v>
      </c>
      <c r="C2775" s="0" t="s">
        <v>5303</v>
      </c>
      <c r="E2775" s="0" t="s">
        <v>1479</v>
      </c>
    </row>
    <row r="2776" customFormat="false" ht="15" hidden="false" customHeight="false" outlineLevel="0" collapsed="false">
      <c r="A2776" s="0" t="s">
        <v>71</v>
      </c>
      <c r="B2776" s="0" t="s">
        <v>1681</v>
      </c>
      <c r="C2776" s="0" t="s">
        <v>5304</v>
      </c>
      <c r="E2776" s="0" t="s">
        <v>1479</v>
      </c>
    </row>
    <row r="2777" customFormat="false" ht="15" hidden="false" customHeight="false" outlineLevel="0" collapsed="false">
      <c r="A2777" s="0" t="s">
        <v>71</v>
      </c>
      <c r="B2777" s="0" t="s">
        <v>1683</v>
      </c>
      <c r="C2777" s="0" t="s">
        <v>5305</v>
      </c>
      <c r="E2777" s="0" t="s">
        <v>1479</v>
      </c>
    </row>
    <row r="2778" customFormat="false" ht="15" hidden="false" customHeight="false" outlineLevel="0" collapsed="false">
      <c r="A2778" s="0" t="s">
        <v>71</v>
      </c>
      <c r="B2778" s="0" t="s">
        <v>5306</v>
      </c>
      <c r="C2778" s="0" t="s">
        <v>5307</v>
      </c>
      <c r="E2778" s="0" t="s">
        <v>1479</v>
      </c>
    </row>
    <row r="2779" customFormat="false" ht="15" hidden="false" customHeight="false" outlineLevel="0" collapsed="false">
      <c r="A2779" s="0" t="s">
        <v>71</v>
      </c>
      <c r="B2779" s="0" t="s">
        <v>5308</v>
      </c>
      <c r="C2779" s="0" t="s">
        <v>5309</v>
      </c>
      <c r="E2779" s="0" t="s">
        <v>1479</v>
      </c>
    </row>
    <row r="2780" customFormat="false" ht="15" hidden="false" customHeight="false" outlineLevel="0" collapsed="false">
      <c r="A2780" s="0" t="s">
        <v>71</v>
      </c>
      <c r="B2780" s="0" t="s">
        <v>5310</v>
      </c>
      <c r="C2780" s="0" t="s">
        <v>5311</v>
      </c>
      <c r="E2780" s="0" t="s">
        <v>1479</v>
      </c>
    </row>
    <row r="2781" customFormat="false" ht="15" hidden="false" customHeight="false" outlineLevel="0" collapsed="false">
      <c r="A2781" s="0" t="s">
        <v>71</v>
      </c>
      <c r="B2781" s="0" t="s">
        <v>5312</v>
      </c>
      <c r="C2781" s="0" t="s">
        <v>5313</v>
      </c>
      <c r="E2781" s="0" t="s">
        <v>1479</v>
      </c>
    </row>
    <row r="2782" customFormat="false" ht="15" hidden="false" customHeight="false" outlineLevel="0" collapsed="false">
      <c r="A2782" s="0" t="s">
        <v>71</v>
      </c>
      <c r="B2782" s="0" t="s">
        <v>5314</v>
      </c>
      <c r="C2782" s="0" t="s">
        <v>5315</v>
      </c>
      <c r="E2782" s="0" t="s">
        <v>1479</v>
      </c>
    </row>
    <row r="2783" customFormat="false" ht="15" hidden="false" customHeight="false" outlineLevel="0" collapsed="false">
      <c r="A2783" s="0" t="s">
        <v>71</v>
      </c>
      <c r="B2783" s="0" t="s">
        <v>1687</v>
      </c>
      <c r="C2783" s="0" t="s">
        <v>5316</v>
      </c>
      <c r="E2783" s="0" t="s">
        <v>1479</v>
      </c>
    </row>
    <row r="2784" customFormat="false" ht="15" hidden="false" customHeight="false" outlineLevel="0" collapsed="false">
      <c r="A2784" s="0" t="s">
        <v>71</v>
      </c>
      <c r="B2784" s="0" t="s">
        <v>1689</v>
      </c>
      <c r="C2784" s="0" t="s">
        <v>5317</v>
      </c>
      <c r="E2784" s="0" t="s">
        <v>1479</v>
      </c>
    </row>
    <row r="2785" customFormat="false" ht="15" hidden="false" customHeight="false" outlineLevel="0" collapsed="false">
      <c r="A2785" s="0" t="s">
        <v>71</v>
      </c>
      <c r="B2785" s="0" t="s">
        <v>1691</v>
      </c>
      <c r="C2785" s="0" t="s">
        <v>5318</v>
      </c>
      <c r="E2785" s="0" t="s">
        <v>1479</v>
      </c>
    </row>
    <row r="2786" customFormat="false" ht="15" hidden="false" customHeight="false" outlineLevel="0" collapsed="false">
      <c r="A2786" s="0" t="s">
        <v>71</v>
      </c>
      <c r="B2786" s="0" t="s">
        <v>1693</v>
      </c>
      <c r="C2786" s="0" t="s">
        <v>5319</v>
      </c>
      <c r="E2786" s="0" t="s">
        <v>1479</v>
      </c>
    </row>
    <row r="2787" customFormat="false" ht="15" hidden="false" customHeight="false" outlineLevel="0" collapsed="false">
      <c r="A2787" s="0" t="s">
        <v>71</v>
      </c>
      <c r="B2787" s="0" t="s">
        <v>1695</v>
      </c>
      <c r="C2787" s="0" t="s">
        <v>5320</v>
      </c>
      <c r="E2787" s="0" t="s">
        <v>1479</v>
      </c>
    </row>
    <row r="2788" customFormat="false" ht="15" hidden="false" customHeight="false" outlineLevel="0" collapsed="false">
      <c r="A2788" s="0" t="s">
        <v>71</v>
      </c>
      <c r="B2788" s="0" t="s">
        <v>5321</v>
      </c>
      <c r="C2788" s="0" t="s">
        <v>5322</v>
      </c>
      <c r="E2788" s="0" t="s">
        <v>1479</v>
      </c>
    </row>
    <row r="2789" customFormat="false" ht="15" hidden="false" customHeight="false" outlineLevel="0" collapsed="false">
      <c r="A2789" s="0" t="s">
        <v>71</v>
      </c>
      <c r="B2789" s="0" t="s">
        <v>5323</v>
      </c>
      <c r="C2789" s="0" t="s">
        <v>5324</v>
      </c>
      <c r="E2789" s="0" t="s">
        <v>1479</v>
      </c>
    </row>
    <row r="2790" customFormat="false" ht="15" hidden="false" customHeight="false" outlineLevel="0" collapsed="false">
      <c r="A2790" s="0" t="s">
        <v>71</v>
      </c>
      <c r="B2790" s="0" t="s">
        <v>5325</v>
      </c>
      <c r="C2790" s="0" t="s">
        <v>5326</v>
      </c>
      <c r="E2790" s="0" t="s">
        <v>1479</v>
      </c>
    </row>
    <row r="2791" customFormat="false" ht="15" hidden="false" customHeight="false" outlineLevel="0" collapsed="false">
      <c r="A2791" s="0" t="s">
        <v>71</v>
      </c>
      <c r="B2791" s="0" t="s">
        <v>5327</v>
      </c>
      <c r="C2791" s="0" t="s">
        <v>5328</v>
      </c>
      <c r="E2791" s="0" t="s">
        <v>1479</v>
      </c>
    </row>
    <row r="2792" customFormat="false" ht="15" hidden="false" customHeight="false" outlineLevel="0" collapsed="false">
      <c r="A2792" s="0" t="s">
        <v>71</v>
      </c>
      <c r="B2792" s="0" t="s">
        <v>5329</v>
      </c>
      <c r="C2792" s="0" t="s">
        <v>5330</v>
      </c>
      <c r="E2792" s="0" t="s">
        <v>1479</v>
      </c>
    </row>
    <row r="2793" customFormat="false" ht="15" hidden="false" customHeight="false" outlineLevel="0" collapsed="false">
      <c r="A2793" s="0" t="s">
        <v>71</v>
      </c>
      <c r="B2793" s="0" t="s">
        <v>5331</v>
      </c>
      <c r="C2793" s="0" t="s">
        <v>5332</v>
      </c>
      <c r="E2793" s="0" t="s">
        <v>1479</v>
      </c>
    </row>
    <row r="2794" customFormat="false" ht="15" hidden="false" customHeight="false" outlineLevel="0" collapsed="false">
      <c r="A2794" s="0" t="s">
        <v>71</v>
      </c>
      <c r="B2794" s="0" t="s">
        <v>5333</v>
      </c>
      <c r="C2794" s="0" t="s">
        <v>5334</v>
      </c>
      <c r="E2794" s="0" t="s">
        <v>1479</v>
      </c>
    </row>
    <row r="2795" customFormat="false" ht="15" hidden="false" customHeight="false" outlineLevel="0" collapsed="false">
      <c r="A2795" s="0" t="s">
        <v>71</v>
      </c>
      <c r="B2795" s="0" t="s">
        <v>5335</v>
      </c>
      <c r="C2795" s="0" t="s">
        <v>5336</v>
      </c>
      <c r="E2795" s="0" t="s">
        <v>1479</v>
      </c>
    </row>
    <row r="2796" customFormat="false" ht="15" hidden="false" customHeight="false" outlineLevel="0" collapsed="false">
      <c r="A2796" s="0" t="s">
        <v>71</v>
      </c>
      <c r="B2796" s="0" t="s">
        <v>2380</v>
      </c>
      <c r="C2796" s="0" t="s">
        <v>5337</v>
      </c>
      <c r="E2796" s="0" t="s">
        <v>1479</v>
      </c>
    </row>
    <row r="2797" customFormat="false" ht="15" hidden="false" customHeight="false" outlineLevel="0" collapsed="false">
      <c r="A2797" s="0" t="s">
        <v>71</v>
      </c>
      <c r="B2797" s="0" t="s">
        <v>5338</v>
      </c>
      <c r="C2797" s="0" t="s">
        <v>5339</v>
      </c>
      <c r="E2797" s="0" t="s">
        <v>1479</v>
      </c>
    </row>
    <row r="2798" customFormat="false" ht="15" hidden="false" customHeight="false" outlineLevel="0" collapsed="false">
      <c r="A2798" s="0" t="s">
        <v>71</v>
      </c>
      <c r="B2798" s="0" t="s">
        <v>5340</v>
      </c>
      <c r="C2798" s="0" t="s">
        <v>5341</v>
      </c>
      <c r="E2798" s="0" t="s">
        <v>1479</v>
      </c>
    </row>
    <row r="2799" customFormat="false" ht="15" hidden="false" customHeight="false" outlineLevel="0" collapsed="false">
      <c r="A2799" s="0" t="s">
        <v>71</v>
      </c>
      <c r="B2799" s="0" t="s">
        <v>5342</v>
      </c>
      <c r="C2799" s="0" t="s">
        <v>5343</v>
      </c>
      <c r="E2799" s="0" t="s">
        <v>1479</v>
      </c>
    </row>
    <row r="2800" customFormat="false" ht="15" hidden="false" customHeight="false" outlineLevel="0" collapsed="false">
      <c r="A2800" s="0" t="s">
        <v>71</v>
      </c>
      <c r="B2800" s="0" t="s">
        <v>5344</v>
      </c>
      <c r="C2800" s="0" t="s">
        <v>5345</v>
      </c>
      <c r="E2800" s="0" t="s">
        <v>1479</v>
      </c>
    </row>
    <row r="2801" customFormat="false" ht="15" hidden="false" customHeight="false" outlineLevel="0" collapsed="false">
      <c r="A2801" s="0" t="s">
        <v>71</v>
      </c>
      <c r="B2801" s="0" t="s">
        <v>5346</v>
      </c>
      <c r="C2801" s="0" t="s">
        <v>5347</v>
      </c>
      <c r="E2801" s="0" t="s">
        <v>1479</v>
      </c>
    </row>
    <row r="2802" customFormat="false" ht="15" hidden="false" customHeight="false" outlineLevel="0" collapsed="false">
      <c r="A2802" s="0" t="s">
        <v>71</v>
      </c>
      <c r="B2802" s="0" t="s">
        <v>5348</v>
      </c>
      <c r="C2802" s="0" t="s">
        <v>5349</v>
      </c>
      <c r="E2802" s="0" t="s">
        <v>1479</v>
      </c>
    </row>
    <row r="2803" customFormat="false" ht="15" hidden="false" customHeight="false" outlineLevel="0" collapsed="false">
      <c r="A2803" s="0" t="s">
        <v>71</v>
      </c>
      <c r="B2803" s="0" t="s">
        <v>5350</v>
      </c>
      <c r="C2803" s="0" t="s">
        <v>5351</v>
      </c>
      <c r="E2803" s="0" t="s">
        <v>1479</v>
      </c>
    </row>
    <row r="2804" customFormat="false" ht="15" hidden="false" customHeight="false" outlineLevel="0" collapsed="false">
      <c r="A2804" s="0" t="s">
        <v>71</v>
      </c>
      <c r="B2804" s="0" t="s">
        <v>5352</v>
      </c>
      <c r="C2804" s="0" t="s">
        <v>5353</v>
      </c>
      <c r="E2804" s="0" t="s">
        <v>1479</v>
      </c>
    </row>
    <row r="2805" customFormat="false" ht="15" hidden="false" customHeight="false" outlineLevel="0" collapsed="false">
      <c r="A2805" s="0" t="s">
        <v>71</v>
      </c>
      <c r="B2805" s="0" t="s">
        <v>5354</v>
      </c>
      <c r="C2805" s="0" t="s">
        <v>5355</v>
      </c>
      <c r="E2805" s="0" t="s">
        <v>1479</v>
      </c>
    </row>
    <row r="2806" customFormat="false" ht="15" hidden="false" customHeight="false" outlineLevel="0" collapsed="false">
      <c r="A2806" s="0" t="s">
        <v>71</v>
      </c>
      <c r="B2806" s="0" t="s">
        <v>2383</v>
      </c>
      <c r="C2806" s="0" t="s">
        <v>5356</v>
      </c>
      <c r="E2806" s="0" t="s">
        <v>1479</v>
      </c>
    </row>
    <row r="2807" customFormat="false" ht="15" hidden="false" customHeight="false" outlineLevel="0" collapsed="false">
      <c r="A2807" s="0" t="s">
        <v>71</v>
      </c>
      <c r="B2807" s="0" t="s">
        <v>5357</v>
      </c>
      <c r="C2807" s="0" t="s">
        <v>5358</v>
      </c>
      <c r="E2807" s="0" t="s">
        <v>1479</v>
      </c>
    </row>
    <row r="2808" customFormat="false" ht="15" hidden="false" customHeight="false" outlineLevel="0" collapsed="false">
      <c r="A2808" s="0" t="s">
        <v>71</v>
      </c>
      <c r="B2808" s="0" t="s">
        <v>5359</v>
      </c>
      <c r="C2808" s="0" t="s">
        <v>5360</v>
      </c>
      <c r="E2808" s="0" t="s">
        <v>1479</v>
      </c>
    </row>
    <row r="2809" customFormat="false" ht="15" hidden="false" customHeight="false" outlineLevel="0" collapsed="false">
      <c r="A2809" s="0" t="s">
        <v>71</v>
      </c>
      <c r="B2809" s="0" t="s">
        <v>5361</v>
      </c>
      <c r="C2809" s="0" t="s">
        <v>5362</v>
      </c>
      <c r="E2809" s="0" t="s">
        <v>1479</v>
      </c>
    </row>
    <row r="2810" customFormat="false" ht="15" hidden="false" customHeight="false" outlineLevel="0" collapsed="false">
      <c r="A2810" s="0" t="s">
        <v>71</v>
      </c>
      <c r="B2810" s="0" t="s">
        <v>5363</v>
      </c>
      <c r="C2810" s="0" t="s">
        <v>5364</v>
      </c>
      <c r="E2810" s="0" t="s">
        <v>1479</v>
      </c>
    </row>
    <row r="2811" customFormat="false" ht="15" hidden="false" customHeight="false" outlineLevel="0" collapsed="false">
      <c r="A2811" s="0" t="s">
        <v>71</v>
      </c>
      <c r="B2811" s="0" t="s">
        <v>5365</v>
      </c>
      <c r="C2811" s="0" t="s">
        <v>5366</v>
      </c>
      <c r="E2811" s="0" t="s">
        <v>1479</v>
      </c>
    </row>
    <row r="2812" customFormat="false" ht="15" hidden="false" customHeight="false" outlineLevel="0" collapsed="false">
      <c r="A2812" s="0" t="s">
        <v>71</v>
      </c>
      <c r="B2812" s="0" t="s">
        <v>5367</v>
      </c>
      <c r="C2812" s="0" t="s">
        <v>5368</v>
      </c>
      <c r="E2812" s="0" t="s">
        <v>1479</v>
      </c>
    </row>
    <row r="2813" customFormat="false" ht="15" hidden="false" customHeight="false" outlineLevel="0" collapsed="false">
      <c r="A2813" s="0" t="s">
        <v>71</v>
      </c>
      <c r="B2813" s="0" t="s">
        <v>5369</v>
      </c>
      <c r="C2813" s="0" t="s">
        <v>5370</v>
      </c>
      <c r="E2813" s="0" t="s">
        <v>1479</v>
      </c>
    </row>
    <row r="2814" customFormat="false" ht="15" hidden="false" customHeight="false" outlineLevel="0" collapsed="false">
      <c r="A2814" s="0" t="s">
        <v>71</v>
      </c>
      <c r="B2814" s="0" t="s">
        <v>5371</v>
      </c>
      <c r="C2814" s="0" t="s">
        <v>5372</v>
      </c>
      <c r="E2814" s="0" t="s">
        <v>1479</v>
      </c>
    </row>
    <row r="2815" customFormat="false" ht="15" hidden="false" customHeight="false" outlineLevel="0" collapsed="false">
      <c r="A2815" s="0" t="s">
        <v>71</v>
      </c>
      <c r="B2815" s="0" t="s">
        <v>5373</v>
      </c>
      <c r="C2815" s="0" t="s">
        <v>5374</v>
      </c>
      <c r="E2815" s="0" t="s">
        <v>1479</v>
      </c>
    </row>
    <row r="2816" customFormat="false" ht="15" hidden="false" customHeight="false" outlineLevel="0" collapsed="false">
      <c r="A2816" s="0" t="s">
        <v>71</v>
      </c>
      <c r="B2816" s="0" t="s">
        <v>2386</v>
      </c>
      <c r="C2816" s="0" t="s">
        <v>5375</v>
      </c>
      <c r="E2816" s="0" t="s">
        <v>1479</v>
      </c>
    </row>
    <row r="2817" customFormat="false" ht="15" hidden="false" customHeight="false" outlineLevel="0" collapsed="false">
      <c r="A2817" s="0" t="s">
        <v>71</v>
      </c>
      <c r="B2817" s="0" t="s">
        <v>5376</v>
      </c>
      <c r="C2817" s="0" t="s">
        <v>5377</v>
      </c>
      <c r="E2817" s="0" t="s">
        <v>1479</v>
      </c>
    </row>
    <row r="2818" customFormat="false" ht="15" hidden="false" customHeight="false" outlineLevel="0" collapsed="false">
      <c r="A2818" s="0" t="s">
        <v>71</v>
      </c>
      <c r="B2818" s="0" t="s">
        <v>5378</v>
      </c>
      <c r="C2818" s="0" t="s">
        <v>5379</v>
      </c>
      <c r="E2818" s="0" t="s">
        <v>1479</v>
      </c>
    </row>
    <row r="2819" customFormat="false" ht="15" hidden="false" customHeight="false" outlineLevel="0" collapsed="false">
      <c r="A2819" s="0" t="s">
        <v>71</v>
      </c>
      <c r="B2819" s="0" t="s">
        <v>5380</v>
      </c>
      <c r="C2819" s="0" t="s">
        <v>5381</v>
      </c>
      <c r="E2819" s="0" t="s">
        <v>1479</v>
      </c>
    </row>
    <row r="2820" customFormat="false" ht="15" hidden="false" customHeight="false" outlineLevel="0" collapsed="false">
      <c r="A2820" s="0" t="s">
        <v>71</v>
      </c>
      <c r="B2820" s="0" t="s">
        <v>5382</v>
      </c>
      <c r="C2820" s="0" t="s">
        <v>5383</v>
      </c>
      <c r="E2820" s="0" t="s">
        <v>1479</v>
      </c>
    </row>
    <row r="2821" customFormat="false" ht="15" hidden="false" customHeight="false" outlineLevel="0" collapsed="false">
      <c r="A2821" s="0" t="s">
        <v>71</v>
      </c>
      <c r="B2821" s="0" t="s">
        <v>5384</v>
      </c>
      <c r="C2821" s="0" t="s">
        <v>5385</v>
      </c>
      <c r="E2821" s="0" t="s">
        <v>1479</v>
      </c>
    </row>
    <row r="2822" customFormat="false" ht="15" hidden="false" customHeight="false" outlineLevel="0" collapsed="false">
      <c r="A2822" s="0" t="s">
        <v>71</v>
      </c>
      <c r="B2822" s="0" t="s">
        <v>5386</v>
      </c>
      <c r="C2822" s="0" t="s">
        <v>5387</v>
      </c>
      <c r="E2822" s="0" t="s">
        <v>1479</v>
      </c>
    </row>
    <row r="2823" customFormat="false" ht="15" hidden="false" customHeight="false" outlineLevel="0" collapsed="false">
      <c r="A2823" s="0" t="s">
        <v>71</v>
      </c>
      <c r="B2823" s="0" t="s">
        <v>1706</v>
      </c>
      <c r="C2823" s="0" t="s">
        <v>5388</v>
      </c>
      <c r="E2823" s="0" t="s">
        <v>1479</v>
      </c>
    </row>
    <row r="2824" customFormat="false" ht="15" hidden="false" customHeight="false" outlineLevel="0" collapsed="false">
      <c r="A2824" s="0" t="s">
        <v>71</v>
      </c>
      <c r="B2824" s="0" t="s">
        <v>1708</v>
      </c>
      <c r="C2824" s="0" t="s">
        <v>5389</v>
      </c>
      <c r="E2824" s="0" t="s">
        <v>1479</v>
      </c>
    </row>
    <row r="2825" customFormat="false" ht="15" hidden="false" customHeight="false" outlineLevel="0" collapsed="false">
      <c r="A2825" s="0" t="s">
        <v>71</v>
      </c>
      <c r="B2825" s="0" t="s">
        <v>1710</v>
      </c>
      <c r="C2825" s="0" t="s">
        <v>5390</v>
      </c>
      <c r="E2825" s="0" t="s">
        <v>1479</v>
      </c>
    </row>
    <row r="2826" customFormat="false" ht="15" hidden="false" customHeight="false" outlineLevel="0" collapsed="false">
      <c r="A2826" s="0" t="s">
        <v>71</v>
      </c>
      <c r="B2826" s="0" t="s">
        <v>1712</v>
      </c>
      <c r="C2826" s="0" t="s">
        <v>5391</v>
      </c>
      <c r="E2826" s="0" t="s">
        <v>1479</v>
      </c>
    </row>
    <row r="2827" customFormat="false" ht="15" hidden="false" customHeight="false" outlineLevel="0" collapsed="false">
      <c r="A2827" s="0" t="s">
        <v>71</v>
      </c>
      <c r="B2827" s="0" t="s">
        <v>1714</v>
      </c>
      <c r="C2827" s="0" t="s">
        <v>5392</v>
      </c>
      <c r="E2827" s="0" t="s">
        <v>1479</v>
      </c>
    </row>
    <row r="2828" customFormat="false" ht="15" hidden="false" customHeight="false" outlineLevel="0" collapsed="false">
      <c r="A2828" s="0" t="s">
        <v>71</v>
      </c>
      <c r="B2828" s="0" t="s">
        <v>5393</v>
      </c>
      <c r="C2828" s="0" t="s">
        <v>5394</v>
      </c>
      <c r="E2828" s="0" t="s">
        <v>1479</v>
      </c>
    </row>
    <row r="2829" customFormat="false" ht="15" hidden="false" customHeight="false" outlineLevel="0" collapsed="false">
      <c r="A2829" s="0" t="s">
        <v>71</v>
      </c>
      <c r="B2829" s="0" t="s">
        <v>5395</v>
      </c>
      <c r="C2829" s="0" t="s">
        <v>5396</v>
      </c>
      <c r="E2829" s="0" t="s">
        <v>1479</v>
      </c>
    </row>
    <row r="2830" customFormat="false" ht="15" hidden="false" customHeight="false" outlineLevel="0" collapsed="false">
      <c r="A2830" s="0" t="s">
        <v>71</v>
      </c>
      <c r="B2830" s="0" t="s">
        <v>5397</v>
      </c>
      <c r="C2830" s="0" t="s">
        <v>5398</v>
      </c>
      <c r="E2830" s="0" t="s">
        <v>1479</v>
      </c>
    </row>
    <row r="2831" customFormat="false" ht="15" hidden="false" customHeight="false" outlineLevel="0" collapsed="false">
      <c r="A2831" s="0" t="s">
        <v>71</v>
      </c>
      <c r="B2831" s="0" t="s">
        <v>5399</v>
      </c>
      <c r="C2831" s="0" t="s">
        <v>5400</v>
      </c>
      <c r="E2831" s="0" t="s">
        <v>1479</v>
      </c>
    </row>
    <row r="2832" customFormat="false" ht="15" hidden="false" customHeight="false" outlineLevel="0" collapsed="false">
      <c r="A2832" s="0" t="s">
        <v>71</v>
      </c>
      <c r="B2832" s="0" t="s">
        <v>5401</v>
      </c>
      <c r="C2832" s="0" t="s">
        <v>5402</v>
      </c>
      <c r="E2832" s="0" t="s">
        <v>1479</v>
      </c>
    </row>
    <row r="2833" customFormat="false" ht="15" hidden="false" customHeight="false" outlineLevel="0" collapsed="false">
      <c r="A2833" s="0" t="s">
        <v>71</v>
      </c>
      <c r="B2833" s="0" t="s">
        <v>1722</v>
      </c>
      <c r="C2833" s="0" t="s">
        <v>5403</v>
      </c>
      <c r="E2833" s="0" t="s">
        <v>1479</v>
      </c>
    </row>
    <row r="2834" customFormat="false" ht="15" hidden="false" customHeight="false" outlineLevel="0" collapsed="false">
      <c r="A2834" s="0" t="s">
        <v>71</v>
      </c>
      <c r="B2834" s="0" t="s">
        <v>1724</v>
      </c>
      <c r="C2834" s="0" t="s">
        <v>5404</v>
      </c>
      <c r="E2834" s="0" t="s">
        <v>1479</v>
      </c>
    </row>
    <row r="2835" customFormat="false" ht="15" hidden="false" customHeight="false" outlineLevel="0" collapsed="false">
      <c r="A2835" s="0" t="s">
        <v>71</v>
      </c>
      <c r="B2835" s="0" t="s">
        <v>1726</v>
      </c>
      <c r="C2835" s="0" t="s">
        <v>5405</v>
      </c>
      <c r="E2835" s="0" t="s">
        <v>1479</v>
      </c>
    </row>
    <row r="2836" customFormat="false" ht="15" hidden="false" customHeight="false" outlineLevel="0" collapsed="false">
      <c r="A2836" s="0" t="s">
        <v>71</v>
      </c>
      <c r="B2836" s="0" t="s">
        <v>1728</v>
      </c>
      <c r="C2836" s="0" t="s">
        <v>5406</v>
      </c>
      <c r="E2836" s="0" t="s">
        <v>1479</v>
      </c>
    </row>
    <row r="2837" customFormat="false" ht="15" hidden="false" customHeight="false" outlineLevel="0" collapsed="false">
      <c r="A2837" s="0" t="s">
        <v>71</v>
      </c>
      <c r="B2837" s="0" t="s">
        <v>1730</v>
      </c>
      <c r="C2837" s="0" t="s">
        <v>5407</v>
      </c>
      <c r="E2837" s="0" t="s">
        <v>1479</v>
      </c>
    </row>
    <row r="2838" customFormat="false" ht="15" hidden="false" customHeight="false" outlineLevel="0" collapsed="false">
      <c r="A2838" s="0" t="s">
        <v>71</v>
      </c>
      <c r="B2838" s="0" t="s">
        <v>5408</v>
      </c>
      <c r="C2838" s="0" t="s">
        <v>5409</v>
      </c>
      <c r="E2838" s="0" t="s">
        <v>1479</v>
      </c>
    </row>
    <row r="2839" customFormat="false" ht="15" hidden="false" customHeight="false" outlineLevel="0" collapsed="false">
      <c r="A2839" s="0" t="s">
        <v>71</v>
      </c>
      <c r="B2839" s="0" t="s">
        <v>5410</v>
      </c>
      <c r="C2839" s="0" t="s">
        <v>5411</v>
      </c>
      <c r="E2839" s="0" t="s">
        <v>1479</v>
      </c>
    </row>
    <row r="2840" customFormat="false" ht="15" hidden="false" customHeight="false" outlineLevel="0" collapsed="false">
      <c r="A2840" s="0" t="s">
        <v>71</v>
      </c>
      <c r="B2840" s="0" t="s">
        <v>5412</v>
      </c>
      <c r="C2840" s="0" t="s">
        <v>5413</v>
      </c>
      <c r="E2840" s="0" t="s">
        <v>1479</v>
      </c>
    </row>
    <row r="2841" customFormat="false" ht="15" hidden="false" customHeight="false" outlineLevel="0" collapsed="false">
      <c r="A2841" s="0" t="s">
        <v>71</v>
      </c>
      <c r="B2841" s="0" t="s">
        <v>5414</v>
      </c>
      <c r="C2841" s="0" t="s">
        <v>5415</v>
      </c>
      <c r="E2841" s="0" t="s">
        <v>1479</v>
      </c>
    </row>
    <row r="2842" customFormat="false" ht="15" hidden="false" customHeight="false" outlineLevel="0" collapsed="false">
      <c r="A2842" s="0" t="s">
        <v>71</v>
      </c>
      <c r="B2842" s="0" t="s">
        <v>5416</v>
      </c>
      <c r="C2842" s="0" t="s">
        <v>5417</v>
      </c>
      <c r="E2842" s="0" t="s">
        <v>1479</v>
      </c>
    </row>
    <row r="2843" customFormat="false" ht="15" hidden="false" customHeight="false" outlineLevel="0" collapsed="false">
      <c r="A2843" s="0" t="s">
        <v>71</v>
      </c>
      <c r="B2843" s="0" t="s">
        <v>1738</v>
      </c>
      <c r="C2843" s="0" t="s">
        <v>5418</v>
      </c>
      <c r="E2843" s="0" t="s">
        <v>1479</v>
      </c>
    </row>
    <row r="2844" customFormat="false" ht="15" hidden="false" customHeight="false" outlineLevel="0" collapsed="false">
      <c r="A2844" s="0" t="s">
        <v>71</v>
      </c>
      <c r="B2844" s="0" t="s">
        <v>1740</v>
      </c>
      <c r="C2844" s="0" t="s">
        <v>5419</v>
      </c>
      <c r="E2844" s="0" t="s">
        <v>1479</v>
      </c>
    </row>
    <row r="2845" customFormat="false" ht="15" hidden="false" customHeight="false" outlineLevel="0" collapsed="false">
      <c r="A2845" s="0" t="s">
        <v>71</v>
      </c>
      <c r="B2845" s="0" t="s">
        <v>1742</v>
      </c>
      <c r="C2845" s="0" t="s">
        <v>5420</v>
      </c>
      <c r="E2845" s="0" t="s">
        <v>1479</v>
      </c>
    </row>
    <row r="2846" customFormat="false" ht="15" hidden="false" customHeight="false" outlineLevel="0" collapsed="false">
      <c r="A2846" s="0" t="s">
        <v>71</v>
      </c>
      <c r="B2846" s="0" t="s">
        <v>1744</v>
      </c>
      <c r="C2846" s="0" t="s">
        <v>5421</v>
      </c>
      <c r="E2846" s="0" t="s">
        <v>1479</v>
      </c>
    </row>
    <row r="2847" customFormat="false" ht="15" hidden="false" customHeight="false" outlineLevel="0" collapsed="false">
      <c r="A2847" s="0" t="s">
        <v>71</v>
      </c>
      <c r="B2847" s="0" t="s">
        <v>1746</v>
      </c>
      <c r="C2847" s="0" t="s">
        <v>5422</v>
      </c>
      <c r="E2847" s="0" t="s">
        <v>1479</v>
      </c>
    </row>
    <row r="2848" customFormat="false" ht="15" hidden="false" customHeight="false" outlineLevel="0" collapsed="false">
      <c r="A2848" s="0" t="s">
        <v>71</v>
      </c>
      <c r="B2848" s="0" t="s">
        <v>5423</v>
      </c>
      <c r="C2848" s="0" t="s">
        <v>5424</v>
      </c>
      <c r="E2848" s="0" t="s">
        <v>1479</v>
      </c>
    </row>
    <row r="2849" customFormat="false" ht="15" hidden="false" customHeight="false" outlineLevel="0" collapsed="false">
      <c r="A2849" s="0" t="s">
        <v>71</v>
      </c>
      <c r="B2849" s="0" t="s">
        <v>5425</v>
      </c>
      <c r="C2849" s="0" t="s">
        <v>5426</v>
      </c>
      <c r="E2849" s="0" t="s">
        <v>1479</v>
      </c>
    </row>
    <row r="2850" customFormat="false" ht="15" hidden="false" customHeight="false" outlineLevel="0" collapsed="false">
      <c r="A2850" s="0" t="s">
        <v>71</v>
      </c>
      <c r="B2850" s="0" t="s">
        <v>5427</v>
      </c>
      <c r="C2850" s="0" t="s">
        <v>5428</v>
      </c>
      <c r="E2850" s="0" t="s">
        <v>1479</v>
      </c>
    </row>
    <row r="2851" customFormat="false" ht="15" hidden="false" customHeight="false" outlineLevel="0" collapsed="false">
      <c r="A2851" s="0" t="s">
        <v>71</v>
      </c>
      <c r="B2851" s="0" t="s">
        <v>5429</v>
      </c>
      <c r="C2851" s="0" t="s">
        <v>5430</v>
      </c>
      <c r="E2851" s="0" t="s">
        <v>1479</v>
      </c>
    </row>
    <row r="2852" customFormat="false" ht="15" hidden="false" customHeight="false" outlineLevel="0" collapsed="false">
      <c r="A2852" s="0" t="s">
        <v>71</v>
      </c>
      <c r="B2852" s="0" t="s">
        <v>5431</v>
      </c>
      <c r="C2852" s="0" t="s">
        <v>5432</v>
      </c>
      <c r="E2852" s="0" t="s">
        <v>1479</v>
      </c>
    </row>
    <row r="2853" customFormat="false" ht="15" hidden="false" customHeight="false" outlineLevel="0" collapsed="false">
      <c r="A2853" s="0" t="s">
        <v>71</v>
      </c>
      <c r="B2853" s="0" t="s">
        <v>1754</v>
      </c>
      <c r="C2853" s="0" t="s">
        <v>5433</v>
      </c>
      <c r="E2853" s="0" t="s">
        <v>1479</v>
      </c>
    </row>
    <row r="2854" customFormat="false" ht="15" hidden="false" customHeight="false" outlineLevel="0" collapsed="false">
      <c r="A2854" s="0" t="s">
        <v>71</v>
      </c>
      <c r="B2854" s="0" t="s">
        <v>1756</v>
      </c>
      <c r="C2854" s="0" t="s">
        <v>5434</v>
      </c>
      <c r="E2854" s="0" t="s">
        <v>1479</v>
      </c>
    </row>
    <row r="2855" customFormat="false" ht="15" hidden="false" customHeight="false" outlineLevel="0" collapsed="false">
      <c r="A2855" s="0" t="s">
        <v>71</v>
      </c>
      <c r="B2855" s="0" t="s">
        <v>1758</v>
      </c>
      <c r="C2855" s="0" t="s">
        <v>5435</v>
      </c>
      <c r="E2855" s="0" t="s">
        <v>1479</v>
      </c>
    </row>
    <row r="2856" customFormat="false" ht="15" hidden="false" customHeight="false" outlineLevel="0" collapsed="false">
      <c r="A2856" s="0" t="s">
        <v>71</v>
      </c>
      <c r="B2856" s="0" t="s">
        <v>1760</v>
      </c>
      <c r="C2856" s="0" t="s">
        <v>5436</v>
      </c>
      <c r="E2856" s="0" t="s">
        <v>1479</v>
      </c>
    </row>
    <row r="2857" customFormat="false" ht="15" hidden="false" customHeight="false" outlineLevel="0" collapsed="false">
      <c r="A2857" s="0" t="s">
        <v>71</v>
      </c>
      <c r="B2857" s="0" t="s">
        <v>1762</v>
      </c>
      <c r="C2857" s="0" t="s">
        <v>5437</v>
      </c>
      <c r="E2857" s="0" t="s">
        <v>1479</v>
      </c>
    </row>
    <row r="2858" customFormat="false" ht="15" hidden="false" customHeight="false" outlineLevel="0" collapsed="false">
      <c r="A2858" s="0" t="s">
        <v>71</v>
      </c>
      <c r="B2858" s="0" t="s">
        <v>5438</v>
      </c>
      <c r="C2858" s="0" t="s">
        <v>5439</v>
      </c>
      <c r="E2858" s="0" t="s">
        <v>1479</v>
      </c>
    </row>
    <row r="2859" customFormat="false" ht="15" hidden="false" customHeight="false" outlineLevel="0" collapsed="false">
      <c r="A2859" s="0" t="s">
        <v>71</v>
      </c>
      <c r="B2859" s="0" t="s">
        <v>5440</v>
      </c>
      <c r="C2859" s="0" t="s">
        <v>5441</v>
      </c>
      <c r="E2859" s="0" t="s">
        <v>1479</v>
      </c>
    </row>
    <row r="2860" customFormat="false" ht="15" hidden="false" customHeight="false" outlineLevel="0" collapsed="false">
      <c r="A2860" s="0" t="s">
        <v>71</v>
      </c>
      <c r="B2860" s="0" t="s">
        <v>5442</v>
      </c>
      <c r="C2860" s="0" t="s">
        <v>5443</v>
      </c>
      <c r="E2860" s="0" t="s">
        <v>1479</v>
      </c>
    </row>
    <row r="2861" customFormat="false" ht="15" hidden="false" customHeight="false" outlineLevel="0" collapsed="false">
      <c r="A2861" s="0" t="s">
        <v>71</v>
      </c>
      <c r="B2861" s="0" t="s">
        <v>5444</v>
      </c>
      <c r="C2861" s="0" t="s">
        <v>5445</v>
      </c>
      <c r="E2861" s="0" t="s">
        <v>1479</v>
      </c>
    </row>
    <row r="2862" customFormat="false" ht="15" hidden="false" customHeight="false" outlineLevel="0" collapsed="false">
      <c r="A2862" s="0" t="s">
        <v>71</v>
      </c>
      <c r="B2862" s="0" t="s">
        <v>5446</v>
      </c>
      <c r="C2862" s="0" t="s">
        <v>5447</v>
      </c>
      <c r="E2862" s="0" t="s">
        <v>1479</v>
      </c>
    </row>
    <row r="2863" customFormat="false" ht="15" hidden="false" customHeight="false" outlineLevel="0" collapsed="false">
      <c r="A2863" s="0" t="s">
        <v>71</v>
      </c>
      <c r="B2863" s="0" t="s">
        <v>1770</v>
      </c>
      <c r="C2863" s="0" t="s">
        <v>5448</v>
      </c>
      <c r="E2863" s="0" t="s">
        <v>1479</v>
      </c>
    </row>
    <row r="2864" customFormat="false" ht="15" hidden="false" customHeight="false" outlineLevel="0" collapsed="false">
      <c r="A2864" s="0" t="s">
        <v>71</v>
      </c>
      <c r="B2864" s="0" t="s">
        <v>1772</v>
      </c>
      <c r="C2864" s="0" t="s">
        <v>5449</v>
      </c>
      <c r="E2864" s="0" t="s">
        <v>1479</v>
      </c>
    </row>
    <row r="2865" customFormat="false" ht="15" hidden="false" customHeight="false" outlineLevel="0" collapsed="false">
      <c r="A2865" s="0" t="s">
        <v>71</v>
      </c>
      <c r="B2865" s="0" t="s">
        <v>1774</v>
      </c>
      <c r="C2865" s="0" t="s">
        <v>5450</v>
      </c>
      <c r="E2865" s="0" t="s">
        <v>1479</v>
      </c>
    </row>
    <row r="2866" customFormat="false" ht="15" hidden="false" customHeight="false" outlineLevel="0" collapsed="false">
      <c r="A2866" s="0" t="s">
        <v>71</v>
      </c>
      <c r="B2866" s="0" t="s">
        <v>1776</v>
      </c>
      <c r="C2866" s="0" t="s">
        <v>5451</v>
      </c>
      <c r="E2866" s="0" t="s">
        <v>1479</v>
      </c>
    </row>
    <row r="2867" customFormat="false" ht="15" hidden="false" customHeight="false" outlineLevel="0" collapsed="false">
      <c r="A2867" s="0" t="s">
        <v>71</v>
      </c>
      <c r="B2867" s="0" t="s">
        <v>1778</v>
      </c>
      <c r="C2867" s="0" t="s">
        <v>5452</v>
      </c>
      <c r="E2867" s="0" t="s">
        <v>1479</v>
      </c>
    </row>
    <row r="2868" customFormat="false" ht="15" hidden="false" customHeight="false" outlineLevel="0" collapsed="false">
      <c r="A2868" s="0" t="s">
        <v>71</v>
      </c>
      <c r="B2868" s="0" t="s">
        <v>5453</v>
      </c>
      <c r="C2868" s="0" t="s">
        <v>5454</v>
      </c>
      <c r="E2868" s="0" t="s">
        <v>1479</v>
      </c>
    </row>
    <row r="2869" customFormat="false" ht="15" hidden="false" customHeight="false" outlineLevel="0" collapsed="false">
      <c r="A2869" s="0" t="s">
        <v>71</v>
      </c>
      <c r="B2869" s="0" t="s">
        <v>5455</v>
      </c>
      <c r="C2869" s="0" t="s">
        <v>5456</v>
      </c>
      <c r="E2869" s="0" t="s">
        <v>1479</v>
      </c>
    </row>
    <row r="2870" customFormat="false" ht="15" hidden="false" customHeight="false" outlineLevel="0" collapsed="false">
      <c r="A2870" s="0" t="s">
        <v>71</v>
      </c>
      <c r="B2870" s="0" t="s">
        <v>5457</v>
      </c>
      <c r="C2870" s="0" t="s">
        <v>5458</v>
      </c>
      <c r="E2870" s="0" t="s">
        <v>1479</v>
      </c>
    </row>
    <row r="2871" customFormat="false" ht="15" hidden="false" customHeight="false" outlineLevel="0" collapsed="false">
      <c r="A2871" s="0" t="s">
        <v>71</v>
      </c>
      <c r="B2871" s="0" t="s">
        <v>5459</v>
      </c>
      <c r="C2871" s="0" t="s">
        <v>5460</v>
      </c>
      <c r="E2871" s="0" t="s">
        <v>1479</v>
      </c>
    </row>
    <row r="2872" customFormat="false" ht="15" hidden="false" customHeight="false" outlineLevel="0" collapsed="false">
      <c r="A2872" s="0" t="s">
        <v>71</v>
      </c>
      <c r="B2872" s="0" t="s">
        <v>5461</v>
      </c>
      <c r="C2872" s="0" t="s">
        <v>5462</v>
      </c>
      <c r="E2872" s="0" t="s">
        <v>1479</v>
      </c>
    </row>
    <row r="2873" customFormat="false" ht="15" hidden="false" customHeight="false" outlineLevel="0" collapsed="false">
      <c r="A2873" s="0" t="s">
        <v>71</v>
      </c>
      <c r="B2873" s="0" t="s">
        <v>1786</v>
      </c>
      <c r="C2873" s="0" t="s">
        <v>5463</v>
      </c>
      <c r="E2873" s="0" t="s">
        <v>1479</v>
      </c>
    </row>
    <row r="2874" customFormat="false" ht="15" hidden="false" customHeight="false" outlineLevel="0" collapsed="false">
      <c r="A2874" s="0" t="s">
        <v>71</v>
      </c>
      <c r="B2874" s="0" t="s">
        <v>1788</v>
      </c>
      <c r="C2874" s="0" t="s">
        <v>5464</v>
      </c>
      <c r="E2874" s="0" t="s">
        <v>1479</v>
      </c>
    </row>
    <row r="2875" customFormat="false" ht="15" hidden="false" customHeight="false" outlineLevel="0" collapsed="false">
      <c r="A2875" s="0" t="s">
        <v>71</v>
      </c>
      <c r="B2875" s="0" t="s">
        <v>1790</v>
      </c>
      <c r="C2875" s="0" t="s">
        <v>5465</v>
      </c>
      <c r="E2875" s="0" t="s">
        <v>1479</v>
      </c>
    </row>
    <row r="2876" customFormat="false" ht="15" hidden="false" customHeight="false" outlineLevel="0" collapsed="false">
      <c r="A2876" s="0" t="s">
        <v>71</v>
      </c>
      <c r="B2876" s="0" t="s">
        <v>1792</v>
      </c>
      <c r="C2876" s="0" t="s">
        <v>5466</v>
      </c>
      <c r="E2876" s="0" t="s">
        <v>1479</v>
      </c>
    </row>
    <row r="2877" customFormat="false" ht="15" hidden="false" customHeight="false" outlineLevel="0" collapsed="false">
      <c r="A2877" s="0" t="s">
        <v>71</v>
      </c>
      <c r="B2877" s="0" t="s">
        <v>1794</v>
      </c>
      <c r="C2877" s="0" t="s">
        <v>5467</v>
      </c>
      <c r="E2877" s="0" t="s">
        <v>1479</v>
      </c>
    </row>
    <row r="2878" customFormat="false" ht="15" hidden="false" customHeight="false" outlineLevel="0" collapsed="false">
      <c r="A2878" s="0" t="s">
        <v>71</v>
      </c>
      <c r="B2878" s="0" t="s">
        <v>5468</v>
      </c>
      <c r="C2878" s="0" t="s">
        <v>5469</v>
      </c>
      <c r="E2878" s="0" t="s">
        <v>1479</v>
      </c>
    </row>
    <row r="2879" customFormat="false" ht="15" hidden="false" customHeight="false" outlineLevel="0" collapsed="false">
      <c r="A2879" s="0" t="s">
        <v>71</v>
      </c>
      <c r="B2879" s="0" t="s">
        <v>5470</v>
      </c>
      <c r="C2879" s="0" t="s">
        <v>5471</v>
      </c>
      <c r="E2879" s="0" t="s">
        <v>1479</v>
      </c>
    </row>
    <row r="2880" customFormat="false" ht="15" hidden="false" customHeight="false" outlineLevel="0" collapsed="false">
      <c r="A2880" s="0" t="s">
        <v>71</v>
      </c>
      <c r="B2880" s="0" t="s">
        <v>5472</v>
      </c>
      <c r="C2880" s="0" t="s">
        <v>5473</v>
      </c>
      <c r="E2880" s="0" t="s">
        <v>1479</v>
      </c>
    </row>
    <row r="2881" customFormat="false" ht="15" hidden="false" customHeight="false" outlineLevel="0" collapsed="false">
      <c r="A2881" s="0" t="s">
        <v>71</v>
      </c>
      <c r="B2881" s="0" t="s">
        <v>5474</v>
      </c>
      <c r="C2881" s="0" t="s">
        <v>5475</v>
      </c>
      <c r="E2881" s="0" t="s">
        <v>1479</v>
      </c>
    </row>
    <row r="2882" customFormat="false" ht="15" hidden="false" customHeight="false" outlineLevel="0" collapsed="false">
      <c r="A2882" s="0" t="s">
        <v>71</v>
      </c>
      <c r="B2882" s="0" t="s">
        <v>5476</v>
      </c>
      <c r="C2882" s="0" t="s">
        <v>5477</v>
      </c>
      <c r="E2882" s="0" t="s">
        <v>1479</v>
      </c>
    </row>
    <row r="2883" customFormat="false" ht="15" hidden="false" customHeight="false" outlineLevel="0" collapsed="false">
      <c r="A2883" s="0" t="s">
        <v>71</v>
      </c>
      <c r="B2883" s="0" t="s">
        <v>1802</v>
      </c>
      <c r="C2883" s="0" t="s">
        <v>5478</v>
      </c>
      <c r="E2883" s="0" t="s">
        <v>1479</v>
      </c>
    </row>
    <row r="2884" customFormat="false" ht="15" hidden="false" customHeight="false" outlineLevel="0" collapsed="false">
      <c r="A2884" s="0" t="s">
        <v>71</v>
      </c>
      <c r="B2884" s="0" t="s">
        <v>1804</v>
      </c>
      <c r="C2884" s="0" t="s">
        <v>5479</v>
      </c>
      <c r="E2884" s="0" t="s">
        <v>1479</v>
      </c>
    </row>
    <row r="2885" customFormat="false" ht="15" hidden="false" customHeight="false" outlineLevel="0" collapsed="false">
      <c r="A2885" s="0" t="s">
        <v>71</v>
      </c>
      <c r="B2885" s="0" t="s">
        <v>1806</v>
      </c>
      <c r="C2885" s="0" t="s">
        <v>5480</v>
      </c>
      <c r="E2885" s="0" t="s">
        <v>1479</v>
      </c>
    </row>
    <row r="2886" customFormat="false" ht="15" hidden="false" customHeight="false" outlineLevel="0" collapsed="false">
      <c r="A2886" s="0" t="s">
        <v>71</v>
      </c>
      <c r="B2886" s="0" t="s">
        <v>1808</v>
      </c>
      <c r="C2886" s="0" t="s">
        <v>5481</v>
      </c>
      <c r="E2886" s="0" t="s">
        <v>1479</v>
      </c>
    </row>
    <row r="2887" customFormat="false" ht="15" hidden="false" customHeight="false" outlineLevel="0" collapsed="false">
      <c r="A2887" s="0" t="s">
        <v>71</v>
      </c>
      <c r="B2887" s="0" t="s">
        <v>1810</v>
      </c>
      <c r="C2887" s="0" t="s">
        <v>5482</v>
      </c>
      <c r="E2887" s="0" t="s">
        <v>1479</v>
      </c>
    </row>
    <row r="2888" customFormat="false" ht="15" hidden="false" customHeight="false" outlineLevel="0" collapsed="false">
      <c r="A2888" s="0" t="s">
        <v>71</v>
      </c>
      <c r="B2888" s="0" t="s">
        <v>5483</v>
      </c>
      <c r="C2888" s="0" t="s">
        <v>5484</v>
      </c>
      <c r="E2888" s="0" t="s">
        <v>1479</v>
      </c>
    </row>
    <row r="2889" customFormat="false" ht="15" hidden="false" customHeight="false" outlineLevel="0" collapsed="false">
      <c r="A2889" s="0" t="s">
        <v>71</v>
      </c>
      <c r="B2889" s="0" t="s">
        <v>5485</v>
      </c>
      <c r="C2889" s="0" t="s">
        <v>5486</v>
      </c>
      <c r="E2889" s="0" t="s">
        <v>1479</v>
      </c>
    </row>
    <row r="2890" customFormat="false" ht="15" hidden="false" customHeight="false" outlineLevel="0" collapsed="false">
      <c r="A2890" s="0" t="s">
        <v>71</v>
      </c>
      <c r="B2890" s="0" t="s">
        <v>5487</v>
      </c>
      <c r="C2890" s="0" t="s">
        <v>5488</v>
      </c>
      <c r="E2890" s="0" t="s">
        <v>1479</v>
      </c>
    </row>
    <row r="2891" customFormat="false" ht="15" hidden="false" customHeight="false" outlineLevel="0" collapsed="false">
      <c r="A2891" s="0" t="s">
        <v>71</v>
      </c>
      <c r="B2891" s="0" t="s">
        <v>5489</v>
      </c>
      <c r="C2891" s="0" t="s">
        <v>5490</v>
      </c>
      <c r="E2891" s="0" t="s">
        <v>1479</v>
      </c>
    </row>
    <row r="2892" customFormat="false" ht="15" hidden="false" customHeight="false" outlineLevel="0" collapsed="false">
      <c r="A2892" s="0" t="s">
        <v>71</v>
      </c>
      <c r="B2892" s="0" t="s">
        <v>5491</v>
      </c>
      <c r="C2892" s="0" t="s">
        <v>5492</v>
      </c>
      <c r="E2892" s="0" t="s">
        <v>1479</v>
      </c>
    </row>
    <row r="2893" customFormat="false" ht="15" hidden="false" customHeight="false" outlineLevel="0" collapsed="false">
      <c r="A2893" s="0" t="s">
        <v>71</v>
      </c>
      <c r="B2893" s="0" t="s">
        <v>1818</v>
      </c>
      <c r="C2893" s="0" t="s">
        <v>5493</v>
      </c>
      <c r="E2893" s="0" t="s">
        <v>1479</v>
      </c>
    </row>
    <row r="2894" customFormat="false" ht="15" hidden="false" customHeight="false" outlineLevel="0" collapsed="false">
      <c r="A2894" s="0" t="s">
        <v>71</v>
      </c>
      <c r="B2894" s="0" t="s">
        <v>1820</v>
      </c>
      <c r="C2894" s="0" t="s">
        <v>5494</v>
      </c>
      <c r="E2894" s="0" t="s">
        <v>1479</v>
      </c>
    </row>
    <row r="2895" customFormat="false" ht="15" hidden="false" customHeight="false" outlineLevel="0" collapsed="false">
      <c r="A2895" s="0" t="s">
        <v>71</v>
      </c>
      <c r="B2895" s="0" t="s">
        <v>1822</v>
      </c>
      <c r="C2895" s="0" t="s">
        <v>5495</v>
      </c>
      <c r="E2895" s="0" t="s">
        <v>1479</v>
      </c>
    </row>
    <row r="2896" customFormat="false" ht="15" hidden="false" customHeight="false" outlineLevel="0" collapsed="false">
      <c r="A2896" s="0" t="s">
        <v>71</v>
      </c>
      <c r="B2896" s="0" t="s">
        <v>1824</v>
      </c>
      <c r="C2896" s="0" t="s">
        <v>5496</v>
      </c>
      <c r="E2896" s="0" t="s">
        <v>1479</v>
      </c>
    </row>
    <row r="2897" customFormat="false" ht="15" hidden="false" customHeight="false" outlineLevel="0" collapsed="false">
      <c r="A2897" s="0" t="s">
        <v>71</v>
      </c>
      <c r="B2897" s="0" t="s">
        <v>1826</v>
      </c>
      <c r="C2897" s="0" t="s">
        <v>5497</v>
      </c>
      <c r="E2897" s="0" t="s">
        <v>1479</v>
      </c>
    </row>
    <row r="2898" customFormat="false" ht="15" hidden="false" customHeight="false" outlineLevel="0" collapsed="false">
      <c r="A2898" s="0" t="s">
        <v>71</v>
      </c>
      <c r="B2898" s="0" t="s">
        <v>5498</v>
      </c>
      <c r="C2898" s="0" t="s">
        <v>5499</v>
      </c>
      <c r="E2898" s="0" t="s">
        <v>1479</v>
      </c>
    </row>
    <row r="2899" customFormat="false" ht="15" hidden="false" customHeight="false" outlineLevel="0" collapsed="false">
      <c r="A2899" s="0" t="s">
        <v>71</v>
      </c>
      <c r="B2899" s="0" t="s">
        <v>5500</v>
      </c>
      <c r="C2899" s="0" t="s">
        <v>5501</v>
      </c>
      <c r="E2899" s="0" t="s">
        <v>1479</v>
      </c>
    </row>
    <row r="2900" customFormat="false" ht="15" hidden="false" customHeight="false" outlineLevel="0" collapsed="false">
      <c r="A2900" s="0" t="s">
        <v>71</v>
      </c>
      <c r="B2900" s="0" t="s">
        <v>5502</v>
      </c>
      <c r="C2900" s="0" t="s">
        <v>5503</v>
      </c>
      <c r="E2900" s="0" t="s">
        <v>1479</v>
      </c>
    </row>
    <row r="2901" customFormat="false" ht="15" hidden="false" customHeight="false" outlineLevel="0" collapsed="false">
      <c r="A2901" s="0" t="s">
        <v>71</v>
      </c>
      <c r="B2901" s="0" t="s">
        <v>5504</v>
      </c>
      <c r="C2901" s="0" t="s">
        <v>5505</v>
      </c>
      <c r="E2901" s="0" t="s">
        <v>1479</v>
      </c>
    </row>
    <row r="2902" customFormat="false" ht="15" hidden="false" customHeight="false" outlineLevel="0" collapsed="false">
      <c r="A2902" s="0" t="s">
        <v>71</v>
      </c>
      <c r="B2902" s="0" t="s">
        <v>5506</v>
      </c>
      <c r="C2902" s="0" t="s">
        <v>5507</v>
      </c>
      <c r="E2902" s="0" t="s">
        <v>1479</v>
      </c>
    </row>
    <row r="2903" customFormat="false" ht="15" hidden="false" customHeight="false" outlineLevel="0" collapsed="false">
      <c r="A2903" s="0" t="s">
        <v>71</v>
      </c>
      <c r="B2903" s="0" t="s">
        <v>5508</v>
      </c>
      <c r="C2903" s="0" t="s">
        <v>5509</v>
      </c>
      <c r="E2903" s="0" t="s">
        <v>1479</v>
      </c>
    </row>
    <row r="2904" customFormat="false" ht="15" hidden="false" customHeight="false" outlineLevel="0" collapsed="false">
      <c r="A2904" s="0" t="s">
        <v>71</v>
      </c>
      <c r="B2904" s="0" t="s">
        <v>5510</v>
      </c>
      <c r="C2904" s="0" t="s">
        <v>5511</v>
      </c>
      <c r="E2904" s="0" t="s">
        <v>1479</v>
      </c>
    </row>
    <row r="2905" customFormat="false" ht="15" hidden="false" customHeight="false" outlineLevel="0" collapsed="false">
      <c r="A2905" s="0" t="s">
        <v>71</v>
      </c>
      <c r="B2905" s="0" t="s">
        <v>5512</v>
      </c>
      <c r="C2905" s="0" t="s">
        <v>5513</v>
      </c>
      <c r="E2905" s="0" t="s">
        <v>1479</v>
      </c>
    </row>
    <row r="2906" customFormat="false" ht="15" hidden="false" customHeight="false" outlineLevel="0" collapsed="false">
      <c r="A2906" s="0" t="s">
        <v>71</v>
      </c>
      <c r="B2906" s="0" t="s">
        <v>5514</v>
      </c>
      <c r="C2906" s="0" t="s">
        <v>5515</v>
      </c>
      <c r="E2906" s="0" t="s">
        <v>1479</v>
      </c>
    </row>
    <row r="2907" customFormat="false" ht="15" hidden="false" customHeight="false" outlineLevel="0" collapsed="false">
      <c r="A2907" s="0" t="s">
        <v>71</v>
      </c>
      <c r="B2907" s="0" t="s">
        <v>5516</v>
      </c>
      <c r="C2907" s="0" t="s">
        <v>5517</v>
      </c>
      <c r="E2907" s="0" t="s">
        <v>1479</v>
      </c>
    </row>
    <row r="2908" customFormat="false" ht="15" hidden="false" customHeight="false" outlineLevel="0" collapsed="false">
      <c r="A2908" s="0" t="s">
        <v>71</v>
      </c>
      <c r="B2908" s="0" t="s">
        <v>5518</v>
      </c>
      <c r="C2908" s="0" t="s">
        <v>5519</v>
      </c>
      <c r="E2908" s="0" t="s">
        <v>1479</v>
      </c>
    </row>
    <row r="2909" customFormat="false" ht="15" hidden="false" customHeight="false" outlineLevel="0" collapsed="false">
      <c r="A2909" s="0" t="s">
        <v>71</v>
      </c>
      <c r="B2909" s="0" t="s">
        <v>5520</v>
      </c>
      <c r="C2909" s="0" t="s">
        <v>5521</v>
      </c>
      <c r="E2909" s="0" t="s">
        <v>1479</v>
      </c>
    </row>
    <row r="2910" customFormat="false" ht="15" hidden="false" customHeight="false" outlineLevel="0" collapsed="false">
      <c r="A2910" s="0" t="s">
        <v>71</v>
      </c>
      <c r="B2910" s="0" t="s">
        <v>5522</v>
      </c>
      <c r="C2910" s="0" t="s">
        <v>5523</v>
      </c>
      <c r="E2910" s="0" t="s">
        <v>1479</v>
      </c>
    </row>
    <row r="2911" customFormat="false" ht="15" hidden="false" customHeight="false" outlineLevel="0" collapsed="false">
      <c r="A2911" s="0" t="s">
        <v>71</v>
      </c>
      <c r="B2911" s="0" t="s">
        <v>5524</v>
      </c>
      <c r="C2911" s="0" t="s">
        <v>5525</v>
      </c>
      <c r="E2911" s="0" t="s">
        <v>1479</v>
      </c>
    </row>
    <row r="2912" customFormat="false" ht="15" hidden="false" customHeight="false" outlineLevel="0" collapsed="false">
      <c r="A2912" s="0" t="s">
        <v>71</v>
      </c>
      <c r="B2912" s="0" t="s">
        <v>5526</v>
      </c>
      <c r="C2912" s="0" t="s">
        <v>5527</v>
      </c>
      <c r="E2912" s="0" t="s">
        <v>1479</v>
      </c>
    </row>
    <row r="2913" customFormat="false" ht="15" hidden="false" customHeight="false" outlineLevel="0" collapsed="false">
      <c r="A2913" s="0" t="s">
        <v>71</v>
      </c>
      <c r="B2913" s="0" t="s">
        <v>5528</v>
      </c>
      <c r="C2913" s="0" t="s">
        <v>5529</v>
      </c>
      <c r="E2913" s="0" t="s">
        <v>5530</v>
      </c>
    </row>
    <row r="2914" customFormat="false" ht="15" hidden="false" customHeight="false" outlineLevel="0" collapsed="false">
      <c r="A2914" s="0" t="s">
        <v>71</v>
      </c>
      <c r="B2914" s="0" t="s">
        <v>5531</v>
      </c>
      <c r="C2914" s="0" t="s">
        <v>5532</v>
      </c>
      <c r="E2914" s="0" t="s">
        <v>5533</v>
      </c>
    </row>
    <row r="2915" customFormat="false" ht="15" hidden="false" customHeight="false" outlineLevel="0" collapsed="false">
      <c r="A2915" s="0" t="s">
        <v>71</v>
      </c>
      <c r="B2915" s="0" t="s">
        <v>5534</v>
      </c>
      <c r="C2915" s="0" t="s">
        <v>5535</v>
      </c>
      <c r="E2915" s="0" t="s">
        <v>5536</v>
      </c>
    </row>
    <row r="2916" customFormat="false" ht="15" hidden="false" customHeight="false" outlineLevel="0" collapsed="false">
      <c r="A2916" s="0" t="s">
        <v>71</v>
      </c>
      <c r="B2916" s="0" t="s">
        <v>5537</v>
      </c>
      <c r="C2916" s="0" t="s">
        <v>5538</v>
      </c>
      <c r="E2916" s="0" t="s">
        <v>1479</v>
      </c>
    </row>
    <row r="2917" customFormat="false" ht="15" hidden="false" customHeight="false" outlineLevel="0" collapsed="false">
      <c r="A2917" s="0" t="s">
        <v>71</v>
      </c>
      <c r="B2917" s="0" t="s">
        <v>5539</v>
      </c>
      <c r="C2917" s="0" t="s">
        <v>5540</v>
      </c>
      <c r="E2917" s="0" t="s">
        <v>1479</v>
      </c>
    </row>
    <row r="2918" customFormat="false" ht="15" hidden="false" customHeight="false" outlineLevel="0" collapsed="false">
      <c r="A2918" s="0" t="s">
        <v>71</v>
      </c>
      <c r="B2918" s="0" t="s">
        <v>5541</v>
      </c>
      <c r="C2918" s="0" t="s">
        <v>5542</v>
      </c>
      <c r="E2918" s="0" t="s">
        <v>1479</v>
      </c>
    </row>
    <row r="2919" customFormat="false" ht="15" hidden="false" customHeight="false" outlineLevel="0" collapsed="false">
      <c r="A2919" s="0" t="s">
        <v>71</v>
      </c>
      <c r="B2919" s="0" t="s">
        <v>5543</v>
      </c>
      <c r="C2919" s="0" t="s">
        <v>5544</v>
      </c>
      <c r="E2919" s="0" t="s">
        <v>1479</v>
      </c>
    </row>
    <row r="2920" customFormat="false" ht="15" hidden="false" customHeight="false" outlineLevel="0" collapsed="false">
      <c r="A2920" s="0" t="s">
        <v>71</v>
      </c>
      <c r="B2920" s="0" t="s">
        <v>5545</v>
      </c>
      <c r="C2920" s="0" t="s">
        <v>5546</v>
      </c>
      <c r="E2920" s="0" t="s">
        <v>1479</v>
      </c>
    </row>
    <row r="2921" customFormat="false" ht="15" hidden="false" customHeight="false" outlineLevel="0" collapsed="false">
      <c r="A2921" s="0" t="s">
        <v>71</v>
      </c>
      <c r="B2921" s="0" t="s">
        <v>5547</v>
      </c>
      <c r="C2921" s="0" t="s">
        <v>5548</v>
      </c>
      <c r="E2921" s="0" t="s">
        <v>1479</v>
      </c>
    </row>
    <row r="2922" customFormat="false" ht="15" hidden="false" customHeight="false" outlineLevel="0" collapsed="false">
      <c r="A2922" s="0" t="s">
        <v>71</v>
      </c>
      <c r="B2922" s="0" t="s">
        <v>5549</v>
      </c>
      <c r="C2922" s="0" t="s">
        <v>5550</v>
      </c>
      <c r="E2922" s="0" t="s">
        <v>1479</v>
      </c>
    </row>
    <row r="2923" customFormat="false" ht="15" hidden="false" customHeight="false" outlineLevel="0" collapsed="false">
      <c r="A2923" s="0" t="s">
        <v>71</v>
      </c>
      <c r="B2923" s="0" t="s">
        <v>5551</v>
      </c>
      <c r="C2923" s="0" t="s">
        <v>5552</v>
      </c>
      <c r="E2923" s="0" t="s">
        <v>1479</v>
      </c>
    </row>
    <row r="2924" customFormat="false" ht="15" hidden="false" customHeight="false" outlineLevel="0" collapsed="false">
      <c r="A2924" s="0" t="s">
        <v>71</v>
      </c>
      <c r="B2924" s="0" t="s">
        <v>5553</v>
      </c>
      <c r="C2924" s="0" t="s">
        <v>5554</v>
      </c>
      <c r="E2924" s="0" t="s">
        <v>1479</v>
      </c>
    </row>
    <row r="2925" customFormat="false" ht="15" hidden="false" customHeight="false" outlineLevel="0" collapsed="false">
      <c r="A2925" s="0" t="s">
        <v>71</v>
      </c>
      <c r="B2925" s="0" t="s">
        <v>5555</v>
      </c>
      <c r="C2925" s="0" t="s">
        <v>5556</v>
      </c>
      <c r="E2925" s="0" t="s">
        <v>1479</v>
      </c>
    </row>
    <row r="2926" customFormat="false" ht="15" hidden="false" customHeight="false" outlineLevel="0" collapsed="false">
      <c r="A2926" s="0" t="s">
        <v>71</v>
      </c>
      <c r="B2926" s="0" t="s">
        <v>5557</v>
      </c>
      <c r="C2926" s="0" t="s">
        <v>5558</v>
      </c>
      <c r="E2926" s="0" t="s">
        <v>1479</v>
      </c>
    </row>
    <row r="2927" customFormat="false" ht="15" hidden="false" customHeight="false" outlineLevel="0" collapsed="false">
      <c r="A2927" s="0" t="s">
        <v>71</v>
      </c>
      <c r="B2927" s="0" t="s">
        <v>5559</v>
      </c>
      <c r="C2927" s="0" t="s">
        <v>5560</v>
      </c>
      <c r="E2927" s="0" t="s">
        <v>1479</v>
      </c>
    </row>
    <row r="2928" customFormat="false" ht="15" hidden="false" customHeight="false" outlineLevel="0" collapsed="false">
      <c r="A2928" s="0" t="s">
        <v>71</v>
      </c>
      <c r="B2928" s="0" t="s">
        <v>5561</v>
      </c>
      <c r="C2928" s="0" t="s">
        <v>5562</v>
      </c>
      <c r="E2928" s="0" t="s">
        <v>1479</v>
      </c>
    </row>
    <row r="2929" customFormat="false" ht="15" hidden="false" customHeight="false" outlineLevel="0" collapsed="false">
      <c r="A2929" s="0" t="s">
        <v>71</v>
      </c>
      <c r="B2929" s="0" t="s">
        <v>5563</v>
      </c>
      <c r="C2929" s="0" t="s">
        <v>5564</v>
      </c>
      <c r="E2929" s="0" t="s">
        <v>1479</v>
      </c>
    </row>
    <row r="2930" customFormat="false" ht="15" hidden="false" customHeight="false" outlineLevel="0" collapsed="false">
      <c r="A2930" s="0" t="s">
        <v>71</v>
      </c>
      <c r="B2930" s="0" t="s">
        <v>5565</v>
      </c>
      <c r="C2930" s="0" t="s">
        <v>5566</v>
      </c>
      <c r="E2930" s="0" t="s">
        <v>1479</v>
      </c>
    </row>
    <row r="2931" customFormat="false" ht="15" hidden="false" customHeight="false" outlineLevel="0" collapsed="false">
      <c r="A2931" s="0" t="s">
        <v>71</v>
      </c>
      <c r="B2931" s="0" t="s">
        <v>5567</v>
      </c>
      <c r="C2931" s="0" t="s">
        <v>5568</v>
      </c>
      <c r="E2931" s="0" t="s">
        <v>1479</v>
      </c>
    </row>
    <row r="2932" customFormat="false" ht="15" hidden="false" customHeight="false" outlineLevel="0" collapsed="false">
      <c r="A2932" s="0" t="s">
        <v>71</v>
      </c>
      <c r="B2932" s="0" t="s">
        <v>5569</v>
      </c>
      <c r="C2932" s="0" t="s">
        <v>5570</v>
      </c>
      <c r="E2932" s="0" t="s">
        <v>1479</v>
      </c>
    </row>
    <row r="2933" customFormat="false" ht="15" hidden="false" customHeight="false" outlineLevel="0" collapsed="false">
      <c r="A2933" s="0" t="s">
        <v>71</v>
      </c>
      <c r="B2933" s="0" t="s">
        <v>1834</v>
      </c>
      <c r="C2933" s="0" t="s">
        <v>5571</v>
      </c>
      <c r="E2933" s="0" t="s">
        <v>1479</v>
      </c>
    </row>
    <row r="2934" customFormat="false" ht="15" hidden="false" customHeight="false" outlineLevel="0" collapsed="false">
      <c r="A2934" s="0" t="s">
        <v>71</v>
      </c>
      <c r="B2934" s="0" t="s">
        <v>5572</v>
      </c>
      <c r="C2934" s="0" t="s">
        <v>5573</v>
      </c>
      <c r="E2934" s="0" t="s">
        <v>1479</v>
      </c>
    </row>
    <row r="2935" customFormat="false" ht="15" hidden="false" customHeight="false" outlineLevel="0" collapsed="false">
      <c r="A2935" s="0" t="s">
        <v>71</v>
      </c>
      <c r="B2935" s="0" t="s">
        <v>5574</v>
      </c>
      <c r="C2935" s="0" t="s">
        <v>5575</v>
      </c>
      <c r="E2935" s="0" t="s">
        <v>1479</v>
      </c>
    </row>
    <row r="2936" customFormat="false" ht="15" hidden="false" customHeight="false" outlineLevel="0" collapsed="false">
      <c r="A2936" s="0" t="s">
        <v>71</v>
      </c>
      <c r="B2936" s="0" t="s">
        <v>5576</v>
      </c>
      <c r="C2936" s="0" t="s">
        <v>5577</v>
      </c>
      <c r="E2936" s="0" t="s">
        <v>1479</v>
      </c>
    </row>
    <row r="2937" customFormat="false" ht="15" hidden="false" customHeight="false" outlineLevel="0" collapsed="false">
      <c r="A2937" s="0" t="s">
        <v>71</v>
      </c>
      <c r="B2937" s="0" t="s">
        <v>5578</v>
      </c>
      <c r="C2937" s="0" t="s">
        <v>5579</v>
      </c>
      <c r="E2937" s="0" t="s">
        <v>1479</v>
      </c>
    </row>
    <row r="2938" customFormat="false" ht="15" hidden="false" customHeight="false" outlineLevel="0" collapsed="false">
      <c r="A2938" s="0" t="s">
        <v>71</v>
      </c>
      <c r="B2938" s="0" t="s">
        <v>5580</v>
      </c>
      <c r="C2938" s="0" t="s">
        <v>5581</v>
      </c>
      <c r="E2938" s="0" t="s">
        <v>1479</v>
      </c>
    </row>
    <row r="2939" customFormat="false" ht="15" hidden="false" customHeight="false" outlineLevel="0" collapsed="false">
      <c r="A2939" s="0" t="s">
        <v>71</v>
      </c>
      <c r="B2939" s="0" t="s">
        <v>5582</v>
      </c>
      <c r="C2939" s="0" t="s">
        <v>5583</v>
      </c>
      <c r="E2939" s="0" t="s">
        <v>1479</v>
      </c>
    </row>
    <row r="2940" customFormat="false" ht="15" hidden="false" customHeight="false" outlineLevel="0" collapsed="false">
      <c r="A2940" s="0" t="s">
        <v>71</v>
      </c>
      <c r="B2940" s="0" t="s">
        <v>5584</v>
      </c>
      <c r="C2940" s="0" t="s">
        <v>5585</v>
      </c>
      <c r="E2940" s="0" t="s">
        <v>1479</v>
      </c>
    </row>
    <row r="2941" customFormat="false" ht="15" hidden="false" customHeight="false" outlineLevel="0" collapsed="false">
      <c r="A2941" s="0" t="s">
        <v>71</v>
      </c>
      <c r="B2941" s="0" t="s">
        <v>5586</v>
      </c>
      <c r="C2941" s="0" t="s">
        <v>5587</v>
      </c>
      <c r="E2941" s="0" t="s">
        <v>1479</v>
      </c>
    </row>
    <row r="2942" customFormat="false" ht="15" hidden="false" customHeight="false" outlineLevel="0" collapsed="false">
      <c r="A2942" s="0" t="s">
        <v>71</v>
      </c>
      <c r="B2942" s="0" t="s">
        <v>5588</v>
      </c>
      <c r="C2942" s="0" t="s">
        <v>5589</v>
      </c>
      <c r="E2942" s="0" t="s">
        <v>1479</v>
      </c>
    </row>
    <row r="2943" customFormat="false" ht="15" hidden="false" customHeight="false" outlineLevel="0" collapsed="false">
      <c r="A2943" s="0" t="s">
        <v>71</v>
      </c>
      <c r="B2943" s="0" t="s">
        <v>1843</v>
      </c>
      <c r="C2943" s="0" t="s">
        <v>5590</v>
      </c>
      <c r="E2943" s="0" t="s">
        <v>1479</v>
      </c>
    </row>
    <row r="2944" customFormat="false" ht="15" hidden="false" customHeight="false" outlineLevel="0" collapsed="false">
      <c r="A2944" s="0" t="s">
        <v>71</v>
      </c>
      <c r="B2944" s="0" t="s">
        <v>5591</v>
      </c>
      <c r="C2944" s="0" t="s">
        <v>5592</v>
      </c>
      <c r="E2944" s="0" t="s">
        <v>1479</v>
      </c>
    </row>
    <row r="2945" customFormat="false" ht="15" hidden="false" customHeight="false" outlineLevel="0" collapsed="false">
      <c r="A2945" s="0" t="s">
        <v>71</v>
      </c>
      <c r="B2945" s="0" t="s">
        <v>5593</v>
      </c>
      <c r="C2945" s="0" t="s">
        <v>5594</v>
      </c>
      <c r="E2945" s="0" t="s">
        <v>1479</v>
      </c>
    </row>
    <row r="2946" customFormat="false" ht="15" hidden="false" customHeight="false" outlineLevel="0" collapsed="false">
      <c r="A2946" s="0" t="s">
        <v>71</v>
      </c>
      <c r="B2946" s="0" t="s">
        <v>5595</v>
      </c>
      <c r="C2946" s="0" t="s">
        <v>5596</v>
      </c>
      <c r="E2946" s="0" t="s">
        <v>1479</v>
      </c>
    </row>
    <row r="2947" customFormat="false" ht="15" hidden="false" customHeight="false" outlineLevel="0" collapsed="false">
      <c r="A2947" s="0" t="s">
        <v>71</v>
      </c>
      <c r="B2947" s="0" t="s">
        <v>5597</v>
      </c>
      <c r="C2947" s="0" t="s">
        <v>5598</v>
      </c>
      <c r="E2947" s="0" t="s">
        <v>1479</v>
      </c>
    </row>
    <row r="2948" customFormat="false" ht="15" hidden="false" customHeight="false" outlineLevel="0" collapsed="false">
      <c r="A2948" s="0" t="s">
        <v>71</v>
      </c>
      <c r="B2948" s="0" t="s">
        <v>5599</v>
      </c>
      <c r="C2948" s="0" t="s">
        <v>5600</v>
      </c>
      <c r="E2948" s="0" t="s">
        <v>1479</v>
      </c>
    </row>
    <row r="2949" customFormat="false" ht="15" hidden="false" customHeight="false" outlineLevel="0" collapsed="false">
      <c r="A2949" s="0" t="s">
        <v>71</v>
      </c>
      <c r="B2949" s="0" t="s">
        <v>5601</v>
      </c>
      <c r="C2949" s="0" t="s">
        <v>5602</v>
      </c>
      <c r="E2949" s="0" t="s">
        <v>1479</v>
      </c>
    </row>
    <row r="2950" customFormat="false" ht="15" hidden="false" customHeight="false" outlineLevel="0" collapsed="false">
      <c r="A2950" s="0" t="s">
        <v>71</v>
      </c>
      <c r="B2950" s="0" t="s">
        <v>5603</v>
      </c>
      <c r="C2950" s="0" t="s">
        <v>5604</v>
      </c>
      <c r="E2950" s="0" t="s">
        <v>1479</v>
      </c>
    </row>
    <row r="2951" customFormat="false" ht="15" hidden="false" customHeight="false" outlineLevel="0" collapsed="false">
      <c r="A2951" s="0" t="s">
        <v>71</v>
      </c>
      <c r="B2951" s="0" t="s">
        <v>5605</v>
      </c>
      <c r="C2951" s="0" t="s">
        <v>5606</v>
      </c>
      <c r="E2951" s="0" t="s">
        <v>1479</v>
      </c>
    </row>
    <row r="2952" customFormat="false" ht="15" hidden="false" customHeight="false" outlineLevel="0" collapsed="false">
      <c r="A2952" s="0" t="s">
        <v>71</v>
      </c>
      <c r="B2952" s="0" t="s">
        <v>5607</v>
      </c>
      <c r="C2952" s="0" t="s">
        <v>5608</v>
      </c>
      <c r="E2952" s="0" t="s">
        <v>1479</v>
      </c>
    </row>
    <row r="2953" customFormat="false" ht="15" hidden="false" customHeight="false" outlineLevel="0" collapsed="false">
      <c r="A2953" s="0" t="s">
        <v>71</v>
      </c>
      <c r="B2953" s="0" t="s">
        <v>1850</v>
      </c>
      <c r="C2953" s="0" t="s">
        <v>5609</v>
      </c>
      <c r="E2953" s="0" t="s">
        <v>1479</v>
      </c>
    </row>
    <row r="2954" customFormat="false" ht="15" hidden="false" customHeight="false" outlineLevel="0" collapsed="false">
      <c r="A2954" s="0" t="s">
        <v>71</v>
      </c>
      <c r="B2954" s="0" t="s">
        <v>5610</v>
      </c>
      <c r="C2954" s="0" t="s">
        <v>5611</v>
      </c>
      <c r="E2954" s="0" t="s">
        <v>1479</v>
      </c>
    </row>
    <row r="2955" customFormat="false" ht="15" hidden="false" customHeight="false" outlineLevel="0" collapsed="false">
      <c r="A2955" s="0" t="s">
        <v>71</v>
      </c>
      <c r="B2955" s="0" t="s">
        <v>5612</v>
      </c>
      <c r="C2955" s="0" t="s">
        <v>5613</v>
      </c>
      <c r="E2955" s="0" t="s">
        <v>1479</v>
      </c>
    </row>
    <row r="2956" customFormat="false" ht="15" hidden="false" customHeight="false" outlineLevel="0" collapsed="false">
      <c r="A2956" s="0" t="s">
        <v>71</v>
      </c>
      <c r="B2956" s="0" t="s">
        <v>5614</v>
      </c>
      <c r="C2956" s="0" t="s">
        <v>5615</v>
      </c>
      <c r="E2956" s="0" t="s">
        <v>1479</v>
      </c>
    </row>
    <row r="2957" customFormat="false" ht="15" hidden="false" customHeight="false" outlineLevel="0" collapsed="false">
      <c r="A2957" s="0" t="s">
        <v>71</v>
      </c>
      <c r="B2957" s="0" t="s">
        <v>5616</v>
      </c>
      <c r="C2957" s="0" t="s">
        <v>5617</v>
      </c>
      <c r="E2957" s="0" t="s">
        <v>1479</v>
      </c>
    </row>
    <row r="2958" customFormat="false" ht="15" hidden="false" customHeight="false" outlineLevel="0" collapsed="false">
      <c r="A2958" s="0" t="s">
        <v>71</v>
      </c>
      <c r="B2958" s="0" t="s">
        <v>5618</v>
      </c>
      <c r="C2958" s="0" t="s">
        <v>5619</v>
      </c>
      <c r="E2958" s="0" t="s">
        <v>1479</v>
      </c>
    </row>
    <row r="2959" customFormat="false" ht="15" hidden="false" customHeight="false" outlineLevel="0" collapsed="false">
      <c r="A2959" s="0" t="s">
        <v>71</v>
      </c>
      <c r="B2959" s="0" t="s">
        <v>5620</v>
      </c>
      <c r="C2959" s="0" t="s">
        <v>5621</v>
      </c>
      <c r="E2959" s="0" t="s">
        <v>1479</v>
      </c>
    </row>
    <row r="2960" customFormat="false" ht="15" hidden="false" customHeight="false" outlineLevel="0" collapsed="false">
      <c r="A2960" s="0" t="s">
        <v>71</v>
      </c>
      <c r="B2960" s="0" t="s">
        <v>5622</v>
      </c>
      <c r="C2960" s="0" t="s">
        <v>5623</v>
      </c>
      <c r="E2960" s="0" t="s">
        <v>1479</v>
      </c>
    </row>
    <row r="2961" customFormat="false" ht="15" hidden="false" customHeight="false" outlineLevel="0" collapsed="false">
      <c r="A2961" s="0" t="s">
        <v>71</v>
      </c>
      <c r="B2961" s="0" t="s">
        <v>5624</v>
      </c>
      <c r="C2961" s="0" t="s">
        <v>5625</v>
      </c>
      <c r="E2961" s="0" t="s">
        <v>1479</v>
      </c>
    </row>
    <row r="2962" customFormat="false" ht="15" hidden="false" customHeight="false" outlineLevel="0" collapsed="false">
      <c r="A2962" s="0" t="s">
        <v>71</v>
      </c>
      <c r="B2962" s="0" t="s">
        <v>5626</v>
      </c>
      <c r="C2962" s="0" t="s">
        <v>5627</v>
      </c>
      <c r="E2962" s="0" t="s">
        <v>1479</v>
      </c>
    </row>
    <row r="2963" customFormat="false" ht="15" hidden="false" customHeight="false" outlineLevel="0" collapsed="false">
      <c r="A2963" s="0" t="s">
        <v>71</v>
      </c>
      <c r="B2963" s="0" t="s">
        <v>1856</v>
      </c>
      <c r="C2963" s="0" t="s">
        <v>5628</v>
      </c>
      <c r="E2963" s="0" t="s">
        <v>1479</v>
      </c>
    </row>
    <row r="2964" customFormat="false" ht="15" hidden="false" customHeight="false" outlineLevel="0" collapsed="false">
      <c r="A2964" s="0" t="s">
        <v>71</v>
      </c>
      <c r="B2964" s="0" t="s">
        <v>5629</v>
      </c>
      <c r="C2964" s="0" t="s">
        <v>5630</v>
      </c>
      <c r="E2964" s="0" t="s">
        <v>1479</v>
      </c>
    </row>
    <row r="2965" customFormat="false" ht="15" hidden="false" customHeight="false" outlineLevel="0" collapsed="false">
      <c r="A2965" s="0" t="s">
        <v>71</v>
      </c>
      <c r="B2965" s="0" t="s">
        <v>5631</v>
      </c>
      <c r="C2965" s="0" t="s">
        <v>5632</v>
      </c>
      <c r="E2965" s="0" t="s">
        <v>1479</v>
      </c>
    </row>
    <row r="2966" customFormat="false" ht="15" hidden="false" customHeight="false" outlineLevel="0" collapsed="false">
      <c r="A2966" s="0" t="s">
        <v>71</v>
      </c>
      <c r="B2966" s="0" t="s">
        <v>5633</v>
      </c>
      <c r="C2966" s="0" t="s">
        <v>5634</v>
      </c>
      <c r="E2966" s="0" t="s">
        <v>1479</v>
      </c>
    </row>
    <row r="2967" customFormat="false" ht="15" hidden="false" customHeight="false" outlineLevel="0" collapsed="false">
      <c r="A2967" s="0" t="s">
        <v>71</v>
      </c>
      <c r="B2967" s="0" t="s">
        <v>5635</v>
      </c>
      <c r="C2967" s="0" t="s">
        <v>5636</v>
      </c>
      <c r="E2967" s="0" t="s">
        <v>1479</v>
      </c>
    </row>
    <row r="2968" customFormat="false" ht="15" hidden="false" customHeight="false" outlineLevel="0" collapsed="false">
      <c r="A2968" s="0" t="s">
        <v>71</v>
      </c>
      <c r="B2968" s="0" t="s">
        <v>5637</v>
      </c>
      <c r="C2968" s="0" t="s">
        <v>5638</v>
      </c>
      <c r="E2968" s="0" t="s">
        <v>1479</v>
      </c>
    </row>
    <row r="2969" customFormat="false" ht="15" hidden="false" customHeight="false" outlineLevel="0" collapsed="false">
      <c r="A2969" s="0" t="s">
        <v>71</v>
      </c>
      <c r="B2969" s="0" t="s">
        <v>5639</v>
      </c>
      <c r="C2969" s="0" t="s">
        <v>5640</v>
      </c>
      <c r="E2969" s="0" t="s">
        <v>1479</v>
      </c>
    </row>
    <row r="2970" customFormat="false" ht="15" hidden="false" customHeight="false" outlineLevel="0" collapsed="false">
      <c r="A2970" s="0" t="s">
        <v>71</v>
      </c>
      <c r="B2970" s="0" t="s">
        <v>5641</v>
      </c>
      <c r="C2970" s="0" t="s">
        <v>5642</v>
      </c>
      <c r="E2970" s="0" t="s">
        <v>1479</v>
      </c>
    </row>
    <row r="2971" customFormat="false" ht="15" hidden="false" customHeight="false" outlineLevel="0" collapsed="false">
      <c r="A2971" s="0" t="s">
        <v>71</v>
      </c>
      <c r="B2971" s="0" t="s">
        <v>5643</v>
      </c>
      <c r="C2971" s="0" t="s">
        <v>5644</v>
      </c>
      <c r="E2971" s="0" t="s">
        <v>1479</v>
      </c>
    </row>
    <row r="2972" customFormat="false" ht="15" hidden="false" customHeight="false" outlineLevel="0" collapsed="false">
      <c r="A2972" s="0" t="s">
        <v>71</v>
      </c>
      <c r="B2972" s="0" t="s">
        <v>5645</v>
      </c>
      <c r="C2972" s="0" t="s">
        <v>5646</v>
      </c>
      <c r="E2972" s="0" t="s">
        <v>1479</v>
      </c>
    </row>
    <row r="2973" customFormat="false" ht="15" hidden="false" customHeight="false" outlineLevel="0" collapsed="false">
      <c r="A2973" s="0" t="s">
        <v>71</v>
      </c>
      <c r="B2973" s="0" t="s">
        <v>1862</v>
      </c>
      <c r="C2973" s="0" t="s">
        <v>5647</v>
      </c>
      <c r="E2973" s="0" t="s">
        <v>1479</v>
      </c>
    </row>
    <row r="2974" customFormat="false" ht="15" hidden="false" customHeight="false" outlineLevel="0" collapsed="false">
      <c r="A2974" s="0" t="s">
        <v>71</v>
      </c>
      <c r="B2974" s="0" t="s">
        <v>5648</v>
      </c>
      <c r="C2974" s="0" t="s">
        <v>5649</v>
      </c>
      <c r="E2974" s="0" t="s">
        <v>1479</v>
      </c>
    </row>
    <row r="2975" customFormat="false" ht="15" hidden="false" customHeight="false" outlineLevel="0" collapsed="false">
      <c r="A2975" s="0" t="s">
        <v>71</v>
      </c>
      <c r="B2975" s="0" t="s">
        <v>5650</v>
      </c>
      <c r="C2975" s="0" t="s">
        <v>5651</v>
      </c>
      <c r="E2975" s="0" t="s">
        <v>1479</v>
      </c>
    </row>
    <row r="2976" customFormat="false" ht="15" hidden="false" customHeight="false" outlineLevel="0" collapsed="false">
      <c r="A2976" s="0" t="s">
        <v>71</v>
      </c>
      <c r="B2976" s="0" t="s">
        <v>5652</v>
      </c>
      <c r="C2976" s="0" t="s">
        <v>5653</v>
      </c>
      <c r="E2976" s="0" t="s">
        <v>1479</v>
      </c>
    </row>
    <row r="2977" customFormat="false" ht="15" hidden="false" customHeight="false" outlineLevel="0" collapsed="false">
      <c r="A2977" s="0" t="s">
        <v>71</v>
      </c>
      <c r="B2977" s="0" t="s">
        <v>5654</v>
      </c>
      <c r="C2977" s="0" t="s">
        <v>5655</v>
      </c>
      <c r="E2977" s="0" t="s">
        <v>1479</v>
      </c>
    </row>
    <row r="2978" customFormat="false" ht="15" hidden="false" customHeight="false" outlineLevel="0" collapsed="false">
      <c r="A2978" s="0" t="s">
        <v>71</v>
      </c>
      <c r="B2978" s="0" t="s">
        <v>5656</v>
      </c>
      <c r="C2978" s="0" t="s">
        <v>5657</v>
      </c>
      <c r="E2978" s="0" t="s">
        <v>1479</v>
      </c>
    </row>
    <row r="2979" customFormat="false" ht="15" hidden="false" customHeight="false" outlineLevel="0" collapsed="false">
      <c r="A2979" s="0" t="s">
        <v>71</v>
      </c>
      <c r="B2979" s="0" t="s">
        <v>5658</v>
      </c>
      <c r="C2979" s="0" t="s">
        <v>5659</v>
      </c>
      <c r="E2979" s="0" t="s">
        <v>1479</v>
      </c>
    </row>
    <row r="2980" customFormat="false" ht="15" hidden="false" customHeight="false" outlineLevel="0" collapsed="false">
      <c r="A2980" s="0" t="s">
        <v>71</v>
      </c>
      <c r="B2980" s="0" t="s">
        <v>5660</v>
      </c>
      <c r="C2980" s="0" t="s">
        <v>5661</v>
      </c>
      <c r="E2980" s="0" t="s">
        <v>1479</v>
      </c>
    </row>
    <row r="2981" customFormat="false" ht="15" hidden="false" customHeight="false" outlineLevel="0" collapsed="false">
      <c r="A2981" s="0" t="s">
        <v>71</v>
      </c>
      <c r="B2981" s="0" t="s">
        <v>5662</v>
      </c>
      <c r="C2981" s="0" t="s">
        <v>5663</v>
      </c>
      <c r="E2981" s="0" t="s">
        <v>1479</v>
      </c>
    </row>
    <row r="2982" customFormat="false" ht="15" hidden="false" customHeight="false" outlineLevel="0" collapsed="false">
      <c r="A2982" s="0" t="s">
        <v>71</v>
      </c>
      <c r="B2982" s="0" t="s">
        <v>5664</v>
      </c>
      <c r="C2982" s="0" t="s">
        <v>5665</v>
      </c>
      <c r="E2982" s="0" t="s">
        <v>1479</v>
      </c>
    </row>
    <row r="2983" customFormat="false" ht="15" hidden="false" customHeight="false" outlineLevel="0" collapsed="false">
      <c r="A2983" s="0" t="s">
        <v>71</v>
      </c>
      <c r="B2983" s="0" t="s">
        <v>5666</v>
      </c>
      <c r="C2983" s="0" t="s">
        <v>5667</v>
      </c>
      <c r="E2983" s="0" t="s">
        <v>1479</v>
      </c>
    </row>
    <row r="2984" customFormat="false" ht="15" hidden="false" customHeight="false" outlineLevel="0" collapsed="false">
      <c r="A2984" s="0" t="s">
        <v>71</v>
      </c>
      <c r="B2984" s="0" t="s">
        <v>5668</v>
      </c>
      <c r="C2984" s="0" t="s">
        <v>5669</v>
      </c>
      <c r="E2984" s="0" t="s">
        <v>1479</v>
      </c>
    </row>
    <row r="2985" customFormat="false" ht="15" hidden="false" customHeight="false" outlineLevel="0" collapsed="false">
      <c r="A2985" s="0" t="s">
        <v>71</v>
      </c>
      <c r="B2985" s="0" t="s">
        <v>5670</v>
      </c>
      <c r="C2985" s="0" t="s">
        <v>5671</v>
      </c>
      <c r="E2985" s="0" t="s">
        <v>1479</v>
      </c>
    </row>
    <row r="2986" customFormat="false" ht="15" hidden="false" customHeight="false" outlineLevel="0" collapsed="false">
      <c r="A2986" s="0" t="s">
        <v>71</v>
      </c>
      <c r="B2986" s="0" t="s">
        <v>5672</v>
      </c>
      <c r="C2986" s="0" t="s">
        <v>5673</v>
      </c>
      <c r="E2986" s="0" t="s">
        <v>1479</v>
      </c>
    </row>
    <row r="2987" customFormat="false" ht="15" hidden="false" customHeight="false" outlineLevel="0" collapsed="false">
      <c r="A2987" s="0" t="s">
        <v>71</v>
      </c>
      <c r="B2987" s="0" t="s">
        <v>5674</v>
      </c>
      <c r="C2987" s="0" t="s">
        <v>5675</v>
      </c>
      <c r="E2987" s="0" t="s">
        <v>1479</v>
      </c>
    </row>
    <row r="2988" customFormat="false" ht="15" hidden="false" customHeight="false" outlineLevel="0" collapsed="false">
      <c r="A2988" s="0" t="s">
        <v>71</v>
      </c>
      <c r="B2988" s="0" t="s">
        <v>5676</v>
      </c>
      <c r="C2988" s="0" t="s">
        <v>5677</v>
      </c>
      <c r="E2988" s="0" t="s">
        <v>1479</v>
      </c>
    </row>
    <row r="2989" customFormat="false" ht="15" hidden="false" customHeight="false" outlineLevel="0" collapsed="false">
      <c r="A2989" s="0" t="s">
        <v>71</v>
      </c>
      <c r="B2989" s="0" t="s">
        <v>5678</v>
      </c>
      <c r="C2989" s="0" t="s">
        <v>5679</v>
      </c>
      <c r="E2989" s="0" t="s">
        <v>1479</v>
      </c>
    </row>
    <row r="2990" customFormat="false" ht="15" hidden="false" customHeight="false" outlineLevel="0" collapsed="false">
      <c r="A2990" s="0" t="s">
        <v>71</v>
      </c>
      <c r="B2990" s="0" t="s">
        <v>5680</v>
      </c>
      <c r="C2990" s="0" t="s">
        <v>5681</v>
      </c>
      <c r="E2990" s="0" t="s">
        <v>1479</v>
      </c>
    </row>
    <row r="2991" customFormat="false" ht="15" hidden="false" customHeight="false" outlineLevel="0" collapsed="false">
      <c r="A2991" s="0" t="s">
        <v>71</v>
      </c>
      <c r="B2991" s="0" t="s">
        <v>5682</v>
      </c>
      <c r="C2991" s="0" t="s">
        <v>5683</v>
      </c>
      <c r="E2991" s="0" t="s">
        <v>1479</v>
      </c>
    </row>
    <row r="2992" customFormat="false" ht="15" hidden="false" customHeight="false" outlineLevel="0" collapsed="false">
      <c r="A2992" s="0" t="s">
        <v>71</v>
      </c>
      <c r="B2992" s="0" t="s">
        <v>5684</v>
      </c>
      <c r="C2992" s="0" t="s">
        <v>5685</v>
      </c>
      <c r="E2992" s="0" t="s">
        <v>1479</v>
      </c>
    </row>
    <row r="2993" customFormat="false" ht="15" hidden="false" customHeight="false" outlineLevel="0" collapsed="false">
      <c r="A2993" s="0" t="s">
        <v>71</v>
      </c>
      <c r="B2993" s="0" t="s">
        <v>5686</v>
      </c>
      <c r="C2993" s="0" t="s">
        <v>5687</v>
      </c>
      <c r="E2993" s="0" t="s">
        <v>1479</v>
      </c>
    </row>
    <row r="2994" customFormat="false" ht="15" hidden="false" customHeight="false" outlineLevel="0" collapsed="false">
      <c r="A2994" s="0" t="s">
        <v>71</v>
      </c>
      <c r="B2994" s="0" t="s">
        <v>5688</v>
      </c>
      <c r="C2994" s="0" t="s">
        <v>5689</v>
      </c>
      <c r="E2994" s="0" t="s">
        <v>1479</v>
      </c>
    </row>
    <row r="2995" customFormat="false" ht="15" hidden="false" customHeight="false" outlineLevel="0" collapsed="false">
      <c r="A2995" s="0" t="s">
        <v>71</v>
      </c>
      <c r="B2995" s="0" t="s">
        <v>5690</v>
      </c>
      <c r="C2995" s="0" t="s">
        <v>5691</v>
      </c>
      <c r="E2995" s="0" t="s">
        <v>1479</v>
      </c>
    </row>
    <row r="2996" customFormat="false" ht="15" hidden="false" customHeight="false" outlineLevel="0" collapsed="false">
      <c r="A2996" s="0" t="s">
        <v>71</v>
      </c>
      <c r="B2996" s="0" t="s">
        <v>5692</v>
      </c>
      <c r="C2996" s="0" t="s">
        <v>5693</v>
      </c>
      <c r="E2996" s="0" t="s">
        <v>1479</v>
      </c>
    </row>
    <row r="2997" customFormat="false" ht="15" hidden="false" customHeight="false" outlineLevel="0" collapsed="false">
      <c r="A2997" s="0" t="s">
        <v>71</v>
      </c>
      <c r="B2997" s="0" t="s">
        <v>5694</v>
      </c>
      <c r="C2997" s="0" t="s">
        <v>5695</v>
      </c>
      <c r="E2997" s="0" t="s">
        <v>1479</v>
      </c>
    </row>
    <row r="2998" customFormat="false" ht="15" hidden="false" customHeight="false" outlineLevel="0" collapsed="false">
      <c r="A2998" s="0" t="s">
        <v>71</v>
      </c>
      <c r="B2998" s="0" t="s">
        <v>5696</v>
      </c>
      <c r="C2998" s="0" t="s">
        <v>5697</v>
      </c>
      <c r="E2998" s="0" t="s">
        <v>1479</v>
      </c>
    </row>
    <row r="2999" customFormat="false" ht="15" hidden="false" customHeight="false" outlineLevel="0" collapsed="false">
      <c r="A2999" s="0" t="s">
        <v>71</v>
      </c>
      <c r="B2999" s="0" t="s">
        <v>5698</v>
      </c>
      <c r="C2999" s="0" t="s">
        <v>5699</v>
      </c>
      <c r="E2999" s="0" t="s">
        <v>1479</v>
      </c>
    </row>
    <row r="3000" customFormat="false" ht="15" hidden="false" customHeight="false" outlineLevel="0" collapsed="false">
      <c r="A3000" s="0" t="s">
        <v>71</v>
      </c>
      <c r="B3000" s="0" t="s">
        <v>5700</v>
      </c>
      <c r="C3000" s="0" t="s">
        <v>5701</v>
      </c>
      <c r="E3000" s="0" t="s">
        <v>1479</v>
      </c>
    </row>
    <row r="3001" customFormat="false" ht="15" hidden="false" customHeight="false" outlineLevel="0" collapsed="false">
      <c r="A3001" s="0" t="s">
        <v>71</v>
      </c>
      <c r="B3001" s="0" t="s">
        <v>5702</v>
      </c>
      <c r="C3001" s="0" t="s">
        <v>5703</v>
      </c>
      <c r="E3001" s="0" t="s">
        <v>1479</v>
      </c>
    </row>
    <row r="3002" customFormat="false" ht="15" hidden="false" customHeight="false" outlineLevel="0" collapsed="false">
      <c r="A3002" s="0" t="s">
        <v>71</v>
      </c>
      <c r="B3002" s="0" t="s">
        <v>5704</v>
      </c>
      <c r="C3002" s="0" t="s">
        <v>5705</v>
      </c>
      <c r="E3002" s="0" t="s">
        <v>1479</v>
      </c>
    </row>
    <row r="3003" customFormat="false" ht="15" hidden="false" customHeight="false" outlineLevel="0" collapsed="false">
      <c r="A3003" s="0" t="s">
        <v>71</v>
      </c>
      <c r="B3003" s="0" t="s">
        <v>5706</v>
      </c>
      <c r="C3003" s="0" t="s">
        <v>5707</v>
      </c>
      <c r="E3003" s="0" t="s">
        <v>1479</v>
      </c>
    </row>
    <row r="3004" customFormat="false" ht="15" hidden="false" customHeight="false" outlineLevel="0" collapsed="false">
      <c r="A3004" s="0" t="s">
        <v>71</v>
      </c>
      <c r="B3004" s="0" t="s">
        <v>5708</v>
      </c>
      <c r="C3004" s="0" t="s">
        <v>5709</v>
      </c>
      <c r="E3004" s="0" t="s">
        <v>1479</v>
      </c>
    </row>
    <row r="3005" customFormat="false" ht="15" hidden="false" customHeight="false" outlineLevel="0" collapsed="false">
      <c r="A3005" s="0" t="s">
        <v>71</v>
      </c>
      <c r="B3005" s="0" t="s">
        <v>5710</v>
      </c>
      <c r="C3005" s="0" t="s">
        <v>5711</v>
      </c>
      <c r="E3005" s="0" t="s">
        <v>1479</v>
      </c>
    </row>
    <row r="3006" customFormat="false" ht="15" hidden="false" customHeight="false" outlineLevel="0" collapsed="false">
      <c r="A3006" s="0" t="s">
        <v>71</v>
      </c>
      <c r="B3006" s="0" t="s">
        <v>5712</v>
      </c>
      <c r="C3006" s="0" t="s">
        <v>5713</v>
      </c>
      <c r="E3006" s="0" t="s">
        <v>1479</v>
      </c>
    </row>
    <row r="3007" customFormat="false" ht="15" hidden="false" customHeight="false" outlineLevel="0" collapsed="false">
      <c r="A3007" s="0" t="s">
        <v>71</v>
      </c>
      <c r="B3007" s="0" t="s">
        <v>5714</v>
      </c>
      <c r="C3007" s="0" t="s">
        <v>5715</v>
      </c>
      <c r="E3007" s="0" t="s">
        <v>1479</v>
      </c>
    </row>
    <row r="3008" customFormat="false" ht="15" hidden="false" customHeight="false" outlineLevel="0" collapsed="false">
      <c r="A3008" s="0" t="s">
        <v>71</v>
      </c>
      <c r="B3008" s="0" t="s">
        <v>5716</v>
      </c>
      <c r="C3008" s="0" t="s">
        <v>5717</v>
      </c>
      <c r="E3008" s="0" t="s">
        <v>1479</v>
      </c>
    </row>
    <row r="3009" customFormat="false" ht="15" hidden="false" customHeight="false" outlineLevel="0" collapsed="false">
      <c r="A3009" s="0" t="s">
        <v>71</v>
      </c>
      <c r="B3009" s="0" t="s">
        <v>5718</v>
      </c>
      <c r="C3009" s="0" t="s">
        <v>5719</v>
      </c>
      <c r="E3009" s="0" t="s">
        <v>1479</v>
      </c>
    </row>
    <row r="3010" customFormat="false" ht="15" hidden="false" customHeight="false" outlineLevel="0" collapsed="false">
      <c r="A3010" s="0" t="s">
        <v>71</v>
      </c>
      <c r="B3010" s="0" t="s">
        <v>5720</v>
      </c>
      <c r="C3010" s="0" t="s">
        <v>5721</v>
      </c>
      <c r="E3010" s="0" t="s">
        <v>1479</v>
      </c>
    </row>
    <row r="3011" customFormat="false" ht="15" hidden="false" customHeight="false" outlineLevel="0" collapsed="false">
      <c r="A3011" s="0" t="s">
        <v>71</v>
      </c>
      <c r="B3011" s="0" t="s">
        <v>5722</v>
      </c>
      <c r="C3011" s="0" t="s">
        <v>5723</v>
      </c>
      <c r="E3011" s="0" t="s">
        <v>1479</v>
      </c>
    </row>
    <row r="3012" customFormat="false" ht="15" hidden="false" customHeight="false" outlineLevel="0" collapsed="false">
      <c r="A3012" s="0" t="s">
        <v>71</v>
      </c>
      <c r="B3012" s="0" t="s">
        <v>5724</v>
      </c>
      <c r="C3012" s="0" t="s">
        <v>5725</v>
      </c>
      <c r="E3012" s="0" t="s">
        <v>1479</v>
      </c>
    </row>
    <row r="3013" customFormat="false" ht="15" hidden="false" customHeight="false" outlineLevel="0" collapsed="false">
      <c r="A3013" s="0" t="s">
        <v>71</v>
      </c>
      <c r="B3013" s="0" t="s">
        <v>5726</v>
      </c>
      <c r="C3013" s="0" t="s">
        <v>5727</v>
      </c>
      <c r="E3013" s="0" t="s">
        <v>1479</v>
      </c>
    </row>
    <row r="3014" customFormat="false" ht="15" hidden="false" customHeight="false" outlineLevel="0" collapsed="false">
      <c r="A3014" s="0" t="s">
        <v>71</v>
      </c>
      <c r="B3014" s="0" t="s">
        <v>5728</v>
      </c>
      <c r="C3014" s="0" t="s">
        <v>5729</v>
      </c>
      <c r="E3014" s="0" t="s">
        <v>1479</v>
      </c>
    </row>
    <row r="3015" customFormat="false" ht="15" hidden="false" customHeight="false" outlineLevel="0" collapsed="false">
      <c r="A3015" s="0" t="s">
        <v>71</v>
      </c>
      <c r="B3015" s="0" t="s">
        <v>5730</v>
      </c>
      <c r="C3015" s="0" t="s">
        <v>5731</v>
      </c>
      <c r="E3015" s="0" t="s">
        <v>1479</v>
      </c>
    </row>
    <row r="3016" customFormat="false" ht="15" hidden="false" customHeight="false" outlineLevel="0" collapsed="false">
      <c r="A3016" s="0" t="s">
        <v>71</v>
      </c>
      <c r="B3016" s="0" t="s">
        <v>5732</v>
      </c>
      <c r="C3016" s="0" t="s">
        <v>5733</v>
      </c>
      <c r="E3016" s="0" t="s">
        <v>1479</v>
      </c>
    </row>
    <row r="3017" customFormat="false" ht="15" hidden="false" customHeight="false" outlineLevel="0" collapsed="false">
      <c r="A3017" s="0" t="s">
        <v>71</v>
      </c>
      <c r="B3017" s="0" t="s">
        <v>5734</v>
      </c>
      <c r="C3017" s="0" t="s">
        <v>5735</v>
      </c>
      <c r="E3017" s="0" t="s">
        <v>1479</v>
      </c>
    </row>
    <row r="3018" customFormat="false" ht="15" hidden="false" customHeight="false" outlineLevel="0" collapsed="false">
      <c r="A3018" s="0" t="s">
        <v>71</v>
      </c>
      <c r="B3018" s="0" t="s">
        <v>5736</v>
      </c>
      <c r="C3018" s="0" t="s">
        <v>5737</v>
      </c>
      <c r="E3018" s="0" t="s">
        <v>1479</v>
      </c>
    </row>
    <row r="3019" customFormat="false" ht="15" hidden="false" customHeight="false" outlineLevel="0" collapsed="false">
      <c r="A3019" s="0" t="s">
        <v>71</v>
      </c>
      <c r="B3019" s="0" t="s">
        <v>5738</v>
      </c>
      <c r="C3019" s="0" t="s">
        <v>5739</v>
      </c>
      <c r="E3019" s="0" t="s">
        <v>1479</v>
      </c>
    </row>
    <row r="3020" customFormat="false" ht="15" hidden="false" customHeight="false" outlineLevel="0" collapsed="false">
      <c r="A3020" s="0" t="s">
        <v>71</v>
      </c>
      <c r="B3020" s="0" t="s">
        <v>5740</v>
      </c>
      <c r="C3020" s="0" t="s">
        <v>5741</v>
      </c>
      <c r="E3020" s="0" t="s">
        <v>1479</v>
      </c>
    </row>
    <row r="3021" customFormat="false" ht="15" hidden="false" customHeight="false" outlineLevel="0" collapsed="false">
      <c r="A3021" s="0" t="s">
        <v>71</v>
      </c>
      <c r="B3021" s="0" t="s">
        <v>5742</v>
      </c>
      <c r="C3021" s="0" t="s">
        <v>5743</v>
      </c>
      <c r="E3021" s="0" t="s">
        <v>1479</v>
      </c>
    </row>
    <row r="3022" customFormat="false" ht="15" hidden="false" customHeight="false" outlineLevel="0" collapsed="false">
      <c r="A3022" s="0" t="s">
        <v>71</v>
      </c>
      <c r="B3022" s="0" t="s">
        <v>5744</v>
      </c>
      <c r="C3022" s="0" t="s">
        <v>5745</v>
      </c>
      <c r="E3022" s="0" t="s">
        <v>1479</v>
      </c>
    </row>
    <row r="3023" customFormat="false" ht="15" hidden="false" customHeight="false" outlineLevel="0" collapsed="false">
      <c r="A3023" s="0" t="s">
        <v>71</v>
      </c>
      <c r="B3023" s="0" t="s">
        <v>5746</v>
      </c>
      <c r="C3023" s="0" t="s">
        <v>5747</v>
      </c>
      <c r="E3023" s="0" t="s">
        <v>1479</v>
      </c>
    </row>
    <row r="3024" customFormat="false" ht="15" hidden="false" customHeight="false" outlineLevel="0" collapsed="false">
      <c r="A3024" s="0" t="s">
        <v>71</v>
      </c>
      <c r="B3024" s="0" t="s">
        <v>5748</v>
      </c>
      <c r="C3024" s="0" t="s">
        <v>5749</v>
      </c>
      <c r="E3024" s="0" t="s">
        <v>1479</v>
      </c>
    </row>
    <row r="3025" customFormat="false" ht="15" hidden="false" customHeight="false" outlineLevel="0" collapsed="false">
      <c r="A3025" s="0" t="s">
        <v>71</v>
      </c>
      <c r="B3025" s="0" t="s">
        <v>5750</v>
      </c>
      <c r="C3025" s="0" t="s">
        <v>5751</v>
      </c>
      <c r="E3025" s="0" t="s">
        <v>1479</v>
      </c>
    </row>
    <row r="3026" customFormat="false" ht="15" hidden="false" customHeight="false" outlineLevel="0" collapsed="false">
      <c r="A3026" s="0" t="s">
        <v>71</v>
      </c>
      <c r="B3026" s="0" t="s">
        <v>5752</v>
      </c>
      <c r="C3026" s="0" t="s">
        <v>5753</v>
      </c>
      <c r="E3026" s="0" t="s">
        <v>1479</v>
      </c>
    </row>
    <row r="3027" customFormat="false" ht="15" hidden="false" customHeight="false" outlineLevel="0" collapsed="false">
      <c r="A3027" s="0" t="s">
        <v>71</v>
      </c>
      <c r="B3027" s="0" t="s">
        <v>5754</v>
      </c>
      <c r="C3027" s="0" t="s">
        <v>5755</v>
      </c>
      <c r="E3027" s="0" t="s">
        <v>1479</v>
      </c>
    </row>
    <row r="3028" customFormat="false" ht="15" hidden="false" customHeight="false" outlineLevel="0" collapsed="false">
      <c r="A3028" s="0" t="s">
        <v>71</v>
      </c>
      <c r="B3028" s="0" t="s">
        <v>5756</v>
      </c>
      <c r="C3028" s="0" t="s">
        <v>5757</v>
      </c>
      <c r="E3028" s="0" t="s">
        <v>1479</v>
      </c>
    </row>
    <row r="3029" customFormat="false" ht="15" hidden="false" customHeight="false" outlineLevel="0" collapsed="false">
      <c r="A3029" s="0" t="s">
        <v>71</v>
      </c>
      <c r="B3029" s="0" t="s">
        <v>5758</v>
      </c>
      <c r="C3029" s="0" t="s">
        <v>5759</v>
      </c>
      <c r="E3029" s="0" t="s">
        <v>1479</v>
      </c>
    </row>
    <row r="3030" customFormat="false" ht="15" hidden="false" customHeight="false" outlineLevel="0" collapsed="false">
      <c r="A3030" s="0" t="s">
        <v>71</v>
      </c>
      <c r="B3030" s="0" t="s">
        <v>5760</v>
      </c>
      <c r="C3030" s="0" t="s">
        <v>5761</v>
      </c>
      <c r="E3030" s="0" t="s">
        <v>1479</v>
      </c>
    </row>
    <row r="3031" customFormat="false" ht="15" hidden="false" customHeight="false" outlineLevel="0" collapsed="false">
      <c r="A3031" s="0" t="s">
        <v>71</v>
      </c>
      <c r="B3031" s="0" t="s">
        <v>5762</v>
      </c>
      <c r="C3031" s="0" t="s">
        <v>5763</v>
      </c>
      <c r="E3031" s="0" t="s">
        <v>1479</v>
      </c>
    </row>
    <row r="3032" customFormat="false" ht="15" hidden="false" customHeight="false" outlineLevel="0" collapsed="false">
      <c r="A3032" s="0" t="s">
        <v>71</v>
      </c>
      <c r="B3032" s="0" t="s">
        <v>5764</v>
      </c>
      <c r="C3032" s="0" t="s">
        <v>5765</v>
      </c>
      <c r="E3032" s="0" t="s">
        <v>1479</v>
      </c>
    </row>
    <row r="3033" customFormat="false" ht="15" hidden="false" customHeight="false" outlineLevel="0" collapsed="false">
      <c r="A3033" s="0" t="s">
        <v>71</v>
      </c>
      <c r="B3033" s="0" t="s">
        <v>5766</v>
      </c>
      <c r="C3033" s="0" t="s">
        <v>5767</v>
      </c>
      <c r="E3033" s="0" t="s">
        <v>1479</v>
      </c>
    </row>
    <row r="3034" customFormat="false" ht="15" hidden="false" customHeight="false" outlineLevel="0" collapsed="false">
      <c r="A3034" s="0" t="s">
        <v>71</v>
      </c>
      <c r="B3034" s="0" t="s">
        <v>5768</v>
      </c>
      <c r="C3034" s="0" t="s">
        <v>5769</v>
      </c>
      <c r="E3034" s="0" t="s">
        <v>1479</v>
      </c>
    </row>
    <row r="3035" customFormat="false" ht="15" hidden="false" customHeight="false" outlineLevel="0" collapsed="false">
      <c r="A3035" s="0" t="s">
        <v>71</v>
      </c>
      <c r="B3035" s="0" t="s">
        <v>5770</v>
      </c>
      <c r="C3035" s="0" t="s">
        <v>5771</v>
      </c>
      <c r="E3035" s="0" t="s">
        <v>1479</v>
      </c>
    </row>
    <row r="3036" customFormat="false" ht="15" hidden="false" customHeight="false" outlineLevel="0" collapsed="false">
      <c r="A3036" s="0" t="s">
        <v>71</v>
      </c>
      <c r="B3036" s="0" t="s">
        <v>5772</v>
      </c>
      <c r="C3036" s="0" t="s">
        <v>5773</v>
      </c>
      <c r="E3036" s="0" t="s">
        <v>1479</v>
      </c>
    </row>
    <row r="3037" customFormat="false" ht="15" hidden="false" customHeight="false" outlineLevel="0" collapsed="false">
      <c r="A3037" s="0" t="s">
        <v>71</v>
      </c>
      <c r="B3037" s="0" t="s">
        <v>5774</v>
      </c>
      <c r="C3037" s="0" t="s">
        <v>5775</v>
      </c>
      <c r="E3037" s="0" t="s">
        <v>1479</v>
      </c>
    </row>
    <row r="3038" customFormat="false" ht="15" hidden="false" customHeight="false" outlineLevel="0" collapsed="false">
      <c r="A3038" s="0" t="s">
        <v>71</v>
      </c>
      <c r="B3038" s="0" t="s">
        <v>5776</v>
      </c>
      <c r="C3038" s="0" t="s">
        <v>5777</v>
      </c>
      <c r="E3038" s="0" t="s">
        <v>1479</v>
      </c>
    </row>
    <row r="3039" customFormat="false" ht="15" hidden="false" customHeight="false" outlineLevel="0" collapsed="false">
      <c r="A3039" s="0" t="s">
        <v>71</v>
      </c>
      <c r="B3039" s="0" t="s">
        <v>5778</v>
      </c>
      <c r="C3039" s="0" t="s">
        <v>5779</v>
      </c>
      <c r="E3039" s="0" t="s">
        <v>1479</v>
      </c>
    </row>
    <row r="3040" customFormat="false" ht="15" hidden="false" customHeight="false" outlineLevel="0" collapsed="false">
      <c r="A3040" s="0" t="s">
        <v>71</v>
      </c>
      <c r="B3040" s="0" t="s">
        <v>5780</v>
      </c>
      <c r="C3040" s="0" t="s">
        <v>5781</v>
      </c>
      <c r="E3040" s="0" t="s">
        <v>1479</v>
      </c>
    </row>
    <row r="3041" customFormat="false" ht="15" hidden="false" customHeight="false" outlineLevel="0" collapsed="false">
      <c r="A3041" s="0" t="s">
        <v>71</v>
      </c>
      <c r="B3041" s="0" t="s">
        <v>5782</v>
      </c>
      <c r="C3041" s="0" t="s">
        <v>5783</v>
      </c>
      <c r="E3041" s="0" t="s">
        <v>1479</v>
      </c>
    </row>
    <row r="3042" customFormat="false" ht="15" hidden="false" customHeight="false" outlineLevel="0" collapsed="false">
      <c r="A3042" s="0" t="s">
        <v>71</v>
      </c>
      <c r="B3042" s="0" t="s">
        <v>5784</v>
      </c>
      <c r="C3042" s="0" t="s">
        <v>5785</v>
      </c>
      <c r="E3042" s="0" t="s">
        <v>1479</v>
      </c>
    </row>
    <row r="3043" customFormat="false" ht="15" hidden="false" customHeight="false" outlineLevel="0" collapsed="false">
      <c r="A3043" s="0" t="s">
        <v>71</v>
      </c>
      <c r="B3043" s="0" t="s">
        <v>5786</v>
      </c>
      <c r="C3043" s="0" t="s">
        <v>5787</v>
      </c>
      <c r="E3043" s="0" t="s">
        <v>1479</v>
      </c>
    </row>
    <row r="3044" customFormat="false" ht="15" hidden="false" customHeight="false" outlineLevel="0" collapsed="false">
      <c r="A3044" s="0" t="s">
        <v>71</v>
      </c>
      <c r="B3044" s="0" t="s">
        <v>5788</v>
      </c>
      <c r="C3044" s="0" t="s">
        <v>5789</v>
      </c>
      <c r="E3044" s="0" t="s">
        <v>1479</v>
      </c>
    </row>
    <row r="3045" customFormat="false" ht="15" hidden="false" customHeight="false" outlineLevel="0" collapsed="false">
      <c r="A3045" s="0" t="s">
        <v>71</v>
      </c>
      <c r="B3045" s="0" t="s">
        <v>5790</v>
      </c>
      <c r="C3045" s="0" t="s">
        <v>5791</v>
      </c>
      <c r="E3045" s="0" t="s">
        <v>1479</v>
      </c>
    </row>
    <row r="3046" customFormat="false" ht="15" hidden="false" customHeight="false" outlineLevel="0" collapsed="false">
      <c r="A3046" s="0" t="s">
        <v>71</v>
      </c>
      <c r="B3046" s="0" t="s">
        <v>5792</v>
      </c>
      <c r="C3046" s="0" t="s">
        <v>5793</v>
      </c>
      <c r="E3046" s="0" t="s">
        <v>1479</v>
      </c>
    </row>
    <row r="3047" customFormat="false" ht="15" hidden="false" customHeight="false" outlineLevel="0" collapsed="false">
      <c r="A3047" s="0" t="s">
        <v>71</v>
      </c>
      <c r="B3047" s="0" t="s">
        <v>5794</v>
      </c>
      <c r="C3047" s="0" t="s">
        <v>5795</v>
      </c>
      <c r="E3047" s="0" t="s">
        <v>1479</v>
      </c>
    </row>
    <row r="3048" customFormat="false" ht="15" hidden="false" customHeight="false" outlineLevel="0" collapsed="false">
      <c r="A3048" s="0" t="s">
        <v>71</v>
      </c>
      <c r="B3048" s="0" t="s">
        <v>5796</v>
      </c>
      <c r="C3048" s="0" t="s">
        <v>5797</v>
      </c>
      <c r="E3048" s="0" t="s">
        <v>1479</v>
      </c>
    </row>
    <row r="3049" customFormat="false" ht="15" hidden="false" customHeight="false" outlineLevel="0" collapsed="false">
      <c r="A3049" s="0" t="s">
        <v>71</v>
      </c>
      <c r="B3049" s="0" t="s">
        <v>5798</v>
      </c>
      <c r="C3049" s="0" t="s">
        <v>5799</v>
      </c>
      <c r="E3049" s="0" t="s">
        <v>1479</v>
      </c>
    </row>
    <row r="3050" customFormat="false" ht="15" hidden="false" customHeight="false" outlineLevel="0" collapsed="false">
      <c r="A3050" s="0" t="s">
        <v>71</v>
      </c>
      <c r="B3050" s="0" t="s">
        <v>5800</v>
      </c>
      <c r="C3050" s="0" t="s">
        <v>5801</v>
      </c>
      <c r="E3050" s="0" t="s">
        <v>1479</v>
      </c>
    </row>
    <row r="3051" customFormat="false" ht="15" hidden="false" customHeight="false" outlineLevel="0" collapsed="false">
      <c r="A3051" s="0" t="s">
        <v>71</v>
      </c>
      <c r="B3051" s="0" t="s">
        <v>5802</v>
      </c>
      <c r="C3051" s="0" t="s">
        <v>5803</v>
      </c>
      <c r="E3051" s="0" t="s">
        <v>1479</v>
      </c>
    </row>
    <row r="3052" customFormat="false" ht="15" hidden="false" customHeight="false" outlineLevel="0" collapsed="false">
      <c r="A3052" s="0" t="s">
        <v>71</v>
      </c>
      <c r="B3052" s="0" t="s">
        <v>5804</v>
      </c>
      <c r="C3052" s="0" t="s">
        <v>5805</v>
      </c>
      <c r="E3052" s="0" t="s">
        <v>1479</v>
      </c>
    </row>
    <row r="3053" customFormat="false" ht="15" hidden="false" customHeight="false" outlineLevel="0" collapsed="false">
      <c r="A3053" s="0" t="s">
        <v>71</v>
      </c>
      <c r="B3053" s="0" t="s">
        <v>5806</v>
      </c>
      <c r="C3053" s="0" t="s">
        <v>5807</v>
      </c>
      <c r="E3053" s="0" t="s">
        <v>1479</v>
      </c>
    </row>
    <row r="3054" customFormat="false" ht="15" hidden="false" customHeight="false" outlineLevel="0" collapsed="false">
      <c r="A3054" s="0" t="s">
        <v>71</v>
      </c>
      <c r="B3054" s="0" t="s">
        <v>5808</v>
      </c>
      <c r="C3054" s="0" t="s">
        <v>5809</v>
      </c>
      <c r="E3054" s="0" t="s">
        <v>1479</v>
      </c>
    </row>
    <row r="3055" customFormat="false" ht="15" hidden="false" customHeight="false" outlineLevel="0" collapsed="false">
      <c r="A3055" s="0" t="s">
        <v>71</v>
      </c>
      <c r="B3055" s="0" t="s">
        <v>5810</v>
      </c>
      <c r="C3055" s="0" t="s">
        <v>5811</v>
      </c>
      <c r="E3055" s="0" t="s">
        <v>1479</v>
      </c>
    </row>
    <row r="3056" customFormat="false" ht="15" hidden="false" customHeight="false" outlineLevel="0" collapsed="false">
      <c r="A3056" s="0" t="s">
        <v>71</v>
      </c>
      <c r="B3056" s="0" t="s">
        <v>5812</v>
      </c>
      <c r="C3056" s="0" t="s">
        <v>5813</v>
      </c>
      <c r="E3056" s="0" t="s">
        <v>1479</v>
      </c>
    </row>
    <row r="3057" customFormat="false" ht="15" hidden="false" customHeight="false" outlineLevel="0" collapsed="false">
      <c r="A3057" s="0" t="s">
        <v>71</v>
      </c>
      <c r="B3057" s="0" t="s">
        <v>5814</v>
      </c>
      <c r="C3057" s="0" t="s">
        <v>5815</v>
      </c>
      <c r="E3057" s="0" t="s">
        <v>1479</v>
      </c>
    </row>
    <row r="3058" customFormat="false" ht="15" hidden="false" customHeight="false" outlineLevel="0" collapsed="false">
      <c r="A3058" s="0" t="s">
        <v>71</v>
      </c>
      <c r="B3058" s="0" t="s">
        <v>5816</v>
      </c>
      <c r="C3058" s="0" t="s">
        <v>5817</v>
      </c>
      <c r="E3058" s="0" t="s">
        <v>1479</v>
      </c>
    </row>
    <row r="3059" customFormat="false" ht="15" hidden="false" customHeight="false" outlineLevel="0" collapsed="false">
      <c r="A3059" s="0" t="s">
        <v>71</v>
      </c>
      <c r="B3059" s="0" t="s">
        <v>5818</v>
      </c>
      <c r="C3059" s="0" t="s">
        <v>5819</v>
      </c>
      <c r="E3059" s="0" t="s">
        <v>1479</v>
      </c>
    </row>
    <row r="3060" customFormat="false" ht="15" hidden="false" customHeight="false" outlineLevel="0" collapsed="false">
      <c r="A3060" s="0" t="s">
        <v>71</v>
      </c>
      <c r="B3060" s="0" t="s">
        <v>5820</v>
      </c>
      <c r="C3060" s="0" t="s">
        <v>5821</v>
      </c>
      <c r="E3060" s="0" t="s">
        <v>1479</v>
      </c>
    </row>
    <row r="3061" customFormat="false" ht="15" hidden="false" customHeight="false" outlineLevel="0" collapsed="false">
      <c r="A3061" s="0" t="s">
        <v>71</v>
      </c>
      <c r="B3061" s="0" t="s">
        <v>5822</v>
      </c>
      <c r="C3061" s="0" t="s">
        <v>5823</v>
      </c>
      <c r="E3061" s="0" t="s">
        <v>1479</v>
      </c>
    </row>
    <row r="3062" customFormat="false" ht="15" hidden="false" customHeight="false" outlineLevel="0" collapsed="false">
      <c r="A3062" s="0" t="s">
        <v>71</v>
      </c>
      <c r="B3062" s="0" t="s">
        <v>5824</v>
      </c>
      <c r="C3062" s="0" t="s">
        <v>5825</v>
      </c>
      <c r="E3062" s="0" t="s">
        <v>1479</v>
      </c>
    </row>
    <row r="3063" customFormat="false" ht="15" hidden="false" customHeight="false" outlineLevel="0" collapsed="false">
      <c r="A3063" s="0" t="s">
        <v>79</v>
      </c>
      <c r="B3063" s="0" t="s">
        <v>2796</v>
      </c>
      <c r="C3063" s="0" t="s">
        <v>5826</v>
      </c>
      <c r="E3063" s="0" t="s">
        <v>1479</v>
      </c>
    </row>
    <row r="3064" customFormat="false" ht="15" hidden="false" customHeight="false" outlineLevel="0" collapsed="false">
      <c r="A3064" s="0" t="s">
        <v>79</v>
      </c>
      <c r="B3064" s="0" t="s">
        <v>2445</v>
      </c>
      <c r="C3064" s="0" t="s">
        <v>5827</v>
      </c>
      <c r="E3064" s="0" t="s">
        <v>5828</v>
      </c>
    </row>
    <row r="3065" customFormat="false" ht="15" hidden="false" customHeight="false" outlineLevel="0" collapsed="false">
      <c r="A3065" s="0" t="s">
        <v>79</v>
      </c>
      <c r="B3065" s="0" t="s">
        <v>2129</v>
      </c>
      <c r="C3065" s="0" t="s">
        <v>5826</v>
      </c>
      <c r="E3065" s="0" t="s">
        <v>1479</v>
      </c>
    </row>
    <row r="3066" customFormat="false" ht="15" hidden="false" customHeight="false" outlineLevel="0" collapsed="false">
      <c r="A3066" s="0" t="s">
        <v>79</v>
      </c>
      <c r="B3066" s="0" t="s">
        <v>2131</v>
      </c>
      <c r="C3066" s="0" t="s">
        <v>5827</v>
      </c>
      <c r="E3066" s="0" t="s">
        <v>5828</v>
      </c>
    </row>
    <row r="3067" customFormat="false" ht="15" hidden="false" customHeight="false" outlineLevel="0" collapsed="false">
      <c r="A3067" s="0" t="s">
        <v>79</v>
      </c>
      <c r="B3067" s="0" t="s">
        <v>2157</v>
      </c>
      <c r="C3067" s="0" t="s">
        <v>5829</v>
      </c>
      <c r="E3067" s="0" t="s">
        <v>1479</v>
      </c>
    </row>
    <row r="3068" customFormat="false" ht="15" hidden="false" customHeight="false" outlineLevel="0" collapsed="false">
      <c r="A3068" s="0" t="s">
        <v>79</v>
      </c>
      <c r="B3068" s="0" t="s">
        <v>2160</v>
      </c>
      <c r="C3068" s="0" t="s">
        <v>5830</v>
      </c>
      <c r="E3068" s="0" t="s">
        <v>5828</v>
      </c>
    </row>
    <row r="3069" customFormat="false" ht="15" hidden="false" customHeight="false" outlineLevel="0" collapsed="false">
      <c r="A3069" s="0" t="s">
        <v>79</v>
      </c>
      <c r="B3069" s="0" t="s">
        <v>2181</v>
      </c>
      <c r="C3069" s="0" t="s">
        <v>5831</v>
      </c>
      <c r="E3069" s="0" t="s">
        <v>1479</v>
      </c>
    </row>
    <row r="3070" customFormat="false" ht="15" hidden="false" customHeight="false" outlineLevel="0" collapsed="false">
      <c r="A3070" s="0" t="s">
        <v>79</v>
      </c>
      <c r="B3070" s="0" t="s">
        <v>2183</v>
      </c>
      <c r="C3070" s="0" t="s">
        <v>5832</v>
      </c>
      <c r="E3070" s="0" t="s">
        <v>5828</v>
      </c>
    </row>
    <row r="3071" customFormat="false" ht="15" hidden="false" customHeight="false" outlineLevel="0" collapsed="false">
      <c r="A3071" s="0" t="s">
        <v>79</v>
      </c>
      <c r="B3071" s="0" t="s">
        <v>2205</v>
      </c>
      <c r="C3071" s="0" t="s">
        <v>5833</v>
      </c>
      <c r="E3071" s="0" t="s">
        <v>1479</v>
      </c>
    </row>
    <row r="3072" customFormat="false" ht="15" hidden="false" customHeight="false" outlineLevel="0" collapsed="false">
      <c r="A3072" s="0" t="s">
        <v>79</v>
      </c>
      <c r="B3072" s="0" t="s">
        <v>2207</v>
      </c>
      <c r="C3072" s="0" t="s">
        <v>5834</v>
      </c>
      <c r="E3072" s="0" t="s">
        <v>5828</v>
      </c>
    </row>
    <row r="3073" customFormat="false" ht="15" hidden="false" customHeight="false" outlineLevel="0" collapsed="false">
      <c r="A3073" s="0" t="s">
        <v>79</v>
      </c>
      <c r="B3073" s="0" t="s">
        <v>2230</v>
      </c>
      <c r="C3073" s="0" t="s">
        <v>5835</v>
      </c>
      <c r="E3073" s="0" t="s">
        <v>1479</v>
      </c>
    </row>
    <row r="3074" customFormat="false" ht="15" hidden="false" customHeight="false" outlineLevel="0" collapsed="false">
      <c r="A3074" s="0" t="s">
        <v>79</v>
      </c>
      <c r="B3074" s="0" t="s">
        <v>2233</v>
      </c>
      <c r="C3074" s="0" t="s">
        <v>5836</v>
      </c>
      <c r="E3074" s="0" t="s">
        <v>5828</v>
      </c>
    </row>
    <row r="3075" customFormat="false" ht="15" hidden="false" customHeight="false" outlineLevel="0" collapsed="false">
      <c r="A3075" s="0" t="s">
        <v>79</v>
      </c>
      <c r="B3075" s="0" t="s">
        <v>2255</v>
      </c>
      <c r="C3075" s="0" t="s">
        <v>5837</v>
      </c>
      <c r="E3075" s="0" t="s">
        <v>1479</v>
      </c>
    </row>
    <row r="3076" customFormat="false" ht="15" hidden="false" customHeight="false" outlineLevel="0" collapsed="false">
      <c r="A3076" s="0" t="s">
        <v>79</v>
      </c>
      <c r="B3076" s="0" t="s">
        <v>2257</v>
      </c>
      <c r="C3076" s="0" t="s">
        <v>5838</v>
      </c>
      <c r="E3076" s="0" t="s">
        <v>5828</v>
      </c>
    </row>
    <row r="3077" customFormat="false" ht="15" hidden="false" customHeight="false" outlineLevel="0" collapsed="false">
      <c r="A3077" s="0" t="s">
        <v>79</v>
      </c>
      <c r="B3077" s="0" t="s">
        <v>2277</v>
      </c>
      <c r="C3077" s="0" t="s">
        <v>5839</v>
      </c>
      <c r="E3077" s="0" t="s">
        <v>1479</v>
      </c>
    </row>
    <row r="3078" customFormat="false" ht="15" hidden="false" customHeight="false" outlineLevel="0" collapsed="false">
      <c r="A3078" s="0" t="s">
        <v>79</v>
      </c>
      <c r="B3078" s="0" t="s">
        <v>2279</v>
      </c>
      <c r="C3078" s="0" t="s">
        <v>5840</v>
      </c>
      <c r="E3078" s="0" t="s">
        <v>5828</v>
      </c>
    </row>
    <row r="3079" customFormat="false" ht="15" hidden="false" customHeight="false" outlineLevel="0" collapsed="false">
      <c r="A3079" s="0" t="s">
        <v>79</v>
      </c>
      <c r="B3079" s="0" t="s">
        <v>2289</v>
      </c>
      <c r="C3079" s="0" t="s">
        <v>5841</v>
      </c>
      <c r="E3079" s="0" t="s">
        <v>1479</v>
      </c>
    </row>
    <row r="3080" customFormat="false" ht="15" hidden="false" customHeight="false" outlineLevel="0" collapsed="false">
      <c r="A3080" s="0" t="s">
        <v>79</v>
      </c>
      <c r="B3080" s="0" t="s">
        <v>2291</v>
      </c>
      <c r="C3080" s="0" t="s">
        <v>5842</v>
      </c>
      <c r="E3080" s="0" t="s">
        <v>1479</v>
      </c>
    </row>
    <row r="3081" customFormat="false" ht="15" hidden="false" customHeight="false" outlineLevel="0" collapsed="false">
      <c r="A3081" s="0" t="s">
        <v>79</v>
      </c>
      <c r="B3081" s="0" t="s">
        <v>2293</v>
      </c>
      <c r="C3081" s="0" t="s">
        <v>5843</v>
      </c>
      <c r="E3081" s="0" t="s">
        <v>1479</v>
      </c>
    </row>
    <row r="3082" customFormat="false" ht="15" hidden="false" customHeight="false" outlineLevel="0" collapsed="false">
      <c r="A3082" s="0" t="s">
        <v>79</v>
      </c>
      <c r="B3082" s="0" t="s">
        <v>2295</v>
      </c>
      <c r="C3082" s="0" t="s">
        <v>5844</v>
      </c>
      <c r="E3082" s="0" t="s">
        <v>1479</v>
      </c>
    </row>
    <row r="3083" customFormat="false" ht="15" hidden="false" customHeight="false" outlineLevel="0" collapsed="false">
      <c r="A3083" s="0" t="s">
        <v>79</v>
      </c>
      <c r="B3083" s="0" t="s">
        <v>2297</v>
      </c>
      <c r="C3083" s="0" t="s">
        <v>5845</v>
      </c>
      <c r="E3083" s="0" t="s">
        <v>1479</v>
      </c>
    </row>
    <row r="3084" customFormat="false" ht="15" hidden="false" customHeight="false" outlineLevel="0" collapsed="false">
      <c r="A3084" s="0" t="s">
        <v>79</v>
      </c>
      <c r="B3084" s="0" t="s">
        <v>2299</v>
      </c>
      <c r="C3084" s="0" t="s">
        <v>5846</v>
      </c>
      <c r="E3084" s="0" t="s">
        <v>1479</v>
      </c>
    </row>
    <row r="3085" customFormat="false" ht="15" hidden="false" customHeight="false" outlineLevel="0" collapsed="false">
      <c r="A3085" s="0" t="s">
        <v>79</v>
      </c>
      <c r="B3085" s="0" t="s">
        <v>2301</v>
      </c>
      <c r="C3085" s="0" t="s">
        <v>5847</v>
      </c>
      <c r="E3085" s="0" t="s">
        <v>1479</v>
      </c>
    </row>
    <row r="3086" customFormat="false" ht="15" hidden="false" customHeight="false" outlineLevel="0" collapsed="false">
      <c r="A3086" s="0" t="s">
        <v>79</v>
      </c>
      <c r="B3086" s="0" t="s">
        <v>2303</v>
      </c>
      <c r="C3086" s="0" t="s">
        <v>5848</v>
      </c>
      <c r="E3086" s="0" t="s">
        <v>1479</v>
      </c>
    </row>
    <row r="3087" customFormat="false" ht="15" hidden="false" customHeight="false" outlineLevel="0" collapsed="false">
      <c r="A3087" s="0" t="s">
        <v>79</v>
      </c>
      <c r="B3087" s="0" t="s">
        <v>1880</v>
      </c>
      <c r="C3087" s="0" t="s">
        <v>5841</v>
      </c>
      <c r="E3087" s="0" t="s">
        <v>1479</v>
      </c>
    </row>
    <row r="3088" customFormat="false" ht="15" hidden="false" customHeight="false" outlineLevel="0" collapsed="false">
      <c r="A3088" s="0" t="s">
        <v>79</v>
      </c>
      <c r="B3088" s="0" t="s">
        <v>1883</v>
      </c>
      <c r="C3088" s="0" t="s">
        <v>5842</v>
      </c>
      <c r="E3088" s="0" t="s">
        <v>1479</v>
      </c>
    </row>
    <row r="3089" customFormat="false" ht="15" hidden="false" customHeight="false" outlineLevel="0" collapsed="false">
      <c r="A3089" s="0" t="s">
        <v>79</v>
      </c>
      <c r="B3089" s="0" t="s">
        <v>1886</v>
      </c>
      <c r="C3089" s="0" t="s">
        <v>5843</v>
      </c>
      <c r="E3089" s="0" t="s">
        <v>1479</v>
      </c>
    </row>
    <row r="3090" customFormat="false" ht="15" hidden="false" customHeight="false" outlineLevel="0" collapsed="false">
      <c r="A3090" s="0" t="s">
        <v>79</v>
      </c>
      <c r="B3090" s="0" t="s">
        <v>1888</v>
      </c>
      <c r="C3090" s="0" t="s">
        <v>5844</v>
      </c>
      <c r="E3090" s="0" t="s">
        <v>1479</v>
      </c>
    </row>
    <row r="3091" customFormat="false" ht="15" hidden="false" customHeight="false" outlineLevel="0" collapsed="false">
      <c r="A3091" s="0" t="s">
        <v>79</v>
      </c>
      <c r="B3091" s="0" t="s">
        <v>1891</v>
      </c>
      <c r="C3091" s="0" t="s">
        <v>5845</v>
      </c>
      <c r="E3091" s="0" t="s">
        <v>1479</v>
      </c>
    </row>
    <row r="3092" customFormat="false" ht="15" hidden="false" customHeight="false" outlineLevel="0" collapsed="false">
      <c r="A3092" s="0" t="s">
        <v>79</v>
      </c>
      <c r="B3092" s="0" t="s">
        <v>1894</v>
      </c>
      <c r="C3092" s="0" t="s">
        <v>5846</v>
      </c>
      <c r="E3092" s="0" t="s">
        <v>1479</v>
      </c>
    </row>
    <row r="3093" customFormat="false" ht="15" hidden="false" customHeight="false" outlineLevel="0" collapsed="false">
      <c r="A3093" s="0" t="s">
        <v>79</v>
      </c>
      <c r="B3093" s="0" t="s">
        <v>2319</v>
      </c>
      <c r="C3093" s="0" t="s">
        <v>5847</v>
      </c>
      <c r="E3093" s="0" t="s">
        <v>1479</v>
      </c>
    </row>
    <row r="3094" customFormat="false" ht="15" hidden="false" customHeight="false" outlineLevel="0" collapsed="false">
      <c r="A3094" s="0" t="s">
        <v>79</v>
      </c>
      <c r="B3094" s="0" t="s">
        <v>2321</v>
      </c>
      <c r="C3094" s="0" t="s">
        <v>5848</v>
      </c>
      <c r="E3094" s="0" t="s">
        <v>1479</v>
      </c>
    </row>
    <row r="3095" customFormat="false" ht="15" hidden="false" customHeight="false" outlineLevel="0" collapsed="false">
      <c r="A3095" s="0" t="s">
        <v>79</v>
      </c>
      <c r="B3095" s="0" t="s">
        <v>1898</v>
      </c>
      <c r="C3095" s="0" t="s">
        <v>5841</v>
      </c>
      <c r="E3095" s="0" t="s">
        <v>1479</v>
      </c>
    </row>
    <row r="3096" customFormat="false" ht="15" hidden="false" customHeight="false" outlineLevel="0" collapsed="false">
      <c r="A3096" s="0" t="s">
        <v>79</v>
      </c>
      <c r="B3096" s="0" t="s">
        <v>1506</v>
      </c>
      <c r="C3096" s="0" t="s">
        <v>5842</v>
      </c>
      <c r="E3096" s="0" t="s">
        <v>1479</v>
      </c>
    </row>
    <row r="3097" customFormat="false" ht="15" hidden="false" customHeight="false" outlineLevel="0" collapsed="false">
      <c r="A3097" s="0" t="s">
        <v>79</v>
      </c>
      <c r="B3097" s="0" t="s">
        <v>1901</v>
      </c>
      <c r="C3097" s="0" t="s">
        <v>5843</v>
      </c>
      <c r="E3097" s="0" t="s">
        <v>1479</v>
      </c>
    </row>
    <row r="3098" customFormat="false" ht="15" hidden="false" customHeight="false" outlineLevel="0" collapsed="false">
      <c r="A3098" s="0" t="s">
        <v>79</v>
      </c>
      <c r="B3098" s="0" t="s">
        <v>1509</v>
      </c>
      <c r="C3098" s="0" t="s">
        <v>5844</v>
      </c>
      <c r="E3098" s="0" t="s">
        <v>1479</v>
      </c>
    </row>
    <row r="3099" customFormat="false" ht="15" hidden="false" customHeight="false" outlineLevel="0" collapsed="false">
      <c r="A3099" s="0" t="s">
        <v>79</v>
      </c>
      <c r="B3099" s="0" t="s">
        <v>1512</v>
      </c>
      <c r="C3099" s="0" t="s">
        <v>5845</v>
      </c>
      <c r="E3099" s="0" t="s">
        <v>1479</v>
      </c>
    </row>
    <row r="3100" customFormat="false" ht="15" hidden="false" customHeight="false" outlineLevel="0" collapsed="false">
      <c r="A3100" s="0" t="s">
        <v>79</v>
      </c>
      <c r="B3100" s="0" t="s">
        <v>1515</v>
      </c>
      <c r="C3100" s="0" t="s">
        <v>5846</v>
      </c>
      <c r="E3100" s="0" t="s">
        <v>1479</v>
      </c>
    </row>
    <row r="3101" customFormat="false" ht="15" hidden="false" customHeight="false" outlineLevel="0" collapsed="false">
      <c r="A3101" s="0" t="s">
        <v>79</v>
      </c>
      <c r="B3101" s="0" t="s">
        <v>2337</v>
      </c>
      <c r="C3101" s="0" t="s">
        <v>5847</v>
      </c>
      <c r="E3101" s="0" t="s">
        <v>1479</v>
      </c>
    </row>
    <row r="3102" customFormat="false" ht="15" hidden="false" customHeight="false" outlineLevel="0" collapsed="false">
      <c r="A3102" s="0" t="s">
        <v>79</v>
      </c>
      <c r="B3102" s="0" t="s">
        <v>2339</v>
      </c>
      <c r="C3102" s="0" t="s">
        <v>5848</v>
      </c>
      <c r="E3102" s="0" t="s">
        <v>1479</v>
      </c>
    </row>
    <row r="3103" customFormat="false" ht="15" hidden="false" customHeight="false" outlineLevel="0" collapsed="false">
      <c r="A3103" s="0" t="s">
        <v>79</v>
      </c>
      <c r="B3103" s="0" t="s">
        <v>1909</v>
      </c>
      <c r="C3103" s="0" t="s">
        <v>5841</v>
      </c>
      <c r="E3103" s="0" t="s">
        <v>1479</v>
      </c>
    </row>
    <row r="3104" customFormat="false" ht="15" hidden="false" customHeight="false" outlineLevel="0" collapsed="false">
      <c r="A3104" s="0" t="s">
        <v>79</v>
      </c>
      <c r="B3104" s="0" t="s">
        <v>1518</v>
      </c>
      <c r="C3104" s="0" t="s">
        <v>5842</v>
      </c>
      <c r="E3104" s="0" t="s">
        <v>1479</v>
      </c>
    </row>
    <row r="3105" customFormat="false" ht="15" hidden="false" customHeight="false" outlineLevel="0" collapsed="false">
      <c r="A3105" s="0" t="s">
        <v>79</v>
      </c>
      <c r="B3105" s="0" t="s">
        <v>1912</v>
      </c>
      <c r="C3105" s="0" t="s">
        <v>5843</v>
      </c>
      <c r="E3105" s="0" t="s">
        <v>1479</v>
      </c>
    </row>
    <row r="3106" customFormat="false" ht="15" hidden="false" customHeight="false" outlineLevel="0" collapsed="false">
      <c r="A3106" s="0" t="s">
        <v>79</v>
      </c>
      <c r="B3106" s="0" t="s">
        <v>1521</v>
      </c>
      <c r="C3106" s="0" t="s">
        <v>5844</v>
      </c>
      <c r="E3106" s="0" t="s">
        <v>1479</v>
      </c>
    </row>
    <row r="3107" customFormat="false" ht="15" hidden="false" customHeight="false" outlineLevel="0" collapsed="false">
      <c r="A3107" s="0" t="s">
        <v>79</v>
      </c>
      <c r="B3107" s="0" t="s">
        <v>1524</v>
      </c>
      <c r="C3107" s="0" t="s">
        <v>5845</v>
      </c>
      <c r="E3107" s="0" t="s">
        <v>1479</v>
      </c>
    </row>
    <row r="3108" customFormat="false" ht="15" hidden="false" customHeight="false" outlineLevel="0" collapsed="false">
      <c r="A3108" s="0" t="s">
        <v>79</v>
      </c>
      <c r="B3108" s="0" t="s">
        <v>1527</v>
      </c>
      <c r="C3108" s="0" t="s">
        <v>5846</v>
      </c>
      <c r="E3108" s="0" t="s">
        <v>1479</v>
      </c>
    </row>
    <row r="3109" customFormat="false" ht="15" hidden="false" customHeight="false" outlineLevel="0" collapsed="false">
      <c r="A3109" s="0" t="s">
        <v>79</v>
      </c>
      <c r="B3109" s="0" t="s">
        <v>2926</v>
      </c>
      <c r="C3109" s="0" t="s">
        <v>5847</v>
      </c>
      <c r="E3109" s="0" t="s">
        <v>1479</v>
      </c>
    </row>
    <row r="3110" customFormat="false" ht="15" hidden="false" customHeight="false" outlineLevel="0" collapsed="false">
      <c r="A3110" s="0" t="s">
        <v>79</v>
      </c>
      <c r="B3110" s="0" t="s">
        <v>2561</v>
      </c>
      <c r="C3110" s="0" t="s">
        <v>5848</v>
      </c>
      <c r="E3110" s="0" t="s">
        <v>1479</v>
      </c>
    </row>
    <row r="3111" customFormat="false" ht="15" hidden="false" customHeight="false" outlineLevel="0" collapsed="false">
      <c r="A3111" s="0" t="s">
        <v>79</v>
      </c>
      <c r="B3111" s="0" t="s">
        <v>1917</v>
      </c>
      <c r="C3111" s="0" t="s">
        <v>5841</v>
      </c>
      <c r="E3111" s="0" t="s">
        <v>1479</v>
      </c>
    </row>
    <row r="3112" customFormat="false" ht="15" hidden="false" customHeight="false" outlineLevel="0" collapsed="false">
      <c r="A3112" s="0" t="s">
        <v>79</v>
      </c>
      <c r="B3112" s="0" t="s">
        <v>1529</v>
      </c>
      <c r="C3112" s="0" t="s">
        <v>5842</v>
      </c>
      <c r="E3112" s="0" t="s">
        <v>1479</v>
      </c>
    </row>
    <row r="3113" customFormat="false" ht="15" hidden="false" customHeight="false" outlineLevel="0" collapsed="false">
      <c r="A3113" s="0" t="s">
        <v>79</v>
      </c>
      <c r="B3113" s="0" t="s">
        <v>1920</v>
      </c>
      <c r="C3113" s="0" t="s">
        <v>5843</v>
      </c>
      <c r="E3113" s="0" t="s">
        <v>1479</v>
      </c>
    </row>
    <row r="3114" customFormat="false" ht="15" hidden="false" customHeight="false" outlineLevel="0" collapsed="false">
      <c r="A3114" s="0" t="s">
        <v>79</v>
      </c>
      <c r="B3114" s="0" t="s">
        <v>1532</v>
      </c>
      <c r="C3114" s="0" t="s">
        <v>5844</v>
      </c>
      <c r="E3114" s="0" t="s">
        <v>1479</v>
      </c>
    </row>
    <row r="3115" customFormat="false" ht="15" hidden="false" customHeight="false" outlineLevel="0" collapsed="false">
      <c r="A3115" s="0" t="s">
        <v>79</v>
      </c>
      <c r="B3115" s="0" t="s">
        <v>1535</v>
      </c>
      <c r="C3115" s="0" t="s">
        <v>5845</v>
      </c>
      <c r="E3115" s="0" t="s">
        <v>1479</v>
      </c>
    </row>
    <row r="3116" customFormat="false" ht="15" hidden="false" customHeight="false" outlineLevel="0" collapsed="false">
      <c r="A3116" s="0" t="s">
        <v>79</v>
      </c>
      <c r="B3116" s="0" t="s">
        <v>1537</v>
      </c>
      <c r="C3116" s="0" t="s">
        <v>5846</v>
      </c>
      <c r="E3116" s="0" t="s">
        <v>1479</v>
      </c>
    </row>
    <row r="3117" customFormat="false" ht="15" hidden="false" customHeight="false" outlineLevel="0" collapsed="false">
      <c r="A3117" s="0" t="s">
        <v>79</v>
      </c>
      <c r="B3117" s="0" t="s">
        <v>3652</v>
      </c>
      <c r="C3117" s="0" t="s">
        <v>5847</v>
      </c>
      <c r="E3117" s="0" t="s">
        <v>1479</v>
      </c>
    </row>
    <row r="3118" customFormat="false" ht="15" hidden="false" customHeight="false" outlineLevel="0" collapsed="false">
      <c r="A3118" s="0" t="s">
        <v>79</v>
      </c>
      <c r="B3118" s="0" t="s">
        <v>2571</v>
      </c>
      <c r="C3118" s="0" t="s">
        <v>5848</v>
      </c>
      <c r="E3118" s="0" t="s">
        <v>1479</v>
      </c>
    </row>
    <row r="3119" customFormat="false" ht="15" hidden="false" customHeight="false" outlineLevel="0" collapsed="false">
      <c r="A3119" s="0" t="s">
        <v>79</v>
      </c>
      <c r="B3119" s="0" t="s">
        <v>1925</v>
      </c>
      <c r="C3119" s="0" t="s">
        <v>5841</v>
      </c>
      <c r="E3119" s="0" t="s">
        <v>1479</v>
      </c>
    </row>
    <row r="3120" customFormat="false" ht="15" hidden="false" customHeight="false" outlineLevel="0" collapsed="false">
      <c r="A3120" s="0" t="s">
        <v>79</v>
      </c>
      <c r="B3120" s="0" t="s">
        <v>1540</v>
      </c>
      <c r="C3120" s="0" t="s">
        <v>5842</v>
      </c>
      <c r="E3120" s="0" t="s">
        <v>1479</v>
      </c>
    </row>
    <row r="3121" customFormat="false" ht="15" hidden="false" customHeight="false" outlineLevel="0" collapsed="false">
      <c r="A3121" s="0" t="s">
        <v>79</v>
      </c>
      <c r="B3121" s="0" t="s">
        <v>1928</v>
      </c>
      <c r="C3121" s="0" t="s">
        <v>5843</v>
      </c>
      <c r="E3121" s="0" t="s">
        <v>1479</v>
      </c>
    </row>
    <row r="3122" customFormat="false" ht="15" hidden="false" customHeight="false" outlineLevel="0" collapsed="false">
      <c r="A3122" s="0" t="s">
        <v>79</v>
      </c>
      <c r="B3122" s="0" t="s">
        <v>1542</v>
      </c>
      <c r="C3122" s="0" t="s">
        <v>5844</v>
      </c>
      <c r="E3122" s="0" t="s">
        <v>1479</v>
      </c>
    </row>
    <row r="3123" customFormat="false" ht="15" hidden="false" customHeight="false" outlineLevel="0" collapsed="false">
      <c r="A3123" s="0" t="s">
        <v>79</v>
      </c>
      <c r="B3123" s="0" t="s">
        <v>1544</v>
      </c>
      <c r="C3123" s="0" t="s">
        <v>5845</v>
      </c>
      <c r="E3123" s="0" t="s">
        <v>1479</v>
      </c>
    </row>
    <row r="3124" customFormat="false" ht="15" hidden="false" customHeight="false" outlineLevel="0" collapsed="false">
      <c r="A3124" s="0" t="s">
        <v>79</v>
      </c>
      <c r="B3124" s="0" t="s">
        <v>1546</v>
      </c>
      <c r="C3124" s="0" t="s">
        <v>5846</v>
      </c>
      <c r="E3124" s="0" t="s">
        <v>1479</v>
      </c>
    </row>
    <row r="3125" customFormat="false" ht="15" hidden="false" customHeight="false" outlineLevel="0" collapsed="false">
      <c r="A3125" s="0" t="s">
        <v>79</v>
      </c>
      <c r="B3125" s="0" t="s">
        <v>3655</v>
      </c>
      <c r="C3125" s="0" t="s">
        <v>5847</v>
      </c>
      <c r="E3125" s="0" t="s">
        <v>1479</v>
      </c>
    </row>
    <row r="3126" customFormat="false" ht="15" hidden="false" customHeight="false" outlineLevel="0" collapsed="false">
      <c r="A3126" s="0" t="s">
        <v>79</v>
      </c>
      <c r="B3126" s="0" t="s">
        <v>2581</v>
      </c>
      <c r="C3126" s="0" t="s">
        <v>5848</v>
      </c>
      <c r="E3126" s="0" t="s">
        <v>1479</v>
      </c>
    </row>
    <row r="3127" customFormat="false" ht="15" hidden="false" customHeight="false" outlineLevel="0" collapsed="false">
      <c r="A3127" s="0" t="s">
        <v>79</v>
      </c>
      <c r="B3127" s="0" t="s">
        <v>2585</v>
      </c>
      <c r="C3127" s="0" t="s">
        <v>5841</v>
      </c>
      <c r="E3127" s="0" t="s">
        <v>1479</v>
      </c>
    </row>
    <row r="3128" customFormat="false" ht="15" hidden="false" customHeight="false" outlineLevel="0" collapsed="false">
      <c r="A3128" s="0" t="s">
        <v>79</v>
      </c>
      <c r="B3128" s="0" t="s">
        <v>1548</v>
      </c>
      <c r="C3128" s="0" t="s">
        <v>5842</v>
      </c>
      <c r="E3128" s="0" t="s">
        <v>1479</v>
      </c>
    </row>
    <row r="3129" customFormat="false" ht="15" hidden="false" customHeight="false" outlineLevel="0" collapsed="false">
      <c r="A3129" s="0" t="s">
        <v>79</v>
      </c>
      <c r="B3129" s="0" t="s">
        <v>2588</v>
      </c>
      <c r="C3129" s="0" t="s">
        <v>5843</v>
      </c>
      <c r="E3129" s="0" t="s">
        <v>1479</v>
      </c>
    </row>
    <row r="3130" customFormat="false" ht="15" hidden="false" customHeight="false" outlineLevel="0" collapsed="false">
      <c r="A3130" s="0" t="s">
        <v>79</v>
      </c>
      <c r="B3130" s="0" t="s">
        <v>1550</v>
      </c>
      <c r="C3130" s="0" t="s">
        <v>5844</v>
      </c>
      <c r="E3130" s="0" t="s">
        <v>1479</v>
      </c>
    </row>
    <row r="3131" customFormat="false" ht="15" hidden="false" customHeight="false" outlineLevel="0" collapsed="false">
      <c r="A3131" s="0" t="s">
        <v>79</v>
      </c>
      <c r="B3131" s="0" t="s">
        <v>1552</v>
      </c>
      <c r="C3131" s="0" t="s">
        <v>5845</v>
      </c>
      <c r="E3131" s="0" t="s">
        <v>1479</v>
      </c>
    </row>
    <row r="3132" customFormat="false" ht="15" hidden="false" customHeight="false" outlineLevel="0" collapsed="false">
      <c r="A3132" s="0" t="s">
        <v>79</v>
      </c>
      <c r="B3132" s="0" t="s">
        <v>1554</v>
      </c>
      <c r="C3132" s="0" t="s">
        <v>5846</v>
      </c>
      <c r="E3132" s="0" t="s">
        <v>1479</v>
      </c>
    </row>
    <row r="3133" customFormat="false" ht="15" hidden="false" customHeight="false" outlineLevel="0" collapsed="false">
      <c r="A3133" s="0" t="s">
        <v>79</v>
      </c>
      <c r="B3133" s="0" t="s">
        <v>3658</v>
      </c>
      <c r="C3133" s="0" t="s">
        <v>5847</v>
      </c>
      <c r="E3133" s="0" t="s">
        <v>1479</v>
      </c>
    </row>
    <row r="3134" customFormat="false" ht="15" hidden="false" customHeight="false" outlineLevel="0" collapsed="false">
      <c r="A3134" s="0" t="s">
        <v>79</v>
      </c>
      <c r="B3134" s="0" t="s">
        <v>2593</v>
      </c>
      <c r="C3134" s="0" t="s">
        <v>5848</v>
      </c>
      <c r="E3134" s="0" t="s">
        <v>1479</v>
      </c>
    </row>
    <row r="3135" customFormat="false" ht="15" hidden="false" customHeight="false" outlineLevel="0" collapsed="false">
      <c r="A3135" s="0" t="s">
        <v>79</v>
      </c>
      <c r="B3135" s="0" t="s">
        <v>2597</v>
      </c>
      <c r="C3135" s="0" t="s">
        <v>5841</v>
      </c>
      <c r="E3135" s="0" t="s">
        <v>1479</v>
      </c>
    </row>
    <row r="3136" customFormat="false" ht="15" hidden="false" customHeight="false" outlineLevel="0" collapsed="false">
      <c r="A3136" s="0" t="s">
        <v>79</v>
      </c>
      <c r="B3136" s="0" t="s">
        <v>2599</v>
      </c>
      <c r="C3136" s="0" t="s">
        <v>5842</v>
      </c>
      <c r="E3136" s="0" t="s">
        <v>1479</v>
      </c>
    </row>
    <row r="3137" customFormat="false" ht="15" hidden="false" customHeight="false" outlineLevel="0" collapsed="false">
      <c r="A3137" s="0" t="s">
        <v>79</v>
      </c>
      <c r="B3137" s="0" t="s">
        <v>2601</v>
      </c>
      <c r="C3137" s="0" t="s">
        <v>5843</v>
      </c>
      <c r="E3137" s="0" t="s">
        <v>1479</v>
      </c>
    </row>
    <row r="3138" customFormat="false" ht="15" hidden="false" customHeight="false" outlineLevel="0" collapsed="false">
      <c r="A3138" s="0" t="s">
        <v>79</v>
      </c>
      <c r="B3138" s="0" t="s">
        <v>2603</v>
      </c>
      <c r="C3138" s="0" t="s">
        <v>5844</v>
      </c>
      <c r="E3138" s="0" t="s">
        <v>1479</v>
      </c>
    </row>
    <row r="3139" customFormat="false" ht="15" hidden="false" customHeight="false" outlineLevel="0" collapsed="false">
      <c r="A3139" s="0" t="s">
        <v>79</v>
      </c>
      <c r="B3139" s="0" t="s">
        <v>2605</v>
      </c>
      <c r="C3139" s="0" t="s">
        <v>5845</v>
      </c>
      <c r="E3139" s="0" t="s">
        <v>1479</v>
      </c>
    </row>
    <row r="3140" customFormat="false" ht="15" hidden="false" customHeight="false" outlineLevel="0" collapsed="false">
      <c r="A3140" s="0" t="s">
        <v>79</v>
      </c>
      <c r="B3140" s="0" t="s">
        <v>2607</v>
      </c>
      <c r="C3140" s="0" t="s">
        <v>5846</v>
      </c>
      <c r="E3140" s="0" t="s">
        <v>1479</v>
      </c>
    </row>
    <row r="3141" customFormat="false" ht="15" hidden="false" customHeight="false" outlineLevel="0" collapsed="false">
      <c r="A3141" s="0" t="s">
        <v>79</v>
      </c>
      <c r="B3141" s="0" t="s">
        <v>4464</v>
      </c>
      <c r="C3141" s="0" t="s">
        <v>5847</v>
      </c>
      <c r="E3141" s="0" t="s">
        <v>1479</v>
      </c>
    </row>
    <row r="3142" customFormat="false" ht="15" hidden="false" customHeight="false" outlineLevel="0" collapsed="false">
      <c r="A3142" s="0" t="s">
        <v>79</v>
      </c>
      <c r="B3142" s="0" t="s">
        <v>2609</v>
      </c>
      <c r="C3142" s="0" t="s">
        <v>5848</v>
      </c>
      <c r="E3142" s="0" t="s">
        <v>1479</v>
      </c>
    </row>
    <row r="3143" customFormat="false" ht="15" hidden="false" customHeight="false" outlineLevel="0" collapsed="false">
      <c r="A3143" s="0" t="s">
        <v>79</v>
      </c>
      <c r="B3143" s="0" t="s">
        <v>2613</v>
      </c>
      <c r="C3143" s="0" t="s">
        <v>5841</v>
      </c>
      <c r="E3143" s="0" t="s">
        <v>1479</v>
      </c>
    </row>
    <row r="3144" customFormat="false" ht="15" hidden="false" customHeight="false" outlineLevel="0" collapsed="false">
      <c r="A3144" s="0" t="s">
        <v>79</v>
      </c>
      <c r="B3144" s="0" t="s">
        <v>2615</v>
      </c>
      <c r="C3144" s="0" t="s">
        <v>5842</v>
      </c>
      <c r="E3144" s="0" t="s">
        <v>1479</v>
      </c>
    </row>
    <row r="3145" customFormat="false" ht="15" hidden="false" customHeight="false" outlineLevel="0" collapsed="false">
      <c r="A3145" s="0" t="s">
        <v>79</v>
      </c>
      <c r="B3145" s="0" t="s">
        <v>2617</v>
      </c>
      <c r="C3145" s="0" t="s">
        <v>5843</v>
      </c>
      <c r="E3145" s="0" t="s">
        <v>1479</v>
      </c>
    </row>
    <row r="3146" customFormat="false" ht="15" hidden="false" customHeight="false" outlineLevel="0" collapsed="false">
      <c r="A3146" s="0" t="s">
        <v>79</v>
      </c>
      <c r="B3146" s="0" t="s">
        <v>2619</v>
      </c>
      <c r="C3146" s="0" t="s">
        <v>5844</v>
      </c>
      <c r="E3146" s="0" t="s">
        <v>1479</v>
      </c>
    </row>
    <row r="3147" customFormat="false" ht="15" hidden="false" customHeight="false" outlineLevel="0" collapsed="false">
      <c r="A3147" s="0" t="s">
        <v>79</v>
      </c>
      <c r="B3147" s="0" t="s">
        <v>2621</v>
      </c>
      <c r="C3147" s="0" t="s">
        <v>5845</v>
      </c>
      <c r="E3147" s="0" t="s">
        <v>1479</v>
      </c>
    </row>
    <row r="3148" customFormat="false" ht="15" hidden="false" customHeight="false" outlineLevel="0" collapsed="false">
      <c r="A3148" s="0" t="s">
        <v>79</v>
      </c>
      <c r="B3148" s="0" t="s">
        <v>2623</v>
      </c>
      <c r="C3148" s="0" t="s">
        <v>5846</v>
      </c>
      <c r="E3148" s="0" t="s">
        <v>1479</v>
      </c>
    </row>
    <row r="3149" customFormat="false" ht="15" hidden="false" customHeight="false" outlineLevel="0" collapsed="false">
      <c r="A3149" s="0" t="s">
        <v>79</v>
      </c>
      <c r="B3149" s="0" t="s">
        <v>4471</v>
      </c>
      <c r="C3149" s="0" t="s">
        <v>5847</v>
      </c>
      <c r="E3149" s="0" t="s">
        <v>1479</v>
      </c>
    </row>
    <row r="3150" customFormat="false" ht="15" hidden="false" customHeight="false" outlineLevel="0" collapsed="false">
      <c r="A3150" s="0" t="s">
        <v>79</v>
      </c>
      <c r="B3150" s="0" t="s">
        <v>2625</v>
      </c>
      <c r="C3150" s="0" t="s">
        <v>5848</v>
      </c>
      <c r="E3150" s="0" t="s">
        <v>1479</v>
      </c>
    </row>
    <row r="3151" customFormat="false" ht="15" hidden="false" customHeight="false" outlineLevel="0" collapsed="false">
      <c r="A3151" s="0" t="s">
        <v>79</v>
      </c>
      <c r="B3151" s="0" t="s">
        <v>2629</v>
      </c>
      <c r="C3151" s="0" t="s">
        <v>5841</v>
      </c>
      <c r="E3151" s="0" t="s">
        <v>1479</v>
      </c>
    </row>
    <row r="3152" customFormat="false" ht="15" hidden="false" customHeight="false" outlineLevel="0" collapsed="false">
      <c r="A3152" s="0" t="s">
        <v>79</v>
      </c>
      <c r="B3152" s="0" t="s">
        <v>1556</v>
      </c>
      <c r="C3152" s="0" t="s">
        <v>5842</v>
      </c>
      <c r="E3152" s="0" t="s">
        <v>1479</v>
      </c>
    </row>
    <row r="3153" customFormat="false" ht="15" hidden="false" customHeight="false" outlineLevel="0" collapsed="false">
      <c r="A3153" s="0" t="s">
        <v>79</v>
      </c>
      <c r="B3153" s="0" t="s">
        <v>2632</v>
      </c>
      <c r="C3153" s="0" t="s">
        <v>5843</v>
      </c>
      <c r="E3153" s="0" t="s">
        <v>1479</v>
      </c>
    </row>
    <row r="3154" customFormat="false" ht="15" hidden="false" customHeight="false" outlineLevel="0" collapsed="false">
      <c r="A3154" s="0" t="s">
        <v>79</v>
      </c>
      <c r="B3154" s="0" t="s">
        <v>1559</v>
      </c>
      <c r="C3154" s="0" t="s">
        <v>5844</v>
      </c>
      <c r="E3154" s="0" t="s">
        <v>1479</v>
      </c>
    </row>
    <row r="3155" customFormat="false" ht="15" hidden="false" customHeight="false" outlineLevel="0" collapsed="false">
      <c r="A3155" s="0" t="s">
        <v>79</v>
      </c>
      <c r="B3155" s="0" t="s">
        <v>2635</v>
      </c>
      <c r="C3155" s="0" t="s">
        <v>5845</v>
      </c>
      <c r="E3155" s="0" t="s">
        <v>1479</v>
      </c>
    </row>
    <row r="3156" customFormat="false" ht="15" hidden="false" customHeight="false" outlineLevel="0" collapsed="false">
      <c r="A3156" s="0" t="s">
        <v>79</v>
      </c>
      <c r="B3156" s="0" t="s">
        <v>2637</v>
      </c>
      <c r="C3156" s="0" t="s">
        <v>5846</v>
      </c>
      <c r="E3156" s="0" t="s">
        <v>1479</v>
      </c>
    </row>
    <row r="3157" customFormat="false" ht="15" hidden="false" customHeight="false" outlineLevel="0" collapsed="false">
      <c r="A3157" s="0" t="s">
        <v>79</v>
      </c>
      <c r="B3157" s="0" t="s">
        <v>4478</v>
      </c>
      <c r="C3157" s="0" t="s">
        <v>5847</v>
      </c>
      <c r="E3157" s="0" t="s">
        <v>1479</v>
      </c>
    </row>
    <row r="3158" customFormat="false" ht="15" hidden="false" customHeight="false" outlineLevel="0" collapsed="false">
      <c r="A3158" s="0" t="s">
        <v>79</v>
      </c>
      <c r="B3158" s="0" t="s">
        <v>2639</v>
      </c>
      <c r="C3158" s="0" t="s">
        <v>5848</v>
      </c>
      <c r="E3158" s="0" t="s">
        <v>1479</v>
      </c>
    </row>
    <row r="3159" customFormat="false" ht="15" hidden="false" customHeight="false" outlineLevel="0" collapsed="false">
      <c r="A3159" s="0" t="s">
        <v>79</v>
      </c>
      <c r="B3159" s="0" t="s">
        <v>2643</v>
      </c>
      <c r="C3159" s="0" t="s">
        <v>5841</v>
      </c>
      <c r="E3159" s="0" t="s">
        <v>1479</v>
      </c>
    </row>
    <row r="3160" customFormat="false" ht="15" hidden="false" customHeight="false" outlineLevel="0" collapsed="false">
      <c r="A3160" s="0" t="s">
        <v>79</v>
      </c>
      <c r="B3160" s="0" t="s">
        <v>1562</v>
      </c>
      <c r="C3160" s="0" t="s">
        <v>5842</v>
      </c>
      <c r="E3160" s="0" t="s">
        <v>1479</v>
      </c>
    </row>
    <row r="3161" customFormat="false" ht="15" hidden="false" customHeight="false" outlineLevel="0" collapsed="false">
      <c r="A3161" s="0" t="s">
        <v>79</v>
      </c>
      <c r="B3161" s="0" t="s">
        <v>2646</v>
      </c>
      <c r="C3161" s="0" t="s">
        <v>5843</v>
      </c>
      <c r="E3161" s="0" t="s">
        <v>1479</v>
      </c>
    </row>
    <row r="3162" customFormat="false" ht="15" hidden="false" customHeight="false" outlineLevel="0" collapsed="false">
      <c r="A3162" s="0" t="s">
        <v>79</v>
      </c>
      <c r="B3162" s="0" t="s">
        <v>1564</v>
      </c>
      <c r="C3162" s="0" t="s">
        <v>5844</v>
      </c>
      <c r="E3162" s="0" t="s">
        <v>1479</v>
      </c>
    </row>
    <row r="3163" customFormat="false" ht="15" hidden="false" customHeight="false" outlineLevel="0" collapsed="false">
      <c r="A3163" s="0" t="s">
        <v>79</v>
      </c>
      <c r="B3163" s="0" t="s">
        <v>2649</v>
      </c>
      <c r="C3163" s="0" t="s">
        <v>5845</v>
      </c>
      <c r="E3163" s="0" t="s">
        <v>1479</v>
      </c>
    </row>
    <row r="3164" customFormat="false" ht="15" hidden="false" customHeight="false" outlineLevel="0" collapsed="false">
      <c r="A3164" s="0" t="s">
        <v>79</v>
      </c>
      <c r="B3164" s="0" t="s">
        <v>2651</v>
      </c>
      <c r="C3164" s="0" t="s">
        <v>5846</v>
      </c>
      <c r="E3164" s="0" t="s">
        <v>1479</v>
      </c>
    </row>
    <row r="3165" customFormat="false" ht="15" hidden="false" customHeight="false" outlineLevel="0" collapsed="false">
      <c r="A3165" s="0" t="s">
        <v>79</v>
      </c>
      <c r="B3165" s="0" t="s">
        <v>4485</v>
      </c>
      <c r="C3165" s="0" t="s">
        <v>5847</v>
      </c>
      <c r="E3165" s="0" t="s">
        <v>1479</v>
      </c>
    </row>
    <row r="3166" customFormat="false" ht="15" hidden="false" customHeight="false" outlineLevel="0" collapsed="false">
      <c r="A3166" s="0" t="s">
        <v>79</v>
      </c>
      <c r="B3166" s="0" t="s">
        <v>2653</v>
      </c>
      <c r="C3166" s="0" t="s">
        <v>5848</v>
      </c>
      <c r="E3166" s="0" t="s">
        <v>1479</v>
      </c>
    </row>
    <row r="3167" customFormat="false" ht="15" hidden="false" customHeight="false" outlineLevel="0" collapsed="false">
      <c r="A3167" s="0" t="s">
        <v>79</v>
      </c>
      <c r="B3167" s="0" t="s">
        <v>2657</v>
      </c>
      <c r="C3167" s="0" t="s">
        <v>5841</v>
      </c>
      <c r="E3167" s="0" t="s">
        <v>1479</v>
      </c>
    </row>
    <row r="3168" customFormat="false" ht="15" hidden="false" customHeight="false" outlineLevel="0" collapsed="false">
      <c r="A3168" s="0" t="s">
        <v>79</v>
      </c>
      <c r="B3168" s="0" t="s">
        <v>1566</v>
      </c>
      <c r="C3168" s="0" t="s">
        <v>5842</v>
      </c>
      <c r="E3168" s="0" t="s">
        <v>1479</v>
      </c>
    </row>
    <row r="3169" customFormat="false" ht="15" hidden="false" customHeight="false" outlineLevel="0" collapsed="false">
      <c r="A3169" s="0" t="s">
        <v>79</v>
      </c>
      <c r="B3169" s="0" t="s">
        <v>2660</v>
      </c>
      <c r="C3169" s="0" t="s">
        <v>5843</v>
      </c>
      <c r="E3169" s="0" t="s">
        <v>1479</v>
      </c>
    </row>
    <row r="3170" customFormat="false" ht="15" hidden="false" customHeight="false" outlineLevel="0" collapsed="false">
      <c r="A3170" s="0" t="s">
        <v>79</v>
      </c>
      <c r="B3170" s="0" t="s">
        <v>1568</v>
      </c>
      <c r="C3170" s="0" t="s">
        <v>5844</v>
      </c>
      <c r="E3170" s="0" t="s">
        <v>1479</v>
      </c>
    </row>
    <row r="3171" customFormat="false" ht="15" hidden="false" customHeight="false" outlineLevel="0" collapsed="false">
      <c r="A3171" s="0" t="s">
        <v>79</v>
      </c>
      <c r="B3171" s="0" t="s">
        <v>2663</v>
      </c>
      <c r="C3171" s="0" t="s">
        <v>5845</v>
      </c>
      <c r="E3171" s="0" t="s">
        <v>1479</v>
      </c>
    </row>
    <row r="3172" customFormat="false" ht="15" hidden="false" customHeight="false" outlineLevel="0" collapsed="false">
      <c r="A3172" s="0" t="s">
        <v>79</v>
      </c>
      <c r="B3172" s="0" t="s">
        <v>2665</v>
      </c>
      <c r="C3172" s="0" t="s">
        <v>5846</v>
      </c>
      <c r="E3172" s="0" t="s">
        <v>1479</v>
      </c>
    </row>
    <row r="3173" customFormat="false" ht="15" hidden="false" customHeight="false" outlineLevel="0" collapsed="false">
      <c r="A3173" s="0" t="s">
        <v>79</v>
      </c>
      <c r="B3173" s="0" t="s">
        <v>4492</v>
      </c>
      <c r="C3173" s="0" t="s">
        <v>5847</v>
      </c>
      <c r="E3173" s="0" t="s">
        <v>1479</v>
      </c>
    </row>
    <row r="3174" customFormat="false" ht="15" hidden="false" customHeight="false" outlineLevel="0" collapsed="false">
      <c r="A3174" s="0" t="s">
        <v>79</v>
      </c>
      <c r="B3174" s="0" t="s">
        <v>2667</v>
      </c>
      <c r="C3174" s="0" t="s">
        <v>5848</v>
      </c>
      <c r="E3174" s="0" t="s">
        <v>1479</v>
      </c>
    </row>
    <row r="3175" customFormat="false" ht="15" hidden="false" customHeight="false" outlineLevel="0" collapsed="false">
      <c r="A3175" s="0" t="s">
        <v>79</v>
      </c>
      <c r="B3175" s="0" t="s">
        <v>2671</v>
      </c>
      <c r="C3175" s="0" t="s">
        <v>5841</v>
      </c>
      <c r="E3175" s="0" t="s">
        <v>1479</v>
      </c>
    </row>
    <row r="3176" customFormat="false" ht="15" hidden="false" customHeight="false" outlineLevel="0" collapsed="false">
      <c r="A3176" s="0" t="s">
        <v>79</v>
      </c>
      <c r="B3176" s="0" t="s">
        <v>1570</v>
      </c>
      <c r="C3176" s="0" t="s">
        <v>5842</v>
      </c>
      <c r="E3176" s="0" t="s">
        <v>1479</v>
      </c>
    </row>
    <row r="3177" customFormat="false" ht="15" hidden="false" customHeight="false" outlineLevel="0" collapsed="false">
      <c r="A3177" s="0" t="s">
        <v>79</v>
      </c>
      <c r="B3177" s="0" t="s">
        <v>2674</v>
      </c>
      <c r="C3177" s="0" t="s">
        <v>5843</v>
      </c>
      <c r="E3177" s="0" t="s">
        <v>1479</v>
      </c>
    </row>
    <row r="3178" customFormat="false" ht="15" hidden="false" customHeight="false" outlineLevel="0" collapsed="false">
      <c r="A3178" s="0" t="s">
        <v>79</v>
      </c>
      <c r="B3178" s="0" t="s">
        <v>1572</v>
      </c>
      <c r="C3178" s="0" t="s">
        <v>5844</v>
      </c>
      <c r="E3178" s="0" t="s">
        <v>1479</v>
      </c>
    </row>
    <row r="3179" customFormat="false" ht="15" hidden="false" customHeight="false" outlineLevel="0" collapsed="false">
      <c r="A3179" s="0" t="s">
        <v>79</v>
      </c>
      <c r="B3179" s="0" t="s">
        <v>2677</v>
      </c>
      <c r="C3179" s="0" t="s">
        <v>5845</v>
      </c>
      <c r="E3179" s="0" t="s">
        <v>1479</v>
      </c>
    </row>
    <row r="3180" customFormat="false" ht="15" hidden="false" customHeight="false" outlineLevel="0" collapsed="false">
      <c r="A3180" s="0" t="s">
        <v>79</v>
      </c>
      <c r="B3180" s="0" t="s">
        <v>2679</v>
      </c>
      <c r="C3180" s="0" t="s">
        <v>5846</v>
      </c>
      <c r="E3180" s="0" t="s">
        <v>1479</v>
      </c>
    </row>
    <row r="3181" customFormat="false" ht="15" hidden="false" customHeight="false" outlineLevel="0" collapsed="false">
      <c r="A3181" s="0" t="s">
        <v>79</v>
      </c>
      <c r="B3181" s="0" t="s">
        <v>4106</v>
      </c>
      <c r="C3181" s="0" t="s">
        <v>5847</v>
      </c>
      <c r="E3181" s="0" t="s">
        <v>1479</v>
      </c>
    </row>
    <row r="3182" customFormat="false" ht="15" hidden="false" customHeight="false" outlineLevel="0" collapsed="false">
      <c r="A3182" s="0" t="s">
        <v>79</v>
      </c>
      <c r="B3182" s="0" t="s">
        <v>2681</v>
      </c>
      <c r="C3182" s="0" t="s">
        <v>5848</v>
      </c>
      <c r="E3182" s="0" t="s">
        <v>1479</v>
      </c>
    </row>
    <row r="3183" customFormat="false" ht="15" hidden="false" customHeight="false" outlineLevel="0" collapsed="false">
      <c r="A3183" s="0" t="s">
        <v>79</v>
      </c>
      <c r="B3183" s="0" t="s">
        <v>2685</v>
      </c>
      <c r="C3183" s="0" t="s">
        <v>5841</v>
      </c>
      <c r="E3183" s="0" t="s">
        <v>1479</v>
      </c>
    </row>
    <row r="3184" customFormat="false" ht="15" hidden="false" customHeight="false" outlineLevel="0" collapsed="false">
      <c r="A3184" s="0" t="s">
        <v>79</v>
      </c>
      <c r="B3184" s="0" t="s">
        <v>1574</v>
      </c>
      <c r="C3184" s="0" t="s">
        <v>5842</v>
      </c>
      <c r="E3184" s="0" t="s">
        <v>1479</v>
      </c>
    </row>
    <row r="3185" customFormat="false" ht="15" hidden="false" customHeight="false" outlineLevel="0" collapsed="false">
      <c r="A3185" s="0" t="s">
        <v>79</v>
      </c>
      <c r="B3185" s="0" t="s">
        <v>2688</v>
      </c>
      <c r="C3185" s="0" t="s">
        <v>5843</v>
      </c>
      <c r="E3185" s="0" t="s">
        <v>1479</v>
      </c>
    </row>
    <row r="3186" customFormat="false" ht="15" hidden="false" customHeight="false" outlineLevel="0" collapsed="false">
      <c r="A3186" s="0" t="s">
        <v>79</v>
      </c>
      <c r="B3186" s="0" t="s">
        <v>1576</v>
      </c>
      <c r="C3186" s="0" t="s">
        <v>5844</v>
      </c>
      <c r="E3186" s="0" t="s">
        <v>1479</v>
      </c>
    </row>
    <row r="3187" customFormat="false" ht="15" hidden="false" customHeight="false" outlineLevel="0" collapsed="false">
      <c r="A3187" s="0" t="s">
        <v>79</v>
      </c>
      <c r="B3187" s="0" t="s">
        <v>2691</v>
      </c>
      <c r="C3187" s="0" t="s">
        <v>5845</v>
      </c>
      <c r="E3187" s="0" t="s">
        <v>1479</v>
      </c>
    </row>
    <row r="3188" customFormat="false" ht="15" hidden="false" customHeight="false" outlineLevel="0" collapsed="false">
      <c r="A3188" s="0" t="s">
        <v>79</v>
      </c>
      <c r="B3188" s="0" t="s">
        <v>2693</v>
      </c>
      <c r="C3188" s="0" t="s">
        <v>5846</v>
      </c>
      <c r="E3188" s="0" t="s">
        <v>1479</v>
      </c>
    </row>
    <row r="3189" customFormat="false" ht="15" hidden="false" customHeight="false" outlineLevel="0" collapsed="false">
      <c r="A3189" s="0" t="s">
        <v>79</v>
      </c>
      <c r="B3189" s="0" t="s">
        <v>4117</v>
      </c>
      <c r="C3189" s="0" t="s">
        <v>5847</v>
      </c>
      <c r="E3189" s="0" t="s">
        <v>1479</v>
      </c>
    </row>
    <row r="3190" customFormat="false" ht="15" hidden="false" customHeight="false" outlineLevel="0" collapsed="false">
      <c r="A3190" s="0" t="s">
        <v>79</v>
      </c>
      <c r="B3190" s="0" t="s">
        <v>2695</v>
      </c>
      <c r="C3190" s="0" t="s">
        <v>5848</v>
      </c>
      <c r="E3190" s="0" t="s">
        <v>1479</v>
      </c>
    </row>
    <row r="3191" customFormat="false" ht="15" hidden="false" customHeight="false" outlineLevel="0" collapsed="false">
      <c r="A3191" s="0" t="s">
        <v>79</v>
      </c>
      <c r="B3191" s="0" t="s">
        <v>1933</v>
      </c>
      <c r="C3191" s="0" t="s">
        <v>5841</v>
      </c>
      <c r="E3191" s="0" t="s">
        <v>1479</v>
      </c>
    </row>
    <row r="3192" customFormat="false" ht="15" hidden="false" customHeight="false" outlineLevel="0" collapsed="false">
      <c r="A3192" s="0" t="s">
        <v>79</v>
      </c>
      <c r="B3192" s="0" t="s">
        <v>1935</v>
      </c>
      <c r="C3192" s="0" t="s">
        <v>5842</v>
      </c>
      <c r="E3192" s="0" t="s">
        <v>1479</v>
      </c>
    </row>
    <row r="3193" customFormat="false" ht="15" hidden="false" customHeight="false" outlineLevel="0" collapsed="false">
      <c r="A3193" s="0" t="s">
        <v>79</v>
      </c>
      <c r="B3193" s="0" t="s">
        <v>1938</v>
      </c>
      <c r="C3193" s="0" t="s">
        <v>5843</v>
      </c>
      <c r="E3193" s="0" t="s">
        <v>1479</v>
      </c>
    </row>
    <row r="3194" customFormat="false" ht="15" hidden="false" customHeight="false" outlineLevel="0" collapsed="false">
      <c r="A3194" s="0" t="s">
        <v>79</v>
      </c>
      <c r="B3194" s="0" t="s">
        <v>1941</v>
      </c>
      <c r="C3194" s="0" t="s">
        <v>5844</v>
      </c>
      <c r="E3194" s="0" t="s">
        <v>1479</v>
      </c>
    </row>
    <row r="3195" customFormat="false" ht="15" hidden="false" customHeight="false" outlineLevel="0" collapsed="false">
      <c r="A3195" s="0" t="s">
        <v>79</v>
      </c>
      <c r="B3195" s="0" t="s">
        <v>2703</v>
      </c>
      <c r="C3195" s="0" t="s">
        <v>5845</v>
      </c>
      <c r="E3195" s="0" t="s">
        <v>1479</v>
      </c>
    </row>
    <row r="3196" customFormat="false" ht="15" hidden="false" customHeight="false" outlineLevel="0" collapsed="false">
      <c r="A3196" s="0" t="s">
        <v>79</v>
      </c>
      <c r="B3196" s="0" t="s">
        <v>2705</v>
      </c>
      <c r="C3196" s="0" t="s">
        <v>5846</v>
      </c>
      <c r="E3196" s="0" t="s">
        <v>1479</v>
      </c>
    </row>
    <row r="3197" customFormat="false" ht="15" hidden="false" customHeight="false" outlineLevel="0" collapsed="false">
      <c r="A3197" s="0" t="s">
        <v>79</v>
      </c>
      <c r="B3197" s="0" t="s">
        <v>4128</v>
      </c>
      <c r="C3197" s="0" t="s">
        <v>5847</v>
      </c>
      <c r="E3197" s="0" t="s">
        <v>1479</v>
      </c>
    </row>
    <row r="3198" customFormat="false" ht="15" hidden="false" customHeight="false" outlineLevel="0" collapsed="false">
      <c r="A3198" s="0" t="s">
        <v>79</v>
      </c>
      <c r="B3198" s="0" t="s">
        <v>2707</v>
      </c>
      <c r="C3198" s="0" t="s">
        <v>5848</v>
      </c>
      <c r="E3198" s="0" t="s">
        <v>1479</v>
      </c>
    </row>
    <row r="3199" customFormat="false" ht="15" hidden="false" customHeight="false" outlineLevel="0" collapsed="false">
      <c r="A3199" s="0" t="s">
        <v>79</v>
      </c>
      <c r="B3199" s="0" t="s">
        <v>1944</v>
      </c>
      <c r="C3199" s="0" t="s">
        <v>5841</v>
      </c>
      <c r="E3199" s="0" t="s">
        <v>1479</v>
      </c>
    </row>
    <row r="3200" customFormat="false" ht="15" hidden="false" customHeight="false" outlineLevel="0" collapsed="false">
      <c r="A3200" s="0" t="s">
        <v>79</v>
      </c>
      <c r="B3200" s="0" t="s">
        <v>1947</v>
      </c>
      <c r="C3200" s="0" t="s">
        <v>5842</v>
      </c>
      <c r="E3200" s="0" t="s">
        <v>1479</v>
      </c>
    </row>
    <row r="3201" customFormat="false" ht="15" hidden="false" customHeight="false" outlineLevel="0" collapsed="false">
      <c r="A3201" s="0" t="s">
        <v>79</v>
      </c>
      <c r="B3201" s="0" t="s">
        <v>1950</v>
      </c>
      <c r="C3201" s="0" t="s">
        <v>5843</v>
      </c>
      <c r="E3201" s="0" t="s">
        <v>1479</v>
      </c>
    </row>
    <row r="3202" customFormat="false" ht="15" hidden="false" customHeight="false" outlineLevel="0" collapsed="false">
      <c r="A3202" s="0" t="s">
        <v>79</v>
      </c>
      <c r="B3202" s="0" t="s">
        <v>1952</v>
      </c>
      <c r="C3202" s="0" t="s">
        <v>5844</v>
      </c>
      <c r="E3202" s="0" t="s">
        <v>1479</v>
      </c>
    </row>
    <row r="3203" customFormat="false" ht="15" hidden="false" customHeight="false" outlineLevel="0" collapsed="false">
      <c r="A3203" s="0" t="s">
        <v>79</v>
      </c>
      <c r="B3203" s="0" t="s">
        <v>2715</v>
      </c>
      <c r="C3203" s="0" t="s">
        <v>5845</v>
      </c>
      <c r="E3203" s="0" t="s">
        <v>1479</v>
      </c>
    </row>
    <row r="3204" customFormat="false" ht="15" hidden="false" customHeight="false" outlineLevel="0" collapsed="false">
      <c r="A3204" s="0" t="s">
        <v>79</v>
      </c>
      <c r="B3204" s="0" t="s">
        <v>2717</v>
      </c>
      <c r="C3204" s="0" t="s">
        <v>5846</v>
      </c>
      <c r="E3204" s="0" t="s">
        <v>1479</v>
      </c>
    </row>
    <row r="3205" customFormat="false" ht="15" hidden="false" customHeight="false" outlineLevel="0" collapsed="false">
      <c r="A3205" s="0" t="s">
        <v>79</v>
      </c>
      <c r="B3205" s="0" t="s">
        <v>4137</v>
      </c>
      <c r="C3205" s="0" t="s">
        <v>5847</v>
      </c>
      <c r="E3205" s="0" t="s">
        <v>1479</v>
      </c>
    </row>
    <row r="3206" customFormat="false" ht="15" hidden="false" customHeight="false" outlineLevel="0" collapsed="false">
      <c r="A3206" s="0" t="s">
        <v>79</v>
      </c>
      <c r="B3206" s="0" t="s">
        <v>2719</v>
      </c>
      <c r="C3206" s="0" t="s">
        <v>5848</v>
      </c>
      <c r="E3206" s="0" t="s">
        <v>1479</v>
      </c>
    </row>
    <row r="3207" customFormat="false" ht="15" hidden="false" customHeight="false" outlineLevel="0" collapsed="false">
      <c r="A3207" s="0" t="s">
        <v>79</v>
      </c>
      <c r="B3207" s="0" t="s">
        <v>1954</v>
      </c>
      <c r="C3207" s="0" t="s">
        <v>5841</v>
      </c>
      <c r="E3207" s="0" t="s">
        <v>1479</v>
      </c>
    </row>
    <row r="3208" customFormat="false" ht="15" hidden="false" customHeight="false" outlineLevel="0" collapsed="false">
      <c r="A3208" s="0" t="s">
        <v>79</v>
      </c>
      <c r="B3208" s="0" t="s">
        <v>1956</v>
      </c>
      <c r="C3208" s="0" t="s">
        <v>5842</v>
      </c>
      <c r="E3208" s="0" t="s">
        <v>1479</v>
      </c>
    </row>
    <row r="3209" customFormat="false" ht="15" hidden="false" customHeight="false" outlineLevel="0" collapsed="false">
      <c r="A3209" s="0" t="s">
        <v>79</v>
      </c>
      <c r="B3209" s="0" t="s">
        <v>1958</v>
      </c>
      <c r="C3209" s="0" t="s">
        <v>5843</v>
      </c>
      <c r="E3209" s="0" t="s">
        <v>1479</v>
      </c>
    </row>
    <row r="3210" customFormat="false" ht="15" hidden="false" customHeight="false" outlineLevel="0" collapsed="false">
      <c r="A3210" s="0" t="s">
        <v>79</v>
      </c>
      <c r="B3210" s="0" t="s">
        <v>1960</v>
      </c>
      <c r="C3210" s="0" t="s">
        <v>5844</v>
      </c>
      <c r="E3210" s="0" t="s">
        <v>1479</v>
      </c>
    </row>
    <row r="3211" customFormat="false" ht="15" hidden="false" customHeight="false" outlineLevel="0" collapsed="false">
      <c r="A3211" s="0" t="s">
        <v>79</v>
      </c>
      <c r="B3211" s="0" t="s">
        <v>2727</v>
      </c>
      <c r="C3211" s="0" t="s">
        <v>5845</v>
      </c>
      <c r="E3211" s="0" t="s">
        <v>1479</v>
      </c>
    </row>
    <row r="3212" customFormat="false" ht="15" hidden="false" customHeight="false" outlineLevel="0" collapsed="false">
      <c r="A3212" s="0" t="s">
        <v>79</v>
      </c>
      <c r="B3212" s="0" t="s">
        <v>2729</v>
      </c>
      <c r="C3212" s="0" t="s">
        <v>5846</v>
      </c>
      <c r="E3212" s="0" t="s">
        <v>1479</v>
      </c>
    </row>
    <row r="3213" customFormat="false" ht="15" hidden="false" customHeight="false" outlineLevel="0" collapsed="false">
      <c r="A3213" s="0" t="s">
        <v>79</v>
      </c>
      <c r="B3213" s="0" t="s">
        <v>4144</v>
      </c>
      <c r="C3213" s="0" t="s">
        <v>5847</v>
      </c>
      <c r="E3213" s="0" t="s">
        <v>1479</v>
      </c>
    </row>
    <row r="3214" customFormat="false" ht="15" hidden="false" customHeight="false" outlineLevel="0" collapsed="false">
      <c r="A3214" s="0" t="s">
        <v>79</v>
      </c>
      <c r="B3214" s="0" t="s">
        <v>2731</v>
      </c>
      <c r="C3214" s="0" t="s">
        <v>5848</v>
      </c>
      <c r="E3214" s="0" t="s">
        <v>1479</v>
      </c>
    </row>
    <row r="3215" customFormat="false" ht="15" hidden="false" customHeight="false" outlineLevel="0" collapsed="false">
      <c r="A3215" s="0" t="s">
        <v>79</v>
      </c>
      <c r="B3215" s="0" t="s">
        <v>1962</v>
      </c>
      <c r="C3215" s="0" t="s">
        <v>5841</v>
      </c>
      <c r="E3215" s="0" t="s">
        <v>1479</v>
      </c>
    </row>
    <row r="3216" customFormat="false" ht="15" hidden="false" customHeight="false" outlineLevel="0" collapsed="false">
      <c r="A3216" s="0" t="s">
        <v>79</v>
      </c>
      <c r="B3216" s="0" t="s">
        <v>1964</v>
      </c>
      <c r="C3216" s="0" t="s">
        <v>5842</v>
      </c>
      <c r="E3216" s="0" t="s">
        <v>1479</v>
      </c>
    </row>
    <row r="3217" customFormat="false" ht="15" hidden="false" customHeight="false" outlineLevel="0" collapsed="false">
      <c r="A3217" s="0" t="s">
        <v>79</v>
      </c>
      <c r="B3217" s="0" t="s">
        <v>1966</v>
      </c>
      <c r="C3217" s="0" t="s">
        <v>5843</v>
      </c>
      <c r="E3217" s="0" t="s">
        <v>1479</v>
      </c>
    </row>
    <row r="3218" customFormat="false" ht="15" hidden="false" customHeight="false" outlineLevel="0" collapsed="false">
      <c r="A3218" s="0" t="s">
        <v>79</v>
      </c>
      <c r="B3218" s="0" t="s">
        <v>1578</v>
      </c>
      <c r="C3218" s="0" t="s">
        <v>5844</v>
      </c>
      <c r="E3218" s="0" t="s">
        <v>1479</v>
      </c>
    </row>
    <row r="3219" customFormat="false" ht="15" hidden="false" customHeight="false" outlineLevel="0" collapsed="false">
      <c r="A3219" s="0" t="s">
        <v>79</v>
      </c>
      <c r="B3219" s="0" t="s">
        <v>1581</v>
      </c>
      <c r="C3219" s="0" t="s">
        <v>5845</v>
      </c>
      <c r="E3219" s="0" t="s">
        <v>1479</v>
      </c>
    </row>
    <row r="3220" customFormat="false" ht="15" hidden="false" customHeight="false" outlineLevel="0" collapsed="false">
      <c r="A3220" s="0" t="s">
        <v>79</v>
      </c>
      <c r="B3220" s="0" t="s">
        <v>1584</v>
      </c>
      <c r="C3220" s="0" t="s">
        <v>5846</v>
      </c>
      <c r="E3220" s="0" t="s">
        <v>1479</v>
      </c>
    </row>
    <row r="3221" customFormat="false" ht="15" hidden="false" customHeight="false" outlineLevel="0" collapsed="false">
      <c r="A3221" s="0" t="s">
        <v>79</v>
      </c>
      <c r="B3221" s="0" t="s">
        <v>1587</v>
      </c>
      <c r="C3221" s="0" t="s">
        <v>5847</v>
      </c>
      <c r="E3221" s="0" t="s">
        <v>1479</v>
      </c>
    </row>
    <row r="3222" customFormat="false" ht="15" hidden="false" customHeight="false" outlineLevel="0" collapsed="false">
      <c r="A3222" s="0" t="s">
        <v>79</v>
      </c>
      <c r="B3222" s="0" t="s">
        <v>1589</v>
      </c>
      <c r="C3222" s="0" t="s">
        <v>5848</v>
      </c>
      <c r="E3222" s="0" t="s">
        <v>1479</v>
      </c>
    </row>
    <row r="3223" customFormat="false" ht="15" hidden="false" customHeight="false" outlineLevel="0" collapsed="false">
      <c r="A3223" s="0" t="s">
        <v>79</v>
      </c>
      <c r="B3223" s="0" t="s">
        <v>3034</v>
      </c>
      <c r="C3223" s="0" t="s">
        <v>5841</v>
      </c>
      <c r="E3223" s="0" t="s">
        <v>1479</v>
      </c>
    </row>
    <row r="3224" customFormat="false" ht="15" hidden="false" customHeight="false" outlineLevel="0" collapsed="false">
      <c r="A3224" s="0" t="s">
        <v>79</v>
      </c>
      <c r="B3224" s="0" t="s">
        <v>3036</v>
      </c>
      <c r="C3224" s="0" t="s">
        <v>5842</v>
      </c>
      <c r="E3224" s="0" t="s">
        <v>1479</v>
      </c>
    </row>
    <row r="3225" customFormat="false" ht="15" hidden="false" customHeight="false" outlineLevel="0" collapsed="false">
      <c r="A3225" s="0" t="s">
        <v>79</v>
      </c>
      <c r="B3225" s="0" t="s">
        <v>2783</v>
      </c>
      <c r="C3225" s="0" t="s">
        <v>5843</v>
      </c>
      <c r="E3225" s="0" t="s">
        <v>1479</v>
      </c>
    </row>
    <row r="3226" customFormat="false" ht="15" hidden="false" customHeight="false" outlineLevel="0" collapsed="false">
      <c r="A3226" s="0" t="s">
        <v>79</v>
      </c>
      <c r="B3226" s="0" t="s">
        <v>1594</v>
      </c>
      <c r="C3226" s="0" t="s">
        <v>5844</v>
      </c>
      <c r="E3226" s="0" t="s">
        <v>1479</v>
      </c>
    </row>
    <row r="3227" customFormat="false" ht="15" hidden="false" customHeight="false" outlineLevel="0" collapsed="false">
      <c r="A3227" s="0" t="s">
        <v>79</v>
      </c>
      <c r="B3227" s="0" t="s">
        <v>1596</v>
      </c>
      <c r="C3227" s="0" t="s">
        <v>5845</v>
      </c>
      <c r="E3227" s="0" t="s">
        <v>1479</v>
      </c>
    </row>
    <row r="3228" customFormat="false" ht="15" hidden="false" customHeight="false" outlineLevel="0" collapsed="false">
      <c r="A3228" s="0" t="s">
        <v>79</v>
      </c>
      <c r="B3228" s="0" t="s">
        <v>1598</v>
      </c>
      <c r="C3228" s="0" t="s">
        <v>5846</v>
      </c>
      <c r="E3228" s="0" t="s">
        <v>1479</v>
      </c>
    </row>
    <row r="3229" customFormat="false" ht="15" hidden="false" customHeight="false" outlineLevel="0" collapsed="false">
      <c r="A3229" s="0" t="s">
        <v>79</v>
      </c>
      <c r="B3229" s="0" t="s">
        <v>1600</v>
      </c>
      <c r="C3229" s="0" t="s">
        <v>5847</v>
      </c>
      <c r="E3229" s="0" t="s">
        <v>1479</v>
      </c>
    </row>
    <row r="3230" customFormat="false" ht="15" hidden="false" customHeight="false" outlineLevel="0" collapsed="false">
      <c r="A3230" s="0" t="s">
        <v>79</v>
      </c>
      <c r="B3230" s="0" t="s">
        <v>1602</v>
      </c>
      <c r="C3230" s="0" t="s">
        <v>5848</v>
      </c>
      <c r="E3230" s="0" t="s">
        <v>1479</v>
      </c>
    </row>
    <row r="3231" customFormat="false" ht="15" hidden="false" customHeight="false" outlineLevel="0" collapsed="false">
      <c r="A3231" s="0" t="s">
        <v>79</v>
      </c>
      <c r="B3231" s="0" t="s">
        <v>3054</v>
      </c>
      <c r="C3231" s="0" t="s">
        <v>5841</v>
      </c>
      <c r="E3231" s="0" t="s">
        <v>1479</v>
      </c>
    </row>
    <row r="3232" customFormat="false" ht="15" hidden="false" customHeight="false" outlineLevel="0" collapsed="false">
      <c r="A3232" s="0" t="s">
        <v>79</v>
      </c>
      <c r="B3232" s="0" t="s">
        <v>3056</v>
      </c>
      <c r="C3232" s="0" t="s">
        <v>5842</v>
      </c>
      <c r="E3232" s="0" t="s">
        <v>1479</v>
      </c>
    </row>
    <row r="3233" customFormat="false" ht="15" hidden="false" customHeight="false" outlineLevel="0" collapsed="false">
      <c r="A3233" s="0" t="s">
        <v>79</v>
      </c>
      <c r="B3233" s="0" t="s">
        <v>3058</v>
      </c>
      <c r="C3233" s="0" t="s">
        <v>5843</v>
      </c>
      <c r="E3233" s="0" t="s">
        <v>1479</v>
      </c>
    </row>
    <row r="3234" customFormat="false" ht="15" hidden="false" customHeight="false" outlineLevel="0" collapsed="false">
      <c r="A3234" s="0" t="s">
        <v>79</v>
      </c>
      <c r="B3234" s="0" t="s">
        <v>1606</v>
      </c>
      <c r="C3234" s="0" t="s">
        <v>5844</v>
      </c>
      <c r="E3234" s="0" t="s">
        <v>1479</v>
      </c>
    </row>
    <row r="3235" customFormat="false" ht="15" hidden="false" customHeight="false" outlineLevel="0" collapsed="false">
      <c r="A3235" s="0" t="s">
        <v>79</v>
      </c>
      <c r="B3235" s="0" t="s">
        <v>1609</v>
      </c>
      <c r="C3235" s="0" t="s">
        <v>5845</v>
      </c>
      <c r="E3235" s="0" t="s">
        <v>1479</v>
      </c>
    </row>
    <row r="3236" customFormat="false" ht="15" hidden="false" customHeight="false" outlineLevel="0" collapsed="false">
      <c r="A3236" s="0" t="s">
        <v>79</v>
      </c>
      <c r="B3236" s="0" t="s">
        <v>1611</v>
      </c>
      <c r="C3236" s="0" t="s">
        <v>5846</v>
      </c>
      <c r="E3236" s="0" t="s">
        <v>1479</v>
      </c>
    </row>
    <row r="3237" customFormat="false" ht="15" hidden="false" customHeight="false" outlineLevel="0" collapsed="false">
      <c r="A3237" s="0" t="s">
        <v>79</v>
      </c>
      <c r="B3237" s="0" t="s">
        <v>1614</v>
      </c>
      <c r="C3237" s="0" t="s">
        <v>5847</v>
      </c>
      <c r="E3237" s="0" t="s">
        <v>1479</v>
      </c>
    </row>
    <row r="3238" customFormat="false" ht="15" hidden="false" customHeight="false" outlineLevel="0" collapsed="false">
      <c r="A3238" s="0" t="s">
        <v>79</v>
      </c>
      <c r="B3238" s="0" t="s">
        <v>1617</v>
      </c>
      <c r="C3238" s="0" t="s">
        <v>5848</v>
      </c>
      <c r="E3238" s="0" t="s">
        <v>1479</v>
      </c>
    </row>
    <row r="3239" customFormat="false" ht="15" hidden="false" customHeight="false" outlineLevel="0" collapsed="false">
      <c r="A3239" s="0" t="s">
        <v>79</v>
      </c>
      <c r="B3239" s="0" t="s">
        <v>3074</v>
      </c>
      <c r="C3239" s="0" t="s">
        <v>5841</v>
      </c>
      <c r="E3239" s="0" t="s">
        <v>1479</v>
      </c>
    </row>
    <row r="3240" customFormat="false" ht="15" hidden="false" customHeight="false" outlineLevel="0" collapsed="false">
      <c r="A3240" s="0" t="s">
        <v>79</v>
      </c>
      <c r="B3240" s="0" t="s">
        <v>2349</v>
      </c>
      <c r="C3240" s="0" t="s">
        <v>5842</v>
      </c>
      <c r="E3240" s="0" t="s">
        <v>1479</v>
      </c>
    </row>
    <row r="3241" customFormat="false" ht="15" hidden="false" customHeight="false" outlineLevel="0" collapsed="false">
      <c r="A3241" s="0" t="s">
        <v>79</v>
      </c>
      <c r="B3241" s="0" t="s">
        <v>2352</v>
      </c>
      <c r="C3241" s="0" t="s">
        <v>5843</v>
      </c>
      <c r="E3241" s="0" t="s">
        <v>1479</v>
      </c>
    </row>
    <row r="3242" customFormat="false" ht="15" hidden="false" customHeight="false" outlineLevel="0" collapsed="false">
      <c r="A3242" s="0" t="s">
        <v>79</v>
      </c>
      <c r="B3242" s="0" t="s">
        <v>1622</v>
      </c>
      <c r="C3242" s="0" t="s">
        <v>5844</v>
      </c>
      <c r="E3242" s="0" t="s">
        <v>1479</v>
      </c>
    </row>
    <row r="3243" customFormat="false" ht="15" hidden="false" customHeight="false" outlineLevel="0" collapsed="false">
      <c r="A3243" s="0" t="s">
        <v>79</v>
      </c>
      <c r="B3243" s="0" t="s">
        <v>1624</v>
      </c>
      <c r="C3243" s="0" t="s">
        <v>5845</v>
      </c>
      <c r="E3243" s="0" t="s">
        <v>1479</v>
      </c>
    </row>
    <row r="3244" customFormat="false" ht="15" hidden="false" customHeight="false" outlineLevel="0" collapsed="false">
      <c r="A3244" s="0" t="s">
        <v>79</v>
      </c>
      <c r="B3244" s="0" t="s">
        <v>1626</v>
      </c>
      <c r="C3244" s="0" t="s">
        <v>5846</v>
      </c>
      <c r="E3244" s="0" t="s">
        <v>1479</v>
      </c>
    </row>
    <row r="3245" customFormat="false" ht="15" hidden="false" customHeight="false" outlineLevel="0" collapsed="false">
      <c r="A3245" s="0" t="s">
        <v>79</v>
      </c>
      <c r="B3245" s="0" t="s">
        <v>1628</v>
      </c>
      <c r="C3245" s="0" t="s">
        <v>5847</v>
      </c>
      <c r="E3245" s="0" t="s">
        <v>1479</v>
      </c>
    </row>
    <row r="3246" customFormat="false" ht="15" hidden="false" customHeight="false" outlineLevel="0" collapsed="false">
      <c r="A3246" s="0" t="s">
        <v>79</v>
      </c>
      <c r="B3246" s="0" t="s">
        <v>1630</v>
      </c>
      <c r="C3246" s="0" t="s">
        <v>5848</v>
      </c>
      <c r="E3246" s="0" t="s">
        <v>1479</v>
      </c>
    </row>
    <row r="3247" customFormat="false" ht="15" hidden="false" customHeight="false" outlineLevel="0" collapsed="false">
      <c r="A3247" s="0" t="s">
        <v>79</v>
      </c>
      <c r="B3247" s="0" t="s">
        <v>1969</v>
      </c>
      <c r="C3247" s="0" t="s">
        <v>5841</v>
      </c>
      <c r="E3247" s="0" t="s">
        <v>1479</v>
      </c>
    </row>
    <row r="3248" customFormat="false" ht="15" hidden="false" customHeight="false" outlineLevel="0" collapsed="false">
      <c r="A3248" s="0" t="s">
        <v>79</v>
      </c>
      <c r="B3248" s="0" t="s">
        <v>1972</v>
      </c>
      <c r="C3248" s="0" t="s">
        <v>5842</v>
      </c>
      <c r="E3248" s="0" t="s">
        <v>1479</v>
      </c>
    </row>
    <row r="3249" customFormat="false" ht="15" hidden="false" customHeight="false" outlineLevel="0" collapsed="false">
      <c r="A3249" s="0" t="s">
        <v>79</v>
      </c>
      <c r="B3249" s="0" t="s">
        <v>1975</v>
      </c>
      <c r="C3249" s="0" t="s">
        <v>5843</v>
      </c>
      <c r="E3249" s="0" t="s">
        <v>1479</v>
      </c>
    </row>
    <row r="3250" customFormat="false" ht="15" hidden="false" customHeight="false" outlineLevel="0" collapsed="false">
      <c r="A3250" s="0" t="s">
        <v>79</v>
      </c>
      <c r="B3250" s="0" t="s">
        <v>1634</v>
      </c>
      <c r="C3250" s="0" t="s">
        <v>5844</v>
      </c>
      <c r="E3250" s="0" t="s">
        <v>1479</v>
      </c>
    </row>
    <row r="3251" customFormat="false" ht="15" hidden="false" customHeight="false" outlineLevel="0" collapsed="false">
      <c r="A3251" s="0" t="s">
        <v>79</v>
      </c>
      <c r="B3251" s="0" t="s">
        <v>1637</v>
      </c>
      <c r="C3251" s="0" t="s">
        <v>5845</v>
      </c>
      <c r="E3251" s="0" t="s">
        <v>1479</v>
      </c>
    </row>
    <row r="3252" customFormat="false" ht="15" hidden="false" customHeight="false" outlineLevel="0" collapsed="false">
      <c r="A3252" s="0" t="s">
        <v>79</v>
      </c>
      <c r="B3252" s="0" t="s">
        <v>1639</v>
      </c>
      <c r="C3252" s="0" t="s">
        <v>5846</v>
      </c>
      <c r="E3252" s="0" t="s">
        <v>1479</v>
      </c>
    </row>
    <row r="3253" customFormat="false" ht="15" hidden="false" customHeight="false" outlineLevel="0" collapsed="false">
      <c r="A3253" s="0" t="s">
        <v>79</v>
      </c>
      <c r="B3253" s="0" t="s">
        <v>1642</v>
      </c>
      <c r="C3253" s="0" t="s">
        <v>5847</v>
      </c>
      <c r="E3253" s="0" t="s">
        <v>1479</v>
      </c>
    </row>
    <row r="3254" customFormat="false" ht="15" hidden="false" customHeight="false" outlineLevel="0" collapsed="false">
      <c r="A3254" s="0" t="s">
        <v>79</v>
      </c>
      <c r="B3254" s="0" t="s">
        <v>1645</v>
      </c>
      <c r="C3254" s="0" t="s">
        <v>5848</v>
      </c>
      <c r="E3254" s="0" t="s">
        <v>1479</v>
      </c>
    </row>
    <row r="3255" customFormat="false" ht="15" hidden="false" customHeight="false" outlineLevel="0" collapsed="false">
      <c r="A3255" s="0" t="s">
        <v>79</v>
      </c>
      <c r="B3255" s="0" t="s">
        <v>1980</v>
      </c>
      <c r="C3255" s="0" t="s">
        <v>5841</v>
      </c>
      <c r="E3255" s="0" t="s">
        <v>1479</v>
      </c>
    </row>
    <row r="3256" customFormat="false" ht="15" hidden="false" customHeight="false" outlineLevel="0" collapsed="false">
      <c r="A3256" s="0" t="s">
        <v>79</v>
      </c>
      <c r="B3256" s="0" t="s">
        <v>1983</v>
      </c>
      <c r="C3256" s="0" t="s">
        <v>5842</v>
      </c>
      <c r="E3256" s="0" t="s">
        <v>1479</v>
      </c>
    </row>
    <row r="3257" customFormat="false" ht="15" hidden="false" customHeight="false" outlineLevel="0" collapsed="false">
      <c r="A3257" s="0" t="s">
        <v>79</v>
      </c>
      <c r="B3257" s="0" t="s">
        <v>1986</v>
      </c>
      <c r="C3257" s="0" t="s">
        <v>5843</v>
      </c>
      <c r="E3257" s="0" t="s">
        <v>1479</v>
      </c>
    </row>
    <row r="3258" customFormat="false" ht="15" hidden="false" customHeight="false" outlineLevel="0" collapsed="false">
      <c r="A3258" s="0" t="s">
        <v>79</v>
      </c>
      <c r="B3258" s="0" t="s">
        <v>1649</v>
      </c>
      <c r="C3258" s="0" t="s">
        <v>5844</v>
      </c>
      <c r="E3258" s="0" t="s">
        <v>1479</v>
      </c>
    </row>
    <row r="3259" customFormat="false" ht="15" hidden="false" customHeight="false" outlineLevel="0" collapsed="false">
      <c r="A3259" s="0" t="s">
        <v>79</v>
      </c>
      <c r="B3259" s="0" t="s">
        <v>1651</v>
      </c>
      <c r="C3259" s="0" t="s">
        <v>5845</v>
      </c>
      <c r="E3259" s="0" t="s">
        <v>1479</v>
      </c>
    </row>
    <row r="3260" customFormat="false" ht="15" hidden="false" customHeight="false" outlineLevel="0" collapsed="false">
      <c r="A3260" s="0" t="s">
        <v>79</v>
      </c>
      <c r="B3260" s="0" t="s">
        <v>1653</v>
      </c>
      <c r="C3260" s="0" t="s">
        <v>5846</v>
      </c>
      <c r="E3260" s="0" t="s">
        <v>1479</v>
      </c>
    </row>
    <row r="3261" customFormat="false" ht="15" hidden="false" customHeight="false" outlineLevel="0" collapsed="false">
      <c r="A3261" s="0" t="s">
        <v>79</v>
      </c>
      <c r="B3261" s="0" t="s">
        <v>1655</v>
      </c>
      <c r="C3261" s="0" t="s">
        <v>5847</v>
      </c>
      <c r="E3261" s="0" t="s">
        <v>1479</v>
      </c>
    </row>
    <row r="3262" customFormat="false" ht="15" hidden="false" customHeight="false" outlineLevel="0" collapsed="false">
      <c r="A3262" s="0" t="s">
        <v>79</v>
      </c>
      <c r="B3262" s="0" t="s">
        <v>1657</v>
      </c>
      <c r="C3262" s="0" t="s">
        <v>5848</v>
      </c>
      <c r="E3262" s="0" t="s">
        <v>1479</v>
      </c>
    </row>
    <row r="3263" customFormat="false" ht="15" hidden="false" customHeight="false" outlineLevel="0" collapsed="false">
      <c r="A3263" s="0" t="s">
        <v>79</v>
      </c>
      <c r="B3263" s="0" t="s">
        <v>1991</v>
      </c>
      <c r="C3263" s="0" t="s">
        <v>5841</v>
      </c>
      <c r="E3263" s="0" t="s">
        <v>1479</v>
      </c>
    </row>
    <row r="3264" customFormat="false" ht="15" hidden="false" customHeight="false" outlineLevel="0" collapsed="false">
      <c r="A3264" s="0" t="s">
        <v>79</v>
      </c>
      <c r="B3264" s="0" t="s">
        <v>1994</v>
      </c>
      <c r="C3264" s="0" t="s">
        <v>5842</v>
      </c>
      <c r="E3264" s="0" t="s">
        <v>1479</v>
      </c>
    </row>
    <row r="3265" customFormat="false" ht="15" hidden="false" customHeight="false" outlineLevel="0" collapsed="false">
      <c r="A3265" s="0" t="s">
        <v>79</v>
      </c>
      <c r="B3265" s="0" t="s">
        <v>1997</v>
      </c>
      <c r="C3265" s="0" t="s">
        <v>5843</v>
      </c>
      <c r="E3265" s="0" t="s">
        <v>1479</v>
      </c>
    </row>
    <row r="3266" customFormat="false" ht="15" hidden="false" customHeight="false" outlineLevel="0" collapsed="false">
      <c r="A3266" s="0" t="s">
        <v>79</v>
      </c>
      <c r="B3266" s="0" t="s">
        <v>1661</v>
      </c>
      <c r="C3266" s="0" t="s">
        <v>5844</v>
      </c>
      <c r="E3266" s="0" t="s">
        <v>1479</v>
      </c>
    </row>
    <row r="3267" customFormat="false" ht="15" hidden="false" customHeight="false" outlineLevel="0" collapsed="false">
      <c r="A3267" s="0" t="s">
        <v>79</v>
      </c>
      <c r="B3267" s="0" t="s">
        <v>1663</v>
      </c>
      <c r="C3267" s="0" t="s">
        <v>5845</v>
      </c>
      <c r="E3267" s="0" t="s">
        <v>1479</v>
      </c>
    </row>
    <row r="3268" customFormat="false" ht="15" hidden="false" customHeight="false" outlineLevel="0" collapsed="false">
      <c r="A3268" s="0" t="s">
        <v>79</v>
      </c>
      <c r="B3268" s="0" t="s">
        <v>1665</v>
      </c>
      <c r="C3268" s="0" t="s">
        <v>5846</v>
      </c>
      <c r="E3268" s="0" t="s">
        <v>1479</v>
      </c>
    </row>
    <row r="3269" customFormat="false" ht="15" hidden="false" customHeight="false" outlineLevel="0" collapsed="false">
      <c r="A3269" s="0" t="s">
        <v>79</v>
      </c>
      <c r="B3269" s="0" t="s">
        <v>1667</v>
      </c>
      <c r="C3269" s="0" t="s">
        <v>5847</v>
      </c>
      <c r="E3269" s="0" t="s">
        <v>1479</v>
      </c>
    </row>
    <row r="3270" customFormat="false" ht="15" hidden="false" customHeight="false" outlineLevel="0" collapsed="false">
      <c r="A3270" s="0" t="s">
        <v>79</v>
      </c>
      <c r="B3270" s="0" t="s">
        <v>1669</v>
      </c>
      <c r="C3270" s="0" t="s">
        <v>5848</v>
      </c>
      <c r="E3270" s="0" t="s">
        <v>1479</v>
      </c>
    </row>
    <row r="3271" customFormat="false" ht="15" hidden="false" customHeight="false" outlineLevel="0" collapsed="false">
      <c r="A3271" s="0" t="s">
        <v>79</v>
      </c>
      <c r="B3271" s="0" t="s">
        <v>2002</v>
      </c>
      <c r="C3271" s="0" t="s">
        <v>5841</v>
      </c>
      <c r="E3271" s="0" t="s">
        <v>1479</v>
      </c>
    </row>
    <row r="3272" customFormat="false" ht="15" hidden="false" customHeight="false" outlineLevel="0" collapsed="false">
      <c r="A3272" s="0" t="s">
        <v>79</v>
      </c>
      <c r="B3272" s="0" t="s">
        <v>2005</v>
      </c>
      <c r="C3272" s="0" t="s">
        <v>5842</v>
      </c>
      <c r="E3272" s="0" t="s">
        <v>1479</v>
      </c>
    </row>
    <row r="3273" customFormat="false" ht="15" hidden="false" customHeight="false" outlineLevel="0" collapsed="false">
      <c r="A3273" s="0" t="s">
        <v>79</v>
      </c>
      <c r="B3273" s="0" t="s">
        <v>2008</v>
      </c>
      <c r="C3273" s="0" t="s">
        <v>5843</v>
      </c>
      <c r="E3273" s="0" t="s">
        <v>1479</v>
      </c>
    </row>
    <row r="3274" customFormat="false" ht="15" hidden="false" customHeight="false" outlineLevel="0" collapsed="false">
      <c r="A3274" s="0" t="s">
        <v>79</v>
      </c>
      <c r="B3274" s="0" t="s">
        <v>1673</v>
      </c>
      <c r="C3274" s="0" t="s">
        <v>5844</v>
      </c>
      <c r="E3274" s="0" t="s">
        <v>1479</v>
      </c>
    </row>
    <row r="3275" customFormat="false" ht="15" hidden="false" customHeight="false" outlineLevel="0" collapsed="false">
      <c r="A3275" s="0" t="s">
        <v>79</v>
      </c>
      <c r="B3275" s="0" t="s">
        <v>1675</v>
      </c>
      <c r="C3275" s="0" t="s">
        <v>5845</v>
      </c>
      <c r="E3275" s="0" t="s">
        <v>1479</v>
      </c>
    </row>
    <row r="3276" customFormat="false" ht="15" hidden="false" customHeight="false" outlineLevel="0" collapsed="false">
      <c r="A3276" s="0" t="s">
        <v>79</v>
      </c>
      <c r="B3276" s="0" t="s">
        <v>1677</v>
      </c>
      <c r="C3276" s="0" t="s">
        <v>5846</v>
      </c>
      <c r="E3276" s="0" t="s">
        <v>1479</v>
      </c>
    </row>
    <row r="3277" customFormat="false" ht="15" hidden="false" customHeight="false" outlineLevel="0" collapsed="false">
      <c r="A3277" s="0" t="s">
        <v>79</v>
      </c>
      <c r="B3277" s="0" t="s">
        <v>1679</v>
      </c>
      <c r="C3277" s="0" t="s">
        <v>5847</v>
      </c>
      <c r="E3277" s="0" t="s">
        <v>1479</v>
      </c>
    </row>
    <row r="3278" customFormat="false" ht="15" hidden="false" customHeight="false" outlineLevel="0" collapsed="false">
      <c r="A3278" s="0" t="s">
        <v>79</v>
      </c>
      <c r="B3278" s="0" t="s">
        <v>1681</v>
      </c>
      <c r="C3278" s="0" t="s">
        <v>5848</v>
      </c>
      <c r="E3278" s="0" t="s">
        <v>1479</v>
      </c>
    </row>
    <row r="3279" customFormat="false" ht="15" hidden="false" customHeight="false" outlineLevel="0" collapsed="false">
      <c r="A3279" s="0" t="s">
        <v>79</v>
      </c>
      <c r="B3279" s="0" t="s">
        <v>2012</v>
      </c>
      <c r="C3279" s="0" t="s">
        <v>5841</v>
      </c>
      <c r="E3279" s="0" t="s">
        <v>1479</v>
      </c>
    </row>
    <row r="3280" customFormat="false" ht="15" hidden="false" customHeight="false" outlineLevel="0" collapsed="false">
      <c r="A3280" s="0" t="s">
        <v>79</v>
      </c>
      <c r="B3280" s="0" t="s">
        <v>2014</v>
      </c>
      <c r="C3280" s="0" t="s">
        <v>5842</v>
      </c>
      <c r="E3280" s="0" t="s">
        <v>1479</v>
      </c>
    </row>
    <row r="3281" customFormat="false" ht="15" hidden="false" customHeight="false" outlineLevel="0" collapsed="false">
      <c r="A3281" s="0" t="s">
        <v>79</v>
      </c>
      <c r="B3281" s="0" t="s">
        <v>2016</v>
      </c>
      <c r="C3281" s="0" t="s">
        <v>5843</v>
      </c>
      <c r="E3281" s="0" t="s">
        <v>1479</v>
      </c>
    </row>
    <row r="3282" customFormat="false" ht="15" hidden="false" customHeight="false" outlineLevel="0" collapsed="false">
      <c r="A3282" s="0" t="s">
        <v>79</v>
      </c>
      <c r="B3282" s="0" t="s">
        <v>1685</v>
      </c>
      <c r="C3282" s="0" t="s">
        <v>5844</v>
      </c>
      <c r="E3282" s="0" t="s">
        <v>1479</v>
      </c>
    </row>
    <row r="3283" customFormat="false" ht="15" hidden="false" customHeight="false" outlineLevel="0" collapsed="false">
      <c r="A3283" s="0" t="s">
        <v>79</v>
      </c>
      <c r="B3283" s="0" t="s">
        <v>1687</v>
      </c>
      <c r="C3283" s="0" t="s">
        <v>5845</v>
      </c>
      <c r="E3283" s="0" t="s">
        <v>1479</v>
      </c>
    </row>
    <row r="3284" customFormat="false" ht="15" hidden="false" customHeight="false" outlineLevel="0" collapsed="false">
      <c r="A3284" s="0" t="s">
        <v>79</v>
      </c>
      <c r="B3284" s="0" t="s">
        <v>1689</v>
      </c>
      <c r="C3284" s="0" t="s">
        <v>5846</v>
      </c>
      <c r="E3284" s="0" t="s">
        <v>1479</v>
      </c>
    </row>
    <row r="3285" customFormat="false" ht="15" hidden="false" customHeight="false" outlineLevel="0" collapsed="false">
      <c r="A3285" s="0" t="s">
        <v>79</v>
      </c>
      <c r="B3285" s="0" t="s">
        <v>1691</v>
      </c>
      <c r="C3285" s="0" t="s">
        <v>5847</v>
      </c>
      <c r="E3285" s="0" t="s">
        <v>1479</v>
      </c>
    </row>
    <row r="3286" customFormat="false" ht="15" hidden="false" customHeight="false" outlineLevel="0" collapsed="false">
      <c r="A3286" s="0" t="s">
        <v>79</v>
      </c>
      <c r="B3286" s="0" t="s">
        <v>1693</v>
      </c>
      <c r="C3286" s="0" t="s">
        <v>5848</v>
      </c>
      <c r="E3286" s="0" t="s">
        <v>1479</v>
      </c>
    </row>
    <row r="3287" customFormat="false" ht="15" hidden="false" customHeight="false" outlineLevel="0" collapsed="false">
      <c r="A3287" s="0" t="s">
        <v>79</v>
      </c>
      <c r="B3287" s="0" t="s">
        <v>5849</v>
      </c>
      <c r="C3287" s="0" t="s">
        <v>5841</v>
      </c>
      <c r="E3287" s="0" t="s">
        <v>1479</v>
      </c>
    </row>
    <row r="3288" customFormat="false" ht="15" hidden="false" customHeight="false" outlineLevel="0" collapsed="false">
      <c r="A3288" s="0" t="s">
        <v>79</v>
      </c>
      <c r="B3288" s="0" t="s">
        <v>2378</v>
      </c>
      <c r="C3288" s="0" t="s">
        <v>5842</v>
      </c>
      <c r="E3288" s="0" t="s">
        <v>1479</v>
      </c>
    </row>
    <row r="3289" customFormat="false" ht="15" hidden="false" customHeight="false" outlineLevel="0" collapsed="false">
      <c r="A3289" s="0" t="s">
        <v>79</v>
      </c>
      <c r="B3289" s="0" t="s">
        <v>2379</v>
      </c>
      <c r="C3289" s="0" t="s">
        <v>5843</v>
      </c>
      <c r="E3289" s="0" t="s">
        <v>1479</v>
      </c>
    </row>
    <row r="3290" customFormat="false" ht="15" hidden="false" customHeight="false" outlineLevel="0" collapsed="false">
      <c r="A3290" s="0" t="s">
        <v>79</v>
      </c>
      <c r="B3290" s="0" t="s">
        <v>5850</v>
      </c>
      <c r="C3290" s="0" t="s">
        <v>5844</v>
      </c>
      <c r="E3290" s="0" t="s">
        <v>1479</v>
      </c>
    </row>
    <row r="3291" customFormat="false" ht="15" hidden="false" customHeight="false" outlineLevel="0" collapsed="false">
      <c r="A3291" s="0" t="s">
        <v>79</v>
      </c>
      <c r="B3291" s="0" t="s">
        <v>5331</v>
      </c>
      <c r="C3291" s="0" t="s">
        <v>5845</v>
      </c>
      <c r="E3291" s="0" t="s">
        <v>1479</v>
      </c>
    </row>
    <row r="3292" customFormat="false" ht="15" hidden="false" customHeight="false" outlineLevel="0" collapsed="false">
      <c r="A3292" s="0" t="s">
        <v>79</v>
      </c>
      <c r="B3292" s="0" t="s">
        <v>5333</v>
      </c>
      <c r="C3292" s="0" t="s">
        <v>5846</v>
      </c>
      <c r="E3292" s="0" t="s">
        <v>1479</v>
      </c>
    </row>
    <row r="3293" customFormat="false" ht="15" hidden="false" customHeight="false" outlineLevel="0" collapsed="false">
      <c r="A3293" s="0" t="s">
        <v>79</v>
      </c>
      <c r="B3293" s="0" t="s">
        <v>5335</v>
      </c>
      <c r="C3293" s="0" t="s">
        <v>5847</v>
      </c>
      <c r="E3293" s="0" t="s">
        <v>1479</v>
      </c>
    </row>
    <row r="3294" customFormat="false" ht="15" hidden="false" customHeight="false" outlineLevel="0" collapsed="false">
      <c r="A3294" s="0" t="s">
        <v>79</v>
      </c>
      <c r="B3294" s="0" t="s">
        <v>2380</v>
      </c>
      <c r="C3294" s="0" t="s">
        <v>5848</v>
      </c>
      <c r="E3294" s="0" t="s">
        <v>1479</v>
      </c>
    </row>
    <row r="3295" customFormat="false" ht="15" hidden="false" customHeight="false" outlineLevel="0" collapsed="false">
      <c r="A3295" s="0" t="s">
        <v>79</v>
      </c>
      <c r="B3295" s="0" t="s">
        <v>5851</v>
      </c>
      <c r="C3295" s="0" t="s">
        <v>5841</v>
      </c>
      <c r="E3295" s="0" t="s">
        <v>1479</v>
      </c>
    </row>
    <row r="3296" customFormat="false" ht="15" hidden="false" customHeight="false" outlineLevel="0" collapsed="false">
      <c r="A3296" s="0" t="s">
        <v>79</v>
      </c>
      <c r="B3296" s="0" t="s">
        <v>2381</v>
      </c>
      <c r="C3296" s="0" t="s">
        <v>5842</v>
      </c>
      <c r="E3296" s="0" t="s">
        <v>1479</v>
      </c>
    </row>
    <row r="3297" customFormat="false" ht="15" hidden="false" customHeight="false" outlineLevel="0" collapsed="false">
      <c r="A3297" s="0" t="s">
        <v>79</v>
      </c>
      <c r="B3297" s="0" t="s">
        <v>2382</v>
      </c>
      <c r="C3297" s="0" t="s">
        <v>5843</v>
      </c>
      <c r="E3297" s="0" t="s">
        <v>1479</v>
      </c>
    </row>
    <row r="3298" customFormat="false" ht="15" hidden="false" customHeight="false" outlineLevel="0" collapsed="false">
      <c r="A3298" s="0" t="s">
        <v>79</v>
      </c>
      <c r="B3298" s="0" t="s">
        <v>5852</v>
      </c>
      <c r="C3298" s="0" t="s">
        <v>5844</v>
      </c>
      <c r="E3298" s="0" t="s">
        <v>1479</v>
      </c>
    </row>
    <row r="3299" customFormat="false" ht="15" hidden="false" customHeight="false" outlineLevel="0" collapsed="false">
      <c r="A3299" s="0" t="s">
        <v>79</v>
      </c>
      <c r="B3299" s="0" t="s">
        <v>5350</v>
      </c>
      <c r="C3299" s="0" t="s">
        <v>5845</v>
      </c>
      <c r="E3299" s="0" t="s">
        <v>1479</v>
      </c>
    </row>
    <row r="3300" customFormat="false" ht="15" hidden="false" customHeight="false" outlineLevel="0" collapsed="false">
      <c r="A3300" s="0" t="s">
        <v>79</v>
      </c>
      <c r="B3300" s="0" t="s">
        <v>5352</v>
      </c>
      <c r="C3300" s="0" t="s">
        <v>5846</v>
      </c>
      <c r="E3300" s="0" t="s">
        <v>1479</v>
      </c>
    </row>
    <row r="3301" customFormat="false" ht="15" hidden="false" customHeight="false" outlineLevel="0" collapsed="false">
      <c r="A3301" s="0" t="s">
        <v>79</v>
      </c>
      <c r="B3301" s="0" t="s">
        <v>5354</v>
      </c>
      <c r="C3301" s="0" t="s">
        <v>5847</v>
      </c>
      <c r="E3301" s="0" t="s">
        <v>1479</v>
      </c>
    </row>
    <row r="3302" customFormat="false" ht="15" hidden="false" customHeight="false" outlineLevel="0" collapsed="false">
      <c r="A3302" s="0" t="s">
        <v>79</v>
      </c>
      <c r="B3302" s="0" t="s">
        <v>2383</v>
      </c>
      <c r="C3302" s="0" t="s">
        <v>5848</v>
      </c>
      <c r="E3302" s="0" t="s">
        <v>1479</v>
      </c>
    </row>
    <row r="3303" customFormat="false" ht="15" hidden="false" customHeight="false" outlineLevel="0" collapsed="false">
      <c r="A3303" s="0" t="s">
        <v>79</v>
      </c>
      <c r="B3303" s="0" t="s">
        <v>5853</v>
      </c>
      <c r="C3303" s="0" t="s">
        <v>5841</v>
      </c>
      <c r="E3303" s="0" t="s">
        <v>1479</v>
      </c>
    </row>
    <row r="3304" customFormat="false" ht="15" hidden="false" customHeight="false" outlineLevel="0" collapsed="false">
      <c r="A3304" s="0" t="s">
        <v>79</v>
      </c>
      <c r="B3304" s="0" t="s">
        <v>2384</v>
      </c>
      <c r="C3304" s="0" t="s">
        <v>5842</v>
      </c>
      <c r="E3304" s="0" t="s">
        <v>1479</v>
      </c>
    </row>
    <row r="3305" customFormat="false" ht="15" hidden="false" customHeight="false" outlineLevel="0" collapsed="false">
      <c r="A3305" s="0" t="s">
        <v>79</v>
      </c>
      <c r="B3305" s="0" t="s">
        <v>2385</v>
      </c>
      <c r="C3305" s="0" t="s">
        <v>5843</v>
      </c>
      <c r="E3305" s="0" t="s">
        <v>1479</v>
      </c>
    </row>
    <row r="3306" customFormat="false" ht="15" hidden="false" customHeight="false" outlineLevel="0" collapsed="false">
      <c r="A3306" s="0" t="s">
        <v>79</v>
      </c>
      <c r="B3306" s="0" t="s">
        <v>5854</v>
      </c>
      <c r="C3306" s="0" t="s">
        <v>5844</v>
      </c>
      <c r="E3306" s="0" t="s">
        <v>1479</v>
      </c>
    </row>
    <row r="3307" customFormat="false" ht="15" hidden="false" customHeight="false" outlineLevel="0" collapsed="false">
      <c r="A3307" s="0" t="s">
        <v>79</v>
      </c>
      <c r="B3307" s="0" t="s">
        <v>5369</v>
      </c>
      <c r="C3307" s="0" t="s">
        <v>5845</v>
      </c>
      <c r="E3307" s="0" t="s">
        <v>1479</v>
      </c>
    </row>
    <row r="3308" customFormat="false" ht="15" hidden="false" customHeight="false" outlineLevel="0" collapsed="false">
      <c r="A3308" s="0" t="s">
        <v>79</v>
      </c>
      <c r="B3308" s="0" t="s">
        <v>5371</v>
      </c>
      <c r="C3308" s="0" t="s">
        <v>5846</v>
      </c>
      <c r="E3308" s="0" t="s">
        <v>1479</v>
      </c>
    </row>
    <row r="3309" customFormat="false" ht="15" hidden="false" customHeight="false" outlineLevel="0" collapsed="false">
      <c r="A3309" s="0" t="s">
        <v>79</v>
      </c>
      <c r="B3309" s="0" t="s">
        <v>5373</v>
      </c>
      <c r="C3309" s="0" t="s">
        <v>5847</v>
      </c>
      <c r="E3309" s="0" t="s">
        <v>1479</v>
      </c>
    </row>
    <row r="3310" customFormat="false" ht="15" hidden="false" customHeight="false" outlineLevel="0" collapsed="false">
      <c r="A3310" s="0" t="s">
        <v>79</v>
      </c>
      <c r="B3310" s="0" t="s">
        <v>2386</v>
      </c>
      <c r="C3310" s="0" t="s">
        <v>5848</v>
      </c>
      <c r="E3310" s="0" t="s">
        <v>1479</v>
      </c>
    </row>
    <row r="3311" customFormat="false" ht="15" hidden="false" customHeight="false" outlineLevel="0" collapsed="false">
      <c r="A3311" s="0" t="s">
        <v>79</v>
      </c>
      <c r="B3311" s="0" t="s">
        <v>2019</v>
      </c>
      <c r="C3311" s="0" t="s">
        <v>5841</v>
      </c>
      <c r="E3311" s="0" t="s">
        <v>1479</v>
      </c>
    </row>
    <row r="3312" customFormat="false" ht="15" hidden="false" customHeight="false" outlineLevel="0" collapsed="false">
      <c r="A3312" s="0" t="s">
        <v>79</v>
      </c>
      <c r="B3312" s="0" t="s">
        <v>1697</v>
      </c>
      <c r="C3312" s="0" t="s">
        <v>5842</v>
      </c>
      <c r="E3312" s="0" t="s">
        <v>1479</v>
      </c>
    </row>
    <row r="3313" customFormat="false" ht="15" hidden="false" customHeight="false" outlineLevel="0" collapsed="false">
      <c r="A3313" s="0" t="s">
        <v>79</v>
      </c>
      <c r="B3313" s="0" t="s">
        <v>1700</v>
      </c>
      <c r="C3313" s="0" t="s">
        <v>5843</v>
      </c>
      <c r="E3313" s="0" t="s">
        <v>1479</v>
      </c>
    </row>
    <row r="3314" customFormat="false" ht="15" hidden="false" customHeight="false" outlineLevel="0" collapsed="false">
      <c r="A3314" s="0" t="s">
        <v>79</v>
      </c>
      <c r="B3314" s="0" t="s">
        <v>1703</v>
      </c>
      <c r="C3314" s="0" t="s">
        <v>5844</v>
      </c>
      <c r="E3314" s="0" t="s">
        <v>1479</v>
      </c>
    </row>
    <row r="3315" customFormat="false" ht="15" hidden="false" customHeight="false" outlineLevel="0" collapsed="false">
      <c r="A3315" s="0" t="s">
        <v>79</v>
      </c>
      <c r="B3315" s="0" t="s">
        <v>1706</v>
      </c>
      <c r="C3315" s="0" t="s">
        <v>5845</v>
      </c>
      <c r="E3315" s="0" t="s">
        <v>1479</v>
      </c>
    </row>
    <row r="3316" customFormat="false" ht="15" hidden="false" customHeight="false" outlineLevel="0" collapsed="false">
      <c r="A3316" s="0" t="s">
        <v>79</v>
      </c>
      <c r="B3316" s="0" t="s">
        <v>1708</v>
      </c>
      <c r="C3316" s="0" t="s">
        <v>5846</v>
      </c>
      <c r="E3316" s="0" t="s">
        <v>1479</v>
      </c>
    </row>
    <row r="3317" customFormat="false" ht="15" hidden="false" customHeight="false" outlineLevel="0" collapsed="false">
      <c r="A3317" s="0" t="s">
        <v>79</v>
      </c>
      <c r="B3317" s="0" t="s">
        <v>1710</v>
      </c>
      <c r="C3317" s="0" t="s">
        <v>5847</v>
      </c>
      <c r="E3317" s="0" t="s">
        <v>1479</v>
      </c>
    </row>
    <row r="3318" customFormat="false" ht="15" hidden="false" customHeight="false" outlineLevel="0" collapsed="false">
      <c r="A3318" s="0" t="s">
        <v>79</v>
      </c>
      <c r="B3318" s="0" t="s">
        <v>1712</v>
      </c>
      <c r="C3318" s="0" t="s">
        <v>5848</v>
      </c>
      <c r="E3318" s="0" t="s">
        <v>1479</v>
      </c>
    </row>
    <row r="3319" customFormat="false" ht="15" hidden="false" customHeight="false" outlineLevel="0" collapsed="false">
      <c r="A3319" s="0" t="s">
        <v>79</v>
      </c>
      <c r="B3319" s="0" t="s">
        <v>2023</v>
      </c>
      <c r="C3319" s="0" t="s">
        <v>5841</v>
      </c>
      <c r="E3319" s="0" t="s">
        <v>1479</v>
      </c>
    </row>
    <row r="3320" customFormat="false" ht="15" hidden="false" customHeight="false" outlineLevel="0" collapsed="false">
      <c r="A3320" s="0" t="s">
        <v>79</v>
      </c>
      <c r="B3320" s="0" t="s">
        <v>1716</v>
      </c>
      <c r="C3320" s="0" t="s">
        <v>5842</v>
      </c>
      <c r="E3320" s="0" t="s">
        <v>1479</v>
      </c>
    </row>
    <row r="3321" customFormat="false" ht="15" hidden="false" customHeight="false" outlineLevel="0" collapsed="false">
      <c r="A3321" s="0" t="s">
        <v>79</v>
      </c>
      <c r="B3321" s="0" t="s">
        <v>1718</v>
      </c>
      <c r="C3321" s="0" t="s">
        <v>5843</v>
      </c>
      <c r="E3321" s="0" t="s">
        <v>1479</v>
      </c>
    </row>
    <row r="3322" customFormat="false" ht="15" hidden="false" customHeight="false" outlineLevel="0" collapsed="false">
      <c r="A3322" s="0" t="s">
        <v>79</v>
      </c>
      <c r="B3322" s="0" t="s">
        <v>1720</v>
      </c>
      <c r="C3322" s="0" t="s">
        <v>5844</v>
      </c>
      <c r="E3322" s="0" t="s">
        <v>1479</v>
      </c>
    </row>
    <row r="3323" customFormat="false" ht="15" hidden="false" customHeight="false" outlineLevel="0" collapsed="false">
      <c r="A3323" s="0" t="s">
        <v>79</v>
      </c>
      <c r="B3323" s="0" t="s">
        <v>1722</v>
      </c>
      <c r="C3323" s="0" t="s">
        <v>5845</v>
      </c>
      <c r="E3323" s="0" t="s">
        <v>1479</v>
      </c>
    </row>
    <row r="3324" customFormat="false" ht="15" hidden="false" customHeight="false" outlineLevel="0" collapsed="false">
      <c r="A3324" s="0" t="s">
        <v>79</v>
      </c>
      <c r="B3324" s="0" t="s">
        <v>1724</v>
      </c>
      <c r="C3324" s="0" t="s">
        <v>5846</v>
      </c>
      <c r="E3324" s="0" t="s">
        <v>1479</v>
      </c>
    </row>
    <row r="3325" customFormat="false" ht="15" hidden="false" customHeight="false" outlineLevel="0" collapsed="false">
      <c r="A3325" s="0" t="s">
        <v>79</v>
      </c>
      <c r="B3325" s="0" t="s">
        <v>1726</v>
      </c>
      <c r="C3325" s="0" t="s">
        <v>5847</v>
      </c>
      <c r="E3325" s="0" t="s">
        <v>1479</v>
      </c>
    </row>
    <row r="3326" customFormat="false" ht="15" hidden="false" customHeight="false" outlineLevel="0" collapsed="false">
      <c r="A3326" s="0" t="s">
        <v>79</v>
      </c>
      <c r="B3326" s="0" t="s">
        <v>1728</v>
      </c>
      <c r="C3326" s="0" t="s">
        <v>5848</v>
      </c>
      <c r="E3326" s="0" t="s">
        <v>1479</v>
      </c>
    </row>
    <row r="3327" customFormat="false" ht="15" hidden="false" customHeight="false" outlineLevel="0" collapsed="false">
      <c r="A3327" s="0" t="s">
        <v>79</v>
      </c>
      <c r="B3327" s="0" t="s">
        <v>2027</v>
      </c>
      <c r="C3327" s="0" t="s">
        <v>5841</v>
      </c>
      <c r="E3327" s="0" t="s">
        <v>1479</v>
      </c>
    </row>
    <row r="3328" customFormat="false" ht="15" hidden="false" customHeight="false" outlineLevel="0" collapsed="false">
      <c r="A3328" s="0" t="s">
        <v>79</v>
      </c>
      <c r="B3328" s="0" t="s">
        <v>1732</v>
      </c>
      <c r="C3328" s="0" t="s">
        <v>5842</v>
      </c>
      <c r="E3328" s="0" t="s">
        <v>1479</v>
      </c>
    </row>
    <row r="3329" customFormat="false" ht="15" hidden="false" customHeight="false" outlineLevel="0" collapsed="false">
      <c r="A3329" s="0" t="s">
        <v>79</v>
      </c>
      <c r="B3329" s="0" t="s">
        <v>1734</v>
      </c>
      <c r="C3329" s="0" t="s">
        <v>5843</v>
      </c>
      <c r="E3329" s="0" t="s">
        <v>1479</v>
      </c>
    </row>
    <row r="3330" customFormat="false" ht="15" hidden="false" customHeight="false" outlineLevel="0" collapsed="false">
      <c r="A3330" s="0" t="s">
        <v>79</v>
      </c>
      <c r="B3330" s="0" t="s">
        <v>1736</v>
      </c>
      <c r="C3330" s="0" t="s">
        <v>5844</v>
      </c>
      <c r="E3330" s="0" t="s">
        <v>1479</v>
      </c>
    </row>
    <row r="3331" customFormat="false" ht="15" hidden="false" customHeight="false" outlineLevel="0" collapsed="false">
      <c r="A3331" s="0" t="s">
        <v>79</v>
      </c>
      <c r="B3331" s="0" t="s">
        <v>1738</v>
      </c>
      <c r="C3331" s="0" t="s">
        <v>5845</v>
      </c>
      <c r="E3331" s="0" t="s">
        <v>1479</v>
      </c>
    </row>
    <row r="3332" customFormat="false" ht="15" hidden="false" customHeight="false" outlineLevel="0" collapsed="false">
      <c r="A3332" s="0" t="s">
        <v>79</v>
      </c>
      <c r="B3332" s="0" t="s">
        <v>1740</v>
      </c>
      <c r="C3332" s="0" t="s">
        <v>5846</v>
      </c>
      <c r="E3332" s="0" t="s">
        <v>1479</v>
      </c>
    </row>
    <row r="3333" customFormat="false" ht="15" hidden="false" customHeight="false" outlineLevel="0" collapsed="false">
      <c r="A3333" s="0" t="s">
        <v>79</v>
      </c>
      <c r="B3333" s="0" t="s">
        <v>1742</v>
      </c>
      <c r="C3333" s="0" t="s">
        <v>5847</v>
      </c>
      <c r="E3333" s="0" t="s">
        <v>1479</v>
      </c>
    </row>
    <row r="3334" customFormat="false" ht="15" hidden="false" customHeight="false" outlineLevel="0" collapsed="false">
      <c r="A3334" s="0" t="s">
        <v>79</v>
      </c>
      <c r="B3334" s="0" t="s">
        <v>1744</v>
      </c>
      <c r="C3334" s="0" t="s">
        <v>5848</v>
      </c>
      <c r="E3334" s="0" t="s">
        <v>1479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2026-10-08T02:20:11Z</dcterms:created>
  <dc:creator>openpyxl</dc:creator>
  <dc:description/>
  <dc:language>en-US</dc:language>
  <cp:lastModifiedBy/>
  <dcterms:modified xsi:type="dcterms:W3CDTF">2026-10-07T22:20:16Z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